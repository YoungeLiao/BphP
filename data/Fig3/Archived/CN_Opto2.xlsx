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A4FC2FB3-9ABE-1049-A70F-4398025C1B00}" xr6:coauthVersionLast="47" xr6:coauthVersionMax="47" xr10:uidLastSave="{00000000-0000-0000-0000-000000000000}"/>
  <bookViews>
    <workbookView xWindow="4760" yWindow="600" windowWidth="22760" windowHeight="14800" xr2:uid="{B679385D-B3C3-A94A-871F-3DCD33010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6" i="1"/>
  <c r="K50" i="1"/>
  <c r="K51" i="1"/>
  <c r="K52" i="1"/>
  <c r="K53" i="1"/>
  <c r="K54" i="1"/>
  <c r="K55" i="1"/>
  <c r="K56" i="1"/>
  <c r="K57" i="1"/>
  <c r="K58" i="1"/>
  <c r="K59" i="1"/>
  <c r="K60" i="1"/>
  <c r="K61" i="1"/>
  <c r="K63" i="1"/>
  <c r="K64" i="1"/>
  <c r="K65" i="1"/>
  <c r="K66" i="1"/>
  <c r="K67" i="1"/>
  <c r="K68" i="1"/>
  <c r="K69" i="1"/>
  <c r="K70" i="1"/>
  <c r="K71" i="1"/>
  <c r="K72" i="1"/>
  <c r="K73" i="1"/>
  <c r="K6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H30" i="1" s="1"/>
  <c r="F31" i="1"/>
  <c r="F32" i="1"/>
  <c r="F33" i="1"/>
  <c r="F34" i="1"/>
  <c r="F35" i="1"/>
  <c r="F36" i="1"/>
  <c r="F37" i="1"/>
  <c r="F38" i="1"/>
  <c r="H38" i="1" s="1"/>
  <c r="F39" i="1"/>
  <c r="F40" i="1"/>
  <c r="F41" i="1"/>
  <c r="F42" i="1"/>
  <c r="F43" i="1"/>
  <c r="F44" i="1"/>
  <c r="F45" i="1"/>
  <c r="F46" i="1"/>
  <c r="H46" i="1" s="1"/>
  <c r="F47" i="1"/>
  <c r="F48" i="1"/>
  <c r="H48" i="1" s="1"/>
  <c r="F49" i="1"/>
  <c r="F50" i="1"/>
  <c r="F51" i="1"/>
  <c r="F52" i="1"/>
  <c r="F53" i="1"/>
  <c r="F54" i="1"/>
  <c r="H54" i="1" s="1"/>
  <c r="F55" i="1"/>
  <c r="F56" i="1"/>
  <c r="H56" i="1" s="1"/>
  <c r="F57" i="1"/>
  <c r="F58" i="1"/>
  <c r="F59" i="1"/>
  <c r="F60" i="1"/>
  <c r="F61" i="1"/>
  <c r="F62" i="1"/>
  <c r="H62" i="1" s="1"/>
  <c r="F63" i="1"/>
  <c r="F64" i="1"/>
  <c r="H64" i="1" s="1"/>
  <c r="F65" i="1"/>
  <c r="F66" i="1"/>
  <c r="F67" i="1"/>
  <c r="F68" i="1"/>
  <c r="F69" i="1"/>
  <c r="F70" i="1"/>
  <c r="H70" i="1" s="1"/>
  <c r="F71" i="1"/>
  <c r="F72" i="1"/>
  <c r="H72" i="1" s="1"/>
  <c r="F73" i="1"/>
  <c r="F74" i="1"/>
  <c r="F75" i="1"/>
  <c r="F76" i="1"/>
  <c r="F77" i="1"/>
  <c r="F78" i="1"/>
  <c r="H78" i="1" s="1"/>
  <c r="F79" i="1"/>
  <c r="F80" i="1"/>
  <c r="H80" i="1" s="1"/>
  <c r="F81" i="1"/>
  <c r="F82" i="1"/>
  <c r="F83" i="1"/>
  <c r="F84" i="1"/>
  <c r="F85" i="1"/>
  <c r="F86" i="1"/>
  <c r="H86" i="1" s="1"/>
  <c r="F87" i="1"/>
  <c r="F88" i="1"/>
  <c r="H88" i="1" s="1"/>
  <c r="F89" i="1"/>
  <c r="H89" i="1" s="1"/>
  <c r="F90" i="1"/>
  <c r="F91" i="1"/>
  <c r="F92" i="1"/>
  <c r="F93" i="1"/>
  <c r="F94" i="1"/>
  <c r="H94" i="1" s="1"/>
  <c r="F95" i="1"/>
  <c r="F96" i="1"/>
  <c r="H96" i="1" s="1"/>
  <c r="F97" i="1"/>
  <c r="H97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K76" i="1" s="1"/>
  <c r="E77" i="1"/>
  <c r="E78" i="1"/>
  <c r="E79" i="1"/>
  <c r="E80" i="1"/>
  <c r="E81" i="1"/>
  <c r="E82" i="1"/>
  <c r="E83" i="1"/>
  <c r="E84" i="1"/>
  <c r="K84" i="1" s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2" i="1"/>
  <c r="K74" i="1" s="1"/>
  <c r="Q27" i="1"/>
  <c r="G27" i="1" s="1"/>
  <c r="Q28" i="1"/>
  <c r="G28" i="1" s="1"/>
  <c r="Q29" i="1"/>
  <c r="G29" i="1" s="1"/>
  <c r="Q30" i="1"/>
  <c r="G30" i="1" s="1"/>
  <c r="Q31" i="1"/>
  <c r="G31" i="1" s="1"/>
  <c r="Q32" i="1"/>
  <c r="G32" i="1" s="1"/>
  <c r="Q33" i="1"/>
  <c r="G33" i="1" s="1"/>
  <c r="Q34" i="1"/>
  <c r="G34" i="1" s="1"/>
  <c r="Q35" i="1"/>
  <c r="G35" i="1" s="1"/>
  <c r="Q36" i="1"/>
  <c r="G36" i="1" s="1"/>
  <c r="Q37" i="1"/>
  <c r="G37" i="1" s="1"/>
  <c r="Q38" i="1"/>
  <c r="G38" i="1" s="1"/>
  <c r="Q39" i="1"/>
  <c r="G39" i="1" s="1"/>
  <c r="Q40" i="1"/>
  <c r="G40" i="1" s="1"/>
  <c r="Q41" i="1"/>
  <c r="G41" i="1" s="1"/>
  <c r="Q42" i="1"/>
  <c r="G42" i="1" s="1"/>
  <c r="Q43" i="1"/>
  <c r="G43" i="1" s="1"/>
  <c r="Q44" i="1"/>
  <c r="G44" i="1" s="1"/>
  <c r="Q45" i="1"/>
  <c r="G45" i="1" s="1"/>
  <c r="Q46" i="1"/>
  <c r="G46" i="1" s="1"/>
  <c r="Q47" i="1"/>
  <c r="G47" i="1" s="1"/>
  <c r="Q48" i="1"/>
  <c r="G48" i="1" s="1"/>
  <c r="Q49" i="1"/>
  <c r="G49" i="1" s="1"/>
  <c r="Q50" i="1"/>
  <c r="G50" i="1" s="1"/>
  <c r="Q51" i="1"/>
  <c r="G51" i="1" s="1"/>
  <c r="Q52" i="1"/>
  <c r="G52" i="1" s="1"/>
  <c r="Q53" i="1"/>
  <c r="G53" i="1" s="1"/>
  <c r="Q54" i="1"/>
  <c r="G54" i="1" s="1"/>
  <c r="Q55" i="1"/>
  <c r="G55" i="1" s="1"/>
  <c r="Q56" i="1"/>
  <c r="G56" i="1" s="1"/>
  <c r="Q57" i="1"/>
  <c r="G57" i="1" s="1"/>
  <c r="Q58" i="1"/>
  <c r="G58" i="1" s="1"/>
  <c r="Q59" i="1"/>
  <c r="G59" i="1" s="1"/>
  <c r="Q60" i="1"/>
  <c r="G60" i="1" s="1"/>
  <c r="Q61" i="1"/>
  <c r="G61" i="1" s="1"/>
  <c r="Q62" i="1"/>
  <c r="G62" i="1" s="1"/>
  <c r="Q63" i="1"/>
  <c r="G63" i="1" s="1"/>
  <c r="Q64" i="1"/>
  <c r="G64" i="1" s="1"/>
  <c r="Q65" i="1"/>
  <c r="G65" i="1" s="1"/>
  <c r="Q66" i="1"/>
  <c r="G66" i="1" s="1"/>
  <c r="Q67" i="1"/>
  <c r="G67" i="1" s="1"/>
  <c r="Q68" i="1"/>
  <c r="G68" i="1" s="1"/>
  <c r="Q69" i="1"/>
  <c r="G69" i="1" s="1"/>
  <c r="Q70" i="1"/>
  <c r="G70" i="1" s="1"/>
  <c r="Q71" i="1"/>
  <c r="G71" i="1" s="1"/>
  <c r="Q72" i="1"/>
  <c r="G72" i="1" s="1"/>
  <c r="Q73" i="1"/>
  <c r="G73" i="1" s="1"/>
  <c r="Q74" i="1"/>
  <c r="G74" i="1" s="1"/>
  <c r="Q75" i="1"/>
  <c r="G75" i="1" s="1"/>
  <c r="Q76" i="1"/>
  <c r="G76" i="1" s="1"/>
  <c r="Q77" i="1"/>
  <c r="G77" i="1" s="1"/>
  <c r="Q78" i="1"/>
  <c r="G78" i="1" s="1"/>
  <c r="Q79" i="1"/>
  <c r="G79" i="1" s="1"/>
  <c r="Q80" i="1"/>
  <c r="G80" i="1" s="1"/>
  <c r="Q81" i="1"/>
  <c r="G81" i="1" s="1"/>
  <c r="Q82" i="1"/>
  <c r="G82" i="1" s="1"/>
  <c r="Q83" i="1"/>
  <c r="G83" i="1" s="1"/>
  <c r="Q84" i="1"/>
  <c r="G84" i="1" s="1"/>
  <c r="Q85" i="1"/>
  <c r="G85" i="1" s="1"/>
  <c r="M85" i="1" s="1"/>
  <c r="Q86" i="1"/>
  <c r="G86" i="1" s="1"/>
  <c r="Q87" i="1"/>
  <c r="G87" i="1" s="1"/>
  <c r="Q88" i="1"/>
  <c r="G88" i="1" s="1"/>
  <c r="Q89" i="1"/>
  <c r="G89" i="1" s="1"/>
  <c r="Q90" i="1"/>
  <c r="G90" i="1" s="1"/>
  <c r="Q91" i="1"/>
  <c r="G91" i="1" s="1"/>
  <c r="Q92" i="1"/>
  <c r="G92" i="1" s="1"/>
  <c r="Q93" i="1"/>
  <c r="G93" i="1" s="1"/>
  <c r="M93" i="1" s="1"/>
  <c r="Q94" i="1"/>
  <c r="G94" i="1" s="1"/>
  <c r="Q95" i="1"/>
  <c r="G95" i="1" s="1"/>
  <c r="Q96" i="1"/>
  <c r="G96" i="1" s="1"/>
  <c r="Q97" i="1"/>
  <c r="G97" i="1" s="1"/>
  <c r="Q26" i="1"/>
  <c r="G26" i="1" s="1"/>
  <c r="H81" i="1" l="1"/>
  <c r="H73" i="1"/>
  <c r="H65" i="1"/>
  <c r="H57" i="1"/>
  <c r="H49" i="1"/>
  <c r="H41" i="1"/>
  <c r="H33" i="1"/>
  <c r="H17" i="1"/>
  <c r="L81" i="1"/>
  <c r="H40" i="1"/>
  <c r="H32" i="1"/>
  <c r="H24" i="1"/>
  <c r="L80" i="1"/>
  <c r="H95" i="1"/>
  <c r="H87" i="1"/>
  <c r="H79" i="1"/>
  <c r="H71" i="1"/>
  <c r="H63" i="1"/>
  <c r="H55" i="1"/>
  <c r="H47" i="1"/>
  <c r="H39" i="1"/>
  <c r="H31" i="1"/>
  <c r="H93" i="1"/>
  <c r="H85" i="1"/>
  <c r="H77" i="1"/>
  <c r="H69" i="1"/>
  <c r="H61" i="1"/>
  <c r="H53" i="1"/>
  <c r="H45" i="1"/>
  <c r="H37" i="1"/>
  <c r="H29" i="1"/>
  <c r="H92" i="1"/>
  <c r="H84" i="1"/>
  <c r="H76" i="1"/>
  <c r="H68" i="1"/>
  <c r="H60" i="1"/>
  <c r="H52" i="1"/>
  <c r="H44" i="1"/>
  <c r="H36" i="1"/>
  <c r="H28" i="1"/>
  <c r="H91" i="1"/>
  <c r="H83" i="1"/>
  <c r="H75" i="1"/>
  <c r="H67" i="1"/>
  <c r="H59" i="1"/>
  <c r="H51" i="1"/>
  <c r="H43" i="1"/>
  <c r="H35" i="1"/>
  <c r="H27" i="1"/>
  <c r="H90" i="1"/>
  <c r="H82" i="1"/>
  <c r="H74" i="1"/>
  <c r="H66" i="1"/>
  <c r="H58" i="1"/>
  <c r="H50" i="1"/>
  <c r="H42" i="1"/>
  <c r="H34" i="1"/>
  <c r="H26" i="1"/>
  <c r="H2" i="1"/>
  <c r="H18" i="1"/>
  <c r="H10" i="1"/>
  <c r="L95" i="1"/>
  <c r="L87" i="1"/>
  <c r="L79" i="1"/>
  <c r="H25" i="1"/>
  <c r="H9" i="1"/>
  <c r="L89" i="1"/>
  <c r="L88" i="1"/>
  <c r="L94" i="1"/>
  <c r="L86" i="1"/>
  <c r="L78" i="1"/>
  <c r="H16" i="1"/>
  <c r="H8" i="1"/>
  <c r="L90" i="1"/>
  <c r="L93" i="1"/>
  <c r="L85" i="1"/>
  <c r="L77" i="1"/>
  <c r="H23" i="1"/>
  <c r="H15" i="1"/>
  <c r="H7" i="1"/>
  <c r="L82" i="1"/>
  <c r="L96" i="1"/>
  <c r="L92" i="1"/>
  <c r="L84" i="1"/>
  <c r="L76" i="1"/>
  <c r="H22" i="1"/>
  <c r="H14" i="1"/>
  <c r="H6" i="1"/>
  <c r="L97" i="1"/>
  <c r="L91" i="1"/>
  <c r="L83" i="1"/>
  <c r="L75" i="1"/>
  <c r="H21" i="1"/>
  <c r="H13" i="1"/>
  <c r="H5" i="1"/>
  <c r="H20" i="1"/>
  <c r="H12" i="1"/>
  <c r="H4" i="1"/>
  <c r="H19" i="1"/>
  <c r="H11" i="1"/>
  <c r="H3" i="1"/>
  <c r="K82" i="1"/>
  <c r="K81" i="1"/>
  <c r="K85" i="1"/>
  <c r="M81" i="1"/>
  <c r="M88" i="1"/>
  <c r="K77" i="1"/>
  <c r="K79" i="1"/>
  <c r="K86" i="1"/>
  <c r="K78" i="1"/>
  <c r="L74" i="1"/>
  <c r="K95" i="1"/>
  <c r="K87" i="1"/>
  <c r="K94" i="1"/>
  <c r="K93" i="1"/>
  <c r="K92" i="1"/>
  <c r="K91" i="1"/>
  <c r="K83" i="1"/>
  <c r="K75" i="1"/>
  <c r="M77" i="1"/>
  <c r="K90" i="1"/>
  <c r="M92" i="1"/>
  <c r="M84" i="1"/>
  <c r="M76" i="1"/>
  <c r="K97" i="1"/>
  <c r="K89" i="1"/>
  <c r="K96" i="1"/>
  <c r="K88" i="1"/>
  <c r="K80" i="1"/>
  <c r="M74" i="1"/>
  <c r="M91" i="1"/>
  <c r="M75" i="1"/>
  <c r="M97" i="1"/>
  <c r="M89" i="1"/>
  <c r="M96" i="1"/>
  <c r="M80" i="1"/>
  <c r="M95" i="1"/>
  <c r="M87" i="1"/>
  <c r="M79" i="1"/>
  <c r="M94" i="1"/>
  <c r="M86" i="1"/>
  <c r="M78" i="1"/>
  <c r="M83" i="1"/>
  <c r="M90" i="1"/>
  <c r="M82" i="1"/>
</calcChain>
</file>

<file path=xl/sharedStrings.xml><?xml version="1.0" encoding="utf-8"?>
<sst xmlns="http://schemas.openxmlformats.org/spreadsheetml/2006/main" count="383" uniqueCount="50">
  <si>
    <t>Samples</t>
  </si>
  <si>
    <t>Time</t>
  </si>
  <si>
    <t>NO3</t>
  </si>
  <si>
    <t>NO2</t>
  </si>
  <si>
    <t>NH4</t>
  </si>
  <si>
    <t>TIN</t>
  </si>
  <si>
    <t>NLR/NRR</t>
  </si>
  <si>
    <t>HCO3</t>
  </si>
  <si>
    <t>NO3_Raw</t>
  </si>
  <si>
    <t>NO2_Raw</t>
  </si>
  <si>
    <t>NH4_Raw</t>
  </si>
  <si>
    <t>NH4_1</t>
  </si>
  <si>
    <t>NH4_2</t>
  </si>
  <si>
    <t>NH4_3</t>
  </si>
  <si>
    <t>Dark</t>
  </si>
  <si>
    <t>IR</t>
  </si>
  <si>
    <t>Strain</t>
  </si>
  <si>
    <t>Light</t>
  </si>
  <si>
    <t>Pd_CN_1_0127_8:00_Dark_Dilute30</t>
  </si>
  <si>
    <t>Pd_CN_2</t>
  </si>
  <si>
    <t>Pd_CN_3</t>
  </si>
  <si>
    <t>Mz_CN_1</t>
  </si>
  <si>
    <t>Mz_CN_2</t>
  </si>
  <si>
    <t>Mz_CN_3</t>
  </si>
  <si>
    <t>Am_CN_1</t>
  </si>
  <si>
    <t>Am_CN_2</t>
  </si>
  <si>
    <t>Am_CN_3</t>
  </si>
  <si>
    <t>SC_CN_1</t>
  </si>
  <si>
    <t>SC_CN_2</t>
  </si>
  <si>
    <t>SC_CN_3</t>
  </si>
  <si>
    <t>Pd_CN_1_0127_8:00_IR_Dilute30</t>
  </si>
  <si>
    <t>Pd_CN_1_0126_21:00_Dark_Dilute30</t>
  </si>
  <si>
    <t>Pd_CN_1_0126_21:00_IR_Dilute30</t>
  </si>
  <si>
    <t>HCO3_raw</t>
  </si>
  <si>
    <t>Paracoccus</t>
  </si>
  <si>
    <t>Marinobacter</t>
  </si>
  <si>
    <t>Aliidiomarina</t>
  </si>
  <si>
    <t>Pd_CN_1_0128_19:00_Dark_Dilute30</t>
  </si>
  <si>
    <t>Pd_CN_1_0128_19:00_IR_Dilute30</t>
  </si>
  <si>
    <t>Pd_CN_1_0127_21:00_Dark_Dilute30</t>
  </si>
  <si>
    <t>Pd_CN_1_0127_21:00_IR_Dilute30</t>
  </si>
  <si>
    <t>CCU</t>
  </si>
  <si>
    <t>△NH4N</t>
  </si>
  <si>
    <t>△NO2N</t>
  </si>
  <si>
    <t>OD600</t>
  </si>
  <si>
    <t>OD600.raw1</t>
  </si>
  <si>
    <t>OD600.raw2</t>
  </si>
  <si>
    <t>SynCom</t>
  </si>
  <si>
    <t>Pd_CN_1_0129_19:00_Dark_Dilute30</t>
  </si>
  <si>
    <t>Pd_CN_1_0129_19:00_IR_Dilute30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</si>
</sst>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C00000"/>
      <name val="Arial"/>
      <family val="2"/>
    </font>
    <font>
      <sz val="11"/>
      <color rgb="FF000000"/>
      <name val="Calibri"/>
      <family val="2"/>
    </font>
    <font>
      <sz val="12"/>
      <color rgb="FFC00000"/>
      <name val="Calibri"/>
      <family val="2"/>
      <scheme val="minor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4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2" borderId="0" xfId="0" applyFont="1" applyFill="1"/>
    <xf numFmtId="0" fontId="9" fillId="0" borderId="0" xfId="0" applyFont="1"/>
    <xf numFmtId="0" fontId="10" fillId="0" borderId="0" xfId="0" applyFont="1"/>
    <xf numFmtId="0" fontId="6" fillId="3" borderId="0" xfId="0" applyFont="1" applyFill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1B25-9AF0-9B44-BB0B-59E0C1010BCE}">
  <dimension ref="A1:W121"/>
  <sheetViews>
    <sheetView tabSelected="1" topLeftCell="F1" zoomScale="115" zoomScaleNormal="115" workbookViewId="0">
      <pane ySplit="1" topLeftCell="A88" activePane="bottomLeft" state="frozen"/>
      <selection activeCell="C1" sqref="C1"/>
      <selection pane="bottomLeft" activeCell="E98" sqref="E98"/>
    </sheetView>
  </sheetViews>
  <sheetFormatPr baseColWidth="10" defaultRowHeight="16" x14ac:dyDescent="0.2"/>
  <cols>
    <col min="1" max="1" width="23.83203125" customWidth="1"/>
  </cols>
  <sheetData>
    <row r="1" spans="1:23" ht="17" thickBot="1" x14ac:dyDescent="0.25">
      <c r="A1" s="1" t="s">
        <v>0</v>
      </c>
      <c r="B1" s="2" t="s">
        <v>1</v>
      </c>
      <c r="C1" s="7" t="s">
        <v>16</v>
      </c>
      <c r="D1" s="7" t="s">
        <v>17</v>
      </c>
      <c r="E1" s="7" t="s">
        <v>7</v>
      </c>
      <c r="F1" s="1" t="s">
        <v>3</v>
      </c>
      <c r="G1" s="1" t="s">
        <v>4</v>
      </c>
      <c r="H1" s="4" t="s">
        <v>5</v>
      </c>
      <c r="I1" s="1" t="s">
        <v>2</v>
      </c>
      <c r="J1" s="4" t="s">
        <v>44</v>
      </c>
      <c r="K1" s="4" t="s">
        <v>41</v>
      </c>
      <c r="L1" s="4" t="s">
        <v>43</v>
      </c>
      <c r="M1" s="4" t="s">
        <v>42</v>
      </c>
      <c r="N1" s="5" t="s">
        <v>6</v>
      </c>
      <c r="O1" s="5" t="s">
        <v>33</v>
      </c>
      <c r="P1" s="5" t="s">
        <v>9</v>
      </c>
      <c r="Q1" s="5" t="s">
        <v>10</v>
      </c>
      <c r="R1" s="5" t="s">
        <v>8</v>
      </c>
      <c r="S1" s="3" t="s">
        <v>11</v>
      </c>
      <c r="T1" s="3" t="s">
        <v>12</v>
      </c>
      <c r="U1" s="3" t="s">
        <v>13</v>
      </c>
      <c r="V1" s="3" t="s">
        <v>45</v>
      </c>
      <c r="W1" s="3" t="s">
        <v>46</v>
      </c>
    </row>
    <row r="2" spans="1:23" x14ac:dyDescent="0.2">
      <c r="A2" s="8" t="s">
        <v>31</v>
      </c>
      <c r="B2">
        <v>0</v>
      </c>
      <c r="C2" t="s">
        <v>34</v>
      </c>
      <c r="D2" t="s">
        <v>14</v>
      </c>
      <c r="E2" s="6">
        <f>30*(O2-0.0549)/0.0239</f>
        <v>125.07780989991171</v>
      </c>
      <c r="F2">
        <f>(1.4692*P2-0.0724)*30</f>
        <v>11.57957391674263</v>
      </c>
      <c r="G2">
        <f>(11.007*Q2-0.65)*20</f>
        <v>27.351662000000001</v>
      </c>
      <c r="H2">
        <f>F2+G2</f>
        <v>38.931235916742629</v>
      </c>
      <c r="O2">
        <v>0.15454532188692968</v>
      </c>
      <c r="P2">
        <v>0.31199686715542768</v>
      </c>
      <c r="Q2">
        <v>0.18329999999999999</v>
      </c>
    </row>
    <row r="3" spans="1:23" x14ac:dyDescent="0.2">
      <c r="A3" s="8" t="s">
        <v>19</v>
      </c>
      <c r="B3">
        <v>0</v>
      </c>
      <c r="C3" t="s">
        <v>34</v>
      </c>
      <c r="D3" t="s">
        <v>14</v>
      </c>
      <c r="E3" s="6">
        <f t="shared" ref="E3:E66" si="0">30*(O3-0.0549)/0.0239</f>
        <v>101.74742066725969</v>
      </c>
      <c r="F3">
        <f t="shared" ref="F3:F66" si="1">(1.4692*P3-0.0724)*30</f>
        <v>11.291361019149301</v>
      </c>
      <c r="G3">
        <f t="shared" ref="G3:G66" si="2">(11.007*Q3-0.65)*20</f>
        <v>27.461731999999994</v>
      </c>
      <c r="H3">
        <f t="shared" ref="H3:H66" si="3">F3+G3</f>
        <v>38.753093019149297</v>
      </c>
      <c r="O3">
        <v>0.13595877846491689</v>
      </c>
      <c r="P3">
        <v>0.30545786866206781</v>
      </c>
      <c r="Q3">
        <v>0.18379999999999999</v>
      </c>
    </row>
    <row r="4" spans="1:23" x14ac:dyDescent="0.2">
      <c r="A4" s="8" t="s">
        <v>20</v>
      </c>
      <c r="B4">
        <v>0</v>
      </c>
      <c r="C4" t="s">
        <v>34</v>
      </c>
      <c r="D4" t="s">
        <v>14</v>
      </c>
      <c r="E4" s="6">
        <f t="shared" si="0"/>
        <v>111.00408363775372</v>
      </c>
      <c r="F4">
        <f t="shared" si="1"/>
        <v>11.603986782744483</v>
      </c>
      <c r="G4">
        <f t="shared" si="2"/>
        <v>27.968054000000002</v>
      </c>
      <c r="H4">
        <f t="shared" si="3"/>
        <v>39.572040782744487</v>
      </c>
      <c r="O4">
        <v>0.14333325329807714</v>
      </c>
      <c r="P4">
        <v>0.31255074831528457</v>
      </c>
      <c r="Q4">
        <v>0.18609999999999999</v>
      </c>
    </row>
    <row r="5" spans="1:23" x14ac:dyDescent="0.2">
      <c r="A5" s="8" t="s">
        <v>21</v>
      </c>
      <c r="B5">
        <v>0</v>
      </c>
      <c r="C5" t="s">
        <v>35</v>
      </c>
      <c r="D5" t="s">
        <v>14</v>
      </c>
      <c r="E5" s="6">
        <f t="shared" si="0"/>
        <v>125.07780989991171</v>
      </c>
      <c r="F5">
        <f t="shared" si="1"/>
        <v>11.57957391674263</v>
      </c>
      <c r="G5">
        <f t="shared" si="2"/>
        <v>27.351662000000001</v>
      </c>
      <c r="H5">
        <f t="shared" si="3"/>
        <v>38.931235916742629</v>
      </c>
      <c r="O5">
        <v>0.15454532188692968</v>
      </c>
      <c r="P5">
        <v>0.31199686715542768</v>
      </c>
      <c r="Q5">
        <v>0.18329999999999999</v>
      </c>
    </row>
    <row r="6" spans="1:23" x14ac:dyDescent="0.2">
      <c r="A6" s="8" t="s">
        <v>22</v>
      </c>
      <c r="B6">
        <v>0</v>
      </c>
      <c r="C6" t="s">
        <v>35</v>
      </c>
      <c r="D6" t="s">
        <v>14</v>
      </c>
      <c r="E6" s="6">
        <f t="shared" si="0"/>
        <v>101.74742066725969</v>
      </c>
      <c r="F6">
        <f t="shared" si="1"/>
        <v>11.291361019149301</v>
      </c>
      <c r="G6">
        <f t="shared" si="2"/>
        <v>27.461731999999994</v>
      </c>
      <c r="H6">
        <f t="shared" si="3"/>
        <v>38.753093019149297</v>
      </c>
      <c r="O6">
        <v>0.13595877846491689</v>
      </c>
      <c r="P6">
        <v>0.30545786866206781</v>
      </c>
      <c r="Q6">
        <v>0.18379999999999999</v>
      </c>
    </row>
    <row r="7" spans="1:23" x14ac:dyDescent="0.2">
      <c r="A7" s="8" t="s">
        <v>23</v>
      </c>
      <c r="B7">
        <v>0</v>
      </c>
      <c r="C7" t="s">
        <v>35</v>
      </c>
      <c r="D7" t="s">
        <v>14</v>
      </c>
      <c r="E7" s="6">
        <f t="shared" si="0"/>
        <v>111.00408363775372</v>
      </c>
      <c r="F7">
        <f t="shared" si="1"/>
        <v>11.603986782744483</v>
      </c>
      <c r="G7">
        <f t="shared" si="2"/>
        <v>27.968054000000002</v>
      </c>
      <c r="H7">
        <f t="shared" si="3"/>
        <v>39.572040782744487</v>
      </c>
      <c r="O7">
        <v>0.14333325329807714</v>
      </c>
      <c r="P7">
        <v>0.31255074831528457</v>
      </c>
      <c r="Q7">
        <v>0.18609999999999999</v>
      </c>
    </row>
    <row r="8" spans="1:23" x14ac:dyDescent="0.2">
      <c r="A8" s="8" t="s">
        <v>24</v>
      </c>
      <c r="B8">
        <v>0</v>
      </c>
      <c r="C8" t="s">
        <v>36</v>
      </c>
      <c r="D8" t="s">
        <v>14</v>
      </c>
      <c r="E8" s="6">
        <f t="shared" si="0"/>
        <v>125.07780989991171</v>
      </c>
      <c r="F8">
        <f t="shared" si="1"/>
        <v>11.57957391674263</v>
      </c>
      <c r="G8">
        <f t="shared" si="2"/>
        <v>27.351662000000001</v>
      </c>
      <c r="H8">
        <f t="shared" si="3"/>
        <v>38.931235916742629</v>
      </c>
      <c r="O8">
        <v>0.15454532188692968</v>
      </c>
      <c r="P8">
        <v>0.31199686715542768</v>
      </c>
      <c r="Q8">
        <v>0.18329999999999999</v>
      </c>
    </row>
    <row r="9" spans="1:23" x14ac:dyDescent="0.2">
      <c r="A9" s="8" t="s">
        <v>25</v>
      </c>
      <c r="B9">
        <v>0</v>
      </c>
      <c r="C9" t="s">
        <v>36</v>
      </c>
      <c r="D9" t="s">
        <v>14</v>
      </c>
      <c r="E9" s="6">
        <f t="shared" si="0"/>
        <v>101.74742066725969</v>
      </c>
      <c r="F9">
        <f t="shared" si="1"/>
        <v>11.291361019149301</v>
      </c>
      <c r="G9">
        <f t="shared" si="2"/>
        <v>27.461731999999994</v>
      </c>
      <c r="H9">
        <f t="shared" si="3"/>
        <v>38.753093019149297</v>
      </c>
      <c r="O9">
        <v>0.13595877846491689</v>
      </c>
      <c r="P9">
        <v>0.30545786866206781</v>
      </c>
      <c r="Q9">
        <v>0.18379999999999999</v>
      </c>
    </row>
    <row r="10" spans="1:23" x14ac:dyDescent="0.2">
      <c r="A10" s="8" t="s">
        <v>26</v>
      </c>
      <c r="B10">
        <v>0</v>
      </c>
      <c r="C10" t="s">
        <v>36</v>
      </c>
      <c r="D10" t="s">
        <v>14</v>
      </c>
      <c r="E10" s="6">
        <f t="shared" si="0"/>
        <v>111.00408363775372</v>
      </c>
      <c r="F10">
        <f t="shared" si="1"/>
        <v>11.603986782744483</v>
      </c>
      <c r="G10">
        <f t="shared" si="2"/>
        <v>27.968054000000002</v>
      </c>
      <c r="H10">
        <f t="shared" si="3"/>
        <v>39.572040782744487</v>
      </c>
      <c r="O10">
        <v>0.14333325329807714</v>
      </c>
      <c r="P10">
        <v>0.31255074831528457</v>
      </c>
      <c r="Q10">
        <v>0.18609999999999999</v>
      </c>
    </row>
    <row r="11" spans="1:23" x14ac:dyDescent="0.2">
      <c r="A11" s="8" t="s">
        <v>27</v>
      </c>
      <c r="B11">
        <v>0</v>
      </c>
      <c r="C11" t="s">
        <v>47</v>
      </c>
      <c r="D11" t="s">
        <v>14</v>
      </c>
      <c r="E11" s="6">
        <f t="shared" si="0"/>
        <v>125.07780989991171</v>
      </c>
      <c r="F11">
        <f t="shared" si="1"/>
        <v>11.57957391674263</v>
      </c>
      <c r="G11">
        <f t="shared" si="2"/>
        <v>27.351662000000001</v>
      </c>
      <c r="H11">
        <f t="shared" si="3"/>
        <v>38.931235916742629</v>
      </c>
      <c r="O11">
        <v>0.15454532188692968</v>
      </c>
      <c r="P11">
        <v>0.31199686715542768</v>
      </c>
      <c r="Q11">
        <v>0.18329999999999999</v>
      </c>
    </row>
    <row r="12" spans="1:23" x14ac:dyDescent="0.2">
      <c r="A12" s="8" t="s">
        <v>28</v>
      </c>
      <c r="B12">
        <v>0</v>
      </c>
      <c r="C12" t="s">
        <v>47</v>
      </c>
      <c r="D12" t="s">
        <v>14</v>
      </c>
      <c r="E12" s="6">
        <f t="shared" si="0"/>
        <v>101.74742066725969</v>
      </c>
      <c r="F12">
        <f t="shared" si="1"/>
        <v>11.291361019149301</v>
      </c>
      <c r="G12">
        <f t="shared" si="2"/>
        <v>27.461731999999994</v>
      </c>
      <c r="H12">
        <f t="shared" si="3"/>
        <v>38.753093019149297</v>
      </c>
      <c r="O12">
        <v>0.13595877846491689</v>
      </c>
      <c r="P12">
        <v>0.30545786866206781</v>
      </c>
      <c r="Q12">
        <v>0.18379999999999999</v>
      </c>
    </row>
    <row r="13" spans="1:23" x14ac:dyDescent="0.2">
      <c r="A13" s="8" t="s">
        <v>29</v>
      </c>
      <c r="B13">
        <v>0</v>
      </c>
      <c r="C13" t="s">
        <v>47</v>
      </c>
      <c r="D13" t="s">
        <v>14</v>
      </c>
      <c r="E13" s="6">
        <f t="shared" si="0"/>
        <v>111.00408363775372</v>
      </c>
      <c r="F13">
        <f t="shared" si="1"/>
        <v>11.603986782744483</v>
      </c>
      <c r="G13">
        <f t="shared" si="2"/>
        <v>27.968054000000002</v>
      </c>
      <c r="H13">
        <f t="shared" si="3"/>
        <v>39.572040782744487</v>
      </c>
      <c r="O13">
        <v>0.14333325329807714</v>
      </c>
      <c r="P13">
        <v>0.31255074831528457</v>
      </c>
      <c r="Q13">
        <v>0.18609999999999999</v>
      </c>
    </row>
    <row r="14" spans="1:23" x14ac:dyDescent="0.2">
      <c r="A14" s="8" t="s">
        <v>32</v>
      </c>
      <c r="B14">
        <v>0</v>
      </c>
      <c r="C14" t="s">
        <v>34</v>
      </c>
      <c r="D14" t="s">
        <v>15</v>
      </c>
      <c r="E14" s="6">
        <f t="shared" si="0"/>
        <v>125.07780989991171</v>
      </c>
      <c r="F14">
        <f t="shared" si="1"/>
        <v>11.57957391674263</v>
      </c>
      <c r="G14">
        <f t="shared" si="2"/>
        <v>27.351662000000001</v>
      </c>
      <c r="H14">
        <f t="shared" si="3"/>
        <v>38.931235916742629</v>
      </c>
      <c r="O14">
        <v>0.15454532188692968</v>
      </c>
      <c r="P14">
        <v>0.31199686715542768</v>
      </c>
      <c r="Q14">
        <v>0.18329999999999999</v>
      </c>
    </row>
    <row r="15" spans="1:23" x14ac:dyDescent="0.2">
      <c r="A15" s="8" t="s">
        <v>19</v>
      </c>
      <c r="B15">
        <v>0</v>
      </c>
      <c r="C15" t="s">
        <v>34</v>
      </c>
      <c r="D15" t="s">
        <v>15</v>
      </c>
      <c r="E15" s="6">
        <f t="shared" si="0"/>
        <v>101.74742066725969</v>
      </c>
      <c r="F15">
        <f t="shared" si="1"/>
        <v>11.291361019149301</v>
      </c>
      <c r="G15">
        <f t="shared" si="2"/>
        <v>27.461731999999994</v>
      </c>
      <c r="H15">
        <f t="shared" si="3"/>
        <v>38.753093019149297</v>
      </c>
      <c r="O15">
        <v>0.13595877846491689</v>
      </c>
      <c r="P15">
        <v>0.30545786866206781</v>
      </c>
      <c r="Q15">
        <v>0.18379999999999999</v>
      </c>
    </row>
    <row r="16" spans="1:23" x14ac:dyDescent="0.2">
      <c r="A16" s="8" t="s">
        <v>20</v>
      </c>
      <c r="B16">
        <v>0</v>
      </c>
      <c r="C16" t="s">
        <v>34</v>
      </c>
      <c r="D16" t="s">
        <v>15</v>
      </c>
      <c r="E16" s="6">
        <f t="shared" si="0"/>
        <v>111.00408363775372</v>
      </c>
      <c r="F16">
        <f t="shared" si="1"/>
        <v>11.603986782744483</v>
      </c>
      <c r="G16">
        <f t="shared" si="2"/>
        <v>27.968054000000002</v>
      </c>
      <c r="H16">
        <f t="shared" si="3"/>
        <v>39.572040782744487</v>
      </c>
      <c r="O16">
        <v>0.14333325329807714</v>
      </c>
      <c r="P16">
        <v>0.31255074831528457</v>
      </c>
      <c r="Q16">
        <v>0.18609999999999999</v>
      </c>
    </row>
    <row r="17" spans="1:20" x14ac:dyDescent="0.2">
      <c r="A17" s="8" t="s">
        <v>21</v>
      </c>
      <c r="B17">
        <v>0</v>
      </c>
      <c r="C17" t="s">
        <v>35</v>
      </c>
      <c r="D17" t="s">
        <v>15</v>
      </c>
      <c r="E17" s="6">
        <f t="shared" si="0"/>
        <v>125.07780989991171</v>
      </c>
      <c r="F17">
        <f t="shared" si="1"/>
        <v>11.57957391674263</v>
      </c>
      <c r="G17">
        <f t="shared" si="2"/>
        <v>27.351662000000001</v>
      </c>
      <c r="H17">
        <f t="shared" si="3"/>
        <v>38.931235916742629</v>
      </c>
      <c r="O17">
        <v>0.15454532188692968</v>
      </c>
      <c r="P17">
        <v>0.31199686715542768</v>
      </c>
      <c r="Q17">
        <v>0.18329999999999999</v>
      </c>
    </row>
    <row r="18" spans="1:20" x14ac:dyDescent="0.2">
      <c r="A18" s="8" t="s">
        <v>22</v>
      </c>
      <c r="B18">
        <v>0</v>
      </c>
      <c r="C18" t="s">
        <v>35</v>
      </c>
      <c r="D18" t="s">
        <v>15</v>
      </c>
      <c r="E18" s="6">
        <f t="shared" si="0"/>
        <v>101.74742066725969</v>
      </c>
      <c r="F18">
        <f t="shared" si="1"/>
        <v>11.291361019149301</v>
      </c>
      <c r="G18">
        <f t="shared" si="2"/>
        <v>27.461731999999994</v>
      </c>
      <c r="H18">
        <f t="shared" si="3"/>
        <v>38.753093019149297</v>
      </c>
      <c r="O18">
        <v>0.13595877846491689</v>
      </c>
      <c r="P18">
        <v>0.30545786866206781</v>
      </c>
      <c r="Q18">
        <v>0.18379999999999999</v>
      </c>
    </row>
    <row r="19" spans="1:20" x14ac:dyDescent="0.2">
      <c r="A19" s="8" t="s">
        <v>23</v>
      </c>
      <c r="B19">
        <v>0</v>
      </c>
      <c r="C19" t="s">
        <v>35</v>
      </c>
      <c r="D19" t="s">
        <v>15</v>
      </c>
      <c r="E19" s="6">
        <f t="shared" si="0"/>
        <v>111.00408363775372</v>
      </c>
      <c r="F19">
        <f t="shared" si="1"/>
        <v>11.603986782744483</v>
      </c>
      <c r="G19">
        <f t="shared" si="2"/>
        <v>27.968054000000002</v>
      </c>
      <c r="H19">
        <f t="shared" si="3"/>
        <v>39.572040782744487</v>
      </c>
      <c r="O19">
        <v>0.14333325329807714</v>
      </c>
      <c r="P19">
        <v>0.31255074831528457</v>
      </c>
      <c r="Q19">
        <v>0.18609999999999999</v>
      </c>
    </row>
    <row r="20" spans="1:20" x14ac:dyDescent="0.2">
      <c r="A20" s="8" t="s">
        <v>24</v>
      </c>
      <c r="B20">
        <v>0</v>
      </c>
      <c r="C20" t="s">
        <v>36</v>
      </c>
      <c r="D20" t="s">
        <v>15</v>
      </c>
      <c r="E20" s="6">
        <f t="shared" si="0"/>
        <v>125.07780989991171</v>
      </c>
      <c r="F20">
        <f t="shared" si="1"/>
        <v>11.57957391674263</v>
      </c>
      <c r="G20">
        <f t="shared" si="2"/>
        <v>27.351662000000001</v>
      </c>
      <c r="H20">
        <f t="shared" si="3"/>
        <v>38.931235916742629</v>
      </c>
      <c r="O20">
        <v>0.15454532188692968</v>
      </c>
      <c r="P20">
        <v>0.31199686715542768</v>
      </c>
      <c r="Q20">
        <v>0.18329999999999999</v>
      </c>
    </row>
    <row r="21" spans="1:20" x14ac:dyDescent="0.2">
      <c r="A21" s="8" t="s">
        <v>25</v>
      </c>
      <c r="B21">
        <v>0</v>
      </c>
      <c r="C21" t="s">
        <v>36</v>
      </c>
      <c r="D21" t="s">
        <v>15</v>
      </c>
      <c r="E21" s="6">
        <f t="shared" si="0"/>
        <v>101.74742066725969</v>
      </c>
      <c r="F21">
        <f t="shared" si="1"/>
        <v>11.291361019149301</v>
      </c>
      <c r="G21">
        <f t="shared" si="2"/>
        <v>27.461731999999994</v>
      </c>
      <c r="H21">
        <f t="shared" si="3"/>
        <v>38.753093019149297</v>
      </c>
      <c r="O21">
        <v>0.13595877846491689</v>
      </c>
      <c r="P21">
        <v>0.30545786866206781</v>
      </c>
      <c r="Q21">
        <v>0.18379999999999999</v>
      </c>
    </row>
    <row r="22" spans="1:20" x14ac:dyDescent="0.2">
      <c r="A22" s="8" t="s">
        <v>26</v>
      </c>
      <c r="B22">
        <v>0</v>
      </c>
      <c r="C22" t="s">
        <v>36</v>
      </c>
      <c r="D22" t="s">
        <v>15</v>
      </c>
      <c r="E22" s="6">
        <f t="shared" si="0"/>
        <v>111.00408363775372</v>
      </c>
      <c r="F22">
        <f t="shared" si="1"/>
        <v>11.603986782744483</v>
      </c>
      <c r="G22">
        <f t="shared" si="2"/>
        <v>27.968054000000002</v>
      </c>
      <c r="H22">
        <f t="shared" si="3"/>
        <v>39.572040782744487</v>
      </c>
      <c r="O22">
        <v>0.14333325329807714</v>
      </c>
      <c r="P22">
        <v>0.31255074831528457</v>
      </c>
      <c r="Q22">
        <v>0.18609999999999999</v>
      </c>
    </row>
    <row r="23" spans="1:20" x14ac:dyDescent="0.2">
      <c r="A23" s="8" t="s">
        <v>27</v>
      </c>
      <c r="B23">
        <v>0</v>
      </c>
      <c r="C23" t="s">
        <v>47</v>
      </c>
      <c r="D23" t="s">
        <v>15</v>
      </c>
      <c r="E23" s="6">
        <f t="shared" si="0"/>
        <v>125.07780989991171</v>
      </c>
      <c r="F23">
        <f t="shared" si="1"/>
        <v>11.57957391674263</v>
      </c>
      <c r="G23">
        <f t="shared" si="2"/>
        <v>27.351662000000001</v>
      </c>
      <c r="H23">
        <f t="shared" si="3"/>
        <v>38.931235916742629</v>
      </c>
      <c r="O23">
        <v>0.15454532188692968</v>
      </c>
      <c r="P23">
        <v>0.31199686715542768</v>
      </c>
      <c r="Q23">
        <v>0.18329999999999999</v>
      </c>
    </row>
    <row r="24" spans="1:20" x14ac:dyDescent="0.2">
      <c r="A24" s="8" t="s">
        <v>28</v>
      </c>
      <c r="B24">
        <v>0</v>
      </c>
      <c r="C24" t="s">
        <v>47</v>
      </c>
      <c r="D24" t="s">
        <v>15</v>
      </c>
      <c r="E24" s="6">
        <f t="shared" si="0"/>
        <v>101.74742066725969</v>
      </c>
      <c r="F24">
        <f t="shared" si="1"/>
        <v>11.291361019149301</v>
      </c>
      <c r="G24">
        <f t="shared" si="2"/>
        <v>27.461731999999994</v>
      </c>
      <c r="H24">
        <f t="shared" si="3"/>
        <v>38.753093019149297</v>
      </c>
      <c r="O24">
        <v>0.13595877846491689</v>
      </c>
      <c r="P24">
        <v>0.30545786866206781</v>
      </c>
      <c r="Q24">
        <v>0.18379999999999999</v>
      </c>
    </row>
    <row r="25" spans="1:20" x14ac:dyDescent="0.2">
      <c r="A25" s="8" t="s">
        <v>29</v>
      </c>
      <c r="B25">
        <v>0</v>
      </c>
      <c r="C25" t="s">
        <v>47</v>
      </c>
      <c r="D25" t="s">
        <v>15</v>
      </c>
      <c r="E25" s="6">
        <f t="shared" si="0"/>
        <v>111.00408363775372</v>
      </c>
      <c r="F25">
        <f t="shared" si="1"/>
        <v>11.603986782744483</v>
      </c>
      <c r="G25">
        <f t="shared" si="2"/>
        <v>27.968054000000002</v>
      </c>
      <c r="H25">
        <f t="shared" si="3"/>
        <v>39.572040782744487</v>
      </c>
      <c r="O25">
        <v>0.14333325329807714</v>
      </c>
      <c r="P25">
        <v>0.31255074831528457</v>
      </c>
      <c r="Q25">
        <v>0.18609999999999999</v>
      </c>
    </row>
    <row r="26" spans="1:20" x14ac:dyDescent="0.2">
      <c r="A26" s="8" t="s">
        <v>18</v>
      </c>
      <c r="B26">
        <v>11</v>
      </c>
      <c r="C26" t="s">
        <v>34</v>
      </c>
      <c r="D26" t="s">
        <v>14</v>
      </c>
      <c r="E26" s="6">
        <f t="shared" si="0"/>
        <v>76.202737611494953</v>
      </c>
      <c r="F26">
        <f t="shared" si="1"/>
        <v>11.342678078376386</v>
      </c>
      <c r="G26">
        <f t="shared" si="2"/>
        <v>38.391683</v>
      </c>
      <c r="H26">
        <f t="shared" si="3"/>
        <v>49.734361078376388</v>
      </c>
      <c r="K26">
        <f>E2-E26</f>
        <v>48.87507228841676</v>
      </c>
      <c r="L26">
        <f t="shared" ref="L26:M41" si="4">F2-F26</f>
        <v>0.2368958383662445</v>
      </c>
      <c r="M26">
        <f t="shared" si="4"/>
        <v>-11.040020999999999</v>
      </c>
      <c r="O26">
        <v>0.11560818096382432</v>
      </c>
      <c r="P26">
        <v>0.30662215442364066</v>
      </c>
      <c r="Q26">
        <f>AVERAGE(S26:T26)</f>
        <v>0.23344999999999999</v>
      </c>
      <c r="S26" s="10">
        <v>0.17599999999999999</v>
      </c>
      <c r="T26" s="12">
        <v>0.29089999999999999</v>
      </c>
    </row>
    <row r="27" spans="1:20" x14ac:dyDescent="0.2">
      <c r="A27" s="8" t="s">
        <v>19</v>
      </c>
      <c r="B27">
        <v>11</v>
      </c>
      <c r="C27" t="s">
        <v>34</v>
      </c>
      <c r="D27" t="s">
        <v>14</v>
      </c>
      <c r="E27" s="6">
        <f t="shared" si="0"/>
        <v>81.394727760185432</v>
      </c>
      <c r="F27">
        <f t="shared" si="1"/>
        <v>11.548658183786499</v>
      </c>
      <c r="G27">
        <f t="shared" si="2"/>
        <v>24.842065999999996</v>
      </c>
      <c r="H27">
        <f t="shared" si="3"/>
        <v>36.390724183786496</v>
      </c>
      <c r="K27">
        <f t="shared" ref="K27:K49" si="5">E3-E27</f>
        <v>20.352692907074257</v>
      </c>
      <c r="L27">
        <f t="shared" si="4"/>
        <v>-0.25729716463719754</v>
      </c>
      <c r="M27">
        <f t="shared" si="4"/>
        <v>2.6196659999999987</v>
      </c>
      <c r="O27">
        <v>0.11974446644894773</v>
      </c>
      <c r="P27">
        <v>0.31129544840245255</v>
      </c>
      <c r="Q27">
        <f t="shared" ref="Q27:Q90" si="6">AVERAGE(S27:T27)</f>
        <v>0.1719</v>
      </c>
      <c r="S27" s="10">
        <v>0.17150000000000001</v>
      </c>
      <c r="T27" s="10">
        <v>0.17230000000000001</v>
      </c>
    </row>
    <row r="28" spans="1:20" x14ac:dyDescent="0.2">
      <c r="A28" s="8" t="s">
        <v>20</v>
      </c>
      <c r="B28">
        <v>11</v>
      </c>
      <c r="C28" t="s">
        <v>34</v>
      </c>
      <c r="D28" t="s">
        <v>14</v>
      </c>
      <c r="E28" s="6">
        <f t="shared" si="0"/>
        <v>85.484121129983421</v>
      </c>
      <c r="F28">
        <f t="shared" si="1"/>
        <v>12.002379046055477</v>
      </c>
      <c r="G28">
        <f t="shared" si="2"/>
        <v>28.045103000000005</v>
      </c>
      <c r="H28">
        <f t="shared" si="3"/>
        <v>40.047482046055478</v>
      </c>
      <c r="K28">
        <f t="shared" si="5"/>
        <v>25.519962507770302</v>
      </c>
      <c r="L28">
        <f t="shared" si="4"/>
        <v>-0.39839226331099375</v>
      </c>
      <c r="M28">
        <f t="shared" si="4"/>
        <v>-7.7049000000002366E-2</v>
      </c>
      <c r="O28">
        <v>0.12300234983355346</v>
      </c>
      <c r="P28">
        <v>0.32158950553715121</v>
      </c>
      <c r="Q28">
        <f t="shared" si="6"/>
        <v>0.18645</v>
      </c>
      <c r="S28" s="10">
        <v>0.18479999999999999</v>
      </c>
      <c r="T28" s="10">
        <v>0.18809999999999999</v>
      </c>
    </row>
    <row r="29" spans="1:20" x14ac:dyDescent="0.2">
      <c r="A29" s="8" t="s">
        <v>21</v>
      </c>
      <c r="B29">
        <v>11</v>
      </c>
      <c r="C29" t="s">
        <v>35</v>
      </c>
      <c r="D29" t="s">
        <v>14</v>
      </c>
      <c r="E29" s="6">
        <f t="shared" si="0"/>
        <v>98.768969262558073</v>
      </c>
      <c r="F29">
        <f t="shared" si="1"/>
        <v>10.878516974895669</v>
      </c>
      <c r="G29">
        <f t="shared" si="2"/>
        <v>26.173912999999995</v>
      </c>
      <c r="H29">
        <f t="shared" si="3"/>
        <v>37.052429974895666</v>
      </c>
      <c r="K29">
        <f t="shared" si="5"/>
        <v>26.30884063735364</v>
      </c>
      <c r="L29">
        <f t="shared" si="4"/>
        <v>0.70105694184696077</v>
      </c>
      <c r="M29">
        <f t="shared" si="4"/>
        <v>1.1777490000000057</v>
      </c>
      <c r="O29">
        <v>0.13358594551250461</v>
      </c>
      <c r="P29">
        <v>0.29609122821707212</v>
      </c>
      <c r="Q29">
        <f t="shared" si="6"/>
        <v>0.17795</v>
      </c>
      <c r="S29" s="10">
        <v>0.1706</v>
      </c>
      <c r="T29" s="10">
        <v>0.18529999999999999</v>
      </c>
    </row>
    <row r="30" spans="1:20" x14ac:dyDescent="0.2">
      <c r="A30" s="8" t="s">
        <v>22</v>
      </c>
      <c r="B30">
        <v>11</v>
      </c>
      <c r="C30" t="s">
        <v>35</v>
      </c>
      <c r="D30" t="s">
        <v>14</v>
      </c>
      <c r="E30" s="6">
        <f t="shared" si="0"/>
        <v>107.03153500393734</v>
      </c>
      <c r="F30">
        <f t="shared" si="1"/>
        <v>11.531712310068816</v>
      </c>
      <c r="G30">
        <f t="shared" si="2"/>
        <v>27.868991000000001</v>
      </c>
      <c r="H30">
        <f t="shared" si="3"/>
        <v>39.40070331006882</v>
      </c>
      <c r="K30">
        <f t="shared" si="5"/>
        <v>-5.2841143366776464</v>
      </c>
      <c r="L30">
        <f t="shared" si="4"/>
        <v>-0.24035129091951468</v>
      </c>
      <c r="M30">
        <f t="shared" si="4"/>
        <v>-0.40725900000000692</v>
      </c>
      <c r="O30">
        <v>0.14016845621980342</v>
      </c>
      <c r="P30">
        <v>0.31091097899239534</v>
      </c>
      <c r="Q30">
        <f t="shared" si="6"/>
        <v>0.18565000000000001</v>
      </c>
      <c r="S30" s="10">
        <v>0.18440000000000001</v>
      </c>
      <c r="T30" s="10">
        <v>0.18690000000000001</v>
      </c>
    </row>
    <row r="31" spans="1:20" x14ac:dyDescent="0.2">
      <c r="A31" s="8" t="s">
        <v>23</v>
      </c>
      <c r="B31">
        <v>11</v>
      </c>
      <c r="C31" t="s">
        <v>35</v>
      </c>
      <c r="D31" t="s">
        <v>14</v>
      </c>
      <c r="E31" s="6">
        <f t="shared" si="0"/>
        <v>114.57096110761036</v>
      </c>
      <c r="F31">
        <f t="shared" si="1"/>
        <v>12.15125824527164</v>
      </c>
      <c r="G31">
        <f t="shared" si="2"/>
        <v>27.879997999999997</v>
      </c>
      <c r="H31">
        <f t="shared" si="3"/>
        <v>40.031256245271635</v>
      </c>
      <c r="K31">
        <f t="shared" si="5"/>
        <v>-3.5668774698566352</v>
      </c>
      <c r="L31">
        <f t="shared" si="4"/>
        <v>-0.54727146252715642</v>
      </c>
      <c r="M31">
        <f t="shared" si="4"/>
        <v>8.8056000000005241E-2</v>
      </c>
      <c r="O31">
        <v>0.14617486568239627</v>
      </c>
      <c r="P31">
        <v>0.32496728934730101</v>
      </c>
      <c r="Q31">
        <f t="shared" si="6"/>
        <v>0.18569999999999998</v>
      </c>
      <c r="S31" s="10">
        <v>0.18479999999999999</v>
      </c>
      <c r="T31" s="10">
        <v>0.18659999999999999</v>
      </c>
    </row>
    <row r="32" spans="1:20" x14ac:dyDescent="0.2">
      <c r="A32" s="8" t="s">
        <v>24</v>
      </c>
      <c r="B32">
        <v>11</v>
      </c>
      <c r="C32" t="s">
        <v>36</v>
      </c>
      <c r="D32" t="s">
        <v>14</v>
      </c>
      <c r="E32" s="6">
        <f t="shared" si="0"/>
        <v>122.7958983205849</v>
      </c>
      <c r="F32">
        <f t="shared" si="1"/>
        <v>11.856477472197051</v>
      </c>
      <c r="G32">
        <f t="shared" si="2"/>
        <v>28.738543999999997</v>
      </c>
      <c r="H32">
        <f t="shared" si="3"/>
        <v>40.595021472197047</v>
      </c>
      <c r="K32">
        <f t="shared" si="5"/>
        <v>2.2819115793268168</v>
      </c>
      <c r="L32">
        <f t="shared" si="4"/>
        <v>-0.27690355545442102</v>
      </c>
      <c r="M32">
        <f t="shared" si="4"/>
        <v>-1.3868819999999964</v>
      </c>
      <c r="O32">
        <v>0.1527273989953993</v>
      </c>
      <c r="P32">
        <v>0.31827927834188791</v>
      </c>
      <c r="Q32">
        <f t="shared" si="6"/>
        <v>0.18959999999999999</v>
      </c>
      <c r="S32" s="10">
        <v>0.18990000000000001</v>
      </c>
      <c r="T32" s="10">
        <v>0.1893</v>
      </c>
    </row>
    <row r="33" spans="1:20" x14ac:dyDescent="0.2">
      <c r="A33" s="8" t="s">
        <v>25</v>
      </c>
      <c r="B33">
        <v>11</v>
      </c>
      <c r="C33" t="s">
        <v>36</v>
      </c>
      <c r="D33" t="s">
        <v>14</v>
      </c>
      <c r="E33" s="6">
        <f t="shared" si="0"/>
        <v>119.53163181296185</v>
      </c>
      <c r="F33">
        <f t="shared" si="1"/>
        <v>12.042549209673618</v>
      </c>
      <c r="G33">
        <f t="shared" si="2"/>
        <v>28.265242999999998</v>
      </c>
      <c r="H33">
        <f t="shared" si="3"/>
        <v>40.307792209673615</v>
      </c>
      <c r="K33">
        <f t="shared" si="5"/>
        <v>-17.784211145702159</v>
      </c>
      <c r="L33">
        <f t="shared" si="4"/>
        <v>-0.75118819052431718</v>
      </c>
      <c r="M33">
        <f t="shared" si="4"/>
        <v>-0.80351100000000386</v>
      </c>
      <c r="O33">
        <v>0.15012686667765962</v>
      </c>
      <c r="P33">
        <v>0.32250088959237722</v>
      </c>
      <c r="Q33">
        <f t="shared" si="6"/>
        <v>0.18745000000000001</v>
      </c>
      <c r="S33" s="10">
        <v>0.18690000000000001</v>
      </c>
      <c r="T33" s="10">
        <v>0.188</v>
      </c>
    </row>
    <row r="34" spans="1:20" x14ac:dyDescent="0.2">
      <c r="A34" s="8" t="s">
        <v>26</v>
      </c>
      <c r="B34">
        <v>11</v>
      </c>
      <c r="C34" t="s">
        <v>36</v>
      </c>
      <c r="D34" t="s">
        <v>14</v>
      </c>
      <c r="E34" s="6">
        <f t="shared" si="0"/>
        <v>121.82375562517652</v>
      </c>
      <c r="F34">
        <f t="shared" si="1"/>
        <v>11.893218532496052</v>
      </c>
      <c r="G34">
        <f t="shared" si="2"/>
        <v>29.123789000000002</v>
      </c>
      <c r="H34">
        <f t="shared" si="3"/>
        <v>41.017007532496052</v>
      </c>
      <c r="K34">
        <f t="shared" si="5"/>
        <v>-10.819671987422794</v>
      </c>
      <c r="L34">
        <f t="shared" si="4"/>
        <v>-0.2892317497515684</v>
      </c>
      <c r="M34">
        <f t="shared" si="4"/>
        <v>-1.155735</v>
      </c>
      <c r="O34">
        <v>0.15195292531472396</v>
      </c>
      <c r="P34">
        <v>0.31911286261221644</v>
      </c>
      <c r="Q34">
        <f t="shared" si="6"/>
        <v>0.19134999999999999</v>
      </c>
      <c r="S34" s="10">
        <v>0.1913</v>
      </c>
      <c r="T34" s="10">
        <v>0.19139999999999999</v>
      </c>
    </row>
    <row r="35" spans="1:20" x14ac:dyDescent="0.2">
      <c r="A35" s="8" t="s">
        <v>27</v>
      </c>
      <c r="B35">
        <v>11</v>
      </c>
      <c r="C35" t="s">
        <v>47</v>
      </c>
      <c r="D35" t="s">
        <v>14</v>
      </c>
      <c r="E35" s="6">
        <f t="shared" si="0"/>
        <v>105.01864986748257</v>
      </c>
      <c r="F35">
        <f t="shared" si="1"/>
        <v>10.913534387556814</v>
      </c>
      <c r="G35">
        <f t="shared" si="2"/>
        <v>22.134344000000006</v>
      </c>
      <c r="H35">
        <f t="shared" si="3"/>
        <v>33.047878387556821</v>
      </c>
      <c r="K35">
        <f t="shared" si="5"/>
        <v>20.059160032429148</v>
      </c>
      <c r="L35">
        <f t="shared" si="4"/>
        <v>0.66603952918581655</v>
      </c>
      <c r="M35">
        <f t="shared" si="4"/>
        <v>5.2173179999999952</v>
      </c>
      <c r="O35">
        <v>0.13856485772776111</v>
      </c>
      <c r="P35">
        <v>0.29688570622463051</v>
      </c>
      <c r="Q35">
        <f t="shared" si="6"/>
        <v>0.15960000000000002</v>
      </c>
      <c r="S35" s="10">
        <v>0.15790000000000001</v>
      </c>
      <c r="T35" s="10">
        <v>0.1613</v>
      </c>
    </row>
    <row r="36" spans="1:20" x14ac:dyDescent="0.2">
      <c r="A36" s="8" t="s">
        <v>28</v>
      </c>
      <c r="B36">
        <v>11</v>
      </c>
      <c r="C36" t="s">
        <v>47</v>
      </c>
      <c r="D36" t="s">
        <v>14</v>
      </c>
      <c r="E36" s="6">
        <f t="shared" si="0"/>
        <v>119.25638880197994</v>
      </c>
      <c r="F36">
        <f t="shared" si="1"/>
        <v>11.604861383528121</v>
      </c>
      <c r="G36">
        <f t="shared" si="2"/>
        <v>26.922389000000003</v>
      </c>
      <c r="H36">
        <f t="shared" si="3"/>
        <v>38.527250383528127</v>
      </c>
      <c r="K36">
        <f t="shared" si="5"/>
        <v>-17.508968134720249</v>
      </c>
      <c r="L36">
        <f t="shared" si="4"/>
        <v>-0.3135003643788199</v>
      </c>
      <c r="M36">
        <f t="shared" si="4"/>
        <v>0.53934299999999169</v>
      </c>
      <c r="O36">
        <v>0.14990758974557736</v>
      </c>
      <c r="P36">
        <v>0.31257059133152104</v>
      </c>
      <c r="Q36">
        <f t="shared" si="6"/>
        <v>0.18135000000000001</v>
      </c>
      <c r="S36" s="10">
        <v>0.18129999999999999</v>
      </c>
      <c r="T36" s="10">
        <v>0.18140000000000001</v>
      </c>
    </row>
    <row r="37" spans="1:20" x14ac:dyDescent="0.2">
      <c r="A37" s="8" t="s">
        <v>29</v>
      </c>
      <c r="B37">
        <v>11</v>
      </c>
      <c r="C37" t="s">
        <v>47</v>
      </c>
      <c r="D37" t="s">
        <v>14</v>
      </c>
      <c r="E37" s="6">
        <f t="shared" si="0"/>
        <v>136.85767895230435</v>
      </c>
      <c r="F37">
        <f t="shared" si="1"/>
        <v>11.773368642653246</v>
      </c>
      <c r="G37">
        <f t="shared" si="2"/>
        <v>27.582808999999997</v>
      </c>
      <c r="H37">
        <f t="shared" si="3"/>
        <v>39.356177642653243</v>
      </c>
      <c r="K37">
        <f t="shared" si="5"/>
        <v>-25.853595314550631</v>
      </c>
      <c r="L37">
        <f t="shared" si="4"/>
        <v>-0.16938185990876242</v>
      </c>
      <c r="M37">
        <f t="shared" si="4"/>
        <v>0.38524500000000472</v>
      </c>
      <c r="O37">
        <v>0.16392995089866916</v>
      </c>
      <c r="P37">
        <v>0.31639369821792462</v>
      </c>
      <c r="Q37">
        <f t="shared" si="6"/>
        <v>0.18435000000000001</v>
      </c>
      <c r="S37" s="10">
        <v>0.18690000000000001</v>
      </c>
      <c r="T37" s="10">
        <v>0.18179999999999999</v>
      </c>
    </row>
    <row r="38" spans="1:20" x14ac:dyDescent="0.2">
      <c r="A38" s="8" t="s">
        <v>30</v>
      </c>
      <c r="B38">
        <v>11</v>
      </c>
      <c r="C38" t="s">
        <v>34</v>
      </c>
      <c r="D38" t="s">
        <v>15</v>
      </c>
      <c r="E38" s="6">
        <f t="shared" si="0"/>
        <v>119.03982102299051</v>
      </c>
      <c r="F38">
        <f t="shared" si="1"/>
        <v>12.767227381920012</v>
      </c>
      <c r="G38">
        <f t="shared" si="2"/>
        <v>37.874353999999997</v>
      </c>
      <c r="H38">
        <f t="shared" si="3"/>
        <v>50.641581381920005</v>
      </c>
      <c r="K38">
        <f t="shared" si="5"/>
        <v>6.0379888769212045</v>
      </c>
      <c r="L38">
        <f t="shared" si="4"/>
        <v>-1.187653465177382</v>
      </c>
      <c r="M38">
        <f t="shared" si="4"/>
        <v>-10.522691999999996</v>
      </c>
      <c r="O38">
        <v>0.14973505741498244</v>
      </c>
      <c r="P38">
        <v>0.3389424489953719</v>
      </c>
      <c r="Q38">
        <f t="shared" si="6"/>
        <v>0.2311</v>
      </c>
      <c r="S38" s="14">
        <v>0.2883</v>
      </c>
      <c r="T38" s="10">
        <v>0.1739</v>
      </c>
    </row>
    <row r="39" spans="1:20" x14ac:dyDescent="0.2">
      <c r="A39" s="8" t="s">
        <v>19</v>
      </c>
      <c r="B39">
        <v>11</v>
      </c>
      <c r="C39" t="s">
        <v>34</v>
      </c>
      <c r="D39" t="s">
        <v>15</v>
      </c>
      <c r="E39" s="6">
        <f t="shared" si="0"/>
        <v>115.3176819012607</v>
      </c>
      <c r="F39">
        <f t="shared" si="1"/>
        <v>11.877308021581113</v>
      </c>
      <c r="G39">
        <f t="shared" si="2"/>
        <v>26.008807999999995</v>
      </c>
      <c r="H39">
        <f t="shared" si="3"/>
        <v>37.88611602158111</v>
      </c>
      <c r="K39">
        <f t="shared" si="5"/>
        <v>-13.570261234001009</v>
      </c>
      <c r="L39">
        <f t="shared" si="4"/>
        <v>-0.58594700243181208</v>
      </c>
      <c r="M39">
        <f t="shared" si="4"/>
        <v>1.4529239999999994</v>
      </c>
      <c r="O39">
        <v>0.14676975324800437</v>
      </c>
      <c r="P39">
        <v>0.31875188360062423</v>
      </c>
      <c r="Q39">
        <f t="shared" si="6"/>
        <v>0.1772</v>
      </c>
      <c r="S39" s="10">
        <v>0.17949999999999999</v>
      </c>
      <c r="T39" s="10">
        <v>0.1749</v>
      </c>
    </row>
    <row r="40" spans="1:20" x14ac:dyDescent="0.2">
      <c r="A40" s="8" t="s">
        <v>20</v>
      </c>
      <c r="B40">
        <v>11</v>
      </c>
      <c r="C40" t="s">
        <v>34</v>
      </c>
      <c r="D40" t="s">
        <v>15</v>
      </c>
      <c r="E40" s="6">
        <f t="shared" si="0"/>
        <v>120.73178018811473</v>
      </c>
      <c r="F40">
        <f t="shared" si="1"/>
        <v>12.41165566991352</v>
      </c>
      <c r="G40">
        <f t="shared" si="2"/>
        <v>18.645124999999997</v>
      </c>
      <c r="H40">
        <f t="shared" si="3"/>
        <v>31.056780669913515</v>
      </c>
      <c r="K40">
        <f t="shared" si="5"/>
        <v>-9.7276965503610029</v>
      </c>
      <c r="L40">
        <f t="shared" si="4"/>
        <v>-0.80766888716903651</v>
      </c>
      <c r="M40">
        <f t="shared" si="4"/>
        <v>9.3229290000000056</v>
      </c>
      <c r="O40">
        <v>0.15108298488319807</v>
      </c>
      <c r="P40">
        <v>0.33087520804777021</v>
      </c>
      <c r="Q40">
        <f t="shared" si="6"/>
        <v>0.14374999999999999</v>
      </c>
      <c r="S40" s="14">
        <v>0.1459</v>
      </c>
      <c r="T40" s="14">
        <v>0.1416</v>
      </c>
    </row>
    <row r="41" spans="1:20" x14ac:dyDescent="0.2">
      <c r="A41" s="8" t="s">
        <v>21</v>
      </c>
      <c r="B41">
        <v>11</v>
      </c>
      <c r="C41" t="s">
        <v>35</v>
      </c>
      <c r="D41" t="s">
        <v>15</v>
      </c>
      <c r="E41" s="6">
        <f t="shared" si="0"/>
        <v>106.01084455284395</v>
      </c>
      <c r="F41">
        <f t="shared" si="1"/>
        <v>11.505595158732184</v>
      </c>
      <c r="G41">
        <f t="shared" si="2"/>
        <v>27.384683000000003</v>
      </c>
      <c r="H41">
        <f t="shared" si="3"/>
        <v>38.890278158732187</v>
      </c>
      <c r="K41">
        <f t="shared" si="5"/>
        <v>19.066965347067764</v>
      </c>
      <c r="L41">
        <f t="shared" si="4"/>
        <v>7.3978758010445844E-2</v>
      </c>
      <c r="M41">
        <f t="shared" si="4"/>
        <v>-3.3021000000001521E-2</v>
      </c>
      <c r="O41">
        <v>0.13935530616043235</v>
      </c>
      <c r="P41">
        <v>0.31031843086333116</v>
      </c>
      <c r="Q41">
        <f t="shared" si="6"/>
        <v>0.18345</v>
      </c>
      <c r="S41" s="10">
        <v>0.1817</v>
      </c>
      <c r="T41" s="10">
        <v>0.1852</v>
      </c>
    </row>
    <row r="42" spans="1:20" x14ac:dyDescent="0.2">
      <c r="A42" s="8" t="s">
        <v>22</v>
      </c>
      <c r="B42">
        <v>11</v>
      </c>
      <c r="C42" t="s">
        <v>35</v>
      </c>
      <c r="D42" t="s">
        <v>15</v>
      </c>
      <c r="E42" s="6">
        <f t="shared" si="0"/>
        <v>109.41042065324893</v>
      </c>
      <c r="F42">
        <f t="shared" si="1"/>
        <v>16.847973385480326</v>
      </c>
      <c r="G42">
        <f t="shared" si="2"/>
        <v>27.461732000000005</v>
      </c>
      <c r="H42">
        <f t="shared" si="3"/>
        <v>44.309705385480328</v>
      </c>
      <c r="K42">
        <f t="shared" si="5"/>
        <v>-7.662999985989245</v>
      </c>
      <c r="L42">
        <f t="shared" ref="L42:L49" si="7">F18-F42</f>
        <v>-5.5566123663310254</v>
      </c>
      <c r="M42">
        <f t="shared" ref="M42:M49" si="8">G18-G42</f>
        <v>0</v>
      </c>
      <c r="O42">
        <v>0.14206363512042167</v>
      </c>
      <c r="P42">
        <v>0.43152675799710333</v>
      </c>
      <c r="Q42">
        <f t="shared" si="6"/>
        <v>0.18380000000000002</v>
      </c>
      <c r="S42" s="10">
        <v>0.1847</v>
      </c>
      <c r="T42" s="10">
        <v>0.18290000000000001</v>
      </c>
    </row>
    <row r="43" spans="1:20" x14ac:dyDescent="0.2">
      <c r="A43" s="8" t="s">
        <v>23</v>
      </c>
      <c r="B43">
        <v>11</v>
      </c>
      <c r="C43" t="s">
        <v>35</v>
      </c>
      <c r="D43" t="s">
        <v>15</v>
      </c>
      <c r="E43" s="6">
        <f t="shared" si="0"/>
        <v>101.51341361703714</v>
      </c>
      <c r="F43">
        <f t="shared" si="1"/>
        <v>10.591955684171792</v>
      </c>
      <c r="G43">
        <f t="shared" si="2"/>
        <v>23.873449999999998</v>
      </c>
      <c r="H43">
        <f t="shared" si="3"/>
        <v>34.465405684171792</v>
      </c>
      <c r="K43">
        <f t="shared" si="5"/>
        <v>9.4906700207165784</v>
      </c>
      <c r="L43">
        <f t="shared" si="7"/>
        <v>1.0120310985726917</v>
      </c>
      <c r="M43">
        <f t="shared" si="8"/>
        <v>4.0946040000000039</v>
      </c>
      <c r="O43">
        <v>0.1357723528482396</v>
      </c>
      <c r="P43">
        <v>0.28958970151946167</v>
      </c>
      <c r="Q43">
        <f t="shared" si="6"/>
        <v>0.16750000000000001</v>
      </c>
      <c r="S43" s="10">
        <v>0.17130000000000001</v>
      </c>
      <c r="T43" s="10">
        <v>0.16370000000000001</v>
      </c>
    </row>
    <row r="44" spans="1:20" x14ac:dyDescent="0.2">
      <c r="A44" s="8" t="s">
        <v>24</v>
      </c>
      <c r="B44">
        <v>11</v>
      </c>
      <c r="C44" t="s">
        <v>36</v>
      </c>
      <c r="D44" t="s">
        <v>15</v>
      </c>
      <c r="E44" s="6">
        <f t="shared" si="0"/>
        <v>114.4420256055586</v>
      </c>
      <c r="F44">
        <f t="shared" si="1"/>
        <v>12.822257989200802</v>
      </c>
      <c r="G44">
        <f t="shared" si="2"/>
        <v>28.111145000000004</v>
      </c>
      <c r="H44">
        <f t="shared" si="3"/>
        <v>40.933402989200808</v>
      </c>
      <c r="K44">
        <f t="shared" si="5"/>
        <v>10.635784294353115</v>
      </c>
      <c r="L44">
        <f t="shared" si="7"/>
        <v>-1.2426840724581716</v>
      </c>
      <c r="M44">
        <f t="shared" si="8"/>
        <v>-0.75948300000000302</v>
      </c>
      <c r="O44">
        <v>0.14607214706576169</v>
      </c>
      <c r="P44">
        <v>0.34019098804793541</v>
      </c>
      <c r="Q44">
        <f t="shared" si="6"/>
        <v>0.18675</v>
      </c>
      <c r="S44" s="10">
        <v>0.18559999999999999</v>
      </c>
      <c r="T44" s="10">
        <v>0.18790000000000001</v>
      </c>
    </row>
    <row r="45" spans="1:20" x14ac:dyDescent="0.2">
      <c r="A45" s="8" t="s">
        <v>25</v>
      </c>
      <c r="B45">
        <v>11</v>
      </c>
      <c r="C45" t="s">
        <v>36</v>
      </c>
      <c r="D45" t="s">
        <v>15</v>
      </c>
      <c r="E45" s="6">
        <f t="shared" si="0"/>
        <v>116.70291047538893</v>
      </c>
      <c r="F45">
        <f t="shared" si="1"/>
        <v>12.656061875078663</v>
      </c>
      <c r="G45">
        <f t="shared" si="2"/>
        <v>32.447903000000011</v>
      </c>
      <c r="H45">
        <f t="shared" si="3"/>
        <v>45.103964875078674</v>
      </c>
      <c r="K45">
        <f t="shared" si="5"/>
        <v>-14.955489808129244</v>
      </c>
      <c r="L45">
        <f t="shared" si="7"/>
        <v>-1.3647008559293621</v>
      </c>
      <c r="M45">
        <f t="shared" si="8"/>
        <v>-4.9861710000000166</v>
      </c>
      <c r="O45">
        <v>0.14787331867872652</v>
      </c>
      <c r="P45">
        <v>0.33642031661399996</v>
      </c>
      <c r="Q45">
        <f t="shared" si="6"/>
        <v>0.20645000000000002</v>
      </c>
      <c r="S45" s="10">
        <v>0.1993</v>
      </c>
      <c r="T45" s="12">
        <v>0.21360000000000001</v>
      </c>
    </row>
    <row r="46" spans="1:20" x14ac:dyDescent="0.2">
      <c r="A46" s="8" t="s">
        <v>26</v>
      </c>
      <c r="B46">
        <v>11</v>
      </c>
      <c r="C46" t="s">
        <v>36</v>
      </c>
      <c r="D46" t="s">
        <v>15</v>
      </c>
      <c r="E46" s="6">
        <f t="shared" si="0"/>
        <v>122.6216185636369</v>
      </c>
      <c r="F46">
        <f t="shared" si="1"/>
        <v>12.412429942353207</v>
      </c>
      <c r="G46">
        <f t="shared" si="2"/>
        <v>31.721440999999999</v>
      </c>
      <c r="H46">
        <f t="shared" si="3"/>
        <v>44.133870942353205</v>
      </c>
      <c r="K46">
        <f t="shared" si="5"/>
        <v>-11.617534925883177</v>
      </c>
      <c r="L46">
        <f t="shared" si="7"/>
        <v>-0.80844315960872315</v>
      </c>
      <c r="M46">
        <f t="shared" si="8"/>
        <v>-3.7533869999999965</v>
      </c>
      <c r="O46">
        <v>0.15258855612236408</v>
      </c>
      <c r="P46">
        <v>0.33089277480608964</v>
      </c>
      <c r="Q46">
        <f t="shared" si="6"/>
        <v>0.20315</v>
      </c>
      <c r="S46" s="10">
        <v>0.2001</v>
      </c>
      <c r="T46" s="10">
        <v>0.20619999999999999</v>
      </c>
    </row>
    <row r="47" spans="1:20" x14ac:dyDescent="0.2">
      <c r="A47" s="8" t="s">
        <v>27</v>
      </c>
      <c r="B47">
        <v>11</v>
      </c>
      <c r="C47" t="s">
        <v>47</v>
      </c>
      <c r="D47" t="s">
        <v>15</v>
      </c>
      <c r="E47" s="6">
        <f t="shared" si="0"/>
        <v>106.51218055606152</v>
      </c>
      <c r="F47">
        <f t="shared" si="1"/>
        <v>11.705628640076453</v>
      </c>
      <c r="G47">
        <f t="shared" si="2"/>
        <v>25.821688999999999</v>
      </c>
      <c r="H47">
        <f t="shared" si="3"/>
        <v>37.527317640076454</v>
      </c>
      <c r="K47">
        <f t="shared" si="5"/>
        <v>18.56562934385019</v>
      </c>
      <c r="L47">
        <f t="shared" si="7"/>
        <v>-0.12605472333382295</v>
      </c>
      <c r="M47">
        <f t="shared" si="8"/>
        <v>1.5299730000000018</v>
      </c>
      <c r="O47">
        <v>0.13975470384299568</v>
      </c>
      <c r="P47">
        <v>0.31485680733452337</v>
      </c>
      <c r="Q47">
        <f t="shared" si="6"/>
        <v>0.17635000000000001</v>
      </c>
      <c r="S47" s="10">
        <v>0.17510000000000001</v>
      </c>
      <c r="T47" s="10">
        <v>0.17760000000000001</v>
      </c>
    </row>
    <row r="48" spans="1:20" x14ac:dyDescent="0.2">
      <c r="A48" s="8" t="s">
        <v>28</v>
      </c>
      <c r="B48">
        <v>11</v>
      </c>
      <c r="C48" t="s">
        <v>47</v>
      </c>
      <c r="D48" t="s">
        <v>15</v>
      </c>
      <c r="E48" s="6">
        <f t="shared" si="0"/>
        <v>115.17104341016437</v>
      </c>
      <c r="F48">
        <f t="shared" si="1"/>
        <v>12.587277635285345</v>
      </c>
      <c r="G48">
        <f t="shared" si="2"/>
        <v>32.690057000000003</v>
      </c>
      <c r="H48">
        <f t="shared" si="3"/>
        <v>45.277334635285349</v>
      </c>
      <c r="K48">
        <f t="shared" si="5"/>
        <v>-13.423622742904683</v>
      </c>
      <c r="L48">
        <f t="shared" si="7"/>
        <v>-1.2959166161360436</v>
      </c>
      <c r="M48">
        <f t="shared" si="8"/>
        <v>-5.2283250000000088</v>
      </c>
      <c r="O48">
        <v>0.14665293125009762</v>
      </c>
      <c r="P48">
        <v>0.33485973398868646</v>
      </c>
      <c r="Q48">
        <f t="shared" si="6"/>
        <v>0.20755000000000001</v>
      </c>
      <c r="S48" s="10">
        <v>0.2036</v>
      </c>
      <c r="T48" s="10">
        <v>0.21149999999999999</v>
      </c>
    </row>
    <row r="49" spans="1:20" x14ac:dyDescent="0.2">
      <c r="A49" s="8" t="s">
        <v>29</v>
      </c>
      <c r="B49">
        <v>11</v>
      </c>
      <c r="C49" t="s">
        <v>47</v>
      </c>
      <c r="D49" t="s">
        <v>15</v>
      </c>
      <c r="E49" s="6">
        <f t="shared" si="0"/>
        <v>122.30796110044332</v>
      </c>
      <c r="F49">
        <f t="shared" si="1"/>
        <v>12.925008683914287</v>
      </c>
      <c r="G49">
        <f t="shared" si="2"/>
        <v>27.538781000000007</v>
      </c>
      <c r="H49">
        <f t="shared" si="3"/>
        <v>40.463789683914293</v>
      </c>
      <c r="K49">
        <f t="shared" si="5"/>
        <v>-11.303877462689599</v>
      </c>
      <c r="L49">
        <f t="shared" si="7"/>
        <v>-1.3210219011698037</v>
      </c>
      <c r="M49">
        <f t="shared" si="8"/>
        <v>0.42927299999999491</v>
      </c>
      <c r="O49">
        <v>0.15233867567668652</v>
      </c>
      <c r="P49">
        <v>0.3425222044630703</v>
      </c>
      <c r="Q49">
        <f t="shared" si="6"/>
        <v>0.18415000000000001</v>
      </c>
      <c r="S49" s="10">
        <v>0.18260000000000001</v>
      </c>
      <c r="T49" s="10">
        <v>0.1857</v>
      </c>
    </row>
    <row r="50" spans="1:20" x14ac:dyDescent="0.2">
      <c r="A50" s="8" t="s">
        <v>39</v>
      </c>
      <c r="B50">
        <v>24</v>
      </c>
      <c r="C50" t="s">
        <v>34</v>
      </c>
      <c r="D50" t="s">
        <v>14</v>
      </c>
      <c r="E50" s="6">
        <f t="shared" si="0"/>
        <v>116.69527383030189</v>
      </c>
      <c r="F50">
        <f t="shared" si="1"/>
        <v>11.761269271292383</v>
      </c>
      <c r="G50">
        <f t="shared" si="2"/>
        <v>32.965231999999993</v>
      </c>
      <c r="H50">
        <f t="shared" si="3"/>
        <v>44.726501271292378</v>
      </c>
      <c r="K50">
        <f t="shared" ref="K50:K60" si="9">E2-E50</f>
        <v>8.3825360696098272</v>
      </c>
      <c r="L50">
        <f t="shared" ref="L50:L73" si="10">F2-F50</f>
        <v>-0.18169535454975261</v>
      </c>
      <c r="M50">
        <f t="shared" ref="M50:M73" si="11">G2-G50</f>
        <v>-5.6135699999999922</v>
      </c>
      <c r="O50">
        <v>0.14786723481814051</v>
      </c>
      <c r="P50">
        <v>0.31611918666150246</v>
      </c>
      <c r="Q50">
        <f t="shared" si="6"/>
        <v>0.20879999999999999</v>
      </c>
      <c r="S50">
        <v>0.21010000000000001</v>
      </c>
      <c r="T50">
        <v>0.20749999999999999</v>
      </c>
    </row>
    <row r="51" spans="1:20" x14ac:dyDescent="0.2">
      <c r="A51" s="8" t="s">
        <v>19</v>
      </c>
      <c r="B51">
        <v>24</v>
      </c>
      <c r="C51" t="s">
        <v>34</v>
      </c>
      <c r="D51" t="s">
        <v>14</v>
      </c>
      <c r="E51" s="6">
        <f t="shared" si="0"/>
        <v>119.14977189701222</v>
      </c>
      <c r="F51">
        <f t="shared" si="1"/>
        <v>12.123345021018917</v>
      </c>
      <c r="G51">
        <f t="shared" si="2"/>
        <v>26.438081000000004</v>
      </c>
      <c r="H51">
        <f t="shared" si="3"/>
        <v>38.561426021018917</v>
      </c>
      <c r="K51">
        <f t="shared" si="9"/>
        <v>-17.402351229752526</v>
      </c>
      <c r="L51">
        <f t="shared" si="10"/>
        <v>-0.83198400186961585</v>
      </c>
      <c r="M51">
        <f t="shared" si="11"/>
        <v>1.0236509999999903</v>
      </c>
      <c r="O51">
        <v>0.14982265161128641</v>
      </c>
      <c r="P51">
        <v>0.32433399176465461</v>
      </c>
      <c r="Q51">
        <f t="shared" si="6"/>
        <v>0.17915</v>
      </c>
      <c r="S51">
        <v>0.1777</v>
      </c>
      <c r="T51">
        <v>0.18060000000000001</v>
      </c>
    </row>
    <row r="52" spans="1:20" x14ac:dyDescent="0.2">
      <c r="A52" s="8" t="s">
        <v>20</v>
      </c>
      <c r="B52">
        <v>24</v>
      </c>
      <c r="C52" t="s">
        <v>34</v>
      </c>
      <c r="D52" t="s">
        <v>14</v>
      </c>
      <c r="E52" s="6">
        <f t="shared" si="0"/>
        <v>204.89203131847145</v>
      </c>
      <c r="F52">
        <f t="shared" si="1"/>
        <v>18.571969032159597</v>
      </c>
      <c r="G52">
        <f t="shared" si="2"/>
        <v>28.936669999999999</v>
      </c>
      <c r="H52">
        <f t="shared" si="3"/>
        <v>47.508639032159593</v>
      </c>
      <c r="K52">
        <f t="shared" si="9"/>
        <v>-93.88794768071773</v>
      </c>
      <c r="L52">
        <f t="shared" si="10"/>
        <v>-6.9679822494151136</v>
      </c>
      <c r="M52">
        <f t="shared" si="11"/>
        <v>-0.96861599999999726</v>
      </c>
      <c r="O52">
        <v>0.21813065161704892</v>
      </c>
      <c r="P52">
        <v>0.4706409164207187</v>
      </c>
      <c r="Q52">
        <f t="shared" si="6"/>
        <v>0.1905</v>
      </c>
      <c r="S52">
        <v>0.19450000000000001</v>
      </c>
      <c r="T52">
        <v>0.1865</v>
      </c>
    </row>
    <row r="53" spans="1:20" x14ac:dyDescent="0.2">
      <c r="A53" s="8" t="s">
        <v>21</v>
      </c>
      <c r="B53">
        <v>24</v>
      </c>
      <c r="C53" t="s">
        <v>35</v>
      </c>
      <c r="D53" t="s">
        <v>14</v>
      </c>
      <c r="E53" s="6">
        <f t="shared" si="0"/>
        <v>105.28943168163691</v>
      </c>
      <c r="F53">
        <f t="shared" si="1"/>
        <v>11.291882251287115</v>
      </c>
      <c r="G53">
        <f t="shared" si="2"/>
        <v>23.565253999999996</v>
      </c>
      <c r="H53">
        <f t="shared" si="3"/>
        <v>34.857136251287109</v>
      </c>
      <c r="K53">
        <f t="shared" si="9"/>
        <v>19.788378218274801</v>
      </c>
      <c r="L53">
        <f t="shared" si="10"/>
        <v>0.28769166545551528</v>
      </c>
      <c r="M53">
        <f t="shared" si="11"/>
        <v>3.7864080000000051</v>
      </c>
      <c r="O53">
        <v>0.13878058057303741</v>
      </c>
      <c r="P53">
        <v>0.30546969442070776</v>
      </c>
      <c r="Q53">
        <f t="shared" si="6"/>
        <v>0.1661</v>
      </c>
      <c r="S53">
        <v>0.1618</v>
      </c>
      <c r="T53">
        <v>0.1704</v>
      </c>
    </row>
    <row r="54" spans="1:20" x14ac:dyDescent="0.2">
      <c r="A54" s="8" t="s">
        <v>22</v>
      </c>
      <c r="B54">
        <v>24</v>
      </c>
      <c r="C54" t="s">
        <v>35</v>
      </c>
      <c r="D54" t="s">
        <v>14</v>
      </c>
      <c r="E54" s="6">
        <f t="shared" si="0"/>
        <v>120.17599337084509</v>
      </c>
      <c r="F54">
        <f t="shared" si="1"/>
        <v>11.8816756838408</v>
      </c>
      <c r="G54">
        <f t="shared" si="2"/>
        <v>29.850250999999997</v>
      </c>
      <c r="H54">
        <f t="shared" si="3"/>
        <v>41.731926683840797</v>
      </c>
      <c r="K54">
        <f t="shared" si="9"/>
        <v>-18.428572703585402</v>
      </c>
      <c r="L54">
        <f t="shared" si="10"/>
        <v>-0.5903146646914994</v>
      </c>
      <c r="M54">
        <f t="shared" si="11"/>
        <v>-2.3885190000000023</v>
      </c>
      <c r="O54">
        <v>0.15064020805210659</v>
      </c>
      <c r="P54">
        <v>0.31885097748980851</v>
      </c>
      <c r="Q54">
        <f t="shared" si="6"/>
        <v>0.19464999999999999</v>
      </c>
      <c r="S54">
        <v>0.19270000000000001</v>
      </c>
      <c r="T54">
        <v>0.1966</v>
      </c>
    </row>
    <row r="55" spans="1:20" x14ac:dyDescent="0.2">
      <c r="A55" s="8" t="s">
        <v>23</v>
      </c>
      <c r="B55">
        <v>24</v>
      </c>
      <c r="C55" t="s">
        <v>35</v>
      </c>
      <c r="D55" t="s">
        <v>14</v>
      </c>
      <c r="E55" s="6">
        <f t="shared" si="0"/>
        <v>199.34968992215377</v>
      </c>
      <c r="F55">
        <f t="shared" si="1"/>
        <v>18.536745068193483</v>
      </c>
      <c r="G55">
        <f t="shared" si="2"/>
        <v>32.139707000000001</v>
      </c>
      <c r="H55">
        <f t="shared" si="3"/>
        <v>50.676452068193484</v>
      </c>
      <c r="K55">
        <f t="shared" si="9"/>
        <v>-88.345606284400048</v>
      </c>
      <c r="L55">
        <f t="shared" si="10"/>
        <v>-6.9327582854489993</v>
      </c>
      <c r="M55">
        <f t="shared" si="11"/>
        <v>-4.1716529999999992</v>
      </c>
      <c r="O55">
        <v>0.21371525297131583</v>
      </c>
      <c r="P55">
        <v>0.46984175215975776</v>
      </c>
      <c r="Q55">
        <f t="shared" si="6"/>
        <v>0.20505000000000001</v>
      </c>
      <c r="S55">
        <v>0.2006</v>
      </c>
      <c r="T55">
        <v>0.20949999999999999</v>
      </c>
    </row>
    <row r="56" spans="1:20" x14ac:dyDescent="0.2">
      <c r="A56" s="8" t="s">
        <v>24</v>
      </c>
      <c r="B56">
        <v>24</v>
      </c>
      <c r="C56" t="s">
        <v>36</v>
      </c>
      <c r="D56" t="s">
        <v>14</v>
      </c>
      <c r="E56" s="6">
        <f t="shared" si="0"/>
        <v>200.48294015347693</v>
      </c>
      <c r="F56">
        <f t="shared" si="1"/>
        <v>18.486445208848632</v>
      </c>
      <c r="G56">
        <f t="shared" si="2"/>
        <v>30.609734</v>
      </c>
      <c r="H56">
        <f t="shared" si="3"/>
        <v>49.096179208848632</v>
      </c>
      <c r="K56">
        <f t="shared" si="9"/>
        <v>-75.405130253565218</v>
      </c>
      <c r="L56">
        <f t="shared" si="10"/>
        <v>-6.9068712921060023</v>
      </c>
      <c r="M56">
        <f t="shared" si="11"/>
        <v>-3.2580719999999985</v>
      </c>
      <c r="O56">
        <v>0.21461807565560331</v>
      </c>
      <c r="P56">
        <v>0.46870054471477979</v>
      </c>
      <c r="Q56">
        <f t="shared" si="6"/>
        <v>0.1981</v>
      </c>
      <c r="S56">
        <v>0.2016</v>
      </c>
      <c r="T56">
        <v>0.1946</v>
      </c>
    </row>
    <row r="57" spans="1:20" x14ac:dyDescent="0.2">
      <c r="A57" s="8" t="s">
        <v>25</v>
      </c>
      <c r="B57">
        <v>24</v>
      </c>
      <c r="C57" t="s">
        <v>36</v>
      </c>
      <c r="D57" t="s">
        <v>14</v>
      </c>
      <c r="E57" s="6">
        <f t="shared" si="0"/>
        <v>196.34996286682735</v>
      </c>
      <c r="F57">
        <f t="shared" si="1"/>
        <v>18.363033353759619</v>
      </c>
      <c r="G57">
        <f t="shared" si="2"/>
        <v>28.584446000000003</v>
      </c>
      <c r="H57">
        <f t="shared" si="3"/>
        <v>46.947479353759618</v>
      </c>
      <c r="K57">
        <f t="shared" si="9"/>
        <v>-94.602542199567665</v>
      </c>
      <c r="L57">
        <f t="shared" si="10"/>
        <v>-7.0716723346103176</v>
      </c>
      <c r="M57">
        <f t="shared" si="11"/>
        <v>-1.1227140000000091</v>
      </c>
      <c r="O57">
        <v>0.21132547041723912</v>
      </c>
      <c r="P57">
        <v>0.46590056615299974</v>
      </c>
      <c r="Q57">
        <f t="shared" si="6"/>
        <v>0.18890000000000001</v>
      </c>
      <c r="S57">
        <v>0.189</v>
      </c>
      <c r="T57">
        <v>0.1888</v>
      </c>
    </row>
    <row r="58" spans="1:20" x14ac:dyDescent="0.2">
      <c r="A58" s="8" t="s">
        <v>26</v>
      </c>
      <c r="B58">
        <v>24</v>
      </c>
      <c r="C58" t="s">
        <v>36</v>
      </c>
      <c r="D58" t="s">
        <v>14</v>
      </c>
      <c r="E58" s="6">
        <f t="shared" si="0"/>
        <v>194.45752409055592</v>
      </c>
      <c r="F58">
        <f t="shared" si="1"/>
        <v>18.147446662483507</v>
      </c>
      <c r="G58">
        <f t="shared" si="2"/>
        <v>31.292168</v>
      </c>
      <c r="H58">
        <f t="shared" si="3"/>
        <v>49.439614662483507</v>
      </c>
      <c r="K58">
        <f t="shared" si="9"/>
        <v>-83.453440452802198</v>
      </c>
      <c r="L58">
        <f t="shared" si="10"/>
        <v>-6.5434598797390233</v>
      </c>
      <c r="M58">
        <f t="shared" si="11"/>
        <v>-3.324113999999998</v>
      </c>
      <c r="O58">
        <v>0.20981782752547623</v>
      </c>
      <c r="P58">
        <v>0.46100931714501103</v>
      </c>
      <c r="Q58">
        <f t="shared" si="6"/>
        <v>0.20119999999999999</v>
      </c>
      <c r="S58">
        <v>0.19869999999999999</v>
      </c>
      <c r="T58">
        <v>0.20369999999999999</v>
      </c>
    </row>
    <row r="59" spans="1:20" x14ac:dyDescent="0.2">
      <c r="A59" s="8" t="s">
        <v>27</v>
      </c>
      <c r="B59">
        <v>24</v>
      </c>
      <c r="C59" t="s">
        <v>47</v>
      </c>
      <c r="D59" t="s">
        <v>14</v>
      </c>
      <c r="E59" s="6">
        <f t="shared" si="0"/>
        <v>109.456107426546</v>
      </c>
      <c r="F59">
        <f t="shared" si="1"/>
        <v>11.106392488645069</v>
      </c>
      <c r="G59">
        <f t="shared" si="2"/>
        <v>27.802949000000005</v>
      </c>
      <c r="H59">
        <f t="shared" si="3"/>
        <v>38.909341488645076</v>
      </c>
      <c r="K59">
        <f t="shared" si="9"/>
        <v>15.621702473365715</v>
      </c>
      <c r="L59">
        <f t="shared" si="10"/>
        <v>0.47318142809756125</v>
      </c>
      <c r="M59">
        <f t="shared" si="11"/>
        <v>-0.45128700000000421</v>
      </c>
      <c r="O59">
        <v>0.14210003224981499</v>
      </c>
      <c r="P59">
        <v>0.30126128706427691</v>
      </c>
      <c r="Q59">
        <f t="shared" si="6"/>
        <v>0.18535000000000001</v>
      </c>
      <c r="S59">
        <v>0.18340000000000001</v>
      </c>
      <c r="T59">
        <v>0.18729999999999999</v>
      </c>
    </row>
    <row r="60" spans="1:20" x14ac:dyDescent="0.2">
      <c r="A60" s="8" t="s">
        <v>28</v>
      </c>
      <c r="B60">
        <v>24</v>
      </c>
      <c r="C60" t="s">
        <v>47</v>
      </c>
      <c r="D60" t="s">
        <v>14</v>
      </c>
      <c r="E60" s="6">
        <f t="shared" si="0"/>
        <v>114.31840503386324</v>
      </c>
      <c r="F60">
        <f t="shared" si="1"/>
        <v>11.816445402605886</v>
      </c>
      <c r="G60">
        <f t="shared" si="2"/>
        <v>30.895916000000003</v>
      </c>
      <c r="H60">
        <f t="shared" si="3"/>
        <v>42.712361402605893</v>
      </c>
      <c r="K60">
        <f t="shared" si="9"/>
        <v>-12.570984366603554</v>
      </c>
      <c r="L60">
        <f t="shared" si="10"/>
        <v>-0.52508438345658526</v>
      </c>
      <c r="M60">
        <f t="shared" si="11"/>
        <v>-3.434184000000009</v>
      </c>
      <c r="O60">
        <v>0.14597366267697773</v>
      </c>
      <c r="P60">
        <v>0.31737102737557599</v>
      </c>
      <c r="Q60">
        <f t="shared" si="6"/>
        <v>0.19940000000000002</v>
      </c>
      <c r="S60">
        <v>0.19980000000000001</v>
      </c>
      <c r="T60">
        <v>0.19900000000000001</v>
      </c>
    </row>
    <row r="61" spans="1:20" x14ac:dyDescent="0.2">
      <c r="A61" s="8" t="s">
        <v>29</v>
      </c>
      <c r="B61">
        <v>24</v>
      </c>
      <c r="C61" t="s">
        <v>47</v>
      </c>
      <c r="D61" t="s">
        <v>14</v>
      </c>
      <c r="E61" s="6">
        <f t="shared" si="0"/>
        <v>115.58035998728118</v>
      </c>
      <c r="F61">
        <f t="shared" si="1"/>
        <v>12.016696126276379</v>
      </c>
      <c r="G61">
        <f t="shared" si="2"/>
        <v>29.112781999999999</v>
      </c>
      <c r="H61">
        <f t="shared" si="3"/>
        <v>41.129478126276382</v>
      </c>
      <c r="K61">
        <f>E13-E61</f>
        <v>-4.5762763495274612</v>
      </c>
      <c r="L61">
        <f t="shared" si="10"/>
        <v>-0.41270934353189581</v>
      </c>
      <c r="M61">
        <f t="shared" si="11"/>
        <v>-1.1447279999999971</v>
      </c>
      <c r="O61">
        <v>0.14697902012320069</v>
      </c>
      <c r="P61">
        <v>0.3219143326589613</v>
      </c>
      <c r="Q61">
        <f t="shared" si="6"/>
        <v>0.1913</v>
      </c>
      <c r="S61">
        <v>0.1865</v>
      </c>
      <c r="T61">
        <v>0.1961</v>
      </c>
    </row>
    <row r="62" spans="1:20" x14ac:dyDescent="0.2">
      <c r="A62" s="8" t="s">
        <v>40</v>
      </c>
      <c r="B62">
        <v>24</v>
      </c>
      <c r="C62" t="s">
        <v>34</v>
      </c>
      <c r="D62" t="s">
        <v>15</v>
      </c>
      <c r="E62" s="6">
        <f t="shared" si="0"/>
        <v>196.83865325262812</v>
      </c>
      <c r="F62">
        <f t="shared" si="1"/>
        <v>18.459203790454751</v>
      </c>
      <c r="G62">
        <f t="shared" si="2"/>
        <v>46.977143000000005</v>
      </c>
      <c r="H62">
        <f t="shared" si="3"/>
        <v>65.436346790454763</v>
      </c>
      <c r="K62">
        <f>E14-E62</f>
        <v>-71.760843352716407</v>
      </c>
      <c r="L62">
        <f t="shared" si="10"/>
        <v>-6.8796298737121209</v>
      </c>
      <c r="M62">
        <f t="shared" si="11"/>
        <v>-19.625481000000004</v>
      </c>
      <c r="O62">
        <v>0.21171479375792709</v>
      </c>
      <c r="P62">
        <v>0.46808248912003697</v>
      </c>
      <c r="Q62">
        <f t="shared" si="6"/>
        <v>0.27245000000000003</v>
      </c>
      <c r="S62" s="11">
        <v>0.35720000000000002</v>
      </c>
      <c r="T62">
        <v>0.18770000000000001</v>
      </c>
    </row>
    <row r="63" spans="1:20" x14ac:dyDescent="0.2">
      <c r="A63" s="8" t="s">
        <v>19</v>
      </c>
      <c r="B63">
        <v>24</v>
      </c>
      <c r="C63" t="s">
        <v>34</v>
      </c>
      <c r="D63" t="s">
        <v>15</v>
      </c>
      <c r="E63" s="6">
        <f t="shared" si="0"/>
        <v>115.15335693101302</v>
      </c>
      <c r="F63">
        <f t="shared" si="1"/>
        <v>12.027299239272708</v>
      </c>
      <c r="G63">
        <f t="shared" si="2"/>
        <v>41.638748000000007</v>
      </c>
      <c r="H63">
        <f t="shared" si="3"/>
        <v>53.666047239272714</v>
      </c>
      <c r="K63">
        <f t="shared" ref="K63:K73" si="12">E15-E63</f>
        <v>-13.405936263753333</v>
      </c>
      <c r="L63">
        <f t="shared" si="10"/>
        <v>-0.73593822012340659</v>
      </c>
      <c r="M63">
        <f t="shared" si="11"/>
        <v>-14.177016000000012</v>
      </c>
      <c r="O63">
        <v>0.14663884102170704</v>
      </c>
      <c r="P63">
        <v>0.32215489697959676</v>
      </c>
      <c r="Q63">
        <f t="shared" si="6"/>
        <v>0.24820000000000003</v>
      </c>
      <c r="S63" s="11">
        <v>0.25080000000000002</v>
      </c>
      <c r="T63" s="11">
        <v>0.24560000000000001</v>
      </c>
    </row>
    <row r="64" spans="1:20" x14ac:dyDescent="0.2">
      <c r="A64" s="8" t="s">
        <v>20</v>
      </c>
      <c r="B64">
        <v>24</v>
      </c>
      <c r="C64" t="s">
        <v>34</v>
      </c>
      <c r="D64" t="s">
        <v>15</v>
      </c>
      <c r="E64" s="6">
        <f t="shared" si="0"/>
        <v>116.28125797237836</v>
      </c>
      <c r="F64">
        <f t="shared" si="1"/>
        <v>12.259772171539517</v>
      </c>
      <c r="G64">
        <f t="shared" si="2"/>
        <v>26.460094999999999</v>
      </c>
      <c r="H64">
        <f t="shared" si="3"/>
        <v>38.719867171539519</v>
      </c>
      <c r="K64">
        <f t="shared" si="12"/>
        <v>-5.2771743346246325</v>
      </c>
      <c r="L64">
        <f t="shared" si="10"/>
        <v>-0.65578538879503334</v>
      </c>
      <c r="M64">
        <f t="shared" si="11"/>
        <v>1.5079590000000032</v>
      </c>
      <c r="O64">
        <v>0.14753740218466144</v>
      </c>
      <c r="P64">
        <v>0.32742926244531073</v>
      </c>
      <c r="Q64">
        <f t="shared" si="6"/>
        <v>0.17924999999999999</v>
      </c>
      <c r="S64">
        <v>0.17699999999999999</v>
      </c>
      <c r="T64">
        <v>0.18149999999999999</v>
      </c>
    </row>
    <row r="65" spans="1:20" x14ac:dyDescent="0.2">
      <c r="A65" s="8" t="s">
        <v>21</v>
      </c>
      <c r="B65">
        <v>24</v>
      </c>
      <c r="C65" t="s">
        <v>35</v>
      </c>
      <c r="D65" t="s">
        <v>15</v>
      </c>
      <c r="E65" s="6">
        <f t="shared" si="0"/>
        <v>106.07664858989153</v>
      </c>
      <c r="F65">
        <f t="shared" si="1"/>
        <v>11.482697223430018</v>
      </c>
      <c r="G65">
        <f t="shared" si="2"/>
        <v>27.043466000000002</v>
      </c>
      <c r="H65">
        <f t="shared" si="3"/>
        <v>38.526163223430018</v>
      </c>
      <c r="K65">
        <f t="shared" si="12"/>
        <v>19.00116131002018</v>
      </c>
      <c r="L65">
        <f t="shared" si="10"/>
        <v>9.6876693312612616E-2</v>
      </c>
      <c r="M65">
        <f t="shared" si="11"/>
        <v>0.3081959999999988</v>
      </c>
      <c r="O65">
        <v>0.13940773004328028</v>
      </c>
      <c r="P65">
        <v>0.3097989205787734</v>
      </c>
      <c r="Q65">
        <f t="shared" si="6"/>
        <v>0.18190000000000001</v>
      </c>
      <c r="S65">
        <v>0.184</v>
      </c>
      <c r="T65">
        <v>0.17979999999999999</v>
      </c>
    </row>
    <row r="66" spans="1:20" x14ac:dyDescent="0.2">
      <c r="A66" s="8" t="s">
        <v>22</v>
      </c>
      <c r="B66">
        <v>24</v>
      </c>
      <c r="C66" t="s">
        <v>35</v>
      </c>
      <c r="D66" t="s">
        <v>15</v>
      </c>
      <c r="E66" s="6">
        <f t="shared" si="0"/>
        <v>109.22083645884217</v>
      </c>
      <c r="F66">
        <f t="shared" si="1"/>
        <v>11.566939542019629</v>
      </c>
      <c r="G66">
        <f t="shared" si="2"/>
        <v>25.469465</v>
      </c>
      <c r="H66">
        <f t="shared" si="3"/>
        <v>37.036404542019625</v>
      </c>
      <c r="K66">
        <f t="shared" si="12"/>
        <v>-7.4734157915824824</v>
      </c>
      <c r="L66">
        <f t="shared" si="10"/>
        <v>-0.2755785228703278</v>
      </c>
      <c r="M66">
        <f t="shared" si="11"/>
        <v>1.9922669999999947</v>
      </c>
      <c r="O66">
        <v>0.14191259971221093</v>
      </c>
      <c r="P66">
        <v>0.3117102173976683</v>
      </c>
      <c r="Q66">
        <f t="shared" si="6"/>
        <v>0.17474999999999999</v>
      </c>
      <c r="S66">
        <v>0.18029999999999999</v>
      </c>
      <c r="T66">
        <v>0.16919999999999999</v>
      </c>
    </row>
    <row r="67" spans="1:20" x14ac:dyDescent="0.2">
      <c r="A67" s="8" t="s">
        <v>23</v>
      </c>
      <c r="B67">
        <v>24</v>
      </c>
      <c r="C67" t="s">
        <v>35</v>
      </c>
      <c r="D67" t="s">
        <v>15</v>
      </c>
      <c r="E67" s="6">
        <f t="shared" ref="E67:E97" si="13">30*(O67-0.0549)/0.0239</f>
        <v>99.138067231596054</v>
      </c>
      <c r="F67">
        <f t="shared" ref="F67:F97" si="14">(1.4692*P67-0.0724)*30</f>
        <v>8.6801549712421249</v>
      </c>
      <c r="G67">
        <f t="shared" ref="G67:G97" si="15">(11.007*Q67-0.65)*20</f>
        <v>24.335743999999995</v>
      </c>
      <c r="H67">
        <f t="shared" ref="H67:H97" si="16">F67+G67</f>
        <v>33.015898971242123</v>
      </c>
      <c r="K67">
        <f t="shared" si="12"/>
        <v>11.866016406157669</v>
      </c>
      <c r="L67">
        <f t="shared" si="10"/>
        <v>2.9238318115023585</v>
      </c>
      <c r="M67">
        <f t="shared" si="11"/>
        <v>3.6323100000000075</v>
      </c>
      <c r="O67">
        <v>0.13387999356117153</v>
      </c>
      <c r="P67">
        <v>0.24621460593615857</v>
      </c>
      <c r="Q67">
        <f t="shared" si="6"/>
        <v>0.1696</v>
      </c>
      <c r="S67">
        <v>0.16639999999999999</v>
      </c>
      <c r="T67">
        <v>0.17280000000000001</v>
      </c>
    </row>
    <row r="68" spans="1:20" x14ac:dyDescent="0.2">
      <c r="A68" s="8" t="s">
        <v>24</v>
      </c>
      <c r="B68">
        <v>24</v>
      </c>
      <c r="C68" t="s">
        <v>36</v>
      </c>
      <c r="D68" t="s">
        <v>15</v>
      </c>
      <c r="E68" s="6">
        <f t="shared" si="13"/>
        <v>118.89459895581891</v>
      </c>
      <c r="F68">
        <f t="shared" si="14"/>
        <v>12.369243231939596</v>
      </c>
      <c r="G68">
        <f t="shared" si="15"/>
        <v>30.114419000000005</v>
      </c>
      <c r="H68">
        <f t="shared" si="16"/>
        <v>42.483662231939604</v>
      </c>
      <c r="K68">
        <f t="shared" si="12"/>
        <v>6.1832109440928065</v>
      </c>
      <c r="L68">
        <f t="shared" si="10"/>
        <v>-0.78966931519696537</v>
      </c>
      <c r="M68">
        <f t="shared" si="11"/>
        <v>-2.7627570000000041</v>
      </c>
      <c r="O68">
        <v>0.1496193638348024</v>
      </c>
      <c r="P68">
        <v>0.32991295108311997</v>
      </c>
      <c r="Q68">
        <f t="shared" si="6"/>
        <v>0.19585</v>
      </c>
      <c r="S68">
        <v>0.19309999999999999</v>
      </c>
      <c r="T68">
        <v>0.1986</v>
      </c>
    </row>
    <row r="69" spans="1:20" x14ac:dyDescent="0.2">
      <c r="A69" s="8" t="s">
        <v>25</v>
      </c>
      <c r="B69">
        <v>24</v>
      </c>
      <c r="C69" t="s">
        <v>36</v>
      </c>
      <c r="D69" t="s">
        <v>15</v>
      </c>
      <c r="E69" s="6">
        <f t="shared" si="13"/>
        <v>120.83191766638713</v>
      </c>
      <c r="F69">
        <f t="shared" si="14"/>
        <v>12.598903634399608</v>
      </c>
      <c r="G69">
        <f t="shared" si="15"/>
        <v>31.380223999999998</v>
      </c>
      <c r="H69">
        <f t="shared" si="16"/>
        <v>43.979127634399603</v>
      </c>
      <c r="K69">
        <f t="shared" si="12"/>
        <v>-19.084496999127438</v>
      </c>
      <c r="L69">
        <f t="shared" si="10"/>
        <v>-1.3075426152503073</v>
      </c>
      <c r="M69">
        <f t="shared" si="11"/>
        <v>-3.9184920000000041</v>
      </c>
      <c r="O69">
        <v>0.15116276107422175</v>
      </c>
      <c r="P69">
        <v>0.33512350563571125</v>
      </c>
      <c r="Q69">
        <f t="shared" si="6"/>
        <v>0.2016</v>
      </c>
      <c r="S69">
        <v>0.2036</v>
      </c>
      <c r="T69">
        <v>0.1996</v>
      </c>
    </row>
    <row r="70" spans="1:20" x14ac:dyDescent="0.2">
      <c r="A70" s="8" t="s">
        <v>26</v>
      </c>
      <c r="B70">
        <v>24</v>
      </c>
      <c r="C70" t="s">
        <v>36</v>
      </c>
      <c r="D70" t="s">
        <v>15</v>
      </c>
      <c r="E70" s="6">
        <f t="shared" si="13"/>
        <v>117.68205533497624</v>
      </c>
      <c r="F70">
        <f t="shared" si="14"/>
        <v>12.465430649490076</v>
      </c>
      <c r="G70">
        <f t="shared" si="15"/>
        <v>29.112781999999999</v>
      </c>
      <c r="H70">
        <f t="shared" si="16"/>
        <v>41.578212649490077</v>
      </c>
      <c r="K70">
        <f t="shared" si="12"/>
        <v>-6.6779716972225174</v>
      </c>
      <c r="L70">
        <f t="shared" si="10"/>
        <v>-0.86144386674559215</v>
      </c>
      <c r="M70">
        <f t="shared" si="11"/>
        <v>-1.1447279999999971</v>
      </c>
      <c r="O70">
        <v>0.14865337075019774</v>
      </c>
      <c r="P70">
        <v>0.33209525931323342</v>
      </c>
      <c r="Q70">
        <f t="shared" si="6"/>
        <v>0.1913</v>
      </c>
      <c r="S70">
        <v>0.1925</v>
      </c>
      <c r="T70">
        <v>0.19009999999999999</v>
      </c>
    </row>
    <row r="71" spans="1:20" x14ac:dyDescent="0.2">
      <c r="A71" s="8" t="s">
        <v>27</v>
      </c>
      <c r="B71">
        <v>24</v>
      </c>
      <c r="C71" t="s">
        <v>47</v>
      </c>
      <c r="D71" t="s">
        <v>15</v>
      </c>
      <c r="E71" s="6">
        <f t="shared" si="13"/>
        <v>109.62675317899215</v>
      </c>
      <c r="F71">
        <f t="shared" si="14"/>
        <v>11.85763438210267</v>
      </c>
      <c r="G71">
        <f t="shared" si="15"/>
        <v>26.228948000000003</v>
      </c>
      <c r="H71">
        <f t="shared" si="16"/>
        <v>38.086582382102677</v>
      </c>
      <c r="K71">
        <f t="shared" si="12"/>
        <v>15.451056720919567</v>
      </c>
      <c r="L71">
        <f t="shared" si="10"/>
        <v>-0.27806046536004025</v>
      </c>
      <c r="M71">
        <f t="shared" si="11"/>
        <v>1.1227139999999984</v>
      </c>
      <c r="O71">
        <v>0.14223598003259708</v>
      </c>
      <c r="P71">
        <v>0.31830552641125942</v>
      </c>
      <c r="Q71">
        <f t="shared" si="6"/>
        <v>0.1782</v>
      </c>
      <c r="S71">
        <v>0.18390000000000001</v>
      </c>
      <c r="T71">
        <v>0.17249999999999999</v>
      </c>
    </row>
    <row r="72" spans="1:20" x14ac:dyDescent="0.2">
      <c r="A72" s="8" t="s">
        <v>28</v>
      </c>
      <c r="B72">
        <v>24</v>
      </c>
      <c r="C72" t="s">
        <v>47</v>
      </c>
      <c r="D72" t="s">
        <v>15</v>
      </c>
      <c r="E72" s="6">
        <f t="shared" si="13"/>
        <v>200.72905251851321</v>
      </c>
      <c r="F72">
        <f t="shared" si="14"/>
        <v>19.128058625295473</v>
      </c>
      <c r="G72">
        <f t="shared" si="15"/>
        <v>31.005985999999996</v>
      </c>
      <c r="H72">
        <f t="shared" si="16"/>
        <v>50.134044625295473</v>
      </c>
      <c r="K72">
        <f t="shared" si="12"/>
        <v>-98.981631851253525</v>
      </c>
      <c r="L72">
        <f t="shared" si="10"/>
        <v>-7.8366976061461724</v>
      </c>
      <c r="M72">
        <f t="shared" si="11"/>
        <v>-3.5442540000000022</v>
      </c>
      <c r="O72">
        <v>0.2148141451730822</v>
      </c>
      <c r="P72">
        <v>0.48325752394263255</v>
      </c>
      <c r="Q72">
        <f t="shared" si="6"/>
        <v>0.19989999999999999</v>
      </c>
      <c r="S72">
        <v>0.1991</v>
      </c>
      <c r="T72">
        <v>0.20069999999999999</v>
      </c>
    </row>
    <row r="73" spans="1:20" x14ac:dyDescent="0.2">
      <c r="A73" s="8" t="s">
        <v>29</v>
      </c>
      <c r="B73">
        <v>24</v>
      </c>
      <c r="C73" t="s">
        <v>47</v>
      </c>
      <c r="D73" t="s">
        <v>15</v>
      </c>
      <c r="E73" s="6">
        <f t="shared" si="13"/>
        <v>176.51817280313813</v>
      </c>
      <c r="F73">
        <f t="shared" si="14"/>
        <v>17.218279323279184</v>
      </c>
      <c r="G73">
        <f t="shared" si="15"/>
        <v>30.444628999999999</v>
      </c>
      <c r="H73">
        <f t="shared" si="16"/>
        <v>47.662908323279183</v>
      </c>
      <c r="K73">
        <f t="shared" si="12"/>
        <v>-65.514089165384405</v>
      </c>
      <c r="L73">
        <f t="shared" si="10"/>
        <v>-5.6142925405347004</v>
      </c>
      <c r="M73">
        <f t="shared" si="11"/>
        <v>-2.4765749999999969</v>
      </c>
      <c r="O73">
        <v>0.19552614433316673</v>
      </c>
      <c r="P73">
        <v>0.43992829030037178</v>
      </c>
      <c r="Q73">
        <f t="shared" si="6"/>
        <v>0.19735</v>
      </c>
      <c r="S73">
        <v>0.19750000000000001</v>
      </c>
      <c r="T73">
        <v>0.19719999999999999</v>
      </c>
    </row>
    <row r="74" spans="1:20" x14ac:dyDescent="0.2">
      <c r="A74" s="8" t="s">
        <v>37</v>
      </c>
      <c r="B74">
        <v>46</v>
      </c>
      <c r="C74" t="s">
        <v>34</v>
      </c>
      <c r="D74" t="s">
        <v>14</v>
      </c>
      <c r="E74" s="6">
        <f t="shared" si="13"/>
        <v>108.11905174129079</v>
      </c>
      <c r="F74">
        <f t="shared" si="14"/>
        <v>11.277023700963248</v>
      </c>
      <c r="G74">
        <f t="shared" si="15"/>
        <v>25.678598000000001</v>
      </c>
      <c r="H74">
        <f t="shared" si="16"/>
        <v>36.955621700963249</v>
      </c>
      <c r="K74">
        <f>E2-E74</f>
        <v>16.958758158620924</v>
      </c>
      <c r="L74">
        <f>F2-F74</f>
        <v>0.30255021577938201</v>
      </c>
      <c r="M74">
        <f>G2-G74</f>
        <v>1.6730640000000001</v>
      </c>
      <c r="O74">
        <v>0.14103484455389501</v>
      </c>
      <c r="P74">
        <v>0.3051325823796</v>
      </c>
      <c r="Q74">
        <f t="shared" si="6"/>
        <v>0.17570000000000002</v>
      </c>
      <c r="S74">
        <v>0.17730000000000001</v>
      </c>
      <c r="T74">
        <v>0.1741</v>
      </c>
    </row>
    <row r="75" spans="1:20" x14ac:dyDescent="0.2">
      <c r="A75" s="8" t="s">
        <v>19</v>
      </c>
      <c r="B75">
        <v>46</v>
      </c>
      <c r="C75" t="s">
        <v>34</v>
      </c>
      <c r="D75" t="s">
        <v>14</v>
      </c>
      <c r="E75" s="6">
        <f t="shared" si="13"/>
        <v>109.56761256962692</v>
      </c>
      <c r="F75">
        <f t="shared" si="14"/>
        <v>12.411092332480614</v>
      </c>
      <c r="G75">
        <f t="shared" si="15"/>
        <v>25.304359999999999</v>
      </c>
      <c r="H75">
        <f t="shared" si="16"/>
        <v>37.715452332480609</v>
      </c>
      <c r="K75">
        <f t="shared" ref="K75:K97" si="17">E3-E75</f>
        <v>-7.8201919023672275</v>
      </c>
      <c r="L75">
        <f t="shared" ref="L75:L97" si="18">F3-F75</f>
        <v>-1.1197313133313127</v>
      </c>
      <c r="M75">
        <f t="shared" ref="M75:M97" si="19">G3-G75</f>
        <v>2.1573719999999952</v>
      </c>
      <c r="O75">
        <v>0.14218886468046946</v>
      </c>
      <c r="P75">
        <v>0.33086242700064916</v>
      </c>
      <c r="Q75">
        <f t="shared" si="6"/>
        <v>0.17399999999999999</v>
      </c>
      <c r="S75">
        <v>0.17330000000000001</v>
      </c>
      <c r="T75">
        <v>0.17469999999999999</v>
      </c>
    </row>
    <row r="76" spans="1:20" x14ac:dyDescent="0.2">
      <c r="A76" s="8" t="s">
        <v>20</v>
      </c>
      <c r="B76">
        <v>46</v>
      </c>
      <c r="C76" t="s">
        <v>34</v>
      </c>
      <c r="D76" t="s">
        <v>14</v>
      </c>
      <c r="E76" s="6">
        <f t="shared" si="13"/>
        <v>105.69579577956948</v>
      </c>
      <c r="F76">
        <f t="shared" si="14"/>
        <v>12.238192790946325</v>
      </c>
      <c r="G76">
        <f t="shared" si="15"/>
        <v>28.386320000000005</v>
      </c>
      <c r="H76">
        <f t="shared" si="16"/>
        <v>40.624512790946326</v>
      </c>
      <c r="K76">
        <f t="shared" si="17"/>
        <v>5.3082878581842436</v>
      </c>
      <c r="L76">
        <f t="shared" si="18"/>
        <v>-0.6342060082018417</v>
      </c>
      <c r="M76">
        <f t="shared" si="19"/>
        <v>-0.41826600000000269</v>
      </c>
      <c r="O76">
        <v>0.13910431730439035</v>
      </c>
      <c r="P76">
        <v>0.32693966764103649</v>
      </c>
      <c r="Q76">
        <f t="shared" si="6"/>
        <v>0.188</v>
      </c>
      <c r="S76">
        <v>0.193</v>
      </c>
      <c r="T76">
        <v>0.183</v>
      </c>
    </row>
    <row r="77" spans="1:20" x14ac:dyDescent="0.2">
      <c r="A77" s="8" t="s">
        <v>21</v>
      </c>
      <c r="B77">
        <v>46</v>
      </c>
      <c r="C77" t="s">
        <v>35</v>
      </c>
      <c r="D77" t="s">
        <v>14</v>
      </c>
      <c r="E77" s="6">
        <f t="shared" si="13"/>
        <v>88.581301597394358</v>
      </c>
      <c r="F77">
        <f t="shared" si="14"/>
        <v>11.02172129095098</v>
      </c>
      <c r="G77">
        <f t="shared" si="15"/>
        <v>23.455184000000003</v>
      </c>
      <c r="H77">
        <f t="shared" si="16"/>
        <v>34.476905290950981</v>
      </c>
      <c r="K77" s="17">
        <f t="shared" si="17"/>
        <v>36.496508302517356</v>
      </c>
      <c r="L77">
        <f t="shared" si="18"/>
        <v>0.55785262579165007</v>
      </c>
      <c r="M77">
        <f t="shared" si="19"/>
        <v>3.8964779999999983</v>
      </c>
      <c r="O77">
        <v>0.12546977027259085</v>
      </c>
      <c r="P77">
        <v>0.29934025980014023</v>
      </c>
      <c r="Q77">
        <f t="shared" si="6"/>
        <v>0.16560000000000002</v>
      </c>
      <c r="S77">
        <v>0.16370000000000001</v>
      </c>
      <c r="T77">
        <v>0.16750000000000001</v>
      </c>
    </row>
    <row r="78" spans="1:20" x14ac:dyDescent="0.2">
      <c r="A78" s="8" t="s">
        <v>22</v>
      </c>
      <c r="B78">
        <v>46</v>
      </c>
      <c r="C78" t="s">
        <v>35</v>
      </c>
      <c r="D78" t="s">
        <v>14</v>
      </c>
      <c r="E78" s="6">
        <f t="shared" si="13"/>
        <v>96.505201593215219</v>
      </c>
      <c r="F78">
        <f t="shared" si="14"/>
        <v>11.406006881359684</v>
      </c>
      <c r="G78">
        <f t="shared" si="15"/>
        <v>26.779298000000004</v>
      </c>
      <c r="H78">
        <f t="shared" si="16"/>
        <v>38.185304881359684</v>
      </c>
      <c r="K78" s="17">
        <f t="shared" si="17"/>
        <v>5.2422190740444705</v>
      </c>
      <c r="L78">
        <f t="shared" si="18"/>
        <v>-0.11464586221038253</v>
      </c>
      <c r="M78">
        <f t="shared" si="19"/>
        <v>0.68243399999998999</v>
      </c>
      <c r="O78">
        <v>0.13178247726926146</v>
      </c>
      <c r="P78">
        <v>0.30805896363916152</v>
      </c>
      <c r="Q78">
        <f t="shared" si="6"/>
        <v>0.1807</v>
      </c>
      <c r="S78">
        <v>0.17299999999999999</v>
      </c>
      <c r="T78">
        <v>0.18840000000000001</v>
      </c>
    </row>
    <row r="79" spans="1:20" x14ac:dyDescent="0.2">
      <c r="A79" s="8" t="s">
        <v>23</v>
      </c>
      <c r="B79">
        <v>46</v>
      </c>
      <c r="C79" t="s">
        <v>35</v>
      </c>
      <c r="D79" t="s">
        <v>14</v>
      </c>
      <c r="E79" s="6">
        <f t="shared" si="13"/>
        <v>96.630533233975427</v>
      </c>
      <c r="F79">
        <f t="shared" si="14"/>
        <v>12.113258923172111</v>
      </c>
      <c r="G79">
        <f t="shared" si="15"/>
        <v>27.439717999999999</v>
      </c>
      <c r="H79">
        <f t="shared" si="16"/>
        <v>39.55297692317211</v>
      </c>
      <c r="K79" s="17">
        <f t="shared" si="17"/>
        <v>14.373550403778296</v>
      </c>
      <c r="L79">
        <f t="shared" si="18"/>
        <v>-0.50927214042762792</v>
      </c>
      <c r="M79">
        <f t="shared" si="19"/>
        <v>0.52833600000000303</v>
      </c>
      <c r="O79">
        <v>0.13188232480973378</v>
      </c>
      <c r="P79">
        <v>0.32410515752727359</v>
      </c>
      <c r="Q79">
        <f t="shared" si="6"/>
        <v>0.18369999999999997</v>
      </c>
      <c r="S79">
        <v>0.18559999999999999</v>
      </c>
      <c r="T79">
        <v>0.18179999999999999</v>
      </c>
    </row>
    <row r="80" spans="1:20" x14ac:dyDescent="0.2">
      <c r="A80" s="8" t="s">
        <v>24</v>
      </c>
      <c r="B80">
        <v>46</v>
      </c>
      <c r="C80" t="s">
        <v>36</v>
      </c>
      <c r="D80" t="s">
        <v>14</v>
      </c>
      <c r="E80" s="6">
        <f t="shared" si="13"/>
        <v>98.865611475247505</v>
      </c>
      <c r="F80">
        <f t="shared" si="14"/>
        <v>11.914170688863488</v>
      </c>
      <c r="G80">
        <f t="shared" si="15"/>
        <v>28.100138000000001</v>
      </c>
      <c r="H80">
        <f t="shared" si="16"/>
        <v>40.014308688863487</v>
      </c>
      <c r="K80">
        <f t="shared" si="17"/>
        <v>26.212198424664209</v>
      </c>
      <c r="L80">
        <f t="shared" si="18"/>
        <v>-0.33459677212085737</v>
      </c>
      <c r="M80">
        <f t="shared" si="19"/>
        <v>-0.74847600000000014</v>
      </c>
      <c r="O80">
        <v>0.13366293714194719</v>
      </c>
      <c r="P80">
        <v>0.31958822690043304</v>
      </c>
      <c r="Q80">
        <f t="shared" si="6"/>
        <v>0.1867</v>
      </c>
      <c r="S80">
        <v>0.18490000000000001</v>
      </c>
      <c r="T80">
        <v>0.1885</v>
      </c>
    </row>
    <row r="81" spans="1:20" x14ac:dyDescent="0.2">
      <c r="A81" s="8" t="s">
        <v>25</v>
      </c>
      <c r="B81">
        <v>46</v>
      </c>
      <c r="C81" t="s">
        <v>36</v>
      </c>
      <c r="D81" t="s">
        <v>14</v>
      </c>
      <c r="E81" s="6">
        <f t="shared" si="13"/>
        <v>102.68617768637637</v>
      </c>
      <c r="F81">
        <f t="shared" si="14"/>
        <v>12.25220325344578</v>
      </c>
      <c r="G81">
        <f t="shared" si="15"/>
        <v>26.845339999999993</v>
      </c>
      <c r="H81">
        <f t="shared" si="16"/>
        <v>39.097543253445771</v>
      </c>
      <c r="K81">
        <f t="shared" si="17"/>
        <v>-0.93875701911667875</v>
      </c>
      <c r="L81">
        <f t="shared" si="18"/>
        <v>-0.96084223429647864</v>
      </c>
      <c r="M81">
        <f t="shared" si="19"/>
        <v>0.61639200000000116</v>
      </c>
      <c r="O81">
        <v>0.13670665489014652</v>
      </c>
      <c r="P81">
        <v>0.32725753819415965</v>
      </c>
      <c r="Q81">
        <f t="shared" si="6"/>
        <v>0.18099999999999999</v>
      </c>
      <c r="S81">
        <v>0.18429999999999999</v>
      </c>
      <c r="T81">
        <v>0.1777</v>
      </c>
    </row>
    <row r="82" spans="1:20" x14ac:dyDescent="0.2">
      <c r="A82" s="8" t="s">
        <v>26</v>
      </c>
      <c r="B82">
        <v>46</v>
      </c>
      <c r="C82" t="s">
        <v>36</v>
      </c>
      <c r="D82" t="s">
        <v>14</v>
      </c>
      <c r="E82" s="6">
        <f t="shared" si="13"/>
        <v>100.38080588316019</v>
      </c>
      <c r="F82">
        <f t="shared" si="14"/>
        <v>12.027161480559702</v>
      </c>
      <c r="G82">
        <f t="shared" si="15"/>
        <v>26.438081000000004</v>
      </c>
      <c r="H82">
        <f t="shared" si="16"/>
        <v>38.465242480559709</v>
      </c>
      <c r="K82">
        <f t="shared" si="17"/>
        <v>10.623277754593531</v>
      </c>
      <c r="L82">
        <f t="shared" si="18"/>
        <v>-0.42317469781521844</v>
      </c>
      <c r="M82">
        <f t="shared" si="19"/>
        <v>1.5299729999999983</v>
      </c>
      <c r="O82">
        <v>0.13487004202025096</v>
      </c>
      <c r="P82">
        <v>0.32215177149831431</v>
      </c>
      <c r="Q82">
        <f t="shared" si="6"/>
        <v>0.17915</v>
      </c>
      <c r="S82">
        <v>0.18099999999999999</v>
      </c>
      <c r="T82">
        <v>0.17730000000000001</v>
      </c>
    </row>
    <row r="83" spans="1:20" x14ac:dyDescent="0.2">
      <c r="A83" s="8" t="s">
        <v>27</v>
      </c>
      <c r="B83">
        <v>46</v>
      </c>
      <c r="C83" t="s">
        <v>47</v>
      </c>
      <c r="D83" t="s">
        <v>14</v>
      </c>
      <c r="E83" s="6">
        <f t="shared" si="13"/>
        <v>90.059901118448138</v>
      </c>
      <c r="F83">
        <f t="shared" si="14"/>
        <v>11.044602416239149</v>
      </c>
      <c r="G83">
        <f t="shared" si="15"/>
        <v>21.132707000000003</v>
      </c>
      <c r="H83">
        <f t="shared" si="16"/>
        <v>32.177309416239154</v>
      </c>
      <c r="K83">
        <f t="shared" si="17"/>
        <v>35.017908781463575</v>
      </c>
      <c r="L83">
        <f t="shared" si="18"/>
        <v>0.53497150050348097</v>
      </c>
      <c r="M83">
        <f t="shared" si="19"/>
        <v>6.2189549999999976</v>
      </c>
      <c r="O83">
        <v>0.12664772122436369</v>
      </c>
      <c r="P83">
        <v>0.29985938869768464</v>
      </c>
      <c r="Q83">
        <f t="shared" si="6"/>
        <v>0.15505000000000002</v>
      </c>
      <c r="S83">
        <v>0.1527</v>
      </c>
      <c r="T83">
        <v>0.15740000000000001</v>
      </c>
    </row>
    <row r="84" spans="1:20" x14ac:dyDescent="0.2">
      <c r="A84" s="8" t="s">
        <v>28</v>
      </c>
      <c r="B84">
        <v>46</v>
      </c>
      <c r="C84" t="s">
        <v>47</v>
      </c>
      <c r="D84" t="s">
        <v>14</v>
      </c>
      <c r="E84" s="6">
        <f t="shared" si="13"/>
        <v>116.19171491701906</v>
      </c>
      <c r="F84">
        <f t="shared" si="14"/>
        <v>11.078956154330443</v>
      </c>
      <c r="G84">
        <f t="shared" si="15"/>
        <v>26.317003999999997</v>
      </c>
      <c r="H84">
        <f t="shared" si="16"/>
        <v>37.395960154330439</v>
      </c>
      <c r="K84">
        <f t="shared" si="17"/>
        <v>-14.444294249759366</v>
      </c>
      <c r="L84">
        <f t="shared" si="18"/>
        <v>0.21240486481885767</v>
      </c>
      <c r="M84">
        <f t="shared" si="19"/>
        <v>1.1447279999999971</v>
      </c>
      <c r="O84">
        <v>0.14746606621722519</v>
      </c>
      <c r="P84">
        <v>0.30063880920070885</v>
      </c>
      <c r="Q84">
        <f t="shared" si="6"/>
        <v>0.17859999999999998</v>
      </c>
      <c r="S84">
        <v>0.18229999999999999</v>
      </c>
      <c r="T84">
        <v>0.1749</v>
      </c>
    </row>
    <row r="85" spans="1:20" x14ac:dyDescent="0.2">
      <c r="A85" s="8" t="s">
        <v>29</v>
      </c>
      <c r="B85">
        <v>46</v>
      </c>
      <c r="C85" t="s">
        <v>47</v>
      </c>
      <c r="D85" t="s">
        <v>14</v>
      </c>
      <c r="E85" s="6">
        <f t="shared" si="13"/>
        <v>101.52767288045456</v>
      </c>
      <c r="F85">
        <f t="shared" si="14"/>
        <v>11.67751840831767</v>
      </c>
      <c r="G85">
        <f t="shared" si="15"/>
        <v>33.548603</v>
      </c>
      <c r="H85">
        <f t="shared" si="16"/>
        <v>45.226121408317667</v>
      </c>
      <c r="K85">
        <f t="shared" si="17"/>
        <v>9.4764107572991634</v>
      </c>
      <c r="L85">
        <f t="shared" si="18"/>
        <v>-7.3531625573187043E-2</v>
      </c>
      <c r="M85">
        <f t="shared" si="19"/>
        <v>-5.5805489999999978</v>
      </c>
      <c r="O85">
        <v>0.13578371272809547</v>
      </c>
      <c r="P85">
        <v>0.31421904002898787</v>
      </c>
      <c r="Q85">
        <f t="shared" si="6"/>
        <v>0.21145</v>
      </c>
      <c r="S85">
        <v>0.1883</v>
      </c>
      <c r="T85" s="15">
        <v>0.2346</v>
      </c>
    </row>
    <row r="86" spans="1:20" x14ac:dyDescent="0.2">
      <c r="A86" s="8" t="s">
        <v>38</v>
      </c>
      <c r="B86">
        <v>46</v>
      </c>
      <c r="C86" t="s">
        <v>34</v>
      </c>
      <c r="D86" t="s">
        <v>15</v>
      </c>
      <c r="E86" s="6">
        <f t="shared" si="13"/>
        <v>106.80593710014783</v>
      </c>
      <c r="F86">
        <f t="shared" si="14"/>
        <v>12.218847808034027</v>
      </c>
      <c r="G86">
        <f t="shared" si="15"/>
        <v>28.254236000000006</v>
      </c>
      <c r="H86">
        <f t="shared" si="16"/>
        <v>40.473083808034033</v>
      </c>
      <c r="K86">
        <f>E14-E86</f>
        <v>18.271872799763884</v>
      </c>
      <c r="L86">
        <f t="shared" si="18"/>
        <v>-0.63927389129139733</v>
      </c>
      <c r="M86">
        <f t="shared" si="19"/>
        <v>-0.90257400000000487</v>
      </c>
      <c r="O86">
        <v>0.13998872988978445</v>
      </c>
      <c r="P86">
        <v>0.32650076703952324</v>
      </c>
      <c r="Q86">
        <f t="shared" si="6"/>
        <v>0.18740000000000001</v>
      </c>
      <c r="S86" s="10">
        <v>0.20319999999999999</v>
      </c>
      <c r="T86" s="10">
        <v>0.1716</v>
      </c>
    </row>
    <row r="87" spans="1:20" x14ac:dyDescent="0.2">
      <c r="A87" s="8" t="s">
        <v>19</v>
      </c>
      <c r="B87">
        <v>46</v>
      </c>
      <c r="C87" t="s">
        <v>34</v>
      </c>
      <c r="D87" t="s">
        <v>15</v>
      </c>
      <c r="E87" s="6">
        <f t="shared" si="13"/>
        <v>101.64293386867564</v>
      </c>
      <c r="F87">
        <f t="shared" si="14"/>
        <v>11.553878112449251</v>
      </c>
      <c r="G87">
        <f t="shared" si="15"/>
        <v>23.950499000000001</v>
      </c>
      <c r="H87">
        <f t="shared" si="16"/>
        <v>35.504377112449248</v>
      </c>
      <c r="K87">
        <f t="shared" si="17"/>
        <v>0.1044867985840483</v>
      </c>
      <c r="L87">
        <f t="shared" si="18"/>
        <v>-0.26251709329994988</v>
      </c>
      <c r="M87">
        <f t="shared" si="19"/>
        <v>3.5112329999999936</v>
      </c>
      <c r="O87">
        <v>0.13587553731537827</v>
      </c>
      <c r="P87">
        <v>0.3114138785835659</v>
      </c>
      <c r="Q87">
        <f t="shared" si="6"/>
        <v>0.16785</v>
      </c>
      <c r="S87" s="10">
        <v>0.16600000000000001</v>
      </c>
      <c r="T87" s="10">
        <v>0.16969999999999999</v>
      </c>
    </row>
    <row r="88" spans="1:20" x14ac:dyDescent="0.2">
      <c r="A88" s="8" t="s">
        <v>20</v>
      </c>
      <c r="B88">
        <v>46</v>
      </c>
      <c r="C88" t="s">
        <v>34</v>
      </c>
      <c r="D88" t="s">
        <v>15</v>
      </c>
      <c r="E88" s="6">
        <f t="shared" si="13"/>
        <v>99.816479031895454</v>
      </c>
      <c r="F88">
        <f t="shared" si="14"/>
        <v>11.692677883778595</v>
      </c>
      <c r="G88">
        <f t="shared" si="15"/>
        <v>19.547698999999994</v>
      </c>
      <c r="H88">
        <f t="shared" si="16"/>
        <v>31.240376883778588</v>
      </c>
      <c r="K88">
        <f t="shared" si="17"/>
        <v>11.187604605858269</v>
      </c>
      <c r="L88">
        <f t="shared" si="18"/>
        <v>-8.8691101034111597E-2</v>
      </c>
      <c r="M88">
        <f t="shared" si="19"/>
        <v>8.4203550000000078</v>
      </c>
      <c r="O88">
        <v>0.13442046162874338</v>
      </c>
      <c r="P88">
        <v>0.3145629794849486</v>
      </c>
      <c r="Q88">
        <f t="shared" si="6"/>
        <v>0.14784999999999998</v>
      </c>
      <c r="S88" s="10">
        <v>0.1467</v>
      </c>
      <c r="T88" s="10">
        <v>0.14899999999999999</v>
      </c>
    </row>
    <row r="89" spans="1:20" x14ac:dyDescent="0.2">
      <c r="A89" s="9" t="s">
        <v>21</v>
      </c>
      <c r="B89">
        <v>46</v>
      </c>
      <c r="C89" t="s">
        <v>35</v>
      </c>
      <c r="D89" t="s">
        <v>15</v>
      </c>
      <c r="E89" s="6">
        <f t="shared" si="13"/>
        <v>90.19709127495743</v>
      </c>
      <c r="F89">
        <f t="shared" si="14"/>
        <v>11.551086203426848</v>
      </c>
      <c r="G89">
        <f t="shared" si="15"/>
        <v>24.610918999999996</v>
      </c>
      <c r="H89">
        <f t="shared" si="16"/>
        <v>36.162005203426844</v>
      </c>
      <c r="K89" s="17">
        <f t="shared" si="17"/>
        <v>34.880718624954284</v>
      </c>
      <c r="L89">
        <f t="shared" si="18"/>
        <v>2.8487713315781704E-2</v>
      </c>
      <c r="M89" s="18">
        <f t="shared" si="19"/>
        <v>2.7407430000000055</v>
      </c>
      <c r="O89">
        <v>0.12675701604904943</v>
      </c>
      <c r="P89">
        <v>0.31135053551653619</v>
      </c>
      <c r="Q89">
        <f t="shared" si="6"/>
        <v>0.17085</v>
      </c>
      <c r="S89" s="10">
        <v>0.1658</v>
      </c>
      <c r="T89" s="10">
        <v>0.1759</v>
      </c>
    </row>
    <row r="90" spans="1:20" x14ac:dyDescent="0.2">
      <c r="A90" s="9" t="s">
        <v>22</v>
      </c>
      <c r="B90">
        <v>46</v>
      </c>
      <c r="C90" t="s">
        <v>35</v>
      </c>
      <c r="D90" t="s">
        <v>15</v>
      </c>
      <c r="E90" s="6">
        <f t="shared" si="13"/>
        <v>91.961871283799482</v>
      </c>
      <c r="F90">
        <f t="shared" si="14"/>
        <v>11.130541370731814</v>
      </c>
      <c r="G90">
        <f t="shared" si="15"/>
        <v>24.665953999999999</v>
      </c>
      <c r="H90">
        <f t="shared" si="16"/>
        <v>35.796495370731812</v>
      </c>
      <c r="K90" s="17">
        <f t="shared" si="17"/>
        <v>9.7855493834602072</v>
      </c>
      <c r="L90">
        <f t="shared" si="18"/>
        <v>0.16081964841748686</v>
      </c>
      <c r="M90" s="18">
        <f t="shared" si="19"/>
        <v>2.795777999999995</v>
      </c>
      <c r="O90">
        <v>0.1281629574560936</v>
      </c>
      <c r="P90">
        <v>0.30180917893483561</v>
      </c>
      <c r="Q90">
        <f t="shared" si="6"/>
        <v>0.1711</v>
      </c>
      <c r="S90" s="10">
        <v>0.1779</v>
      </c>
      <c r="T90" s="10">
        <v>0.1643</v>
      </c>
    </row>
    <row r="91" spans="1:20" x14ac:dyDescent="0.2">
      <c r="A91" s="9" t="s">
        <v>23</v>
      </c>
      <c r="B91">
        <v>46</v>
      </c>
      <c r="C91" t="s">
        <v>35</v>
      </c>
      <c r="D91" t="s">
        <v>15</v>
      </c>
      <c r="E91" s="6">
        <f t="shared" si="13"/>
        <v>90.254353705844991</v>
      </c>
      <c r="F91">
        <f t="shared" si="14"/>
        <v>10.457391584827697</v>
      </c>
      <c r="G91">
        <f t="shared" si="15"/>
        <v>21.154720999999999</v>
      </c>
      <c r="H91">
        <f t="shared" si="16"/>
        <v>31.612112584827695</v>
      </c>
      <c r="K91" s="17">
        <f t="shared" si="17"/>
        <v>20.749729931908732</v>
      </c>
      <c r="L91">
        <f t="shared" si="18"/>
        <v>1.1465951979167865</v>
      </c>
      <c r="M91" s="18">
        <f t="shared" si="19"/>
        <v>6.8133330000000036</v>
      </c>
      <c r="O91">
        <v>0.12680263511898984</v>
      </c>
      <c r="P91">
        <v>0.28653669990080083</v>
      </c>
      <c r="Q91">
        <f t="shared" ref="Q91:Q97" si="20">AVERAGE(S91:T91)</f>
        <v>0.15515000000000001</v>
      </c>
      <c r="S91" s="10">
        <v>0.15490000000000001</v>
      </c>
      <c r="T91" s="10">
        <v>0.15540000000000001</v>
      </c>
    </row>
    <row r="92" spans="1:20" x14ac:dyDescent="0.2">
      <c r="A92" s="8" t="s">
        <v>24</v>
      </c>
      <c r="B92">
        <v>46</v>
      </c>
      <c r="C92" t="s">
        <v>36</v>
      </c>
      <c r="D92" t="s">
        <v>15</v>
      </c>
      <c r="E92" s="6">
        <f t="shared" si="13"/>
        <v>102.67050107775717</v>
      </c>
      <c r="F92">
        <f t="shared" si="14"/>
        <v>11.666851033731268</v>
      </c>
      <c r="G92">
        <f t="shared" si="15"/>
        <v>22.398511999999997</v>
      </c>
      <c r="H92">
        <f t="shared" si="16"/>
        <v>34.065363033731266</v>
      </c>
      <c r="K92">
        <f t="shared" si="17"/>
        <v>22.407308822154548</v>
      </c>
      <c r="L92">
        <f t="shared" si="18"/>
        <v>-8.7277116988637715E-2</v>
      </c>
      <c r="M92">
        <f t="shared" si="19"/>
        <v>4.9531500000000044</v>
      </c>
      <c r="O92">
        <v>0.13669416585861321</v>
      </c>
      <c r="P92">
        <v>0.31397701773598485</v>
      </c>
      <c r="Q92">
        <f t="shared" si="20"/>
        <v>0.1608</v>
      </c>
      <c r="S92" s="10">
        <v>0.15809999999999999</v>
      </c>
      <c r="T92" s="10">
        <v>0.16350000000000001</v>
      </c>
    </row>
    <row r="93" spans="1:20" x14ac:dyDescent="0.2">
      <c r="A93" s="8" t="s">
        <v>25</v>
      </c>
      <c r="B93">
        <v>46</v>
      </c>
      <c r="C93" t="s">
        <v>36</v>
      </c>
      <c r="D93" t="s">
        <v>15</v>
      </c>
      <c r="E93" s="6">
        <f t="shared" si="13"/>
        <v>106.48164863584455</v>
      </c>
      <c r="F93">
        <f t="shared" si="14"/>
        <v>12.023262269101567</v>
      </c>
      <c r="G93">
        <f t="shared" si="15"/>
        <v>27.461732000000005</v>
      </c>
      <c r="H93">
        <f t="shared" si="16"/>
        <v>39.48499426910157</v>
      </c>
      <c r="K93">
        <f t="shared" si="17"/>
        <v>-4.7342279685848609</v>
      </c>
      <c r="L93">
        <f t="shared" si="18"/>
        <v>-0.73190124995226569</v>
      </c>
      <c r="M93">
        <f t="shared" si="19"/>
        <v>0</v>
      </c>
      <c r="O93">
        <v>0.1397303800798895</v>
      </c>
      <c r="P93">
        <v>0.32206330586036769</v>
      </c>
      <c r="Q93">
        <f t="shared" si="20"/>
        <v>0.18380000000000002</v>
      </c>
      <c r="S93" s="10">
        <v>0.1787</v>
      </c>
      <c r="T93" s="10">
        <v>0.18890000000000001</v>
      </c>
    </row>
    <row r="94" spans="1:20" s="13" customFormat="1" x14ac:dyDescent="0.2">
      <c r="A94" s="9" t="s">
        <v>26</v>
      </c>
      <c r="B94" s="13">
        <v>46</v>
      </c>
      <c r="C94" s="13" t="s">
        <v>36</v>
      </c>
      <c r="D94" s="13" t="s">
        <v>15</v>
      </c>
      <c r="E94" s="6">
        <f t="shared" si="13"/>
        <v>103.50949055017679</v>
      </c>
      <c r="F94">
        <f t="shared" si="14"/>
        <v>11.895765279785286</v>
      </c>
      <c r="G94">
        <f t="shared" si="15"/>
        <v>25.843702999999998</v>
      </c>
      <c r="H94">
        <f t="shared" si="16"/>
        <v>37.739468279785285</v>
      </c>
      <c r="K94">
        <f t="shared" si="17"/>
        <v>7.4945930875769307</v>
      </c>
      <c r="L94">
        <f t="shared" si="18"/>
        <v>-0.29177849704080216</v>
      </c>
      <c r="M94">
        <f t="shared" si="19"/>
        <v>2.1243510000000043</v>
      </c>
      <c r="O94" s="13">
        <v>0.13736256080497419</v>
      </c>
      <c r="P94" s="13">
        <v>0.31917064342919699</v>
      </c>
      <c r="Q94">
        <f t="shared" si="20"/>
        <v>0.17645</v>
      </c>
      <c r="S94" s="16">
        <v>0.16320000000000001</v>
      </c>
      <c r="T94" s="16">
        <v>0.18970000000000001</v>
      </c>
    </row>
    <row r="95" spans="1:20" x14ac:dyDescent="0.2">
      <c r="A95" s="8" t="s">
        <v>27</v>
      </c>
      <c r="B95">
        <v>46</v>
      </c>
      <c r="C95" t="s">
        <v>47</v>
      </c>
      <c r="D95" t="s">
        <v>15</v>
      </c>
      <c r="E95" s="6">
        <f t="shared" si="13"/>
        <v>98.852953834330165</v>
      </c>
      <c r="F95">
        <f t="shared" si="14"/>
        <v>11.074832524062353</v>
      </c>
      <c r="G95">
        <f t="shared" si="15"/>
        <v>32.712070999999995</v>
      </c>
      <c r="H95">
        <f t="shared" si="16"/>
        <v>43.786903524062346</v>
      </c>
      <c r="K95">
        <f t="shared" si="17"/>
        <v>26.224856065581548</v>
      </c>
      <c r="L95">
        <f t="shared" si="18"/>
        <v>0.50474139268027685</v>
      </c>
      <c r="M95">
        <f t="shared" si="19"/>
        <v>-5.3604089999999935</v>
      </c>
      <c r="O95">
        <v>0.1336528532213497</v>
      </c>
      <c r="P95">
        <v>0.30054525192990184</v>
      </c>
      <c r="Q95">
        <f t="shared" si="20"/>
        <v>0.20765</v>
      </c>
      <c r="S95" s="14">
        <v>0.25030000000000002</v>
      </c>
      <c r="T95" s="10">
        <v>0.16500000000000001</v>
      </c>
    </row>
    <row r="96" spans="1:20" x14ac:dyDescent="0.2">
      <c r="A96" s="8" t="s">
        <v>28</v>
      </c>
      <c r="B96">
        <v>46</v>
      </c>
      <c r="C96" t="s">
        <v>47</v>
      </c>
      <c r="D96" t="s">
        <v>15</v>
      </c>
      <c r="E96" s="6">
        <f t="shared" si="13"/>
        <v>106.65535836692304</v>
      </c>
      <c r="F96">
        <f t="shared" si="14"/>
        <v>12.363679580001314</v>
      </c>
      <c r="G96">
        <f t="shared" si="15"/>
        <v>35.298715999999999</v>
      </c>
      <c r="H96">
        <f t="shared" si="16"/>
        <v>47.662395580001316</v>
      </c>
      <c r="K96">
        <f t="shared" si="17"/>
        <v>-4.9079376996633499</v>
      </c>
      <c r="L96">
        <f t="shared" si="18"/>
        <v>-1.0723185608520129</v>
      </c>
      <c r="M96">
        <f t="shared" si="19"/>
        <v>-7.8369840000000046</v>
      </c>
      <c r="O96">
        <v>0.13986876883231536</v>
      </c>
      <c r="P96">
        <v>0.32978672247938362</v>
      </c>
      <c r="Q96">
        <f t="shared" si="20"/>
        <v>0.21939999999999998</v>
      </c>
      <c r="S96" s="10">
        <v>0.22020000000000001</v>
      </c>
      <c r="T96" s="10">
        <v>0.21859999999999999</v>
      </c>
    </row>
    <row r="97" spans="1:20" x14ac:dyDescent="0.2">
      <c r="A97" s="8" t="s">
        <v>29</v>
      </c>
      <c r="B97">
        <v>46</v>
      </c>
      <c r="C97" t="s">
        <v>47</v>
      </c>
      <c r="D97" t="s">
        <v>15</v>
      </c>
      <c r="E97" s="6">
        <f t="shared" si="13"/>
        <v>99.920587444993501</v>
      </c>
      <c r="F97">
        <f t="shared" si="14"/>
        <v>12.194768755775964</v>
      </c>
      <c r="G97">
        <f t="shared" si="15"/>
        <v>23.091952999999997</v>
      </c>
      <c r="H97">
        <f t="shared" si="16"/>
        <v>35.286721755775957</v>
      </c>
      <c r="K97">
        <f t="shared" si="17"/>
        <v>11.083496192760222</v>
      </c>
      <c r="L97">
        <f t="shared" si="18"/>
        <v>-0.59078197303148094</v>
      </c>
      <c r="M97">
        <f t="shared" si="19"/>
        <v>4.8761010000000056</v>
      </c>
      <c r="O97">
        <v>0.13450340133117816</v>
      </c>
      <c r="P97">
        <v>0.32595445947399865</v>
      </c>
      <c r="Q97">
        <f t="shared" si="20"/>
        <v>0.16394999999999998</v>
      </c>
      <c r="S97" s="10">
        <v>0.16309999999999999</v>
      </c>
      <c r="T97" s="10">
        <v>0.1648</v>
      </c>
    </row>
    <row r="98" spans="1:20" x14ac:dyDescent="0.2">
      <c r="A98" s="8" t="s">
        <v>48</v>
      </c>
      <c r="B98">
        <v>70</v>
      </c>
      <c r="C98" t="s">
        <v>34</v>
      </c>
      <c r="D98" t="s">
        <v>15</v>
      </c>
    </row>
    <row r="99" spans="1:20" x14ac:dyDescent="0.2">
      <c r="A99" s="8" t="s">
        <v>19</v>
      </c>
      <c r="B99">
        <v>70</v>
      </c>
      <c r="C99" t="s">
        <v>34</v>
      </c>
      <c r="D99" t="s">
        <v>15</v>
      </c>
    </row>
    <row r="100" spans="1:20" x14ac:dyDescent="0.2">
      <c r="A100" s="8" t="s">
        <v>20</v>
      </c>
      <c r="B100">
        <v>70</v>
      </c>
      <c r="C100" t="s">
        <v>34</v>
      </c>
      <c r="D100" t="s">
        <v>15</v>
      </c>
    </row>
    <row r="101" spans="1:20" x14ac:dyDescent="0.2">
      <c r="A101" s="8" t="s">
        <v>21</v>
      </c>
      <c r="B101">
        <v>70</v>
      </c>
      <c r="C101" t="s">
        <v>35</v>
      </c>
      <c r="D101" t="s">
        <v>15</v>
      </c>
    </row>
    <row r="102" spans="1:20" x14ac:dyDescent="0.2">
      <c r="A102" s="8" t="s">
        <v>22</v>
      </c>
      <c r="B102">
        <v>70</v>
      </c>
      <c r="C102" t="s">
        <v>35</v>
      </c>
      <c r="D102" t="s">
        <v>15</v>
      </c>
    </row>
    <row r="103" spans="1:20" x14ac:dyDescent="0.2">
      <c r="A103" s="8" t="s">
        <v>23</v>
      </c>
      <c r="B103">
        <v>70</v>
      </c>
      <c r="C103" t="s">
        <v>35</v>
      </c>
      <c r="D103" t="s">
        <v>15</v>
      </c>
    </row>
    <row r="104" spans="1:20" x14ac:dyDescent="0.2">
      <c r="A104" s="8" t="s">
        <v>24</v>
      </c>
      <c r="B104">
        <v>70</v>
      </c>
      <c r="C104" t="s">
        <v>36</v>
      </c>
      <c r="D104" t="s">
        <v>15</v>
      </c>
    </row>
    <row r="105" spans="1:20" x14ac:dyDescent="0.2">
      <c r="A105" s="8" t="s">
        <v>25</v>
      </c>
      <c r="B105">
        <v>70</v>
      </c>
      <c r="C105" t="s">
        <v>36</v>
      </c>
      <c r="D105" t="s">
        <v>15</v>
      </c>
    </row>
    <row r="106" spans="1:20" x14ac:dyDescent="0.2">
      <c r="A106" s="8" t="s">
        <v>26</v>
      </c>
      <c r="B106">
        <v>70</v>
      </c>
      <c r="C106" t="s">
        <v>36</v>
      </c>
      <c r="D106" t="s">
        <v>15</v>
      </c>
    </row>
    <row r="107" spans="1:20" x14ac:dyDescent="0.2">
      <c r="A107" s="8" t="s">
        <v>27</v>
      </c>
      <c r="B107">
        <v>70</v>
      </c>
      <c r="C107" t="s">
        <v>47</v>
      </c>
      <c r="D107" t="s">
        <v>15</v>
      </c>
    </row>
    <row r="108" spans="1:20" x14ac:dyDescent="0.2">
      <c r="A108" s="8" t="s">
        <v>28</v>
      </c>
      <c r="B108">
        <v>70</v>
      </c>
      <c r="C108" t="s">
        <v>47</v>
      </c>
      <c r="D108" t="s">
        <v>15</v>
      </c>
    </row>
    <row r="109" spans="1:20" x14ac:dyDescent="0.2">
      <c r="A109" s="8" t="s">
        <v>29</v>
      </c>
      <c r="B109">
        <v>70</v>
      </c>
      <c r="C109" t="s">
        <v>47</v>
      </c>
      <c r="D109" t="s">
        <v>15</v>
      </c>
    </row>
    <row r="110" spans="1:20" x14ac:dyDescent="0.2">
      <c r="A110" s="8" t="s">
        <v>49</v>
      </c>
      <c r="B110">
        <v>70</v>
      </c>
      <c r="C110" t="s">
        <v>34</v>
      </c>
      <c r="D110" t="s">
        <v>15</v>
      </c>
    </row>
    <row r="111" spans="1:20" x14ac:dyDescent="0.2">
      <c r="A111" s="8" t="s">
        <v>19</v>
      </c>
      <c r="B111">
        <v>70</v>
      </c>
      <c r="C111" t="s">
        <v>34</v>
      </c>
      <c r="D111" t="s">
        <v>15</v>
      </c>
    </row>
    <row r="112" spans="1:20" x14ac:dyDescent="0.2">
      <c r="A112" s="8" t="s">
        <v>20</v>
      </c>
      <c r="B112">
        <v>70</v>
      </c>
      <c r="C112" t="s">
        <v>34</v>
      </c>
      <c r="D112" t="s">
        <v>15</v>
      </c>
    </row>
    <row r="113" spans="1:4" x14ac:dyDescent="0.2">
      <c r="A113" s="9" t="s">
        <v>21</v>
      </c>
      <c r="B113">
        <v>70</v>
      </c>
      <c r="C113" t="s">
        <v>35</v>
      </c>
      <c r="D113" t="s">
        <v>15</v>
      </c>
    </row>
    <row r="114" spans="1:4" x14ac:dyDescent="0.2">
      <c r="A114" s="9" t="s">
        <v>22</v>
      </c>
      <c r="B114">
        <v>70</v>
      </c>
      <c r="C114" t="s">
        <v>35</v>
      </c>
      <c r="D114" t="s">
        <v>15</v>
      </c>
    </row>
    <row r="115" spans="1:4" x14ac:dyDescent="0.2">
      <c r="A115" s="9" t="s">
        <v>23</v>
      </c>
      <c r="B115">
        <v>70</v>
      </c>
      <c r="C115" t="s">
        <v>35</v>
      </c>
      <c r="D115" t="s">
        <v>15</v>
      </c>
    </row>
    <row r="116" spans="1:4" x14ac:dyDescent="0.2">
      <c r="A116" s="8" t="s">
        <v>24</v>
      </c>
      <c r="B116">
        <v>70</v>
      </c>
      <c r="C116" t="s">
        <v>36</v>
      </c>
      <c r="D116" t="s">
        <v>15</v>
      </c>
    </row>
    <row r="117" spans="1:4" x14ac:dyDescent="0.2">
      <c r="A117" s="8" t="s">
        <v>25</v>
      </c>
      <c r="B117">
        <v>70</v>
      </c>
      <c r="C117" t="s">
        <v>36</v>
      </c>
      <c r="D117" t="s">
        <v>15</v>
      </c>
    </row>
    <row r="118" spans="1:4" x14ac:dyDescent="0.2">
      <c r="A118" s="9" t="s">
        <v>26</v>
      </c>
      <c r="B118">
        <v>70</v>
      </c>
      <c r="C118" t="s">
        <v>36</v>
      </c>
      <c r="D118" t="s">
        <v>15</v>
      </c>
    </row>
    <row r="119" spans="1:4" x14ac:dyDescent="0.2">
      <c r="A119" s="8" t="s">
        <v>27</v>
      </c>
      <c r="B119">
        <v>70</v>
      </c>
      <c r="C119" t="s">
        <v>47</v>
      </c>
      <c r="D119" t="s">
        <v>15</v>
      </c>
    </row>
    <row r="120" spans="1:4" x14ac:dyDescent="0.2">
      <c r="A120" s="8" t="s">
        <v>28</v>
      </c>
      <c r="B120">
        <v>70</v>
      </c>
      <c r="C120" t="s">
        <v>47</v>
      </c>
      <c r="D120" t="s">
        <v>15</v>
      </c>
    </row>
    <row r="121" spans="1:4" x14ac:dyDescent="0.2">
      <c r="A121" s="8" t="s">
        <v>29</v>
      </c>
      <c r="B121">
        <v>70</v>
      </c>
      <c r="C121" t="s">
        <v>47</v>
      </c>
      <c r="D121" t="s">
        <v>15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2026-01-29T06:52:27Z</dcterms:created>
  <dcterms:modified xsi:type="dcterms:W3CDTF">2026-02-01T05:21:19Z</dcterms:modified>
</cp:coreProperties>
</file>