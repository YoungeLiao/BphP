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70EEBDDE-26B6-F140-BF4E-B481EE56E429}" xr6:coauthVersionLast="47" xr6:coauthVersionMax="47" xr10:uidLastSave="{00000000-0000-0000-0000-000000000000}"/>
  <bookViews>
    <workbookView xWindow="2440" yWindow="600" windowWidth="22180" windowHeight="15840" xr2:uid="{B679385D-B3C3-A94A-871F-3DCD330101BA}"/>
  </bookViews>
  <sheets>
    <sheet name="r1" sheetId="1" r:id="rId1"/>
  </sheets>
  <definedNames>
    <definedName name="_xlnm._FilterDatabase" localSheetId="0" hidden="1">'r1'!$A$1:$AU$49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0" i="1" l="1"/>
  <c r="L69" i="1"/>
  <c r="L68" i="1"/>
  <c r="AG68" i="1"/>
  <c r="AG69" i="1"/>
  <c r="AG70" i="1"/>
  <c r="B69" i="1"/>
  <c r="B70" i="1"/>
  <c r="B68" i="1"/>
  <c r="B66" i="1"/>
  <c r="B67" i="1"/>
  <c r="B65" i="1"/>
  <c r="O70" i="1"/>
  <c r="O69" i="1"/>
  <c r="O68" i="1"/>
  <c r="O67" i="1"/>
  <c r="O66" i="1"/>
  <c r="O65" i="1"/>
  <c r="Q70" i="1"/>
  <c r="Q69" i="1"/>
  <c r="Q68" i="1"/>
  <c r="Q67" i="1"/>
  <c r="Q66" i="1"/>
  <c r="Q65" i="1"/>
  <c r="P70" i="1"/>
  <c r="P69" i="1"/>
  <c r="P68" i="1"/>
  <c r="P67" i="1"/>
  <c r="P66" i="1"/>
  <c r="P65" i="1"/>
  <c r="K70" i="1"/>
  <c r="K69" i="1"/>
  <c r="K68" i="1"/>
  <c r="K67" i="1"/>
  <c r="K66" i="1"/>
  <c r="K65" i="1"/>
  <c r="J70" i="1"/>
  <c r="J69" i="1"/>
  <c r="J68" i="1"/>
  <c r="J67" i="1"/>
  <c r="J66" i="1"/>
  <c r="J65" i="1"/>
  <c r="W50" i="1"/>
  <c r="W51" i="1"/>
  <c r="W52" i="1"/>
  <c r="W53" i="1"/>
  <c r="W54" i="1"/>
  <c r="W55" i="1"/>
  <c r="W56" i="1"/>
  <c r="W57" i="1"/>
  <c r="W58" i="1"/>
  <c r="W62" i="1"/>
  <c r="W63" i="1"/>
  <c r="W64" i="1"/>
  <c r="L50" i="1"/>
  <c r="N50" i="1" s="1"/>
  <c r="L51" i="1"/>
  <c r="N51" i="1" s="1"/>
  <c r="L52" i="1"/>
  <c r="N52" i="1" s="1"/>
  <c r="L56" i="1"/>
  <c r="L57" i="1"/>
  <c r="N57" i="1" s="1"/>
  <c r="L58" i="1"/>
  <c r="L59" i="1"/>
  <c r="N59" i="1" s="1"/>
  <c r="L60" i="1"/>
  <c r="N60" i="1" s="1"/>
  <c r="L61" i="1"/>
  <c r="N61" i="1" s="1"/>
  <c r="L62" i="1"/>
  <c r="N62" i="1" s="1"/>
  <c r="L63" i="1"/>
  <c r="N63" i="1" s="1"/>
  <c r="L64" i="1"/>
  <c r="AG50" i="1"/>
  <c r="AG51" i="1"/>
  <c r="AG52" i="1"/>
  <c r="AG56" i="1"/>
  <c r="AG57" i="1"/>
  <c r="AG58" i="1"/>
  <c r="AG59" i="1"/>
  <c r="AG60" i="1"/>
  <c r="AG61" i="1"/>
  <c r="AG62" i="1"/>
  <c r="AG63" i="1"/>
  <c r="AG64" i="1"/>
  <c r="O50" i="1"/>
  <c r="O51" i="1"/>
  <c r="O52" i="1"/>
  <c r="O56" i="1"/>
  <c r="O57" i="1"/>
  <c r="O58" i="1"/>
  <c r="O59" i="1"/>
  <c r="O60" i="1"/>
  <c r="O61" i="1"/>
  <c r="O62" i="1"/>
  <c r="O63" i="1"/>
  <c r="O64" i="1"/>
  <c r="M50" i="1"/>
  <c r="M51" i="1"/>
  <c r="M52" i="1"/>
  <c r="M56" i="1"/>
  <c r="M57" i="1"/>
  <c r="M58" i="1"/>
  <c r="M59" i="1"/>
  <c r="M60" i="1"/>
  <c r="M61" i="1"/>
  <c r="M62" i="1"/>
  <c r="M63" i="1"/>
  <c r="M64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N56" i="1"/>
  <c r="N58" i="1"/>
  <c r="N64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B53" i="1"/>
  <c r="B56" i="1" s="1"/>
  <c r="B59" i="1" s="1"/>
  <c r="B62" i="1" s="1"/>
  <c r="B54" i="1"/>
  <c r="B57" i="1" s="1"/>
  <c r="B60" i="1" s="1"/>
  <c r="B63" i="1" s="1"/>
  <c r="B51" i="1"/>
  <c r="B52" i="1"/>
  <c r="B55" i="1" s="1"/>
  <c r="B58" i="1" s="1"/>
  <c r="B61" i="1" s="1"/>
  <c r="B64" i="1" s="1"/>
  <c r="B50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22" i="1"/>
  <c r="Q21" i="1"/>
  <c r="Q20" i="1"/>
  <c r="Q5" i="1"/>
  <c r="Q6" i="1"/>
  <c r="Q7" i="1"/>
  <c r="Q8" i="1"/>
  <c r="Q9" i="1"/>
  <c r="Q10" i="1"/>
  <c r="Q11" i="1"/>
  <c r="Q12" i="1"/>
  <c r="Q13" i="1"/>
  <c r="Q14" i="1"/>
  <c r="Q15" i="1"/>
  <c r="Q16" i="1"/>
  <c r="Q3" i="1"/>
  <c r="Q4" i="1"/>
  <c r="S49" i="1" s="1"/>
  <c r="Q2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21" i="1"/>
  <c r="P22" i="1"/>
  <c r="P23" i="1"/>
  <c r="P24" i="1"/>
  <c r="P25" i="1"/>
  <c r="P26" i="1"/>
  <c r="P27" i="1"/>
  <c r="P28" i="1"/>
  <c r="P29" i="1"/>
  <c r="P30" i="1"/>
  <c r="P2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AC15" i="1" s="1"/>
  <c r="P16" i="1"/>
  <c r="P2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G23" i="1"/>
  <c r="H23" i="1"/>
  <c r="I23" i="1"/>
  <c r="G24" i="1"/>
  <c r="H24" i="1"/>
  <c r="I24" i="1"/>
  <c r="G25" i="1"/>
  <c r="H25" i="1"/>
  <c r="I25" i="1"/>
  <c r="I11" i="1"/>
  <c r="I12" i="1"/>
  <c r="I13" i="1"/>
  <c r="I14" i="1"/>
  <c r="I15" i="1"/>
  <c r="I16" i="1"/>
  <c r="G12" i="1"/>
  <c r="H12" i="1"/>
  <c r="G13" i="1"/>
  <c r="H13" i="1"/>
  <c r="G14" i="1"/>
  <c r="H14" i="1"/>
  <c r="G15" i="1"/>
  <c r="H15" i="1"/>
  <c r="G16" i="1"/>
  <c r="H16" i="1"/>
  <c r="G11" i="1"/>
  <c r="H11" i="1"/>
  <c r="M49" i="1"/>
  <c r="M47" i="1"/>
  <c r="M46" i="1"/>
  <c r="M45" i="1"/>
  <c r="M43" i="1"/>
  <c r="M42" i="1"/>
  <c r="M37" i="1"/>
  <c r="M38" i="1"/>
  <c r="M36" i="1"/>
  <c r="M34" i="1"/>
  <c r="M33" i="1"/>
  <c r="M31" i="1"/>
  <c r="M29" i="1"/>
  <c r="M25" i="1"/>
  <c r="M24" i="1"/>
  <c r="M22" i="1"/>
  <c r="M21" i="1"/>
  <c r="M12" i="1"/>
  <c r="M13" i="1"/>
  <c r="M16" i="1"/>
  <c r="M15" i="1"/>
  <c r="M10" i="1"/>
  <c r="M3" i="1"/>
  <c r="M4" i="1"/>
  <c r="M5" i="1"/>
  <c r="M6" i="1"/>
  <c r="M7" i="1"/>
  <c r="M2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9" i="1"/>
  <c r="K21" i="1"/>
  <c r="K22" i="1"/>
  <c r="K23" i="1"/>
  <c r="K24" i="1"/>
  <c r="K25" i="1"/>
  <c r="K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F32" i="1"/>
  <c r="F33" i="1"/>
  <c r="F34" i="1"/>
  <c r="F35" i="1"/>
  <c r="F36" i="1"/>
  <c r="F37" i="1"/>
  <c r="F41" i="1"/>
  <c r="F42" i="1"/>
  <c r="F43" i="1"/>
  <c r="F44" i="1"/>
  <c r="F45" i="1"/>
  <c r="F46" i="1"/>
  <c r="F23" i="1"/>
  <c r="F24" i="1"/>
  <c r="F25" i="1"/>
  <c r="F12" i="1"/>
  <c r="F13" i="1"/>
  <c r="F14" i="1"/>
  <c r="F15" i="1"/>
  <c r="F16" i="1"/>
  <c r="F11" i="1"/>
  <c r="AG32" i="1"/>
  <c r="L32" i="1" s="1"/>
  <c r="AG33" i="1"/>
  <c r="L33" i="1" s="1"/>
  <c r="AG34" i="1"/>
  <c r="L34" i="1" s="1"/>
  <c r="AG35" i="1"/>
  <c r="L35" i="1" s="1"/>
  <c r="AG36" i="1"/>
  <c r="L36" i="1" s="1"/>
  <c r="AG37" i="1"/>
  <c r="L37" i="1" s="1"/>
  <c r="AG38" i="1"/>
  <c r="L38" i="1" s="1"/>
  <c r="AG39" i="1"/>
  <c r="L39" i="1" s="1"/>
  <c r="AG40" i="1"/>
  <c r="L40" i="1" s="1"/>
  <c r="AG41" i="1"/>
  <c r="L41" i="1" s="1"/>
  <c r="AG42" i="1"/>
  <c r="L42" i="1" s="1"/>
  <c r="AG43" i="1"/>
  <c r="L43" i="1" s="1"/>
  <c r="AG44" i="1"/>
  <c r="L44" i="1" s="1"/>
  <c r="AG45" i="1"/>
  <c r="L45" i="1" s="1"/>
  <c r="AG46" i="1"/>
  <c r="L46" i="1" s="1"/>
  <c r="AG47" i="1"/>
  <c r="L47" i="1" s="1"/>
  <c r="AG48" i="1"/>
  <c r="L48" i="1" s="1"/>
  <c r="AG49" i="1"/>
  <c r="L49" i="1" s="1"/>
  <c r="AG21" i="1"/>
  <c r="L21" i="1" s="1"/>
  <c r="AG22" i="1"/>
  <c r="L22" i="1" s="1"/>
  <c r="AG23" i="1"/>
  <c r="L23" i="1" s="1"/>
  <c r="AG24" i="1"/>
  <c r="L24" i="1" s="1"/>
  <c r="AG25" i="1"/>
  <c r="L25" i="1" s="1"/>
  <c r="AG26" i="1"/>
  <c r="AG27" i="1"/>
  <c r="AG28" i="1"/>
  <c r="AG29" i="1"/>
  <c r="L29" i="1" s="1"/>
  <c r="AG30" i="1"/>
  <c r="L30" i="1" s="1"/>
  <c r="AG31" i="1"/>
  <c r="L31" i="1" s="1"/>
  <c r="AG20" i="1"/>
  <c r="L20" i="1" s="1"/>
  <c r="AG3" i="1"/>
  <c r="L3" i="1" s="1"/>
  <c r="AG4" i="1"/>
  <c r="L4" i="1" s="1"/>
  <c r="AG5" i="1"/>
  <c r="L5" i="1" s="1"/>
  <c r="AG6" i="1"/>
  <c r="L6" i="1" s="1"/>
  <c r="AG7" i="1"/>
  <c r="L7" i="1" s="1"/>
  <c r="AG8" i="1"/>
  <c r="L8" i="1" s="1"/>
  <c r="AG9" i="1"/>
  <c r="L9" i="1" s="1"/>
  <c r="AG10" i="1"/>
  <c r="L10" i="1" s="1"/>
  <c r="AG11" i="1"/>
  <c r="L11" i="1" s="1"/>
  <c r="AG12" i="1"/>
  <c r="L12" i="1" s="1"/>
  <c r="AG13" i="1"/>
  <c r="L13" i="1" s="1"/>
  <c r="AG14" i="1"/>
  <c r="L14" i="1" s="1"/>
  <c r="AG15" i="1"/>
  <c r="L15" i="1" s="1"/>
  <c r="AG16" i="1"/>
  <c r="L16" i="1" s="1"/>
  <c r="AG2" i="1"/>
  <c r="J4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20" i="1"/>
  <c r="W21" i="1"/>
  <c r="W22" i="1"/>
  <c r="W23" i="1"/>
  <c r="W24" i="1"/>
  <c r="W25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2" i="1"/>
  <c r="O41" i="1"/>
  <c r="O42" i="1"/>
  <c r="O43" i="1"/>
  <c r="O44" i="1"/>
  <c r="O45" i="1"/>
  <c r="O46" i="1"/>
  <c r="O47" i="1"/>
  <c r="O48" i="1"/>
  <c r="O49" i="1"/>
  <c r="J41" i="1"/>
  <c r="J43" i="1"/>
  <c r="J44" i="1"/>
  <c r="J45" i="1"/>
  <c r="J46" i="1"/>
  <c r="J47" i="1"/>
  <c r="J48" i="1"/>
  <c r="J49" i="1"/>
  <c r="O20" i="1"/>
  <c r="O21" i="1"/>
  <c r="O22" i="1"/>
  <c r="O23" i="1"/>
  <c r="O24" i="1"/>
  <c r="O25" i="1"/>
  <c r="O29" i="1"/>
  <c r="O30" i="1"/>
  <c r="O31" i="1"/>
  <c r="O32" i="1"/>
  <c r="O33" i="1"/>
  <c r="O34" i="1"/>
  <c r="O35" i="1"/>
  <c r="O36" i="1"/>
  <c r="O37" i="1"/>
  <c r="O38" i="1"/>
  <c r="O39" i="1"/>
  <c r="O40" i="1"/>
  <c r="O9" i="1"/>
  <c r="O2" i="1"/>
  <c r="O3" i="1"/>
  <c r="O4" i="1"/>
  <c r="O5" i="1"/>
  <c r="O6" i="1"/>
  <c r="O7" i="1"/>
  <c r="O8" i="1"/>
  <c r="O10" i="1"/>
  <c r="J20" i="1"/>
  <c r="J21" i="1"/>
  <c r="J22" i="1"/>
  <c r="J23" i="1"/>
  <c r="J24" i="1"/>
  <c r="J25" i="1"/>
  <c r="J29" i="1"/>
  <c r="J30" i="1"/>
  <c r="J31" i="1"/>
  <c r="J32" i="1"/>
  <c r="J33" i="1"/>
  <c r="J34" i="1"/>
  <c r="J35" i="1"/>
  <c r="J36" i="1"/>
  <c r="J37" i="1"/>
  <c r="J38" i="1"/>
  <c r="J39" i="1"/>
  <c r="J4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B30" i="1"/>
  <c r="B39" i="1" s="1"/>
  <c r="B42" i="1" s="1"/>
  <c r="B31" i="1"/>
  <c r="B40" i="1" s="1"/>
  <c r="B29" i="1"/>
  <c r="B38" i="1" s="1"/>
  <c r="O14" i="1"/>
  <c r="O15" i="1"/>
  <c r="O16" i="1"/>
  <c r="O11" i="1"/>
  <c r="O12" i="1"/>
  <c r="O13" i="1"/>
  <c r="S45" i="1" l="1"/>
  <c r="X44" i="1"/>
  <c r="Y44" i="1" s="1"/>
  <c r="S46" i="1"/>
  <c r="S48" i="1"/>
  <c r="R46" i="1"/>
  <c r="S47" i="1"/>
  <c r="S44" i="1"/>
  <c r="R45" i="1"/>
  <c r="R44" i="1"/>
  <c r="R49" i="1"/>
  <c r="R48" i="1"/>
  <c r="R47" i="1"/>
  <c r="T32" i="1"/>
  <c r="X32" i="1"/>
  <c r="Y32" i="1" s="1"/>
  <c r="X6" i="1"/>
  <c r="Y6" i="1" s="1"/>
  <c r="X48" i="1"/>
  <c r="Y48" i="1" s="1"/>
  <c r="X35" i="1"/>
  <c r="Y35" i="1" s="1"/>
  <c r="X39" i="1"/>
  <c r="Y39" i="1" s="1"/>
  <c r="T44" i="1"/>
  <c r="T36" i="1"/>
  <c r="X30" i="1"/>
  <c r="Y30" i="1" s="1"/>
  <c r="X9" i="1"/>
  <c r="Y9" i="1" s="1"/>
  <c r="X41" i="1"/>
  <c r="Y41" i="1" s="1"/>
  <c r="T42" i="1"/>
  <c r="T34" i="1"/>
  <c r="T41" i="1"/>
  <c r="X14" i="1"/>
  <c r="Y14" i="1" s="1"/>
  <c r="X20" i="1"/>
  <c r="Y20" i="1" s="1"/>
  <c r="X23" i="1"/>
  <c r="Y23" i="1" s="1"/>
  <c r="T45" i="1"/>
  <c r="T37" i="1"/>
  <c r="T46" i="1"/>
  <c r="T43" i="1"/>
  <c r="T35" i="1"/>
  <c r="T33" i="1"/>
  <c r="V11" i="1"/>
  <c r="V16" i="1"/>
  <c r="V15" i="1"/>
  <c r="V14" i="1"/>
  <c r="V13" i="1"/>
  <c r="V12" i="1"/>
  <c r="N35" i="1"/>
  <c r="N29" i="1"/>
  <c r="N25" i="1"/>
  <c r="N33" i="1"/>
  <c r="N5" i="1"/>
  <c r="N6" i="1"/>
  <c r="N44" i="1"/>
  <c r="N43" i="1"/>
  <c r="N37" i="1"/>
  <c r="N49" i="1"/>
  <c r="N45" i="1"/>
  <c r="N41" i="1"/>
  <c r="N34" i="1"/>
  <c r="N46" i="1"/>
  <c r="N42" i="1"/>
  <c r="N23" i="1"/>
  <c r="N32" i="1"/>
  <c r="N39" i="1"/>
  <c r="N21" i="1"/>
  <c r="N24" i="1"/>
  <c r="N31" i="1"/>
  <c r="N38" i="1"/>
  <c r="N22" i="1"/>
  <c r="N36" i="1"/>
  <c r="N20" i="1"/>
  <c r="N48" i="1"/>
  <c r="N40" i="1"/>
  <c r="N30" i="1"/>
  <c r="N47" i="1"/>
  <c r="N7" i="1"/>
  <c r="N14" i="1"/>
  <c r="N15" i="1"/>
  <c r="N16" i="1"/>
  <c r="B45" i="1"/>
  <c r="B41" i="1"/>
  <c r="B44" i="1"/>
  <c r="Z44" i="1" s="1"/>
  <c r="B46" i="1"/>
  <c r="B43" i="1"/>
  <c r="N10" i="1"/>
  <c r="N9" i="1"/>
  <c r="N8" i="1"/>
  <c r="Y8" i="1"/>
  <c r="AC16" i="1"/>
  <c r="AC14" i="1"/>
  <c r="Y10" i="1"/>
  <c r="L2" i="1"/>
  <c r="N3" i="1"/>
  <c r="N4" i="1"/>
  <c r="N12" i="1"/>
  <c r="N13" i="1"/>
  <c r="N11" i="1"/>
  <c r="U44" i="1" l="1"/>
  <c r="Y16" i="1"/>
  <c r="Y12" i="1"/>
  <c r="Y15" i="1"/>
  <c r="Y13" i="1"/>
  <c r="AA14" i="1"/>
  <c r="AA12" i="1"/>
  <c r="AA9" i="1"/>
  <c r="AB13" i="1"/>
  <c r="AB10" i="1"/>
  <c r="AB12" i="1"/>
  <c r="AB9" i="1"/>
  <c r="AB16" i="1"/>
  <c r="AA16" i="1"/>
  <c r="AB15" i="1"/>
  <c r="AA11" i="1"/>
  <c r="AA8" i="1"/>
  <c r="AB8" i="1"/>
  <c r="AB14" i="1"/>
  <c r="AA15" i="1"/>
  <c r="AA13" i="1"/>
  <c r="AA10" i="1"/>
  <c r="AB11" i="1"/>
  <c r="N2" i="1"/>
</calcChain>
</file>

<file path=xl/sharedStrings.xml><?xml version="1.0" encoding="utf-8"?>
<sst xmlns="http://schemas.openxmlformats.org/spreadsheetml/2006/main" count="323" uniqueCount="85">
  <si>
    <t>Samples</t>
  </si>
  <si>
    <t>Time</t>
  </si>
  <si>
    <t>NO3</t>
  </si>
  <si>
    <t>NO2</t>
  </si>
  <si>
    <t>NH4</t>
  </si>
  <si>
    <t>TIN</t>
  </si>
  <si>
    <t>NLR/NRR</t>
  </si>
  <si>
    <t>HCO3</t>
  </si>
  <si>
    <t>NO3_Raw</t>
  </si>
  <si>
    <t>NO2_Raw</t>
  </si>
  <si>
    <t>NH4_Raw</t>
  </si>
  <si>
    <t>NH4_1</t>
  </si>
  <si>
    <t>NH4_2</t>
  </si>
  <si>
    <t>NH4_3</t>
  </si>
  <si>
    <t>Dark</t>
  </si>
  <si>
    <t>IR</t>
  </si>
  <si>
    <t>Strain</t>
  </si>
  <si>
    <t>Light</t>
  </si>
  <si>
    <t>HCO3_raw</t>
  </si>
  <si>
    <t>Paracoccus</t>
  </si>
  <si>
    <t>Marinobacter</t>
  </si>
  <si>
    <t>Aliidiomarina</t>
  </si>
  <si>
    <t>△NH4N</t>
  </si>
  <si>
    <t>△NO2N</t>
  </si>
  <si>
    <t>OD600.raw1</t>
  </si>
  <si>
    <t>OD600.raw2</t>
  </si>
  <si>
    <t>Substrate</t>
  </si>
  <si>
    <t>Acetate_Raw</t>
  </si>
  <si>
    <t>S_Raw</t>
  </si>
  <si>
    <t>S2O3</t>
  </si>
  <si>
    <t>CH3COO</t>
  </si>
  <si>
    <t>△S2O3</t>
  </si>
  <si>
    <t>Anaerobic</t>
  </si>
  <si>
    <t>A_T0_3.10</t>
  </si>
  <si>
    <t>P_T0</t>
  </si>
  <si>
    <t>M_T0</t>
  </si>
  <si>
    <t>A_3.12</t>
  </si>
  <si>
    <t>P</t>
  </si>
  <si>
    <t>M</t>
  </si>
  <si>
    <t>A_3.14</t>
  </si>
  <si>
    <t>P_Anaerobic_T0_3.13</t>
  </si>
  <si>
    <t>A_Anaerobic_T0</t>
  </si>
  <si>
    <t>M_Anaerobic_T0</t>
  </si>
  <si>
    <t>P_Anaerobic_3.14</t>
  </si>
  <si>
    <t>A_Anaerobic</t>
  </si>
  <si>
    <t>M_Anaerobic</t>
  </si>
  <si>
    <t>P_Anaerobic_3.14_Added</t>
  </si>
  <si>
    <t>P_Anaerobic_3.15</t>
  </si>
  <si>
    <t>P_Anaerobic_3.16</t>
  </si>
  <si>
    <t>P_Anaerobic_3.16_Added</t>
  </si>
  <si>
    <t>P_Anaerobic_3.17</t>
  </si>
  <si>
    <t>P_Anaerobic_3.18</t>
  </si>
  <si>
    <t>A_3.18</t>
  </si>
  <si>
    <t>A_3.17</t>
  </si>
  <si>
    <t>SO4_Raw</t>
  </si>
  <si>
    <t>P_Anaerobic_3.18_21:00</t>
  </si>
  <si>
    <t>P_Anaerobic_3.19_14:00</t>
  </si>
  <si>
    <t>A_3.19</t>
  </si>
  <si>
    <t>OD600.raw3</t>
  </si>
  <si>
    <t>OD600</t>
  </si>
  <si>
    <t>SO4</t>
  </si>
  <si>
    <t>S_CRate_(%)</t>
  </si>
  <si>
    <t>NO2/NH4</t>
  </si>
  <si>
    <t>TOC_raw</t>
  </si>
  <si>
    <t>IC_raw</t>
  </si>
  <si>
    <t>TC_raw</t>
  </si>
  <si>
    <t>IC</t>
  </si>
  <si>
    <t>TOC</t>
  </si>
  <si>
    <t>TC</t>
  </si>
  <si>
    <t>TN</t>
  </si>
  <si>
    <t>TN_raw</t>
  </si>
  <si>
    <t>Anoxic</t>
  </si>
  <si>
    <t>CCUS</t>
  </si>
  <si>
    <t>CCUS_Efficiency</t>
  </si>
  <si>
    <t>S2O3_Intake</t>
  </si>
  <si>
    <t>SO4_produce</t>
  </si>
  <si>
    <t>e_efficiency</t>
  </si>
  <si>
    <t>CCUS_Rate</t>
  </si>
  <si>
    <t>A_3.24_16:00</t>
  </si>
  <si>
    <t>A_3.24_Added</t>
  </si>
  <si>
    <t>A_3.25</t>
  </si>
  <si>
    <t>A_3.27</t>
  </si>
  <si>
    <t>A_3.29</t>
  </si>
  <si>
    <t>A_4.2</t>
  </si>
  <si>
    <t>A_4.3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</si>
</sst>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8" fillId="0" borderId="0" xfId="0" applyFont="1" applyAlignment="1">
      <alignment vertical="center"/>
    </xf>
    <xf numFmtId="0" fontId="7" fillId="0" borderId="0" xfId="0" applyFont="1"/>
    <xf numFmtId="0" fontId="0" fillId="4" borderId="0" xfId="0" applyFill="1"/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1" fillId="0" borderId="0" xfId="0" applyFont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5" fillId="4" borderId="0" xfId="0" applyFont="1" applyFill="1"/>
    <xf numFmtId="0" fontId="3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0" fillId="6" borderId="0" xfId="0" applyFill="1"/>
    <xf numFmtId="0" fontId="0" fillId="7" borderId="0" xfId="0" applyFill="1"/>
    <xf numFmtId="0" fontId="9" fillId="5" borderId="2" xfId="0" applyFont="1" applyFill="1" applyBorder="1" applyAlignment="1">
      <alignment horizontal="left" vertical="center"/>
    </xf>
    <xf numFmtId="0" fontId="7" fillId="2" borderId="0" xfId="0" applyFont="1" applyFill="1"/>
    <xf numFmtId="0" fontId="1" fillId="3" borderId="0" xfId="0" applyFont="1" applyFill="1"/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B25-9AF0-9B44-BB0B-59E0C1010BCE}">
  <dimension ref="A1:AU70"/>
  <sheetViews>
    <sheetView tabSelected="1" topLeftCell="B1" zoomScale="75" zoomScaleNormal="90" workbookViewId="0">
      <pane ySplit="1" topLeftCell="A38" activePane="bottomLeft" state="frozen"/>
      <selection pane="bottomLeft" activeCell="L68" sqref="L68"/>
    </sheetView>
  </sheetViews>
  <sheetFormatPr baseColWidth="10" defaultRowHeight="16" x14ac:dyDescent="0.2"/>
  <cols>
    <col min="1" max="1" width="23.83203125" customWidth="1"/>
    <col min="3" max="3" width="16.33203125" customWidth="1"/>
    <col min="18" max="19" width="12.83203125" customWidth="1"/>
    <col min="20" max="22" width="14.1640625" customWidth="1"/>
    <col min="23" max="23" width="12.6640625" customWidth="1"/>
    <col min="24" max="24" width="10.6640625" customWidth="1"/>
    <col min="25" max="25" width="16.5" customWidth="1"/>
    <col min="26" max="26" width="13.6640625" customWidth="1"/>
    <col min="34" max="34" width="10.83203125" customWidth="1"/>
    <col min="35" max="37" width="12.6640625" customWidth="1"/>
  </cols>
  <sheetData>
    <row r="1" spans="1:47" ht="17" thickBot="1" x14ac:dyDescent="0.25">
      <c r="A1" s="10" t="s">
        <v>0</v>
      </c>
      <c r="B1" s="11" t="s">
        <v>1</v>
      </c>
      <c r="C1" s="4" t="s">
        <v>16</v>
      </c>
      <c r="D1" s="4" t="s">
        <v>17</v>
      </c>
      <c r="E1" s="4" t="s">
        <v>26</v>
      </c>
      <c r="F1" s="2" t="s">
        <v>66</v>
      </c>
      <c r="G1" s="2" t="s">
        <v>67</v>
      </c>
      <c r="H1" s="2" t="s">
        <v>68</v>
      </c>
      <c r="I1" s="2" t="s">
        <v>69</v>
      </c>
      <c r="J1" s="4" t="s">
        <v>7</v>
      </c>
      <c r="K1" s="10" t="s">
        <v>3</v>
      </c>
      <c r="L1" s="10" t="s">
        <v>4</v>
      </c>
      <c r="M1" s="2" t="s">
        <v>2</v>
      </c>
      <c r="N1" s="2" t="s">
        <v>5</v>
      </c>
      <c r="O1" s="2" t="s">
        <v>30</v>
      </c>
      <c r="P1" s="4" t="s">
        <v>29</v>
      </c>
      <c r="Q1" s="4" t="s">
        <v>60</v>
      </c>
      <c r="R1" s="4" t="s">
        <v>74</v>
      </c>
      <c r="S1" s="4" t="s">
        <v>75</v>
      </c>
      <c r="T1" s="23" t="s">
        <v>61</v>
      </c>
      <c r="U1" s="23" t="s">
        <v>76</v>
      </c>
      <c r="V1" s="23" t="s">
        <v>62</v>
      </c>
      <c r="W1" s="2" t="s">
        <v>59</v>
      </c>
      <c r="X1" s="2" t="s">
        <v>72</v>
      </c>
      <c r="Y1" s="2" t="s">
        <v>73</v>
      </c>
      <c r="Z1" s="2" t="s">
        <v>77</v>
      </c>
      <c r="AA1" s="2" t="s">
        <v>23</v>
      </c>
      <c r="AB1" s="2" t="s">
        <v>22</v>
      </c>
      <c r="AC1" s="2" t="s">
        <v>31</v>
      </c>
      <c r="AD1" s="2" t="s">
        <v>6</v>
      </c>
      <c r="AE1" s="2" t="s">
        <v>18</v>
      </c>
      <c r="AF1" s="2" t="s">
        <v>9</v>
      </c>
      <c r="AG1" s="2" t="s">
        <v>10</v>
      </c>
      <c r="AH1" s="2" t="s">
        <v>8</v>
      </c>
      <c r="AI1" s="2" t="s">
        <v>27</v>
      </c>
      <c r="AJ1" s="2" t="s">
        <v>28</v>
      </c>
      <c r="AK1" s="2" t="s">
        <v>54</v>
      </c>
      <c r="AL1" s="2" t="s">
        <v>11</v>
      </c>
      <c r="AM1" s="2" t="s">
        <v>12</v>
      </c>
      <c r="AN1" s="2" t="s">
        <v>13</v>
      </c>
      <c r="AO1" s="2" t="s">
        <v>24</v>
      </c>
      <c r="AP1" s="2" t="s">
        <v>25</v>
      </c>
      <c r="AQ1" s="2" t="s">
        <v>58</v>
      </c>
      <c r="AR1" s="2" t="s">
        <v>64</v>
      </c>
      <c r="AS1" s="2" t="s">
        <v>63</v>
      </c>
      <c r="AT1" s="2" t="s">
        <v>65</v>
      </c>
      <c r="AU1" s="2" t="s">
        <v>70</v>
      </c>
    </row>
    <row r="2" spans="1:47" x14ac:dyDescent="0.2">
      <c r="A2" s="13" t="s">
        <v>33</v>
      </c>
      <c r="B2">
        <v>0</v>
      </c>
      <c r="C2" t="s">
        <v>21</v>
      </c>
      <c r="D2" t="s">
        <v>14</v>
      </c>
      <c r="E2" t="s">
        <v>71</v>
      </c>
      <c r="J2" s="3">
        <f t="shared" ref="J2:J15" si="0">30*(AE2-0.0549)/0.0239</f>
        <v>267.40015899845491</v>
      </c>
      <c r="K2">
        <f>(3.9165*AF2-0.5231)*30</f>
        <v>36.967562832350843</v>
      </c>
      <c r="L2">
        <f t="shared" ref="L2:L8" si="1">(11.007*AG2-0.65)*20</f>
        <v>33.713707999999997</v>
      </c>
      <c r="M2">
        <f>(4.6372*AH2-0.0418)*30</f>
        <v>2.7578742067797197</v>
      </c>
      <c r="N2">
        <f>K2+L2</f>
        <v>70.681270832350833</v>
      </c>
      <c r="O2" s="3">
        <f t="shared" ref="O2:O10" si="2">(AI2*0.0602-0.0038)*30</f>
        <v>-9.1285394573313916E-2</v>
      </c>
      <c r="P2" s="26">
        <f>(0.3548*AJ2 + 0.0099)*30</f>
        <v>1.8967620968029828</v>
      </c>
      <c r="Q2" s="26">
        <f>(0.1094*AK2 - 0.0017)*30</f>
        <v>0.9993593011224321</v>
      </c>
      <c r="R2" s="26"/>
      <c r="S2" s="26"/>
      <c r="T2" s="5"/>
      <c r="U2" s="5"/>
      <c r="V2" s="5"/>
      <c r="W2">
        <f t="shared" ref="W2:W16" si="3">AVERAGE(AO2:AQ2)</f>
        <v>0.50413333333333332</v>
      </c>
      <c r="X2" s="1"/>
      <c r="Y2" s="1"/>
      <c r="Z2" s="1"/>
      <c r="AA2" s="1"/>
      <c r="AB2" s="1"/>
      <c r="AC2" s="1"/>
      <c r="AD2" s="2"/>
      <c r="AE2" s="15">
        <v>0.26792879333543579</v>
      </c>
      <c r="AF2" s="15">
        <v>0.44819407491681212</v>
      </c>
      <c r="AG2" s="7">
        <f>AVERAGE(AL2:AN2)</f>
        <v>0.21219999999999997</v>
      </c>
      <c r="AH2" s="14">
        <v>2.8838337838780009E-2</v>
      </c>
      <c r="AI2" s="15">
        <v>1.2577300900712123E-2</v>
      </c>
      <c r="AJ2" s="14">
        <v>0.15029707786574434</v>
      </c>
      <c r="AK2" s="15">
        <v>0.32003635012871184</v>
      </c>
      <c r="AL2" s="16">
        <v>0.1827</v>
      </c>
      <c r="AM2" s="17">
        <v>0.27639999999999998</v>
      </c>
      <c r="AN2" s="17">
        <v>0.17749999999999999</v>
      </c>
      <c r="AO2" s="12">
        <v>0.50319999999999998</v>
      </c>
      <c r="AP2" s="12">
        <v>0.48249999999999998</v>
      </c>
      <c r="AQ2">
        <v>0.52669999999999995</v>
      </c>
    </row>
    <row r="3" spans="1:47" x14ac:dyDescent="0.2">
      <c r="A3" s="13" t="s">
        <v>34</v>
      </c>
      <c r="B3">
        <v>0</v>
      </c>
      <c r="C3" t="s">
        <v>19</v>
      </c>
      <c r="D3" t="s">
        <v>14</v>
      </c>
      <c r="E3" t="s">
        <v>71</v>
      </c>
      <c r="J3" s="3">
        <f t="shared" si="0"/>
        <v>217.17393624566532</v>
      </c>
      <c r="K3">
        <f t="shared" ref="K3:K16" si="4">(3.9165*AF3-0.5231)*30</f>
        <v>27.311056438279223</v>
      </c>
      <c r="L3">
        <f t="shared" si="1"/>
        <v>31.871869999999998</v>
      </c>
      <c r="M3">
        <f t="shared" ref="M3:M7" si="5">(4.6372*AH3-0.0418)*30</f>
        <v>2.9157977716852352</v>
      </c>
      <c r="N3">
        <f t="shared" ref="N3:N64" si="6">K3+L3</f>
        <v>59.182926438279225</v>
      </c>
      <c r="O3" s="3">
        <f t="shared" si="2"/>
        <v>-0.1015011033614925</v>
      </c>
      <c r="P3" s="5">
        <f t="shared" ref="P3:P16" si="7">(0.3548*AJ3 + 0.0099)*30</f>
        <v>1.4219537160000226</v>
      </c>
      <c r="Q3" s="5">
        <f t="shared" ref="Q3:Q16" si="8">(0.1094*AK3 - 0.0017)*30</f>
        <v>0.82332480647322914</v>
      </c>
      <c r="R3" s="5"/>
      <c r="S3" s="5"/>
      <c r="T3" s="5"/>
      <c r="U3" s="5"/>
      <c r="V3" s="5"/>
      <c r="W3">
        <f t="shared" si="3"/>
        <v>0.91849999999999998</v>
      </c>
      <c r="X3" s="1"/>
      <c r="Y3" s="1"/>
      <c r="Z3" s="1"/>
      <c r="AA3" s="1"/>
      <c r="AB3" s="1"/>
      <c r="AC3" s="1"/>
      <c r="AD3" s="2"/>
      <c r="AE3" s="15">
        <v>0.22791523587571338</v>
      </c>
      <c r="AF3" s="15">
        <v>0.36600754447660938</v>
      </c>
      <c r="AG3" s="7">
        <f t="shared" ref="AG3:AG16" si="9">AVERAGE(AL3:AN3)</f>
        <v>0.20383333333333334</v>
      </c>
      <c r="AH3" s="14">
        <v>2.9973531237853557E-2</v>
      </c>
      <c r="AI3" s="15">
        <v>6.9207622583098045E-3</v>
      </c>
      <c r="AJ3" s="14">
        <v>0.10568900000000214</v>
      </c>
      <c r="AK3" s="15">
        <v>0.26640000197234281</v>
      </c>
      <c r="AL3" s="16">
        <v>0.20100000000000001</v>
      </c>
      <c r="AM3" s="17">
        <v>0.2049</v>
      </c>
      <c r="AN3" s="17">
        <v>0.2056</v>
      </c>
      <c r="AO3" s="12">
        <v>0.87529999999999997</v>
      </c>
      <c r="AP3" s="12">
        <v>0.93910000000000005</v>
      </c>
      <c r="AQ3">
        <v>0.94110000000000005</v>
      </c>
    </row>
    <row r="4" spans="1:47" x14ac:dyDescent="0.2">
      <c r="A4" s="13" t="s">
        <v>35</v>
      </c>
      <c r="B4">
        <v>0</v>
      </c>
      <c r="C4" t="s">
        <v>20</v>
      </c>
      <c r="D4" t="s">
        <v>14</v>
      </c>
      <c r="E4" t="s">
        <v>71</v>
      </c>
      <c r="J4" s="3">
        <f t="shared" si="0"/>
        <v>223.76659991517272</v>
      </c>
      <c r="K4">
        <f t="shared" si="4"/>
        <v>31.41364738343924</v>
      </c>
      <c r="L4">
        <f t="shared" si="1"/>
        <v>23.829421999999994</v>
      </c>
      <c r="M4">
        <f t="shared" si="5"/>
        <v>2.4064450180092436</v>
      </c>
      <c r="N4">
        <f t="shared" si="6"/>
        <v>55.243069383439234</v>
      </c>
      <c r="O4" s="3">
        <f t="shared" si="2"/>
        <v>-9.7350957861726414E-2</v>
      </c>
      <c r="P4" s="5">
        <f t="shared" si="7"/>
        <v>1.6974409088751448</v>
      </c>
      <c r="Q4" s="5">
        <f t="shared" si="8"/>
        <v>0.89230228821970492</v>
      </c>
      <c r="R4" s="5"/>
      <c r="S4" s="5"/>
      <c r="T4" s="5"/>
      <c r="U4" s="5"/>
      <c r="V4" s="5"/>
      <c r="W4">
        <f t="shared" si="3"/>
        <v>0.45096666666666668</v>
      </c>
      <c r="X4" s="1"/>
      <c r="Y4" s="1"/>
      <c r="Z4" s="1"/>
      <c r="AA4" s="1"/>
      <c r="AB4" s="1"/>
      <c r="AC4" s="1"/>
      <c r="AD4" s="2"/>
      <c r="AE4" s="15">
        <v>0.23316739126575428</v>
      </c>
      <c r="AF4" s="15">
        <v>0.40092469793130975</v>
      </c>
      <c r="AG4" s="7">
        <f t="shared" si="9"/>
        <v>0.1673</v>
      </c>
      <c r="AH4" s="14">
        <v>2.6312178455456192E-2</v>
      </c>
      <c r="AI4" s="15">
        <v>9.2187387255113998E-3</v>
      </c>
      <c r="AJ4" s="14">
        <v>0.13157092341931084</v>
      </c>
      <c r="AK4" s="15">
        <v>0.2874169068311106</v>
      </c>
      <c r="AL4" s="16">
        <v>0.1653</v>
      </c>
      <c r="AM4" s="17">
        <v>0.16700000000000001</v>
      </c>
      <c r="AN4" s="17">
        <v>0.1696</v>
      </c>
      <c r="AO4" s="12">
        <v>0.43709999999999999</v>
      </c>
      <c r="AP4" s="12">
        <v>0.48180000000000001</v>
      </c>
      <c r="AQ4">
        <v>0.434</v>
      </c>
    </row>
    <row r="5" spans="1:47" x14ac:dyDescent="0.2">
      <c r="A5" s="13" t="s">
        <v>36</v>
      </c>
      <c r="B5">
        <v>24</v>
      </c>
      <c r="C5" t="s">
        <v>21</v>
      </c>
      <c r="D5" t="s">
        <v>14</v>
      </c>
      <c r="E5" t="s">
        <v>71</v>
      </c>
      <c r="J5" s="3">
        <f t="shared" si="0"/>
        <v>257.09708854205337</v>
      </c>
      <c r="K5">
        <f t="shared" si="4"/>
        <v>32.006390494643455</v>
      </c>
      <c r="L5">
        <f t="shared" si="1"/>
        <v>29.017387999999997</v>
      </c>
      <c r="M5">
        <f t="shared" si="5"/>
        <v>6.605499346821091</v>
      </c>
      <c r="N5">
        <f t="shared" si="6"/>
        <v>61.023778494643452</v>
      </c>
      <c r="O5" s="3">
        <f t="shared" si="2"/>
        <v>-9.8157866631788243E-2</v>
      </c>
      <c r="P5" s="5">
        <f t="shared" si="7"/>
        <v>1.7791925151459276</v>
      </c>
      <c r="Q5" s="5">
        <f t="shared" si="8"/>
        <v>2.7610145079644961</v>
      </c>
      <c r="R5" s="5"/>
      <c r="S5" s="5"/>
      <c r="T5" s="5"/>
      <c r="U5" s="5"/>
      <c r="V5" s="5"/>
      <c r="W5">
        <f t="shared" si="3"/>
        <v>0.39413333333333339</v>
      </c>
      <c r="X5" s="1"/>
      <c r="Y5" s="1"/>
      <c r="Z5" s="1"/>
      <c r="AA5" s="1"/>
      <c r="AB5" s="1"/>
      <c r="AC5" s="1"/>
      <c r="AD5" s="2"/>
      <c r="AE5" s="15">
        <v>0.25972068053850256</v>
      </c>
      <c r="AF5" s="15">
        <v>0.40596953482823483</v>
      </c>
      <c r="AG5" s="7">
        <f t="shared" si="9"/>
        <v>0.19086666666666666</v>
      </c>
      <c r="AH5" s="14">
        <v>5.6496013016627065E-2</v>
      </c>
      <c r="AI5" s="15">
        <v>8.771945386606729E-3</v>
      </c>
      <c r="AJ5" s="14">
        <v>0.13925145764242086</v>
      </c>
      <c r="AK5" s="15">
        <v>0.85679905788071176</v>
      </c>
      <c r="AL5" s="16">
        <v>0.19289999999999999</v>
      </c>
      <c r="AM5" s="17">
        <v>0.19040000000000001</v>
      </c>
      <c r="AN5" s="17">
        <v>0.1893</v>
      </c>
      <c r="AO5" s="12">
        <v>0.35439999999999999</v>
      </c>
      <c r="AP5" s="12">
        <v>0.36080000000000001</v>
      </c>
      <c r="AQ5">
        <v>0.4672</v>
      </c>
    </row>
    <row r="6" spans="1:47" x14ac:dyDescent="0.2">
      <c r="A6" s="13" t="s">
        <v>37</v>
      </c>
      <c r="B6">
        <v>24</v>
      </c>
      <c r="C6" t="s">
        <v>19</v>
      </c>
      <c r="D6" t="s">
        <v>14</v>
      </c>
      <c r="E6" t="s">
        <v>71</v>
      </c>
      <c r="J6" s="3">
        <f t="shared" si="0"/>
        <v>271.19684931731001</v>
      </c>
      <c r="K6">
        <f t="shared" si="4"/>
        <v>25.372181992735282</v>
      </c>
      <c r="L6">
        <f t="shared" si="1"/>
        <v>42.944911999999995</v>
      </c>
      <c r="M6">
        <f t="shared" si="5"/>
        <v>3.7066786027201397</v>
      </c>
      <c r="N6">
        <f t="shared" si="6"/>
        <v>68.31709399273528</v>
      </c>
      <c r="O6" s="3">
        <f t="shared" si="2"/>
        <v>-1.3412472223829894E-2</v>
      </c>
      <c r="P6" s="5">
        <f t="shared" si="7"/>
        <v>1.2899496511440662</v>
      </c>
      <c r="Q6" s="5">
        <f t="shared" si="8"/>
        <v>0.8589659189908776</v>
      </c>
      <c r="R6" s="5"/>
      <c r="S6" s="5"/>
      <c r="T6" s="5"/>
      <c r="U6" s="5"/>
      <c r="V6" s="5"/>
      <c r="W6">
        <f t="shared" si="3"/>
        <v>0.26026666666666665</v>
      </c>
      <c r="X6">
        <f>J$3-J6</f>
        <v>-54.022913071644695</v>
      </c>
      <c r="Y6" s="5">
        <f>X6/J$3*100</f>
        <v>-24.875412770773021</v>
      </c>
      <c r="Z6" s="5"/>
      <c r="AA6" s="1"/>
      <c r="AB6" s="1"/>
      <c r="AC6" s="1"/>
      <c r="AD6" s="2"/>
      <c r="AE6" s="15">
        <v>0.27095348995612367</v>
      </c>
      <c r="AF6" s="15">
        <v>0.34950578316298808</v>
      </c>
      <c r="AG6" s="7">
        <f t="shared" si="9"/>
        <v>0.25413333333333332</v>
      </c>
      <c r="AH6" s="14">
        <v>3.5658577034418326E-2</v>
      </c>
      <c r="AI6" s="15">
        <v>5.5696305523903714E-2</v>
      </c>
      <c r="AJ6" s="14">
        <v>9.3287265233377145E-2</v>
      </c>
      <c r="AK6" s="15">
        <v>0.27725957312336308</v>
      </c>
      <c r="AL6" s="16">
        <v>0.2616</v>
      </c>
      <c r="AM6" s="17">
        <v>0.24679999999999999</v>
      </c>
      <c r="AN6" s="17">
        <v>0.254</v>
      </c>
      <c r="AO6" s="12">
        <v>0.25390000000000001</v>
      </c>
      <c r="AP6" s="12">
        <v>0.26079999999999998</v>
      </c>
      <c r="AQ6">
        <v>0.2661</v>
      </c>
    </row>
    <row r="7" spans="1:47" x14ac:dyDescent="0.2">
      <c r="A7" s="13" t="s">
        <v>38</v>
      </c>
      <c r="B7">
        <v>24</v>
      </c>
      <c r="C7" t="s">
        <v>20</v>
      </c>
      <c r="D7" t="s">
        <v>14</v>
      </c>
      <c r="E7" t="s">
        <v>71</v>
      </c>
      <c r="J7" s="3">
        <f t="shared" si="0"/>
        <v>263.55775878991642</v>
      </c>
      <c r="K7">
        <f t="shared" si="4"/>
        <v>31.504062162991097</v>
      </c>
      <c r="L7">
        <f t="shared" si="1"/>
        <v>30.895916000000003</v>
      </c>
      <c r="M7">
        <f t="shared" si="5"/>
        <v>2.7856576400967157</v>
      </c>
      <c r="N7">
        <f t="shared" si="6"/>
        <v>62.399978162991104</v>
      </c>
      <c r="O7" s="3">
        <f t="shared" si="2"/>
        <v>-0.10405994409277006</v>
      </c>
      <c r="P7" s="5">
        <f t="shared" si="7"/>
        <v>1.8475205616729413</v>
      </c>
      <c r="Q7" s="5">
        <f t="shared" si="8"/>
        <v>0.91229303152745533</v>
      </c>
      <c r="R7" s="5"/>
      <c r="S7" s="5"/>
      <c r="T7" s="5"/>
      <c r="U7" s="5"/>
      <c r="V7" s="5"/>
      <c r="W7">
        <f t="shared" si="3"/>
        <v>0.42429999999999995</v>
      </c>
      <c r="X7" s="1"/>
      <c r="Y7" s="1"/>
      <c r="Z7" s="1"/>
      <c r="AA7" s="1"/>
      <c r="AB7" s="1"/>
      <c r="AC7" s="1"/>
      <c r="AD7" s="2"/>
      <c r="AE7" s="15">
        <v>0.2648676811693001</v>
      </c>
      <c r="AF7" s="15">
        <v>0.40169421816239925</v>
      </c>
      <c r="AG7" s="7">
        <f t="shared" si="9"/>
        <v>0.19940000000000002</v>
      </c>
      <c r="AH7" s="14">
        <v>2.9038051986088706E-2</v>
      </c>
      <c r="AI7" s="15">
        <v>5.503906925376491E-3</v>
      </c>
      <c r="AJ7" s="14">
        <v>0.14567085321993059</v>
      </c>
      <c r="AK7" s="15">
        <v>0.29350793160495292</v>
      </c>
      <c r="AL7" s="16">
        <v>0.19589999999999999</v>
      </c>
      <c r="AM7" s="17">
        <v>0.19120000000000001</v>
      </c>
      <c r="AN7" s="17">
        <v>0.21110000000000001</v>
      </c>
      <c r="AO7" s="12">
        <v>0.40460000000000002</v>
      </c>
      <c r="AP7" s="12">
        <v>0.46700000000000003</v>
      </c>
      <c r="AQ7">
        <v>0.40129999999999999</v>
      </c>
    </row>
    <row r="8" spans="1:47" x14ac:dyDescent="0.2">
      <c r="A8" s="13" t="s">
        <v>39</v>
      </c>
      <c r="B8">
        <v>48</v>
      </c>
      <c r="C8" t="s">
        <v>21</v>
      </c>
      <c r="D8" t="s">
        <v>15</v>
      </c>
      <c r="E8" t="s">
        <v>71</v>
      </c>
      <c r="J8" s="3">
        <f t="shared" si="0"/>
        <v>348.76883679604441</v>
      </c>
      <c r="K8">
        <f t="shared" si="4"/>
        <v>51.313812087080002</v>
      </c>
      <c r="L8">
        <f t="shared" si="1"/>
        <v>25.986794</v>
      </c>
      <c r="M8">
        <v>0</v>
      </c>
      <c r="N8">
        <f t="shared" si="6"/>
        <v>77.300606087079998</v>
      </c>
      <c r="O8" s="3">
        <f t="shared" si="2"/>
        <v>-0.10776498914544384</v>
      </c>
      <c r="P8" s="5">
        <f t="shared" si="7"/>
        <v>2.0107136274472328</v>
      </c>
      <c r="Q8" s="5">
        <f t="shared" si="8"/>
        <v>1.1652574474268766</v>
      </c>
      <c r="R8" s="5"/>
      <c r="S8" s="5"/>
      <c r="T8" s="5"/>
      <c r="U8" s="5"/>
      <c r="V8" s="5"/>
      <c r="W8">
        <f t="shared" si="3"/>
        <v>0.38879999999999998</v>
      </c>
      <c r="X8" s="1"/>
      <c r="Y8" s="5">
        <f>-(J2-J8)/J2*100</f>
        <v>30.429554755073895</v>
      </c>
      <c r="Z8" s="5"/>
      <c r="AA8" s="5">
        <f>K2-K8</f>
        <v>-14.346249254729159</v>
      </c>
      <c r="AB8" s="5">
        <f>L2-L8</f>
        <v>7.7269139999999972</v>
      </c>
      <c r="AC8" s="5"/>
      <c r="AD8" s="2"/>
      <c r="AE8" s="15">
        <v>0.33275250664751538</v>
      </c>
      <c r="AF8" s="15">
        <v>0.57029500903936337</v>
      </c>
      <c r="AG8" s="7">
        <f t="shared" si="9"/>
        <v>0.17710000000000001</v>
      </c>
      <c r="AH8" s="14" t="e">
        <v>#VALUE!</v>
      </c>
      <c r="AI8" s="15">
        <v>3.4523869626556813E-3</v>
      </c>
      <c r="AJ8" s="14">
        <v>0.16100278348809025</v>
      </c>
      <c r="AK8" s="15">
        <v>0.37058423139149194</v>
      </c>
      <c r="AL8" s="16">
        <v>0.17799999999999999</v>
      </c>
      <c r="AM8" s="18">
        <v>0.1772</v>
      </c>
      <c r="AN8" s="18">
        <v>0.17610000000000001</v>
      </c>
      <c r="AO8" s="12">
        <v>0.3599</v>
      </c>
      <c r="AP8" s="12">
        <v>0.45069999999999999</v>
      </c>
      <c r="AQ8">
        <v>0.35580000000000001</v>
      </c>
    </row>
    <row r="9" spans="1:47" x14ac:dyDescent="0.2">
      <c r="A9" s="13" t="s">
        <v>37</v>
      </c>
      <c r="B9">
        <v>48.01</v>
      </c>
      <c r="C9" t="s">
        <v>19</v>
      </c>
      <c r="D9" t="s">
        <v>15</v>
      </c>
      <c r="E9" t="s">
        <v>71</v>
      </c>
      <c r="J9" s="3">
        <f t="shared" si="0"/>
        <v>290.24091999474695</v>
      </c>
      <c r="K9">
        <f t="shared" si="4"/>
        <v>12.106625623267215</v>
      </c>
      <c r="L9">
        <f t="shared" ref="L9:L10" si="10">(11.007*AG9-0.65)*20</f>
        <v>27.153536000000003</v>
      </c>
      <c r="M9">
        <v>0</v>
      </c>
      <c r="N9">
        <f t="shared" si="6"/>
        <v>39.260161623267216</v>
      </c>
      <c r="O9" s="3">
        <f>(AI9*0.0602-0.0038)*30</f>
        <v>8.4534476725592653E-2</v>
      </c>
      <c r="P9" s="5">
        <f t="shared" si="7"/>
        <v>1.5158016113368478</v>
      </c>
      <c r="Q9" s="5">
        <f t="shared" si="8"/>
        <v>0.89730052345611866</v>
      </c>
      <c r="R9" s="5"/>
      <c r="S9" s="5"/>
      <c r="T9" s="5"/>
      <c r="U9" s="5"/>
      <c r="V9" s="5"/>
      <c r="W9">
        <f t="shared" si="3"/>
        <v>0.29916666666666664</v>
      </c>
      <c r="X9">
        <f>J$3-J9</f>
        <v>-73.066983749081629</v>
      </c>
      <c r="Y9" s="5">
        <f>X9/J$3*100</f>
        <v>-33.644453387090095</v>
      </c>
      <c r="Z9" s="5"/>
      <c r="AA9" s="5" t="e">
        <f>#REF!-K9</f>
        <v>#REF!</v>
      </c>
      <c r="AB9" s="5" t="e">
        <f>#REF!-L9</f>
        <v>#REF!</v>
      </c>
      <c r="AC9" s="5"/>
      <c r="AD9" s="2"/>
      <c r="AE9" s="15">
        <v>0.28612526626248175</v>
      </c>
      <c r="AF9" s="15">
        <v>0.23660262669277171</v>
      </c>
      <c r="AG9" s="7">
        <f t="shared" si="9"/>
        <v>0.18240000000000001</v>
      </c>
      <c r="AH9" s="14" t="e">
        <v>#VALUE!</v>
      </c>
      <c r="AI9" s="15">
        <v>0.10993049652579881</v>
      </c>
      <c r="AJ9" s="14">
        <v>0.11450597626238705</v>
      </c>
      <c r="AK9" s="15">
        <v>0.28893983042538657</v>
      </c>
      <c r="AL9" s="16">
        <v>0.18279999999999999</v>
      </c>
      <c r="AM9" s="18">
        <v>0.18290000000000001</v>
      </c>
      <c r="AN9" s="18">
        <v>0.18149999999999999</v>
      </c>
      <c r="AO9" s="12">
        <v>0.30330000000000001</v>
      </c>
      <c r="AP9" s="12">
        <v>0.30559999999999998</v>
      </c>
      <c r="AQ9">
        <v>0.28860000000000002</v>
      </c>
    </row>
    <row r="10" spans="1:47" x14ac:dyDescent="0.2">
      <c r="A10" s="13" t="s">
        <v>38</v>
      </c>
      <c r="B10">
        <v>48</v>
      </c>
      <c r="C10" t="s">
        <v>20</v>
      </c>
      <c r="D10" t="s">
        <v>15</v>
      </c>
      <c r="E10" t="s">
        <v>71</v>
      </c>
      <c r="J10" s="3">
        <f t="shared" si="0"/>
        <v>281.17782754419443</v>
      </c>
      <c r="K10">
        <f t="shared" si="4"/>
        <v>35.570486473489915</v>
      </c>
      <c r="L10">
        <f t="shared" si="10"/>
        <v>24.122941999999998</v>
      </c>
      <c r="M10">
        <f t="shared" ref="M10" si="11">(4.6372*AH10-0.0418)*30</f>
        <v>1.4043216204233007</v>
      </c>
      <c r="N10">
        <f t="shared" si="6"/>
        <v>59.693428473489917</v>
      </c>
      <c r="O10" s="3">
        <f t="shared" si="2"/>
        <v>-0.10786919181485309</v>
      </c>
      <c r="P10" s="5">
        <f t="shared" si="7"/>
        <v>1.9102379562460823</v>
      </c>
      <c r="Q10" s="5">
        <f t="shared" si="8"/>
        <v>0.87038710745536063</v>
      </c>
      <c r="R10" s="5"/>
      <c r="S10" s="5"/>
      <c r="T10" s="5"/>
      <c r="U10" s="5"/>
      <c r="V10" s="5"/>
      <c r="W10">
        <f t="shared" si="3"/>
        <v>0.43470000000000003</v>
      </c>
      <c r="X10" s="1"/>
      <c r="Y10" s="5" t="e">
        <f>-(#REF!-J10)/#REF!*100</f>
        <v>#REF!</v>
      </c>
      <c r="Z10" s="5"/>
      <c r="AA10" s="5" t="e">
        <f>#REF!-K10</f>
        <v>#REF!</v>
      </c>
      <c r="AB10" s="5" t="e">
        <f>#REF!-L10</f>
        <v>#REF!</v>
      </c>
      <c r="AC10" s="5"/>
      <c r="AD10" s="2"/>
      <c r="AE10" s="15">
        <v>0.27890500261020823</v>
      </c>
      <c r="AF10" s="15">
        <v>0.43630355737256837</v>
      </c>
      <c r="AG10" s="7">
        <f t="shared" si="9"/>
        <v>0.16863333333333333</v>
      </c>
      <c r="AH10" s="14">
        <v>1.9108669171218989E-2</v>
      </c>
      <c r="AI10" s="15">
        <v>3.3946889175785751E-3</v>
      </c>
      <c r="AJ10" s="14">
        <v>0.15156313004942523</v>
      </c>
      <c r="AK10" s="15">
        <v>0.28073952085781861</v>
      </c>
      <c r="AL10" s="16">
        <v>0.1696</v>
      </c>
      <c r="AM10" s="18">
        <v>0.1694</v>
      </c>
      <c r="AN10" s="18">
        <v>0.16689999999999999</v>
      </c>
      <c r="AO10" s="12">
        <v>0.41410000000000002</v>
      </c>
      <c r="AP10" s="12">
        <v>0.40899999999999997</v>
      </c>
      <c r="AQ10">
        <v>0.48099999999999998</v>
      </c>
    </row>
    <row r="11" spans="1:47" x14ac:dyDescent="0.2">
      <c r="A11" s="13" t="s">
        <v>40</v>
      </c>
      <c r="B11">
        <v>0</v>
      </c>
      <c r="C11" t="s">
        <v>19</v>
      </c>
      <c r="D11" t="s">
        <v>14</v>
      </c>
      <c r="E11" t="s">
        <v>32</v>
      </c>
      <c r="F11">
        <f>AR11*80</f>
        <v>260.56</v>
      </c>
      <c r="G11">
        <f t="shared" ref="G11:I11" si="12">AS11*80</f>
        <v>-98.640000000000015</v>
      </c>
      <c r="H11">
        <f t="shared" si="12"/>
        <v>161.92000000000002</v>
      </c>
      <c r="I11">
        <f t="shared" si="12"/>
        <v>76.239999999999995</v>
      </c>
      <c r="J11" s="3">
        <f t="shared" si="0"/>
        <v>274.36092618042733</v>
      </c>
      <c r="K11">
        <f t="shared" si="4"/>
        <v>30.577310356851989</v>
      </c>
      <c r="L11">
        <f>(11.007*AG11-0.65)*20</f>
        <v>24.078913999999997</v>
      </c>
      <c r="M11">
        <v>0</v>
      </c>
      <c r="N11">
        <f t="shared" si="6"/>
        <v>54.656224356851986</v>
      </c>
      <c r="O11" s="3">
        <f t="shared" ref="O11:O13" si="13">(AI11*0.0602-0.0038)*30</f>
        <v>-0.10245317173062918</v>
      </c>
      <c r="P11" s="5">
        <f t="shared" si="7"/>
        <v>0.846950295190255</v>
      </c>
      <c r="Q11" s="5">
        <f t="shared" si="8"/>
        <v>0.74871880723067807</v>
      </c>
      <c r="R11" s="5"/>
      <c r="S11" s="5"/>
      <c r="T11" s="24"/>
      <c r="U11" s="24"/>
      <c r="V11" s="24">
        <f t="shared" ref="V11:V16" si="14">K11/L11</f>
        <v>1.2698791298001226</v>
      </c>
      <c r="W11">
        <f t="shared" si="3"/>
        <v>1.0374999999999999</v>
      </c>
      <c r="AA11">
        <f>(K2-K11)/K2*100</f>
        <v>17.286107024363133</v>
      </c>
      <c r="AB11">
        <f>(L2-L11)/L2*100</f>
        <v>28.578268519143606</v>
      </c>
      <c r="AE11" s="15">
        <v>0.27347420452374044</v>
      </c>
      <c r="AF11" s="15">
        <v>0.39380663310653213</v>
      </c>
      <c r="AG11" s="7">
        <f t="shared" si="9"/>
        <v>0.16843333333333332</v>
      </c>
      <c r="AH11" s="15" t="e">
        <v>#VALUE!</v>
      </c>
      <c r="AI11" s="15">
        <v>6.393592618699236E-3</v>
      </c>
      <c r="AJ11" s="14">
        <v>5.1667633896115644E-2</v>
      </c>
      <c r="AK11" s="15">
        <v>0.24366813139265026</v>
      </c>
      <c r="AL11" s="7">
        <v>0.16869999999999999</v>
      </c>
      <c r="AM11" s="7">
        <v>0.16919999999999999</v>
      </c>
      <c r="AN11" s="7">
        <v>0.16739999999999999</v>
      </c>
      <c r="AO11">
        <v>0.99519999999999997</v>
      </c>
      <c r="AP11">
        <v>1.0566</v>
      </c>
      <c r="AQ11">
        <v>1.0607</v>
      </c>
      <c r="AR11">
        <v>3.2570000000000001</v>
      </c>
      <c r="AS11">
        <v>-1.2330000000000001</v>
      </c>
      <c r="AT11">
        <v>2.024</v>
      </c>
      <c r="AU11">
        <v>0.95299999999999996</v>
      </c>
    </row>
    <row r="12" spans="1:47" x14ac:dyDescent="0.2">
      <c r="A12" s="13" t="s">
        <v>41</v>
      </c>
      <c r="B12">
        <v>0</v>
      </c>
      <c r="C12" t="s">
        <v>21</v>
      </c>
      <c r="D12" t="s">
        <v>14</v>
      </c>
      <c r="E12" t="s">
        <v>32</v>
      </c>
      <c r="F12">
        <f t="shared" ref="F12:F46" si="15">AR12*80</f>
        <v>258.88</v>
      </c>
      <c r="G12">
        <f t="shared" ref="G12:G16" si="16">AS12*80</f>
        <v>-102.24000000000001</v>
      </c>
      <c r="H12">
        <f t="shared" ref="H12:I16" si="17">AT12*80</f>
        <v>156.63999999999999</v>
      </c>
      <c r="I12">
        <f t="shared" si="17"/>
        <v>74.695999999999998</v>
      </c>
      <c r="J12" s="3">
        <f t="shared" si="0"/>
        <v>242.77206933504078</v>
      </c>
      <c r="K12">
        <f t="shared" si="4"/>
        <v>29.536904278806198</v>
      </c>
      <c r="L12">
        <f t="shared" ref="L12:L13" si="18">(11.007*AG12-0.65)*20</f>
        <v>25.084220000000002</v>
      </c>
      <c r="M12">
        <f t="shared" ref="M12" si="19">(4.6372*AH12-0.0418)*30</f>
        <v>1.4722484740566879</v>
      </c>
      <c r="N12">
        <f t="shared" si="6"/>
        <v>54.621124278806199</v>
      </c>
      <c r="O12" s="3">
        <f t="shared" si="13"/>
        <v>-9.4352946174168534E-2</v>
      </c>
      <c r="P12" s="5">
        <f t="shared" si="7"/>
        <v>1.5457677323007433</v>
      </c>
      <c r="Q12" s="5">
        <f t="shared" si="8"/>
        <v>0.72648410706247191</v>
      </c>
      <c r="R12" s="5"/>
      <c r="S12" s="5"/>
      <c r="T12" s="24"/>
      <c r="U12" s="24"/>
      <c r="V12" s="24">
        <f t="shared" si="14"/>
        <v>1.1775093775611198</v>
      </c>
      <c r="W12">
        <f t="shared" si="3"/>
        <v>0.67666666666666675</v>
      </c>
      <c r="Y12" t="e">
        <f>-(#REF!-J12)/#REF!*100</f>
        <v>#REF!</v>
      </c>
      <c r="AA12" t="e">
        <f>(#REF!-K12)/#REF!*100</f>
        <v>#REF!</v>
      </c>
      <c r="AB12" t="e">
        <f>(#REF!-L12)/#REF!*100</f>
        <v>#REF!</v>
      </c>
      <c r="AE12" s="15">
        <v>0.24830841523691582</v>
      </c>
      <c r="AF12" s="15">
        <v>0.38495173648926506</v>
      </c>
      <c r="AG12" s="7">
        <f t="shared" si="9"/>
        <v>0.17300000000000001</v>
      </c>
      <c r="AH12" s="15">
        <v>1.9596944090231806E-2</v>
      </c>
      <c r="AI12" s="15">
        <v>1.087876734542163E-2</v>
      </c>
      <c r="AJ12" s="14">
        <v>0.11732128262878085</v>
      </c>
      <c r="AK12" s="15">
        <v>0.23689339032982082</v>
      </c>
      <c r="AL12" s="7">
        <v>0.1724</v>
      </c>
      <c r="AM12" s="7">
        <v>0.17319999999999999</v>
      </c>
      <c r="AN12" s="7">
        <v>0.1734</v>
      </c>
      <c r="AO12">
        <v>0.65690000000000004</v>
      </c>
      <c r="AP12">
        <v>0.68869999999999998</v>
      </c>
      <c r="AQ12">
        <v>0.68440000000000001</v>
      </c>
      <c r="AR12">
        <v>3.2360000000000002</v>
      </c>
      <c r="AS12">
        <v>-1.278</v>
      </c>
      <c r="AT12">
        <v>1.958</v>
      </c>
      <c r="AU12">
        <v>0.93369999999999997</v>
      </c>
    </row>
    <row r="13" spans="1:47" x14ac:dyDescent="0.2">
      <c r="A13" s="13" t="s">
        <v>42</v>
      </c>
      <c r="B13">
        <v>0</v>
      </c>
      <c r="C13" t="s">
        <v>20</v>
      </c>
      <c r="D13" t="s">
        <v>14</v>
      </c>
      <c r="E13" t="s">
        <v>32</v>
      </c>
      <c r="F13">
        <f t="shared" si="15"/>
        <v>246.8</v>
      </c>
      <c r="G13">
        <f t="shared" si="16"/>
        <v>-95.92</v>
      </c>
      <c r="H13">
        <f t="shared" si="17"/>
        <v>150.88</v>
      </c>
      <c r="I13">
        <f t="shared" si="17"/>
        <v>73.263999999999996</v>
      </c>
      <c r="J13" s="3">
        <f t="shared" si="0"/>
        <v>226.27199675612368</v>
      </c>
      <c r="K13">
        <f t="shared" si="4"/>
        <v>30.839150677548581</v>
      </c>
      <c r="L13">
        <f t="shared" si="18"/>
        <v>24.526531999999996</v>
      </c>
      <c r="M13">
        <f t="shared" ref="M13" si="20">(4.6372*AH13-0.0418)*30</f>
        <v>2.6300206819552585</v>
      </c>
      <c r="N13">
        <f t="shared" si="6"/>
        <v>55.365682677548577</v>
      </c>
      <c r="O13" s="3">
        <f t="shared" si="13"/>
        <v>-9.168692289169883E-2</v>
      </c>
      <c r="P13" s="5">
        <f t="shared" si="7"/>
        <v>1.6045974021397551</v>
      </c>
      <c r="Q13" s="5">
        <f t="shared" si="8"/>
        <v>0.76671572092684648</v>
      </c>
      <c r="R13" s="5"/>
      <c r="S13" s="5"/>
      <c r="T13" s="24"/>
      <c r="U13" s="24"/>
      <c r="V13" s="24">
        <f t="shared" si="14"/>
        <v>1.257379179312778</v>
      </c>
      <c r="W13">
        <f t="shared" si="3"/>
        <v>0.58693333333333342</v>
      </c>
      <c r="Y13" t="e">
        <f>-(#REF!-J13)/#REF!*100</f>
        <v>#REF!</v>
      </c>
      <c r="AA13" t="e">
        <f>(#REF!-K13)/#REF!*100</f>
        <v>#REF!</v>
      </c>
      <c r="AB13" t="e">
        <f>(#REF!-L13)/#REF!*100</f>
        <v>#REF!</v>
      </c>
      <c r="AE13" s="15">
        <v>0.23516335741571187</v>
      </c>
      <c r="AF13" s="15">
        <v>0.39603515619854951</v>
      </c>
      <c r="AG13" s="7">
        <f t="shared" si="9"/>
        <v>0.17046666666666666</v>
      </c>
      <c r="AH13" s="15">
        <v>2.7919295278438557E-2</v>
      </c>
      <c r="AI13" s="15">
        <v>1.235497071334506E-2</v>
      </c>
      <c r="AJ13" s="14">
        <v>0.12284830910745538</v>
      </c>
      <c r="AK13" s="15">
        <v>0.24915165171445658</v>
      </c>
      <c r="AL13" s="7">
        <v>0.17219999999999999</v>
      </c>
      <c r="AM13" s="7">
        <v>0.17119999999999999</v>
      </c>
      <c r="AN13" s="7">
        <v>0.16800000000000001</v>
      </c>
      <c r="AO13">
        <v>0.55130000000000001</v>
      </c>
      <c r="AP13">
        <v>0.62070000000000003</v>
      </c>
      <c r="AQ13">
        <v>0.58879999999999999</v>
      </c>
      <c r="AR13">
        <v>3.085</v>
      </c>
      <c r="AS13">
        <v>-1.1990000000000001</v>
      </c>
      <c r="AT13">
        <v>1.8859999999999999</v>
      </c>
      <c r="AU13">
        <v>0.91579999999999995</v>
      </c>
    </row>
    <row r="14" spans="1:47" x14ac:dyDescent="0.2">
      <c r="A14" s="13" t="s">
        <v>43</v>
      </c>
      <c r="B14">
        <v>48</v>
      </c>
      <c r="C14" t="s">
        <v>19</v>
      </c>
      <c r="D14" t="s">
        <v>15</v>
      </c>
      <c r="E14" t="s">
        <v>32</v>
      </c>
      <c r="F14">
        <f t="shared" si="15"/>
        <v>264.48</v>
      </c>
      <c r="G14">
        <f t="shared" si="16"/>
        <v>-99.12</v>
      </c>
      <c r="H14">
        <f t="shared" si="17"/>
        <v>165.36</v>
      </c>
      <c r="I14">
        <f t="shared" si="17"/>
        <v>115.60000000000001</v>
      </c>
      <c r="J14" s="3">
        <f t="shared" si="0"/>
        <v>304.53925409962579</v>
      </c>
      <c r="K14">
        <f t="shared" si="4"/>
        <v>34.955515995987504</v>
      </c>
      <c r="L14">
        <f t="shared" ref="L14:L16" si="21">(11.007*AG14-0.65)*20</f>
        <v>22.383835999999995</v>
      </c>
      <c r="M14">
        <v>0</v>
      </c>
      <c r="N14">
        <f t="shared" si="6"/>
        <v>57.339351995987499</v>
      </c>
      <c r="O14" s="3">
        <f t="shared" ref="O14:O70" si="22">(AI14*0.0602-0.0038)*30</f>
        <v>-0.10339559152968557</v>
      </c>
      <c r="P14" s="5">
        <f t="shared" si="7"/>
        <v>0.85360305902851941</v>
      </c>
      <c r="Q14" s="5">
        <f t="shared" si="8"/>
        <v>0.92016845881459808</v>
      </c>
      <c r="R14" s="5"/>
      <c r="S14" s="5"/>
      <c r="T14" s="24"/>
      <c r="U14" s="24"/>
      <c r="V14" s="24">
        <f t="shared" si="14"/>
        <v>1.5616409982626531</v>
      </c>
      <c r="W14">
        <f t="shared" si="3"/>
        <v>0.45093333333333335</v>
      </c>
      <c r="X14">
        <f>J$11-J14</f>
        <v>-30.178327919198466</v>
      </c>
      <c r="Y14" s="5">
        <f>X14/J$11*100</f>
        <v>-10.999499214167386</v>
      </c>
      <c r="Z14" s="5"/>
      <c r="AA14" t="e">
        <f>(#REF!-K14)/#REF!*100</f>
        <v>#REF!</v>
      </c>
      <c r="AB14" t="e">
        <f>(#REF!-L14)/#REF!*100</f>
        <v>#REF!</v>
      </c>
      <c r="AC14" t="e">
        <f>#REF!-P14</f>
        <v>#REF!</v>
      </c>
      <c r="AE14" s="15">
        <v>0.2975162724327019</v>
      </c>
      <c r="AF14" s="15">
        <v>0.43106954335067449</v>
      </c>
      <c r="AG14" s="7">
        <f t="shared" si="9"/>
        <v>0.16073333333333334</v>
      </c>
      <c r="AH14" s="15" t="e">
        <v>#VALUE!</v>
      </c>
      <c r="AI14" s="15">
        <v>5.8717654874387744E-3</v>
      </c>
      <c r="AJ14" s="15">
        <v>5.229265868362639E-2</v>
      </c>
      <c r="AK14" s="15">
        <v>0.29590751334996895</v>
      </c>
      <c r="AL14" s="7">
        <v>0.1605</v>
      </c>
      <c r="AM14" s="7">
        <v>0.16089999999999999</v>
      </c>
      <c r="AN14" s="7">
        <v>0.1608</v>
      </c>
      <c r="AO14">
        <v>0.41739999999999999</v>
      </c>
      <c r="AP14">
        <v>0.4592</v>
      </c>
      <c r="AQ14">
        <v>0.47620000000000001</v>
      </c>
      <c r="AR14">
        <v>3.306</v>
      </c>
      <c r="AS14">
        <v>-1.2390000000000001</v>
      </c>
      <c r="AT14">
        <v>2.0670000000000002</v>
      </c>
      <c r="AU14">
        <v>1.4450000000000001</v>
      </c>
    </row>
    <row r="15" spans="1:47" x14ac:dyDescent="0.2">
      <c r="A15" s="13" t="s">
        <v>44</v>
      </c>
      <c r="B15">
        <v>48</v>
      </c>
      <c r="C15" t="s">
        <v>21</v>
      </c>
      <c r="D15" t="s">
        <v>15</v>
      </c>
      <c r="E15" t="s">
        <v>32</v>
      </c>
      <c r="F15">
        <f t="shared" si="15"/>
        <v>250.72</v>
      </c>
      <c r="G15">
        <f t="shared" si="16"/>
        <v>-104.72</v>
      </c>
      <c r="H15">
        <f t="shared" si="17"/>
        <v>146</v>
      </c>
      <c r="I15">
        <f t="shared" si="17"/>
        <v>71.671999999999997</v>
      </c>
      <c r="J15" s="3">
        <f t="shared" si="0"/>
        <v>276.58075158802808</v>
      </c>
      <c r="K15">
        <f t="shared" si="4"/>
        <v>35.953318768849748</v>
      </c>
      <c r="L15">
        <f t="shared" si="21"/>
        <v>21.620683999999997</v>
      </c>
      <c r="M15">
        <f t="shared" ref="M15:M16" si="23">(4.6372*AH15-0.0418)*30</f>
        <v>1.1545918947915474</v>
      </c>
      <c r="N15">
        <f t="shared" si="6"/>
        <v>57.574002768849745</v>
      </c>
      <c r="O15" s="3">
        <f t="shared" si="22"/>
        <v>-0.10647444316241143</v>
      </c>
      <c r="P15" s="5">
        <f t="shared" si="7"/>
        <v>2.0186635021981574</v>
      </c>
      <c r="Q15" s="5">
        <f t="shared" si="8"/>
        <v>0.86529776018252613</v>
      </c>
      <c r="R15" s="5"/>
      <c r="S15" s="5"/>
      <c r="T15" s="24"/>
      <c r="U15" s="24"/>
      <c r="V15" s="24">
        <f t="shared" si="14"/>
        <v>1.6629131052861117</v>
      </c>
      <c r="W15">
        <f t="shared" si="3"/>
        <v>0.57213333333333327</v>
      </c>
      <c r="Y15" t="e">
        <f>-(#REF!-J15)/#REF!*100</f>
        <v>#REF!</v>
      </c>
      <c r="AA15" t="e">
        <f>(#REF!-K15)/#REF!*100</f>
        <v>#REF!</v>
      </c>
      <c r="AB15" t="e">
        <f>(#REF!-L15)/#REF!*100</f>
        <v>#REF!</v>
      </c>
      <c r="AC15" t="e">
        <f>#REF!-P15</f>
        <v>#REF!</v>
      </c>
      <c r="AE15" s="15">
        <v>0.27524266543179571</v>
      </c>
      <c r="AF15" s="15">
        <v>0.43956184321758157</v>
      </c>
      <c r="AG15" s="7">
        <f t="shared" si="9"/>
        <v>0.15726666666666667</v>
      </c>
      <c r="AH15" s="15">
        <v>1.7313550524681184E-2</v>
      </c>
      <c r="AI15" s="15">
        <v>4.1669749931276708E-3</v>
      </c>
      <c r="AJ15" s="15">
        <v>0.16174967138276561</v>
      </c>
      <c r="AK15" s="15">
        <v>0.27918883613117801</v>
      </c>
      <c r="AL15" s="7">
        <v>0.1565</v>
      </c>
      <c r="AM15" s="7">
        <v>0.1573</v>
      </c>
      <c r="AN15" s="7">
        <v>0.158</v>
      </c>
      <c r="AO15">
        <v>0.56079999999999997</v>
      </c>
      <c r="AP15">
        <v>0.57189999999999996</v>
      </c>
      <c r="AQ15">
        <v>0.5837</v>
      </c>
      <c r="AR15">
        <v>3.1339999999999999</v>
      </c>
      <c r="AS15">
        <v>-1.3089999999999999</v>
      </c>
      <c r="AT15">
        <v>1.825</v>
      </c>
      <c r="AU15">
        <v>0.89590000000000003</v>
      </c>
    </row>
    <row r="16" spans="1:47" x14ac:dyDescent="0.2">
      <c r="A16" s="13" t="s">
        <v>45</v>
      </c>
      <c r="B16">
        <v>48</v>
      </c>
      <c r="C16" t="s">
        <v>20</v>
      </c>
      <c r="D16" t="s">
        <v>15</v>
      </c>
      <c r="E16" t="s">
        <v>32</v>
      </c>
      <c r="F16">
        <f t="shared" si="15"/>
        <v>249.76</v>
      </c>
      <c r="G16">
        <f t="shared" si="16"/>
        <v>-100.24</v>
      </c>
      <c r="H16">
        <f t="shared" si="17"/>
        <v>149.52000000000001</v>
      </c>
      <c r="I16">
        <f t="shared" si="17"/>
        <v>68.432000000000002</v>
      </c>
      <c r="J16" s="3">
        <f>30*(AE16-0.0549)/0.0239</f>
        <v>278.55248920212443</v>
      </c>
      <c r="K16">
        <f t="shared" si="4"/>
        <v>34.395037065803841</v>
      </c>
      <c r="L16">
        <f t="shared" si="21"/>
        <v>20.541998</v>
      </c>
      <c r="M16">
        <f t="shared" si="23"/>
        <v>2.3850287387789653</v>
      </c>
      <c r="N16">
        <f t="shared" si="6"/>
        <v>54.93703506580384</v>
      </c>
      <c r="O16" s="3">
        <f t="shared" si="22"/>
        <v>-0.101874382723096</v>
      </c>
      <c r="P16" s="5">
        <f t="shared" si="7"/>
        <v>2.017384034922685</v>
      </c>
      <c r="Q16" s="5">
        <f t="shared" si="8"/>
        <v>0.88913745044667936</v>
      </c>
      <c r="R16" s="5"/>
      <c r="S16" s="5"/>
      <c r="T16" s="24"/>
      <c r="U16" s="24"/>
      <c r="V16" s="24">
        <f t="shared" si="14"/>
        <v>1.6743764197525401</v>
      </c>
      <c r="W16">
        <f t="shared" si="3"/>
        <v>0.50509999999999999</v>
      </c>
      <c r="Y16" t="e">
        <f>-(#REF!-J16)/#REF!*100</f>
        <v>#REF!</v>
      </c>
      <c r="AA16" t="e">
        <f>(#REF!-K16)/#REF!*100</f>
        <v>#REF!</v>
      </c>
      <c r="AB16" t="e">
        <f>(#REF!-L16)/#REF!*100</f>
        <v>#REF!</v>
      </c>
      <c r="AC16" t="e">
        <f>#REF!-P16</f>
        <v>#REF!</v>
      </c>
      <c r="AE16" s="15">
        <v>0.27681348306435916</v>
      </c>
      <c r="AF16" s="15">
        <v>0.42629930691351842</v>
      </c>
      <c r="AG16" s="7">
        <f t="shared" si="9"/>
        <v>0.15236666666666668</v>
      </c>
      <c r="AH16" s="15">
        <v>2.615823297664514E-2</v>
      </c>
      <c r="AI16" s="15">
        <v>6.714073796735328E-3</v>
      </c>
      <c r="AJ16" s="15">
        <v>0.16162946588901589</v>
      </c>
      <c r="AK16" s="15">
        <v>0.28645260525492977</v>
      </c>
      <c r="AL16" s="7">
        <v>0.1517</v>
      </c>
      <c r="AM16" s="7">
        <v>0.15240000000000001</v>
      </c>
      <c r="AN16" s="7">
        <v>0.153</v>
      </c>
      <c r="AO16">
        <v>0.49440000000000001</v>
      </c>
      <c r="AP16">
        <v>0.52569999999999995</v>
      </c>
      <c r="AQ16">
        <v>0.49519999999999997</v>
      </c>
      <c r="AR16">
        <v>3.1219999999999999</v>
      </c>
      <c r="AS16">
        <v>-1.2529999999999999</v>
      </c>
      <c r="AT16">
        <v>1.869</v>
      </c>
      <c r="AU16">
        <v>0.85540000000000005</v>
      </c>
    </row>
    <row r="17" spans="1:47" s="6" customFormat="1" x14ac:dyDescent="0.2">
      <c r="A17" s="21" t="s">
        <v>46</v>
      </c>
      <c r="B17" s="6">
        <v>52</v>
      </c>
      <c r="C17" s="6" t="s">
        <v>19</v>
      </c>
      <c r="D17" s="6" t="s">
        <v>15</v>
      </c>
      <c r="E17" s="6" t="s">
        <v>32</v>
      </c>
      <c r="J17" s="8"/>
      <c r="O17" s="8"/>
      <c r="P17" s="9"/>
      <c r="Q17" s="9"/>
      <c r="R17" s="9"/>
      <c r="S17" s="9"/>
      <c r="T17" s="25"/>
      <c r="U17" s="25"/>
      <c r="V17" s="25"/>
      <c r="X17"/>
      <c r="AE17" s="22">
        <v>0.23946790577013782</v>
      </c>
      <c r="AF17" s="22">
        <v>0.32536144092388203</v>
      </c>
      <c r="AH17" s="22" t="e">
        <v>#VALUE!</v>
      </c>
      <c r="AI17" s="22">
        <v>4.1142646345693418E-3</v>
      </c>
      <c r="AJ17" s="22">
        <v>0.22238076955655153</v>
      </c>
      <c r="AK17" s="22">
        <v>0.22341654197183186</v>
      </c>
    </row>
    <row r="18" spans="1:47" s="6" customFormat="1" x14ac:dyDescent="0.2">
      <c r="A18" s="21" t="s">
        <v>44</v>
      </c>
      <c r="B18" s="6">
        <v>52</v>
      </c>
      <c r="C18" s="6" t="s">
        <v>21</v>
      </c>
      <c r="D18" s="6" t="s">
        <v>15</v>
      </c>
      <c r="E18" s="6" t="s">
        <v>32</v>
      </c>
      <c r="J18" s="8"/>
      <c r="O18" s="8"/>
      <c r="P18" s="9"/>
      <c r="Q18" s="9"/>
      <c r="R18" s="9"/>
      <c r="S18" s="9"/>
      <c r="T18" s="25"/>
      <c r="U18" s="25"/>
      <c r="V18" s="25"/>
      <c r="AE18" s="22">
        <v>0.20950157977040174</v>
      </c>
      <c r="AF18" s="22">
        <v>0.32794178402682489</v>
      </c>
      <c r="AH18" s="22">
        <v>1.3479307289124824E-2</v>
      </c>
      <c r="AI18" s="22">
        <v>3.6165406883421434E-3</v>
      </c>
      <c r="AJ18" s="22">
        <v>0.20441083067031426</v>
      </c>
      <c r="AK18" s="22">
        <v>0.20570997575902744</v>
      </c>
    </row>
    <row r="19" spans="1:47" s="6" customFormat="1" x14ac:dyDescent="0.2">
      <c r="A19" s="21" t="s">
        <v>45</v>
      </c>
      <c r="B19" s="6">
        <v>52</v>
      </c>
      <c r="C19" s="6" t="s">
        <v>20</v>
      </c>
      <c r="D19" s="6" t="s">
        <v>15</v>
      </c>
      <c r="E19" s="6" t="s">
        <v>32</v>
      </c>
      <c r="J19" s="8"/>
      <c r="O19" s="8"/>
      <c r="P19" s="9"/>
      <c r="Q19" s="9"/>
      <c r="R19" s="9"/>
      <c r="S19" s="9"/>
      <c r="T19" s="25"/>
      <c r="U19" s="25"/>
      <c r="V19" s="25"/>
      <c r="AE19" s="22">
        <v>0.24832792887282415</v>
      </c>
      <c r="AF19" s="22">
        <v>0.38207693394719749</v>
      </c>
      <c r="AH19" s="22">
        <v>3.1120273065604241E-2</v>
      </c>
      <c r="AI19" s="22">
        <v>3.8415905250436017E-3</v>
      </c>
      <c r="AJ19" s="22">
        <v>0.19132346303630965</v>
      </c>
      <c r="AK19" s="22">
        <v>0.23919011072279414</v>
      </c>
    </row>
    <row r="20" spans="1:47" x14ac:dyDescent="0.2">
      <c r="A20" s="13" t="s">
        <v>47</v>
      </c>
      <c r="B20">
        <v>72</v>
      </c>
      <c r="C20" t="s">
        <v>19</v>
      </c>
      <c r="D20" t="s">
        <v>15</v>
      </c>
      <c r="E20" t="s">
        <v>32</v>
      </c>
      <c r="J20" s="3">
        <f t="shared" ref="J20:J70" si="24">30*(AE20-0.0549)/0.0239</f>
        <v>216.90561865904343</v>
      </c>
      <c r="K20">
        <f t="shared" ref="K20:K25" si="25">(3.9165*AF20-0.5231)*30</f>
        <v>22.92333290789486</v>
      </c>
      <c r="L20">
        <f t="shared" ref="L20:L25" si="26">(11.007*AG20-0.65)*20</f>
        <v>64.31316799999999</v>
      </c>
      <c r="M20">
        <v>0</v>
      </c>
      <c r="N20">
        <f t="shared" si="6"/>
        <v>87.23650090789485</v>
      </c>
      <c r="O20" s="3">
        <f t="shared" si="22"/>
        <v>-0.10618889343267077</v>
      </c>
      <c r="P20" s="5">
        <f t="shared" ref="P20:P70" si="27">(0.3548*AJ20 + 0.0099)*30</f>
        <v>0.29701064399999999</v>
      </c>
      <c r="Q20" s="5">
        <f t="shared" ref="Q20:Q70" si="28">(0.1094*AK20 - 0.0017)*30</f>
        <v>0.65812810990860882</v>
      </c>
      <c r="R20" s="5"/>
      <c r="S20" s="5"/>
      <c r="T20" s="24"/>
      <c r="U20" s="24"/>
      <c r="V20" s="24"/>
      <c r="W20">
        <f t="shared" ref="W20:W25" si="29">AVERAGE(AO20:AQ20)</f>
        <v>0.41366666666666663</v>
      </c>
      <c r="X20">
        <f>J$11-J20</f>
        <v>57.455307521383901</v>
      </c>
      <c r="Y20" s="5">
        <f>X20/J$11*100</f>
        <v>20.941505163020079</v>
      </c>
      <c r="Z20" s="5"/>
      <c r="AE20" s="15">
        <v>0.22770147619837128</v>
      </c>
      <c r="AF20" s="15">
        <v>0.32866362745559269</v>
      </c>
      <c r="AG20">
        <f t="shared" ref="AG20:AG70" si="30">AVERAGE(AL20:AN20)</f>
        <v>0.35119999999999996</v>
      </c>
      <c r="AH20" s="15" t="e">
        <v>#VALUE!</v>
      </c>
      <c r="AI20" s="15">
        <v>4.3250866928733348E-3</v>
      </c>
      <c r="AJ20" s="15">
        <v>9.9999999999999995E-7</v>
      </c>
      <c r="AK20" s="15">
        <v>0.21606584701663889</v>
      </c>
      <c r="AL20">
        <v>0.35539999999999999</v>
      </c>
      <c r="AM20">
        <v>0.34699999999999998</v>
      </c>
      <c r="AO20">
        <v>0.3836</v>
      </c>
      <c r="AP20">
        <v>0.40739999999999998</v>
      </c>
      <c r="AQ20">
        <v>0.45</v>
      </c>
    </row>
    <row r="21" spans="1:47" x14ac:dyDescent="0.2">
      <c r="A21" s="13" t="s">
        <v>44</v>
      </c>
      <c r="B21">
        <v>72</v>
      </c>
      <c r="C21" t="s">
        <v>21</v>
      </c>
      <c r="D21" t="s">
        <v>15</v>
      </c>
      <c r="E21" t="s">
        <v>32</v>
      </c>
      <c r="J21" s="3">
        <f t="shared" si="24"/>
        <v>208.13168745804606</v>
      </c>
      <c r="K21">
        <f t="shared" si="25"/>
        <v>28.706162095683901</v>
      </c>
      <c r="L21">
        <f t="shared" si="26"/>
        <v>37.081849999999996</v>
      </c>
      <c r="M21">
        <f t="shared" ref="M21:M22" si="31">(4.6372*AH21-0.0418)*30</f>
        <v>-0.1142050139192427</v>
      </c>
      <c r="N21">
        <f t="shared" si="6"/>
        <v>65.788012095683897</v>
      </c>
      <c r="O21" s="3">
        <f t="shared" si="22"/>
        <v>-0.10868840518750789</v>
      </c>
      <c r="P21" s="5">
        <f t="shared" si="27"/>
        <v>2.7678497955903865</v>
      </c>
      <c r="Q21" s="5">
        <f t="shared" si="28"/>
        <v>0.7373370744807195</v>
      </c>
      <c r="R21" s="5"/>
      <c r="S21" s="5"/>
      <c r="T21" s="24"/>
      <c r="U21" s="24"/>
      <c r="V21" s="24"/>
      <c r="W21">
        <f t="shared" si="29"/>
        <v>0.53266666666666662</v>
      </c>
      <c r="AE21" s="15">
        <v>0.22071157767491004</v>
      </c>
      <c r="AF21" s="15">
        <v>0.37788128937983662</v>
      </c>
      <c r="AG21">
        <f t="shared" si="30"/>
        <v>0.22749999999999998</v>
      </c>
      <c r="AH21" s="15">
        <v>8.1931264993297479E-3</v>
      </c>
      <c r="AI21" s="15">
        <v>2.9410823989435837E-3</v>
      </c>
      <c r="AJ21" s="15">
        <v>0.2321354561809833</v>
      </c>
      <c r="AK21" s="15">
        <v>0.2402002055090553</v>
      </c>
      <c r="AL21">
        <v>0.2319</v>
      </c>
      <c r="AM21">
        <v>0.22309999999999999</v>
      </c>
      <c r="AO21">
        <v>0.52559999999999996</v>
      </c>
      <c r="AP21">
        <v>0.52949999999999997</v>
      </c>
      <c r="AQ21">
        <v>0.54290000000000005</v>
      </c>
    </row>
    <row r="22" spans="1:47" x14ac:dyDescent="0.2">
      <c r="A22" s="13" t="s">
        <v>45</v>
      </c>
      <c r="B22">
        <v>72</v>
      </c>
      <c r="C22" t="s">
        <v>20</v>
      </c>
      <c r="D22" t="s">
        <v>15</v>
      </c>
      <c r="E22" t="s">
        <v>32</v>
      </c>
      <c r="J22" s="3">
        <f t="shared" si="24"/>
        <v>209.71982694381902</v>
      </c>
      <c r="K22">
        <f t="shared" si="25"/>
        <v>28.672087032948504</v>
      </c>
      <c r="L22">
        <f t="shared" si="26"/>
        <v>40.438985000000002</v>
      </c>
      <c r="M22">
        <f t="shared" si="31"/>
        <v>0.84908950211568168</v>
      </c>
      <c r="N22">
        <f t="shared" si="6"/>
        <v>69.111072032948499</v>
      </c>
      <c r="O22" s="3">
        <f t="shared" si="22"/>
        <v>-0.10801424101335802</v>
      </c>
      <c r="P22" s="5">
        <f t="shared" si="27"/>
        <v>2.3029644558317224</v>
      </c>
      <c r="Q22" s="5">
        <f t="shared" si="28"/>
        <v>0.71696784007938774</v>
      </c>
      <c r="R22" s="5"/>
      <c r="S22" s="5"/>
      <c r="T22" s="24"/>
      <c r="U22" s="24"/>
      <c r="V22" s="24"/>
      <c r="W22">
        <f t="shared" si="29"/>
        <v>0.46493333333333337</v>
      </c>
      <c r="AE22" s="15">
        <v>0.22197679546524249</v>
      </c>
      <c r="AF22" s="15">
        <v>0.37759127650494489</v>
      </c>
      <c r="AG22">
        <f t="shared" si="30"/>
        <v>0.24275000000000002</v>
      </c>
      <c r="AH22" s="15">
        <v>1.511752423959632E-2</v>
      </c>
      <c r="AI22" s="15">
        <v>3.3143737467563501E-3</v>
      </c>
      <c r="AJ22" s="15">
        <v>0.18845964447874131</v>
      </c>
      <c r="AK22" s="15">
        <v>0.23399385742821077</v>
      </c>
      <c r="AL22">
        <v>0.23069999999999999</v>
      </c>
      <c r="AM22">
        <v>0.25480000000000003</v>
      </c>
      <c r="AO22">
        <v>0.46479999999999999</v>
      </c>
      <c r="AP22">
        <v>0.46600000000000003</v>
      </c>
      <c r="AQ22">
        <v>0.46400000000000002</v>
      </c>
    </row>
    <row r="23" spans="1:47" x14ac:dyDescent="0.2">
      <c r="A23" s="13" t="s">
        <v>48</v>
      </c>
      <c r="B23">
        <v>96</v>
      </c>
      <c r="C23" t="s">
        <v>19</v>
      </c>
      <c r="D23" t="s">
        <v>15</v>
      </c>
      <c r="E23" t="s">
        <v>32</v>
      </c>
      <c r="F23">
        <f>AR23*80</f>
        <v>266.64</v>
      </c>
      <c r="G23">
        <f t="shared" ref="G23:I25" si="32">AS23*80</f>
        <v>-83.36</v>
      </c>
      <c r="H23">
        <f t="shared" si="32"/>
        <v>183.28</v>
      </c>
      <c r="I23">
        <f t="shared" si="32"/>
        <v>120.88</v>
      </c>
      <c r="J23" s="3">
        <f t="shared" si="24"/>
        <v>193.45674247510561</v>
      </c>
      <c r="K23">
        <f t="shared" si="25"/>
        <v>23.880413354500654</v>
      </c>
      <c r="L23">
        <f t="shared" si="26"/>
        <v>72.029074999999992</v>
      </c>
      <c r="M23">
        <v>0</v>
      </c>
      <c r="N23">
        <f t="shared" si="6"/>
        <v>95.909488354500638</v>
      </c>
      <c r="O23" s="3">
        <f t="shared" si="22"/>
        <v>-8.8658859543970445E-2</v>
      </c>
      <c r="P23" s="5">
        <f t="shared" si="27"/>
        <v>0.29701064399999999</v>
      </c>
      <c r="Q23" s="5">
        <f t="shared" si="28"/>
        <v>1.370880928827414</v>
      </c>
      <c r="R23" s="5"/>
      <c r="S23" s="5"/>
      <c r="T23" s="24"/>
      <c r="U23" s="24"/>
      <c r="V23" s="24"/>
      <c r="W23">
        <f t="shared" si="29"/>
        <v>0.37206666666666671</v>
      </c>
      <c r="X23">
        <f>J$11-J23</f>
        <v>80.904183705321714</v>
      </c>
      <c r="Y23" s="5">
        <f>X23/J$11*100</f>
        <v>29.488231007106634</v>
      </c>
      <c r="Z23" s="5"/>
      <c r="AE23" s="15">
        <v>0.20902053817183414</v>
      </c>
      <c r="AF23" s="15">
        <v>0.33680933958466874</v>
      </c>
      <c r="AG23">
        <f t="shared" si="30"/>
        <v>0.38624999999999998</v>
      </c>
      <c r="AH23" s="15" t="e">
        <v>#VALUE!</v>
      </c>
      <c r="AI23" s="15">
        <v>1.4031639233681923E-2</v>
      </c>
      <c r="AJ23" s="15">
        <v>9.9999999999999995E-7</v>
      </c>
      <c r="AK23" s="15">
        <v>0.43323611481639673</v>
      </c>
      <c r="AL23">
        <v>0.38790000000000002</v>
      </c>
      <c r="AM23">
        <v>0.3846</v>
      </c>
      <c r="AO23">
        <v>0.33710000000000001</v>
      </c>
      <c r="AP23">
        <v>0.34810000000000002</v>
      </c>
      <c r="AQ23">
        <v>0.43099999999999999</v>
      </c>
      <c r="AR23">
        <v>3.3330000000000002</v>
      </c>
      <c r="AS23">
        <v>-1.042</v>
      </c>
      <c r="AT23">
        <v>2.2909999999999999</v>
      </c>
      <c r="AU23">
        <v>1.5109999999999999</v>
      </c>
    </row>
    <row r="24" spans="1:47" x14ac:dyDescent="0.2">
      <c r="A24" s="13" t="s">
        <v>44</v>
      </c>
      <c r="B24">
        <v>96</v>
      </c>
      <c r="C24" t="s">
        <v>21</v>
      </c>
      <c r="D24" t="s">
        <v>15</v>
      </c>
      <c r="E24" t="s">
        <v>32</v>
      </c>
      <c r="F24">
        <f t="shared" si="15"/>
        <v>261.03999999999996</v>
      </c>
      <c r="G24">
        <f t="shared" si="32"/>
        <v>-99.440000000000012</v>
      </c>
      <c r="H24">
        <f t="shared" si="32"/>
        <v>161.68</v>
      </c>
      <c r="I24">
        <f t="shared" si="32"/>
        <v>74.12</v>
      </c>
      <c r="J24" s="3">
        <f t="shared" si="24"/>
        <v>188.87857920802341</v>
      </c>
      <c r="K24">
        <f t="shared" si="25"/>
        <v>27.123137615812478</v>
      </c>
      <c r="L24">
        <f t="shared" si="26"/>
        <v>38.699878999999996</v>
      </c>
      <c r="M24">
        <f t="shared" ref="M24:M25" si="33">(4.6372*AH24-0.0418)*30</f>
        <v>-2.1776731339042815E-2</v>
      </c>
      <c r="N24">
        <f t="shared" si="6"/>
        <v>65.823016615812477</v>
      </c>
      <c r="O24" s="3">
        <f t="shared" si="22"/>
        <v>-0.10221941263134339</v>
      </c>
      <c r="P24" s="5">
        <f t="shared" si="27"/>
        <v>2.4434141696979488</v>
      </c>
      <c r="Q24" s="5">
        <f t="shared" si="28"/>
        <v>0.68386665440585293</v>
      </c>
      <c r="R24" s="5"/>
      <c r="S24" s="5"/>
      <c r="T24" s="24"/>
      <c r="U24" s="24"/>
      <c r="V24" s="24"/>
      <c r="W24">
        <f t="shared" si="29"/>
        <v>0.50870000000000004</v>
      </c>
      <c r="AE24" s="15">
        <v>0.20537326810239201</v>
      </c>
      <c r="AF24" s="15">
        <v>0.36440816729062919</v>
      </c>
      <c r="AG24">
        <f t="shared" si="30"/>
        <v>0.23485</v>
      </c>
      <c r="AH24" s="15">
        <v>8.8575237115857061E-3</v>
      </c>
      <c r="AI24" s="15">
        <v>6.5230273359117488E-3</v>
      </c>
      <c r="AJ24" s="15">
        <v>0.20165484495471142</v>
      </c>
      <c r="AK24" s="15">
        <v>0.22390818232963222</v>
      </c>
      <c r="AL24">
        <v>0.23219999999999999</v>
      </c>
      <c r="AM24">
        <v>0.23749999999999999</v>
      </c>
      <c r="AO24">
        <v>0.50529999999999997</v>
      </c>
      <c r="AP24">
        <v>0.50980000000000003</v>
      </c>
      <c r="AQ24">
        <v>0.51100000000000001</v>
      </c>
      <c r="AR24">
        <v>3.2629999999999999</v>
      </c>
      <c r="AS24">
        <v>-1.2430000000000001</v>
      </c>
      <c r="AT24">
        <v>2.0209999999999999</v>
      </c>
      <c r="AU24">
        <v>0.92649999999999999</v>
      </c>
    </row>
    <row r="25" spans="1:47" x14ac:dyDescent="0.2">
      <c r="A25" s="13" t="s">
        <v>45</v>
      </c>
      <c r="B25">
        <v>96</v>
      </c>
      <c r="C25" t="s">
        <v>20</v>
      </c>
      <c r="D25" t="s">
        <v>15</v>
      </c>
      <c r="E25" t="s">
        <v>32</v>
      </c>
      <c r="F25">
        <f t="shared" si="15"/>
        <v>263.76</v>
      </c>
      <c r="G25">
        <f t="shared" si="32"/>
        <v>-105.28</v>
      </c>
      <c r="H25">
        <f t="shared" si="32"/>
        <v>158.48000000000002</v>
      </c>
      <c r="I25">
        <f t="shared" si="32"/>
        <v>74.872</v>
      </c>
      <c r="J25" s="3">
        <f t="shared" si="24"/>
        <v>177.71236940195877</v>
      </c>
      <c r="K25">
        <f t="shared" si="25"/>
        <v>24.0797401645242</v>
      </c>
      <c r="L25">
        <f t="shared" si="26"/>
        <v>52.359566000000001</v>
      </c>
      <c r="M25">
        <f t="shared" si="33"/>
        <v>8.5686151914859746E-2</v>
      </c>
      <c r="N25">
        <f t="shared" si="6"/>
        <v>76.439306164524197</v>
      </c>
      <c r="O25" s="3">
        <f t="shared" si="22"/>
        <v>-0.10450711230811749</v>
      </c>
      <c r="P25" s="5">
        <f t="shared" si="27"/>
        <v>2.0063403084490941</v>
      </c>
      <c r="Q25" s="5">
        <f t="shared" si="28"/>
        <v>0.62141859618965245</v>
      </c>
      <c r="R25" s="5"/>
      <c r="S25" s="5"/>
      <c r="T25" s="24"/>
      <c r="U25" s="24"/>
      <c r="V25" s="24"/>
      <c r="W25">
        <f t="shared" si="29"/>
        <v>0.47163333333333335</v>
      </c>
      <c r="AE25" s="15">
        <v>0.19647752095689383</v>
      </c>
      <c r="AF25" s="15">
        <v>0.33850581015808501</v>
      </c>
      <c r="AG25">
        <f t="shared" si="30"/>
        <v>0.2969</v>
      </c>
      <c r="AH25" s="15">
        <v>9.6299933286959054E-3</v>
      </c>
      <c r="AI25" s="15">
        <v>5.2563054772328342E-3</v>
      </c>
      <c r="AJ25" s="15">
        <v>0.1605919117295278</v>
      </c>
      <c r="AK25" s="15">
        <v>0.20488074228813299</v>
      </c>
      <c r="AL25">
        <v>0.23849999999999999</v>
      </c>
      <c r="AM25">
        <v>0.3553</v>
      </c>
      <c r="AO25">
        <v>0.44</v>
      </c>
      <c r="AP25">
        <v>0.53200000000000003</v>
      </c>
      <c r="AQ25">
        <v>0.44290000000000002</v>
      </c>
      <c r="AR25">
        <v>3.2970000000000002</v>
      </c>
      <c r="AS25">
        <v>-1.3160000000000001</v>
      </c>
      <c r="AT25">
        <v>1.9810000000000001</v>
      </c>
      <c r="AU25">
        <v>0.93589999999999995</v>
      </c>
    </row>
    <row r="26" spans="1:47" s="6" customFormat="1" x14ac:dyDescent="0.2">
      <c r="A26" s="21" t="s">
        <v>49</v>
      </c>
      <c r="B26" s="6">
        <v>100</v>
      </c>
      <c r="C26" s="6" t="s">
        <v>19</v>
      </c>
      <c r="D26" s="6" t="s">
        <v>15</v>
      </c>
      <c r="E26" s="6" t="s">
        <v>32</v>
      </c>
      <c r="J26" s="8"/>
      <c r="O26" s="8"/>
      <c r="P26" s="5">
        <f t="shared" si="27"/>
        <v>23.842336788324328</v>
      </c>
      <c r="Q26" s="5">
        <f t="shared" si="28"/>
        <v>1.4439581934189734</v>
      </c>
      <c r="R26" s="5"/>
      <c r="S26" s="5"/>
      <c r="T26" s="25"/>
      <c r="U26" s="25"/>
      <c r="V26" s="25"/>
      <c r="AE26" s="22">
        <v>0.23345671269207632</v>
      </c>
      <c r="AF26" s="22">
        <v>0.34090987593158306</v>
      </c>
      <c r="AG26" s="6">
        <f t="shared" si="30"/>
        <v>0.33179999999999998</v>
      </c>
      <c r="AH26" s="22" t="e">
        <v>#VALUE!</v>
      </c>
      <c r="AI26" s="22">
        <v>4.146244843733193E-3</v>
      </c>
      <c r="AJ26" s="22">
        <v>2.2120759853743261</v>
      </c>
      <c r="AK26" s="22">
        <v>0.45550219177909002</v>
      </c>
      <c r="AL26" s="6">
        <v>0.32850000000000001</v>
      </c>
      <c r="AM26" s="6">
        <v>0.33510000000000001</v>
      </c>
    </row>
    <row r="27" spans="1:47" s="6" customFormat="1" x14ac:dyDescent="0.2">
      <c r="A27" s="21" t="s">
        <v>44</v>
      </c>
      <c r="B27" s="6">
        <v>100</v>
      </c>
      <c r="C27" s="6" t="s">
        <v>21</v>
      </c>
      <c r="D27" s="6" t="s">
        <v>15</v>
      </c>
      <c r="E27" s="6" t="s">
        <v>32</v>
      </c>
      <c r="J27" s="8"/>
      <c r="O27" s="8"/>
      <c r="P27" s="5">
        <f t="shared" si="27"/>
        <v>24.901117206473632</v>
      </c>
      <c r="Q27" s="5">
        <f t="shared" si="28"/>
        <v>0.78896797800404339</v>
      </c>
      <c r="R27" s="5"/>
      <c r="S27" s="5"/>
      <c r="T27" s="25"/>
      <c r="U27" s="25"/>
      <c r="V27" s="25"/>
      <c r="AE27" s="22">
        <v>0.21103286030838325</v>
      </c>
      <c r="AF27" s="22">
        <v>0.3914058623455075</v>
      </c>
      <c r="AG27" s="6">
        <f t="shared" si="30"/>
        <v>0.2225</v>
      </c>
      <c r="AH27" s="22">
        <v>9.3293109937188628E-3</v>
      </c>
      <c r="AI27" s="22">
        <v>6.6636004183981655E-3</v>
      </c>
      <c r="AJ27" s="22">
        <v>2.3115480276656926</v>
      </c>
      <c r="AK27" s="22">
        <v>0.25593174223157933</v>
      </c>
      <c r="AL27" s="6">
        <v>0.21829999999999999</v>
      </c>
      <c r="AM27" s="6">
        <v>0.22670000000000001</v>
      </c>
    </row>
    <row r="28" spans="1:47" s="6" customFormat="1" x14ac:dyDescent="0.2">
      <c r="A28" s="21" t="s">
        <v>45</v>
      </c>
      <c r="B28" s="6">
        <v>100</v>
      </c>
      <c r="C28" s="6" t="s">
        <v>20</v>
      </c>
      <c r="D28" s="6" t="s">
        <v>15</v>
      </c>
      <c r="E28" s="6" t="s">
        <v>32</v>
      </c>
      <c r="J28" s="8"/>
      <c r="O28" s="8"/>
      <c r="P28" s="5">
        <f t="shared" si="27"/>
        <v>24.586134116898382</v>
      </c>
      <c r="Q28" s="5">
        <f t="shared" si="28"/>
        <v>0.71587107931759608</v>
      </c>
      <c r="R28" s="5"/>
      <c r="S28" s="5"/>
      <c r="T28" s="25"/>
      <c r="U28" s="25"/>
      <c r="V28" s="25"/>
      <c r="AE28" s="22">
        <v>0.22421531467918776</v>
      </c>
      <c r="AF28" s="22">
        <v>0.37846491408782706</v>
      </c>
      <c r="AG28" s="6">
        <f t="shared" si="30"/>
        <v>0.24160000000000001</v>
      </c>
      <c r="AH28" s="22">
        <v>3.0980286601097286E-2</v>
      </c>
      <c r="AI28" s="22">
        <v>1.80326017263121E-2</v>
      </c>
      <c r="AJ28" s="22">
        <v>2.2819554788517831</v>
      </c>
      <c r="AK28" s="22">
        <v>0.23365968291212558</v>
      </c>
      <c r="AL28" s="6">
        <v>0.20660000000000001</v>
      </c>
      <c r="AM28" s="6">
        <v>0.27660000000000001</v>
      </c>
    </row>
    <row r="29" spans="1:47" x14ac:dyDescent="0.2">
      <c r="A29" s="13" t="s">
        <v>53</v>
      </c>
      <c r="B29">
        <f>B8+96</f>
        <v>144</v>
      </c>
      <c r="C29" t="s">
        <v>21</v>
      </c>
      <c r="D29" t="s">
        <v>15</v>
      </c>
      <c r="E29" t="s">
        <v>71</v>
      </c>
      <c r="J29" s="3">
        <f t="shared" si="24"/>
        <v>218.7525715919285</v>
      </c>
      <c r="K29">
        <f t="shared" ref="K29:K70" si="34">(3.9165*AF29-0.5231)*30</f>
        <v>30.875791155650823</v>
      </c>
      <c r="L29">
        <f t="shared" ref="L29:L64" si="35">(11.007*AG29-0.65)*20</f>
        <v>43.620007999999999</v>
      </c>
      <c r="M29">
        <f t="shared" ref="M29" si="36">(4.6372*AH29-0.0418)*30</f>
        <v>1.4993169409361313</v>
      </c>
      <c r="N29">
        <f t="shared" si="6"/>
        <v>74.495799155650815</v>
      </c>
      <c r="O29" s="3">
        <f t="shared" si="22"/>
        <v>-0.10281072748363672</v>
      </c>
      <c r="P29" s="5">
        <f t="shared" si="27"/>
        <v>1.7290807267877815</v>
      </c>
      <c r="Q29" s="5">
        <f t="shared" si="28"/>
        <v>0.80301241585242955</v>
      </c>
      <c r="R29" s="5"/>
      <c r="S29" s="5"/>
      <c r="T29" s="5"/>
      <c r="U29" s="5"/>
      <c r="V29" s="5"/>
      <c r="W29">
        <f t="shared" ref="W29:W64" si="37">AVERAGE(AO29:AQ29)</f>
        <v>0.39866666666666672</v>
      </c>
      <c r="AE29" s="15">
        <v>0.22917288203490305</v>
      </c>
      <c r="AF29" s="15">
        <v>0.39634700332482931</v>
      </c>
      <c r="AG29">
        <f t="shared" si="30"/>
        <v>0.25719999999999998</v>
      </c>
      <c r="AH29" s="15">
        <v>1.9791518883062562E-2</v>
      </c>
      <c r="AI29" s="15">
        <v>6.1956104741767888E-3</v>
      </c>
      <c r="AJ29" s="15">
        <v>0.13454347301651459</v>
      </c>
      <c r="AK29" s="15">
        <v>0.26021097375150198</v>
      </c>
      <c r="AL29">
        <v>0.28960000000000002</v>
      </c>
      <c r="AM29">
        <v>0.2248</v>
      </c>
      <c r="AO29">
        <v>0.36170000000000002</v>
      </c>
      <c r="AP29">
        <v>0.46639999999999998</v>
      </c>
      <c r="AQ29">
        <v>0.3679</v>
      </c>
    </row>
    <row r="30" spans="1:47" x14ac:dyDescent="0.2">
      <c r="A30" s="13" t="s">
        <v>37</v>
      </c>
      <c r="B30">
        <f t="shared" ref="B30:B31" si="38">B9+96</f>
        <v>144.01</v>
      </c>
      <c r="C30" t="s">
        <v>19</v>
      </c>
      <c r="D30" t="s">
        <v>15</v>
      </c>
      <c r="E30" t="s">
        <v>71</v>
      </c>
      <c r="J30" s="3">
        <f t="shared" si="24"/>
        <v>228.88887118358926</v>
      </c>
      <c r="K30">
        <f t="shared" si="34"/>
        <v>-8.6163159693113993</v>
      </c>
      <c r="L30">
        <f t="shared" si="35"/>
        <v>67.097938999999997</v>
      </c>
      <c r="M30">
        <v>0</v>
      </c>
      <c r="N30">
        <f t="shared" si="6"/>
        <v>58.481623030688596</v>
      </c>
      <c r="O30" s="3">
        <f t="shared" si="22"/>
        <v>-5.3555818886883537E-2</v>
      </c>
      <c r="P30" s="5">
        <f t="shared" si="27"/>
        <v>0.85256957989045445</v>
      </c>
      <c r="Q30" s="5">
        <f t="shared" si="28"/>
        <v>1.2120156349053801</v>
      </c>
      <c r="R30" s="5"/>
      <c r="S30" s="5"/>
      <c r="T30" s="5"/>
      <c r="U30" s="5"/>
      <c r="V30" s="5"/>
      <c r="W30">
        <f t="shared" si="37"/>
        <v>0.32769999999999999</v>
      </c>
      <c r="X30">
        <f>J$3-J30</f>
        <v>-11.714934937923942</v>
      </c>
      <c r="Y30" s="5">
        <f>X30/J$3*100</f>
        <v>-5.3942637594743905</v>
      </c>
      <c r="Z30" s="5"/>
      <c r="AE30" s="15">
        <v>0.23724813404292613</v>
      </c>
      <c r="AF30" s="15">
        <v>6.0229661097822053E-2</v>
      </c>
      <c r="AG30">
        <f t="shared" si="30"/>
        <v>0.36385000000000001</v>
      </c>
      <c r="AH30" s="15" t="e">
        <v>#VALUE!</v>
      </c>
      <c r="AI30" s="15">
        <v>3.3468538822323625E-2</v>
      </c>
      <c r="AJ30" s="15">
        <v>5.2195563687566192E-2</v>
      </c>
      <c r="AK30" s="15">
        <v>0.38483108924600251</v>
      </c>
      <c r="AL30">
        <v>0.36780000000000002</v>
      </c>
      <c r="AM30">
        <v>0.3599</v>
      </c>
      <c r="AO30">
        <v>0.32590000000000002</v>
      </c>
      <c r="AP30">
        <v>0.33360000000000001</v>
      </c>
      <c r="AQ30">
        <v>0.3236</v>
      </c>
    </row>
    <row r="31" spans="1:47" x14ac:dyDescent="0.2">
      <c r="A31" s="13" t="s">
        <v>38</v>
      </c>
      <c r="B31">
        <f t="shared" si="38"/>
        <v>144</v>
      </c>
      <c r="C31" t="s">
        <v>20</v>
      </c>
      <c r="D31" t="s">
        <v>15</v>
      </c>
      <c r="E31" t="s">
        <v>71</v>
      </c>
      <c r="J31" s="3">
        <f t="shared" si="24"/>
        <v>211.90395542110051</v>
      </c>
      <c r="K31">
        <f t="shared" si="34"/>
        <v>30.908902444595753</v>
      </c>
      <c r="L31">
        <f t="shared" si="35"/>
        <v>34.770380000000003</v>
      </c>
      <c r="M31">
        <f t="shared" ref="M31" si="39">(4.6372*AH31-0.0418)*30</f>
        <v>0.99141744449513747</v>
      </c>
      <c r="N31">
        <f t="shared" si="6"/>
        <v>65.679282444595756</v>
      </c>
      <c r="O31" s="3">
        <f t="shared" si="22"/>
        <v>-0.10854705133178408</v>
      </c>
      <c r="P31" s="5">
        <f t="shared" si="27"/>
        <v>1.7987756710616636</v>
      </c>
      <c r="Q31" s="5">
        <f t="shared" si="28"/>
        <v>0.77879970576046353</v>
      </c>
      <c r="R31" s="5"/>
      <c r="S31" s="5"/>
      <c r="T31" s="5"/>
      <c r="U31" s="5"/>
      <c r="V31" s="5"/>
      <c r="W31">
        <f t="shared" si="37"/>
        <v>0.42156666666666665</v>
      </c>
      <c r="AE31" s="15">
        <v>0.22371681781881009</v>
      </c>
      <c r="AF31" s="15">
        <v>0.39662881352053914</v>
      </c>
      <c r="AG31">
        <f t="shared" si="30"/>
        <v>0.217</v>
      </c>
      <c r="AH31" s="15">
        <v>1.6140612470852651E-2</v>
      </c>
      <c r="AI31" s="15">
        <v>3.0193514220464733E-3</v>
      </c>
      <c r="AJ31" s="15">
        <v>0.14109128814934832</v>
      </c>
      <c r="AK31" s="15">
        <v>0.25283354837308458</v>
      </c>
      <c r="AL31">
        <v>0.2177</v>
      </c>
      <c r="AM31">
        <v>0.21629999999999999</v>
      </c>
      <c r="AO31">
        <v>0.40060000000000001</v>
      </c>
      <c r="AP31">
        <v>0.4042</v>
      </c>
      <c r="AQ31">
        <v>0.45989999999999998</v>
      </c>
    </row>
    <row r="32" spans="1:47" x14ac:dyDescent="0.2">
      <c r="A32" s="13" t="s">
        <v>50</v>
      </c>
      <c r="B32">
        <v>120</v>
      </c>
      <c r="C32" t="s">
        <v>19</v>
      </c>
      <c r="D32" t="s">
        <v>15</v>
      </c>
      <c r="E32" t="s">
        <v>32</v>
      </c>
      <c r="F32">
        <f>AR32*80</f>
        <v>213.35999999999999</v>
      </c>
      <c r="G32">
        <f t="shared" ref="G32:I37" si="40">AS32*80</f>
        <v>-59.84</v>
      </c>
      <c r="H32">
        <f t="shared" si="40"/>
        <v>153.52000000000001</v>
      </c>
      <c r="I32">
        <f t="shared" si="40"/>
        <v>125.19999999999999</v>
      </c>
      <c r="J32" s="3">
        <f t="shared" si="24"/>
        <v>116.93204065165612</v>
      </c>
      <c r="K32">
        <f t="shared" si="34"/>
        <v>19.081415763671558</v>
      </c>
      <c r="L32">
        <f t="shared" si="35"/>
        <v>62.144789000000003</v>
      </c>
      <c r="M32">
        <v>0</v>
      </c>
      <c r="N32">
        <f t="shared" si="6"/>
        <v>81.226204763671561</v>
      </c>
      <c r="O32" s="3">
        <f t="shared" si="22"/>
        <v>-0.10741395139045337</v>
      </c>
      <c r="P32" s="5">
        <f t="shared" si="27"/>
        <v>13.874820853773612</v>
      </c>
      <c r="Q32" s="5">
        <f t="shared" si="28"/>
        <v>4.8956975419245294</v>
      </c>
      <c r="R32" s="5"/>
      <c r="S32" s="5"/>
      <c r="T32" s="24">
        <f>2*(Q32-Q$26)/(P$26-P32)</f>
        <v>0.69259770863082992</v>
      </c>
      <c r="U32" s="24"/>
      <c r="V32" s="24"/>
      <c r="W32">
        <f t="shared" si="37"/>
        <v>0.3324333333333333</v>
      </c>
      <c r="X32">
        <f>J$11-J32</f>
        <v>157.42888552877122</v>
      </c>
      <c r="Y32" s="5">
        <f>X32/J$11*100</f>
        <v>57.380213618772245</v>
      </c>
      <c r="Z32" s="5"/>
      <c r="AE32" s="15">
        <v>0.14805585905248606</v>
      </c>
      <c r="AF32" s="15">
        <v>0.29596506884268742</v>
      </c>
      <c r="AG32">
        <f t="shared" si="30"/>
        <v>0.34135000000000004</v>
      </c>
      <c r="AH32" s="15" t="e">
        <v>#VALUE!</v>
      </c>
      <c r="AI32" s="15">
        <v>3.6467600274344577E-3</v>
      </c>
      <c r="AJ32" s="15">
        <v>1.2756314218126279</v>
      </c>
      <c r="AK32" s="15">
        <v>1.5072204576247805</v>
      </c>
      <c r="AL32">
        <v>0.34420000000000001</v>
      </c>
      <c r="AM32">
        <v>0.33850000000000002</v>
      </c>
      <c r="AO32">
        <v>0.32019999999999998</v>
      </c>
      <c r="AP32">
        <v>0.3216</v>
      </c>
      <c r="AQ32">
        <v>0.35549999999999998</v>
      </c>
      <c r="AR32">
        <v>2.6669999999999998</v>
      </c>
      <c r="AS32">
        <v>-0.748</v>
      </c>
      <c r="AT32">
        <v>1.919</v>
      </c>
      <c r="AU32">
        <v>1.5649999999999999</v>
      </c>
    </row>
    <row r="33" spans="1:47" x14ac:dyDescent="0.2">
      <c r="A33" s="13" t="s">
        <v>44</v>
      </c>
      <c r="B33">
        <v>120</v>
      </c>
      <c r="C33" t="s">
        <v>21</v>
      </c>
      <c r="D33" t="s">
        <v>15</v>
      </c>
      <c r="E33" t="s">
        <v>32</v>
      </c>
      <c r="F33">
        <f t="shared" si="15"/>
        <v>247.60000000000002</v>
      </c>
      <c r="G33">
        <f t="shared" si="40"/>
        <v>-91.76</v>
      </c>
      <c r="H33">
        <f t="shared" si="40"/>
        <v>155.84</v>
      </c>
      <c r="I33">
        <f t="shared" si="40"/>
        <v>74.888000000000005</v>
      </c>
      <c r="J33" s="3">
        <f t="shared" si="24"/>
        <v>171.66440984596031</v>
      </c>
      <c r="K33">
        <f t="shared" si="34"/>
        <v>27.201730873266634</v>
      </c>
      <c r="L33">
        <f t="shared" si="35"/>
        <v>34.880449999999996</v>
      </c>
      <c r="M33">
        <f t="shared" ref="M33:M34" si="41">(4.6372*AH33-0.0418)*30</f>
        <v>1.3643590127247274</v>
      </c>
      <c r="N33">
        <f t="shared" si="6"/>
        <v>62.08218087326663</v>
      </c>
      <c r="O33" s="3">
        <f t="shared" si="22"/>
        <v>-0.10288093252237673</v>
      </c>
      <c r="P33" s="5">
        <f t="shared" si="27"/>
        <v>21.896871179889533</v>
      </c>
      <c r="Q33" s="5">
        <f t="shared" si="28"/>
        <v>0.73644937273443367</v>
      </c>
      <c r="R33" s="5"/>
      <c r="S33" s="5"/>
      <c r="T33" s="24">
        <f>2*(Q33-Q$27)/(P$27-P33)</f>
        <v>-3.4962919018536348E-2</v>
      </c>
      <c r="U33" s="24"/>
      <c r="V33" s="24"/>
      <c r="W33">
        <f t="shared" si="37"/>
        <v>0.48110000000000003</v>
      </c>
      <c r="AE33" s="15">
        <v>0.19165931317728171</v>
      </c>
      <c r="AF33" s="15">
        <v>0.36507707454161142</v>
      </c>
      <c r="AG33">
        <f t="shared" si="30"/>
        <v>0.2175</v>
      </c>
      <c r="AH33" s="15">
        <v>1.8821408125051953E-2</v>
      </c>
      <c r="AI33" s="15">
        <v>6.1567372522830918E-3</v>
      </c>
      <c r="AJ33" s="15">
        <v>2.0293001860099147</v>
      </c>
      <c r="AK33" s="15">
        <v>0.23992972965704867</v>
      </c>
      <c r="AL33">
        <v>0.2137</v>
      </c>
      <c r="AM33">
        <v>0.2213</v>
      </c>
      <c r="AO33">
        <v>0.48599999999999999</v>
      </c>
      <c r="AP33">
        <v>0.4773</v>
      </c>
      <c r="AQ33">
        <v>0.48</v>
      </c>
      <c r="AR33">
        <v>3.0950000000000002</v>
      </c>
      <c r="AS33">
        <v>-1.147</v>
      </c>
      <c r="AT33">
        <v>1.948</v>
      </c>
      <c r="AU33">
        <v>0.93610000000000004</v>
      </c>
    </row>
    <row r="34" spans="1:47" x14ac:dyDescent="0.2">
      <c r="A34" s="13" t="s">
        <v>45</v>
      </c>
      <c r="B34">
        <v>120</v>
      </c>
      <c r="C34" t="s">
        <v>20</v>
      </c>
      <c r="D34" t="s">
        <v>15</v>
      </c>
      <c r="E34" t="s">
        <v>32</v>
      </c>
      <c r="F34">
        <f t="shared" si="15"/>
        <v>260.64</v>
      </c>
      <c r="G34">
        <f t="shared" si="40"/>
        <v>-100.39999999999999</v>
      </c>
      <c r="H34">
        <f t="shared" si="40"/>
        <v>160.24</v>
      </c>
      <c r="I34">
        <f t="shared" si="40"/>
        <v>79.783999999999992</v>
      </c>
      <c r="J34" s="3">
        <f t="shared" si="24"/>
        <v>168.09431210114951</v>
      </c>
      <c r="K34">
        <f t="shared" si="34"/>
        <v>26.568197225038656</v>
      </c>
      <c r="L34">
        <f t="shared" si="35"/>
        <v>34.374127999999999</v>
      </c>
      <c r="M34">
        <f t="shared" si="41"/>
        <v>0.82413345844280717</v>
      </c>
      <c r="N34">
        <f t="shared" si="6"/>
        <v>60.942325225038658</v>
      </c>
      <c r="O34" s="3">
        <f t="shared" si="22"/>
        <v>-7.877189266145293E-2</v>
      </c>
      <c r="P34" s="5">
        <f t="shared" si="27"/>
        <v>23.964458696368592</v>
      </c>
      <c r="Q34" s="5">
        <f t="shared" si="28"/>
        <v>0.68639754728974223</v>
      </c>
      <c r="R34" s="5"/>
      <c r="S34" s="5"/>
      <c r="T34" s="24">
        <f>2*(Q34-Q$28)/(P$28-P34)</f>
        <v>-9.4819679384256755E-2</v>
      </c>
      <c r="U34" s="24"/>
      <c r="V34" s="24"/>
      <c r="W34">
        <f t="shared" si="37"/>
        <v>0.42709999999999998</v>
      </c>
      <c r="AE34" s="15">
        <v>0.18881513530724911</v>
      </c>
      <c r="AF34" s="15">
        <v>0.35968506936498279</v>
      </c>
      <c r="AG34">
        <f t="shared" si="30"/>
        <v>0.2152</v>
      </c>
      <c r="AH34" s="15">
        <v>1.4938134063966813E-2</v>
      </c>
      <c r="AI34" s="15">
        <v>1.9506150242827834E-2</v>
      </c>
      <c r="AJ34" s="15">
        <v>2.2235492950365079</v>
      </c>
      <c r="AK34" s="15">
        <v>0.22467932580430902</v>
      </c>
      <c r="AL34">
        <v>0.21129999999999999</v>
      </c>
      <c r="AM34">
        <v>0.21909999999999999</v>
      </c>
      <c r="AO34">
        <v>0.42599999999999999</v>
      </c>
      <c r="AP34">
        <v>0.42680000000000001</v>
      </c>
      <c r="AQ34">
        <v>0.42849999999999999</v>
      </c>
      <c r="AR34">
        <v>3.258</v>
      </c>
      <c r="AS34">
        <v>-1.2549999999999999</v>
      </c>
      <c r="AT34">
        <v>2.0030000000000001</v>
      </c>
      <c r="AU34">
        <v>0.99729999999999996</v>
      </c>
    </row>
    <row r="35" spans="1:47" x14ac:dyDescent="0.2">
      <c r="A35" s="13" t="s">
        <v>51</v>
      </c>
      <c r="B35">
        <v>144</v>
      </c>
      <c r="C35" t="s">
        <v>19</v>
      </c>
      <c r="D35" t="s">
        <v>15</v>
      </c>
      <c r="E35" t="s">
        <v>32</v>
      </c>
      <c r="F35">
        <f t="shared" si="15"/>
        <v>138.48000000000002</v>
      </c>
      <c r="G35">
        <f t="shared" si="40"/>
        <v>-13.504000000000001</v>
      </c>
      <c r="H35">
        <f t="shared" si="40"/>
        <v>124.96000000000001</v>
      </c>
      <c r="I35">
        <f t="shared" si="40"/>
        <v>121.76</v>
      </c>
      <c r="J35" s="3">
        <f t="shared" si="24"/>
        <v>84.238479050115842</v>
      </c>
      <c r="K35">
        <f t="shared" si="34"/>
        <v>27.699550850089686</v>
      </c>
      <c r="L35">
        <f t="shared" si="35"/>
        <v>66.954847999999998</v>
      </c>
      <c r="M35">
        <v>0</v>
      </c>
      <c r="N35">
        <f t="shared" si="6"/>
        <v>94.654398850089677</v>
      </c>
      <c r="O35" s="3">
        <f t="shared" si="22"/>
        <v>-0.10456448906255095</v>
      </c>
      <c r="P35" s="5">
        <f t="shared" si="27"/>
        <v>6.1289983998945434</v>
      </c>
      <c r="Q35" s="5">
        <f t="shared" si="28"/>
        <v>11.249330903319565</v>
      </c>
      <c r="R35" s="5"/>
      <c r="S35" s="5"/>
      <c r="T35" s="24">
        <f>2*(Q35-Q$26)/(P$26-P35)</f>
        <v>1.1071174156877606</v>
      </c>
      <c r="U35" s="24"/>
      <c r="V35" s="24"/>
      <c r="W35">
        <f t="shared" si="37"/>
        <v>0.30480000000000002</v>
      </c>
      <c r="X35">
        <f>J$11-J35</f>
        <v>190.12244713031149</v>
      </c>
      <c r="Y35" s="5">
        <f>X35/J$11*100</f>
        <v>69.29647372792499</v>
      </c>
      <c r="Z35" s="5"/>
      <c r="AE35" s="15">
        <v>0.12200998830992563</v>
      </c>
      <c r="AF35" s="15">
        <v>0.36931402059738444</v>
      </c>
      <c r="AG35">
        <f t="shared" si="30"/>
        <v>0.36319999999999997</v>
      </c>
      <c r="AH35" s="15" t="e">
        <v>#VALUE!</v>
      </c>
      <c r="AI35" s="15">
        <v>5.2245354027957045E-3</v>
      </c>
      <c r="AJ35" s="15">
        <v>0.54791416759625544</v>
      </c>
      <c r="AK35" s="15">
        <v>3.4431233709078506</v>
      </c>
      <c r="AL35">
        <v>0.36449999999999999</v>
      </c>
      <c r="AM35">
        <v>0.3619</v>
      </c>
      <c r="AO35">
        <v>0.29509999999999997</v>
      </c>
      <c r="AP35">
        <v>0.312</v>
      </c>
      <c r="AQ35">
        <v>0.30730000000000002</v>
      </c>
      <c r="AR35">
        <v>1.7310000000000001</v>
      </c>
      <c r="AS35">
        <v>-0.16880000000000001</v>
      </c>
      <c r="AT35">
        <v>1.5620000000000001</v>
      </c>
      <c r="AU35">
        <v>1.522</v>
      </c>
    </row>
    <row r="36" spans="1:47" x14ac:dyDescent="0.2">
      <c r="A36" s="13" t="s">
        <v>44</v>
      </c>
      <c r="B36">
        <v>144</v>
      </c>
      <c r="C36" t="s">
        <v>21</v>
      </c>
      <c r="D36" t="s">
        <v>15</v>
      </c>
      <c r="E36" t="s">
        <v>32</v>
      </c>
      <c r="F36">
        <f t="shared" si="15"/>
        <v>252.71999999999997</v>
      </c>
      <c r="G36">
        <f t="shared" si="40"/>
        <v>-80.319999999999993</v>
      </c>
      <c r="H36">
        <f t="shared" si="40"/>
        <v>172.32</v>
      </c>
      <c r="I36">
        <f t="shared" si="40"/>
        <v>80.399999999999991</v>
      </c>
      <c r="J36" s="3">
        <f t="shared" si="24"/>
        <v>238.12188706747904</v>
      </c>
      <c r="K36">
        <f t="shared" si="34"/>
        <v>29.816608046429305</v>
      </c>
      <c r="L36">
        <f t="shared" si="35"/>
        <v>32.557973000000004</v>
      </c>
      <c r="M36">
        <f t="shared" ref="M36:M38" si="42">(4.6372*AH36-0.0418)*30</f>
        <v>1.6150228657675363</v>
      </c>
      <c r="N36">
        <f t="shared" si="6"/>
        <v>62.374581046429313</v>
      </c>
      <c r="O36" s="3">
        <f t="shared" si="22"/>
        <v>-0.1046616581433561</v>
      </c>
      <c r="P36" s="5">
        <f t="shared" si="27"/>
        <v>21.126419826353768</v>
      </c>
      <c r="Q36" s="5">
        <f t="shared" si="28"/>
        <v>1.1353767889320481</v>
      </c>
      <c r="R36" s="5"/>
      <c r="S36" s="5"/>
      <c r="T36" s="24">
        <f>2*(Q36-Q$27)/(P$27-P36)</f>
        <v>0.18354256039301597</v>
      </c>
      <c r="U36" s="24"/>
      <c r="V36" s="24"/>
      <c r="W36">
        <f t="shared" si="37"/>
        <v>0.4375</v>
      </c>
      <c r="AE36" s="15">
        <v>0.24460377003042497</v>
      </c>
      <c r="AF36" s="15">
        <v>0.38733229538643604</v>
      </c>
      <c r="AG36">
        <f t="shared" si="30"/>
        <v>0.20695000000000002</v>
      </c>
      <c r="AH36" s="15">
        <v>2.0623241509010726E-2</v>
      </c>
      <c r="AI36" s="15">
        <v>5.1707319250519955E-3</v>
      </c>
      <c r="AJ36" s="15">
        <v>1.956916556403022</v>
      </c>
      <c r="AK36" s="15">
        <v>0.36147982600001466</v>
      </c>
      <c r="AL36">
        <v>0.20680000000000001</v>
      </c>
      <c r="AM36">
        <v>0.20710000000000001</v>
      </c>
      <c r="AO36">
        <v>0.43709999999999999</v>
      </c>
      <c r="AP36">
        <v>0.4365</v>
      </c>
      <c r="AQ36">
        <v>0.43890000000000001</v>
      </c>
      <c r="AR36">
        <v>3.1589999999999998</v>
      </c>
      <c r="AS36">
        <v>-1.004</v>
      </c>
      <c r="AT36">
        <v>2.1539999999999999</v>
      </c>
      <c r="AU36">
        <v>1.0049999999999999</v>
      </c>
    </row>
    <row r="37" spans="1:47" x14ac:dyDescent="0.2">
      <c r="A37" s="13" t="s">
        <v>45</v>
      </c>
      <c r="B37">
        <v>144</v>
      </c>
      <c r="C37" t="s">
        <v>20</v>
      </c>
      <c r="D37" t="s">
        <v>15</v>
      </c>
      <c r="E37" t="s">
        <v>32</v>
      </c>
      <c r="F37">
        <f t="shared" si="15"/>
        <v>257.83999999999997</v>
      </c>
      <c r="G37">
        <f t="shared" si="40"/>
        <v>-86.8</v>
      </c>
      <c r="H37">
        <f t="shared" si="40"/>
        <v>171.04</v>
      </c>
      <c r="I37">
        <f t="shared" si="40"/>
        <v>80</v>
      </c>
      <c r="J37" s="3">
        <f t="shared" si="24"/>
        <v>223.00311848681991</v>
      </c>
      <c r="K37">
        <f t="shared" si="34"/>
        <v>29.459617690760702</v>
      </c>
      <c r="L37">
        <f t="shared" si="35"/>
        <v>36.443444000000007</v>
      </c>
      <c r="M37">
        <f t="shared" si="42"/>
        <v>0.48530849592693759</v>
      </c>
      <c r="N37">
        <f t="shared" si="6"/>
        <v>65.903061690760708</v>
      </c>
      <c r="O37" s="3">
        <f t="shared" si="22"/>
        <v>-0.10591268415009379</v>
      </c>
      <c r="P37" s="5">
        <f t="shared" si="27"/>
        <v>24.259674088342084</v>
      </c>
      <c r="Q37" s="5">
        <f t="shared" si="28"/>
        <v>0.75137518613718168</v>
      </c>
      <c r="R37" s="5"/>
      <c r="S37" s="5"/>
      <c r="T37" s="24">
        <f>2*(Q37-Q$28)/(P$28-P37)</f>
        <v>0.21750967171445279</v>
      </c>
      <c r="U37" s="24"/>
      <c r="V37" s="24"/>
      <c r="W37">
        <f t="shared" si="37"/>
        <v>0.4052</v>
      </c>
      <c r="AE37" s="15">
        <v>0.23255915106116654</v>
      </c>
      <c r="AF37" s="15">
        <v>0.38429395030223162</v>
      </c>
      <c r="AG37">
        <f t="shared" si="30"/>
        <v>0.22460000000000002</v>
      </c>
      <c r="AH37" s="15">
        <v>1.2502576956834134E-2</v>
      </c>
      <c r="AI37" s="15">
        <v>4.478026494964679E-3</v>
      </c>
      <c r="AJ37" s="15">
        <v>2.251284675717971</v>
      </c>
      <c r="AK37" s="15">
        <v>0.2444775094872583</v>
      </c>
      <c r="AL37">
        <v>0.1963</v>
      </c>
      <c r="AM37">
        <v>0.25290000000000001</v>
      </c>
      <c r="AO37">
        <v>0.39929999999999999</v>
      </c>
      <c r="AP37">
        <v>0.4108</v>
      </c>
      <c r="AQ37">
        <v>0.40550000000000003</v>
      </c>
      <c r="AR37">
        <v>3.2229999999999999</v>
      </c>
      <c r="AS37">
        <v>-1.085</v>
      </c>
      <c r="AT37">
        <v>2.1379999999999999</v>
      </c>
      <c r="AU37">
        <v>1</v>
      </c>
    </row>
    <row r="38" spans="1:47" x14ac:dyDescent="0.2">
      <c r="A38" s="13" t="s">
        <v>52</v>
      </c>
      <c r="B38">
        <f>B29+24</f>
        <v>168</v>
      </c>
      <c r="C38" t="s">
        <v>21</v>
      </c>
      <c r="D38" t="s">
        <v>15</v>
      </c>
      <c r="E38" t="s">
        <v>71</v>
      </c>
      <c r="J38" s="3">
        <f t="shared" si="24"/>
        <v>232.87351002551503</v>
      </c>
      <c r="K38">
        <f t="shared" si="34"/>
        <v>29.585840541842146</v>
      </c>
      <c r="L38">
        <f t="shared" si="35"/>
        <v>34.363121000000007</v>
      </c>
      <c r="M38">
        <f t="shared" si="42"/>
        <v>0.20925981562755497</v>
      </c>
      <c r="N38">
        <f t="shared" si="6"/>
        <v>63.948961541842152</v>
      </c>
      <c r="O38" s="3">
        <f t="shared" si="22"/>
        <v>-0.10771390123243293</v>
      </c>
      <c r="P38" s="5">
        <f t="shared" si="27"/>
        <v>1.6507132394703241</v>
      </c>
      <c r="Q38" s="5">
        <f t="shared" si="28"/>
        <v>0.7283050026020591</v>
      </c>
      <c r="R38" s="5"/>
      <c r="S38" s="5"/>
      <c r="T38" s="5"/>
      <c r="U38" s="5"/>
      <c r="V38" s="5"/>
      <c r="W38">
        <f t="shared" si="37"/>
        <v>0.34056666666666668</v>
      </c>
      <c r="AE38" s="15">
        <v>0.24042256298699366</v>
      </c>
      <c r="AF38" s="15">
        <v>0.38536823304687129</v>
      </c>
      <c r="AG38">
        <f t="shared" si="30"/>
        <v>0.21515000000000001</v>
      </c>
      <c r="AH38" s="15">
        <v>1.051827119545958E-2</v>
      </c>
      <c r="AI38" s="15">
        <v>3.4806748436140992E-3</v>
      </c>
      <c r="AJ38" s="15">
        <v>0.12718087556090982</v>
      </c>
      <c r="AK38" s="15">
        <v>0.23744820310848846</v>
      </c>
      <c r="AL38">
        <v>0.23480000000000001</v>
      </c>
      <c r="AM38">
        <v>0.19550000000000001</v>
      </c>
      <c r="AO38" s="20">
        <v>0.34389999999999998</v>
      </c>
      <c r="AP38" s="20">
        <v>0.33560000000000001</v>
      </c>
      <c r="AQ38" s="20">
        <v>0.3422</v>
      </c>
    </row>
    <row r="39" spans="1:47" x14ac:dyDescent="0.2">
      <c r="A39" s="13" t="s">
        <v>37</v>
      </c>
      <c r="B39">
        <f t="shared" ref="B39:B40" si="43">B30+24</f>
        <v>168.01</v>
      </c>
      <c r="C39" t="s">
        <v>19</v>
      </c>
      <c r="D39" t="s">
        <v>15</v>
      </c>
      <c r="E39" t="s">
        <v>71</v>
      </c>
      <c r="J39" s="3">
        <f t="shared" si="24"/>
        <v>261.1380919983759</v>
      </c>
      <c r="K39">
        <f t="shared" si="34"/>
        <v>-5.4966049215094612</v>
      </c>
      <c r="L39">
        <f t="shared" si="35"/>
        <v>66.987869000000003</v>
      </c>
      <c r="M39">
        <v>0</v>
      </c>
      <c r="N39">
        <f t="shared" si="6"/>
        <v>61.491264078490545</v>
      </c>
      <c r="O39" s="3">
        <f t="shared" si="22"/>
        <v>-0.10042579049873834</v>
      </c>
      <c r="P39" s="5">
        <f t="shared" si="27"/>
        <v>0.49405264093372769</v>
      </c>
      <c r="Q39" s="5">
        <f t="shared" si="28"/>
        <v>1.4377462113027231</v>
      </c>
      <c r="R39" s="5"/>
      <c r="S39" s="5"/>
      <c r="T39" s="5"/>
      <c r="U39" s="5"/>
      <c r="V39" s="5"/>
      <c r="W39">
        <f t="shared" si="37"/>
        <v>0.33400000000000002</v>
      </c>
      <c r="X39">
        <f>J$3-J39</f>
        <v>-43.964155752710582</v>
      </c>
      <c r="Y39" s="5">
        <f>X39/J$3*100</f>
        <v>-20.243753238868727</v>
      </c>
      <c r="Z39" s="5"/>
      <c r="AE39" s="15">
        <v>0.26294001329203948</v>
      </c>
      <c r="AF39" s="15">
        <v>8.6781523286016751E-2</v>
      </c>
      <c r="AG39">
        <f t="shared" si="30"/>
        <v>0.36335000000000001</v>
      </c>
      <c r="AH39" s="15" t="e">
        <v>#VALUE!</v>
      </c>
      <c r="AI39" s="15">
        <v>7.5161735887384548E-3</v>
      </c>
      <c r="AJ39" s="15">
        <v>1.8513025266227699E-2</v>
      </c>
      <c r="AK39" s="15">
        <v>0.45360944890393756</v>
      </c>
      <c r="AL39">
        <v>0.37690000000000001</v>
      </c>
      <c r="AM39">
        <v>0.3498</v>
      </c>
      <c r="AO39" s="20">
        <v>0.32690000000000002</v>
      </c>
      <c r="AP39" s="20">
        <v>0.33489999999999998</v>
      </c>
      <c r="AQ39" s="20">
        <v>0.3402</v>
      </c>
    </row>
    <row r="40" spans="1:47" x14ac:dyDescent="0.2">
      <c r="A40" s="13" t="s">
        <v>38</v>
      </c>
      <c r="B40">
        <f t="shared" si="43"/>
        <v>168</v>
      </c>
      <c r="C40" t="s">
        <v>20</v>
      </c>
      <c r="D40" t="s">
        <v>15</v>
      </c>
      <c r="E40" t="s">
        <v>71</v>
      </c>
      <c r="J40" s="3">
        <f t="shared" si="24"/>
        <v>225.14635307701914</v>
      </c>
      <c r="K40">
        <f t="shared" si="34"/>
        <v>24.249145299774895</v>
      </c>
      <c r="L40">
        <f t="shared" si="35"/>
        <v>36.531500000000001</v>
      </c>
      <c r="M40">
        <v>0</v>
      </c>
      <c r="N40">
        <f t="shared" si="6"/>
        <v>60.780645299774896</v>
      </c>
      <c r="O40" s="3">
        <f t="shared" si="22"/>
        <v>-0.10631258683066416</v>
      </c>
      <c r="P40" s="5">
        <f t="shared" si="27"/>
        <v>1.5620938268001225</v>
      </c>
      <c r="Q40" s="5">
        <f t="shared" si="28"/>
        <v>0.76486877230200601</v>
      </c>
      <c r="R40" s="5"/>
      <c r="S40" s="5"/>
      <c r="T40" s="5"/>
      <c r="U40" s="5"/>
      <c r="V40" s="5"/>
      <c r="W40">
        <f t="shared" si="37"/>
        <v>0.39763333333333334</v>
      </c>
      <c r="AE40" s="15">
        <v>0.23426659461802526</v>
      </c>
      <c r="AF40" s="15">
        <v>0.33994761734350309</v>
      </c>
      <c r="AG40">
        <f t="shared" si="30"/>
        <v>0.22500000000000001</v>
      </c>
      <c r="AH40" s="15" t="e">
        <v>#VALUE!</v>
      </c>
      <c r="AI40" s="15">
        <v>4.2565964392778689E-3</v>
      </c>
      <c r="AJ40" s="15">
        <v>0.11885511337844068</v>
      </c>
      <c r="AK40" s="15">
        <v>0.24858890076234189</v>
      </c>
      <c r="AL40">
        <v>0.22750000000000001</v>
      </c>
      <c r="AM40">
        <v>0.2225</v>
      </c>
      <c r="AO40" s="20">
        <v>0.40179999999999999</v>
      </c>
      <c r="AP40" s="20">
        <v>0.39250000000000002</v>
      </c>
      <c r="AQ40" s="20">
        <v>0.39860000000000001</v>
      </c>
    </row>
    <row r="41" spans="1:47" x14ac:dyDescent="0.2">
      <c r="A41" s="13" t="s">
        <v>55</v>
      </c>
      <c r="B41">
        <f>B38+9</f>
        <v>177</v>
      </c>
      <c r="C41" t="s">
        <v>19</v>
      </c>
      <c r="D41" t="s">
        <v>15</v>
      </c>
      <c r="E41" t="s">
        <v>32</v>
      </c>
      <c r="F41">
        <f t="shared" si="15"/>
        <v>92</v>
      </c>
      <c r="G41">
        <f t="shared" ref="G41:G46" si="44">AS41*80</f>
        <v>-11.167999999999999</v>
      </c>
      <c r="H41">
        <f t="shared" ref="H41:H46" si="45">AT41*80</f>
        <v>80.8</v>
      </c>
      <c r="I41">
        <f t="shared" ref="I41:I46" si="46">AU41*80</f>
        <v>122.63999999999999</v>
      </c>
      <c r="J41" s="3">
        <f t="shared" si="24"/>
        <v>50.1029085186263</v>
      </c>
      <c r="K41">
        <f t="shared" si="34"/>
        <v>27.734900614998573</v>
      </c>
      <c r="L41">
        <f t="shared" si="35"/>
        <v>65.204734999999999</v>
      </c>
      <c r="M41">
        <v>0</v>
      </c>
      <c r="N41">
        <f t="shared" si="6"/>
        <v>92.939635614998565</v>
      </c>
      <c r="O41" s="3">
        <f t="shared" si="22"/>
        <v>-4.1606221424961676E-2</v>
      </c>
      <c r="P41" s="5">
        <f t="shared" si="27"/>
        <v>3.5718875957021168</v>
      </c>
      <c r="Q41" s="5">
        <f t="shared" si="28"/>
        <v>14.099346905044722</v>
      </c>
      <c r="R41" s="5"/>
      <c r="S41" s="5"/>
      <c r="T41" s="24">
        <f>2*(Q41-Q$26)/(P$26-P41)</f>
        <v>1.2486539978829774</v>
      </c>
      <c r="U41" s="24"/>
      <c r="V41" s="24"/>
      <c r="W41">
        <f t="shared" si="37"/>
        <v>0.33906666666666663</v>
      </c>
      <c r="X41">
        <f>J$11-J41</f>
        <v>224.25801766180103</v>
      </c>
      <c r="Y41" s="5">
        <f>X41/J$11*100</f>
        <v>81.738322137869872</v>
      </c>
      <c r="Z41" s="5"/>
      <c r="AE41" s="15">
        <v>9.4815317119838954E-2</v>
      </c>
      <c r="AF41" s="15">
        <v>0.36961488246307139</v>
      </c>
      <c r="AG41">
        <f t="shared" si="30"/>
        <v>0.35525000000000001</v>
      </c>
      <c r="AH41" s="15" t="e">
        <v>#VALUE!</v>
      </c>
      <c r="AI41" s="15">
        <v>4.0085148712645804E-2</v>
      </c>
      <c r="AJ41" s="15">
        <v>0.30767452045303612</v>
      </c>
      <c r="AK41" s="15">
        <v>4.3115011898369051</v>
      </c>
      <c r="AL41">
        <v>0.35720000000000002</v>
      </c>
      <c r="AM41">
        <v>0.3533</v>
      </c>
      <c r="AO41" s="20">
        <v>0.32650000000000001</v>
      </c>
      <c r="AP41" s="20">
        <v>0.32869999999999999</v>
      </c>
      <c r="AQ41" s="20">
        <v>0.36199999999999999</v>
      </c>
      <c r="AR41">
        <v>1.1499999999999999</v>
      </c>
      <c r="AS41" s="20">
        <v>-0.1396</v>
      </c>
      <c r="AT41" s="20">
        <v>1.01</v>
      </c>
      <c r="AU41">
        <v>1.5329999999999999</v>
      </c>
    </row>
    <row r="42" spans="1:47" x14ac:dyDescent="0.2">
      <c r="A42" s="13" t="s">
        <v>44</v>
      </c>
      <c r="B42">
        <f t="shared" ref="B42:B43" si="47">B39+9</f>
        <v>177.01</v>
      </c>
      <c r="C42" t="s">
        <v>21</v>
      </c>
      <c r="D42" t="s">
        <v>15</v>
      </c>
      <c r="E42" t="s">
        <v>32</v>
      </c>
      <c r="F42">
        <f t="shared" si="15"/>
        <v>219.52</v>
      </c>
      <c r="G42">
        <f t="shared" si="44"/>
        <v>-51.904000000000003</v>
      </c>
      <c r="H42">
        <f t="shared" si="45"/>
        <v>167.60000000000002</v>
      </c>
      <c r="I42">
        <f t="shared" si="46"/>
        <v>81.92</v>
      </c>
      <c r="J42" s="8">
        <f>30*(AE42-0.0549)/0.0239</f>
        <v>441.80571081884125</v>
      </c>
      <c r="K42">
        <f t="shared" si="34"/>
        <v>23.282105338596288</v>
      </c>
      <c r="L42">
        <f t="shared" si="35"/>
        <v>33.328462999999999</v>
      </c>
      <c r="M42">
        <f t="shared" ref="M42:M43" si="48">(4.6372*AH42-0.0418)*30</f>
        <v>1.8664728973280531</v>
      </c>
      <c r="N42">
        <f t="shared" si="6"/>
        <v>56.610568338596288</v>
      </c>
      <c r="O42" s="3">
        <f t="shared" si="22"/>
        <v>-6.3298080498102635E-2</v>
      </c>
      <c r="P42" s="5">
        <f t="shared" si="27"/>
        <v>19.45048255084772</v>
      </c>
      <c r="Q42" s="5">
        <f t="shared" si="28"/>
        <v>0.66305895182519947</v>
      </c>
      <c r="R42" s="5"/>
      <c r="S42" s="5"/>
      <c r="T42" s="24">
        <f>2*(Q42-Q$27)/(P$27-P42)</f>
        <v>-4.619976723220149E-2</v>
      </c>
      <c r="U42" s="24"/>
      <c r="V42" s="24"/>
      <c r="W42">
        <f t="shared" si="37"/>
        <v>0.45956666666666668</v>
      </c>
      <c r="AE42" s="15">
        <v>0.4068718829523435</v>
      </c>
      <c r="AF42" s="15">
        <v>0.33171713978123568</v>
      </c>
      <c r="AG42">
        <f t="shared" si="30"/>
        <v>0.21045</v>
      </c>
      <c r="AH42" s="15">
        <v>2.2430726137382135E-2</v>
      </c>
      <c r="AI42" s="15">
        <v>2.8074152548115929E-2</v>
      </c>
      <c r="AJ42" s="15">
        <v>1.7994628476933219</v>
      </c>
      <c r="AK42" s="15">
        <v>0.21756823638793404</v>
      </c>
      <c r="AL42">
        <v>0.21490000000000001</v>
      </c>
      <c r="AM42">
        <v>0.20599999999999999</v>
      </c>
      <c r="AO42" s="20">
        <v>0.46750000000000003</v>
      </c>
      <c r="AP42" s="20">
        <v>0.45350000000000001</v>
      </c>
      <c r="AQ42" s="20">
        <v>0.4577</v>
      </c>
      <c r="AR42">
        <v>2.7440000000000002</v>
      </c>
      <c r="AS42" s="20">
        <v>-0.64880000000000004</v>
      </c>
      <c r="AT42" s="20">
        <v>2.0950000000000002</v>
      </c>
      <c r="AU42">
        <v>1.024</v>
      </c>
    </row>
    <row r="43" spans="1:47" x14ac:dyDescent="0.2">
      <c r="A43" s="13" t="s">
        <v>45</v>
      </c>
      <c r="B43">
        <f t="shared" si="47"/>
        <v>177</v>
      </c>
      <c r="C43" t="s">
        <v>20</v>
      </c>
      <c r="D43" t="s">
        <v>15</v>
      </c>
      <c r="E43" t="s">
        <v>32</v>
      </c>
      <c r="F43">
        <f t="shared" si="15"/>
        <v>235.51999999999998</v>
      </c>
      <c r="G43">
        <f t="shared" si="44"/>
        <v>-83.919999999999987</v>
      </c>
      <c r="H43">
        <f t="shared" si="45"/>
        <v>151.6</v>
      </c>
      <c r="I43">
        <f t="shared" si="46"/>
        <v>88</v>
      </c>
      <c r="J43" s="3">
        <f t="shared" si="24"/>
        <v>208.11938188377567</v>
      </c>
      <c r="K43">
        <f t="shared" si="34"/>
        <v>26.283397129244197</v>
      </c>
      <c r="L43">
        <f t="shared" si="35"/>
        <v>30.455636000000005</v>
      </c>
      <c r="M43">
        <f t="shared" si="48"/>
        <v>1.0280962652790764</v>
      </c>
      <c r="N43">
        <f t="shared" si="6"/>
        <v>56.739033129244206</v>
      </c>
      <c r="O43" s="3">
        <f t="shared" si="22"/>
        <v>-2.006721922474046E-2</v>
      </c>
      <c r="P43" s="5">
        <f t="shared" si="27"/>
        <v>23.617100080243631</v>
      </c>
      <c r="Q43" s="5">
        <f t="shared" si="28"/>
        <v>0.69607832365121947</v>
      </c>
      <c r="R43" s="5"/>
      <c r="S43" s="5"/>
      <c r="T43" s="24">
        <f>2*(Q43-Q$28)/(P$28-P43)</f>
        <v>-4.0850485984381187E-2</v>
      </c>
      <c r="U43" s="24"/>
      <c r="V43" s="24"/>
      <c r="W43">
        <f t="shared" si="37"/>
        <v>0.40916666666666668</v>
      </c>
      <c r="AE43" s="15">
        <v>0.22070177423407464</v>
      </c>
      <c r="AF43" s="15">
        <v>0.3572611356163598</v>
      </c>
      <c r="AG43">
        <f t="shared" si="30"/>
        <v>0.19740000000000002</v>
      </c>
      <c r="AH43" s="15">
        <v>1.6404268849586505E-2</v>
      </c>
      <c r="AI43" s="15">
        <v>5.2011506520077265E-2</v>
      </c>
      <c r="AJ43" s="15">
        <v>2.1909150770615962</v>
      </c>
      <c r="AK43" s="15">
        <v>0.22762898344034721</v>
      </c>
      <c r="AL43">
        <v>0.19700000000000001</v>
      </c>
      <c r="AM43">
        <v>0.1978</v>
      </c>
      <c r="AO43" s="20">
        <v>0.41189999999999999</v>
      </c>
      <c r="AP43" s="20">
        <v>0.41520000000000001</v>
      </c>
      <c r="AQ43" s="20">
        <v>0.40039999999999998</v>
      </c>
      <c r="AR43">
        <v>2.944</v>
      </c>
      <c r="AS43" s="20">
        <v>-1.0489999999999999</v>
      </c>
      <c r="AT43" s="20">
        <v>1.895</v>
      </c>
      <c r="AU43">
        <v>1.1000000000000001</v>
      </c>
    </row>
    <row r="44" spans="1:47" x14ac:dyDescent="0.2">
      <c r="A44" s="13" t="s">
        <v>56</v>
      </c>
      <c r="B44">
        <f>B38+26</f>
        <v>194</v>
      </c>
      <c r="C44" t="s">
        <v>19</v>
      </c>
      <c r="D44" t="s">
        <v>15</v>
      </c>
      <c r="E44" t="s">
        <v>32</v>
      </c>
      <c r="F44">
        <f>AR44*80</f>
        <v>66.319999999999993</v>
      </c>
      <c r="G44">
        <f t="shared" si="44"/>
        <v>15.56</v>
      </c>
      <c r="H44">
        <f t="shared" si="45"/>
        <v>81.839999999999989</v>
      </c>
      <c r="I44">
        <f t="shared" si="46"/>
        <v>125.84</v>
      </c>
      <c r="J44" s="3">
        <f t="shared" si="24"/>
        <v>16.698445651854993</v>
      </c>
      <c r="K44">
        <f t="shared" si="34"/>
        <v>33.200630243428428</v>
      </c>
      <c r="L44">
        <f t="shared" si="35"/>
        <v>65.413867999999994</v>
      </c>
      <c r="M44">
        <v>0</v>
      </c>
      <c r="N44">
        <f t="shared" si="6"/>
        <v>98.614498243428415</v>
      </c>
      <c r="O44" s="3">
        <f t="shared" si="22"/>
        <v>-0.10620440798043562</v>
      </c>
      <c r="P44" s="5">
        <f t="shared" si="27"/>
        <v>0.29701064399999999</v>
      </c>
      <c r="Q44" s="5">
        <f t="shared" si="28"/>
        <v>19.581046786788711</v>
      </c>
      <c r="R44" s="9">
        <f>P26-P44</f>
        <v>23.545326144324328</v>
      </c>
      <c r="S44" s="9">
        <f>-(Q26-Q44)</f>
        <v>18.137088593369739</v>
      </c>
      <c r="T44" s="25">
        <f>2*(Q44-Q$26)/(P$26-P44)</f>
        <v>1.540610521357483</v>
      </c>
      <c r="U44" s="25">
        <f>4*(X44/12)/(R44*8)</f>
        <v>0.45596890962066561</v>
      </c>
      <c r="V44" s="24"/>
      <c r="W44">
        <f t="shared" si="37"/>
        <v>0.30960000000000004</v>
      </c>
      <c r="X44">
        <f>J$11-J44</f>
        <v>257.66248052857236</v>
      </c>
      <c r="Y44" s="5">
        <f>X44/J$11*100</f>
        <v>93.913693948943148</v>
      </c>
      <c r="Z44" s="5">
        <f>(J23-J44)/(B44-B26)*24</f>
        <v>45.129777912319305</v>
      </c>
      <c r="AE44" s="15">
        <v>6.8203095035977809E-2</v>
      </c>
      <c r="AF44" s="15">
        <v>0.41613370988917336</v>
      </c>
      <c r="AG44">
        <f t="shared" si="30"/>
        <v>0.35619999999999996</v>
      </c>
      <c r="AH44" s="15" t="e">
        <v>#VALUE!</v>
      </c>
      <c r="AI44" s="15">
        <v>4.3164961348639971E-3</v>
      </c>
      <c r="AJ44" s="15">
        <v>9.9999999999999995E-7</v>
      </c>
      <c r="AK44" s="15">
        <v>5.9817327199234347</v>
      </c>
      <c r="AL44">
        <v>0.34839999999999999</v>
      </c>
      <c r="AM44">
        <v>0.36399999999999999</v>
      </c>
      <c r="AO44" s="19">
        <v>0.309</v>
      </c>
      <c r="AP44" s="19">
        <v>0.31</v>
      </c>
      <c r="AQ44" s="19">
        <v>0.30980000000000002</v>
      </c>
      <c r="AR44">
        <v>0.82899999999999996</v>
      </c>
      <c r="AS44" s="20">
        <v>0.19450000000000001</v>
      </c>
      <c r="AT44" s="20">
        <v>1.0229999999999999</v>
      </c>
      <c r="AU44">
        <v>1.573</v>
      </c>
    </row>
    <row r="45" spans="1:47" x14ac:dyDescent="0.2">
      <c r="A45" s="13" t="s">
        <v>44</v>
      </c>
      <c r="B45">
        <f t="shared" ref="B45:B46" si="49">B39+26</f>
        <v>194.01</v>
      </c>
      <c r="C45" t="s">
        <v>21</v>
      </c>
      <c r="D45" t="s">
        <v>15</v>
      </c>
      <c r="E45" t="s">
        <v>32</v>
      </c>
      <c r="F45">
        <f t="shared" si="15"/>
        <v>227.04000000000002</v>
      </c>
      <c r="G45">
        <f t="shared" si="44"/>
        <v>-73.391999999999996</v>
      </c>
      <c r="H45">
        <f t="shared" si="45"/>
        <v>153.68</v>
      </c>
      <c r="I45">
        <f t="shared" si="46"/>
        <v>87.28</v>
      </c>
      <c r="J45" s="3">
        <f t="shared" si="24"/>
        <v>113.71259318369977</v>
      </c>
      <c r="K45">
        <f t="shared" si="34"/>
        <v>15.454223446535934</v>
      </c>
      <c r="L45">
        <f t="shared" si="35"/>
        <v>29.861257999999999</v>
      </c>
      <c r="M45">
        <f t="shared" ref="M45:M47" si="50">(4.6372*AH45-0.0418)*30</f>
        <v>0.3093433080822221</v>
      </c>
      <c r="N45">
        <f t="shared" si="6"/>
        <v>45.315481446535934</v>
      </c>
      <c r="O45" s="3">
        <f t="shared" si="22"/>
        <v>-0.10811054165946955</v>
      </c>
      <c r="P45" s="5">
        <f t="shared" si="27"/>
        <v>15.548328430492136</v>
      </c>
      <c r="Q45" s="5">
        <f t="shared" si="28"/>
        <v>0.53052925419859998</v>
      </c>
      <c r="R45" s="9">
        <f t="shared" ref="R45:R46" si="51">P27-P45</f>
        <v>9.3527887759814963</v>
      </c>
      <c r="S45" s="9">
        <f t="shared" ref="S45:S46" si="52">-(Q27-Q45)</f>
        <v>-0.25843872380544342</v>
      </c>
      <c r="T45" s="25">
        <f>2*(Q45-Q$27)/(P$27-P45)</f>
        <v>-5.5264526975981547E-2</v>
      </c>
      <c r="U45" s="25"/>
      <c r="V45" s="24"/>
      <c r="W45">
        <f t="shared" si="37"/>
        <v>0.43813333333333332</v>
      </c>
      <c r="AE45" s="15">
        <v>0.14549103256968082</v>
      </c>
      <c r="AF45" s="15">
        <v>0.26509403333363918</v>
      </c>
      <c r="AG45">
        <f t="shared" si="30"/>
        <v>0.19469999999999998</v>
      </c>
      <c r="AH45" s="15">
        <v>1.1237695937794516E-2</v>
      </c>
      <c r="AI45" s="15">
        <v>3.261051129861821E-3</v>
      </c>
      <c r="AJ45" s="15">
        <v>1.4328568611886636</v>
      </c>
      <c r="AK45" s="15">
        <v>0.17718746319274833</v>
      </c>
      <c r="AL45">
        <v>0.19800000000000001</v>
      </c>
      <c r="AM45">
        <v>0.19139999999999999</v>
      </c>
      <c r="AO45" s="19">
        <v>0.43330000000000002</v>
      </c>
      <c r="AP45" s="19">
        <v>0.44490000000000002</v>
      </c>
      <c r="AQ45" s="19">
        <v>0.43619999999999998</v>
      </c>
      <c r="AR45">
        <v>2.8380000000000001</v>
      </c>
      <c r="AS45" s="20">
        <v>-0.91739999999999999</v>
      </c>
      <c r="AT45" s="20">
        <v>1.921</v>
      </c>
      <c r="AU45">
        <v>1.091</v>
      </c>
    </row>
    <row r="46" spans="1:47" x14ac:dyDescent="0.2">
      <c r="A46" s="13" t="s">
        <v>45</v>
      </c>
      <c r="B46">
        <f t="shared" si="49"/>
        <v>194</v>
      </c>
      <c r="C46" t="s">
        <v>20</v>
      </c>
      <c r="D46" t="s">
        <v>15</v>
      </c>
      <c r="E46" t="s">
        <v>32</v>
      </c>
      <c r="F46">
        <f t="shared" si="15"/>
        <v>240.39999999999998</v>
      </c>
      <c r="G46">
        <f t="shared" si="44"/>
        <v>-90.16</v>
      </c>
      <c r="H46">
        <f t="shared" si="45"/>
        <v>150.23999999999998</v>
      </c>
      <c r="I46">
        <f t="shared" si="46"/>
        <v>91.76</v>
      </c>
      <c r="J46" s="3">
        <f t="shared" si="24"/>
        <v>185.09600328599612</v>
      </c>
      <c r="K46">
        <f t="shared" si="34"/>
        <v>26.12605659370023</v>
      </c>
      <c r="L46">
        <f t="shared" si="35"/>
        <v>42.574342999999999</v>
      </c>
      <c r="M46">
        <f t="shared" si="50"/>
        <v>0.20592827957935239</v>
      </c>
      <c r="N46">
        <f t="shared" si="6"/>
        <v>68.700399593700226</v>
      </c>
      <c r="O46" s="3">
        <f t="shared" si="22"/>
        <v>-0.10465793033905546</v>
      </c>
      <c r="P46" s="5">
        <f t="shared" si="27"/>
        <v>22.686045028336981</v>
      </c>
      <c r="Q46" s="5">
        <f t="shared" si="28"/>
        <v>0.64938920269578293</v>
      </c>
      <c r="R46" s="9">
        <f t="shared" si="51"/>
        <v>1.9000890885614012</v>
      </c>
      <c r="S46" s="9">
        <f t="shared" si="52"/>
        <v>-6.6481876621813152E-2</v>
      </c>
      <c r="T46" s="25">
        <f>2*(Q46-Q$28)/(P$28-P46)</f>
        <v>-6.997764159800321E-2</v>
      </c>
      <c r="U46" s="25"/>
      <c r="V46" s="24"/>
      <c r="W46">
        <f t="shared" si="37"/>
        <v>0.38020000000000004</v>
      </c>
      <c r="AE46" s="15">
        <v>0.20235981595117691</v>
      </c>
      <c r="AF46" s="15">
        <v>0.35592201024469322</v>
      </c>
      <c r="AG46">
        <f t="shared" si="30"/>
        <v>0.25245000000000001</v>
      </c>
      <c r="AH46" s="15">
        <v>1.0494323295518505E-2</v>
      </c>
      <c r="AI46" s="15">
        <v>5.1727960470346274E-3</v>
      </c>
      <c r="AJ46" s="15">
        <v>2.1034427873296675</v>
      </c>
      <c r="AK46" s="15">
        <v>0.2134031696208967</v>
      </c>
      <c r="AL46">
        <v>0.2094</v>
      </c>
      <c r="AM46">
        <v>0.29549999999999998</v>
      </c>
      <c r="AO46" s="19">
        <v>0.37869999999999998</v>
      </c>
      <c r="AP46" s="19">
        <v>0.3886</v>
      </c>
      <c r="AQ46" s="19">
        <v>0.37330000000000002</v>
      </c>
      <c r="AR46">
        <v>3.0049999999999999</v>
      </c>
      <c r="AS46" s="20">
        <v>-1.127</v>
      </c>
      <c r="AT46" s="20">
        <v>1.8779999999999999</v>
      </c>
      <c r="AU46">
        <v>1.147</v>
      </c>
    </row>
    <row r="47" spans="1:47" x14ac:dyDescent="0.2">
      <c r="A47" s="13" t="s">
        <v>57</v>
      </c>
      <c r="B47">
        <v>194</v>
      </c>
      <c r="C47" t="s">
        <v>21</v>
      </c>
      <c r="D47" t="s">
        <v>15</v>
      </c>
      <c r="E47" t="s">
        <v>71</v>
      </c>
      <c r="J47" s="3">
        <f t="shared" si="24"/>
        <v>226.99771356039989</v>
      </c>
      <c r="K47">
        <f t="shared" si="34"/>
        <v>30.244796725543033</v>
      </c>
      <c r="L47">
        <f t="shared" si="35"/>
        <v>49.002431000000001</v>
      </c>
      <c r="M47">
        <f t="shared" si="50"/>
        <v>2.0273074699128002</v>
      </c>
      <c r="N47">
        <f t="shared" si="6"/>
        <v>79.247227725543041</v>
      </c>
      <c r="O47" s="3">
        <f t="shared" si="22"/>
        <v>-1.9460614553542459E-2</v>
      </c>
      <c r="P47" s="5">
        <f t="shared" si="27"/>
        <v>1.6424199123225727</v>
      </c>
      <c r="Q47" s="5">
        <f t="shared" si="28"/>
        <v>0.76134958586902335</v>
      </c>
      <c r="R47" s="5">
        <f>P$2-P47</f>
        <v>0.25434218448041013</v>
      </c>
      <c r="S47" s="5">
        <f>-(Q$2-Q47)</f>
        <v>-0.23800971525340875</v>
      </c>
      <c r="T47" s="5"/>
      <c r="U47" s="5"/>
      <c r="V47" s="5"/>
      <c r="W47">
        <f t="shared" si="37"/>
        <v>0.36620000000000003</v>
      </c>
      <c r="AE47" s="15">
        <v>0.23574151180311859</v>
      </c>
      <c r="AF47" s="15">
        <v>0.39097660943481027</v>
      </c>
      <c r="AG47">
        <f t="shared" si="30"/>
        <v>0.28165000000000001</v>
      </c>
      <c r="AH47" s="15">
        <v>2.3586844575122921E-2</v>
      </c>
      <c r="AI47" s="15">
        <v>5.2347389505236736E-2</v>
      </c>
      <c r="AJ47" s="15">
        <v>0.12640172043616804</v>
      </c>
      <c r="AK47" s="15">
        <v>0.24751663189184137</v>
      </c>
      <c r="AL47">
        <v>0.3256</v>
      </c>
      <c r="AM47">
        <v>0.23769999999999999</v>
      </c>
      <c r="AO47" s="19">
        <v>0.36320000000000002</v>
      </c>
      <c r="AP47" s="19">
        <v>0.35520000000000002</v>
      </c>
      <c r="AQ47" s="19">
        <v>0.38019999999999998</v>
      </c>
    </row>
    <row r="48" spans="1:47" x14ac:dyDescent="0.2">
      <c r="A48" s="13" t="s">
        <v>37</v>
      </c>
      <c r="B48">
        <v>194.01</v>
      </c>
      <c r="C48" t="s">
        <v>19</v>
      </c>
      <c r="D48" t="s">
        <v>15</v>
      </c>
      <c r="E48" t="s">
        <v>71</v>
      </c>
      <c r="J48" s="3">
        <f t="shared" si="24"/>
        <v>245.22741026621748</v>
      </c>
      <c r="K48">
        <f t="shared" si="34"/>
        <v>-7.9635797507753843</v>
      </c>
      <c r="L48">
        <f t="shared" si="35"/>
        <v>77.873791999999995</v>
      </c>
      <c r="M48">
        <v>0</v>
      </c>
      <c r="N48">
        <f t="shared" si="6"/>
        <v>69.910212249224614</v>
      </c>
      <c r="O48" s="3">
        <f t="shared" si="22"/>
        <v>-4.1612115690115137E-2</v>
      </c>
      <c r="P48" s="5">
        <f t="shared" si="27"/>
        <v>0.29701064399999999</v>
      </c>
      <c r="Q48" s="5">
        <f t="shared" si="28"/>
        <v>1.6296966710035026</v>
      </c>
      <c r="R48" s="5">
        <f>P$3-P48</f>
        <v>1.1249430720000226</v>
      </c>
      <c r="S48" s="5">
        <f>-(Q$3-Q48)</f>
        <v>0.80637186453027343</v>
      </c>
      <c r="T48" s="5"/>
      <c r="U48" s="5"/>
      <c r="V48" s="5"/>
      <c r="W48">
        <f t="shared" si="37"/>
        <v>0.33129999999999998</v>
      </c>
      <c r="X48">
        <f>J$3-J48</f>
        <v>-28.053474020552159</v>
      </c>
      <c r="Y48" s="5">
        <f>X48/J$3*100</f>
        <v>-12.917514184951875</v>
      </c>
      <c r="Z48" s="5"/>
      <c r="AE48" s="15">
        <v>0.25026450351208662</v>
      </c>
      <c r="AF48" s="15">
        <v>6.5785099359331176E-2</v>
      </c>
      <c r="AG48">
        <f t="shared" si="30"/>
        <v>0.4128</v>
      </c>
      <c r="AH48" s="15" t="e">
        <v>#VALUE!</v>
      </c>
      <c r="AI48" s="15">
        <v>4.008188499993625E-2</v>
      </c>
      <c r="AJ48" s="15">
        <v>9.9999999999999995E-7</v>
      </c>
      <c r="AK48" s="15">
        <v>0.51209526843494901</v>
      </c>
      <c r="AL48">
        <v>0.41689999999999999</v>
      </c>
      <c r="AM48">
        <v>0.40870000000000001</v>
      </c>
      <c r="AO48" s="19">
        <v>0.32850000000000001</v>
      </c>
      <c r="AP48" s="19">
        <v>0.33069999999999999</v>
      </c>
      <c r="AQ48" s="19">
        <v>0.3347</v>
      </c>
    </row>
    <row r="49" spans="1:43" x14ac:dyDescent="0.2">
      <c r="A49" s="13" t="s">
        <v>38</v>
      </c>
      <c r="B49">
        <v>194</v>
      </c>
      <c r="C49" t="s">
        <v>20</v>
      </c>
      <c r="D49" t="s">
        <v>15</v>
      </c>
      <c r="E49" t="s">
        <v>71</v>
      </c>
      <c r="J49" s="3">
        <f t="shared" si="24"/>
        <v>210.6017708515802</v>
      </c>
      <c r="K49">
        <f t="shared" si="34"/>
        <v>24.998264675990434</v>
      </c>
      <c r="L49">
        <f t="shared" si="35"/>
        <v>32.844155000000001</v>
      </c>
      <c r="M49">
        <f t="shared" ref="M49:M64" si="53">(4.6372*AH49-0.0418)*30</f>
        <v>1.1814460468188626</v>
      </c>
      <c r="N49">
        <f t="shared" si="6"/>
        <v>57.842419675990435</v>
      </c>
      <c r="O49" s="3">
        <f t="shared" si="22"/>
        <v>-4.1619187217492179E-2</v>
      </c>
      <c r="P49" s="5">
        <f t="shared" si="27"/>
        <v>1.5624375328011644</v>
      </c>
      <c r="Q49" s="5">
        <f t="shared" si="28"/>
        <v>0.70110474554591484</v>
      </c>
      <c r="R49" s="5">
        <f>P$4-P49</f>
        <v>0.13500337607398039</v>
      </c>
      <c r="S49" s="5">
        <f>-(Q$4-Q49)</f>
        <v>-0.19119754267379008</v>
      </c>
      <c r="T49" s="5"/>
      <c r="U49" s="5"/>
      <c r="V49" s="5"/>
      <c r="W49">
        <f t="shared" si="37"/>
        <v>0.4046333333333334</v>
      </c>
      <c r="AE49" s="15">
        <v>0.22267941077842557</v>
      </c>
      <c r="AF49" s="15">
        <v>0.34632337270514008</v>
      </c>
      <c r="AG49">
        <f t="shared" si="30"/>
        <v>0.20824999999999999</v>
      </c>
      <c r="AH49" s="15">
        <v>1.7506584769680429E-2</v>
      </c>
      <c r="AI49" s="15">
        <v>4.0077969425530359E-2</v>
      </c>
      <c r="AJ49" s="15">
        <v>0.11888740443453255</v>
      </c>
      <c r="AK49" s="15">
        <v>0.22916049529125984</v>
      </c>
      <c r="AL49">
        <v>0.21659999999999999</v>
      </c>
      <c r="AM49">
        <v>0.19989999999999999</v>
      </c>
      <c r="AO49" s="19">
        <v>0.40660000000000002</v>
      </c>
      <c r="AP49" s="19">
        <v>0.4052</v>
      </c>
      <c r="AQ49" s="19">
        <v>0.40210000000000001</v>
      </c>
    </row>
    <row r="50" spans="1:43" x14ac:dyDescent="0.2">
      <c r="A50" s="13" t="s">
        <v>78</v>
      </c>
      <c r="B50">
        <f>B47+5*24</f>
        <v>314</v>
      </c>
      <c r="C50" t="s">
        <v>21</v>
      </c>
      <c r="D50" t="s">
        <v>15</v>
      </c>
      <c r="E50" t="s">
        <v>71</v>
      </c>
      <c r="J50" s="3">
        <f t="shared" si="24"/>
        <v>252.81680406017492</v>
      </c>
      <c r="K50">
        <f t="shared" si="34"/>
        <v>41.637056899642161</v>
      </c>
      <c r="L50">
        <f t="shared" si="35"/>
        <v>41.726804000000001</v>
      </c>
      <c r="M50">
        <f t="shared" si="53"/>
        <v>2.2500986145758097</v>
      </c>
      <c r="N50">
        <f t="shared" si="6"/>
        <v>83.363860899642162</v>
      </c>
      <c r="O50" s="3">
        <f t="shared" si="22"/>
        <v>-0.10424327347230752</v>
      </c>
      <c r="P50" s="5">
        <f t="shared" si="27"/>
        <v>1.2961593760000141</v>
      </c>
      <c r="Q50" s="5">
        <f t="shared" si="28"/>
        <v>2.0443065664151283</v>
      </c>
      <c r="W50">
        <f t="shared" si="37"/>
        <v>0.32276666666666665</v>
      </c>
      <c r="AE50" s="27">
        <v>0.25631072056793935</v>
      </c>
      <c r="AF50" s="27">
        <v>0.48793614110934225</v>
      </c>
      <c r="AG50">
        <f t="shared" si="30"/>
        <v>0.24859999999999999</v>
      </c>
      <c r="AH50" s="27">
        <v>2.5188322080679504E-2</v>
      </c>
      <c r="AI50" s="27">
        <v>5.4023956410257368E-3</v>
      </c>
      <c r="AJ50" s="27">
        <v>9.387066666666799E-2</v>
      </c>
      <c r="AK50" s="27">
        <v>0.63842369482484096</v>
      </c>
      <c r="AL50">
        <v>0.2482</v>
      </c>
      <c r="AM50">
        <v>0.249</v>
      </c>
      <c r="AO50">
        <v>0.28339999999999999</v>
      </c>
      <c r="AP50">
        <v>0.29170000000000001</v>
      </c>
      <c r="AQ50">
        <v>0.39319999999999999</v>
      </c>
    </row>
    <row r="51" spans="1:43" x14ac:dyDescent="0.2">
      <c r="A51" s="13" t="s">
        <v>37</v>
      </c>
      <c r="B51">
        <f t="shared" ref="B51:B52" si="54">B48+5*24</f>
        <v>314.01</v>
      </c>
      <c r="C51" t="s">
        <v>19</v>
      </c>
      <c r="D51" t="s">
        <v>15</v>
      </c>
      <c r="E51" t="s">
        <v>71</v>
      </c>
      <c r="J51" s="3">
        <f t="shared" si="24"/>
        <v>300.47989841659557</v>
      </c>
      <c r="K51">
        <f t="shared" si="34"/>
        <v>-3.4019504631131561</v>
      </c>
      <c r="L51">
        <f t="shared" si="35"/>
        <v>73.867243999999999</v>
      </c>
      <c r="M51">
        <f t="shared" si="53"/>
        <v>0.1371600000000002</v>
      </c>
      <c r="N51">
        <f t="shared" si="6"/>
        <v>70.465293536886847</v>
      </c>
      <c r="O51" s="3">
        <f t="shared" si="22"/>
        <v>-0.10150401148800003</v>
      </c>
      <c r="P51" s="5">
        <f t="shared" si="27"/>
        <v>0.40344000000000002</v>
      </c>
      <c r="Q51" s="5">
        <f t="shared" si="28"/>
        <v>1.9130788777738164</v>
      </c>
      <c r="W51">
        <f t="shared" si="37"/>
        <v>0.33479999999999999</v>
      </c>
      <c r="AE51" s="27">
        <v>0.29428231907188784</v>
      </c>
      <c r="AF51" s="27">
        <v>0.104609128361946</v>
      </c>
      <c r="AG51">
        <f t="shared" si="30"/>
        <v>0.39460000000000001</v>
      </c>
      <c r="AH51" s="27">
        <v>0.01</v>
      </c>
      <c r="AI51" s="27">
        <v>6.919151999999984E-3</v>
      </c>
      <c r="AJ51" s="27">
        <v>0.01</v>
      </c>
      <c r="AK51" s="27">
        <v>0.59843963369098596</v>
      </c>
      <c r="AL51">
        <v>0.39319999999999999</v>
      </c>
      <c r="AM51">
        <v>0.39600000000000002</v>
      </c>
      <c r="AO51">
        <v>0.33479999999999999</v>
      </c>
    </row>
    <row r="52" spans="1:43" x14ac:dyDescent="0.2">
      <c r="A52" s="13" t="s">
        <v>38</v>
      </c>
      <c r="B52">
        <f t="shared" si="54"/>
        <v>314</v>
      </c>
      <c r="C52" t="s">
        <v>20</v>
      </c>
      <c r="D52" t="s">
        <v>15</v>
      </c>
      <c r="E52" t="s">
        <v>71</v>
      </c>
      <c r="J52" s="3">
        <f t="shared" si="24"/>
        <v>336.58064798627078</v>
      </c>
      <c r="K52">
        <f t="shared" si="34"/>
        <v>35.504614303134005</v>
      </c>
      <c r="L52">
        <f t="shared" si="35"/>
        <v>36.124240999999998</v>
      </c>
      <c r="M52">
        <f t="shared" si="53"/>
        <v>2.3936430948406113</v>
      </c>
      <c r="N52">
        <f t="shared" si="6"/>
        <v>71.628855303134003</v>
      </c>
      <c r="O52" s="3">
        <f t="shared" si="22"/>
        <v>-0.10669741274736851</v>
      </c>
      <c r="P52" s="5">
        <f t="shared" si="27"/>
        <v>1.4842221804000248</v>
      </c>
      <c r="Q52" s="5">
        <f t="shared" si="28"/>
        <v>0.88846008062376836</v>
      </c>
      <c r="W52">
        <f t="shared" si="37"/>
        <v>0.40654999999999997</v>
      </c>
      <c r="AE52" s="27">
        <v>0.32304258289572907</v>
      </c>
      <c r="AF52" s="27">
        <v>0.43574291929983411</v>
      </c>
      <c r="AG52">
        <f t="shared" si="30"/>
        <v>0.22315000000000002</v>
      </c>
      <c r="AH52" s="27">
        <v>2.6220155085256991E-2</v>
      </c>
      <c r="AI52" s="27">
        <v>4.0435145363408032E-3</v>
      </c>
      <c r="AJ52" s="27">
        <v>0.11153910000000233</v>
      </c>
      <c r="AK52" s="27">
        <v>0.28624621591217803</v>
      </c>
      <c r="AL52">
        <v>0.22270000000000001</v>
      </c>
      <c r="AM52">
        <v>0.22359999999999999</v>
      </c>
      <c r="AO52">
        <v>0.38419999999999999</v>
      </c>
      <c r="AQ52">
        <v>0.4289</v>
      </c>
    </row>
    <row r="53" spans="1:43" x14ac:dyDescent="0.2">
      <c r="A53" s="13" t="s">
        <v>79</v>
      </c>
      <c r="B53">
        <f>B50+0.1</f>
        <v>314.10000000000002</v>
      </c>
      <c r="C53" t="s">
        <v>21</v>
      </c>
      <c r="D53" t="s">
        <v>15</v>
      </c>
      <c r="E53" t="s">
        <v>71</v>
      </c>
      <c r="J53" s="3">
        <f t="shared" si="24"/>
        <v>252.81680406017492</v>
      </c>
      <c r="K53">
        <f t="shared" si="34"/>
        <v>33.733812015539442</v>
      </c>
      <c r="O53" s="3"/>
      <c r="P53" s="5">
        <f t="shared" si="27"/>
        <v>32.187680169399911</v>
      </c>
      <c r="Q53" s="5">
        <f t="shared" si="28"/>
        <v>1.8508706788409439</v>
      </c>
      <c r="W53">
        <f t="shared" si="37"/>
        <v>0.32276666666666665</v>
      </c>
      <c r="AE53" s="27">
        <v>0.25631072056793935</v>
      </c>
      <c r="AF53" s="27">
        <v>0.42067162020119531</v>
      </c>
      <c r="AH53" s="27">
        <v>0.01</v>
      </c>
      <c r="AI53" s="27">
        <v>3.0134394329896508E-3</v>
      </c>
      <c r="AJ53" s="27">
        <v>2.9961180166666588</v>
      </c>
      <c r="AK53" s="27">
        <v>0.57948527691680196</v>
      </c>
      <c r="AO53">
        <v>0.28339999999999999</v>
      </c>
      <c r="AP53">
        <v>0.29170000000000001</v>
      </c>
      <c r="AQ53">
        <v>0.39319999999999999</v>
      </c>
    </row>
    <row r="54" spans="1:43" x14ac:dyDescent="0.2">
      <c r="A54" s="13" t="s">
        <v>37</v>
      </c>
      <c r="B54">
        <f t="shared" ref="B54:B55" si="55">B51+0.1</f>
        <v>314.11</v>
      </c>
      <c r="C54" t="s">
        <v>19</v>
      </c>
      <c r="D54" t="s">
        <v>15</v>
      </c>
      <c r="E54" t="s">
        <v>71</v>
      </c>
      <c r="J54" s="3">
        <f t="shared" si="24"/>
        <v>336.58064798627078</v>
      </c>
      <c r="K54">
        <f t="shared" si="34"/>
        <v>-4.137909672870383</v>
      </c>
      <c r="O54" s="3"/>
      <c r="P54" s="5">
        <f t="shared" si="27"/>
        <v>26.965983371200011</v>
      </c>
      <c r="Q54" s="5">
        <f t="shared" si="28"/>
        <v>1.8571776681220313</v>
      </c>
      <c r="W54">
        <f t="shared" si="37"/>
        <v>0.33479999999999999</v>
      </c>
      <c r="AE54" s="27">
        <v>0.32304258289572907</v>
      </c>
      <c r="AF54" s="27">
        <v>9.8345379183196024E-2</v>
      </c>
      <c r="AH54" s="27">
        <v>4.7881568365374882E-2</v>
      </c>
      <c r="AI54" s="27">
        <v>4.893111377275966E-3</v>
      </c>
      <c r="AJ54" s="27">
        <v>2.5055414666666675</v>
      </c>
      <c r="AK54" s="27">
        <v>0.58140696773980238</v>
      </c>
      <c r="AO54">
        <v>0.33479999999999999</v>
      </c>
    </row>
    <row r="55" spans="1:43" x14ac:dyDescent="0.2">
      <c r="A55" s="13" t="s">
        <v>38</v>
      </c>
      <c r="B55">
        <f t="shared" si="55"/>
        <v>314.10000000000002</v>
      </c>
      <c r="C55" t="s">
        <v>20</v>
      </c>
      <c r="D55" t="s">
        <v>15</v>
      </c>
      <c r="E55" t="s">
        <v>71</v>
      </c>
      <c r="J55" s="3">
        <f t="shared" si="24"/>
        <v>300.47989841659557</v>
      </c>
      <c r="K55">
        <f t="shared" si="34"/>
        <v>32.905462809097557</v>
      </c>
      <c r="O55" s="3"/>
      <c r="P55" s="5">
        <f t="shared" si="27"/>
        <v>34.443204972399997</v>
      </c>
      <c r="Q55" s="5">
        <f t="shared" si="28"/>
        <v>0.84580370097696478</v>
      </c>
      <c r="W55">
        <f t="shared" si="37"/>
        <v>0.40654999999999997</v>
      </c>
      <c r="AE55" s="27">
        <v>0.29428231907188784</v>
      </c>
      <c r="AF55" s="27">
        <v>0.413621539717414</v>
      </c>
      <c r="AH55" s="27">
        <v>3.5364202766681618E-2</v>
      </c>
      <c r="AI55" s="27">
        <v>3.4769166666666351E-3</v>
      </c>
      <c r="AJ55" s="27">
        <v>3.208023766666666</v>
      </c>
      <c r="AK55" s="27">
        <v>0.27324914715934334</v>
      </c>
      <c r="AO55">
        <v>0.38419999999999999</v>
      </c>
      <c r="AQ55">
        <v>0.4289</v>
      </c>
    </row>
    <row r="56" spans="1:43" x14ac:dyDescent="0.2">
      <c r="A56" s="13" t="s">
        <v>80</v>
      </c>
      <c r="B56">
        <f>B53+24</f>
        <v>338.1</v>
      </c>
      <c r="C56" t="s">
        <v>21</v>
      </c>
      <c r="D56" t="s">
        <v>15</v>
      </c>
      <c r="E56" t="s">
        <v>71</v>
      </c>
      <c r="J56" s="3">
        <f t="shared" si="24"/>
        <v>260.28284451271634</v>
      </c>
      <c r="K56">
        <f t="shared" si="34"/>
        <v>37.423855622650223</v>
      </c>
      <c r="L56">
        <f t="shared" si="35"/>
        <v>56.527550000000005</v>
      </c>
      <c r="M56">
        <f t="shared" si="53"/>
        <v>0.1371600000000002</v>
      </c>
      <c r="N56">
        <f t="shared" si="6"/>
        <v>93.951405622650228</v>
      </c>
      <c r="O56" s="3">
        <f t="shared" si="22"/>
        <v>-0.10779596389687479</v>
      </c>
      <c r="P56" s="5">
        <f t="shared" si="27"/>
        <v>35.008889513212239</v>
      </c>
      <c r="Q56" s="5">
        <f t="shared" si="28"/>
        <v>2.4769798707497119</v>
      </c>
      <c r="W56">
        <f t="shared" si="37"/>
        <v>0.32240000000000002</v>
      </c>
      <c r="AE56" s="27">
        <v>0.26225866612846405</v>
      </c>
      <c r="AF56" s="27">
        <v>0.4520775830686431</v>
      </c>
      <c r="AG56">
        <f t="shared" si="30"/>
        <v>0.31583333333333335</v>
      </c>
      <c r="AH56" s="27">
        <v>0.01</v>
      </c>
      <c r="AI56" s="27">
        <v>3.435235937500114E-3</v>
      </c>
      <c r="AJ56" s="27">
        <v>3.2611696273217063</v>
      </c>
      <c r="AK56" s="27">
        <v>0.77025590211752348</v>
      </c>
      <c r="AL56">
        <v>0.31719999999999998</v>
      </c>
      <c r="AM56">
        <v>0.31559999999999999</v>
      </c>
      <c r="AN56">
        <v>0.31469999999999998</v>
      </c>
      <c r="AO56">
        <v>0.32629999999999998</v>
      </c>
      <c r="AP56">
        <v>0.31850000000000001</v>
      </c>
    </row>
    <row r="57" spans="1:43" x14ac:dyDescent="0.2">
      <c r="A57" s="13" t="s">
        <v>37</v>
      </c>
      <c r="B57">
        <f t="shared" ref="B57:B58" si="56">B54+24</f>
        <v>338.11</v>
      </c>
      <c r="C57" t="s">
        <v>19</v>
      </c>
      <c r="D57" t="s">
        <v>15</v>
      </c>
      <c r="E57" t="s">
        <v>71</v>
      </c>
      <c r="J57" s="3">
        <f t="shared" si="24"/>
        <v>310.95689753977803</v>
      </c>
      <c r="K57">
        <f t="shared" si="34"/>
        <v>-12.895360286947877</v>
      </c>
      <c r="L57">
        <f t="shared" si="35"/>
        <v>86.437237999999979</v>
      </c>
      <c r="M57">
        <f t="shared" si="53"/>
        <v>0.1371600000000002</v>
      </c>
      <c r="N57">
        <f t="shared" si="6"/>
        <v>73.541877713052102</v>
      </c>
      <c r="O57" s="3">
        <f t="shared" si="22"/>
        <v>-0.10438269762631569</v>
      </c>
      <c r="P57" s="5">
        <f t="shared" si="27"/>
        <v>26.865307526498409</v>
      </c>
      <c r="Q57" s="5">
        <f t="shared" si="28"/>
        <v>2.5828755890364521</v>
      </c>
      <c r="W57">
        <f t="shared" si="37"/>
        <v>0.34494999999999998</v>
      </c>
      <c r="AE57" s="27">
        <v>0.30262899504002316</v>
      </c>
      <c r="AF57" s="27">
        <v>2.3810712907375818E-2</v>
      </c>
      <c r="AG57">
        <f t="shared" si="30"/>
        <v>0.45169999999999999</v>
      </c>
      <c r="AH57" s="27">
        <v>0.01</v>
      </c>
      <c r="AI57" s="27">
        <v>5.3251951127820107E-3</v>
      </c>
      <c r="AJ57" s="27">
        <v>2.4960830069990987</v>
      </c>
      <c r="AK57" s="27">
        <v>0.80252150793310539</v>
      </c>
      <c r="AL57">
        <v>0.45450000000000002</v>
      </c>
      <c r="AM57">
        <v>0.45100000000000001</v>
      </c>
      <c r="AN57">
        <v>0.4496</v>
      </c>
      <c r="AO57">
        <v>0.34589999999999999</v>
      </c>
      <c r="AP57">
        <v>0.34399999999999997</v>
      </c>
    </row>
    <row r="58" spans="1:43" x14ac:dyDescent="0.2">
      <c r="A58" s="13" t="s">
        <v>38</v>
      </c>
      <c r="B58">
        <f t="shared" si="56"/>
        <v>338.1</v>
      </c>
      <c r="C58" t="s">
        <v>20</v>
      </c>
      <c r="D58" t="s">
        <v>15</v>
      </c>
      <c r="E58" t="s">
        <v>71</v>
      </c>
      <c r="J58" s="3">
        <f t="shared" si="24"/>
        <v>273.47995949698986</v>
      </c>
      <c r="K58">
        <f t="shared" si="34"/>
        <v>31.460829938170853</v>
      </c>
      <c r="L58">
        <f t="shared" si="35"/>
        <v>58.229965999999997</v>
      </c>
      <c r="M58">
        <f t="shared" si="53"/>
        <v>2.0178179776629896</v>
      </c>
      <c r="N58">
        <f t="shared" si="6"/>
        <v>89.690795938170851</v>
      </c>
      <c r="O58" s="3">
        <f t="shared" si="22"/>
        <v>-0.10731933802531966</v>
      </c>
      <c r="P58" s="5">
        <f t="shared" si="27"/>
        <v>34.767557084954802</v>
      </c>
      <c r="Q58" s="5">
        <f t="shared" si="28"/>
        <v>0.83476375195979868</v>
      </c>
      <c r="W58">
        <f t="shared" si="37"/>
        <v>0.41249999999999998</v>
      </c>
      <c r="AE58" s="27">
        <v>0.27277236773260194</v>
      </c>
      <c r="AF58" s="27">
        <v>0.40132626867671695</v>
      </c>
      <c r="AG58">
        <f t="shared" si="30"/>
        <v>0.32356666666666667</v>
      </c>
      <c r="AH58" s="27">
        <v>2.3518631772499132E-2</v>
      </c>
      <c r="AI58" s="27">
        <v>3.6991483802216729E-3</v>
      </c>
      <c r="AJ58" s="27">
        <v>3.2384965318446826</v>
      </c>
      <c r="AK58" s="27">
        <v>0.26988536013400327</v>
      </c>
      <c r="AL58">
        <v>0.32500000000000001</v>
      </c>
      <c r="AM58">
        <v>0.32319999999999999</v>
      </c>
      <c r="AN58">
        <v>0.32250000000000001</v>
      </c>
      <c r="AP58">
        <v>0.41449999999999998</v>
      </c>
      <c r="AQ58">
        <v>0.41049999999999998</v>
      </c>
    </row>
    <row r="59" spans="1:43" x14ac:dyDescent="0.2">
      <c r="A59" s="13" t="s">
        <v>81</v>
      </c>
      <c r="B59">
        <f>B56+48</f>
        <v>386.1</v>
      </c>
      <c r="C59" t="s">
        <v>21</v>
      </c>
      <c r="D59" t="s">
        <v>15</v>
      </c>
      <c r="E59" t="s">
        <v>71</v>
      </c>
      <c r="J59" s="3">
        <f t="shared" si="24"/>
        <v>194.63099248280207</v>
      </c>
      <c r="K59">
        <f t="shared" si="34"/>
        <v>40.952476732113567</v>
      </c>
      <c r="L59">
        <f t="shared" si="35"/>
        <v>48.925382000000013</v>
      </c>
      <c r="M59">
        <f t="shared" si="53"/>
        <v>0.1371600000000002</v>
      </c>
      <c r="N59">
        <f t="shared" si="6"/>
        <v>89.87785873211358</v>
      </c>
      <c r="O59" s="3">
        <f t="shared" si="22"/>
        <v>-0.10609889335999999</v>
      </c>
      <c r="P59" s="5">
        <f t="shared" si="27"/>
        <v>32.621099574589643</v>
      </c>
      <c r="Q59" s="5">
        <f t="shared" si="28"/>
        <v>3.6321051392227117</v>
      </c>
      <c r="AE59" s="27">
        <v>0.20995602401129898</v>
      </c>
      <c r="AF59" s="27">
        <v>0.4821096789830509</v>
      </c>
      <c r="AG59">
        <f t="shared" si="30"/>
        <v>0.28130000000000005</v>
      </c>
      <c r="AH59" s="27">
        <v>0.01</v>
      </c>
      <c r="AI59" s="27">
        <v>4.3749206201550428E-3</v>
      </c>
      <c r="AJ59" s="27">
        <v>3.0368376150497598</v>
      </c>
      <c r="AK59" s="27">
        <v>1.1222136316949152</v>
      </c>
      <c r="AL59">
        <v>0.28149999999999997</v>
      </c>
      <c r="AM59">
        <v>0.28070000000000001</v>
      </c>
      <c r="AN59">
        <v>0.28170000000000001</v>
      </c>
    </row>
    <row r="60" spans="1:43" x14ac:dyDescent="0.2">
      <c r="A60" s="13" t="s">
        <v>37</v>
      </c>
      <c r="B60">
        <f t="shared" ref="B60:B64" si="57">B57+48</f>
        <v>386.11</v>
      </c>
      <c r="C60" t="s">
        <v>19</v>
      </c>
      <c r="D60" t="s">
        <v>15</v>
      </c>
      <c r="E60" t="s">
        <v>71</v>
      </c>
      <c r="J60" s="3">
        <f t="shared" si="24"/>
        <v>240.40243376226493</v>
      </c>
      <c r="K60">
        <f t="shared" si="34"/>
        <v>-2.8861388992324692</v>
      </c>
      <c r="L60">
        <f t="shared" si="35"/>
        <v>76.765754000000001</v>
      </c>
      <c r="M60">
        <f t="shared" si="53"/>
        <v>0.1371600000000002</v>
      </c>
      <c r="N60">
        <f t="shared" si="6"/>
        <v>73.879615100767538</v>
      </c>
      <c r="O60" s="3">
        <f t="shared" si="22"/>
        <v>-0.10167596225265922</v>
      </c>
      <c r="P60" s="5">
        <f t="shared" si="27"/>
        <v>22.465677464000002</v>
      </c>
      <c r="Q60" s="5">
        <f t="shared" si="28"/>
        <v>4.6867984529085165</v>
      </c>
      <c r="AE60" s="27">
        <v>0.24642060556393774</v>
      </c>
      <c r="AF60" s="27">
        <v>0.10899920082358849</v>
      </c>
      <c r="AG60">
        <f t="shared" si="30"/>
        <v>0.40776666666666667</v>
      </c>
      <c r="AH60" s="27">
        <v>0.01</v>
      </c>
      <c r="AI60" s="27">
        <v>6.8239411668553629E-3</v>
      </c>
      <c r="AJ60" s="27">
        <v>2.0827393333333335</v>
      </c>
      <c r="AK60" s="27">
        <v>1.4435705219099686</v>
      </c>
      <c r="AL60">
        <v>0.41049999999999998</v>
      </c>
      <c r="AM60">
        <v>0.40749999999999997</v>
      </c>
      <c r="AN60">
        <v>0.40529999999999999</v>
      </c>
    </row>
    <row r="61" spans="1:43" x14ac:dyDescent="0.2">
      <c r="A61" s="13" t="s">
        <v>38</v>
      </c>
      <c r="B61">
        <f t="shared" si="57"/>
        <v>386.1</v>
      </c>
      <c r="C61" t="s">
        <v>20</v>
      </c>
      <c r="D61" t="s">
        <v>15</v>
      </c>
      <c r="E61" t="s">
        <v>71</v>
      </c>
      <c r="J61" s="3">
        <f t="shared" si="24"/>
        <v>230.28634681180307</v>
      </c>
      <c r="K61">
        <f t="shared" si="34"/>
        <v>34.50470576012507</v>
      </c>
      <c r="L61">
        <f t="shared" si="35"/>
        <v>35.834389999999999</v>
      </c>
      <c r="M61">
        <f t="shared" si="53"/>
        <v>1.0893587836666341</v>
      </c>
      <c r="N61">
        <f t="shared" si="6"/>
        <v>70.339095760125076</v>
      </c>
      <c r="O61" s="3">
        <f t="shared" si="22"/>
        <v>-0.10885554711501277</v>
      </c>
      <c r="P61" s="5">
        <f t="shared" si="27"/>
        <v>35.991874207265518</v>
      </c>
      <c r="Q61" s="5">
        <f t="shared" si="28"/>
        <v>0.97446834817421957</v>
      </c>
      <c r="AE61" s="27">
        <v>0.23836145629340311</v>
      </c>
      <c r="AF61" s="27">
        <v>0.42723269722222279</v>
      </c>
      <c r="AG61">
        <f t="shared" si="30"/>
        <v>0.22183333333333333</v>
      </c>
      <c r="AH61" s="27">
        <v>1.6844638888888652E-2</v>
      </c>
      <c r="AI61" s="27">
        <v>2.8485342663273627E-3</v>
      </c>
      <c r="AJ61" s="27">
        <v>3.3535206883939792</v>
      </c>
      <c r="AK61" s="27">
        <v>0.31245226940104193</v>
      </c>
      <c r="AL61">
        <v>0.2225</v>
      </c>
      <c r="AM61">
        <v>0.22159999999999999</v>
      </c>
      <c r="AN61">
        <v>0.22140000000000001</v>
      </c>
    </row>
    <row r="62" spans="1:43" x14ac:dyDescent="0.2">
      <c r="A62" s="13" t="s">
        <v>82</v>
      </c>
      <c r="B62">
        <f t="shared" si="57"/>
        <v>434.1</v>
      </c>
      <c r="C62" t="s">
        <v>21</v>
      </c>
      <c r="D62" t="s">
        <v>15</v>
      </c>
      <c r="E62" t="s">
        <v>71</v>
      </c>
      <c r="J62" s="3">
        <f t="shared" si="24"/>
        <v>188.51137527371932</v>
      </c>
      <c r="K62">
        <f t="shared" si="34"/>
        <v>39.27791357209685</v>
      </c>
      <c r="L62">
        <f t="shared" si="35"/>
        <v>48.485102000000005</v>
      </c>
      <c r="M62">
        <f t="shared" si="53"/>
        <v>0.1371600000000002</v>
      </c>
      <c r="N62">
        <f t="shared" si="6"/>
        <v>87.763015572096862</v>
      </c>
      <c r="O62" s="3">
        <f t="shared" si="22"/>
        <v>-0.10592544690712404</v>
      </c>
      <c r="P62" s="5">
        <f t="shared" si="27"/>
        <v>29.355690518400152</v>
      </c>
      <c r="Q62" s="5">
        <f t="shared" si="28"/>
        <v>3.9904055899627515</v>
      </c>
      <c r="W62">
        <f t="shared" si="37"/>
        <v>0.31950000000000001</v>
      </c>
      <c r="AE62" s="27">
        <v>0.20508072896806306</v>
      </c>
      <c r="AF62" s="27">
        <v>0.46785747114427723</v>
      </c>
      <c r="AG62">
        <f t="shared" si="30"/>
        <v>0.27930000000000005</v>
      </c>
      <c r="AH62" s="27">
        <v>0.01</v>
      </c>
      <c r="AI62" s="27">
        <v>4.4709596306068411E-3</v>
      </c>
      <c r="AJ62" s="27">
        <v>2.7300536000000144</v>
      </c>
      <c r="AK62" s="27">
        <v>1.231385006082496</v>
      </c>
      <c r="AL62">
        <v>0.28470000000000001</v>
      </c>
      <c r="AM62">
        <v>0.27739999999999998</v>
      </c>
      <c r="AN62">
        <v>0.27579999999999999</v>
      </c>
      <c r="AO62">
        <v>0.32140000000000002</v>
      </c>
      <c r="AP62">
        <v>0.31759999999999999</v>
      </c>
    </row>
    <row r="63" spans="1:43" x14ac:dyDescent="0.2">
      <c r="A63" s="13" t="s">
        <v>37</v>
      </c>
      <c r="B63">
        <f t="shared" si="57"/>
        <v>434.11</v>
      </c>
      <c r="C63" t="s">
        <v>19</v>
      </c>
      <c r="D63" t="s">
        <v>15</v>
      </c>
      <c r="E63" t="s">
        <v>71</v>
      </c>
      <c r="J63" s="3">
        <f t="shared" si="24"/>
        <v>191.93384248448663</v>
      </c>
      <c r="K63">
        <f t="shared" si="34"/>
        <v>-6.6632112697680688</v>
      </c>
      <c r="L63">
        <f t="shared" si="35"/>
        <v>78.835070000000002</v>
      </c>
      <c r="M63">
        <f t="shared" si="53"/>
        <v>0.1371600000000002</v>
      </c>
      <c r="N63">
        <f t="shared" si="6"/>
        <v>72.171858730231932</v>
      </c>
      <c r="O63" s="3">
        <f t="shared" si="22"/>
        <v>-0.10803489568538478</v>
      </c>
      <c r="P63" s="5">
        <f t="shared" si="27"/>
        <v>17.736136163799966</v>
      </c>
      <c r="Q63" s="5">
        <f t="shared" si="28"/>
        <v>7.1095597192259641</v>
      </c>
      <c r="W63">
        <f t="shared" si="37"/>
        <v>0.35270000000000001</v>
      </c>
      <c r="AE63" s="27">
        <v>0.20780729451264102</v>
      </c>
      <c r="AF63" s="27">
        <v>7.6852536109893455E-2</v>
      </c>
      <c r="AG63">
        <f t="shared" si="30"/>
        <v>0.41716666666666669</v>
      </c>
      <c r="AH63" s="27">
        <v>0.01</v>
      </c>
      <c r="AI63" s="27">
        <v>3.3029370512819567E-3</v>
      </c>
      <c r="AJ63" s="27">
        <v>1.6384006166666634</v>
      </c>
      <c r="AK63" s="27">
        <v>2.1817671295630605</v>
      </c>
      <c r="AL63">
        <v>0.42370000000000002</v>
      </c>
      <c r="AM63">
        <v>0.41589999999999999</v>
      </c>
      <c r="AN63">
        <v>0.41189999999999999</v>
      </c>
      <c r="AO63">
        <v>0.3553</v>
      </c>
      <c r="AP63">
        <v>0.35010000000000002</v>
      </c>
    </row>
    <row r="64" spans="1:43" x14ac:dyDescent="0.2">
      <c r="A64" s="13" t="s">
        <v>38</v>
      </c>
      <c r="B64">
        <f t="shared" si="57"/>
        <v>434.1</v>
      </c>
      <c r="C64" t="s">
        <v>20</v>
      </c>
      <c r="D64" t="s">
        <v>15</v>
      </c>
      <c r="E64" t="s">
        <v>71</v>
      </c>
      <c r="J64" s="3">
        <f t="shared" si="24"/>
        <v>245.67953594321614</v>
      </c>
      <c r="K64">
        <f t="shared" si="34"/>
        <v>40.139785325329228</v>
      </c>
      <c r="L64">
        <f t="shared" si="35"/>
        <v>38.40269</v>
      </c>
      <c r="M64">
        <f t="shared" si="53"/>
        <v>2.1795920898160284</v>
      </c>
      <c r="N64">
        <f t="shared" si="6"/>
        <v>78.542475325329235</v>
      </c>
      <c r="O64" s="3">
        <f t="shared" si="22"/>
        <v>-0.10818763955994561</v>
      </c>
      <c r="P64" s="5">
        <f t="shared" si="27"/>
        <v>36.212588704147052</v>
      </c>
      <c r="Q64" s="5">
        <f t="shared" si="28"/>
        <v>1.2642678278730295</v>
      </c>
      <c r="W64">
        <f t="shared" si="37"/>
        <v>0.41154999999999997</v>
      </c>
      <c r="AE64" s="27">
        <v>0.25062469696809553</v>
      </c>
      <c r="AF64" s="27">
        <v>0.47519286203948452</v>
      </c>
      <c r="AG64">
        <f t="shared" si="30"/>
        <v>0.23350000000000001</v>
      </c>
      <c r="AH64" s="27">
        <v>2.4681503851577302E-2</v>
      </c>
      <c r="AI64" s="27">
        <v>3.2183612624885893E-3</v>
      </c>
      <c r="AJ64" s="27">
        <v>3.3742567365790168</v>
      </c>
      <c r="AK64" s="27">
        <v>0.40075192805393955</v>
      </c>
      <c r="AL64">
        <v>0.23480000000000001</v>
      </c>
      <c r="AM64">
        <v>0.2334</v>
      </c>
      <c r="AN64">
        <v>0.23230000000000001</v>
      </c>
      <c r="AO64">
        <v>0.40699999999999997</v>
      </c>
      <c r="AQ64">
        <v>0.41610000000000003</v>
      </c>
    </row>
    <row r="65" spans="1:40" x14ac:dyDescent="0.2">
      <c r="A65" s="13" t="s">
        <v>83</v>
      </c>
      <c r="B65">
        <f>B62+72</f>
        <v>506.1</v>
      </c>
      <c r="C65" t="s">
        <v>21</v>
      </c>
      <c r="D65" t="s">
        <v>15</v>
      </c>
      <c r="E65" t="s">
        <v>71</v>
      </c>
      <c r="J65" s="3">
        <f t="shared" si="24"/>
        <v>149.74895397489539</v>
      </c>
      <c r="K65">
        <f t="shared" si="34"/>
        <v>38.131459499999998</v>
      </c>
      <c r="O65" s="3">
        <f t="shared" si="22"/>
        <v>-0.1087626</v>
      </c>
      <c r="P65" s="5">
        <f t="shared" si="27"/>
        <v>25.257180000000005</v>
      </c>
      <c r="Q65" s="5">
        <f t="shared" si="28"/>
        <v>4.5808865999999995</v>
      </c>
      <c r="AE65" s="28">
        <v>0.17419999999999999</v>
      </c>
      <c r="AF65" s="28">
        <v>0.45810000000000001</v>
      </c>
      <c r="AH65" s="27">
        <v>0.01</v>
      </c>
      <c r="AI65" s="28">
        <v>2.8999999999999998E-3</v>
      </c>
      <c r="AJ65" s="28">
        <v>2.3450000000000002</v>
      </c>
      <c r="AK65" s="28">
        <v>1.4113</v>
      </c>
    </row>
    <row r="66" spans="1:40" x14ac:dyDescent="0.2">
      <c r="A66" s="13" t="s">
        <v>37</v>
      </c>
      <c r="B66">
        <f t="shared" ref="B66:B67" si="58">B63+72</f>
        <v>506.11</v>
      </c>
      <c r="C66" t="s">
        <v>19</v>
      </c>
      <c r="D66" t="s">
        <v>15</v>
      </c>
      <c r="E66" t="s">
        <v>71</v>
      </c>
      <c r="J66" s="3">
        <f t="shared" si="24"/>
        <v>6.2761506276150678</v>
      </c>
      <c r="K66">
        <f t="shared" si="34"/>
        <v>-15.693</v>
      </c>
      <c r="O66" s="3">
        <f t="shared" si="22"/>
        <v>-0.1060536</v>
      </c>
      <c r="P66" s="5">
        <f t="shared" si="27"/>
        <v>0.69934320000000005</v>
      </c>
      <c r="Q66" s="5">
        <f t="shared" si="28"/>
        <v>18.815576999999998</v>
      </c>
      <c r="AE66" s="28">
        <v>5.9900000000000002E-2</v>
      </c>
      <c r="AF66" s="28">
        <v>0</v>
      </c>
      <c r="AH66" s="27">
        <v>0.01</v>
      </c>
      <c r="AI66" s="28">
        <v>4.4000000000000003E-3</v>
      </c>
      <c r="AJ66" s="28">
        <v>3.78E-2</v>
      </c>
      <c r="AK66" s="28">
        <v>5.7484999999999999</v>
      </c>
    </row>
    <row r="67" spans="1:40" x14ac:dyDescent="0.2">
      <c r="A67" s="13" t="s">
        <v>38</v>
      </c>
      <c r="B67">
        <f t="shared" si="58"/>
        <v>506.1</v>
      </c>
      <c r="C67" t="s">
        <v>20</v>
      </c>
      <c r="D67" t="s">
        <v>15</v>
      </c>
      <c r="E67" t="s">
        <v>71</v>
      </c>
      <c r="J67" s="3">
        <f t="shared" si="24"/>
        <v>181.5062761506276</v>
      </c>
      <c r="K67">
        <f t="shared" si="34"/>
        <v>35.370327000000003</v>
      </c>
      <c r="O67" s="3">
        <f t="shared" si="22"/>
        <v>-0.11002679999999999</v>
      </c>
      <c r="P67" s="5">
        <f t="shared" si="27"/>
        <v>30.814412400000005</v>
      </c>
      <c r="Q67" s="5">
        <f t="shared" si="28"/>
        <v>1.6887882000000001</v>
      </c>
      <c r="AE67" s="28">
        <v>0.19950000000000001</v>
      </c>
      <c r="AF67" s="28">
        <v>0.43459999999999999</v>
      </c>
      <c r="AH67" s="27">
        <v>0.01</v>
      </c>
      <c r="AI67" s="28">
        <v>2.2000000000000001E-3</v>
      </c>
      <c r="AJ67" s="28">
        <v>2.8671000000000002</v>
      </c>
      <c r="AK67" s="28">
        <v>0.53010000000000002</v>
      </c>
    </row>
    <row r="68" spans="1:40" x14ac:dyDescent="0.2">
      <c r="A68" s="13" t="s">
        <v>84</v>
      </c>
      <c r="B68">
        <f>B65+24</f>
        <v>530.1</v>
      </c>
      <c r="C68" t="s">
        <v>21</v>
      </c>
      <c r="D68" t="s">
        <v>15</v>
      </c>
      <c r="E68" t="s">
        <v>71</v>
      </c>
      <c r="J68" s="3">
        <f t="shared" si="24"/>
        <v>165.94142259414221</v>
      </c>
      <c r="K68">
        <f t="shared" si="34"/>
        <v>36.709769999999999</v>
      </c>
      <c r="L68">
        <f t="shared" ref="L68:L70" si="59">(11.007*AG68-0.65)*20</f>
        <v>30.030031999999991</v>
      </c>
      <c r="O68" s="3">
        <f t="shared" si="22"/>
        <v>-0.109485</v>
      </c>
      <c r="P68" s="5">
        <f t="shared" si="27"/>
        <v>25.940524799999999</v>
      </c>
      <c r="Q68" s="5">
        <f t="shared" si="28"/>
        <v>5.0085312000000002</v>
      </c>
      <c r="AE68" s="28">
        <v>0.18709999999999999</v>
      </c>
      <c r="AF68" s="28">
        <v>0.44600000000000001</v>
      </c>
      <c r="AG68">
        <f t="shared" si="30"/>
        <v>0.19546666666666665</v>
      </c>
      <c r="AH68" s="27">
        <v>0.01</v>
      </c>
      <c r="AI68" s="28">
        <v>2.5000000000000001E-3</v>
      </c>
      <c r="AJ68" s="28">
        <v>2.4091999999999998</v>
      </c>
      <c r="AK68" s="28">
        <v>1.5416000000000001</v>
      </c>
      <c r="AL68">
        <v>0.1951</v>
      </c>
      <c r="AM68">
        <v>0.19539999999999999</v>
      </c>
      <c r="AN68">
        <v>0.19589999999999999</v>
      </c>
    </row>
    <row r="69" spans="1:40" x14ac:dyDescent="0.2">
      <c r="A69" s="13" t="s">
        <v>37</v>
      </c>
      <c r="B69">
        <f t="shared" ref="B69:B70" si="60">B66+24</f>
        <v>530.11</v>
      </c>
      <c r="C69" t="s">
        <v>19</v>
      </c>
      <c r="D69" t="s">
        <v>15</v>
      </c>
      <c r="E69" t="s">
        <v>71</v>
      </c>
      <c r="J69" s="3">
        <f t="shared" si="24"/>
        <v>11.67364016736401</v>
      </c>
      <c r="K69">
        <f t="shared" si="34"/>
        <v>-15.693</v>
      </c>
      <c r="L69">
        <f t="shared" si="59"/>
        <v>71.519084000000007</v>
      </c>
      <c r="O69" s="3">
        <f t="shared" si="22"/>
        <v>-0.1078596</v>
      </c>
      <c r="P69" s="5">
        <f t="shared" si="27"/>
        <v>1.1240388000000001</v>
      </c>
      <c r="Q69" s="5">
        <f t="shared" si="28"/>
        <v>19.2954054</v>
      </c>
      <c r="AE69" s="28">
        <v>6.4199999999999993E-2</v>
      </c>
      <c r="AF69" s="28">
        <v>0</v>
      </c>
      <c r="AG69">
        <f t="shared" si="30"/>
        <v>0.3839333333333334</v>
      </c>
      <c r="AH69" s="27">
        <v>0.01</v>
      </c>
      <c r="AI69" s="28">
        <v>3.3999999999999998E-3</v>
      </c>
      <c r="AJ69" s="28">
        <v>7.7700000000000005E-2</v>
      </c>
      <c r="AK69" s="28">
        <v>5.8947000000000003</v>
      </c>
      <c r="AL69">
        <v>0.38750000000000001</v>
      </c>
      <c r="AM69">
        <v>0.38190000000000002</v>
      </c>
      <c r="AN69">
        <v>0.38240000000000002</v>
      </c>
    </row>
    <row r="70" spans="1:40" x14ac:dyDescent="0.2">
      <c r="A70" s="13" t="s">
        <v>38</v>
      </c>
      <c r="B70">
        <f t="shared" si="60"/>
        <v>530.1</v>
      </c>
      <c r="C70" t="s">
        <v>20</v>
      </c>
      <c r="D70" t="s">
        <v>15</v>
      </c>
      <c r="E70" t="s">
        <v>71</v>
      </c>
      <c r="J70" s="3">
        <f t="shared" si="24"/>
        <v>164.56066945606693</v>
      </c>
      <c r="K70">
        <f t="shared" si="34"/>
        <v>33.948637499999997</v>
      </c>
      <c r="L70">
        <f t="shared" si="59"/>
        <v>25.825357999999994</v>
      </c>
      <c r="O70" s="3">
        <f t="shared" si="22"/>
        <v>-0.10930440000000001</v>
      </c>
      <c r="P70" s="5">
        <f t="shared" si="27"/>
        <v>29.5541628</v>
      </c>
      <c r="Q70" s="5">
        <f t="shared" si="28"/>
        <v>2.0652336</v>
      </c>
      <c r="AE70" s="28">
        <v>0.186</v>
      </c>
      <c r="AF70" s="28">
        <v>0.42249999999999999</v>
      </c>
      <c r="AG70">
        <f t="shared" si="30"/>
        <v>0.17636666666666664</v>
      </c>
      <c r="AH70" s="27">
        <v>0.01</v>
      </c>
      <c r="AI70" s="28">
        <v>2.5999999999999999E-3</v>
      </c>
      <c r="AJ70" s="28">
        <v>2.7486999999999999</v>
      </c>
      <c r="AK70" s="28">
        <v>0.64480000000000004</v>
      </c>
      <c r="AL70">
        <v>0.1744</v>
      </c>
      <c r="AM70">
        <v>0.1757</v>
      </c>
      <c r="AN70">
        <v>0.17899999999999999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2026-01-29T06:52:27Z</dcterms:created>
  <dcterms:modified xsi:type="dcterms:W3CDTF">2026-04-12T02:57:16Z</dcterms:modified>
</cp:coreProperties>
</file>