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5A9278AA-3761-994A-AE42-A1F41CD0A069}" xr6:coauthVersionLast="47" xr6:coauthVersionMax="47" xr10:uidLastSave="{00000000-0000-0000-0000-000000000000}"/>
  <bookViews>
    <workbookView xWindow="10600" yWindow="600" windowWidth="18540" windowHeight="15860" xr2:uid="{B679385D-B3C3-A94A-871F-3DCD330101BA}"/>
  </bookViews>
  <sheets>
    <sheet name="r1" sheetId="1" r:id="rId1"/>
  </sheets>
  <definedNames>
    <definedName name="_xlnm._FilterDatabase" localSheetId="0" hidden="1">'r1'!$A$1:$AX$331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2" i="1" l="1"/>
  <c r="AB92" i="1"/>
  <c r="AA92" i="1"/>
  <c r="M27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0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22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02" i="1"/>
  <c r="X314" i="1" l="1"/>
  <c r="X324" i="1"/>
  <c r="X318" i="1"/>
  <c r="X331" i="1"/>
  <c r="X305" i="1"/>
  <c r="X313" i="1"/>
  <c r="X310" i="1"/>
  <c r="X307" i="1"/>
  <c r="X328" i="1"/>
  <c r="X320" i="1"/>
  <c r="X306" i="1"/>
  <c r="X327" i="1"/>
  <c r="X326" i="1"/>
  <c r="X323" i="1"/>
  <c r="X302" i="1"/>
  <c r="X312" i="1"/>
  <c r="X304" i="1"/>
  <c r="X319" i="1"/>
  <c r="X311" i="1"/>
  <c r="X303" i="1"/>
  <c r="X325" i="1"/>
  <c r="X317" i="1"/>
  <c r="X309" i="1"/>
  <c r="X330" i="1"/>
  <c r="X322" i="1"/>
  <c r="X316" i="1"/>
  <c r="X308" i="1"/>
  <c r="X329" i="1"/>
  <c r="X321" i="1"/>
  <c r="X315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18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2" i="1"/>
  <c r="J182" i="1" l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Q192" i="1"/>
  <c r="Q182" i="1"/>
  <c r="Q184" i="1"/>
  <c r="Q186" i="1"/>
  <c r="Q187" i="1"/>
  <c r="Q188" i="1"/>
  <c r="Q189" i="1"/>
  <c r="Q193" i="1"/>
  <c r="Q194" i="1"/>
  <c r="Q195" i="1"/>
  <c r="Q196" i="1"/>
  <c r="Q197" i="1"/>
  <c r="Q198" i="1"/>
  <c r="Q199" i="1"/>
  <c r="Q200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Y274" i="1" s="1"/>
  <c r="Q215" i="1"/>
  <c r="Q216" i="1"/>
  <c r="Q217" i="1"/>
  <c r="Q218" i="1"/>
  <c r="Q219" i="1"/>
  <c r="Q220" i="1"/>
  <c r="Q221" i="1"/>
  <c r="Y281" i="1" s="1"/>
  <c r="Q222" i="1"/>
  <c r="Q223" i="1"/>
  <c r="Q224" i="1"/>
  <c r="Q225" i="1"/>
  <c r="Q226" i="1"/>
  <c r="Q227" i="1"/>
  <c r="Q228" i="1"/>
  <c r="Q229" i="1"/>
  <c r="Q230" i="1"/>
  <c r="Q231" i="1"/>
  <c r="Y291" i="1" s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5" i="1"/>
  <c r="Q276" i="1"/>
  <c r="Q277" i="1"/>
  <c r="Q278" i="1"/>
  <c r="Q279" i="1"/>
  <c r="Q280" i="1"/>
  <c r="Q282" i="1"/>
  <c r="Q283" i="1"/>
  <c r="Q284" i="1"/>
  <c r="Q285" i="1"/>
  <c r="Q286" i="1"/>
  <c r="Q287" i="1"/>
  <c r="Q288" i="1"/>
  <c r="Q289" i="1"/>
  <c r="Q290" i="1"/>
  <c r="Q292" i="1"/>
  <c r="Q293" i="1"/>
  <c r="Q294" i="1"/>
  <c r="Q295" i="1"/>
  <c r="Q296" i="1"/>
  <c r="Q297" i="1"/>
  <c r="Q298" i="1"/>
  <c r="Q299" i="1"/>
  <c r="Q300" i="1"/>
  <c r="Q30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AI27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3" i="1"/>
  <c r="L273" i="1" s="1"/>
  <c r="O273" i="1" s="1"/>
  <c r="AI274" i="1"/>
  <c r="L274" i="1" s="1"/>
  <c r="O274" i="1" s="1"/>
  <c r="AI275" i="1"/>
  <c r="L275" i="1" s="1"/>
  <c r="O275" i="1" s="1"/>
  <c r="AI276" i="1"/>
  <c r="L276" i="1" s="1"/>
  <c r="AI277" i="1"/>
  <c r="L277" i="1" s="1"/>
  <c r="O277" i="1" s="1"/>
  <c r="AI278" i="1"/>
  <c r="L278" i="1" s="1"/>
  <c r="AI279" i="1"/>
  <c r="L279" i="1" s="1"/>
  <c r="AI280" i="1"/>
  <c r="L280" i="1" s="1"/>
  <c r="O280" i="1" s="1"/>
  <c r="AI281" i="1"/>
  <c r="L281" i="1" s="1"/>
  <c r="O281" i="1" s="1"/>
  <c r="AI282" i="1"/>
  <c r="L282" i="1" s="1"/>
  <c r="O282" i="1" s="1"/>
  <c r="AI283" i="1"/>
  <c r="L283" i="1" s="1"/>
  <c r="O283" i="1" s="1"/>
  <c r="AI284" i="1"/>
  <c r="L284" i="1" s="1"/>
  <c r="O284" i="1" s="1"/>
  <c r="AI285" i="1"/>
  <c r="L285" i="1" s="1"/>
  <c r="O285" i="1" s="1"/>
  <c r="AI286" i="1"/>
  <c r="L286" i="1" s="1"/>
  <c r="O286" i="1" s="1"/>
  <c r="AI287" i="1"/>
  <c r="L287" i="1" s="1"/>
  <c r="O287" i="1" s="1"/>
  <c r="AI288" i="1"/>
  <c r="L288" i="1" s="1"/>
  <c r="O288" i="1" s="1"/>
  <c r="AI289" i="1"/>
  <c r="L289" i="1" s="1"/>
  <c r="O289" i="1" s="1"/>
  <c r="AI290" i="1"/>
  <c r="L290" i="1" s="1"/>
  <c r="O290" i="1" s="1"/>
  <c r="AI291" i="1"/>
  <c r="L291" i="1" s="1"/>
  <c r="O291" i="1" s="1"/>
  <c r="AI292" i="1"/>
  <c r="L292" i="1" s="1"/>
  <c r="O292" i="1" s="1"/>
  <c r="AI293" i="1"/>
  <c r="L293" i="1" s="1"/>
  <c r="O293" i="1" s="1"/>
  <c r="AI294" i="1"/>
  <c r="L294" i="1" s="1"/>
  <c r="O294" i="1" s="1"/>
  <c r="AI295" i="1"/>
  <c r="L295" i="1" s="1"/>
  <c r="O295" i="1" s="1"/>
  <c r="AI296" i="1"/>
  <c r="L296" i="1" s="1"/>
  <c r="O296" i="1" s="1"/>
  <c r="AI297" i="1"/>
  <c r="L297" i="1" s="1"/>
  <c r="O297" i="1" s="1"/>
  <c r="AI298" i="1"/>
  <c r="L298" i="1" s="1"/>
  <c r="O298" i="1" s="1"/>
  <c r="AI299" i="1"/>
  <c r="L299" i="1" s="1"/>
  <c r="O299" i="1" s="1"/>
  <c r="AI300" i="1"/>
  <c r="L300" i="1" s="1"/>
  <c r="O300" i="1" s="1"/>
  <c r="AI301" i="1"/>
  <c r="L301" i="1" s="1"/>
  <c r="O301" i="1" s="1"/>
  <c r="AI272" i="1"/>
  <c r="L272" i="1" s="1"/>
  <c r="AI213" i="1"/>
  <c r="L213" i="1" s="1"/>
  <c r="O213" i="1" s="1"/>
  <c r="AI214" i="1"/>
  <c r="L214" i="1" s="1"/>
  <c r="O214" i="1" s="1"/>
  <c r="AI215" i="1"/>
  <c r="L215" i="1" s="1"/>
  <c r="AI216" i="1"/>
  <c r="L216" i="1" s="1"/>
  <c r="O216" i="1" s="1"/>
  <c r="AI217" i="1"/>
  <c r="L217" i="1" s="1"/>
  <c r="AI218" i="1"/>
  <c r="L218" i="1" s="1"/>
  <c r="O218" i="1" s="1"/>
  <c r="AI219" i="1"/>
  <c r="L219" i="1" s="1"/>
  <c r="O219" i="1" s="1"/>
  <c r="AI220" i="1"/>
  <c r="L220" i="1" s="1"/>
  <c r="O220" i="1" s="1"/>
  <c r="AI221" i="1"/>
  <c r="L221" i="1" s="1"/>
  <c r="O221" i="1" s="1"/>
  <c r="AI222" i="1"/>
  <c r="L222" i="1" s="1"/>
  <c r="AI223" i="1"/>
  <c r="L223" i="1" s="1"/>
  <c r="AI224" i="1"/>
  <c r="L224" i="1" s="1"/>
  <c r="AI225" i="1"/>
  <c r="L225" i="1" s="1"/>
  <c r="AI226" i="1"/>
  <c r="L226" i="1" s="1"/>
  <c r="AI227" i="1"/>
  <c r="L227" i="1" s="1"/>
  <c r="AI228" i="1"/>
  <c r="L228" i="1" s="1"/>
  <c r="O228" i="1" s="1"/>
  <c r="AI229" i="1"/>
  <c r="L229" i="1" s="1"/>
  <c r="O229" i="1" s="1"/>
  <c r="AI230" i="1"/>
  <c r="L230" i="1" s="1"/>
  <c r="AI231" i="1"/>
  <c r="L231" i="1" s="1"/>
  <c r="AI232" i="1"/>
  <c r="L232" i="1" s="1"/>
  <c r="AI233" i="1"/>
  <c r="L233" i="1" s="1"/>
  <c r="AI234" i="1"/>
  <c r="L234" i="1" s="1"/>
  <c r="AI235" i="1"/>
  <c r="L235" i="1" s="1"/>
  <c r="O235" i="1" s="1"/>
  <c r="AI236" i="1"/>
  <c r="L236" i="1" s="1"/>
  <c r="O236" i="1" s="1"/>
  <c r="AI237" i="1"/>
  <c r="L237" i="1" s="1"/>
  <c r="O237" i="1" s="1"/>
  <c r="AI238" i="1"/>
  <c r="L238" i="1" s="1"/>
  <c r="AI239" i="1"/>
  <c r="L239" i="1" s="1"/>
  <c r="AI240" i="1"/>
  <c r="L240" i="1" s="1"/>
  <c r="AI241" i="1"/>
  <c r="L241" i="1" s="1"/>
  <c r="AI212" i="1"/>
  <c r="L212" i="1" s="1"/>
  <c r="O212" i="1" s="1"/>
  <c r="S267" i="1" l="1"/>
  <c r="S251" i="1"/>
  <c r="S243" i="1"/>
  <c r="S268" i="1"/>
  <c r="S290" i="1"/>
  <c r="S282" i="1"/>
  <c r="S244" i="1"/>
  <c r="S270" i="1"/>
  <c r="S262" i="1"/>
  <c r="S254" i="1"/>
  <c r="S246" i="1"/>
  <c r="S269" i="1"/>
  <c r="S261" i="1"/>
  <c r="S253" i="1"/>
  <c r="S245" i="1"/>
  <c r="Z297" i="1"/>
  <c r="Z289" i="1"/>
  <c r="Z281" i="1"/>
  <c r="AA281" i="1" s="1"/>
  <c r="Z273" i="1"/>
  <c r="S301" i="1"/>
  <c r="S293" i="1"/>
  <c r="S285" i="1"/>
  <c r="S277" i="1"/>
  <c r="S284" i="1"/>
  <c r="Y296" i="1"/>
  <c r="S255" i="1"/>
  <c r="S252" i="1"/>
  <c r="Z300" i="1"/>
  <c r="Z292" i="1"/>
  <c r="Z284" i="1"/>
  <c r="Z276" i="1"/>
  <c r="Y301" i="1"/>
  <c r="Y293" i="1"/>
  <c r="Y285" i="1"/>
  <c r="Y277" i="1"/>
  <c r="S300" i="1"/>
  <c r="S276" i="1"/>
  <c r="S260" i="1"/>
  <c r="S298" i="1"/>
  <c r="S274" i="1"/>
  <c r="AB274" i="1" s="1"/>
  <c r="S247" i="1"/>
  <c r="S263" i="1"/>
  <c r="S283" i="1"/>
  <c r="Z299" i="1"/>
  <c r="Z291" i="1"/>
  <c r="AA291" i="1" s="1"/>
  <c r="Z283" i="1"/>
  <c r="Z275" i="1"/>
  <c r="Y300" i="1"/>
  <c r="Y292" i="1"/>
  <c r="Y284" i="1"/>
  <c r="Y276" i="1"/>
  <c r="S295" i="1"/>
  <c r="S279" i="1"/>
  <c r="S292" i="1"/>
  <c r="S271" i="1"/>
  <c r="Y294" i="1"/>
  <c r="S299" i="1"/>
  <c r="S275" i="1"/>
  <c r="Z298" i="1"/>
  <c r="Z290" i="1"/>
  <c r="Z282" i="1"/>
  <c r="Z274" i="1"/>
  <c r="AA274" i="1" s="1"/>
  <c r="Y275" i="1"/>
  <c r="S291" i="1"/>
  <c r="AB291" i="1" s="1"/>
  <c r="O239" i="1"/>
  <c r="O272" i="1"/>
  <c r="O278" i="1"/>
  <c r="O227" i="1"/>
  <c r="O234" i="1"/>
  <c r="O233" i="1"/>
  <c r="O225" i="1"/>
  <c r="O279" i="1"/>
  <c r="O232" i="1"/>
  <c r="O224" i="1"/>
  <c r="O241" i="1"/>
  <c r="O223" i="1"/>
  <c r="O276" i="1"/>
  <c r="S297" i="1"/>
  <c r="S289" i="1"/>
  <c r="S281" i="1"/>
  <c r="AB281" i="1" s="1"/>
  <c r="S273" i="1"/>
  <c r="O231" i="1"/>
  <c r="O226" i="1"/>
  <c r="O238" i="1"/>
  <c r="O230" i="1"/>
  <c r="O222" i="1"/>
  <c r="O240" i="1"/>
  <c r="S296" i="1"/>
  <c r="S266" i="1"/>
  <c r="S258" i="1"/>
  <c r="S288" i="1"/>
  <c r="S280" i="1"/>
  <c r="S250" i="1"/>
  <c r="S272" i="1"/>
  <c r="S242" i="1"/>
  <c r="S259" i="1"/>
  <c r="Y298" i="1"/>
  <c r="Y290" i="1"/>
  <c r="Y282" i="1"/>
  <c r="S265" i="1"/>
  <c r="S257" i="1"/>
  <c r="S249" i="1"/>
  <c r="O217" i="1"/>
  <c r="Z296" i="1"/>
  <c r="Z288" i="1"/>
  <c r="Z280" i="1"/>
  <c r="Z272" i="1"/>
  <c r="Y297" i="1"/>
  <c r="Y289" i="1"/>
  <c r="Y273" i="1"/>
  <c r="S264" i="1"/>
  <c r="S256" i="1"/>
  <c r="S248" i="1"/>
  <c r="O215" i="1"/>
  <c r="AA298" i="1"/>
  <c r="Y299" i="1"/>
  <c r="Z279" i="1"/>
  <c r="Y272" i="1"/>
  <c r="S287" i="1"/>
  <c r="Z294" i="1"/>
  <c r="AA294" i="1" s="1"/>
  <c r="Z286" i="1"/>
  <c r="Z278" i="1"/>
  <c r="Y295" i="1"/>
  <c r="Y287" i="1"/>
  <c r="Y279" i="1"/>
  <c r="S294" i="1"/>
  <c r="S286" i="1"/>
  <c r="S278" i="1"/>
  <c r="Y283" i="1"/>
  <c r="Z295" i="1"/>
  <c r="Z287" i="1"/>
  <c r="Y288" i="1"/>
  <c r="Y280" i="1"/>
  <c r="Z301" i="1"/>
  <c r="Z293" i="1"/>
  <c r="Z285" i="1"/>
  <c r="Z277" i="1"/>
  <c r="Y286" i="1"/>
  <c r="Y278" i="1"/>
  <c r="AI92" i="1"/>
  <c r="L92" i="1" s="1"/>
  <c r="O92" i="1" s="1"/>
  <c r="AI65" i="1"/>
  <c r="L65" i="1" s="1"/>
  <c r="O65" i="1" s="1"/>
  <c r="AI66" i="1"/>
  <c r="L66" i="1" s="1"/>
  <c r="O66" i="1" s="1"/>
  <c r="AI67" i="1"/>
  <c r="L67" i="1" s="1"/>
  <c r="O67" i="1" s="1"/>
  <c r="AI68" i="1"/>
  <c r="L68" i="1" s="1"/>
  <c r="O68" i="1" s="1"/>
  <c r="AI69" i="1"/>
  <c r="L69" i="1" s="1"/>
  <c r="O69" i="1" s="1"/>
  <c r="AI70" i="1"/>
  <c r="L70" i="1" s="1"/>
  <c r="O70" i="1" s="1"/>
  <c r="AI71" i="1"/>
  <c r="L71" i="1" s="1"/>
  <c r="O71" i="1" s="1"/>
  <c r="AI72" i="1"/>
  <c r="L72" i="1" s="1"/>
  <c r="O72" i="1" s="1"/>
  <c r="AI73" i="1"/>
  <c r="L73" i="1" s="1"/>
  <c r="O73" i="1" s="1"/>
  <c r="AI74" i="1"/>
  <c r="L74" i="1" s="1"/>
  <c r="O74" i="1" s="1"/>
  <c r="AI75" i="1"/>
  <c r="L75" i="1" s="1"/>
  <c r="O75" i="1" s="1"/>
  <c r="AI76" i="1"/>
  <c r="L76" i="1" s="1"/>
  <c r="O76" i="1" s="1"/>
  <c r="AI77" i="1"/>
  <c r="L77" i="1" s="1"/>
  <c r="O77" i="1" s="1"/>
  <c r="AI78" i="1"/>
  <c r="L78" i="1" s="1"/>
  <c r="O78" i="1" s="1"/>
  <c r="AI79" i="1"/>
  <c r="L79" i="1" s="1"/>
  <c r="O79" i="1" s="1"/>
  <c r="AI80" i="1"/>
  <c r="L80" i="1" s="1"/>
  <c r="AI81" i="1"/>
  <c r="L81" i="1" s="1"/>
  <c r="AI82" i="1"/>
  <c r="L82" i="1" s="1"/>
  <c r="AI83" i="1"/>
  <c r="L83" i="1" s="1"/>
  <c r="AI84" i="1"/>
  <c r="L84" i="1" s="1"/>
  <c r="AI85" i="1"/>
  <c r="L85" i="1" s="1"/>
  <c r="AI86" i="1"/>
  <c r="L86" i="1" s="1"/>
  <c r="AI87" i="1"/>
  <c r="L87" i="1" s="1"/>
  <c r="AI88" i="1"/>
  <c r="L88" i="1" s="1"/>
  <c r="AI89" i="1"/>
  <c r="L89" i="1" s="1"/>
  <c r="AI90" i="1"/>
  <c r="L90" i="1" s="1"/>
  <c r="AI91" i="1"/>
  <c r="L91" i="1" s="1"/>
  <c r="AI93" i="1"/>
  <c r="L93" i="1" s="1"/>
  <c r="O93" i="1" s="1"/>
  <c r="AI94" i="1"/>
  <c r="L94" i="1" s="1"/>
  <c r="O94" i="1" s="1"/>
  <c r="AI95" i="1"/>
  <c r="L95" i="1" s="1"/>
  <c r="O95" i="1" s="1"/>
  <c r="AI96" i="1"/>
  <c r="L96" i="1" s="1"/>
  <c r="O96" i="1" s="1"/>
  <c r="AI97" i="1"/>
  <c r="L97" i="1" s="1"/>
  <c r="O97" i="1" s="1"/>
  <c r="AI98" i="1"/>
  <c r="L98" i="1" s="1"/>
  <c r="O98" i="1" s="1"/>
  <c r="AI99" i="1"/>
  <c r="L99" i="1" s="1"/>
  <c r="O99" i="1" s="1"/>
  <c r="AI100" i="1"/>
  <c r="L100" i="1" s="1"/>
  <c r="O100" i="1" s="1"/>
  <c r="AI101" i="1"/>
  <c r="L101" i="1" s="1"/>
  <c r="O101" i="1" s="1"/>
  <c r="AI102" i="1"/>
  <c r="L102" i="1" s="1"/>
  <c r="O102" i="1" s="1"/>
  <c r="AI103" i="1"/>
  <c r="L103" i="1" s="1"/>
  <c r="O103" i="1" s="1"/>
  <c r="AI104" i="1"/>
  <c r="L104" i="1" s="1"/>
  <c r="O104" i="1" s="1"/>
  <c r="AI105" i="1"/>
  <c r="L105" i="1" s="1"/>
  <c r="O105" i="1" s="1"/>
  <c r="AI106" i="1"/>
  <c r="L106" i="1" s="1"/>
  <c r="O106" i="1" s="1"/>
  <c r="AI107" i="1"/>
  <c r="L107" i="1" s="1"/>
  <c r="O107" i="1" s="1"/>
  <c r="AI108" i="1"/>
  <c r="L108" i="1" s="1"/>
  <c r="O108" i="1" s="1"/>
  <c r="AI109" i="1"/>
  <c r="L109" i="1" s="1"/>
  <c r="O109" i="1" s="1"/>
  <c r="AI110" i="1"/>
  <c r="L110" i="1" s="1"/>
  <c r="AI111" i="1"/>
  <c r="L111" i="1" s="1"/>
  <c r="AI112" i="1"/>
  <c r="L112" i="1" s="1"/>
  <c r="AI113" i="1"/>
  <c r="L113" i="1" s="1"/>
  <c r="AI114" i="1"/>
  <c r="L114" i="1" s="1"/>
  <c r="AI115" i="1"/>
  <c r="L115" i="1" s="1"/>
  <c r="AI116" i="1"/>
  <c r="L116" i="1" s="1"/>
  <c r="AI117" i="1"/>
  <c r="L117" i="1" s="1"/>
  <c r="AI118" i="1"/>
  <c r="L118" i="1" s="1"/>
  <c r="AI119" i="1"/>
  <c r="L119" i="1" s="1"/>
  <c r="AI120" i="1"/>
  <c r="L120" i="1" s="1"/>
  <c r="AI121" i="1"/>
  <c r="L121" i="1" s="1"/>
  <c r="AI122" i="1"/>
  <c r="L122" i="1" s="1"/>
  <c r="O122" i="1" s="1"/>
  <c r="AI123" i="1"/>
  <c r="L123" i="1" s="1"/>
  <c r="O123" i="1" s="1"/>
  <c r="AI124" i="1"/>
  <c r="L124" i="1" s="1"/>
  <c r="O124" i="1" s="1"/>
  <c r="AI125" i="1"/>
  <c r="L125" i="1" s="1"/>
  <c r="O125" i="1" s="1"/>
  <c r="AI126" i="1"/>
  <c r="L126" i="1" s="1"/>
  <c r="O126" i="1" s="1"/>
  <c r="AI127" i="1"/>
  <c r="L127" i="1" s="1"/>
  <c r="O127" i="1" s="1"/>
  <c r="AI128" i="1"/>
  <c r="L128" i="1" s="1"/>
  <c r="O128" i="1" s="1"/>
  <c r="AI129" i="1"/>
  <c r="L129" i="1" s="1"/>
  <c r="O129" i="1" s="1"/>
  <c r="AI130" i="1"/>
  <c r="L130" i="1" s="1"/>
  <c r="O130" i="1" s="1"/>
  <c r="AI131" i="1"/>
  <c r="L131" i="1" s="1"/>
  <c r="O131" i="1" s="1"/>
  <c r="AI132" i="1"/>
  <c r="L132" i="1" s="1"/>
  <c r="O132" i="1" s="1"/>
  <c r="AI133" i="1"/>
  <c r="L133" i="1" s="1"/>
  <c r="O133" i="1" s="1"/>
  <c r="AI134" i="1"/>
  <c r="L134" i="1" s="1"/>
  <c r="O134" i="1" s="1"/>
  <c r="AI135" i="1"/>
  <c r="L135" i="1" s="1"/>
  <c r="O135" i="1" s="1"/>
  <c r="AI136" i="1"/>
  <c r="L136" i="1" s="1"/>
  <c r="O136" i="1" s="1"/>
  <c r="AI137" i="1"/>
  <c r="L137" i="1" s="1"/>
  <c r="O137" i="1" s="1"/>
  <c r="AI138" i="1"/>
  <c r="L138" i="1" s="1"/>
  <c r="O138" i="1" s="1"/>
  <c r="AI139" i="1"/>
  <c r="L139" i="1" s="1"/>
  <c r="O139" i="1" s="1"/>
  <c r="AI140" i="1"/>
  <c r="L140" i="1" s="1"/>
  <c r="AI141" i="1"/>
  <c r="L141" i="1" s="1"/>
  <c r="AI142" i="1"/>
  <c r="L142" i="1" s="1"/>
  <c r="AI143" i="1"/>
  <c r="L143" i="1" s="1"/>
  <c r="AI144" i="1"/>
  <c r="L144" i="1" s="1"/>
  <c r="AI145" i="1"/>
  <c r="L145" i="1" s="1"/>
  <c r="AI146" i="1"/>
  <c r="L146" i="1" s="1"/>
  <c r="AI147" i="1"/>
  <c r="L147" i="1" s="1"/>
  <c r="AI148" i="1"/>
  <c r="L148" i="1" s="1"/>
  <c r="AI149" i="1"/>
  <c r="L149" i="1" s="1"/>
  <c r="AI150" i="1"/>
  <c r="L150" i="1" s="1"/>
  <c r="AI151" i="1"/>
  <c r="L151" i="1" s="1"/>
  <c r="AI152" i="1"/>
  <c r="L152" i="1" s="1"/>
  <c r="AI153" i="1"/>
  <c r="L153" i="1" s="1"/>
  <c r="AI154" i="1"/>
  <c r="L154" i="1" s="1"/>
  <c r="AI155" i="1"/>
  <c r="L155" i="1" s="1"/>
  <c r="AI156" i="1"/>
  <c r="L156" i="1" s="1"/>
  <c r="AI157" i="1"/>
  <c r="L157" i="1" s="1"/>
  <c r="AI158" i="1"/>
  <c r="L158" i="1" s="1"/>
  <c r="AI159" i="1"/>
  <c r="L159" i="1" s="1"/>
  <c r="AI160" i="1"/>
  <c r="L160" i="1" s="1"/>
  <c r="AI161" i="1"/>
  <c r="L161" i="1" s="1"/>
  <c r="AI162" i="1"/>
  <c r="L162" i="1" s="1"/>
  <c r="AI163" i="1"/>
  <c r="L163" i="1" s="1"/>
  <c r="AI164" i="1"/>
  <c r="L164" i="1" s="1"/>
  <c r="AI165" i="1"/>
  <c r="L165" i="1" s="1"/>
  <c r="AI166" i="1"/>
  <c r="L166" i="1" s="1"/>
  <c r="AI167" i="1"/>
  <c r="L167" i="1" s="1"/>
  <c r="AI168" i="1"/>
  <c r="L168" i="1" s="1"/>
  <c r="AI169" i="1"/>
  <c r="L169" i="1" s="1"/>
  <c r="AI170" i="1"/>
  <c r="L170" i="1" s="1"/>
  <c r="AI171" i="1"/>
  <c r="L171" i="1" s="1"/>
  <c r="AI172" i="1"/>
  <c r="L172" i="1" s="1"/>
  <c r="AI173" i="1"/>
  <c r="L173" i="1" s="1"/>
  <c r="AI174" i="1"/>
  <c r="L174" i="1" s="1"/>
  <c r="AI175" i="1"/>
  <c r="L175" i="1" s="1"/>
  <c r="AI176" i="1"/>
  <c r="L176" i="1" s="1"/>
  <c r="AI177" i="1"/>
  <c r="L177" i="1" s="1"/>
  <c r="AI178" i="1"/>
  <c r="L178" i="1" s="1"/>
  <c r="AI179" i="1"/>
  <c r="L179" i="1" s="1"/>
  <c r="AI180" i="1"/>
  <c r="L180" i="1" s="1"/>
  <c r="AI181" i="1"/>
  <c r="L181" i="1" s="1"/>
  <c r="AI56" i="1"/>
  <c r="L56" i="1" s="1"/>
  <c r="AI57" i="1"/>
  <c r="L57" i="1" s="1"/>
  <c r="AI58" i="1"/>
  <c r="L58" i="1" s="1"/>
  <c r="AI59" i="1"/>
  <c r="L59" i="1" s="1"/>
  <c r="AI60" i="1"/>
  <c r="L60" i="1" s="1"/>
  <c r="AI61" i="1"/>
  <c r="L61" i="1" s="1"/>
  <c r="AI62" i="1"/>
  <c r="L62" i="1" s="1"/>
  <c r="O62" i="1" s="1"/>
  <c r="AI63" i="1"/>
  <c r="L63" i="1" s="1"/>
  <c r="O63" i="1" s="1"/>
  <c r="AI64" i="1"/>
  <c r="L64" i="1" s="1"/>
  <c r="O64" i="1" s="1"/>
  <c r="AI53" i="1"/>
  <c r="L53" i="1" s="1"/>
  <c r="AI54" i="1"/>
  <c r="L54" i="1" s="1"/>
  <c r="AI55" i="1"/>
  <c r="L55" i="1" s="1"/>
  <c r="AI3" i="1"/>
  <c r="L3" i="1" s="1"/>
  <c r="AI4" i="1"/>
  <c r="L4" i="1" s="1"/>
  <c r="AI5" i="1"/>
  <c r="L5" i="1" s="1"/>
  <c r="AI6" i="1"/>
  <c r="L6" i="1" s="1"/>
  <c r="AI7" i="1"/>
  <c r="L7" i="1" s="1"/>
  <c r="AI8" i="1"/>
  <c r="L8" i="1" s="1"/>
  <c r="AI9" i="1"/>
  <c r="L9" i="1" s="1"/>
  <c r="AI10" i="1"/>
  <c r="L10" i="1" s="1"/>
  <c r="AI11" i="1"/>
  <c r="L11" i="1" s="1"/>
  <c r="AI12" i="1"/>
  <c r="L12" i="1" s="1"/>
  <c r="AI13" i="1"/>
  <c r="L13" i="1" s="1"/>
  <c r="AI14" i="1"/>
  <c r="L14" i="1" s="1"/>
  <c r="AI15" i="1"/>
  <c r="L15" i="1" s="1"/>
  <c r="AI16" i="1"/>
  <c r="L16" i="1" s="1"/>
  <c r="AI17" i="1"/>
  <c r="L17" i="1" s="1"/>
  <c r="O17" i="1" s="1"/>
  <c r="AI18" i="1"/>
  <c r="L18" i="1" s="1"/>
  <c r="O18" i="1" s="1"/>
  <c r="AI19" i="1"/>
  <c r="L19" i="1" s="1"/>
  <c r="O19" i="1" s="1"/>
  <c r="AI20" i="1"/>
  <c r="L20" i="1" s="1"/>
  <c r="AI21" i="1"/>
  <c r="L21" i="1" s="1"/>
  <c r="AI22" i="1"/>
  <c r="L22" i="1" s="1"/>
  <c r="AI23" i="1"/>
  <c r="L23" i="1" s="1"/>
  <c r="AI24" i="1"/>
  <c r="L24" i="1" s="1"/>
  <c r="AI25" i="1"/>
  <c r="L25" i="1" s="1"/>
  <c r="AI26" i="1"/>
  <c r="L26" i="1" s="1"/>
  <c r="AI27" i="1"/>
  <c r="L27" i="1" s="1"/>
  <c r="AI28" i="1"/>
  <c r="L28" i="1" s="1"/>
  <c r="AI29" i="1"/>
  <c r="L29" i="1" s="1"/>
  <c r="AI30" i="1"/>
  <c r="L30" i="1" s="1"/>
  <c r="AI31" i="1"/>
  <c r="L31" i="1" s="1"/>
  <c r="AI32" i="1"/>
  <c r="L32" i="1" s="1"/>
  <c r="O32" i="1" s="1"/>
  <c r="AI33" i="1"/>
  <c r="L33" i="1" s="1"/>
  <c r="AI34" i="1"/>
  <c r="L34" i="1" s="1"/>
  <c r="AI35" i="1"/>
  <c r="L35" i="1" s="1"/>
  <c r="AI36" i="1"/>
  <c r="L36" i="1" s="1"/>
  <c r="AI37" i="1"/>
  <c r="L37" i="1" s="1"/>
  <c r="AI38" i="1"/>
  <c r="L38" i="1" s="1"/>
  <c r="AI39" i="1"/>
  <c r="L39" i="1" s="1"/>
  <c r="AI40" i="1"/>
  <c r="L40" i="1" s="1"/>
  <c r="AI41" i="1"/>
  <c r="L41" i="1" s="1"/>
  <c r="AI42" i="1"/>
  <c r="L42" i="1" s="1"/>
  <c r="AI43" i="1"/>
  <c r="L43" i="1" s="1"/>
  <c r="AI44" i="1"/>
  <c r="L44" i="1" s="1"/>
  <c r="AI45" i="1"/>
  <c r="L45" i="1" s="1"/>
  <c r="AI46" i="1"/>
  <c r="L46" i="1" s="1"/>
  <c r="AI47" i="1"/>
  <c r="L47" i="1" s="1"/>
  <c r="AI48" i="1"/>
  <c r="L48" i="1" s="1"/>
  <c r="AI49" i="1"/>
  <c r="L49" i="1" s="1"/>
  <c r="AI50" i="1"/>
  <c r="L50" i="1" s="1"/>
  <c r="AI51" i="1"/>
  <c r="L51" i="1" s="1"/>
  <c r="AI52" i="1"/>
  <c r="L52" i="1" s="1"/>
  <c r="AI2" i="1"/>
  <c r="AA272" i="1" l="1"/>
  <c r="AB282" i="1"/>
  <c r="AB288" i="1"/>
  <c r="AA273" i="1"/>
  <c r="AB290" i="1"/>
  <c r="AA289" i="1"/>
  <c r="AB275" i="1"/>
  <c r="AB284" i="1"/>
  <c r="AA293" i="1"/>
  <c r="AA296" i="1"/>
  <c r="AA301" i="1"/>
  <c r="AB294" i="1"/>
  <c r="AB292" i="1"/>
  <c r="AA284" i="1"/>
  <c r="AB296" i="1"/>
  <c r="AB276" i="1"/>
  <c r="AA292" i="1"/>
  <c r="AA297" i="1"/>
  <c r="AB300" i="1"/>
  <c r="AA300" i="1"/>
  <c r="AB301" i="1"/>
  <c r="AB286" i="1"/>
  <c r="AB279" i="1"/>
  <c r="AB285" i="1"/>
  <c r="AB298" i="1"/>
  <c r="AB277" i="1"/>
  <c r="AB293" i="1"/>
  <c r="AA276" i="1"/>
  <c r="AB297" i="1"/>
  <c r="AB295" i="1"/>
  <c r="AA275" i="1"/>
  <c r="AA282" i="1"/>
  <c r="AA277" i="1"/>
  <c r="AB283" i="1"/>
  <c r="AB272" i="1"/>
  <c r="AA285" i="1"/>
  <c r="AA290" i="1"/>
  <c r="AA286" i="1"/>
  <c r="AA299" i="1"/>
  <c r="AB278" i="1"/>
  <c r="AA278" i="1"/>
  <c r="AB299" i="1"/>
  <c r="AB273" i="1"/>
  <c r="AA287" i="1"/>
  <c r="AA283" i="1"/>
  <c r="AB287" i="1"/>
  <c r="AA280" i="1"/>
  <c r="AA295" i="1"/>
  <c r="AA288" i="1"/>
  <c r="AB280" i="1"/>
  <c r="AB289" i="1"/>
  <c r="AA279" i="1"/>
  <c r="V121" i="1"/>
  <c r="AG31" i="1"/>
  <c r="J31" i="1" s="1"/>
  <c r="AG25" i="1"/>
  <c r="J25" i="1" s="1"/>
  <c r="Q3" i="1"/>
  <c r="R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Q56" i="1"/>
  <c r="R56" i="1"/>
  <c r="Q57" i="1"/>
  <c r="R57" i="1"/>
  <c r="Q58" i="1"/>
  <c r="R58" i="1"/>
  <c r="Q59" i="1"/>
  <c r="R59" i="1"/>
  <c r="Q60" i="1"/>
  <c r="R60" i="1"/>
  <c r="Q61" i="1"/>
  <c r="R61" i="1"/>
  <c r="Q62" i="1"/>
  <c r="R62" i="1"/>
  <c r="Q63" i="1"/>
  <c r="R63" i="1"/>
  <c r="Q64" i="1"/>
  <c r="R64" i="1"/>
  <c r="Q65" i="1"/>
  <c r="R65" i="1"/>
  <c r="Q66" i="1"/>
  <c r="R66" i="1"/>
  <c r="Q67" i="1"/>
  <c r="R67" i="1"/>
  <c r="Q68" i="1"/>
  <c r="R68" i="1"/>
  <c r="Q69" i="1"/>
  <c r="R69" i="1"/>
  <c r="Q70" i="1"/>
  <c r="R70" i="1"/>
  <c r="Q71" i="1"/>
  <c r="R71" i="1"/>
  <c r="Q72" i="1"/>
  <c r="R72" i="1"/>
  <c r="Q73" i="1"/>
  <c r="R73" i="1"/>
  <c r="Q74" i="1"/>
  <c r="R74" i="1"/>
  <c r="Q75" i="1"/>
  <c r="R75" i="1"/>
  <c r="Q76" i="1"/>
  <c r="R76" i="1"/>
  <c r="Q77" i="1"/>
  <c r="R77" i="1"/>
  <c r="Q78" i="1"/>
  <c r="R78" i="1"/>
  <c r="Q79" i="1"/>
  <c r="R79" i="1"/>
  <c r="Q80" i="1"/>
  <c r="R80" i="1"/>
  <c r="Q81" i="1"/>
  <c r="R81" i="1"/>
  <c r="Q82" i="1"/>
  <c r="R82" i="1"/>
  <c r="Q83" i="1"/>
  <c r="R83" i="1"/>
  <c r="Q84" i="1"/>
  <c r="R84" i="1"/>
  <c r="Q85" i="1"/>
  <c r="R85" i="1"/>
  <c r="Q86" i="1"/>
  <c r="R86" i="1"/>
  <c r="Q87" i="1"/>
  <c r="R87" i="1"/>
  <c r="Q88" i="1"/>
  <c r="R88" i="1"/>
  <c r="Q89" i="1"/>
  <c r="R89" i="1"/>
  <c r="Q90" i="1"/>
  <c r="R90" i="1"/>
  <c r="Q91" i="1"/>
  <c r="R91" i="1"/>
  <c r="Q92" i="1"/>
  <c r="R92" i="1"/>
  <c r="Q93" i="1"/>
  <c r="R93" i="1"/>
  <c r="Q94" i="1"/>
  <c r="R94" i="1"/>
  <c r="Q95" i="1"/>
  <c r="R95" i="1"/>
  <c r="Q96" i="1"/>
  <c r="R96" i="1"/>
  <c r="Q97" i="1"/>
  <c r="R97" i="1"/>
  <c r="Q98" i="1"/>
  <c r="R98" i="1"/>
  <c r="Q99" i="1"/>
  <c r="R99" i="1"/>
  <c r="Q100" i="1"/>
  <c r="R100" i="1"/>
  <c r="Q101" i="1"/>
  <c r="R101" i="1"/>
  <c r="Q102" i="1"/>
  <c r="R102" i="1"/>
  <c r="Q103" i="1"/>
  <c r="R103" i="1"/>
  <c r="Q104" i="1"/>
  <c r="R104" i="1"/>
  <c r="Q105" i="1"/>
  <c r="R105" i="1"/>
  <c r="Q106" i="1"/>
  <c r="R106" i="1"/>
  <c r="Q107" i="1"/>
  <c r="R107" i="1"/>
  <c r="Q108" i="1"/>
  <c r="R108" i="1"/>
  <c r="Q109" i="1"/>
  <c r="R109" i="1"/>
  <c r="Q110" i="1"/>
  <c r="R110" i="1"/>
  <c r="Q111" i="1"/>
  <c r="R111" i="1"/>
  <c r="Q112" i="1"/>
  <c r="R112" i="1"/>
  <c r="Q113" i="1"/>
  <c r="R113" i="1"/>
  <c r="Q114" i="1"/>
  <c r="R114" i="1"/>
  <c r="Q115" i="1"/>
  <c r="R115" i="1"/>
  <c r="Q116" i="1"/>
  <c r="R116" i="1"/>
  <c r="Q117" i="1"/>
  <c r="R117" i="1"/>
  <c r="Q118" i="1"/>
  <c r="R118" i="1"/>
  <c r="Q119" i="1"/>
  <c r="R119" i="1"/>
  <c r="Q120" i="1"/>
  <c r="R120" i="1"/>
  <c r="Q121" i="1"/>
  <c r="R121" i="1"/>
  <c r="Q122" i="1"/>
  <c r="R122" i="1"/>
  <c r="Q123" i="1"/>
  <c r="R123" i="1"/>
  <c r="Q124" i="1"/>
  <c r="R124" i="1"/>
  <c r="Q125" i="1"/>
  <c r="R125" i="1"/>
  <c r="Q126" i="1"/>
  <c r="R126" i="1"/>
  <c r="Q127" i="1"/>
  <c r="R127" i="1"/>
  <c r="Q128" i="1"/>
  <c r="R128" i="1"/>
  <c r="Q129" i="1"/>
  <c r="R129" i="1"/>
  <c r="Q130" i="1"/>
  <c r="R130" i="1"/>
  <c r="Q131" i="1"/>
  <c r="R131" i="1"/>
  <c r="Q132" i="1"/>
  <c r="R132" i="1"/>
  <c r="Q133" i="1"/>
  <c r="R133" i="1"/>
  <c r="Q134" i="1"/>
  <c r="R134" i="1"/>
  <c r="Q135" i="1"/>
  <c r="R135" i="1"/>
  <c r="Q136" i="1"/>
  <c r="R136" i="1"/>
  <c r="Q137" i="1"/>
  <c r="R137" i="1"/>
  <c r="Q138" i="1"/>
  <c r="R138" i="1"/>
  <c r="Q139" i="1"/>
  <c r="R139" i="1"/>
  <c r="Q140" i="1"/>
  <c r="R140" i="1"/>
  <c r="Q141" i="1"/>
  <c r="R141" i="1"/>
  <c r="Q142" i="1"/>
  <c r="R142" i="1"/>
  <c r="Q143" i="1"/>
  <c r="R143" i="1"/>
  <c r="Q144" i="1"/>
  <c r="R144" i="1"/>
  <c r="Q145" i="1"/>
  <c r="R145" i="1"/>
  <c r="Q146" i="1"/>
  <c r="R146" i="1"/>
  <c r="Q147" i="1"/>
  <c r="R147" i="1"/>
  <c r="Q148" i="1"/>
  <c r="R148" i="1"/>
  <c r="Q149" i="1"/>
  <c r="R149" i="1"/>
  <c r="Q150" i="1"/>
  <c r="R150" i="1"/>
  <c r="Q151" i="1"/>
  <c r="R151" i="1"/>
  <c r="Q152" i="1"/>
  <c r="R152" i="1"/>
  <c r="Q153" i="1"/>
  <c r="R153" i="1"/>
  <c r="Q154" i="1"/>
  <c r="R154" i="1"/>
  <c r="Q155" i="1"/>
  <c r="R155" i="1"/>
  <c r="Q156" i="1"/>
  <c r="R156" i="1"/>
  <c r="Q157" i="1"/>
  <c r="R157" i="1"/>
  <c r="Q158" i="1"/>
  <c r="R158" i="1"/>
  <c r="Q159" i="1"/>
  <c r="R159" i="1"/>
  <c r="Q160" i="1"/>
  <c r="R160" i="1"/>
  <c r="Q161" i="1"/>
  <c r="R161" i="1"/>
  <c r="Q162" i="1"/>
  <c r="R162" i="1"/>
  <c r="Q163" i="1"/>
  <c r="R163" i="1"/>
  <c r="Q164" i="1"/>
  <c r="R164" i="1"/>
  <c r="Q165" i="1"/>
  <c r="R165" i="1"/>
  <c r="Q166" i="1"/>
  <c r="R166" i="1"/>
  <c r="Q167" i="1"/>
  <c r="R167" i="1"/>
  <c r="Q168" i="1"/>
  <c r="R168" i="1"/>
  <c r="Q169" i="1"/>
  <c r="R169" i="1"/>
  <c r="Q170" i="1"/>
  <c r="R170" i="1"/>
  <c r="Q171" i="1"/>
  <c r="R171" i="1"/>
  <c r="Q172" i="1"/>
  <c r="R172" i="1"/>
  <c r="Q173" i="1"/>
  <c r="R173" i="1"/>
  <c r="Q174" i="1"/>
  <c r="R174" i="1"/>
  <c r="Q175" i="1"/>
  <c r="R175" i="1"/>
  <c r="Q176" i="1"/>
  <c r="R176" i="1"/>
  <c r="Q177" i="1"/>
  <c r="R177" i="1"/>
  <c r="Q178" i="1"/>
  <c r="R178" i="1"/>
  <c r="Q179" i="1"/>
  <c r="R179" i="1"/>
  <c r="Q180" i="1"/>
  <c r="R180" i="1"/>
  <c r="Q181" i="1"/>
  <c r="R181" i="1"/>
  <c r="R2" i="1"/>
  <c r="Q2" i="1"/>
  <c r="K80" i="1"/>
  <c r="O80" i="1" s="1"/>
  <c r="K81" i="1"/>
  <c r="O81" i="1" s="1"/>
  <c r="K82" i="1"/>
  <c r="O82" i="1" s="1"/>
  <c r="K83" i="1"/>
  <c r="O83" i="1" s="1"/>
  <c r="K84" i="1"/>
  <c r="O84" i="1" s="1"/>
  <c r="K85" i="1"/>
  <c r="O85" i="1" s="1"/>
  <c r="K86" i="1"/>
  <c r="O86" i="1" s="1"/>
  <c r="K87" i="1"/>
  <c r="O87" i="1" s="1"/>
  <c r="K88" i="1"/>
  <c r="O88" i="1" s="1"/>
  <c r="K89" i="1"/>
  <c r="O89" i="1" s="1"/>
  <c r="K90" i="1"/>
  <c r="O90" i="1" s="1"/>
  <c r="K91" i="1"/>
  <c r="O91" i="1" s="1"/>
  <c r="K110" i="1"/>
  <c r="O110" i="1" s="1"/>
  <c r="K111" i="1"/>
  <c r="O111" i="1" s="1"/>
  <c r="K112" i="1"/>
  <c r="O112" i="1" s="1"/>
  <c r="K113" i="1"/>
  <c r="O113" i="1" s="1"/>
  <c r="K114" i="1"/>
  <c r="O114" i="1" s="1"/>
  <c r="K115" i="1"/>
  <c r="O115" i="1" s="1"/>
  <c r="K116" i="1"/>
  <c r="O116" i="1" s="1"/>
  <c r="K117" i="1"/>
  <c r="O117" i="1" s="1"/>
  <c r="K118" i="1"/>
  <c r="O118" i="1" s="1"/>
  <c r="K119" i="1"/>
  <c r="O119" i="1" s="1"/>
  <c r="K120" i="1"/>
  <c r="O120" i="1" s="1"/>
  <c r="K121" i="1"/>
  <c r="O121" i="1" s="1"/>
  <c r="K140" i="1"/>
  <c r="O140" i="1" s="1"/>
  <c r="K141" i="1"/>
  <c r="O141" i="1" s="1"/>
  <c r="K142" i="1"/>
  <c r="O142" i="1" s="1"/>
  <c r="K143" i="1"/>
  <c r="O143" i="1" s="1"/>
  <c r="K144" i="1"/>
  <c r="O144" i="1" s="1"/>
  <c r="K145" i="1"/>
  <c r="O145" i="1" s="1"/>
  <c r="K146" i="1"/>
  <c r="O146" i="1" s="1"/>
  <c r="K147" i="1"/>
  <c r="O147" i="1" s="1"/>
  <c r="K148" i="1"/>
  <c r="O148" i="1" s="1"/>
  <c r="K149" i="1"/>
  <c r="O149" i="1" s="1"/>
  <c r="K150" i="1"/>
  <c r="O150" i="1" s="1"/>
  <c r="K151" i="1"/>
  <c r="O151" i="1" s="1"/>
  <c r="K152" i="1"/>
  <c r="O152" i="1" s="1"/>
  <c r="K153" i="1"/>
  <c r="O153" i="1" s="1"/>
  <c r="K154" i="1"/>
  <c r="O154" i="1" s="1"/>
  <c r="K155" i="1"/>
  <c r="O155" i="1" s="1"/>
  <c r="K156" i="1"/>
  <c r="O156" i="1" s="1"/>
  <c r="K157" i="1"/>
  <c r="O157" i="1" s="1"/>
  <c r="K158" i="1"/>
  <c r="O158" i="1" s="1"/>
  <c r="K159" i="1"/>
  <c r="O159" i="1" s="1"/>
  <c r="K160" i="1"/>
  <c r="O160" i="1" s="1"/>
  <c r="K161" i="1"/>
  <c r="O161" i="1" s="1"/>
  <c r="K162" i="1"/>
  <c r="O162" i="1" s="1"/>
  <c r="K163" i="1"/>
  <c r="O163" i="1" s="1"/>
  <c r="K164" i="1"/>
  <c r="O164" i="1" s="1"/>
  <c r="K165" i="1"/>
  <c r="O165" i="1" s="1"/>
  <c r="K166" i="1"/>
  <c r="O166" i="1" s="1"/>
  <c r="K167" i="1"/>
  <c r="O167" i="1" s="1"/>
  <c r="K168" i="1"/>
  <c r="O168" i="1" s="1"/>
  <c r="K169" i="1"/>
  <c r="O169" i="1" s="1"/>
  <c r="K170" i="1"/>
  <c r="O170" i="1" s="1"/>
  <c r="K171" i="1"/>
  <c r="O171" i="1" s="1"/>
  <c r="K172" i="1"/>
  <c r="O172" i="1" s="1"/>
  <c r="K173" i="1"/>
  <c r="O173" i="1" s="1"/>
  <c r="K174" i="1"/>
  <c r="O174" i="1" s="1"/>
  <c r="K175" i="1"/>
  <c r="O175" i="1" s="1"/>
  <c r="K176" i="1"/>
  <c r="O176" i="1" s="1"/>
  <c r="K177" i="1"/>
  <c r="O177" i="1" s="1"/>
  <c r="K178" i="1"/>
  <c r="O178" i="1" s="1"/>
  <c r="K179" i="1"/>
  <c r="O179" i="1" s="1"/>
  <c r="K180" i="1"/>
  <c r="O180" i="1" s="1"/>
  <c r="K181" i="1"/>
  <c r="O181" i="1" s="1"/>
  <c r="K21" i="1"/>
  <c r="O21" i="1" s="1"/>
  <c r="K22" i="1"/>
  <c r="O22" i="1" s="1"/>
  <c r="K23" i="1"/>
  <c r="O23" i="1" s="1"/>
  <c r="K24" i="1"/>
  <c r="O24" i="1" s="1"/>
  <c r="K25" i="1"/>
  <c r="O25" i="1" s="1"/>
  <c r="K26" i="1"/>
  <c r="O26" i="1" s="1"/>
  <c r="K27" i="1"/>
  <c r="O27" i="1" s="1"/>
  <c r="K28" i="1"/>
  <c r="O28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6" i="1"/>
  <c r="J27" i="1"/>
  <c r="J28" i="1"/>
  <c r="J29" i="1"/>
  <c r="J30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S115" i="1" s="1"/>
  <c r="T115" i="1" s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B151" i="1"/>
  <c r="B181" i="1" s="1"/>
  <c r="B211" i="1" s="1"/>
  <c r="B241" i="1" s="1"/>
  <c r="B271" i="1" s="1"/>
  <c r="B92" i="1"/>
  <c r="V92" i="1" s="1"/>
  <c r="B93" i="1"/>
  <c r="B122" i="1" s="1"/>
  <c r="B152" i="1" s="1"/>
  <c r="B182" i="1" s="1"/>
  <c r="B212" i="1" s="1"/>
  <c r="B242" i="1" s="1"/>
  <c r="B272" i="1" s="1"/>
  <c r="B94" i="1"/>
  <c r="B123" i="1" s="1"/>
  <c r="B153" i="1" s="1"/>
  <c r="B183" i="1" s="1"/>
  <c r="B213" i="1" s="1"/>
  <c r="B243" i="1" s="1"/>
  <c r="B95" i="1"/>
  <c r="B124" i="1" s="1"/>
  <c r="B154" i="1" s="1"/>
  <c r="B184" i="1" s="1"/>
  <c r="B214" i="1" s="1"/>
  <c r="B244" i="1" s="1"/>
  <c r="B96" i="1"/>
  <c r="B125" i="1" s="1"/>
  <c r="B155" i="1" s="1"/>
  <c r="B185" i="1" s="1"/>
  <c r="B215" i="1" s="1"/>
  <c r="B245" i="1" s="1"/>
  <c r="B97" i="1"/>
  <c r="B126" i="1" s="1"/>
  <c r="B156" i="1" s="1"/>
  <c r="B186" i="1" s="1"/>
  <c r="B216" i="1" s="1"/>
  <c r="B246" i="1" s="1"/>
  <c r="B98" i="1"/>
  <c r="B127" i="1" s="1"/>
  <c r="B157" i="1" s="1"/>
  <c r="B187" i="1" s="1"/>
  <c r="B217" i="1" s="1"/>
  <c r="B247" i="1" s="1"/>
  <c r="B99" i="1"/>
  <c r="B128" i="1" s="1"/>
  <c r="B158" i="1" s="1"/>
  <c r="B188" i="1" s="1"/>
  <c r="B218" i="1" s="1"/>
  <c r="B248" i="1" s="1"/>
  <c r="B278" i="1" s="1"/>
  <c r="B100" i="1"/>
  <c r="B129" i="1" s="1"/>
  <c r="B159" i="1" s="1"/>
  <c r="B189" i="1" s="1"/>
  <c r="B219" i="1" s="1"/>
  <c r="B249" i="1" s="1"/>
  <c r="B279" i="1" s="1"/>
  <c r="B101" i="1"/>
  <c r="B102" i="1"/>
  <c r="B131" i="1" s="1"/>
  <c r="B161" i="1" s="1"/>
  <c r="B191" i="1" s="1"/>
  <c r="B221" i="1" s="1"/>
  <c r="B251" i="1" s="1"/>
  <c r="B103" i="1"/>
  <c r="B132" i="1" s="1"/>
  <c r="B162" i="1" s="1"/>
  <c r="B192" i="1" s="1"/>
  <c r="B222" i="1" s="1"/>
  <c r="B252" i="1" s="1"/>
  <c r="B104" i="1"/>
  <c r="B133" i="1" s="1"/>
  <c r="B163" i="1" s="1"/>
  <c r="B193" i="1" s="1"/>
  <c r="B223" i="1" s="1"/>
  <c r="B253" i="1" s="1"/>
  <c r="B105" i="1"/>
  <c r="B134" i="1" s="1"/>
  <c r="B164" i="1" s="1"/>
  <c r="B194" i="1" s="1"/>
  <c r="B224" i="1" s="1"/>
  <c r="B254" i="1" s="1"/>
  <c r="B106" i="1"/>
  <c r="B135" i="1" s="1"/>
  <c r="B165" i="1" s="1"/>
  <c r="B195" i="1" s="1"/>
  <c r="B225" i="1" s="1"/>
  <c r="B255" i="1" s="1"/>
  <c r="B107" i="1"/>
  <c r="B136" i="1" s="1"/>
  <c r="B166" i="1" s="1"/>
  <c r="B196" i="1" s="1"/>
  <c r="B226" i="1" s="1"/>
  <c r="B256" i="1" s="1"/>
  <c r="B286" i="1" s="1"/>
  <c r="B108" i="1"/>
  <c r="B137" i="1" s="1"/>
  <c r="B167" i="1" s="1"/>
  <c r="B197" i="1" s="1"/>
  <c r="B227" i="1" s="1"/>
  <c r="B257" i="1" s="1"/>
  <c r="B287" i="1" s="1"/>
  <c r="B109" i="1"/>
  <c r="B110" i="1"/>
  <c r="B111" i="1"/>
  <c r="B112" i="1"/>
  <c r="B141" i="1" s="1"/>
  <c r="B171" i="1" s="1"/>
  <c r="B201" i="1" s="1"/>
  <c r="B231" i="1" s="1"/>
  <c r="B261" i="1" s="1"/>
  <c r="B113" i="1"/>
  <c r="B143" i="1" s="1"/>
  <c r="B173" i="1" s="1"/>
  <c r="B203" i="1" s="1"/>
  <c r="B233" i="1" s="1"/>
  <c r="B263" i="1" s="1"/>
  <c r="B114" i="1"/>
  <c r="B144" i="1" s="1"/>
  <c r="B174" i="1" s="1"/>
  <c r="B204" i="1" s="1"/>
  <c r="B234" i="1" s="1"/>
  <c r="B264" i="1" s="1"/>
  <c r="B294" i="1" s="1"/>
  <c r="B115" i="1"/>
  <c r="B145" i="1" s="1"/>
  <c r="B175" i="1" s="1"/>
  <c r="B205" i="1" s="1"/>
  <c r="B235" i="1" s="1"/>
  <c r="B265" i="1" s="1"/>
  <c r="B295" i="1" s="1"/>
  <c r="B116" i="1"/>
  <c r="B146" i="1" s="1"/>
  <c r="B176" i="1" s="1"/>
  <c r="B206" i="1" s="1"/>
  <c r="B236" i="1" s="1"/>
  <c r="B266" i="1" s="1"/>
  <c r="B296" i="1" s="1"/>
  <c r="B117" i="1"/>
  <c r="B147" i="1" s="1"/>
  <c r="B177" i="1" s="1"/>
  <c r="B207" i="1" s="1"/>
  <c r="B237" i="1" s="1"/>
  <c r="B267" i="1" s="1"/>
  <c r="B118" i="1"/>
  <c r="B148" i="1" s="1"/>
  <c r="B178" i="1" s="1"/>
  <c r="B208" i="1" s="1"/>
  <c r="B238" i="1" s="1"/>
  <c r="B268" i="1" s="1"/>
  <c r="B119" i="1"/>
  <c r="B149" i="1" s="1"/>
  <c r="B179" i="1" s="1"/>
  <c r="B209" i="1" s="1"/>
  <c r="B239" i="1" s="1"/>
  <c r="B269" i="1" s="1"/>
  <c r="B120" i="1"/>
  <c r="B150" i="1" s="1"/>
  <c r="B180" i="1" s="1"/>
  <c r="B210" i="1" s="1"/>
  <c r="B240" i="1" s="1"/>
  <c r="B270" i="1" s="1"/>
  <c r="K50" i="1"/>
  <c r="O50" i="1" s="1"/>
  <c r="K51" i="1"/>
  <c r="O51" i="1" s="1"/>
  <c r="K52" i="1"/>
  <c r="O52" i="1" s="1"/>
  <c r="K53" i="1"/>
  <c r="O53" i="1" s="1"/>
  <c r="K54" i="1"/>
  <c r="O54" i="1" s="1"/>
  <c r="K55" i="1"/>
  <c r="O55" i="1" s="1"/>
  <c r="K56" i="1"/>
  <c r="O56" i="1" s="1"/>
  <c r="K57" i="1"/>
  <c r="O57" i="1" s="1"/>
  <c r="K58" i="1"/>
  <c r="O58" i="1" s="1"/>
  <c r="K59" i="1"/>
  <c r="O59" i="1" s="1"/>
  <c r="K60" i="1"/>
  <c r="O60" i="1" s="1"/>
  <c r="K61" i="1"/>
  <c r="O61" i="1" s="1"/>
  <c r="K30" i="1"/>
  <c r="O30" i="1" s="1"/>
  <c r="K31" i="1"/>
  <c r="O31" i="1" s="1"/>
  <c r="K29" i="1"/>
  <c r="O29" i="1" s="1"/>
  <c r="K20" i="1"/>
  <c r="J2" i="1"/>
  <c r="U264" i="1" l="1"/>
  <c r="S175" i="1"/>
  <c r="S167" i="1"/>
  <c r="S159" i="1"/>
  <c r="U278" i="1"/>
  <c r="V278" i="1"/>
  <c r="U256" i="1"/>
  <c r="U265" i="1"/>
  <c r="V294" i="1"/>
  <c r="U294" i="1"/>
  <c r="B285" i="1"/>
  <c r="U255" i="1"/>
  <c r="B277" i="1"/>
  <c r="U247" i="1"/>
  <c r="B275" i="1"/>
  <c r="U245" i="1"/>
  <c r="U257" i="1"/>
  <c r="U248" i="1"/>
  <c r="U295" i="1"/>
  <c r="V295" i="1"/>
  <c r="B301" i="1"/>
  <c r="U271" i="1"/>
  <c r="B293" i="1"/>
  <c r="U263" i="1"/>
  <c r="B284" i="1"/>
  <c r="U254" i="1"/>
  <c r="B300" i="1"/>
  <c r="U270" i="1"/>
  <c r="B283" i="1"/>
  <c r="U253" i="1"/>
  <c r="B299" i="1"/>
  <c r="U269" i="1"/>
  <c r="B274" i="1"/>
  <c r="U244" i="1"/>
  <c r="B273" i="1"/>
  <c r="U243" i="1"/>
  <c r="V272" i="1"/>
  <c r="U272" i="1"/>
  <c r="V100" i="1"/>
  <c r="U266" i="1"/>
  <c r="U286" i="1"/>
  <c r="V286" i="1"/>
  <c r="B276" i="1"/>
  <c r="U246" i="1"/>
  <c r="B291" i="1"/>
  <c r="U261" i="1"/>
  <c r="B282" i="1"/>
  <c r="U252" i="1"/>
  <c r="B298" i="1"/>
  <c r="U268" i="1"/>
  <c r="B281" i="1"/>
  <c r="U251" i="1"/>
  <c r="B297" i="1"/>
  <c r="U267" i="1"/>
  <c r="V296" i="1"/>
  <c r="U296" i="1"/>
  <c r="V287" i="1"/>
  <c r="U287" i="1"/>
  <c r="U279" i="1"/>
  <c r="V279" i="1"/>
  <c r="S181" i="1"/>
  <c r="U249" i="1"/>
  <c r="U242" i="1"/>
  <c r="T92" i="1"/>
  <c r="U117" i="1"/>
  <c r="U101" i="1"/>
  <c r="S166" i="1"/>
  <c r="U100" i="1"/>
  <c r="U109" i="1"/>
  <c r="U93" i="1"/>
  <c r="Y152" i="1"/>
  <c r="S174" i="1"/>
  <c r="S158" i="1"/>
  <c r="U116" i="1"/>
  <c r="U108" i="1"/>
  <c r="U92" i="1"/>
  <c r="U115" i="1"/>
  <c r="U107" i="1"/>
  <c r="U99" i="1"/>
  <c r="Y115" i="1"/>
  <c r="AB115" i="1" s="1"/>
  <c r="V98" i="1"/>
  <c r="V104" i="1"/>
  <c r="V108" i="1"/>
  <c r="V112" i="1"/>
  <c r="Y113" i="1"/>
  <c r="V105" i="1"/>
  <c r="V116" i="1"/>
  <c r="U114" i="1"/>
  <c r="U106" i="1"/>
  <c r="U98" i="1"/>
  <c r="V107" i="1"/>
  <c r="V106" i="1"/>
  <c r="V117" i="1"/>
  <c r="B139" i="1"/>
  <c r="B169" i="1" s="1"/>
  <c r="B199" i="1" s="1"/>
  <c r="B229" i="1" s="1"/>
  <c r="B259" i="1" s="1"/>
  <c r="V110" i="1"/>
  <c r="U121" i="1"/>
  <c r="U113" i="1"/>
  <c r="U105" i="1"/>
  <c r="U97" i="1"/>
  <c r="V99" i="1"/>
  <c r="V120" i="1"/>
  <c r="V113" i="1"/>
  <c r="U120" i="1"/>
  <c r="U96" i="1"/>
  <c r="V115" i="1"/>
  <c r="V95" i="1"/>
  <c r="V118" i="1"/>
  <c r="U103" i="1"/>
  <c r="V97" i="1"/>
  <c r="V103" i="1"/>
  <c r="V114" i="1"/>
  <c r="V94" i="1"/>
  <c r="B138" i="1"/>
  <c r="B168" i="1" s="1"/>
  <c r="B198" i="1" s="1"/>
  <c r="B228" i="1" s="1"/>
  <c r="B258" i="1" s="1"/>
  <c r="V109" i="1"/>
  <c r="B130" i="1"/>
  <c r="B160" i="1" s="1"/>
  <c r="B190" i="1" s="1"/>
  <c r="B220" i="1" s="1"/>
  <c r="B250" i="1" s="1"/>
  <c r="V101" i="1"/>
  <c r="V102" i="1"/>
  <c r="U112" i="1"/>
  <c r="U104" i="1"/>
  <c r="U119" i="1"/>
  <c r="U111" i="1"/>
  <c r="U95" i="1"/>
  <c r="B140" i="1"/>
  <c r="B170" i="1" s="1"/>
  <c r="B200" i="1" s="1"/>
  <c r="B230" i="1" s="1"/>
  <c r="B260" i="1" s="1"/>
  <c r="V111" i="1"/>
  <c r="U118" i="1"/>
  <c r="U110" i="1"/>
  <c r="U102" i="1"/>
  <c r="U94" i="1"/>
  <c r="V119" i="1"/>
  <c r="V96" i="1"/>
  <c r="V93" i="1"/>
  <c r="S179" i="1"/>
  <c r="S171" i="1"/>
  <c r="S163" i="1"/>
  <c r="S155" i="1"/>
  <c r="S118" i="1"/>
  <c r="S117" i="1"/>
  <c r="S160" i="1"/>
  <c r="S98" i="1"/>
  <c r="S176" i="1"/>
  <c r="S168" i="1"/>
  <c r="S152" i="1"/>
  <c r="S114" i="1"/>
  <c r="S106" i="1"/>
  <c r="S113" i="1"/>
  <c r="S105" i="1"/>
  <c r="S97" i="1"/>
  <c r="S112" i="1"/>
  <c r="S104" i="1"/>
  <c r="S96" i="1"/>
  <c r="S173" i="1"/>
  <c r="S165" i="1"/>
  <c r="S157" i="1"/>
  <c r="S120" i="1"/>
  <c r="S111" i="1"/>
  <c r="S103" i="1"/>
  <c r="S95" i="1"/>
  <c r="S180" i="1"/>
  <c r="S172" i="1"/>
  <c r="S164" i="1"/>
  <c r="S156" i="1"/>
  <c r="S119" i="1"/>
  <c r="S110" i="1"/>
  <c r="S102" i="1"/>
  <c r="S94" i="1"/>
  <c r="S109" i="1"/>
  <c r="S101" i="1"/>
  <c r="S93" i="1"/>
  <c r="S178" i="1"/>
  <c r="S170" i="1"/>
  <c r="S162" i="1"/>
  <c r="S154" i="1"/>
  <c r="S108" i="1"/>
  <c r="S100" i="1"/>
  <c r="S177" i="1"/>
  <c r="S169" i="1"/>
  <c r="S161" i="1"/>
  <c r="S153" i="1"/>
  <c r="S116" i="1"/>
  <c r="S107" i="1"/>
  <c r="S99" i="1"/>
  <c r="S121" i="1"/>
  <c r="Y181" i="1"/>
  <c r="Y177" i="1"/>
  <c r="Y173" i="1"/>
  <c r="Y169" i="1"/>
  <c r="Y165" i="1"/>
  <c r="Y161" i="1"/>
  <c r="Y157" i="1"/>
  <c r="Y153" i="1"/>
  <c r="Y119" i="1"/>
  <c r="Y111" i="1"/>
  <c r="Y103" i="1"/>
  <c r="Y120" i="1"/>
  <c r="Z118" i="1"/>
  <c r="Y104" i="1"/>
  <c r="Y163" i="1"/>
  <c r="Y171" i="1"/>
  <c r="Y155" i="1"/>
  <c r="Z179" i="1"/>
  <c r="Z175" i="1"/>
  <c r="Z171" i="1"/>
  <c r="Z167" i="1"/>
  <c r="Z163" i="1"/>
  <c r="Z159" i="1"/>
  <c r="Z155" i="1"/>
  <c r="Z177" i="1"/>
  <c r="Z169" i="1"/>
  <c r="Z161" i="1"/>
  <c r="Z153" i="1"/>
  <c r="Z119" i="1"/>
  <c r="Z115" i="1"/>
  <c r="Z111" i="1"/>
  <c r="Z107" i="1"/>
  <c r="Z103" i="1"/>
  <c r="Z99" i="1"/>
  <c r="Z95" i="1"/>
  <c r="Z109" i="1"/>
  <c r="Z101" i="1"/>
  <c r="AA101" i="1" s="1"/>
  <c r="Y95" i="1"/>
  <c r="Y121" i="1"/>
  <c r="Y117" i="1"/>
  <c r="Y109" i="1"/>
  <c r="Y97" i="1"/>
  <c r="Z180" i="1"/>
  <c r="Z176" i="1"/>
  <c r="Z172" i="1"/>
  <c r="Z168" i="1"/>
  <c r="Z164" i="1"/>
  <c r="Z160" i="1"/>
  <c r="Z156" i="1"/>
  <c r="Z152" i="1"/>
  <c r="Z120" i="1"/>
  <c r="Z116" i="1"/>
  <c r="Z112" i="1"/>
  <c r="AA112" i="1" s="1"/>
  <c r="Z108" i="1"/>
  <c r="Z104" i="1"/>
  <c r="Z100" i="1"/>
  <c r="Z96" i="1"/>
  <c r="Z92" i="1"/>
  <c r="Z110" i="1"/>
  <c r="Z102" i="1"/>
  <c r="Y178" i="1"/>
  <c r="Y174" i="1"/>
  <c r="Y170" i="1"/>
  <c r="Y166" i="1"/>
  <c r="Y162" i="1"/>
  <c r="Y158" i="1"/>
  <c r="Y154" i="1"/>
  <c r="Y112" i="1"/>
  <c r="Y96" i="1"/>
  <c r="Y118" i="1"/>
  <c r="Y114" i="1"/>
  <c r="Y110" i="1"/>
  <c r="Y106" i="1"/>
  <c r="Y102" i="1"/>
  <c r="Y98" i="1"/>
  <c r="Y179" i="1"/>
  <c r="Z181" i="1"/>
  <c r="Z173" i="1"/>
  <c r="Z165" i="1"/>
  <c r="Z157" i="1"/>
  <c r="Z121" i="1"/>
  <c r="Z113" i="1"/>
  <c r="Z105" i="1"/>
  <c r="Z97" i="1"/>
  <c r="Y175" i="1"/>
  <c r="Y167" i="1"/>
  <c r="Y159" i="1"/>
  <c r="Y107" i="1"/>
  <c r="Y99" i="1"/>
  <c r="Z94" i="1"/>
  <c r="Y101" i="1"/>
  <c r="Y105" i="1"/>
  <c r="Y92" i="1"/>
  <c r="Z178" i="1"/>
  <c r="Z174" i="1"/>
  <c r="Z170" i="1"/>
  <c r="Z166" i="1"/>
  <c r="Z162" i="1"/>
  <c r="Z158" i="1"/>
  <c r="Z154" i="1"/>
  <c r="AA154" i="1" s="1"/>
  <c r="Z114" i="1"/>
  <c r="Z106" i="1"/>
  <c r="Z98" i="1"/>
  <c r="Y180" i="1"/>
  <c r="Y176" i="1"/>
  <c r="Y172" i="1"/>
  <c r="Y168" i="1"/>
  <c r="Y164" i="1"/>
  <c r="Y160" i="1"/>
  <c r="Y156" i="1"/>
  <c r="Y108" i="1"/>
  <c r="Y100" i="1"/>
  <c r="Z117" i="1"/>
  <c r="Y94" i="1"/>
  <c r="Z93" i="1"/>
  <c r="Y93" i="1"/>
  <c r="Y116" i="1"/>
  <c r="B142" i="1"/>
  <c r="B172" i="1" s="1"/>
  <c r="B202" i="1" s="1"/>
  <c r="B232" i="1" s="1"/>
  <c r="B262" i="1" s="1"/>
  <c r="O35" i="1"/>
  <c r="O33" i="1"/>
  <c r="O5" i="1"/>
  <c r="O6" i="1"/>
  <c r="O44" i="1"/>
  <c r="O43" i="1"/>
  <c r="O37" i="1"/>
  <c r="O49" i="1"/>
  <c r="O45" i="1"/>
  <c r="O41" i="1"/>
  <c r="O34" i="1"/>
  <c r="O46" i="1"/>
  <c r="O42" i="1"/>
  <c r="O39" i="1"/>
  <c r="O38" i="1"/>
  <c r="O36" i="1"/>
  <c r="O20" i="1"/>
  <c r="O48" i="1"/>
  <c r="O40" i="1"/>
  <c r="O47" i="1"/>
  <c r="O7" i="1"/>
  <c r="O14" i="1"/>
  <c r="O15" i="1"/>
  <c r="O16" i="1"/>
  <c r="O10" i="1"/>
  <c r="O9" i="1"/>
  <c r="O8" i="1"/>
  <c r="L2" i="1"/>
  <c r="O3" i="1"/>
  <c r="O4" i="1"/>
  <c r="O12" i="1"/>
  <c r="O13" i="1"/>
  <c r="O11" i="1"/>
  <c r="AA162" i="1" l="1"/>
  <c r="AA99" i="1"/>
  <c r="AA170" i="1"/>
  <c r="AA157" i="1"/>
  <c r="AA181" i="1"/>
  <c r="AA119" i="1"/>
  <c r="AA97" i="1"/>
  <c r="AA102" i="1"/>
  <c r="AA176" i="1"/>
  <c r="AA109" i="1"/>
  <c r="AA172" i="1"/>
  <c r="AA158" i="1"/>
  <c r="U281" i="1"/>
  <c r="V281" i="1"/>
  <c r="U276" i="1"/>
  <c r="V276" i="1"/>
  <c r="U273" i="1"/>
  <c r="V273" i="1"/>
  <c r="U300" i="1"/>
  <c r="V300" i="1"/>
  <c r="U285" i="1"/>
  <c r="V285" i="1"/>
  <c r="B288" i="1"/>
  <c r="U258" i="1"/>
  <c r="U298" i="1"/>
  <c r="V298" i="1"/>
  <c r="V274" i="1"/>
  <c r="U274" i="1"/>
  <c r="U284" i="1"/>
  <c r="V284" i="1"/>
  <c r="B280" i="1"/>
  <c r="U250" i="1"/>
  <c r="B289" i="1"/>
  <c r="U259" i="1"/>
  <c r="U282" i="1"/>
  <c r="V282" i="1"/>
  <c r="V299" i="1"/>
  <c r="U299" i="1"/>
  <c r="U293" i="1"/>
  <c r="V293" i="1"/>
  <c r="B290" i="1"/>
  <c r="U260" i="1"/>
  <c r="V275" i="1"/>
  <c r="U275" i="1"/>
  <c r="B292" i="1"/>
  <c r="U262" i="1"/>
  <c r="AA106" i="1"/>
  <c r="AA178" i="1"/>
  <c r="AA173" i="1"/>
  <c r="AA168" i="1"/>
  <c r="AA115" i="1"/>
  <c r="V297" i="1"/>
  <c r="U297" i="1"/>
  <c r="V291" i="1"/>
  <c r="U291" i="1"/>
  <c r="U283" i="1"/>
  <c r="V283" i="1"/>
  <c r="U301" i="1"/>
  <c r="V301" i="1"/>
  <c r="U277" i="1"/>
  <c r="V277" i="1"/>
  <c r="AA152" i="1"/>
  <c r="AA160" i="1"/>
  <c r="AA155" i="1"/>
  <c r="AA98" i="1"/>
  <c r="AA174" i="1"/>
  <c r="AA165" i="1"/>
  <c r="AA104" i="1"/>
  <c r="AA164" i="1"/>
  <c r="AA111" i="1"/>
  <c r="T102" i="1"/>
  <c r="AB102" i="1"/>
  <c r="AA114" i="1"/>
  <c r="AA167" i="1"/>
  <c r="AA100" i="1"/>
  <c r="AA107" i="1"/>
  <c r="T121" i="1"/>
  <c r="AB121" i="1"/>
  <c r="T100" i="1"/>
  <c r="AB100" i="1"/>
  <c r="T109" i="1"/>
  <c r="AB109" i="1"/>
  <c r="T114" i="1"/>
  <c r="AB114" i="1"/>
  <c r="AA159" i="1"/>
  <c r="T99" i="1"/>
  <c r="AB99" i="1"/>
  <c r="T108" i="1"/>
  <c r="AB108" i="1"/>
  <c r="T94" i="1"/>
  <c r="AB94" i="1"/>
  <c r="T95" i="1"/>
  <c r="AB95" i="1"/>
  <c r="T96" i="1"/>
  <c r="AB96" i="1"/>
  <c r="AA108" i="1"/>
  <c r="AA163" i="1"/>
  <c r="T107" i="1"/>
  <c r="AB107" i="1"/>
  <c r="T103" i="1"/>
  <c r="AB103" i="1"/>
  <c r="T104" i="1"/>
  <c r="AB104" i="1"/>
  <c r="AA118" i="1"/>
  <c r="T116" i="1"/>
  <c r="AB116" i="1"/>
  <c r="T110" i="1"/>
  <c r="AB110" i="1"/>
  <c r="T111" i="1"/>
  <c r="AB111" i="1"/>
  <c r="T112" i="1"/>
  <c r="AB112" i="1"/>
  <c r="AA116" i="1"/>
  <c r="AA153" i="1"/>
  <c r="AA171" i="1"/>
  <c r="T119" i="1"/>
  <c r="AB119" i="1"/>
  <c r="T120" i="1"/>
  <c r="AB120" i="1"/>
  <c r="T97" i="1"/>
  <c r="AB97" i="1"/>
  <c r="T98" i="1"/>
  <c r="AB98" i="1"/>
  <c r="AA93" i="1"/>
  <c r="AA105" i="1"/>
  <c r="AA110" i="1"/>
  <c r="AA120" i="1"/>
  <c r="AA180" i="1"/>
  <c r="AA95" i="1"/>
  <c r="AA161" i="1"/>
  <c r="AA175" i="1"/>
  <c r="T105" i="1"/>
  <c r="AB105" i="1"/>
  <c r="AA94" i="1"/>
  <c r="AA113" i="1"/>
  <c r="AA169" i="1"/>
  <c r="AA179" i="1"/>
  <c r="T93" i="1"/>
  <c r="AB93" i="1"/>
  <c r="T113" i="1"/>
  <c r="AB113" i="1"/>
  <c r="T117" i="1"/>
  <c r="AB117" i="1"/>
  <c r="AA117" i="1"/>
  <c r="AA166" i="1"/>
  <c r="AA121" i="1"/>
  <c r="AA96" i="1"/>
  <c r="AA156" i="1"/>
  <c r="AA103" i="1"/>
  <c r="AA177" i="1"/>
  <c r="T101" i="1"/>
  <c r="AB101" i="1"/>
  <c r="T106" i="1"/>
  <c r="AB106" i="1"/>
  <c r="T118" i="1"/>
  <c r="AB118" i="1"/>
  <c r="O2" i="1"/>
  <c r="AD108" i="1" l="1"/>
  <c r="AD93" i="1"/>
  <c r="U290" i="1"/>
  <c r="V290" i="1"/>
  <c r="U288" i="1"/>
  <c r="V288" i="1"/>
  <c r="U289" i="1"/>
  <c r="V289" i="1"/>
  <c r="U280" i="1"/>
  <c r="V280" i="1"/>
  <c r="U292" i="1"/>
  <c r="V292" i="1"/>
  <c r="AD110" i="1"/>
</calcChain>
</file>

<file path=xl/sharedStrings.xml><?xml version="1.0" encoding="utf-8"?>
<sst xmlns="http://schemas.openxmlformats.org/spreadsheetml/2006/main" count="1377" uniqueCount="89">
  <si>
    <t>Samples</t>
  </si>
  <si>
    <t>Time</t>
  </si>
  <si>
    <t>NO3</t>
  </si>
  <si>
    <t>NO2</t>
  </si>
  <si>
    <t>NH4</t>
  </si>
  <si>
    <t>TIN</t>
  </si>
  <si>
    <t>NLR/NRR</t>
  </si>
  <si>
    <t>HCO3</t>
  </si>
  <si>
    <t>NO3_Raw</t>
  </si>
  <si>
    <t>NO2_Raw</t>
  </si>
  <si>
    <t>NH4_Raw</t>
  </si>
  <si>
    <t>NH4_1</t>
  </si>
  <si>
    <t>NH4_2</t>
  </si>
  <si>
    <t>NH4_3</t>
  </si>
  <si>
    <t>Dark</t>
  </si>
  <si>
    <t>IR</t>
  </si>
  <si>
    <t>Strain</t>
  </si>
  <si>
    <t>Light</t>
  </si>
  <si>
    <t>HCO3_raw</t>
  </si>
  <si>
    <t>Paracoccus</t>
  </si>
  <si>
    <t>Aliidiomarina</t>
  </si>
  <si>
    <t>△NH4N</t>
  </si>
  <si>
    <t>OD600.raw1</t>
  </si>
  <si>
    <t>OD600.raw2</t>
  </si>
  <si>
    <t>Substrate</t>
  </si>
  <si>
    <t>Acetate_Raw</t>
  </si>
  <si>
    <t>S_Raw</t>
  </si>
  <si>
    <t>S2O3</t>
  </si>
  <si>
    <t>CH3COO</t>
  </si>
  <si>
    <t>△S2O3</t>
  </si>
  <si>
    <t>SO4_Raw</t>
  </si>
  <si>
    <t>OD600.raw3</t>
  </si>
  <si>
    <t>OD600</t>
  </si>
  <si>
    <t>SO4</t>
  </si>
  <si>
    <t>TOC_raw</t>
  </si>
  <si>
    <t>IC_raw</t>
  </si>
  <si>
    <t>TC_raw</t>
  </si>
  <si>
    <t>IC</t>
  </si>
  <si>
    <t>TOC</t>
  </si>
  <si>
    <t>TC</t>
  </si>
  <si>
    <t>TN</t>
  </si>
  <si>
    <t>TN_raw</t>
  </si>
  <si>
    <t>CCUS</t>
  </si>
  <si>
    <t>CCUS_Efficiency</t>
  </si>
  <si>
    <t>S2O3_Intake</t>
  </si>
  <si>
    <t>SO4_produce</t>
  </si>
  <si>
    <t>CCUS_Rate</t>
  </si>
  <si>
    <t>P1-D-3.27</t>
  </si>
  <si>
    <t>P2</t>
  </si>
  <si>
    <t>P3</t>
  </si>
  <si>
    <t>A1</t>
  </si>
  <si>
    <t>A2</t>
  </si>
  <si>
    <t>A3</t>
  </si>
  <si>
    <t>S1</t>
  </si>
  <si>
    <t>S2</t>
  </si>
  <si>
    <t>S3</t>
  </si>
  <si>
    <t>P1-I</t>
  </si>
  <si>
    <t>P1-NO2-I</t>
  </si>
  <si>
    <t>P2-NO2</t>
  </si>
  <si>
    <t>P3-NO2</t>
  </si>
  <si>
    <t>S1-NO2-I</t>
  </si>
  <si>
    <t>S2-NO2</t>
  </si>
  <si>
    <t>S3-NO2</t>
  </si>
  <si>
    <t>H1-D</t>
  </si>
  <si>
    <t>H2-D</t>
  </si>
  <si>
    <t>H3-D</t>
  </si>
  <si>
    <t>H1-I</t>
  </si>
  <si>
    <t>H2-I</t>
  </si>
  <si>
    <t>H3-I</t>
  </si>
  <si>
    <t>P1-D-3.29</t>
  </si>
  <si>
    <t>P1-D-3.31</t>
  </si>
  <si>
    <t>P1-D-4.2</t>
  </si>
  <si>
    <t>P1-D-4.2'</t>
  </si>
  <si>
    <t>P1-D-4.3</t>
  </si>
  <si>
    <t>SynCom</t>
  </si>
  <si>
    <t>NH4-HCO3</t>
  </si>
  <si>
    <t>Halomonas</t>
  </si>
  <si>
    <t>NH4_Rate</t>
  </si>
  <si>
    <t>S_Efficiency</t>
  </si>
  <si>
    <t>e_Efficiency</t>
  </si>
  <si>
    <t>P1-D-4.6</t>
  </si>
  <si>
    <t>P1-D-4.6'</t>
  </si>
  <si>
    <t>P1-D-4.7</t>
  </si>
  <si>
    <t>P1-D-4.9</t>
  </si>
  <si>
    <t>n.a.</t>
  </si>
  <si>
    <t>P1-D-4.21</t>
  </si>
  <si>
    <t>Growth</t>
  </si>
  <si>
    <t>Abs697</t>
  </si>
  <si>
    <t>Abs697_raw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</si>
</sst>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&quot;  &quot;"/>
  </numFmts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FF0000"/>
      <name val="Arial"/>
      <family val="2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4"/>
      <name val="Arial"/>
      <family val="2"/>
    </font>
    <font>
      <sz val="12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7" fillId="0" borderId="0" xfId="0" applyFont="1" applyAlignment="1">
      <alignment vertical="center"/>
    </xf>
    <xf numFmtId="0" fontId="6" fillId="0" borderId="0" xfId="0" applyFont="1"/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3" fillId="3" borderId="2" xfId="0" applyFont="1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4" borderId="0" xfId="0" applyFill="1"/>
    <xf numFmtId="0" fontId="8" fillId="3" borderId="2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/>
    <xf numFmtId="0" fontId="10" fillId="0" borderId="0" xfId="0" applyFont="1" applyAlignment="1">
      <alignment vertical="center"/>
    </xf>
    <xf numFmtId="164" fontId="3" fillId="0" borderId="2" xfId="0" applyNumberFormat="1" applyFont="1" applyBorder="1" applyAlignment="1">
      <alignment horizontal="center" vertical="center"/>
    </xf>
    <xf numFmtId="0" fontId="6" fillId="5" borderId="0" xfId="0" applyFont="1" applyFill="1"/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7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6" fillId="4" borderId="0" xfId="0" applyFont="1" applyFill="1"/>
    <xf numFmtId="0" fontId="11" fillId="3" borderId="2" xfId="0" applyFont="1" applyFill="1" applyBorder="1" applyAlignment="1">
      <alignment horizontal="left" vertical="center"/>
    </xf>
    <xf numFmtId="0" fontId="12" fillId="0" borderId="0" xfId="0" applyFont="1"/>
    <xf numFmtId="0" fontId="12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0" fillId="6" borderId="0" xfId="0" applyFill="1"/>
    <xf numFmtId="164" fontId="3" fillId="6" borderId="0" xfId="0" applyNumberFormat="1" applyFont="1" applyFill="1" applyAlignment="1">
      <alignment horizontal="center" vertical="center"/>
    </xf>
    <xf numFmtId="0" fontId="14" fillId="6" borderId="2" xfId="0" applyFont="1" applyFill="1" applyBorder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1B25-9AF0-9B44-BB0B-59E0C1010BCE}">
  <dimension ref="A1:AX331"/>
  <sheetViews>
    <sheetView tabSelected="1" topLeftCell="G1" zoomScale="82" zoomScaleNormal="90" workbookViewId="0">
      <pane ySplit="1" topLeftCell="A77" activePane="bottomLeft" state="frozen"/>
      <selection pane="bottomLeft" activeCell="I87" sqref="I87"/>
    </sheetView>
  </sheetViews>
  <sheetFormatPr baseColWidth="10" defaultRowHeight="16" x14ac:dyDescent="0.2"/>
  <cols>
    <col min="1" max="1" width="14.5" customWidth="1"/>
    <col min="3" max="3" width="16.33203125" customWidth="1"/>
    <col min="19" max="19" width="10.6640625" customWidth="1"/>
    <col min="20" max="20" width="16.5" customWidth="1"/>
    <col min="21" max="21" width="13.6640625" customWidth="1"/>
    <col min="22" max="22" width="14.1640625" customWidth="1"/>
    <col min="23" max="23" width="12.6640625" customWidth="1"/>
    <col min="25" max="26" width="12.83203125" customWidth="1"/>
    <col min="27" max="28" width="14.1640625" customWidth="1"/>
    <col min="36" max="36" width="10.83203125" customWidth="1"/>
    <col min="37" max="40" width="12.6640625" customWidth="1"/>
  </cols>
  <sheetData>
    <row r="1" spans="1:50" ht="17" thickBot="1" x14ac:dyDescent="0.25">
      <c r="A1" s="7" t="s">
        <v>0</v>
      </c>
      <c r="B1" s="8" t="s">
        <v>1</v>
      </c>
      <c r="C1" s="3" t="s">
        <v>16</v>
      </c>
      <c r="D1" s="3" t="s">
        <v>17</v>
      </c>
      <c r="E1" s="3" t="s">
        <v>24</v>
      </c>
      <c r="F1" s="2" t="s">
        <v>37</v>
      </c>
      <c r="G1" s="2" t="s">
        <v>38</v>
      </c>
      <c r="H1" s="2" t="s">
        <v>39</v>
      </c>
      <c r="I1" s="2" t="s">
        <v>40</v>
      </c>
      <c r="J1" s="3" t="s">
        <v>7</v>
      </c>
      <c r="K1" s="7" t="s">
        <v>3</v>
      </c>
      <c r="L1" s="7" t="s">
        <v>4</v>
      </c>
      <c r="M1" s="2" t="s">
        <v>87</v>
      </c>
      <c r="N1" s="2" t="s">
        <v>2</v>
      </c>
      <c r="O1" s="2" t="s">
        <v>5</v>
      </c>
      <c r="P1" s="2" t="s">
        <v>28</v>
      </c>
      <c r="Q1" s="3" t="s">
        <v>27</v>
      </c>
      <c r="R1" s="3" t="s">
        <v>33</v>
      </c>
      <c r="S1" s="2" t="s">
        <v>42</v>
      </c>
      <c r="T1" s="2" t="s">
        <v>43</v>
      </c>
      <c r="U1" s="2" t="s">
        <v>46</v>
      </c>
      <c r="V1" s="3" t="s">
        <v>77</v>
      </c>
      <c r="W1" s="2" t="s">
        <v>32</v>
      </c>
      <c r="X1" s="3" t="s">
        <v>86</v>
      </c>
      <c r="Y1" s="3" t="s">
        <v>44</v>
      </c>
      <c r="Z1" s="3" t="s">
        <v>45</v>
      </c>
      <c r="AA1" s="3" t="s">
        <v>78</v>
      </c>
      <c r="AB1" s="3" t="s">
        <v>79</v>
      </c>
      <c r="AC1" s="2" t="s">
        <v>29</v>
      </c>
      <c r="AE1" s="2" t="s">
        <v>21</v>
      </c>
      <c r="AF1" s="2" t="s">
        <v>6</v>
      </c>
      <c r="AG1" s="2" t="s">
        <v>18</v>
      </c>
      <c r="AH1" s="2" t="s">
        <v>9</v>
      </c>
      <c r="AI1" s="2" t="s">
        <v>10</v>
      </c>
      <c r="AJ1" s="2" t="s">
        <v>8</v>
      </c>
      <c r="AK1" s="2" t="s">
        <v>25</v>
      </c>
      <c r="AL1" s="2" t="s">
        <v>26</v>
      </c>
      <c r="AM1" s="2" t="s">
        <v>30</v>
      </c>
      <c r="AN1" s="2" t="s">
        <v>88</v>
      </c>
      <c r="AO1" s="2" t="s">
        <v>11</v>
      </c>
      <c r="AP1" s="2" t="s">
        <v>12</v>
      </c>
      <c r="AQ1" s="2" t="s">
        <v>13</v>
      </c>
      <c r="AR1" s="2" t="s">
        <v>22</v>
      </c>
      <c r="AS1" s="2" t="s">
        <v>23</v>
      </c>
      <c r="AT1" s="2" t="s">
        <v>31</v>
      </c>
      <c r="AU1" s="2" t="s">
        <v>35</v>
      </c>
      <c r="AV1" s="2" t="s">
        <v>34</v>
      </c>
      <c r="AW1" s="2" t="s">
        <v>36</v>
      </c>
      <c r="AX1" s="2" t="s">
        <v>41</v>
      </c>
    </row>
    <row r="2" spans="1:50" x14ac:dyDescent="0.2">
      <c r="A2" s="9" t="s">
        <v>47</v>
      </c>
      <c r="B2">
        <v>0</v>
      </c>
      <c r="C2" t="s">
        <v>19</v>
      </c>
      <c r="D2" t="s">
        <v>14</v>
      </c>
      <c r="E2" t="s">
        <v>75</v>
      </c>
      <c r="J2" s="22">
        <f t="shared" ref="J2:J33" si="0">30*(AG2-0.0549)/0.0239</f>
        <v>87.912411301370653</v>
      </c>
      <c r="K2" s="12">
        <f t="shared" ref="K2:K19" si="1">(3.9165*AH2-0.5231)*30</f>
        <v>-15.370933406920887</v>
      </c>
      <c r="L2">
        <f>(11.007*AI2-0.65)*20</f>
        <v>18.997349</v>
      </c>
      <c r="O2">
        <f>K2+L2</f>
        <v>3.6264155930791127</v>
      </c>
      <c r="P2" s="14">
        <f>(AK2*0.0433 - 0.0001)*30</f>
        <v>7.1094600374639935E-3</v>
      </c>
      <c r="Q2" s="23">
        <f t="shared" ref="Q2" si="2">(0.3548*AL2 + 0.0099)*30</f>
        <v>6.9721761072492283</v>
      </c>
      <c r="R2" s="23">
        <f t="shared" ref="R2" si="3">(0.1094*AM2 - 0.0017)*30</f>
        <v>1.0538390405948643</v>
      </c>
      <c r="S2" s="1"/>
      <c r="T2" s="1"/>
      <c r="U2" s="1"/>
      <c r="V2" s="4"/>
      <c r="X2" s="4"/>
      <c r="Y2" s="1"/>
      <c r="Z2" s="1"/>
      <c r="AA2" s="4"/>
      <c r="AB2" s="4"/>
      <c r="AC2" s="1"/>
      <c r="AE2" s="1"/>
      <c r="AF2" s="2"/>
      <c r="AG2">
        <v>0.12493688767009194</v>
      </c>
      <c r="AH2" s="32">
        <v>2.7411089244573214E-3</v>
      </c>
      <c r="AI2">
        <f>AVERAGE(AO2:AQ2)</f>
        <v>0.14535000000000001</v>
      </c>
      <c r="AJ2" s="14"/>
      <c r="AK2">
        <v>7.782494255168586E-3</v>
      </c>
      <c r="AL2">
        <v>0.6271304121804987</v>
      </c>
      <c r="AM2">
        <v>0.33663590511726516</v>
      </c>
      <c r="AO2">
        <v>0.14510000000000001</v>
      </c>
      <c r="AP2">
        <v>0.14560000000000001</v>
      </c>
      <c r="AR2" s="15">
        <v>0.1099</v>
      </c>
      <c r="AS2" s="16">
        <v>0.1091</v>
      </c>
      <c r="AT2" s="16">
        <v>0.16650000000000001</v>
      </c>
    </row>
    <row r="3" spans="1:50" x14ac:dyDescent="0.2">
      <c r="A3" s="9" t="s">
        <v>48</v>
      </c>
      <c r="B3">
        <v>0</v>
      </c>
      <c r="C3" t="s">
        <v>19</v>
      </c>
      <c r="D3" t="s">
        <v>14</v>
      </c>
      <c r="E3" t="s">
        <v>75</v>
      </c>
      <c r="J3" s="22">
        <f t="shared" si="0"/>
        <v>82.402668370900045</v>
      </c>
      <c r="K3" s="12">
        <f t="shared" si="1"/>
        <v>2.0141318302983988</v>
      </c>
      <c r="L3">
        <f t="shared" ref="L3:L66" si="4">(11.007*AI3-0.65)*20</f>
        <v>19.349572999999999</v>
      </c>
      <c r="O3">
        <f t="shared" ref="O3:O66" si="5">K3+L3</f>
        <v>21.363704830298399</v>
      </c>
      <c r="P3" s="14">
        <f t="shared" ref="P3:P66" si="6">(AK3*0.0433 - 0.0001)*30</f>
        <v>4.7107913139926589E-3</v>
      </c>
      <c r="Q3" s="23">
        <f t="shared" ref="Q3:Q66" si="7">(0.3548*AL3 + 0.0099)*30</f>
        <v>7.1231371489730542</v>
      </c>
      <c r="R3" s="23">
        <f t="shared" ref="R3:R66" si="8">(0.1094*AM3 - 0.0017)*30</f>
        <v>0.70885285372145257</v>
      </c>
      <c r="S3" s="1"/>
      <c r="T3" s="1"/>
      <c r="U3" s="1"/>
      <c r="V3" s="4"/>
      <c r="X3" s="4"/>
      <c r="Y3" s="4"/>
      <c r="Z3" s="4"/>
      <c r="AA3" s="4"/>
      <c r="AB3" s="4"/>
      <c r="AC3" s="1"/>
      <c r="AE3" s="1"/>
      <c r="AF3" s="2"/>
      <c r="AG3">
        <v>0.12054745913548369</v>
      </c>
      <c r="AH3" s="32">
        <v>0.15070540729646709</v>
      </c>
      <c r="AI3">
        <f t="shared" ref="AI3:AI66" si="9">AVERAGE(AO3:AQ3)</f>
        <v>0.14695</v>
      </c>
      <c r="AJ3" s="14"/>
      <c r="AK3">
        <v>5.9359440446440795E-3</v>
      </c>
      <c r="AL3">
        <v>0.64131314815605545</v>
      </c>
      <c r="AM3">
        <v>0.23152128388831586</v>
      </c>
      <c r="AO3">
        <v>0.14649999999999999</v>
      </c>
      <c r="AP3">
        <v>0.1474</v>
      </c>
      <c r="AR3" s="15">
        <v>0.122</v>
      </c>
      <c r="AS3" s="16">
        <v>0.1158</v>
      </c>
      <c r="AT3" s="16">
        <v>0.12889999999999999</v>
      </c>
    </row>
    <row r="4" spans="1:50" x14ac:dyDescent="0.2">
      <c r="A4" s="9" t="s">
        <v>49</v>
      </c>
      <c r="B4">
        <v>0</v>
      </c>
      <c r="C4" t="s">
        <v>19</v>
      </c>
      <c r="D4" t="s">
        <v>14</v>
      </c>
      <c r="E4" t="s">
        <v>75</v>
      </c>
      <c r="J4" s="22">
        <f t="shared" si="0"/>
        <v>86.434991692881198</v>
      </c>
      <c r="K4" s="12">
        <f t="shared" si="1"/>
        <v>1.1141125453600953</v>
      </c>
      <c r="L4">
        <f t="shared" si="4"/>
        <v>17.753557999999995</v>
      </c>
      <c r="O4">
        <f t="shared" si="5"/>
        <v>18.867670545360092</v>
      </c>
      <c r="P4" s="14">
        <f t="shared" si="6"/>
        <v>8.1339502419947062E-4</v>
      </c>
      <c r="Q4" s="23">
        <f t="shared" si="7"/>
        <v>7.1856269518152667</v>
      </c>
      <c r="R4" s="23">
        <f t="shared" si="8"/>
        <v>0.68623984269067673</v>
      </c>
      <c r="S4" s="1"/>
      <c r="T4" s="1"/>
      <c r="U4" s="1"/>
      <c r="V4" s="4"/>
      <c r="X4" s="4"/>
      <c r="Y4" s="4"/>
      <c r="Z4" s="4"/>
      <c r="AA4" s="4"/>
      <c r="AB4" s="4"/>
      <c r="AC4" s="1"/>
      <c r="AE4" s="1"/>
      <c r="AF4" s="2"/>
      <c r="AG4">
        <v>0.12375987671532869</v>
      </c>
      <c r="AH4" s="32">
        <v>0.14304534274105363</v>
      </c>
      <c r="AI4">
        <f t="shared" si="9"/>
        <v>0.13969999999999999</v>
      </c>
      <c r="AJ4" s="14"/>
      <c r="AK4">
        <v>2.9356389716701085E-3</v>
      </c>
      <c r="AL4">
        <v>0.64718404282368158</v>
      </c>
      <c r="AM4">
        <v>0.22463127443347861</v>
      </c>
      <c r="AO4">
        <v>0.14000000000000001</v>
      </c>
      <c r="AP4">
        <v>0.1394</v>
      </c>
      <c r="AR4" s="15">
        <v>0.1077</v>
      </c>
      <c r="AS4" s="16">
        <v>0.1191</v>
      </c>
      <c r="AT4" s="16">
        <v>0.1351</v>
      </c>
    </row>
    <row r="5" spans="1:50" x14ac:dyDescent="0.2">
      <c r="A5" s="9" t="s">
        <v>50</v>
      </c>
      <c r="B5">
        <v>0</v>
      </c>
      <c r="C5" t="s">
        <v>20</v>
      </c>
      <c r="D5" t="s">
        <v>14</v>
      </c>
      <c r="E5" t="s">
        <v>75</v>
      </c>
      <c r="J5" s="22">
        <f t="shared" si="0"/>
        <v>91.875034559942605</v>
      </c>
      <c r="K5" s="12">
        <f t="shared" si="1"/>
        <v>-11.625539906108507</v>
      </c>
      <c r="L5">
        <f t="shared" si="4"/>
        <v>23.290078999999999</v>
      </c>
      <c r="O5">
        <f t="shared" si="5"/>
        <v>11.664539093891491</v>
      </c>
      <c r="P5" s="14">
        <f t="shared" si="6"/>
        <v>3.9937240350046947E-4</v>
      </c>
      <c r="Q5" s="23">
        <f t="shared" si="7"/>
        <v>7.2393881392635357</v>
      </c>
      <c r="R5" s="23">
        <f t="shared" si="8"/>
        <v>0.67258907102208809</v>
      </c>
      <c r="S5" s="1"/>
      <c r="T5" s="1"/>
      <c r="U5" s="1"/>
      <c r="V5" s="4"/>
      <c r="X5" s="4"/>
      <c r="Y5" s="4"/>
      <c r="Z5" s="4"/>
      <c r="AA5" s="4"/>
      <c r="AB5" s="4"/>
      <c r="AC5" s="1"/>
      <c r="AE5" s="1"/>
      <c r="AF5" s="2"/>
      <c r="AG5">
        <v>0.12809377753275428</v>
      </c>
      <c r="AH5" s="32">
        <v>3.4618154763109012E-2</v>
      </c>
      <c r="AI5">
        <f t="shared" si="9"/>
        <v>0.16485</v>
      </c>
      <c r="AJ5" s="14"/>
      <c r="AK5">
        <v>2.6169148602774978E-3</v>
      </c>
      <c r="AL5">
        <v>0.6522348871912379</v>
      </c>
      <c r="AM5">
        <v>0.22047198995188549</v>
      </c>
      <c r="AO5">
        <v>0.1656</v>
      </c>
      <c r="AP5">
        <v>0.1641</v>
      </c>
      <c r="AR5" s="15">
        <v>0.14280000000000001</v>
      </c>
      <c r="AS5" s="16">
        <v>0.12640000000000001</v>
      </c>
      <c r="AT5" s="16">
        <v>0.1419</v>
      </c>
    </row>
    <row r="6" spans="1:50" x14ac:dyDescent="0.2">
      <c r="A6" s="9" t="s">
        <v>51</v>
      </c>
      <c r="B6">
        <v>0</v>
      </c>
      <c r="C6" t="s">
        <v>20</v>
      </c>
      <c r="D6" t="s">
        <v>14</v>
      </c>
      <c r="E6" t="s">
        <v>75</v>
      </c>
      <c r="J6" s="22">
        <f t="shared" si="0"/>
        <v>85.266952442465083</v>
      </c>
      <c r="K6" s="12">
        <f t="shared" si="1"/>
        <v>-5.8232141455059274</v>
      </c>
      <c r="L6">
        <f t="shared" si="4"/>
        <v>12.613288999999998</v>
      </c>
      <c r="O6">
        <f t="shared" si="5"/>
        <v>6.7900748544940708</v>
      </c>
      <c r="P6" s="14">
        <f t="shared" si="6"/>
        <v>5.5275335507143147E-5</v>
      </c>
      <c r="Q6" s="23">
        <f t="shared" si="7"/>
        <v>7.25830481582042</v>
      </c>
      <c r="R6" s="23">
        <f t="shared" si="8"/>
        <v>0.68528528389673193</v>
      </c>
      <c r="T6" s="4"/>
      <c r="U6" s="4"/>
      <c r="V6" s="4"/>
      <c r="X6" s="4"/>
      <c r="Y6" s="4"/>
      <c r="Z6" s="4"/>
      <c r="AA6" s="4"/>
      <c r="AB6" s="4"/>
      <c r="AC6" s="1"/>
      <c r="AE6" s="1"/>
      <c r="AF6" s="2"/>
      <c r="AG6">
        <v>0.12282933877916385</v>
      </c>
      <c r="AH6" s="32">
        <v>8.4001752027695414E-2</v>
      </c>
      <c r="AI6">
        <f t="shared" si="9"/>
        <v>0.11635</v>
      </c>
      <c r="AJ6" s="14"/>
      <c r="AK6">
        <v>2.3520210435004955E-3</v>
      </c>
      <c r="AL6">
        <v>0.65401210220034012</v>
      </c>
      <c r="AM6">
        <v>0.2243404277564692</v>
      </c>
      <c r="AO6">
        <v>0.1166</v>
      </c>
      <c r="AP6">
        <v>0.11609999999999999</v>
      </c>
      <c r="AR6" s="15">
        <v>0.1313</v>
      </c>
      <c r="AS6" s="16">
        <v>0.13020000000000001</v>
      </c>
      <c r="AT6" s="16">
        <v>0.13880000000000001</v>
      </c>
    </row>
    <row r="7" spans="1:50" x14ac:dyDescent="0.2">
      <c r="A7" s="9" t="s">
        <v>52</v>
      </c>
      <c r="B7">
        <v>0</v>
      </c>
      <c r="C7" t="s">
        <v>20</v>
      </c>
      <c r="D7" t="s">
        <v>14</v>
      </c>
      <c r="E7" t="s">
        <v>75</v>
      </c>
      <c r="J7" s="22">
        <f t="shared" si="0"/>
        <v>90.481622481492593</v>
      </c>
      <c r="K7" s="12">
        <f t="shared" si="1"/>
        <v>-1.0321557511685286</v>
      </c>
      <c r="L7">
        <f t="shared" si="4"/>
        <v>20.318189000000004</v>
      </c>
      <c r="O7">
        <f t="shared" si="5"/>
        <v>19.286033248831476</v>
      </c>
      <c r="P7" s="14">
        <f t="shared" si="6"/>
        <v>1.1944109615412619E-5</v>
      </c>
      <c r="Q7" s="23">
        <f t="shared" si="7"/>
        <v>7.3190167404955515</v>
      </c>
      <c r="R7" s="23">
        <f t="shared" si="8"/>
        <v>0.66681288543325312</v>
      </c>
      <c r="S7" s="1"/>
      <c r="T7" s="1"/>
      <c r="U7" s="1"/>
      <c r="V7" s="4"/>
      <c r="X7" s="4"/>
      <c r="Y7" s="4"/>
      <c r="Z7" s="4"/>
      <c r="AA7" s="4"/>
      <c r="AB7" s="4"/>
      <c r="AC7" s="1"/>
      <c r="AE7" s="1"/>
      <c r="AF7" s="2"/>
      <c r="AG7">
        <v>0.12698369257692244</v>
      </c>
      <c r="AH7" s="32">
        <v>0.12477845226461953</v>
      </c>
      <c r="AI7">
        <f t="shared" si="9"/>
        <v>0.15135000000000001</v>
      </c>
      <c r="AJ7" s="14"/>
      <c r="AK7">
        <v>2.3186636717593633E-3</v>
      </c>
      <c r="AL7">
        <v>0.65971596584888681</v>
      </c>
      <c r="AM7">
        <v>0.2187120309059272</v>
      </c>
      <c r="AO7">
        <v>0.15210000000000001</v>
      </c>
      <c r="AP7">
        <v>0.15060000000000001</v>
      </c>
      <c r="AR7" s="15">
        <v>0.12989999999999999</v>
      </c>
      <c r="AS7" s="16">
        <v>0.16120000000000001</v>
      </c>
      <c r="AT7" s="16">
        <v>0.13239999999999999</v>
      </c>
    </row>
    <row r="8" spans="1:50" x14ac:dyDescent="0.2">
      <c r="A8" s="9" t="s">
        <v>53</v>
      </c>
      <c r="B8">
        <v>0</v>
      </c>
      <c r="C8" t="s">
        <v>74</v>
      </c>
      <c r="D8" t="s">
        <v>14</v>
      </c>
      <c r="E8" t="s">
        <v>75</v>
      </c>
      <c r="J8" s="22">
        <f t="shared" si="0"/>
        <v>89.019814196255155</v>
      </c>
      <c r="K8" s="12">
        <f t="shared" si="1"/>
        <v>-3.4549516532567504</v>
      </c>
      <c r="L8">
        <f t="shared" si="4"/>
        <v>16.058480000000003</v>
      </c>
      <c r="O8">
        <f t="shared" si="5"/>
        <v>12.603528346743254</v>
      </c>
      <c r="P8" s="14">
        <f t="shared" si="6"/>
        <v>5.2817360740806715E-4</v>
      </c>
      <c r="Q8" s="23">
        <f t="shared" si="7"/>
        <v>6.9630551520302157</v>
      </c>
      <c r="R8" s="23">
        <f t="shared" si="8"/>
        <v>0.68685413523062366</v>
      </c>
      <c r="S8" s="1"/>
      <c r="T8" s="4"/>
      <c r="U8" s="4"/>
      <c r="V8" s="4"/>
      <c r="X8" s="4"/>
      <c r="Y8" s="4"/>
      <c r="Z8" s="4"/>
      <c r="AA8" s="4"/>
      <c r="AB8" s="4"/>
      <c r="AC8" s="4"/>
      <c r="AE8" s="4"/>
      <c r="AF8" s="2"/>
      <c r="AG8">
        <v>0.12581911864301662</v>
      </c>
      <c r="AH8" s="32">
        <v>0.10415803520782374</v>
      </c>
      <c r="AI8">
        <f t="shared" si="9"/>
        <v>0.13200000000000001</v>
      </c>
      <c r="AJ8" s="14"/>
      <c r="AK8">
        <v>2.7160689818383891E-3</v>
      </c>
      <c r="AL8">
        <v>0.62627350169393237</v>
      </c>
      <c r="AM8">
        <v>0.22481844461627776</v>
      </c>
      <c r="AO8">
        <v>0.1275</v>
      </c>
      <c r="AP8">
        <v>0.13650000000000001</v>
      </c>
      <c r="AR8" s="15">
        <v>0.1159</v>
      </c>
      <c r="AS8" s="16">
        <v>0.11550000000000001</v>
      </c>
      <c r="AT8" s="16">
        <v>0.1142</v>
      </c>
    </row>
    <row r="9" spans="1:50" x14ac:dyDescent="0.2">
      <c r="A9" s="9" t="s">
        <v>54</v>
      </c>
      <c r="B9">
        <v>0</v>
      </c>
      <c r="C9" t="s">
        <v>74</v>
      </c>
      <c r="D9" t="s">
        <v>14</v>
      </c>
      <c r="E9" t="s">
        <v>75</v>
      </c>
      <c r="J9" s="22">
        <f t="shared" si="0"/>
        <v>88.213195147460027</v>
      </c>
      <c r="K9" s="12">
        <f t="shared" si="1"/>
        <v>-12.038819401879007</v>
      </c>
      <c r="L9">
        <f t="shared" si="4"/>
        <v>15.50813</v>
      </c>
      <c r="O9">
        <f t="shared" si="5"/>
        <v>3.4693105981209929</v>
      </c>
      <c r="P9" s="14">
        <f t="shared" si="6"/>
        <v>5.387398109388291E-4</v>
      </c>
      <c r="Q9" s="23">
        <f t="shared" si="7"/>
        <v>7.180527547105779</v>
      </c>
      <c r="R9" s="23">
        <f t="shared" si="8"/>
        <v>0.70178717983639605</v>
      </c>
      <c r="T9" s="4"/>
      <c r="U9" s="4"/>
      <c r="V9" s="4"/>
      <c r="X9" s="4"/>
      <c r="Y9" s="4"/>
      <c r="Z9" s="4"/>
      <c r="AA9" s="4"/>
      <c r="AB9" s="4"/>
      <c r="AC9" s="4"/>
      <c r="AE9" s="4"/>
      <c r="AF9" s="2"/>
      <c r="AG9">
        <v>0.12517651213414316</v>
      </c>
      <c r="AH9" s="32">
        <v>3.1100732781148076E-2</v>
      </c>
      <c r="AI9">
        <f t="shared" si="9"/>
        <v>0.1295</v>
      </c>
      <c r="AJ9" s="14"/>
      <c r="AK9">
        <v>2.7242030877127248E-3</v>
      </c>
      <c r="AL9">
        <v>0.64670495557175678</v>
      </c>
      <c r="AM9">
        <v>0.22936842773808533</v>
      </c>
      <c r="AO9">
        <v>0.12820000000000001</v>
      </c>
      <c r="AP9">
        <v>0.1308</v>
      </c>
      <c r="AR9" s="15">
        <v>0.1188</v>
      </c>
      <c r="AS9" s="16">
        <v>0.1133</v>
      </c>
      <c r="AT9" s="16">
        <v>0.11559999999999999</v>
      </c>
    </row>
    <row r="10" spans="1:50" x14ac:dyDescent="0.2">
      <c r="A10" s="9" t="s">
        <v>55</v>
      </c>
      <c r="B10">
        <v>0</v>
      </c>
      <c r="C10" t="s">
        <v>74</v>
      </c>
      <c r="D10" t="s">
        <v>14</v>
      </c>
      <c r="E10" t="s">
        <v>75</v>
      </c>
      <c r="J10" s="22">
        <f t="shared" si="0"/>
        <v>88.959290132528807</v>
      </c>
      <c r="K10" s="12">
        <f t="shared" si="1"/>
        <v>-11.073830813025703</v>
      </c>
      <c r="L10">
        <f t="shared" si="4"/>
        <v>23.025911000000001</v>
      </c>
      <c r="O10">
        <f t="shared" si="5"/>
        <v>11.952080186974298</v>
      </c>
      <c r="P10" s="14">
        <f t="shared" si="6"/>
        <v>4.694148288849594E-4</v>
      </c>
      <c r="Q10" s="23">
        <f t="shared" si="7"/>
        <v>7.2589658785295228</v>
      </c>
      <c r="R10" s="23">
        <f t="shared" si="8"/>
        <v>0.68835417109773323</v>
      </c>
      <c r="S10" s="1"/>
      <c r="T10" s="4"/>
      <c r="U10" s="4"/>
      <c r="V10" s="4"/>
      <c r="X10" s="4"/>
      <c r="Y10" s="4"/>
      <c r="Z10" s="4"/>
      <c r="AA10" s="4"/>
      <c r="AB10" s="4"/>
      <c r="AC10" s="4"/>
      <c r="AE10" s="4"/>
      <c r="AF10" s="2"/>
      <c r="AG10">
        <v>0.12577090113891462</v>
      </c>
      <c r="AH10" s="32">
        <v>3.9313751112594553E-2</v>
      </c>
      <c r="AI10">
        <f t="shared" si="9"/>
        <v>0.16364999999999999</v>
      </c>
      <c r="AJ10" s="14"/>
      <c r="AK10">
        <v>2.6708351261624016E-3</v>
      </c>
      <c r="AL10">
        <v>0.65407420880585521</v>
      </c>
      <c r="AM10">
        <v>0.22527549393593335</v>
      </c>
      <c r="AO10">
        <v>0.16339999999999999</v>
      </c>
      <c r="AP10">
        <v>0.16389999999999999</v>
      </c>
      <c r="AR10" s="15">
        <v>0.13730000000000001</v>
      </c>
      <c r="AS10" s="16">
        <v>0.1158</v>
      </c>
      <c r="AT10" s="16">
        <v>0.108</v>
      </c>
    </row>
    <row r="11" spans="1:50" x14ac:dyDescent="0.2">
      <c r="A11" s="9" t="s">
        <v>56</v>
      </c>
      <c r="B11">
        <v>0</v>
      </c>
      <c r="C11" t="s">
        <v>19</v>
      </c>
      <c r="D11" t="s">
        <v>15</v>
      </c>
      <c r="E11" t="s">
        <v>75</v>
      </c>
      <c r="J11" s="22">
        <f t="shared" si="0"/>
        <v>94.708889209043221</v>
      </c>
      <c r="K11" s="12">
        <f t="shared" si="1"/>
        <v>-12.00047570420705</v>
      </c>
      <c r="L11">
        <f t="shared" si="4"/>
        <v>24.335743999999995</v>
      </c>
      <c r="O11">
        <f t="shared" si="5"/>
        <v>12.335268295792945</v>
      </c>
      <c r="P11" s="14">
        <f t="shared" si="6"/>
        <v>2.9546478172014375E-4</v>
      </c>
      <c r="Q11" s="23">
        <f t="shared" si="7"/>
        <v>7.60469115946574</v>
      </c>
      <c r="R11" s="23">
        <f t="shared" si="8"/>
        <v>0.81447682632463103</v>
      </c>
      <c r="V11" s="4"/>
      <c r="X11" s="4"/>
      <c r="Y11" s="4"/>
      <c r="Z11" s="4"/>
      <c r="AA11" s="4"/>
      <c r="AB11" s="4"/>
      <c r="AG11">
        <v>0.13035141506987111</v>
      </c>
      <c r="AH11" s="32">
        <v>3.1427076009982978E-2</v>
      </c>
      <c r="AI11">
        <f t="shared" si="9"/>
        <v>0.1696</v>
      </c>
      <c r="AK11">
        <v>2.5369243893149686E-3</v>
      </c>
      <c r="AL11">
        <v>0.68655497552289924</v>
      </c>
      <c r="AM11">
        <v>0.26370409089720631</v>
      </c>
      <c r="AO11">
        <v>0.1633</v>
      </c>
      <c r="AP11">
        <v>0.1759</v>
      </c>
      <c r="AR11">
        <v>0.11210000000000001</v>
      </c>
      <c r="AS11">
        <v>0.14219999999999999</v>
      </c>
      <c r="AT11">
        <v>0.1125</v>
      </c>
    </row>
    <row r="12" spans="1:50" x14ac:dyDescent="0.2">
      <c r="A12" s="9" t="s">
        <v>48</v>
      </c>
      <c r="B12">
        <v>0</v>
      </c>
      <c r="C12" t="s">
        <v>19</v>
      </c>
      <c r="D12" t="s">
        <v>15</v>
      </c>
      <c r="E12" t="s">
        <v>75</v>
      </c>
      <c r="J12" s="22">
        <f t="shared" si="0"/>
        <v>91.854838201736172</v>
      </c>
      <c r="K12" s="12">
        <f t="shared" si="1"/>
        <v>1.278061978066185</v>
      </c>
      <c r="L12">
        <f t="shared" si="4"/>
        <v>21.198748999999992</v>
      </c>
      <c r="O12">
        <f t="shared" si="5"/>
        <v>22.476810978066176</v>
      </c>
      <c r="P12" s="14">
        <f t="shared" si="6"/>
        <v>4.6826996322788406E-4</v>
      </c>
      <c r="Q12" s="23">
        <f t="shared" si="7"/>
        <v>7.3325500003065187</v>
      </c>
      <c r="R12" s="23">
        <f t="shared" si="8"/>
        <v>0.70908357080249129</v>
      </c>
      <c r="V12" s="4"/>
      <c r="X12" s="4"/>
      <c r="Y12" s="4"/>
      <c r="Z12" s="4"/>
      <c r="AA12" s="4"/>
      <c r="AB12" s="4"/>
      <c r="AG12">
        <v>0.12807768776738315</v>
      </c>
      <c r="AH12" s="32">
        <v>0.14444071643956069</v>
      </c>
      <c r="AI12">
        <f t="shared" si="9"/>
        <v>0.15534999999999999</v>
      </c>
      <c r="AK12">
        <v>2.6699537823155384E-3</v>
      </c>
      <c r="AL12">
        <v>0.66098741077663647</v>
      </c>
      <c r="AM12">
        <v>0.23159158159734655</v>
      </c>
      <c r="AO12">
        <v>0.15840000000000001</v>
      </c>
      <c r="AP12">
        <v>0.15229999999999999</v>
      </c>
      <c r="AR12">
        <v>0.12959999999999999</v>
      </c>
      <c r="AS12">
        <v>0.12870000000000001</v>
      </c>
      <c r="AT12">
        <v>0.1033</v>
      </c>
    </row>
    <row r="13" spans="1:50" x14ac:dyDescent="0.2">
      <c r="A13" s="9" t="s">
        <v>49</v>
      </c>
      <c r="B13">
        <v>0</v>
      </c>
      <c r="C13" t="s">
        <v>19</v>
      </c>
      <c r="D13" t="s">
        <v>15</v>
      </c>
      <c r="E13" t="s">
        <v>75</v>
      </c>
      <c r="J13" s="22">
        <f t="shared" si="0"/>
        <v>91.177501853344495</v>
      </c>
      <c r="K13" s="12">
        <f t="shared" si="1"/>
        <v>1.4533723449892044</v>
      </c>
      <c r="L13">
        <f t="shared" si="4"/>
        <v>21.385867999999995</v>
      </c>
      <c r="O13">
        <f t="shared" si="5"/>
        <v>22.8392403449892</v>
      </c>
      <c r="P13" s="14">
        <f t="shared" si="6"/>
        <v>4.4147085837882821E-4</v>
      </c>
      <c r="Q13" s="23">
        <f t="shared" si="7"/>
        <v>7.2902418614698563</v>
      </c>
      <c r="R13" s="23">
        <f t="shared" si="8"/>
        <v>0.6792493108981561</v>
      </c>
      <c r="V13" s="4"/>
      <c r="X13" s="4"/>
      <c r="Y13" s="4"/>
      <c r="Z13" s="4"/>
      <c r="AA13" s="4"/>
      <c r="AB13" s="4"/>
      <c r="AG13">
        <v>0.12753807647649779</v>
      </c>
      <c r="AH13" s="32">
        <v>0.14593278305450619</v>
      </c>
      <c r="AI13">
        <f t="shared" si="9"/>
        <v>0.15620000000000001</v>
      </c>
      <c r="AK13">
        <v>2.6493232166118772E-3</v>
      </c>
      <c r="AL13">
        <v>0.65701257623730336</v>
      </c>
      <c r="AM13">
        <v>0.22250131349730534</v>
      </c>
      <c r="AO13">
        <v>0.15820000000000001</v>
      </c>
      <c r="AP13">
        <v>0.1542</v>
      </c>
      <c r="AR13">
        <v>0.12640000000000001</v>
      </c>
      <c r="AS13">
        <v>0.12870000000000001</v>
      </c>
      <c r="AT13">
        <v>0.14499999999999999</v>
      </c>
    </row>
    <row r="14" spans="1:50" x14ac:dyDescent="0.2">
      <c r="A14" s="9" t="s">
        <v>50</v>
      </c>
      <c r="B14">
        <v>0</v>
      </c>
      <c r="C14" t="s">
        <v>20</v>
      </c>
      <c r="D14" t="s">
        <v>15</v>
      </c>
      <c r="E14" t="s">
        <v>75</v>
      </c>
      <c r="J14" s="22">
        <f t="shared" si="0"/>
        <v>87.741589183608426</v>
      </c>
      <c r="K14" s="12">
        <f t="shared" si="1"/>
        <v>2.4718162014556899</v>
      </c>
      <c r="L14">
        <f t="shared" si="4"/>
        <v>26.096864000000004</v>
      </c>
      <c r="O14">
        <f t="shared" si="5"/>
        <v>28.568680201455692</v>
      </c>
      <c r="P14" s="14">
        <f t="shared" si="6"/>
        <v>-1.0776414556688178E-6</v>
      </c>
      <c r="Q14" s="23">
        <f t="shared" si="7"/>
        <v>7.3412475804057227</v>
      </c>
      <c r="R14" s="23">
        <f t="shared" si="8"/>
        <v>0.69999876594680932</v>
      </c>
      <c r="T14" s="4"/>
      <c r="U14" s="4"/>
      <c r="V14" s="4"/>
      <c r="X14" s="4"/>
      <c r="Y14" s="4"/>
      <c r="Z14" s="4"/>
      <c r="AA14" s="4"/>
      <c r="AB14" s="4"/>
      <c r="AG14">
        <v>0.12480079938294139</v>
      </c>
      <c r="AH14" s="32">
        <v>0.15460075919363114</v>
      </c>
      <c r="AI14">
        <f t="shared" si="9"/>
        <v>0.17760000000000001</v>
      </c>
      <c r="AK14">
        <v>2.3086392290564521E-3</v>
      </c>
      <c r="AL14">
        <v>0.66180454532184541</v>
      </c>
      <c r="AM14">
        <v>0.2288235118667914</v>
      </c>
      <c r="AO14">
        <v>0.17860000000000001</v>
      </c>
      <c r="AP14">
        <v>0.17660000000000001</v>
      </c>
      <c r="AR14">
        <v>0.14130000000000001</v>
      </c>
      <c r="AS14">
        <v>0.13719999999999999</v>
      </c>
      <c r="AT14">
        <v>0.14530000000000001</v>
      </c>
    </row>
    <row r="15" spans="1:50" x14ac:dyDescent="0.2">
      <c r="A15" s="9" t="s">
        <v>51</v>
      </c>
      <c r="B15">
        <v>0</v>
      </c>
      <c r="C15" t="s">
        <v>20</v>
      </c>
      <c r="D15" t="s">
        <v>15</v>
      </c>
      <c r="E15" t="s">
        <v>75</v>
      </c>
      <c r="J15" s="22">
        <f t="shared" si="0"/>
        <v>89.862216276643451</v>
      </c>
      <c r="K15" s="12">
        <f t="shared" si="1"/>
        <v>0.92522857103618628</v>
      </c>
      <c r="L15">
        <f t="shared" si="4"/>
        <v>25.480471999999999</v>
      </c>
      <c r="O15">
        <f t="shared" si="5"/>
        <v>26.405700571036185</v>
      </c>
      <c r="P15" s="14">
        <f t="shared" si="6"/>
        <v>1.6861416254985328E-4</v>
      </c>
      <c r="Q15" s="23">
        <f t="shared" si="7"/>
        <v>7.4712686405666098</v>
      </c>
      <c r="R15" s="23">
        <f t="shared" si="8"/>
        <v>0.70861085487469544</v>
      </c>
      <c r="V15" s="4"/>
      <c r="X15" s="4"/>
      <c r="Y15" s="4"/>
      <c r="Z15" s="4"/>
      <c r="AA15" s="4"/>
      <c r="AB15" s="4"/>
      <c r="AG15">
        <v>0.12649023230039264</v>
      </c>
      <c r="AH15" s="32">
        <v>0.14143775114716528</v>
      </c>
      <c r="AI15">
        <f t="shared" si="9"/>
        <v>0.17480000000000001</v>
      </c>
      <c r="AK15">
        <v>2.4392718726326816E-3</v>
      </c>
      <c r="AL15">
        <v>0.6740199775053185</v>
      </c>
      <c r="AM15">
        <v>0.23144754871258238</v>
      </c>
      <c r="AO15">
        <v>0.17369999999999999</v>
      </c>
      <c r="AP15">
        <v>0.1759</v>
      </c>
      <c r="AR15">
        <v>0.15160000000000001</v>
      </c>
      <c r="AS15">
        <v>0.154</v>
      </c>
      <c r="AT15">
        <v>0.14810000000000001</v>
      </c>
    </row>
    <row r="16" spans="1:50" x14ac:dyDescent="0.2">
      <c r="A16" s="9" t="s">
        <v>52</v>
      </c>
      <c r="B16">
        <v>0</v>
      </c>
      <c r="C16" t="s">
        <v>20</v>
      </c>
      <c r="D16" t="s">
        <v>15</v>
      </c>
      <c r="E16" t="s">
        <v>75</v>
      </c>
      <c r="J16" s="22">
        <f t="shared" si="0"/>
        <v>93.996859134738841</v>
      </c>
      <c r="K16" s="12">
        <f t="shared" si="1"/>
        <v>-11.062792546488886</v>
      </c>
      <c r="L16">
        <f t="shared" si="4"/>
        <v>34.330100000000002</v>
      </c>
      <c r="O16">
        <f t="shared" si="5"/>
        <v>23.267307453511116</v>
      </c>
      <c r="P16" s="14">
        <f t="shared" si="6"/>
        <v>4.6264049595146517E-4</v>
      </c>
      <c r="Q16" s="23">
        <f t="shared" si="7"/>
        <v>7.928824483847138</v>
      </c>
      <c r="R16" s="23">
        <f t="shared" si="8"/>
        <v>0.7055366399995423</v>
      </c>
      <c r="V16" s="4"/>
      <c r="X16" s="4"/>
      <c r="Y16" s="4"/>
      <c r="Z16" s="4"/>
      <c r="AA16" s="4"/>
      <c r="AB16" s="4"/>
      <c r="AG16">
        <v>0.12978416444400862</v>
      </c>
      <c r="AH16" s="32">
        <v>3.9407697804256472E-2</v>
      </c>
      <c r="AI16">
        <f t="shared" si="9"/>
        <v>0.215</v>
      </c>
      <c r="AK16">
        <v>2.6656200892620982E-3</v>
      </c>
      <c r="AL16">
        <v>0.7170071856301331</v>
      </c>
      <c r="AM16">
        <v>0.23051085923203604</v>
      </c>
      <c r="AO16">
        <v>0.2029</v>
      </c>
      <c r="AP16">
        <v>0.2271</v>
      </c>
      <c r="AR16">
        <v>0.13880000000000001</v>
      </c>
      <c r="AS16">
        <v>0.13719999999999999</v>
      </c>
      <c r="AT16">
        <v>0.12559999999999999</v>
      </c>
    </row>
    <row r="17" spans="1:47" s="5" customFormat="1" x14ac:dyDescent="0.2">
      <c r="A17" s="9" t="s">
        <v>53</v>
      </c>
      <c r="B17">
        <v>0</v>
      </c>
      <c r="C17" t="s">
        <v>74</v>
      </c>
      <c r="D17" t="s">
        <v>15</v>
      </c>
      <c r="E17" t="s">
        <v>75</v>
      </c>
      <c r="J17" s="22">
        <f t="shared" si="0"/>
        <v>89.742391336756</v>
      </c>
      <c r="K17" s="12">
        <f t="shared" si="1"/>
        <v>-13.188892708124978</v>
      </c>
      <c r="L17">
        <f>(11.007*AI17-0.65)*20</f>
        <v>22.662679999999995</v>
      </c>
      <c r="M17"/>
      <c r="O17">
        <f t="shared" si="5"/>
        <v>9.4737872918750163</v>
      </c>
      <c r="P17" s="14">
        <f t="shared" si="6"/>
        <v>7.6419718473297272E-4</v>
      </c>
      <c r="Q17" s="23">
        <f t="shared" si="7"/>
        <v>7.2932210890482647</v>
      </c>
      <c r="R17" s="23">
        <f t="shared" si="8"/>
        <v>0.71081295996315419</v>
      </c>
      <c r="S17"/>
      <c r="V17" s="6"/>
      <c r="X17" s="4"/>
      <c r="Y17" s="4"/>
      <c r="Z17" s="4"/>
      <c r="AA17" s="4"/>
      <c r="AB17" s="4"/>
      <c r="AG17">
        <v>0.12639477176494895</v>
      </c>
      <c r="AH17" s="32">
        <v>2.131245833333352E-2</v>
      </c>
      <c r="AI17">
        <f t="shared" si="9"/>
        <v>0.16199999999999998</v>
      </c>
      <c r="AJ17"/>
      <c r="AK17">
        <v>2.89776534621476E-3</v>
      </c>
      <c r="AL17">
        <v>0.65729247360468479</v>
      </c>
      <c r="AM17">
        <v>0.2321185130905406</v>
      </c>
      <c r="AN17"/>
      <c r="AO17" s="5">
        <v>0.14099999999999999</v>
      </c>
      <c r="AP17" s="5">
        <v>0.183</v>
      </c>
      <c r="AR17">
        <v>0.1145</v>
      </c>
      <c r="AS17">
        <v>0.1081</v>
      </c>
      <c r="AT17">
        <v>0.12039999999999999</v>
      </c>
    </row>
    <row r="18" spans="1:47" s="5" customFormat="1" x14ac:dyDescent="0.2">
      <c r="A18" s="9" t="s">
        <v>54</v>
      </c>
      <c r="B18">
        <v>0</v>
      </c>
      <c r="C18" t="s">
        <v>74</v>
      </c>
      <c r="D18" t="s">
        <v>15</v>
      </c>
      <c r="E18" t="s">
        <v>75</v>
      </c>
      <c r="J18" s="22">
        <f t="shared" si="0"/>
        <v>92.468088078219054</v>
      </c>
      <c r="K18" s="12">
        <f t="shared" si="1"/>
        <v>-7.9380647459976554</v>
      </c>
      <c r="L18">
        <f t="shared" si="4"/>
        <v>23.058931999999999</v>
      </c>
      <c r="M18"/>
      <c r="O18">
        <f t="shared" si="5"/>
        <v>15.120867254002343</v>
      </c>
      <c r="P18" s="14">
        <f t="shared" si="6"/>
        <v>8.123030584641207E-4</v>
      </c>
      <c r="Q18" s="23">
        <f t="shared" si="7"/>
        <v>7.2607712716962718</v>
      </c>
      <c r="R18" s="23">
        <f t="shared" si="8"/>
        <v>0.7080027043240148</v>
      </c>
      <c r="V18" s="6"/>
      <c r="X18" s="4"/>
      <c r="Y18" s="4"/>
      <c r="Z18" s="4"/>
      <c r="AA18" s="4"/>
      <c r="AB18" s="4"/>
      <c r="AG18">
        <v>0.12856624350231452</v>
      </c>
      <c r="AH18" s="32">
        <v>6.6002257576938131E-2</v>
      </c>
      <c r="AI18">
        <f t="shared" si="9"/>
        <v>0.1638</v>
      </c>
      <c r="AJ18"/>
      <c r="AK18">
        <v>2.9347983513965518E-3</v>
      </c>
      <c r="AL18">
        <v>0.6542438248493303</v>
      </c>
      <c r="AM18">
        <v>0.23126224994637867</v>
      </c>
      <c r="AN18"/>
      <c r="AO18" s="5">
        <v>0.17199999999999999</v>
      </c>
      <c r="AP18" s="5">
        <v>0.15559999999999999</v>
      </c>
      <c r="AR18">
        <v>0.112</v>
      </c>
      <c r="AS18">
        <v>0.10730000000000001</v>
      </c>
      <c r="AT18">
        <v>0.1171</v>
      </c>
    </row>
    <row r="19" spans="1:47" s="5" customFormat="1" x14ac:dyDescent="0.2">
      <c r="A19" s="9" t="s">
        <v>55</v>
      </c>
      <c r="B19">
        <v>0</v>
      </c>
      <c r="C19" t="s">
        <v>74</v>
      </c>
      <c r="D19" t="s">
        <v>15</v>
      </c>
      <c r="E19" t="s">
        <v>75</v>
      </c>
      <c r="J19" s="22">
        <f t="shared" si="0"/>
        <v>92.486072380393693</v>
      </c>
      <c r="K19" s="12">
        <f t="shared" si="1"/>
        <v>-14.127437725401409</v>
      </c>
      <c r="L19">
        <f t="shared" si="4"/>
        <v>24.082583</v>
      </c>
      <c r="M19"/>
      <c r="O19">
        <f t="shared" si="5"/>
        <v>9.9551452745985909</v>
      </c>
      <c r="P19" s="14">
        <f t="shared" si="6"/>
        <v>6.5333337344553846E-4</v>
      </c>
      <c r="Q19" s="23">
        <f t="shared" si="7"/>
        <v>7.2525427616518447</v>
      </c>
      <c r="R19" s="23">
        <f t="shared" si="8"/>
        <v>0.70955488703109959</v>
      </c>
      <c r="V19" s="6"/>
      <c r="X19" s="4"/>
      <c r="Y19" s="4"/>
      <c r="Z19" s="4"/>
      <c r="AA19" s="4"/>
      <c r="AB19" s="4"/>
      <c r="AG19">
        <v>0.12858057099638032</v>
      </c>
      <c r="AH19" s="32">
        <v>1.3324501251956188E-2</v>
      </c>
      <c r="AI19">
        <f t="shared" si="9"/>
        <v>0.16844999999999999</v>
      </c>
      <c r="AJ19"/>
      <c r="AK19">
        <v>2.8124198409896373E-3</v>
      </c>
      <c r="AL19">
        <v>0.65347075926830567</v>
      </c>
      <c r="AM19">
        <v>0.23173518800460075</v>
      </c>
      <c r="AN19"/>
      <c r="AO19" s="5">
        <v>0.16669999999999999</v>
      </c>
      <c r="AP19" s="5">
        <v>0.17019999999999999</v>
      </c>
      <c r="AR19">
        <v>0.1096</v>
      </c>
      <c r="AS19">
        <v>0.11899999999999999</v>
      </c>
      <c r="AT19">
        <v>0.1163</v>
      </c>
    </row>
    <row r="20" spans="1:47" x14ac:dyDescent="0.2">
      <c r="A20" s="9" t="s">
        <v>57</v>
      </c>
      <c r="B20">
        <v>0</v>
      </c>
      <c r="C20" t="s">
        <v>19</v>
      </c>
      <c r="D20" t="s">
        <v>15</v>
      </c>
      <c r="E20" t="s">
        <v>3</v>
      </c>
      <c r="J20" s="22">
        <f t="shared" si="0"/>
        <v>88.421168672124523</v>
      </c>
      <c r="K20" s="12">
        <f t="shared" ref="K20:K28" si="10">(3.9165*AH20-0.5231)*30</f>
        <v>29.726020125363871</v>
      </c>
      <c r="L20">
        <f>(11.007*AI20-0.65)*20</f>
        <v>20.890553000000001</v>
      </c>
      <c r="O20">
        <f t="shared" si="5"/>
        <v>50.616573125363871</v>
      </c>
      <c r="P20" s="14">
        <f t="shared" si="6"/>
        <v>4.0464047404733345E-4</v>
      </c>
      <c r="Q20" s="23">
        <f t="shared" si="7"/>
        <v>7.2382156619463824</v>
      </c>
      <c r="R20" s="23">
        <f t="shared" si="8"/>
        <v>0.66695391351563271</v>
      </c>
      <c r="T20" s="4"/>
      <c r="U20" s="4"/>
      <c r="V20" s="4"/>
      <c r="X20" s="4"/>
      <c r="Y20" s="4"/>
      <c r="Z20" s="4"/>
      <c r="AA20" s="4"/>
      <c r="AB20" s="4"/>
      <c r="AG20">
        <v>0.12534219770879254</v>
      </c>
      <c r="AH20">
        <v>0.38656130154784346</v>
      </c>
      <c r="AI20">
        <f t="shared" si="9"/>
        <v>0.15395</v>
      </c>
      <c r="AK20">
        <v>2.6209703418378244E-3</v>
      </c>
      <c r="AL20">
        <v>0.65212473336587584</v>
      </c>
      <c r="AM20">
        <v>0.21875500107118609</v>
      </c>
      <c r="AO20">
        <v>0.158</v>
      </c>
      <c r="AP20">
        <v>0.14990000000000001</v>
      </c>
      <c r="AR20">
        <v>0.125</v>
      </c>
      <c r="AS20">
        <v>0.13569999999999999</v>
      </c>
      <c r="AT20">
        <v>0.1343</v>
      </c>
    </row>
    <row r="21" spans="1:47" x14ac:dyDescent="0.2">
      <c r="A21" s="9" t="s">
        <v>58</v>
      </c>
      <c r="B21">
        <v>0</v>
      </c>
      <c r="C21" t="s">
        <v>19</v>
      </c>
      <c r="D21" t="s">
        <v>15</v>
      </c>
      <c r="E21" t="s">
        <v>3</v>
      </c>
      <c r="J21" s="22">
        <f t="shared" si="0"/>
        <v>88.368738815676863</v>
      </c>
      <c r="K21" s="12">
        <f t="shared" si="10"/>
        <v>31.102433128905794</v>
      </c>
      <c r="L21">
        <f t="shared" si="4"/>
        <v>21.716078000000003</v>
      </c>
      <c r="O21">
        <f t="shared" si="5"/>
        <v>52.818511128905797</v>
      </c>
      <c r="P21" s="14">
        <f t="shared" si="6"/>
        <v>3.3681539339936134E-4</v>
      </c>
      <c r="Q21" s="23">
        <f t="shared" si="7"/>
        <v>7.2267436155471518</v>
      </c>
      <c r="R21" s="23">
        <f t="shared" si="8"/>
        <v>0.65154320566111235</v>
      </c>
      <c r="V21" s="4"/>
      <c r="X21" s="4"/>
      <c r="Y21" s="4"/>
      <c r="Z21" s="4"/>
      <c r="AA21" s="4"/>
      <c r="AB21" s="4"/>
      <c r="AG21">
        <v>0.12530042858982257</v>
      </c>
      <c r="AH21">
        <v>0.39827595326529464</v>
      </c>
      <c r="AI21">
        <f t="shared" si="9"/>
        <v>0.15770000000000001</v>
      </c>
      <c r="AK21">
        <v>2.5687570387985846E-3</v>
      </c>
      <c r="AL21">
        <v>0.65104693870228791</v>
      </c>
      <c r="AM21">
        <v>0.21405947765420852</v>
      </c>
      <c r="AO21">
        <v>0.15740000000000001</v>
      </c>
      <c r="AP21">
        <v>0.158</v>
      </c>
      <c r="AR21">
        <v>0.12820000000000001</v>
      </c>
      <c r="AS21">
        <v>0.10100000000000001</v>
      </c>
      <c r="AT21">
        <v>0.106</v>
      </c>
    </row>
    <row r="22" spans="1:47" x14ac:dyDescent="0.2">
      <c r="A22" s="9" t="s">
        <v>59</v>
      </c>
      <c r="B22">
        <v>0</v>
      </c>
      <c r="C22" t="s">
        <v>19</v>
      </c>
      <c r="D22" t="s">
        <v>15</v>
      </c>
      <c r="E22" t="s">
        <v>3</v>
      </c>
      <c r="J22" s="22">
        <f t="shared" si="0"/>
        <v>87.319879240417947</v>
      </c>
      <c r="K22" s="12">
        <f t="shared" si="10"/>
        <v>30.31320069881366</v>
      </c>
      <c r="L22">
        <f t="shared" si="4"/>
        <v>24.544876999999996</v>
      </c>
      <c r="O22">
        <f t="shared" si="5"/>
        <v>54.858077698813659</v>
      </c>
      <c r="P22" s="14">
        <f t="shared" si="6"/>
        <v>3.5245512480389541E-4</v>
      </c>
      <c r="Q22" s="23">
        <f t="shared" si="7"/>
        <v>7.220130297446028</v>
      </c>
      <c r="R22" s="23">
        <f t="shared" si="8"/>
        <v>0.65250198998621101</v>
      </c>
      <c r="V22" s="4"/>
      <c r="X22" s="4"/>
      <c r="Y22" s="4"/>
      <c r="Z22" s="4"/>
      <c r="AA22" s="4"/>
      <c r="AB22" s="4"/>
      <c r="AG22">
        <v>0.12446483712819963</v>
      </c>
      <c r="AH22">
        <v>0.39155879568333679</v>
      </c>
      <c r="AI22">
        <f t="shared" si="9"/>
        <v>0.17055000000000001</v>
      </c>
      <c r="AK22">
        <v>2.5807968628205509E-3</v>
      </c>
      <c r="AL22">
        <v>0.65042561982769898</v>
      </c>
      <c r="AM22">
        <v>0.21435161181785831</v>
      </c>
      <c r="AO22">
        <v>0.16930000000000001</v>
      </c>
      <c r="AP22">
        <v>0.17180000000000001</v>
      </c>
      <c r="AR22">
        <v>0.11749999999999999</v>
      </c>
      <c r="AS22">
        <v>0.1216</v>
      </c>
      <c r="AT22">
        <v>0.12870000000000001</v>
      </c>
    </row>
    <row r="23" spans="1:47" x14ac:dyDescent="0.2">
      <c r="A23" s="9" t="s">
        <v>60</v>
      </c>
      <c r="B23">
        <v>0</v>
      </c>
      <c r="C23" t="s">
        <v>74</v>
      </c>
      <c r="D23" t="s">
        <v>15</v>
      </c>
      <c r="E23" t="s">
        <v>3</v>
      </c>
      <c r="J23" s="22">
        <f t="shared" si="0"/>
        <v>88.555239119866428</v>
      </c>
      <c r="K23" s="12">
        <f t="shared" si="10"/>
        <v>30.376694132617104</v>
      </c>
      <c r="L23">
        <f t="shared" si="4"/>
        <v>23.301085999999998</v>
      </c>
      <c r="O23">
        <f t="shared" si="5"/>
        <v>53.677780132617102</v>
      </c>
      <c r="P23" s="14">
        <f t="shared" si="6"/>
        <v>4.7332166019358932E-4</v>
      </c>
      <c r="Q23" s="23">
        <f t="shared" si="7"/>
        <v>7.0500919575944856</v>
      </c>
      <c r="R23" s="23">
        <f t="shared" si="8"/>
        <v>0.69163789629298889</v>
      </c>
      <c r="T23" s="4"/>
      <c r="U23" s="4"/>
      <c r="V23" s="4"/>
      <c r="X23" s="4"/>
      <c r="Y23" s="4"/>
      <c r="Z23" s="4"/>
      <c r="AA23" s="4"/>
      <c r="AB23" s="4"/>
      <c r="AG23">
        <v>0.12544900716549359</v>
      </c>
      <c r="AH23">
        <v>0.39209918832815954</v>
      </c>
      <c r="AI23">
        <f t="shared" si="9"/>
        <v>0.16489999999999999</v>
      </c>
      <c r="AK23">
        <v>2.6738426945293221E-3</v>
      </c>
      <c r="AL23">
        <v>0.6344505785038036</v>
      </c>
      <c r="AM23">
        <v>0.22627601958957613</v>
      </c>
      <c r="AO23">
        <v>0.1653</v>
      </c>
      <c r="AP23">
        <v>0.16450000000000001</v>
      </c>
      <c r="AR23">
        <v>0.1244</v>
      </c>
      <c r="AS23">
        <v>0.12909999999999999</v>
      </c>
      <c r="AT23">
        <v>0.1235</v>
      </c>
    </row>
    <row r="24" spans="1:47" x14ac:dyDescent="0.2">
      <c r="A24" s="9" t="s">
        <v>61</v>
      </c>
      <c r="B24">
        <v>0</v>
      </c>
      <c r="C24" t="s">
        <v>74</v>
      </c>
      <c r="D24" t="s">
        <v>15</v>
      </c>
      <c r="E24" t="s">
        <v>3</v>
      </c>
      <c r="J24" s="22">
        <f t="shared" si="0"/>
        <v>89.395199799078597</v>
      </c>
      <c r="K24" s="12">
        <f t="shared" si="10"/>
        <v>30.723071431664842</v>
      </c>
      <c r="L24">
        <f t="shared" si="4"/>
        <v>25.524499999999996</v>
      </c>
      <c r="O24">
        <f t="shared" si="5"/>
        <v>56.247571431664838</v>
      </c>
      <c r="P24" s="14">
        <f t="shared" si="6"/>
        <v>4.5381936085703436E-4</v>
      </c>
      <c r="Q24" s="23">
        <f t="shared" si="7"/>
        <v>7.2514160079545604</v>
      </c>
      <c r="R24" s="23">
        <f t="shared" si="8"/>
        <v>0.65877257116529897</v>
      </c>
      <c r="V24" s="4"/>
      <c r="X24" s="4"/>
      <c r="Y24" s="4"/>
      <c r="Z24" s="4"/>
      <c r="AA24" s="4"/>
      <c r="AB24" s="4"/>
      <c r="AG24">
        <v>0.12611817583993262</v>
      </c>
      <c r="AH24">
        <v>0.39504720568249574</v>
      </c>
      <c r="AI24">
        <f t="shared" si="9"/>
        <v>0.17499999999999999</v>
      </c>
      <c r="AK24">
        <v>2.658829377103183E-3</v>
      </c>
      <c r="AL24">
        <v>0.65336490116070656</v>
      </c>
      <c r="AM24">
        <v>0.21626220937394852</v>
      </c>
      <c r="AO24">
        <v>0.18</v>
      </c>
      <c r="AP24">
        <v>0.17</v>
      </c>
      <c r="AR24">
        <v>0.18659999999999999</v>
      </c>
      <c r="AS24">
        <v>0.14860000000000001</v>
      </c>
      <c r="AT24">
        <v>0.13800000000000001</v>
      </c>
    </row>
    <row r="25" spans="1:47" s="5" customFormat="1" x14ac:dyDescent="0.2">
      <c r="A25" s="13" t="s">
        <v>62</v>
      </c>
      <c r="B25" s="5">
        <v>0</v>
      </c>
      <c r="C25" t="s">
        <v>74</v>
      </c>
      <c r="D25" s="5" t="s">
        <v>15</v>
      </c>
      <c r="E25" t="s">
        <v>3</v>
      </c>
      <c r="J25" s="22">
        <f t="shared" si="0"/>
        <v>88.975219459472527</v>
      </c>
      <c r="K25" s="12">
        <f t="shared" si="10"/>
        <v>31.580154243699571</v>
      </c>
      <c r="L25">
        <f t="shared" si="4"/>
        <v>25.172276</v>
      </c>
      <c r="M25"/>
      <c r="O25">
        <f t="shared" si="5"/>
        <v>56.752430243699571</v>
      </c>
      <c r="P25" s="14">
        <f t="shared" si="6"/>
        <v>0.20986457259444127</v>
      </c>
      <c r="Q25" s="23">
        <f t="shared" si="7"/>
        <v>7.5685452334723156</v>
      </c>
      <c r="R25" s="23">
        <f t="shared" si="8"/>
        <v>1.3143971971896957</v>
      </c>
      <c r="V25" s="6"/>
      <c r="X25" s="4"/>
      <c r="Y25" s="6"/>
      <c r="Z25" s="6"/>
      <c r="AA25" s="6"/>
      <c r="AB25" s="6"/>
      <c r="AG25" s="11">
        <f>AVERAGE(AG23:AG24)</f>
        <v>0.12578359150271312</v>
      </c>
      <c r="AH25" s="5">
        <v>0.40234183789692818</v>
      </c>
      <c r="AI25">
        <f t="shared" si="9"/>
        <v>0.1734</v>
      </c>
      <c r="AK25" s="5">
        <v>0.16386803125053218</v>
      </c>
      <c r="AL25" s="5">
        <v>0.68315907868022496</v>
      </c>
      <c r="AM25">
        <v>0.41602595892434358</v>
      </c>
      <c r="AN25"/>
      <c r="AO25" s="5">
        <v>0.17100000000000001</v>
      </c>
      <c r="AP25" s="5">
        <v>0.17580000000000001</v>
      </c>
      <c r="AR25">
        <v>0.14219999999999999</v>
      </c>
      <c r="AS25">
        <v>0.1203</v>
      </c>
      <c r="AT25">
        <v>0.13100000000000001</v>
      </c>
    </row>
    <row r="26" spans="1:47" s="5" customFormat="1" x14ac:dyDescent="0.2">
      <c r="A26" s="9" t="s">
        <v>63</v>
      </c>
      <c r="B26">
        <v>0</v>
      </c>
      <c r="C26" t="s">
        <v>76</v>
      </c>
      <c r="D26" t="s">
        <v>14</v>
      </c>
      <c r="E26" t="s">
        <v>3</v>
      </c>
      <c r="J26" s="22">
        <f t="shared" si="0"/>
        <v>101.00216876840896</v>
      </c>
      <c r="K26" s="12">
        <f t="shared" si="10"/>
        <v>30.097168748198705</v>
      </c>
      <c r="L26">
        <f>(11.007*AI26-0.65)*20</f>
        <v>11.402518999999998</v>
      </c>
      <c r="M26"/>
      <c r="O26">
        <f t="shared" si="5"/>
        <v>41.499687748198703</v>
      </c>
      <c r="P26" s="14">
        <f t="shared" si="6"/>
        <v>2.3032567343200896E-3</v>
      </c>
      <c r="Q26" s="23">
        <f t="shared" si="7"/>
        <v>7.0299469626754787</v>
      </c>
      <c r="R26" s="23">
        <f t="shared" si="8"/>
        <v>0.69858458341273233</v>
      </c>
      <c r="V26" s="6"/>
      <c r="X26" s="4"/>
      <c r="Y26" s="4"/>
      <c r="Z26" s="4"/>
      <c r="AA26" s="6"/>
      <c r="AB26" s="6"/>
      <c r="AG26">
        <v>0.13536506111883248</v>
      </c>
      <c r="AH26">
        <v>0.38972014765052732</v>
      </c>
      <c r="AI26">
        <f t="shared" si="9"/>
        <v>0.11085</v>
      </c>
      <c r="AJ26"/>
      <c r="AK26">
        <v>4.0825686946267051E-3</v>
      </c>
      <c r="AL26">
        <v>0.63255796342310022</v>
      </c>
      <c r="AM26">
        <v>0.22839262139327615</v>
      </c>
      <c r="AN26"/>
      <c r="AO26">
        <v>0.1062</v>
      </c>
      <c r="AP26">
        <v>0.11550000000000001</v>
      </c>
      <c r="AQ26"/>
      <c r="AR26">
        <v>0.1226</v>
      </c>
      <c r="AS26">
        <v>0.1235</v>
      </c>
      <c r="AT26">
        <v>0.19939999999999999</v>
      </c>
      <c r="AU26"/>
    </row>
    <row r="27" spans="1:47" s="5" customFormat="1" x14ac:dyDescent="0.2">
      <c r="A27" s="9" t="s">
        <v>64</v>
      </c>
      <c r="B27">
        <v>0</v>
      </c>
      <c r="C27" t="s">
        <v>76</v>
      </c>
      <c r="D27" t="s">
        <v>14</v>
      </c>
      <c r="E27" t="s">
        <v>3</v>
      </c>
      <c r="J27" s="22">
        <f t="shared" si="0"/>
        <v>98.267085697525218</v>
      </c>
      <c r="K27" s="12">
        <f t="shared" si="10"/>
        <v>30.487401689176835</v>
      </c>
      <c r="L27">
        <f t="shared" si="4"/>
        <v>21.473923999999993</v>
      </c>
      <c r="M27"/>
      <c r="O27">
        <f t="shared" si="5"/>
        <v>51.961325689176832</v>
      </c>
      <c r="P27" s="14">
        <f t="shared" si="6"/>
        <v>1.9571336652700238E-3</v>
      </c>
      <c r="Q27" s="23">
        <f t="shared" si="7"/>
        <v>7.1921291242330225</v>
      </c>
      <c r="R27" s="23">
        <f t="shared" si="8"/>
        <v>0.66923564424345205</v>
      </c>
      <c r="V27" s="6"/>
      <c r="X27" s="4"/>
      <c r="Y27" s="4"/>
      <c r="Z27" s="4"/>
      <c r="AA27" s="6"/>
      <c r="AB27" s="6"/>
      <c r="AG27">
        <v>0.1331861116056951</v>
      </c>
      <c r="AH27">
        <v>0.39304142039386214</v>
      </c>
      <c r="AI27">
        <f t="shared" si="9"/>
        <v>0.15659999999999999</v>
      </c>
      <c r="AJ27"/>
      <c r="AK27">
        <v>3.8161152157582942E-3</v>
      </c>
      <c r="AL27">
        <v>0.647794919600998</v>
      </c>
      <c r="AM27">
        <v>0.21945022676522002</v>
      </c>
      <c r="AN27"/>
      <c r="AO27">
        <v>0.15179999999999999</v>
      </c>
      <c r="AP27">
        <v>0.16139999999999999</v>
      </c>
      <c r="AQ27"/>
      <c r="AR27">
        <v>0.1217</v>
      </c>
      <c r="AS27">
        <v>0.1236</v>
      </c>
      <c r="AT27">
        <v>0.12740000000000001</v>
      </c>
      <c r="AU27"/>
    </row>
    <row r="28" spans="1:47" s="5" customFormat="1" x14ac:dyDescent="0.2">
      <c r="A28" s="9" t="s">
        <v>65</v>
      </c>
      <c r="B28">
        <v>0</v>
      </c>
      <c r="C28" t="s">
        <v>76</v>
      </c>
      <c r="D28" t="s">
        <v>14</v>
      </c>
      <c r="E28" t="s">
        <v>3</v>
      </c>
      <c r="J28" s="22">
        <f t="shared" si="0"/>
        <v>95.809534250540011</v>
      </c>
      <c r="K28" s="12">
        <f t="shared" si="10"/>
        <v>30.141734206642369</v>
      </c>
      <c r="L28">
        <f t="shared" si="4"/>
        <v>19.954957999999998</v>
      </c>
      <c r="M28"/>
      <c r="O28">
        <f t="shared" si="5"/>
        <v>50.096692206642366</v>
      </c>
      <c r="P28" s="14">
        <f t="shared" si="6"/>
        <v>2.8664886715229474E-3</v>
      </c>
      <c r="Q28" s="23">
        <f t="shared" si="7"/>
        <v>7.265783233029433</v>
      </c>
      <c r="R28" s="23">
        <f t="shared" si="8"/>
        <v>0.66026767229677352</v>
      </c>
      <c r="V28" s="6"/>
      <c r="X28" s="4"/>
      <c r="Y28" s="4"/>
      <c r="Z28" s="4"/>
      <c r="AA28" s="6"/>
      <c r="AB28" s="6"/>
      <c r="AG28">
        <v>0.13122826228626355</v>
      </c>
      <c r="AH28">
        <v>0.39009944428820265</v>
      </c>
      <c r="AI28">
        <f t="shared" si="9"/>
        <v>0.1497</v>
      </c>
      <c r="AJ28"/>
      <c r="AK28">
        <v>4.5161575608336779E-3</v>
      </c>
      <c r="AL28">
        <v>0.65471469682726724</v>
      </c>
      <c r="AM28">
        <v>0.21671775511784691</v>
      </c>
      <c r="AN28"/>
      <c r="AO28">
        <v>0.16009999999999999</v>
      </c>
      <c r="AP28">
        <v>0.13930000000000001</v>
      </c>
      <c r="AQ28"/>
      <c r="AR28">
        <v>0.1221</v>
      </c>
      <c r="AS28">
        <v>0.124</v>
      </c>
      <c r="AT28">
        <v>0.12659999999999999</v>
      </c>
      <c r="AU28"/>
    </row>
    <row r="29" spans="1:47" x14ac:dyDescent="0.2">
      <c r="A29" s="9" t="s">
        <v>66</v>
      </c>
      <c r="B29">
        <v>0</v>
      </c>
      <c r="C29" t="s">
        <v>76</v>
      </c>
      <c r="D29" t="s">
        <v>15</v>
      </c>
      <c r="E29" t="s">
        <v>3</v>
      </c>
      <c r="J29" s="22">
        <f t="shared" si="0"/>
        <v>96.928406922138564</v>
      </c>
      <c r="K29" s="12">
        <f t="shared" ref="K29:K92" si="11">(3.9165*AH29-0.5231)*30</f>
        <v>30.697713304306099</v>
      </c>
      <c r="L29">
        <f>(11.007*AI29-0.65)*20</f>
        <v>15.409066999999997</v>
      </c>
      <c r="O29">
        <f t="shared" si="5"/>
        <v>46.106780304306099</v>
      </c>
      <c r="P29" s="14">
        <f t="shared" si="6"/>
        <v>3.1997814664019865E-3</v>
      </c>
      <c r="Q29" s="23">
        <f t="shared" si="7"/>
        <v>7.3389299761217073</v>
      </c>
      <c r="R29" s="23">
        <f t="shared" si="8"/>
        <v>0.65914849725867242</v>
      </c>
      <c r="V29" s="4"/>
      <c r="X29" s="4"/>
      <c r="Y29" s="4"/>
      <c r="Z29" s="4"/>
      <c r="AA29" s="4"/>
      <c r="AB29" s="4"/>
      <c r="AG29">
        <v>0.1321196308479704</v>
      </c>
      <c r="AH29">
        <v>0.39483138264867523</v>
      </c>
      <c r="AI29">
        <f t="shared" si="9"/>
        <v>0.12905</v>
      </c>
      <c r="AK29">
        <v>4.7727340003094589E-3</v>
      </c>
      <c r="AL29">
        <v>0.66158680722676688</v>
      </c>
      <c r="AM29">
        <v>0.21637675114523838</v>
      </c>
      <c r="AO29">
        <v>0.12529999999999999</v>
      </c>
      <c r="AP29">
        <v>0.1328</v>
      </c>
      <c r="AR29">
        <v>0.12139999999999999</v>
      </c>
      <c r="AS29">
        <v>0.1222</v>
      </c>
      <c r="AT29">
        <v>0.1198</v>
      </c>
    </row>
    <row r="30" spans="1:47" x14ac:dyDescent="0.2">
      <c r="A30" s="9" t="s">
        <v>67</v>
      </c>
      <c r="B30">
        <v>0</v>
      </c>
      <c r="C30" t="s">
        <v>76</v>
      </c>
      <c r="D30" t="s">
        <v>15</v>
      </c>
      <c r="E30" t="s">
        <v>3</v>
      </c>
      <c r="J30" s="22">
        <f t="shared" si="0"/>
        <v>97.621851677942175</v>
      </c>
      <c r="K30" s="12">
        <f t="shared" si="11"/>
        <v>30.53418503663935</v>
      </c>
      <c r="L30">
        <f t="shared" si="4"/>
        <v>23.279072000000003</v>
      </c>
      <c r="O30">
        <f t="shared" si="5"/>
        <v>53.813257036639357</v>
      </c>
      <c r="P30" s="14">
        <f t="shared" si="6"/>
        <v>2.219829067434554E-3</v>
      </c>
      <c r="Q30" s="23">
        <f t="shared" si="7"/>
        <v>7.3446526221829345</v>
      </c>
      <c r="R30" s="23">
        <f t="shared" si="8"/>
        <v>0.66836042432381448</v>
      </c>
      <c r="T30" s="4"/>
      <c r="U30" s="4"/>
      <c r="V30" s="4"/>
      <c r="X30" s="4"/>
      <c r="Y30" s="4"/>
      <c r="Z30" s="4"/>
      <c r="AA30" s="4"/>
      <c r="AB30" s="4"/>
      <c r="AG30">
        <v>0.13267207517009394</v>
      </c>
      <c r="AH30">
        <v>0.39343959348601515</v>
      </c>
      <c r="AI30">
        <f t="shared" si="9"/>
        <v>0.1648</v>
      </c>
      <c r="AK30">
        <v>4.0183441627671705E-3</v>
      </c>
      <c r="AL30">
        <v>0.66212444778118518</v>
      </c>
      <c r="AM30">
        <v>0.21918355402919393</v>
      </c>
      <c r="AO30">
        <v>0.1666</v>
      </c>
      <c r="AP30">
        <v>0.16300000000000001</v>
      </c>
      <c r="AR30">
        <v>0.12139999999999999</v>
      </c>
      <c r="AS30">
        <v>0.1245</v>
      </c>
      <c r="AT30">
        <v>0.1221</v>
      </c>
    </row>
    <row r="31" spans="1:47" s="5" customFormat="1" x14ac:dyDescent="0.2">
      <c r="A31" s="13" t="s">
        <v>68</v>
      </c>
      <c r="B31" s="5">
        <v>0</v>
      </c>
      <c r="C31" t="s">
        <v>76</v>
      </c>
      <c r="D31" s="5" t="s">
        <v>15</v>
      </c>
      <c r="E31" t="s">
        <v>3</v>
      </c>
      <c r="J31" s="22">
        <f t="shared" si="0"/>
        <v>97.275129300040376</v>
      </c>
      <c r="K31" s="26">
        <f t="shared" si="11"/>
        <v>33.572391915005866</v>
      </c>
      <c r="L31">
        <f t="shared" si="4"/>
        <v>16.190563999999995</v>
      </c>
      <c r="M31"/>
      <c r="O31">
        <f t="shared" si="5"/>
        <v>49.762955915005861</v>
      </c>
      <c r="P31" s="14">
        <f t="shared" si="6"/>
        <v>-4.6630578378054467E-5</v>
      </c>
      <c r="Q31" s="23">
        <f t="shared" si="7"/>
        <v>8.0436854151147568</v>
      </c>
      <c r="R31" s="23">
        <f t="shared" si="8"/>
        <v>0.71861295115431267</v>
      </c>
      <c r="V31" s="6"/>
      <c r="X31" s="4"/>
      <c r="Y31" s="6"/>
      <c r="Z31" s="6"/>
      <c r="AA31" s="6"/>
      <c r="AB31" s="6"/>
      <c r="AG31" s="5">
        <f>AVERAGE(AG29:AG30)</f>
        <v>0.13239585300903217</v>
      </c>
      <c r="AH31" s="5">
        <v>0.41929777364999243</v>
      </c>
      <c r="AI31">
        <f t="shared" si="9"/>
        <v>0.1326</v>
      </c>
      <c r="AK31" s="5">
        <v>2.273571533196263E-3</v>
      </c>
      <c r="AL31">
        <v>0.72779832911638076</v>
      </c>
      <c r="AM31">
        <v>0.23449511004092402</v>
      </c>
      <c r="AN31"/>
      <c r="AO31" s="5">
        <v>0.1336</v>
      </c>
      <c r="AP31" s="5">
        <v>0.13159999999999999</v>
      </c>
      <c r="AQ31"/>
      <c r="AR31">
        <v>0.1229</v>
      </c>
      <c r="AS31">
        <v>0.20319999999999999</v>
      </c>
      <c r="AT31">
        <v>0.1229</v>
      </c>
      <c r="AU31"/>
    </row>
    <row r="32" spans="1:47" x14ac:dyDescent="0.2">
      <c r="A32" s="9" t="s">
        <v>69</v>
      </c>
      <c r="B32">
        <v>48</v>
      </c>
      <c r="C32" t="s">
        <v>19</v>
      </c>
      <c r="D32" t="s">
        <v>14</v>
      </c>
      <c r="E32" t="s">
        <v>75</v>
      </c>
      <c r="J32" s="22">
        <f t="shared" si="0"/>
        <v>92.216952229452303</v>
      </c>
      <c r="K32" s="12">
        <f t="shared" si="11"/>
        <v>-0.78460052659450219</v>
      </c>
      <c r="L32">
        <f t="shared" si="4"/>
        <v>30.301538000000001</v>
      </c>
      <c r="O32">
        <f t="shared" si="5"/>
        <v>29.516937473405498</v>
      </c>
      <c r="P32" s="14">
        <f t="shared" si="6"/>
        <v>6.9270166829465928E-3</v>
      </c>
      <c r="Q32" s="23">
        <f t="shared" si="7"/>
        <v>6.9519651684372343</v>
      </c>
      <c r="R32" s="23">
        <f t="shared" si="8"/>
        <v>0.66415103935229081</v>
      </c>
      <c r="T32" s="4"/>
      <c r="U32" s="4"/>
      <c r="V32" s="4"/>
      <c r="X32" s="4"/>
      <c r="Y32" s="4"/>
      <c r="Z32" s="4"/>
      <c r="AA32" s="4"/>
      <c r="AB32" s="4"/>
      <c r="AG32">
        <v>0.12836617194279701</v>
      </c>
      <c r="AH32" s="32">
        <v>0.12688539489685091</v>
      </c>
      <c r="AI32">
        <f t="shared" si="9"/>
        <v>0.19669999999999999</v>
      </c>
      <c r="AK32">
        <v>7.6420451754785164E-3</v>
      </c>
      <c r="AL32">
        <v>0.6252316016945918</v>
      </c>
      <c r="AM32">
        <v>0.21790098700557306</v>
      </c>
      <c r="AO32">
        <v>0.19639999999999999</v>
      </c>
      <c r="AP32">
        <v>0.19700000000000001</v>
      </c>
    </row>
    <row r="33" spans="1:42" x14ac:dyDescent="0.2">
      <c r="A33" s="9" t="s">
        <v>48</v>
      </c>
      <c r="B33">
        <v>48</v>
      </c>
      <c r="C33" t="s">
        <v>19</v>
      </c>
      <c r="D33" t="s">
        <v>14</v>
      </c>
      <c r="E33" t="s">
        <v>75</v>
      </c>
      <c r="J33" s="22">
        <f t="shared" si="0"/>
        <v>88.213116684088462</v>
      </c>
      <c r="K33" s="12">
        <f t="shared" si="11"/>
        <v>-3.9434999999999985</v>
      </c>
      <c r="L33">
        <f t="shared" si="4"/>
        <v>27.428711000000003</v>
      </c>
      <c r="O33">
        <f t="shared" si="5"/>
        <v>23.485211000000007</v>
      </c>
      <c r="P33" s="14">
        <f t="shared" si="6"/>
        <v>1.3427617401965219E-2</v>
      </c>
      <c r="Q33" s="23">
        <f t="shared" si="7"/>
        <v>7.0515705396531727</v>
      </c>
      <c r="R33" s="23">
        <f t="shared" si="8"/>
        <v>0.68281841657121256</v>
      </c>
      <c r="V33" s="4"/>
      <c r="X33" s="4"/>
      <c r="Y33" s="4"/>
      <c r="Z33" s="4"/>
      <c r="AA33" s="4"/>
      <c r="AB33" s="4"/>
      <c r="AG33">
        <v>0.12517644962499047</v>
      </c>
      <c r="AH33" s="32">
        <v>0.1</v>
      </c>
      <c r="AI33">
        <f t="shared" si="9"/>
        <v>0.18365000000000001</v>
      </c>
      <c r="AK33">
        <v>1.2646356737463603E-2</v>
      </c>
      <c r="AL33">
        <v>0.63458949076035076</v>
      </c>
      <c r="AM33">
        <v>0.22358879237392218</v>
      </c>
      <c r="AO33">
        <v>0.18260000000000001</v>
      </c>
      <c r="AP33">
        <v>0.1847</v>
      </c>
    </row>
    <row r="34" spans="1:42" x14ac:dyDescent="0.2">
      <c r="A34" s="9" t="s">
        <v>49</v>
      </c>
      <c r="B34">
        <v>48</v>
      </c>
      <c r="C34" t="s">
        <v>19</v>
      </c>
      <c r="D34" t="s">
        <v>14</v>
      </c>
      <c r="E34" t="s">
        <v>75</v>
      </c>
      <c r="J34" s="22">
        <f t="shared" ref="J34:J65" si="12">30*(AG34-0.0549)/0.0239</f>
        <v>91.18148840096363</v>
      </c>
      <c r="K34" s="12">
        <f t="shared" si="11"/>
        <v>-10.77967864246188</v>
      </c>
      <c r="L34">
        <f t="shared" si="4"/>
        <v>26.063843000000002</v>
      </c>
      <c r="O34">
        <f t="shared" si="5"/>
        <v>15.284164357538122</v>
      </c>
      <c r="P34" s="14">
        <f t="shared" si="6"/>
        <v>4.3288521010469245E-3</v>
      </c>
      <c r="Q34" s="23">
        <f t="shared" si="7"/>
        <v>6.9966131954914079</v>
      </c>
      <c r="R34" s="23">
        <f t="shared" si="8"/>
        <v>0.71192338456935411</v>
      </c>
      <c r="V34" s="4"/>
      <c r="X34" s="4"/>
      <c r="Y34" s="4"/>
      <c r="Z34" s="4"/>
      <c r="AA34" s="4"/>
      <c r="AB34" s="4"/>
      <c r="AG34">
        <v>0.12754125242610104</v>
      </c>
      <c r="AH34" s="32">
        <v>4.1817280373957363E-2</v>
      </c>
      <c r="AI34">
        <f t="shared" si="9"/>
        <v>0.17745</v>
      </c>
      <c r="AK34">
        <v>5.6419184765565235E-3</v>
      </c>
      <c r="AL34">
        <v>0.62942626789659983</v>
      </c>
      <c r="AM34">
        <v>0.23245685087426998</v>
      </c>
      <c r="AO34">
        <v>0.1782</v>
      </c>
      <c r="AP34">
        <v>0.1767</v>
      </c>
    </row>
    <row r="35" spans="1:42" x14ac:dyDescent="0.2">
      <c r="A35" s="9" t="s">
        <v>50</v>
      </c>
      <c r="B35">
        <v>48</v>
      </c>
      <c r="C35" t="s">
        <v>20</v>
      </c>
      <c r="D35" t="s">
        <v>14</v>
      </c>
      <c r="E35" t="s">
        <v>75</v>
      </c>
      <c r="J35" s="22">
        <f t="shared" si="12"/>
        <v>93.92326330297702</v>
      </c>
      <c r="K35" s="12">
        <f t="shared" si="11"/>
        <v>-6.1916215667251473E-2</v>
      </c>
      <c r="L35">
        <f t="shared" si="4"/>
        <v>23.334106999999999</v>
      </c>
      <c r="O35">
        <f t="shared" si="5"/>
        <v>23.272190784332746</v>
      </c>
      <c r="P35" s="14">
        <f t="shared" si="6"/>
        <v>3.2732094520724264E-4</v>
      </c>
      <c r="Q35" s="23">
        <f t="shared" si="7"/>
        <v>7.2069003302750376</v>
      </c>
      <c r="R35" s="23">
        <f t="shared" si="8"/>
        <v>0.66560979365725259</v>
      </c>
      <c r="T35" s="4"/>
      <c r="U35" s="4"/>
      <c r="V35" s="4"/>
      <c r="X35" s="4"/>
      <c r="Y35" s="4"/>
      <c r="Z35" s="4"/>
      <c r="AA35" s="4"/>
      <c r="AB35" s="4"/>
      <c r="AG35">
        <v>0.12972553309803836</v>
      </c>
      <c r="AH35" s="32">
        <v>0.13303616140544489</v>
      </c>
      <c r="AI35">
        <f t="shared" si="9"/>
        <v>0.16505</v>
      </c>
      <c r="AK35">
        <v>2.5614479947707798E-3</v>
      </c>
      <c r="AL35">
        <v>0.64918266913519707</v>
      </c>
      <c r="AM35">
        <v>0.21834545815272779</v>
      </c>
      <c r="AO35">
        <v>0.16500000000000001</v>
      </c>
      <c r="AP35">
        <v>0.1651</v>
      </c>
    </row>
    <row r="36" spans="1:42" x14ac:dyDescent="0.2">
      <c r="A36" s="9" t="s">
        <v>51</v>
      </c>
      <c r="B36">
        <v>48</v>
      </c>
      <c r="C36" t="s">
        <v>20</v>
      </c>
      <c r="D36" t="s">
        <v>14</v>
      </c>
      <c r="E36" t="s">
        <v>75</v>
      </c>
      <c r="J36" s="22">
        <f t="shared" si="12"/>
        <v>100.86377780007189</v>
      </c>
      <c r="K36" s="12">
        <f t="shared" si="11"/>
        <v>-3.9434999999999985</v>
      </c>
      <c r="L36">
        <f t="shared" si="4"/>
        <v>22.288442000000003</v>
      </c>
      <c r="O36">
        <f t="shared" si="5"/>
        <v>18.344942000000003</v>
      </c>
      <c r="P36" s="14">
        <f t="shared" si="6"/>
        <v>2.5438956430570605E-4</v>
      </c>
      <c r="Q36" s="23">
        <f t="shared" si="7"/>
        <v>7.1787638397832856</v>
      </c>
      <c r="R36" s="23">
        <f t="shared" si="8"/>
        <v>0.66370566425974464</v>
      </c>
      <c r="V36" s="4"/>
      <c r="X36" s="4"/>
      <c r="Y36" s="4"/>
      <c r="Z36" s="4"/>
      <c r="AA36" s="4"/>
      <c r="AB36" s="4"/>
      <c r="AG36">
        <v>0.13525480964739062</v>
      </c>
      <c r="AH36" s="32">
        <v>0.1</v>
      </c>
      <c r="AI36">
        <f t="shared" si="9"/>
        <v>0.1603</v>
      </c>
      <c r="AK36">
        <v>2.5053037446541235E-3</v>
      </c>
      <c r="AL36">
        <v>0.64653925589846728</v>
      </c>
      <c r="AM36">
        <v>0.2177652846617138</v>
      </c>
      <c r="AO36">
        <v>0.15920000000000001</v>
      </c>
      <c r="AP36">
        <v>0.16139999999999999</v>
      </c>
    </row>
    <row r="37" spans="1:42" x14ac:dyDescent="0.2">
      <c r="A37" s="9" t="s">
        <v>52</v>
      </c>
      <c r="B37">
        <v>48</v>
      </c>
      <c r="C37" t="s">
        <v>20</v>
      </c>
      <c r="D37" t="s">
        <v>14</v>
      </c>
      <c r="E37" t="s">
        <v>75</v>
      </c>
      <c r="J37" s="22">
        <f t="shared" si="12"/>
        <v>93.544860392935192</v>
      </c>
      <c r="K37" s="12">
        <f t="shared" si="11"/>
        <v>-6.871428094541332E-2</v>
      </c>
      <c r="L37">
        <f t="shared" si="4"/>
        <v>27.153536000000003</v>
      </c>
      <c r="O37">
        <f t="shared" si="5"/>
        <v>27.084821719054588</v>
      </c>
      <c r="P37" s="14">
        <f t="shared" si="6"/>
        <v>-6.7119689623645331E-4</v>
      </c>
      <c r="Q37" s="23">
        <f t="shared" si="7"/>
        <v>7.3368125263019586</v>
      </c>
      <c r="R37" s="23">
        <f t="shared" si="8"/>
        <v>0.66430977484296527</v>
      </c>
      <c r="V37" s="4"/>
      <c r="X37" s="4"/>
      <c r="Y37" s="4"/>
      <c r="Z37" s="4"/>
      <c r="AA37" s="4"/>
      <c r="AB37" s="4"/>
      <c r="AG37">
        <v>0.12942407211303839</v>
      </c>
      <c r="AH37" s="32">
        <v>0.13297830306868025</v>
      </c>
      <c r="AI37">
        <f t="shared" si="9"/>
        <v>0.18240000000000001</v>
      </c>
      <c r="AK37">
        <v>1.7927660537055787E-3</v>
      </c>
      <c r="AL37">
        <v>0.66138787357214945</v>
      </c>
      <c r="AM37">
        <v>0.21794935248109851</v>
      </c>
      <c r="AO37">
        <v>0.18229999999999999</v>
      </c>
      <c r="AP37">
        <v>0.1825</v>
      </c>
    </row>
    <row r="38" spans="1:42" x14ac:dyDescent="0.2">
      <c r="A38" s="9" t="s">
        <v>53</v>
      </c>
      <c r="B38">
        <v>48</v>
      </c>
      <c r="C38" t="s">
        <v>74</v>
      </c>
      <c r="D38" t="s">
        <v>14</v>
      </c>
      <c r="E38" t="s">
        <v>75</v>
      </c>
      <c r="J38" s="22">
        <f t="shared" si="12"/>
        <v>91.2124940715848</v>
      </c>
      <c r="K38" s="12">
        <f t="shared" si="11"/>
        <v>0.7741143436349085</v>
      </c>
      <c r="L38">
        <f t="shared" si="4"/>
        <v>27.362669000000004</v>
      </c>
      <c r="O38">
        <f t="shared" si="5"/>
        <v>28.136783343634914</v>
      </c>
      <c r="P38" s="14">
        <f t="shared" si="6"/>
        <v>2.1194335368031808E-4</v>
      </c>
      <c r="Q38" s="23">
        <f t="shared" si="7"/>
        <v>7.3501957519336276</v>
      </c>
      <c r="R38" s="23">
        <f t="shared" si="8"/>
        <v>0.67501413290184298</v>
      </c>
      <c r="V38" s="4"/>
      <c r="X38" s="4"/>
      <c r="Y38" s="4"/>
      <c r="Z38" s="4"/>
      <c r="AA38" s="4"/>
      <c r="AB38" s="4"/>
      <c r="AG38">
        <v>0.12756595361036258</v>
      </c>
      <c r="AH38" s="32">
        <v>0.14015161788701569</v>
      </c>
      <c r="AI38">
        <f t="shared" si="9"/>
        <v>0.18335000000000001</v>
      </c>
      <c r="AK38">
        <v>2.4726276779679125E-3</v>
      </c>
      <c r="AL38">
        <v>0.66264522284231753</v>
      </c>
      <c r="AM38">
        <v>0.22121088753864807</v>
      </c>
      <c r="AO38">
        <v>0.1946</v>
      </c>
      <c r="AP38">
        <v>0.1721</v>
      </c>
    </row>
    <row r="39" spans="1:42" x14ac:dyDescent="0.2">
      <c r="A39" s="9" t="s">
        <v>54</v>
      </c>
      <c r="B39">
        <v>48</v>
      </c>
      <c r="C39" t="s">
        <v>74</v>
      </c>
      <c r="D39" t="s">
        <v>14</v>
      </c>
      <c r="E39" t="s">
        <v>75</v>
      </c>
      <c r="J39" s="22">
        <f t="shared" si="12"/>
        <v>102.43377909498992</v>
      </c>
      <c r="K39" s="12">
        <f t="shared" si="11"/>
        <v>-2.822672966480086</v>
      </c>
      <c r="L39">
        <f t="shared" si="4"/>
        <v>27.076487</v>
      </c>
      <c r="O39">
        <f t="shared" si="5"/>
        <v>24.253814033519916</v>
      </c>
      <c r="P39" s="14">
        <f t="shared" si="6"/>
        <v>2.209187261287378E-4</v>
      </c>
      <c r="Q39" s="23">
        <f t="shared" si="7"/>
        <v>7.1809440997056821</v>
      </c>
      <c r="R39" s="23">
        <f t="shared" si="8"/>
        <v>0.71203042946081063</v>
      </c>
      <c r="T39" s="4"/>
      <c r="U39" s="4"/>
      <c r="V39" s="4"/>
      <c r="X39" s="4"/>
      <c r="Y39" s="4"/>
      <c r="Z39" s="4"/>
      <c r="AA39" s="4"/>
      <c r="AB39" s="4"/>
      <c r="AG39">
        <v>0.13650557734567531</v>
      </c>
      <c r="AH39" s="32">
        <v>0.10953935940695275</v>
      </c>
      <c r="AI39">
        <f t="shared" si="9"/>
        <v>0.18204999999999999</v>
      </c>
      <c r="AK39">
        <v>2.479537125580245E-3</v>
      </c>
      <c r="AL39">
        <v>0.64674409053980475</v>
      </c>
      <c r="AM39">
        <v>0.23248946662425676</v>
      </c>
      <c r="AO39">
        <v>0.18329999999999999</v>
      </c>
      <c r="AP39">
        <v>0.18079999999999999</v>
      </c>
    </row>
    <row r="40" spans="1:42" x14ac:dyDescent="0.2">
      <c r="A40" s="9" t="s">
        <v>55</v>
      </c>
      <c r="B40">
        <v>48</v>
      </c>
      <c r="C40" t="s">
        <v>74</v>
      </c>
      <c r="D40" t="s">
        <v>14</v>
      </c>
      <c r="E40" t="s">
        <v>75</v>
      </c>
      <c r="J40" s="22">
        <f t="shared" si="12"/>
        <v>99.101772105251939</v>
      </c>
      <c r="K40" s="12">
        <f t="shared" si="11"/>
        <v>8.2443920627848222E-2</v>
      </c>
      <c r="L40">
        <f t="shared" si="4"/>
        <v>24.720988999999996</v>
      </c>
      <c r="O40">
        <f t="shared" si="5"/>
        <v>24.803432920627845</v>
      </c>
      <c r="P40" s="14">
        <f t="shared" si="6"/>
        <v>-4.0072762312730076E-4</v>
      </c>
      <c r="Q40" s="23">
        <f t="shared" si="7"/>
        <v>7.2046694836467999</v>
      </c>
      <c r="R40" s="23">
        <f t="shared" si="8"/>
        <v>0.66611874726342091</v>
      </c>
      <c r="V40" s="4"/>
      <c r="X40" s="4"/>
      <c r="Y40" s="4"/>
      <c r="Z40" s="4"/>
      <c r="AA40" s="4"/>
      <c r="AB40" s="4"/>
      <c r="AG40">
        <v>0.13385107844385072</v>
      </c>
      <c r="AH40" s="32">
        <v>0.13426481059302819</v>
      </c>
      <c r="AI40">
        <f t="shared" si="9"/>
        <v>0.17135</v>
      </c>
      <c r="AK40">
        <v>2.0009795049058502E-3</v>
      </c>
      <c r="AL40">
        <v>0.64897308189090563</v>
      </c>
      <c r="AM40">
        <v>0.21850053237764194</v>
      </c>
      <c r="AO40">
        <v>0.17269999999999999</v>
      </c>
      <c r="AP40">
        <v>0.17</v>
      </c>
    </row>
    <row r="41" spans="1:42" x14ac:dyDescent="0.2">
      <c r="A41" s="9" t="s">
        <v>56</v>
      </c>
      <c r="B41">
        <v>48</v>
      </c>
      <c r="C41" t="s">
        <v>19</v>
      </c>
      <c r="D41" t="s">
        <v>15</v>
      </c>
      <c r="E41" t="s">
        <v>75</v>
      </c>
      <c r="J41" s="22">
        <f t="shared" si="12"/>
        <v>100.23247208424651</v>
      </c>
      <c r="K41" s="12">
        <f t="shared" si="11"/>
        <v>-6.056533029489386E-2</v>
      </c>
      <c r="L41">
        <f t="shared" si="4"/>
        <v>32.546965999999998</v>
      </c>
      <c r="O41">
        <f t="shared" si="5"/>
        <v>32.486400669705105</v>
      </c>
      <c r="P41" s="14">
        <f t="shared" si="6"/>
        <v>1.2866813088884656E-3</v>
      </c>
      <c r="Q41" s="23">
        <f t="shared" si="7"/>
        <v>6.9854291818043297</v>
      </c>
      <c r="R41" s="23">
        <f t="shared" si="8"/>
        <v>0.66561179683383365</v>
      </c>
      <c r="T41" s="4"/>
      <c r="U41" s="4"/>
      <c r="V41" s="4"/>
      <c r="X41" s="4"/>
      <c r="Y41" s="4"/>
      <c r="Z41" s="4"/>
      <c r="AA41" s="4"/>
      <c r="AB41" s="4"/>
      <c r="AG41">
        <v>0.13475186942711639</v>
      </c>
      <c r="AH41" s="32">
        <v>0.13304765879148139</v>
      </c>
      <c r="AI41">
        <f t="shared" si="9"/>
        <v>0.2069</v>
      </c>
      <c r="AK41">
        <v>3.2999856111535536E-3</v>
      </c>
      <c r="AL41">
        <v>0.62837553380348832</v>
      </c>
      <c r="AM41">
        <v>0.21834606850512908</v>
      </c>
      <c r="AO41">
        <v>0.19589999999999999</v>
      </c>
      <c r="AP41">
        <v>0.21790000000000001</v>
      </c>
    </row>
    <row r="42" spans="1:42" x14ac:dyDescent="0.2">
      <c r="A42" s="9" t="s">
        <v>48</v>
      </c>
      <c r="B42">
        <v>48</v>
      </c>
      <c r="C42" t="s">
        <v>19</v>
      </c>
      <c r="D42" t="s">
        <v>15</v>
      </c>
      <c r="E42" t="s">
        <v>75</v>
      </c>
      <c r="J42" s="22">
        <f t="shared" si="12"/>
        <v>98.256177526883334</v>
      </c>
      <c r="K42" s="12">
        <f t="shared" si="11"/>
        <v>-12.388082654767564</v>
      </c>
      <c r="L42">
        <f t="shared" si="4"/>
        <v>25.733632999999998</v>
      </c>
      <c r="O42">
        <f t="shared" si="5"/>
        <v>13.345550345232434</v>
      </c>
      <c r="P42" s="14">
        <f t="shared" si="6"/>
        <v>4.2811872087889608E-4</v>
      </c>
      <c r="Q42" s="23">
        <f t="shared" si="7"/>
        <v>7.0763265375172235</v>
      </c>
      <c r="R42" s="23">
        <f t="shared" si="8"/>
        <v>0.66999548461454095</v>
      </c>
      <c r="V42" s="4"/>
      <c r="X42" s="4"/>
      <c r="Y42" s="4"/>
      <c r="Z42" s="4"/>
      <c r="AA42" s="4"/>
      <c r="AB42" s="4"/>
      <c r="AG42">
        <v>0.13317742142975039</v>
      </c>
      <c r="AH42" s="32">
        <v>2.8128153072321693E-2</v>
      </c>
      <c r="AI42">
        <f t="shared" si="9"/>
        <v>0.17595</v>
      </c>
      <c r="AK42">
        <v>2.6390444348567332E-3</v>
      </c>
      <c r="AL42">
        <v>0.63691530792157303</v>
      </c>
      <c r="AM42">
        <v>0.2196817442457468</v>
      </c>
      <c r="AO42">
        <v>0.17710000000000001</v>
      </c>
      <c r="AP42">
        <v>0.17480000000000001</v>
      </c>
    </row>
    <row r="43" spans="1:42" x14ac:dyDescent="0.2">
      <c r="A43" s="9" t="s">
        <v>49</v>
      </c>
      <c r="B43">
        <v>48</v>
      </c>
      <c r="C43" t="s">
        <v>19</v>
      </c>
      <c r="D43" t="s">
        <v>15</v>
      </c>
      <c r="E43" t="s">
        <v>75</v>
      </c>
      <c r="J43" s="22">
        <f t="shared" si="12"/>
        <v>98.730749687762525</v>
      </c>
      <c r="K43" s="12">
        <f t="shared" si="11"/>
        <v>-12.554143148042428</v>
      </c>
      <c r="L43">
        <f t="shared" si="4"/>
        <v>26.085856999999997</v>
      </c>
      <c r="O43">
        <f t="shared" si="5"/>
        <v>13.531713851957569</v>
      </c>
      <c r="P43" s="14">
        <f t="shared" si="6"/>
        <v>7.9512208169897386E-4</v>
      </c>
      <c r="Q43" s="23">
        <f t="shared" si="7"/>
        <v>6.9908026599460653</v>
      </c>
      <c r="R43" s="23">
        <f t="shared" si="8"/>
        <v>0.66713749308575032</v>
      </c>
      <c r="V43" s="4"/>
      <c r="X43" s="4"/>
      <c r="Y43" s="4"/>
      <c r="Z43" s="4"/>
      <c r="AA43" s="4"/>
      <c r="AB43" s="4"/>
      <c r="AG43">
        <v>0.13355549725125082</v>
      </c>
      <c r="AH43" s="32">
        <v>2.6714812136325566E-2</v>
      </c>
      <c r="AI43">
        <f t="shared" si="9"/>
        <v>0.17754999999999999</v>
      </c>
      <c r="AK43">
        <v>2.9215720413387019E-3</v>
      </c>
      <c r="AL43">
        <v>0.62888037015652631</v>
      </c>
      <c r="AM43">
        <v>0.21881093634544496</v>
      </c>
      <c r="AO43">
        <v>0.18079999999999999</v>
      </c>
      <c r="AP43">
        <v>0.17430000000000001</v>
      </c>
    </row>
    <row r="44" spans="1:42" x14ac:dyDescent="0.2">
      <c r="A44" s="9" t="s">
        <v>50</v>
      </c>
      <c r="B44">
        <v>48</v>
      </c>
      <c r="C44" t="s">
        <v>20</v>
      </c>
      <c r="D44" t="s">
        <v>15</v>
      </c>
      <c r="E44" t="s">
        <v>75</v>
      </c>
      <c r="J44" s="22">
        <f t="shared" si="12"/>
        <v>101.9917139742424</v>
      </c>
      <c r="K44" s="12">
        <f t="shared" si="11"/>
        <v>0.77535841919492476</v>
      </c>
      <c r="L44">
        <f>(11.007*AI44-0.65)*20</f>
        <v>27.439717999999999</v>
      </c>
      <c r="O44">
        <f t="shared" si="5"/>
        <v>28.215076419194922</v>
      </c>
      <c r="P44" s="14">
        <f t="shared" si="6"/>
        <v>1.1082882077822839E-4</v>
      </c>
      <c r="Q44" s="23">
        <f t="shared" si="7"/>
        <v>7.3528203033276318</v>
      </c>
      <c r="R44" s="23">
        <f t="shared" si="8"/>
        <v>0.72639636714835631</v>
      </c>
      <c r="T44" s="4"/>
      <c r="U44" s="4"/>
      <c r="V44" s="4"/>
      <c r="X44" s="4"/>
      <c r="Y44" s="4"/>
      <c r="Z44" s="4"/>
      <c r="AA44" s="4"/>
      <c r="AB44" s="4"/>
      <c r="AG44">
        <v>0.1361533987994798</v>
      </c>
      <c r="AH44" s="32">
        <v>0.14016220621468933</v>
      </c>
      <c r="AI44">
        <f t="shared" si="9"/>
        <v>0.1837</v>
      </c>
      <c r="AK44">
        <v>2.3947873908993292E-3</v>
      </c>
      <c r="AL44">
        <v>0.66289179850879665</v>
      </c>
      <c r="AM44">
        <v>0.23686665665702508</v>
      </c>
      <c r="AO44">
        <v>0.18310000000000001</v>
      </c>
      <c r="AP44">
        <v>0.18429999999999999</v>
      </c>
    </row>
    <row r="45" spans="1:42" x14ac:dyDescent="0.2">
      <c r="A45" s="9" t="s">
        <v>51</v>
      </c>
      <c r="B45">
        <v>48</v>
      </c>
      <c r="C45" t="s">
        <v>20</v>
      </c>
      <c r="D45" t="s">
        <v>15</v>
      </c>
      <c r="E45" t="s">
        <v>75</v>
      </c>
      <c r="J45" s="22">
        <f t="shared" si="12"/>
        <v>98.542159692457105</v>
      </c>
      <c r="K45" s="12">
        <f t="shared" si="11"/>
        <v>-8.4171253665734156</v>
      </c>
      <c r="L45">
        <f t="shared" si="4"/>
        <v>25.018177999999995</v>
      </c>
      <c r="O45">
        <f t="shared" si="5"/>
        <v>16.60105263342658</v>
      </c>
      <c r="P45" s="14">
        <f t="shared" si="6"/>
        <v>-5.0873044869314795E-4</v>
      </c>
      <c r="Q45" s="23">
        <f t="shared" si="7"/>
        <v>7.3734973712593508</v>
      </c>
      <c r="R45" s="23">
        <f t="shared" si="8"/>
        <v>0.72208970163325215</v>
      </c>
      <c r="V45" s="4"/>
      <c r="X45" s="4"/>
      <c r="Y45" s="4"/>
      <c r="Z45" s="4"/>
      <c r="AA45" s="4"/>
      <c r="AB45" s="4"/>
      <c r="AG45">
        <v>0.13340525388832417</v>
      </c>
      <c r="AH45" s="32">
        <v>6.1924972410967158E-2</v>
      </c>
      <c r="AI45">
        <f t="shared" si="9"/>
        <v>0.17269999999999999</v>
      </c>
      <c r="AK45">
        <v>1.9178364521222882E-3</v>
      </c>
      <c r="AL45">
        <v>0.66483440165908969</v>
      </c>
      <c r="AM45">
        <v>0.2355544490046472</v>
      </c>
      <c r="AO45">
        <v>0.16639999999999999</v>
      </c>
      <c r="AP45">
        <v>0.17899999999999999</v>
      </c>
    </row>
    <row r="46" spans="1:42" x14ac:dyDescent="0.2">
      <c r="A46" s="9" t="s">
        <v>52</v>
      </c>
      <c r="B46">
        <v>48</v>
      </c>
      <c r="C46" t="s">
        <v>20</v>
      </c>
      <c r="D46" t="s">
        <v>15</v>
      </c>
      <c r="E46" t="s">
        <v>75</v>
      </c>
      <c r="J46" s="22">
        <f t="shared" si="12"/>
        <v>99.974937583350837</v>
      </c>
      <c r="K46" s="12">
        <f t="shared" si="11"/>
        <v>-10.75027464174325</v>
      </c>
      <c r="L46">
        <f t="shared" si="4"/>
        <v>28.859620999999997</v>
      </c>
      <c r="O46">
        <f t="shared" si="5"/>
        <v>18.109346358256747</v>
      </c>
      <c r="P46" s="14">
        <f t="shared" si="6"/>
        <v>-1.6353068863512017E-4</v>
      </c>
      <c r="Q46" s="23">
        <f t="shared" si="7"/>
        <v>7.3562832890084469</v>
      </c>
      <c r="R46" s="23">
        <f t="shared" si="8"/>
        <v>0.67086655852343891</v>
      </c>
      <c r="V46" s="4"/>
      <c r="X46" s="4"/>
      <c r="Y46" s="4"/>
      <c r="Z46" s="4"/>
      <c r="AA46" s="4"/>
      <c r="AG46">
        <v>0.13454670027473617</v>
      </c>
      <c r="AH46" s="32">
        <v>4.2067537837837787E-2</v>
      </c>
      <c r="AI46">
        <f t="shared" si="9"/>
        <v>0.19014999999999999</v>
      </c>
      <c r="AK46">
        <v>2.1835791465472519E-3</v>
      </c>
      <c r="AL46">
        <v>0.66321714477719351</v>
      </c>
      <c r="AM46">
        <v>0.21994715372438725</v>
      </c>
      <c r="AO46">
        <v>0.1915</v>
      </c>
      <c r="AP46">
        <v>0.1888</v>
      </c>
    </row>
    <row r="47" spans="1:42" x14ac:dyDescent="0.2">
      <c r="A47" s="9" t="s">
        <v>53</v>
      </c>
      <c r="B47">
        <v>48</v>
      </c>
      <c r="C47" t="s">
        <v>74</v>
      </c>
      <c r="D47" t="s">
        <v>15</v>
      </c>
      <c r="E47" t="s">
        <v>75</v>
      </c>
      <c r="J47" s="22">
        <f t="shared" si="12"/>
        <v>101.67759052893742</v>
      </c>
      <c r="K47" s="12">
        <f t="shared" si="11"/>
        <v>-9.4920753600073855</v>
      </c>
      <c r="L47">
        <f>(11.007*AI47-0.65)*20</f>
        <v>29.354936000000002</v>
      </c>
      <c r="O47">
        <f t="shared" si="5"/>
        <v>19.862860639992618</v>
      </c>
      <c r="P47" s="14">
        <f t="shared" si="6"/>
        <v>-1.3115380180969075E-4</v>
      </c>
      <c r="Q47" s="23">
        <f t="shared" si="7"/>
        <v>7.1889621186726425</v>
      </c>
      <c r="R47" s="23">
        <f t="shared" si="8"/>
        <v>0.67465396543984091</v>
      </c>
      <c r="V47" s="4"/>
      <c r="X47" s="4"/>
      <c r="Y47" s="4"/>
      <c r="Z47" s="4"/>
      <c r="AA47" s="4"/>
      <c r="AB47" s="4"/>
      <c r="AG47">
        <v>0.13590314712138682</v>
      </c>
      <c r="AH47" s="32">
        <v>5.2776072513661135E-2</v>
      </c>
      <c r="AI47">
        <f t="shared" si="9"/>
        <v>0.19240000000000002</v>
      </c>
      <c r="AK47">
        <v>2.2085036167746801E-3</v>
      </c>
      <c r="AL47">
        <v>0.64749738055924866</v>
      </c>
      <c r="AM47">
        <v>0.22110114730037811</v>
      </c>
      <c r="AO47">
        <v>0.1973</v>
      </c>
      <c r="AP47">
        <v>0.1875</v>
      </c>
    </row>
    <row r="48" spans="1:42" x14ac:dyDescent="0.2">
      <c r="A48" s="9" t="s">
        <v>54</v>
      </c>
      <c r="B48">
        <v>48</v>
      </c>
      <c r="C48" t="s">
        <v>74</v>
      </c>
      <c r="D48" t="s">
        <v>15</v>
      </c>
      <c r="E48" t="s">
        <v>75</v>
      </c>
      <c r="J48" s="22">
        <f t="shared" si="12"/>
        <v>99.837490313965247</v>
      </c>
      <c r="K48" s="12">
        <f t="shared" si="11"/>
        <v>-3.9434999999999985</v>
      </c>
      <c r="L48">
        <f t="shared" si="4"/>
        <v>30.268516999999999</v>
      </c>
      <c r="O48">
        <f t="shared" si="5"/>
        <v>26.325017000000003</v>
      </c>
      <c r="P48" s="14">
        <f t="shared" si="6"/>
        <v>-1.4191979329774556E-4</v>
      </c>
      <c r="Q48" s="23">
        <f t="shared" si="7"/>
        <v>7.2178036899676208</v>
      </c>
      <c r="R48" s="23">
        <f t="shared" si="8"/>
        <v>0.71752564686750298</v>
      </c>
      <c r="T48" s="4"/>
      <c r="U48" s="4"/>
      <c r="V48" s="4"/>
      <c r="X48" s="4"/>
      <c r="Y48" s="4"/>
      <c r="Z48" s="4"/>
      <c r="AA48" s="4"/>
      <c r="AB48" s="4"/>
      <c r="AG48">
        <v>0.13443720061679232</v>
      </c>
      <c r="AH48" s="32">
        <v>0.1</v>
      </c>
      <c r="AI48">
        <f t="shared" si="9"/>
        <v>0.19655</v>
      </c>
      <c r="AK48">
        <v>2.2002157095475402E-3</v>
      </c>
      <c r="AL48">
        <v>0.6502070358857216</v>
      </c>
      <c r="AM48">
        <v>0.23416381683958043</v>
      </c>
      <c r="AO48">
        <v>0.19739999999999999</v>
      </c>
      <c r="AP48">
        <v>0.19570000000000001</v>
      </c>
    </row>
    <row r="49" spans="1:42" x14ac:dyDescent="0.2">
      <c r="A49" s="9" t="s">
        <v>55</v>
      </c>
      <c r="B49">
        <v>48</v>
      </c>
      <c r="C49" t="s">
        <v>74</v>
      </c>
      <c r="D49" t="s">
        <v>15</v>
      </c>
      <c r="E49" t="s">
        <v>75</v>
      </c>
      <c r="J49" s="22">
        <f t="shared" si="12"/>
        <v>99.280253493862901</v>
      </c>
      <c r="K49" s="12">
        <f t="shared" si="11"/>
        <v>-8.326681304804195</v>
      </c>
      <c r="L49">
        <f t="shared" si="4"/>
        <v>27.274612999999999</v>
      </c>
      <c r="O49">
        <f t="shared" si="5"/>
        <v>18.947931695195805</v>
      </c>
      <c r="P49" s="14">
        <f t="shared" si="6"/>
        <v>4.0091722968440006E-4</v>
      </c>
      <c r="Q49" s="23">
        <f t="shared" si="7"/>
        <v>7.2100048656100952</v>
      </c>
      <c r="R49" s="23">
        <f t="shared" si="8"/>
        <v>0.66979980999846656</v>
      </c>
      <c r="V49" s="4"/>
      <c r="X49" s="4"/>
      <c r="Y49" s="4"/>
      <c r="Z49" s="4"/>
      <c r="AA49" s="4"/>
      <c r="AB49" s="4"/>
      <c r="AG49">
        <v>0.13399326861677746</v>
      </c>
      <c r="AH49" s="32">
        <v>6.2694741863022291E-2</v>
      </c>
      <c r="AI49">
        <f t="shared" si="9"/>
        <v>0.18295</v>
      </c>
      <c r="AK49">
        <v>2.6181041029133181E-3</v>
      </c>
      <c r="AL49">
        <v>0.64947433912157981</v>
      </c>
      <c r="AM49">
        <v>0.21962212370459069</v>
      </c>
      <c r="AO49">
        <v>0.18240000000000001</v>
      </c>
      <c r="AP49">
        <v>0.1835</v>
      </c>
    </row>
    <row r="50" spans="1:42" x14ac:dyDescent="0.2">
      <c r="A50" s="9" t="s">
        <v>57</v>
      </c>
      <c r="B50">
        <v>48</v>
      </c>
      <c r="C50" t="s">
        <v>19</v>
      </c>
      <c r="D50" t="s">
        <v>15</v>
      </c>
      <c r="E50" t="s">
        <v>3</v>
      </c>
      <c r="J50" s="22">
        <f t="shared" si="12"/>
        <v>101.9055844173545</v>
      </c>
      <c r="K50" s="12">
        <f t="shared" si="11"/>
        <v>33.487422190059483</v>
      </c>
      <c r="L50">
        <f t="shared" si="4"/>
        <v>32.635021999999992</v>
      </c>
      <c r="O50">
        <f t="shared" si="5"/>
        <v>66.122444190059468</v>
      </c>
      <c r="P50" s="14">
        <f t="shared" si="6"/>
        <v>8.8342469180432439E-4</v>
      </c>
      <c r="Q50" s="23">
        <f t="shared" si="7"/>
        <v>7.120661660497146</v>
      </c>
      <c r="R50" s="23">
        <f t="shared" si="8"/>
        <v>0.67200803501838147</v>
      </c>
      <c r="X50" s="4"/>
      <c r="AG50">
        <v>0.13608478225249243</v>
      </c>
      <c r="AH50">
        <v>0.41857459628119903</v>
      </c>
      <c r="AI50">
        <f t="shared" si="9"/>
        <v>0.20729999999999998</v>
      </c>
      <c r="AJ50" s="17"/>
      <c r="AK50">
        <v>2.9895494163235756E-3</v>
      </c>
      <c r="AL50">
        <v>0.64108057689751463</v>
      </c>
      <c r="AM50">
        <v>0.22029495277830027</v>
      </c>
      <c r="AO50">
        <v>0.2437</v>
      </c>
      <c r="AP50">
        <v>0.1709</v>
      </c>
    </row>
    <row r="51" spans="1:42" x14ac:dyDescent="0.2">
      <c r="A51" s="9" t="s">
        <v>58</v>
      </c>
      <c r="B51">
        <v>48</v>
      </c>
      <c r="C51" t="s">
        <v>19</v>
      </c>
      <c r="D51" t="s">
        <v>15</v>
      </c>
      <c r="E51" t="s">
        <v>3</v>
      </c>
      <c r="J51" s="22">
        <f t="shared" si="12"/>
        <v>100.34454150594472</v>
      </c>
      <c r="K51" s="12">
        <f t="shared" si="11"/>
        <v>34.611196882878538</v>
      </c>
      <c r="L51">
        <f t="shared" si="4"/>
        <v>25.337381000000001</v>
      </c>
      <c r="O51">
        <f t="shared" si="5"/>
        <v>59.948577882878539</v>
      </c>
      <c r="P51" s="14">
        <f t="shared" si="6"/>
        <v>1.2550560362154925E-3</v>
      </c>
      <c r="Q51" s="23">
        <f t="shared" si="7"/>
        <v>7.0922932402711014</v>
      </c>
      <c r="R51" s="23">
        <f t="shared" si="8"/>
        <v>0.67076703291034168</v>
      </c>
      <c r="X51" s="4"/>
      <c r="AG51">
        <v>0.13484115139973596</v>
      </c>
      <c r="AH51">
        <v>0.42813904321782664</v>
      </c>
      <c r="AI51">
        <f t="shared" si="9"/>
        <v>0.17415</v>
      </c>
      <c r="AJ51" s="17"/>
      <c r="AK51">
        <v>3.2756397507432587E-3</v>
      </c>
      <c r="AL51">
        <v>0.63841537394504899</v>
      </c>
      <c r="AM51">
        <v>0.2199168290403235</v>
      </c>
      <c r="AO51">
        <v>0.1739</v>
      </c>
      <c r="AP51">
        <v>0.1744</v>
      </c>
    </row>
    <row r="52" spans="1:42" x14ac:dyDescent="0.2">
      <c r="A52" s="9" t="s">
        <v>59</v>
      </c>
      <c r="B52">
        <v>48</v>
      </c>
      <c r="C52" t="s">
        <v>19</v>
      </c>
      <c r="D52" t="s">
        <v>15</v>
      </c>
      <c r="E52" t="s">
        <v>3</v>
      </c>
      <c r="J52" s="22">
        <f t="shared" si="12"/>
        <v>100.10202600402988</v>
      </c>
      <c r="K52" s="12">
        <f t="shared" si="11"/>
        <v>33.237001285690447</v>
      </c>
      <c r="L52">
        <f t="shared" si="4"/>
        <v>26.361032000000002</v>
      </c>
      <c r="O52">
        <f t="shared" si="5"/>
        <v>59.598033285690448</v>
      </c>
      <c r="P52" s="14">
        <f t="shared" si="6"/>
        <v>1.2652034524937574E-3</v>
      </c>
      <c r="Q52" s="23">
        <f t="shared" si="7"/>
        <v>7.0390505384219635</v>
      </c>
      <c r="R52" s="23">
        <f t="shared" si="8"/>
        <v>0.6526043924483429</v>
      </c>
      <c r="X52" s="4"/>
      <c r="AG52">
        <v>0.13464794738321048</v>
      </c>
      <c r="AH52">
        <v>0.41644326384689084</v>
      </c>
      <c r="AI52">
        <f t="shared" si="9"/>
        <v>0.17880000000000001</v>
      </c>
      <c r="AJ52" s="17"/>
      <c r="AK52">
        <v>3.2834514645833394E-3</v>
      </c>
      <c r="AL52">
        <v>0.63341324111442721</v>
      </c>
      <c r="AM52">
        <v>0.21438281305555851</v>
      </c>
      <c r="AO52">
        <v>0.17899999999999999</v>
      </c>
      <c r="AP52">
        <v>0.17860000000000001</v>
      </c>
    </row>
    <row r="53" spans="1:42" x14ac:dyDescent="0.2">
      <c r="A53" s="9" t="s">
        <v>60</v>
      </c>
      <c r="B53">
        <v>48</v>
      </c>
      <c r="C53" t="s">
        <v>74</v>
      </c>
      <c r="D53" t="s">
        <v>15</v>
      </c>
      <c r="E53" t="s">
        <v>3</v>
      </c>
      <c r="J53" s="22">
        <f t="shared" si="12"/>
        <v>100.70161466348834</v>
      </c>
      <c r="K53" s="12">
        <f t="shared" si="11"/>
        <v>32.715478706013826</v>
      </c>
      <c r="L53">
        <f>(11.007*AI53-0.65)*20</f>
        <v>27.428710999999993</v>
      </c>
      <c r="O53">
        <f t="shared" si="5"/>
        <v>60.144189706013819</v>
      </c>
      <c r="P53" s="14">
        <f t="shared" si="6"/>
        <v>2.4030883236427354E-4</v>
      </c>
      <c r="Q53" s="23">
        <f t="shared" si="7"/>
        <v>7.2124742300529459</v>
      </c>
      <c r="R53" s="23">
        <f t="shared" si="8"/>
        <v>0.65657527484837208</v>
      </c>
      <c r="X53" s="4"/>
      <c r="AG53">
        <v>0.13512561968191239</v>
      </c>
      <c r="AH53">
        <v>0.41200458492713588</v>
      </c>
      <c r="AI53">
        <f>AVERAGE(AO53:AQ53)</f>
        <v>0.18364999999999998</v>
      </c>
      <c r="AJ53" s="17"/>
      <c r="AK53">
        <v>2.4944640741834286E-3</v>
      </c>
      <c r="AL53">
        <v>0.64970633502940112</v>
      </c>
      <c r="AM53">
        <v>0.21559271019146012</v>
      </c>
      <c r="AO53">
        <v>0.18279999999999999</v>
      </c>
      <c r="AP53">
        <v>0.1845</v>
      </c>
    </row>
    <row r="54" spans="1:42" x14ac:dyDescent="0.2">
      <c r="A54" s="9" t="s">
        <v>61</v>
      </c>
      <c r="B54">
        <v>48</v>
      </c>
      <c r="C54" t="s">
        <v>74</v>
      </c>
      <c r="D54" t="s">
        <v>15</v>
      </c>
      <c r="E54" t="s">
        <v>3</v>
      </c>
      <c r="J54" s="22">
        <f t="shared" si="12"/>
        <v>102.0527551476461</v>
      </c>
      <c r="K54" s="12">
        <f t="shared" si="11"/>
        <v>31.562680032523161</v>
      </c>
      <c r="L54">
        <f t="shared" si="4"/>
        <v>29.828237000000001</v>
      </c>
      <c r="O54">
        <f t="shared" si="5"/>
        <v>61.390917032523163</v>
      </c>
      <c r="P54" s="14">
        <f t="shared" si="6"/>
        <v>4.2615834402344308E-4</v>
      </c>
      <c r="Q54" s="23">
        <f t="shared" si="7"/>
        <v>7.1665096651979159</v>
      </c>
      <c r="R54" s="23">
        <f t="shared" si="8"/>
        <v>0.65605537472320385</v>
      </c>
      <c r="X54" s="4"/>
      <c r="AG54">
        <v>0.13620202826762473</v>
      </c>
      <c r="AH54">
        <v>0.40219311487742598</v>
      </c>
      <c r="AI54">
        <f t="shared" si="9"/>
        <v>0.19455</v>
      </c>
      <c r="AJ54" s="17"/>
      <c r="AK54">
        <v>2.6375352917809417E-3</v>
      </c>
      <c r="AL54">
        <v>0.64538798057101809</v>
      </c>
      <c r="AM54">
        <v>0.21543430064692379</v>
      </c>
      <c r="AO54">
        <v>0.19520000000000001</v>
      </c>
      <c r="AP54">
        <v>0.19389999999999999</v>
      </c>
    </row>
    <row r="55" spans="1:42" x14ac:dyDescent="0.2">
      <c r="A55" s="9" t="s">
        <v>62</v>
      </c>
      <c r="B55">
        <v>48</v>
      </c>
      <c r="C55" t="s">
        <v>74</v>
      </c>
      <c r="D55" t="s">
        <v>15</v>
      </c>
      <c r="E55" t="s">
        <v>3</v>
      </c>
      <c r="J55" s="22">
        <f t="shared" si="12"/>
        <v>102.61200423756225</v>
      </c>
      <c r="K55" s="12">
        <f t="shared" si="11"/>
        <v>33.221974947622208</v>
      </c>
      <c r="L55">
        <f t="shared" si="4"/>
        <v>28.331285000000001</v>
      </c>
      <c r="O55">
        <f t="shared" si="5"/>
        <v>61.553259947622209</v>
      </c>
      <c r="P55" s="14">
        <f t="shared" si="6"/>
        <v>7.776271590392809E-5</v>
      </c>
      <c r="Q55" s="23">
        <f t="shared" si="7"/>
        <v>7.3134878386891202</v>
      </c>
      <c r="R55" s="23">
        <f t="shared" si="8"/>
        <v>0.67509388499348799</v>
      </c>
      <c r="X55" s="4"/>
      <c r="AG55">
        <v>0.1366475633759246</v>
      </c>
      <c r="AH55">
        <v>0.41631537467655821</v>
      </c>
      <c r="AI55">
        <f t="shared" si="9"/>
        <v>0.18775</v>
      </c>
      <c r="AJ55" s="17"/>
      <c r="AK55">
        <v>2.3693323448067192E-3</v>
      </c>
      <c r="AL55">
        <v>0.65919652749803836</v>
      </c>
      <c r="AM55">
        <v>0.22123518738375625</v>
      </c>
      <c r="AO55">
        <v>0.1855</v>
      </c>
      <c r="AP55">
        <v>0.19</v>
      </c>
    </row>
    <row r="56" spans="1:42" x14ac:dyDescent="0.2">
      <c r="A56" s="9" t="s">
        <v>63</v>
      </c>
      <c r="B56">
        <v>48</v>
      </c>
      <c r="C56" t="s">
        <v>76</v>
      </c>
      <c r="D56" t="s">
        <v>14</v>
      </c>
      <c r="E56" t="s">
        <v>3</v>
      </c>
      <c r="J56" s="22">
        <f t="shared" si="12"/>
        <v>105.01168277757004</v>
      </c>
      <c r="K56" s="12">
        <f t="shared" si="11"/>
        <v>32.987053185685198</v>
      </c>
      <c r="L56">
        <f>(11.007*AI56-0.65)*20</f>
        <v>26.581171999999995</v>
      </c>
      <c r="O56">
        <f t="shared" si="5"/>
        <v>59.568225185685193</v>
      </c>
      <c r="P56" s="14">
        <f t="shared" si="6"/>
        <v>5.7701592825400215E-4</v>
      </c>
      <c r="Q56" s="23">
        <f t="shared" si="7"/>
        <v>7.3330570871427208</v>
      </c>
      <c r="R56" s="23">
        <f t="shared" si="8"/>
        <v>0.66806327246874775</v>
      </c>
      <c r="X56" s="4"/>
      <c r="AG56">
        <v>0.13855930727946414</v>
      </c>
      <c r="AH56">
        <v>0.41431595545074423</v>
      </c>
      <c r="AI56">
        <f>AVERAGE(AO56:AQ56)</f>
        <v>0.17979999999999999</v>
      </c>
      <c r="AJ56" s="17"/>
      <c r="AK56">
        <v>2.7536689209037742E-3</v>
      </c>
      <c r="AL56">
        <v>0.66103505140386332</v>
      </c>
      <c r="AM56">
        <v>0.2190930141586678</v>
      </c>
      <c r="AO56">
        <v>0.17979999999999999</v>
      </c>
      <c r="AP56">
        <v>0.17979999999999999</v>
      </c>
    </row>
    <row r="57" spans="1:42" x14ac:dyDescent="0.2">
      <c r="A57" s="9" t="s">
        <v>64</v>
      </c>
      <c r="B57">
        <v>48</v>
      </c>
      <c r="C57" t="s">
        <v>76</v>
      </c>
      <c r="D57" t="s">
        <v>14</v>
      </c>
      <c r="E57" t="s">
        <v>3</v>
      </c>
      <c r="J57" s="22">
        <f t="shared" si="12"/>
        <v>107.02002609362826</v>
      </c>
      <c r="K57" s="12">
        <f t="shared" si="11"/>
        <v>31.928001190979224</v>
      </c>
      <c r="L57">
        <f t="shared" si="4"/>
        <v>25.282346000000004</v>
      </c>
      <c r="O57">
        <f t="shared" si="5"/>
        <v>57.210347190979228</v>
      </c>
      <c r="P57" s="14">
        <f t="shared" si="6"/>
        <v>8.7383578717328966E-4</v>
      </c>
      <c r="Q57" s="23">
        <f t="shared" si="7"/>
        <v>7.2604691459346222</v>
      </c>
      <c r="R57" s="23">
        <f t="shared" si="8"/>
        <v>0.66551482571335319</v>
      </c>
      <c r="X57" s="4"/>
      <c r="AG57">
        <v>0.14015928745459053</v>
      </c>
      <c r="AH57">
        <v>0.40530236342805415</v>
      </c>
      <c r="AI57">
        <f t="shared" si="9"/>
        <v>0.1739</v>
      </c>
      <c r="AJ57" s="17"/>
      <c r="AK57">
        <v>2.9821676575621939E-3</v>
      </c>
      <c r="AL57">
        <v>0.65421544024188483</v>
      </c>
      <c r="AM57">
        <v>0.21831652215519598</v>
      </c>
      <c r="AO57">
        <v>0.1736</v>
      </c>
      <c r="AP57">
        <v>0.17419999999999999</v>
      </c>
    </row>
    <row r="58" spans="1:42" x14ac:dyDescent="0.2">
      <c r="A58" s="9" t="s">
        <v>65</v>
      </c>
      <c r="B58">
        <v>48</v>
      </c>
      <c r="C58" t="s">
        <v>76</v>
      </c>
      <c r="D58" t="s">
        <v>14</v>
      </c>
      <c r="E58" t="s">
        <v>3</v>
      </c>
      <c r="J58" s="22">
        <f t="shared" si="12"/>
        <v>107.41203429777046</v>
      </c>
      <c r="K58" s="12">
        <f t="shared" si="11"/>
        <v>32.17549339790623</v>
      </c>
      <c r="L58">
        <f t="shared" si="4"/>
        <v>25.590542000000003</v>
      </c>
      <c r="O58">
        <f t="shared" si="5"/>
        <v>57.766035397906236</v>
      </c>
      <c r="P58" s="14">
        <f t="shared" si="6"/>
        <v>2.7245844391424029E-3</v>
      </c>
      <c r="Q58" s="23">
        <f t="shared" si="7"/>
        <v>7.26304097634267</v>
      </c>
      <c r="R58" s="23">
        <f t="shared" si="8"/>
        <v>0.67190538334970473</v>
      </c>
      <c r="X58" s="4"/>
      <c r="AG58">
        <v>0.14047158732389048</v>
      </c>
      <c r="AH58">
        <v>0.4074087697170623</v>
      </c>
      <c r="AI58">
        <f t="shared" si="9"/>
        <v>0.17530000000000001</v>
      </c>
      <c r="AJ58" s="17"/>
      <c r="AK58">
        <v>4.4069164273613575E-3</v>
      </c>
      <c r="AL58">
        <v>0.65445706279055527</v>
      </c>
      <c r="AM58">
        <v>0.22026367560929455</v>
      </c>
      <c r="AO58">
        <v>0.17319999999999999</v>
      </c>
      <c r="AP58">
        <v>0.1774</v>
      </c>
    </row>
    <row r="59" spans="1:42" x14ac:dyDescent="0.2">
      <c r="A59" s="9" t="s">
        <v>66</v>
      </c>
      <c r="B59">
        <v>48</v>
      </c>
      <c r="C59" t="s">
        <v>76</v>
      </c>
      <c r="D59" t="s">
        <v>15</v>
      </c>
      <c r="E59" t="s">
        <v>3</v>
      </c>
      <c r="J59" s="22">
        <f t="shared" si="12"/>
        <v>105.88228286682347</v>
      </c>
      <c r="K59" s="12">
        <f t="shared" si="11"/>
        <v>32.042649788963914</v>
      </c>
      <c r="L59">
        <f t="shared" si="4"/>
        <v>23.785394000000004</v>
      </c>
      <c r="O59">
        <f t="shared" si="5"/>
        <v>55.828043788963917</v>
      </c>
      <c r="P59" s="14">
        <f t="shared" si="6"/>
        <v>5.0829748741854943E-4</v>
      </c>
      <c r="Q59" s="23">
        <f t="shared" si="7"/>
        <v>7.3489044572488131</v>
      </c>
      <c r="R59" s="23">
        <f t="shared" si="8"/>
        <v>0.66802261345674108</v>
      </c>
      <c r="X59" s="4"/>
      <c r="AG59">
        <v>0.13925288535056937</v>
      </c>
      <c r="AH59">
        <v>0.40627813769916943</v>
      </c>
      <c r="AI59">
        <f t="shared" si="9"/>
        <v>0.1671</v>
      </c>
      <c r="AJ59" s="17"/>
      <c r="AK59">
        <v>2.7007678886978828E-3</v>
      </c>
      <c r="AL59">
        <v>0.66252390616768264</v>
      </c>
      <c r="AM59">
        <v>0.21908062567237696</v>
      </c>
      <c r="AO59">
        <v>0.16550000000000001</v>
      </c>
      <c r="AP59">
        <v>0.16869999999999999</v>
      </c>
    </row>
    <row r="60" spans="1:42" x14ac:dyDescent="0.2">
      <c r="A60" s="9" t="s">
        <v>67</v>
      </c>
      <c r="B60">
        <v>48</v>
      </c>
      <c r="C60" t="s">
        <v>76</v>
      </c>
      <c r="D60" t="s">
        <v>15</v>
      </c>
      <c r="E60" t="s">
        <v>3</v>
      </c>
      <c r="J60" s="22">
        <f t="shared" si="12"/>
        <v>106.43721266541307</v>
      </c>
      <c r="K60" s="12">
        <f t="shared" si="11"/>
        <v>32.279003654604224</v>
      </c>
      <c r="L60">
        <f t="shared" si="4"/>
        <v>24.776024000000003</v>
      </c>
      <c r="O60">
        <f t="shared" si="5"/>
        <v>57.055027654604231</v>
      </c>
      <c r="P60" s="14">
        <f t="shared" si="6"/>
        <v>8.8371184685021834E-4</v>
      </c>
      <c r="Q60" s="23">
        <f t="shared" si="7"/>
        <v>7.3417560725042552</v>
      </c>
      <c r="R60" s="23">
        <f t="shared" si="8"/>
        <v>0.67326148093148541</v>
      </c>
      <c r="X60" s="4"/>
      <c r="AG60">
        <v>0.13969497942344575</v>
      </c>
      <c r="AH60">
        <v>0.40828974556027259</v>
      </c>
      <c r="AI60">
        <f t="shared" si="9"/>
        <v>0.1716</v>
      </c>
      <c r="AJ60" s="17"/>
      <c r="AK60">
        <v>2.9897704748654496E-3</v>
      </c>
      <c r="AL60">
        <v>0.66185231797296651</v>
      </c>
      <c r="AM60">
        <v>0.22067686804737519</v>
      </c>
      <c r="AO60">
        <v>0.16950000000000001</v>
      </c>
      <c r="AP60">
        <v>0.17369999999999999</v>
      </c>
    </row>
    <row r="61" spans="1:42" x14ac:dyDescent="0.2">
      <c r="A61" s="9" t="s">
        <v>68</v>
      </c>
      <c r="B61">
        <v>48</v>
      </c>
      <c r="C61" t="s">
        <v>76</v>
      </c>
      <c r="D61" t="s">
        <v>15</v>
      </c>
      <c r="E61" t="s">
        <v>3</v>
      </c>
      <c r="J61" s="22">
        <f t="shared" si="12"/>
        <v>108.36707593999486</v>
      </c>
      <c r="K61" s="12">
        <f t="shared" si="11"/>
        <v>32.455689258404632</v>
      </c>
      <c r="L61">
        <f t="shared" si="4"/>
        <v>27.879998000000008</v>
      </c>
      <c r="O61">
        <f t="shared" si="5"/>
        <v>60.33568725840464</v>
      </c>
      <c r="P61" s="14">
        <f t="shared" si="6"/>
        <v>1.2412482713601435E-3</v>
      </c>
      <c r="Q61" s="23">
        <f t="shared" si="7"/>
        <v>7.4790142874637526</v>
      </c>
      <c r="R61" s="23">
        <f t="shared" si="8"/>
        <v>0.68013073469300767</v>
      </c>
      <c r="X61" s="4"/>
      <c r="AG61">
        <v>0.14123243716552925</v>
      </c>
      <c r="AH61">
        <v>0.40979351681692527</v>
      </c>
      <c r="AI61">
        <f t="shared" si="9"/>
        <v>0.1857</v>
      </c>
      <c r="AJ61" s="17"/>
      <c r="AK61">
        <v>3.2650102165974935E-3</v>
      </c>
      <c r="AL61">
        <v>0.67474767826604221</v>
      </c>
      <c r="AM61">
        <v>0.2227698765060962</v>
      </c>
      <c r="AO61">
        <v>0.1757</v>
      </c>
      <c r="AP61">
        <v>0.19570000000000001</v>
      </c>
    </row>
    <row r="62" spans="1:42" x14ac:dyDescent="0.2">
      <c r="A62" s="9" t="s">
        <v>70</v>
      </c>
      <c r="B62">
        <v>96</v>
      </c>
      <c r="C62" t="s">
        <v>19</v>
      </c>
      <c r="D62" t="s">
        <v>14</v>
      </c>
      <c r="E62" t="s">
        <v>75</v>
      </c>
      <c r="J62" s="22">
        <f t="shared" si="12"/>
        <v>84.23362778759882</v>
      </c>
      <c r="K62" s="12">
        <f t="shared" si="11"/>
        <v>-3.9434999999999985</v>
      </c>
      <c r="L62">
        <f t="shared" si="4"/>
        <v>43.884176000000004</v>
      </c>
      <c r="O62">
        <f t="shared" si="5"/>
        <v>39.940676000000003</v>
      </c>
      <c r="P62" s="14">
        <f t="shared" si="6"/>
        <v>2.764642550685033E-3</v>
      </c>
      <c r="Q62" s="23">
        <f t="shared" si="7"/>
        <v>5.9371857392145344</v>
      </c>
      <c r="R62" s="23">
        <f t="shared" si="8"/>
        <v>0.66142935600238428</v>
      </c>
      <c r="X62" s="4"/>
      <c r="AG62">
        <v>0.12200612347078707</v>
      </c>
      <c r="AH62" s="32">
        <v>0.1</v>
      </c>
      <c r="AI62">
        <f t="shared" si="9"/>
        <v>0.25840000000000002</v>
      </c>
      <c r="AJ62" s="17"/>
      <c r="AK62">
        <v>4.4377540805889404E-3</v>
      </c>
      <c r="AL62">
        <v>0.52989343660414645</v>
      </c>
      <c r="AM62">
        <v>0.21707171115246321</v>
      </c>
      <c r="AO62">
        <v>0.25840000000000002</v>
      </c>
    </row>
    <row r="63" spans="1:42" x14ac:dyDescent="0.2">
      <c r="A63" s="9" t="s">
        <v>48</v>
      </c>
      <c r="B63">
        <v>96</v>
      </c>
      <c r="C63" t="s">
        <v>19</v>
      </c>
      <c r="D63" t="s">
        <v>14</v>
      </c>
      <c r="E63" t="s">
        <v>75</v>
      </c>
      <c r="J63" s="22">
        <f t="shared" si="12"/>
        <v>72.110770810222249</v>
      </c>
      <c r="K63" s="12">
        <f t="shared" si="11"/>
        <v>-3.9434999999999985</v>
      </c>
      <c r="L63">
        <f t="shared" si="4"/>
        <v>48.705241999999998</v>
      </c>
      <c r="O63">
        <f t="shared" si="5"/>
        <v>44.761741999999998</v>
      </c>
      <c r="P63" s="14">
        <f t="shared" si="6"/>
        <v>7.6049028630388073E-4</v>
      </c>
      <c r="Q63" s="23">
        <f t="shared" si="7"/>
        <v>6.1888985481450023</v>
      </c>
      <c r="R63" s="23">
        <f t="shared" si="8"/>
        <v>0.65439426487678354</v>
      </c>
      <c r="X63" s="4"/>
      <c r="AG63">
        <v>0.11234824741214372</v>
      </c>
      <c r="AH63" s="32">
        <v>0.1</v>
      </c>
      <c r="AI63">
        <f t="shared" si="9"/>
        <v>0.28029999999999999</v>
      </c>
      <c r="AJ63" s="17"/>
      <c r="AK63">
        <v>2.8949116907651127E-3</v>
      </c>
      <c r="AL63">
        <v>0.55354176513951547</v>
      </c>
      <c r="AM63">
        <v>0.21492817333235331</v>
      </c>
      <c r="AO63">
        <v>0.28029999999999999</v>
      </c>
    </row>
    <row r="64" spans="1:42" x14ac:dyDescent="0.2">
      <c r="A64" s="9" t="s">
        <v>49</v>
      </c>
      <c r="B64">
        <v>96</v>
      </c>
      <c r="C64" t="s">
        <v>19</v>
      </c>
      <c r="D64" t="s">
        <v>14</v>
      </c>
      <c r="E64" t="s">
        <v>75</v>
      </c>
      <c r="J64" s="22">
        <f t="shared" si="12"/>
        <v>78.705510131172019</v>
      </c>
      <c r="K64" s="12">
        <f t="shared" si="11"/>
        <v>-3.9434999999999985</v>
      </c>
      <c r="L64">
        <f t="shared" si="4"/>
        <v>39.657488000000001</v>
      </c>
      <c r="O64">
        <f t="shared" si="5"/>
        <v>35.713988000000001</v>
      </c>
      <c r="P64" s="14">
        <f t="shared" si="6"/>
        <v>5.2328328450817231E-3</v>
      </c>
      <c r="Q64" s="23">
        <f t="shared" si="7"/>
        <v>6.3235699649484891</v>
      </c>
      <c r="R64" s="23">
        <f t="shared" si="8"/>
        <v>0.64914848548328263</v>
      </c>
      <c r="X64" s="4"/>
      <c r="AG64">
        <v>0.11760205640450039</v>
      </c>
      <c r="AH64" s="32">
        <v>0.1</v>
      </c>
      <c r="AI64">
        <f t="shared" si="9"/>
        <v>0.2392</v>
      </c>
      <c r="AJ64" s="17"/>
      <c r="AK64">
        <v>6.3378235912869311E-3</v>
      </c>
      <c r="AL64">
        <v>0.56619409666934328</v>
      </c>
      <c r="AM64">
        <v>0.2133298249492025</v>
      </c>
      <c r="AO64">
        <v>0.2392</v>
      </c>
    </row>
    <row r="65" spans="1:41" x14ac:dyDescent="0.2">
      <c r="A65" s="9" t="s">
        <v>50</v>
      </c>
      <c r="B65">
        <v>96</v>
      </c>
      <c r="C65" t="s">
        <v>20</v>
      </c>
      <c r="D65" t="s">
        <v>14</v>
      </c>
      <c r="E65" t="s">
        <v>75</v>
      </c>
      <c r="J65" s="22">
        <f t="shared" si="12"/>
        <v>47.222154345224673</v>
      </c>
      <c r="K65" s="12">
        <f t="shared" si="11"/>
        <v>-3.9434999999999985</v>
      </c>
      <c r="L65">
        <f t="shared" si="4"/>
        <v>46.283701999999998</v>
      </c>
      <c r="O65">
        <f t="shared" si="5"/>
        <v>42.340201999999998</v>
      </c>
      <c r="P65" s="14">
        <f t="shared" si="6"/>
        <v>4.831339202133262E-3</v>
      </c>
      <c r="Q65" s="23">
        <f t="shared" si="7"/>
        <v>4.7192517789297641</v>
      </c>
      <c r="R65" s="23">
        <f t="shared" si="8"/>
        <v>2.0308282899579972</v>
      </c>
      <c r="X65" s="4"/>
      <c r="AG65">
        <v>9.2520316295028993E-2</v>
      </c>
      <c r="AH65" s="32">
        <v>0.1</v>
      </c>
      <c r="AI65">
        <f t="shared" si="9"/>
        <v>0.26929999999999998</v>
      </c>
      <c r="AK65">
        <v>6.0287445743905021E-3</v>
      </c>
      <c r="AL65">
        <v>0.41546897584834314</v>
      </c>
      <c r="AM65">
        <v>0.63431696829920692</v>
      </c>
      <c r="AO65">
        <v>0.26929999999999998</v>
      </c>
    </row>
    <row r="66" spans="1:41" x14ac:dyDescent="0.2">
      <c r="A66" s="9" t="s">
        <v>51</v>
      </c>
      <c r="B66">
        <v>96</v>
      </c>
      <c r="C66" t="s">
        <v>20</v>
      </c>
      <c r="D66" t="s">
        <v>14</v>
      </c>
      <c r="E66" t="s">
        <v>75</v>
      </c>
      <c r="J66" s="22">
        <f t="shared" ref="J66:J97" si="13">30*(AG66-0.0549)/0.0239</f>
        <v>80.712118682836646</v>
      </c>
      <c r="K66" s="12">
        <f t="shared" si="11"/>
        <v>-3.9434999999999985</v>
      </c>
      <c r="L66">
        <f t="shared" si="4"/>
        <v>47.120234000000004</v>
      </c>
      <c r="O66">
        <f t="shared" si="5"/>
        <v>43.176734000000003</v>
      </c>
      <c r="P66" s="14">
        <f t="shared" si="6"/>
        <v>4.4648952748720053E-3</v>
      </c>
      <c r="Q66" s="23">
        <f t="shared" si="7"/>
        <v>6.9471768231673456</v>
      </c>
      <c r="R66" s="23">
        <f t="shared" si="8"/>
        <v>0.70926536587085676</v>
      </c>
      <c r="X66" s="4"/>
      <c r="AG66">
        <v>0.11920065455065985</v>
      </c>
      <c r="AH66" s="32">
        <v>0.1</v>
      </c>
      <c r="AI66">
        <f t="shared" si="9"/>
        <v>0.27310000000000001</v>
      </c>
      <c r="AK66">
        <v>5.746647632695924E-3</v>
      </c>
      <c r="AL66">
        <v>0.6247817383659664</v>
      </c>
      <c r="AM66">
        <v>0.23164697314773208</v>
      </c>
      <c r="AO66">
        <v>0.27310000000000001</v>
      </c>
    </row>
    <row r="67" spans="1:41" x14ac:dyDescent="0.2">
      <c r="A67" s="9" t="s">
        <v>52</v>
      </c>
      <c r="B67">
        <v>96</v>
      </c>
      <c r="C67" t="s">
        <v>20</v>
      </c>
      <c r="D67" t="s">
        <v>14</v>
      </c>
      <c r="E67" t="s">
        <v>75</v>
      </c>
      <c r="J67" s="22">
        <f t="shared" si="13"/>
        <v>84.123104633068209</v>
      </c>
      <c r="K67" s="12">
        <f t="shared" si="11"/>
        <v>-3.9434999999999985</v>
      </c>
      <c r="L67">
        <f t="shared" ref="L67:L130" si="14">(11.007*AI67-0.65)*20</f>
        <v>42.761462000000002</v>
      </c>
      <c r="O67">
        <f t="shared" ref="O67:O79" si="15">K67+L67</f>
        <v>38.817962000000001</v>
      </c>
      <c r="P67" s="14">
        <f t="shared" ref="P67:P130" si="16">(AK67*0.0433 - 0.0001)*30</f>
        <v>5.1014956678937682E-3</v>
      </c>
      <c r="Q67" s="23">
        <f t="shared" ref="Q67:Q98" si="17">(0.3548*AL67 + 0.0099)*30</f>
        <v>7.0409296244067532</v>
      </c>
      <c r="R67" s="23">
        <f t="shared" ref="R67:R98" si="18">(0.1094*AM67 - 0.0017)*30</f>
        <v>0.67016668256503054</v>
      </c>
      <c r="X67" s="4"/>
      <c r="AG67">
        <v>0.12191807335767768</v>
      </c>
      <c r="AH67" s="32">
        <v>0.1</v>
      </c>
      <c r="AI67">
        <f t="shared" ref="AI67:AI130" si="19">AVERAGE(AO67:AQ67)</f>
        <v>0.25330000000000003</v>
      </c>
      <c r="AK67">
        <v>6.2367172193177585E-3</v>
      </c>
      <c r="AL67">
        <v>0.63358978057184834</v>
      </c>
      <c r="AM67">
        <v>0.2197339069363286</v>
      </c>
      <c r="AO67">
        <v>0.25330000000000003</v>
      </c>
    </row>
    <row r="68" spans="1:41" x14ac:dyDescent="0.2">
      <c r="A68" s="9" t="s">
        <v>53</v>
      </c>
      <c r="B68">
        <v>96</v>
      </c>
      <c r="C68" t="s">
        <v>74</v>
      </c>
      <c r="D68" t="s">
        <v>14</v>
      </c>
      <c r="E68" t="s">
        <v>75</v>
      </c>
      <c r="J68" s="22">
        <f t="shared" si="13"/>
        <v>79.162022857872799</v>
      </c>
      <c r="K68" s="12">
        <f t="shared" si="11"/>
        <v>-1.4811051465936904</v>
      </c>
      <c r="L68">
        <f t="shared" si="14"/>
        <v>37.279976000000005</v>
      </c>
      <c r="O68">
        <f t="shared" si="15"/>
        <v>35.798870853406314</v>
      </c>
      <c r="P68" s="14">
        <f t="shared" si="16"/>
        <v>3.7977947033696613E-2</v>
      </c>
      <c r="Q68" s="23">
        <f t="shared" si="17"/>
        <v>6.8852459636626788</v>
      </c>
      <c r="R68" s="23">
        <f t="shared" si="18"/>
        <v>0.63702827409044727</v>
      </c>
      <c r="X68" s="4"/>
      <c r="AG68">
        <v>0.117965744876772</v>
      </c>
      <c r="AH68" s="32">
        <v>0.1209574437500005</v>
      </c>
      <c r="AI68">
        <f t="shared" si="19"/>
        <v>0.22839999999999999</v>
      </c>
      <c r="AK68">
        <v>3.1545763690297622E-2</v>
      </c>
      <c r="AL68">
        <v>0.61896335622535503</v>
      </c>
      <c r="AM68">
        <v>0.20963689033834471</v>
      </c>
      <c r="AO68">
        <v>0.22839999999999999</v>
      </c>
    </row>
    <row r="69" spans="1:41" x14ac:dyDescent="0.2">
      <c r="A69" s="9" t="s">
        <v>54</v>
      </c>
      <c r="B69">
        <v>96</v>
      </c>
      <c r="C69" t="s">
        <v>74</v>
      </c>
      <c r="D69" t="s">
        <v>14</v>
      </c>
      <c r="E69" t="s">
        <v>75</v>
      </c>
      <c r="J69" s="22">
        <f t="shared" si="13"/>
        <v>88.625741492543469</v>
      </c>
      <c r="K69" s="12">
        <f t="shared" si="11"/>
        <v>-0.31119714375880347</v>
      </c>
      <c r="L69">
        <f t="shared" si="14"/>
        <v>44.808763999999996</v>
      </c>
      <c r="O69">
        <f t="shared" si="15"/>
        <v>44.497566856241193</v>
      </c>
      <c r="P69" s="14">
        <f t="shared" si="16"/>
        <v>3.3419274797640897E-2</v>
      </c>
      <c r="Q69" s="23">
        <f t="shared" si="17"/>
        <v>6.9097480315007296</v>
      </c>
      <c r="R69" s="23">
        <f t="shared" si="18"/>
        <v>0.69556358115485162</v>
      </c>
      <c r="X69" s="4"/>
      <c r="AG69">
        <v>0.12550517405572631</v>
      </c>
      <c r="AH69" s="32">
        <v>0.13091453130976805</v>
      </c>
      <c r="AI69">
        <f t="shared" si="19"/>
        <v>0.2626</v>
      </c>
      <c r="AK69">
        <v>2.8036393223742035E-2</v>
      </c>
      <c r="AL69">
        <v>0.62126531675128993</v>
      </c>
      <c r="AM69">
        <v>0.22747214538539048</v>
      </c>
      <c r="AO69">
        <v>0.2626</v>
      </c>
    </row>
    <row r="70" spans="1:41" x14ac:dyDescent="0.2">
      <c r="A70" s="9" t="s">
        <v>55</v>
      </c>
      <c r="B70">
        <v>96</v>
      </c>
      <c r="C70" t="s">
        <v>74</v>
      </c>
      <c r="D70" t="s">
        <v>14</v>
      </c>
      <c r="E70" t="s">
        <v>75</v>
      </c>
      <c r="J70" s="22">
        <f t="shared" si="13"/>
        <v>85.244311582131786</v>
      </c>
      <c r="K70" s="12">
        <f t="shared" si="11"/>
        <v>-3.9434999999999985</v>
      </c>
      <c r="L70">
        <f t="shared" si="14"/>
        <v>43.311812000000003</v>
      </c>
      <c r="O70">
        <f t="shared" si="15"/>
        <v>39.368312000000003</v>
      </c>
      <c r="P70" s="14">
        <f t="shared" si="16"/>
        <v>4.5383317138119626E-2</v>
      </c>
      <c r="Q70" s="23">
        <f t="shared" si="17"/>
        <v>6.8640842111235916</v>
      </c>
      <c r="R70" s="23">
        <f t="shared" si="18"/>
        <v>0.6513815666443652</v>
      </c>
      <c r="X70" s="4"/>
      <c r="AG70">
        <v>0.12281130156043166</v>
      </c>
      <c r="AH70" s="32">
        <v>0.1</v>
      </c>
      <c r="AI70">
        <f t="shared" si="19"/>
        <v>0.25580000000000003</v>
      </c>
      <c r="AK70">
        <v>3.7246587481231434E-2</v>
      </c>
      <c r="AL70">
        <v>0.61697521712923642</v>
      </c>
      <c r="AM70">
        <v>0.21401022749675966</v>
      </c>
      <c r="AO70">
        <v>0.25580000000000003</v>
      </c>
    </row>
    <row r="71" spans="1:41" x14ac:dyDescent="0.2">
      <c r="A71" s="9" t="s">
        <v>56</v>
      </c>
      <c r="B71">
        <v>96</v>
      </c>
      <c r="C71" t="s">
        <v>19</v>
      </c>
      <c r="D71" t="s">
        <v>15</v>
      </c>
      <c r="E71" t="s">
        <v>75</v>
      </c>
      <c r="J71" s="22">
        <f t="shared" si="13"/>
        <v>95.040467072725249</v>
      </c>
      <c r="K71" s="12">
        <f t="shared" si="11"/>
        <v>17.789019894971005</v>
      </c>
      <c r="L71">
        <f t="shared" si="14"/>
        <v>41.220482000000004</v>
      </c>
      <c r="O71">
        <f t="shared" si="15"/>
        <v>59.00950189497101</v>
      </c>
      <c r="P71" s="14">
        <f t="shared" si="16"/>
        <v>4.2660549172307979E-2</v>
      </c>
      <c r="Q71" s="23">
        <f t="shared" si="17"/>
        <v>6.4904854105175023</v>
      </c>
      <c r="R71" s="23">
        <f t="shared" si="18"/>
        <v>0.78830506854675186</v>
      </c>
      <c r="X71" s="4"/>
      <c r="AG71">
        <v>0.13061557210127112</v>
      </c>
      <c r="AH71" s="32">
        <v>0.28496548699919999</v>
      </c>
      <c r="AI71">
        <f t="shared" si="19"/>
        <v>0.24629999999999999</v>
      </c>
      <c r="AK71">
        <v>3.5150538238882208E-2</v>
      </c>
      <c r="AL71">
        <v>0.58187574319029522</v>
      </c>
      <c r="AM71">
        <v>0.25572975885032051</v>
      </c>
      <c r="AO71">
        <v>0.24629999999999999</v>
      </c>
    </row>
    <row r="72" spans="1:41" x14ac:dyDescent="0.2">
      <c r="A72" s="9" t="s">
        <v>48</v>
      </c>
      <c r="B72">
        <v>96</v>
      </c>
      <c r="C72" t="s">
        <v>19</v>
      </c>
      <c r="D72" t="s">
        <v>15</v>
      </c>
      <c r="E72" t="s">
        <v>75</v>
      </c>
      <c r="J72" s="22">
        <f t="shared" si="13"/>
        <v>88.503018578847971</v>
      </c>
      <c r="K72" s="12">
        <f t="shared" si="11"/>
        <v>-0.81193488189173491</v>
      </c>
      <c r="L72">
        <f t="shared" si="14"/>
        <v>41.638748000000007</v>
      </c>
      <c r="O72">
        <f t="shared" si="15"/>
        <v>40.826813118108269</v>
      </c>
      <c r="P72" s="14">
        <f t="shared" si="16"/>
        <v>1.7349913560141816E-2</v>
      </c>
      <c r="Q72" s="23">
        <f t="shared" si="17"/>
        <v>6.5062558652413367</v>
      </c>
      <c r="R72" s="23">
        <f t="shared" si="18"/>
        <v>0.64550829542010557</v>
      </c>
      <c r="X72" s="4"/>
      <c r="AG72">
        <v>0.1254074048011489</v>
      </c>
      <c r="AH72" s="32">
        <v>0.12665275218612082</v>
      </c>
      <c r="AI72">
        <f t="shared" si="19"/>
        <v>0.2482</v>
      </c>
      <c r="AK72">
        <v>1.5665830300340123E-2</v>
      </c>
      <c r="AL72">
        <v>0.58335737178141078</v>
      </c>
      <c r="AM72">
        <v>0.21222068720905107</v>
      </c>
      <c r="AO72">
        <v>0.2482</v>
      </c>
    </row>
    <row r="73" spans="1:41" x14ac:dyDescent="0.2">
      <c r="A73" s="9" t="s">
        <v>49</v>
      </c>
      <c r="B73">
        <v>96</v>
      </c>
      <c r="C73" t="s">
        <v>19</v>
      </c>
      <c r="D73" t="s">
        <v>15</v>
      </c>
      <c r="E73" t="s">
        <v>75</v>
      </c>
      <c r="J73" s="22">
        <f t="shared" si="13"/>
        <v>82.833655924258366</v>
      </c>
      <c r="K73" s="12">
        <f t="shared" si="11"/>
        <v>-11.383436638867572</v>
      </c>
      <c r="L73">
        <f t="shared" si="14"/>
        <v>42.541322000000008</v>
      </c>
      <c r="O73">
        <f t="shared" si="15"/>
        <v>31.157885361132436</v>
      </c>
      <c r="P73" s="14">
        <f t="shared" si="16"/>
        <v>-1.838440244355677E-4</v>
      </c>
      <c r="Q73" s="23">
        <f t="shared" si="17"/>
        <v>6.6404366654318148</v>
      </c>
      <c r="R73" s="23">
        <f t="shared" si="18"/>
        <v>0.6579589434153813</v>
      </c>
      <c r="X73" s="4"/>
      <c r="AG73">
        <v>0.1208908125529925</v>
      </c>
      <c r="AH73" s="32">
        <v>3.6678695783926366E-2</v>
      </c>
      <c r="AI73">
        <f t="shared" si="19"/>
        <v>0.25230000000000002</v>
      </c>
      <c r="AK73">
        <v>2.1679414746454445E-3</v>
      </c>
      <c r="AL73">
        <v>0.59596361005560083</v>
      </c>
      <c r="AM73">
        <v>0.216014303295363</v>
      </c>
      <c r="AO73">
        <v>0.25230000000000002</v>
      </c>
    </row>
    <row r="74" spans="1:41" x14ac:dyDescent="0.2">
      <c r="A74" s="9" t="s">
        <v>50</v>
      </c>
      <c r="B74">
        <v>96</v>
      </c>
      <c r="C74" t="s">
        <v>20</v>
      </c>
      <c r="D74" t="s">
        <v>15</v>
      </c>
      <c r="E74" t="s">
        <v>75</v>
      </c>
      <c r="J74" s="22">
        <f t="shared" si="13"/>
        <v>68.069273814884653</v>
      </c>
      <c r="K74" s="12">
        <f t="shared" si="11"/>
        <v>-0.89995319141095265</v>
      </c>
      <c r="L74">
        <f t="shared" si="14"/>
        <v>43.157713999999999</v>
      </c>
      <c r="O74">
        <f t="shared" si="15"/>
        <v>42.257760808589047</v>
      </c>
      <c r="P74" s="14">
        <f t="shared" si="16"/>
        <v>4.2706528822449288E-3</v>
      </c>
      <c r="Q74" s="23">
        <f t="shared" si="17"/>
        <v>6.8340544098298652</v>
      </c>
      <c r="R74" s="23">
        <f t="shared" si="18"/>
        <v>0.71965526494796295</v>
      </c>
      <c r="X74" s="4"/>
      <c r="AG74">
        <v>0.10912852147252478</v>
      </c>
      <c r="AH74" s="32">
        <v>0.12590362831260093</v>
      </c>
      <c r="AI74">
        <f t="shared" si="19"/>
        <v>0.25509999999999999</v>
      </c>
      <c r="AK74">
        <v>5.5971153827905542E-3</v>
      </c>
      <c r="AL74">
        <v>0.61415392801858937</v>
      </c>
      <c r="AM74">
        <v>0.23481269498719162</v>
      </c>
      <c r="AO74">
        <v>0.25509999999999999</v>
      </c>
    </row>
    <row r="75" spans="1:41" x14ac:dyDescent="0.2">
      <c r="A75" s="9" t="s">
        <v>51</v>
      </c>
      <c r="B75">
        <v>96</v>
      </c>
      <c r="C75" t="s">
        <v>20</v>
      </c>
      <c r="D75" t="s">
        <v>15</v>
      </c>
      <c r="E75" t="s">
        <v>75</v>
      </c>
      <c r="J75" s="22">
        <f t="shared" si="13"/>
        <v>86.053499969860894</v>
      </c>
      <c r="K75" s="12">
        <f t="shared" si="11"/>
        <v>-3.9434999999999985</v>
      </c>
      <c r="L75">
        <f t="shared" si="14"/>
        <v>45.557240000000007</v>
      </c>
      <c r="O75">
        <f t="shared" si="15"/>
        <v>41.613740000000007</v>
      </c>
      <c r="P75" s="14">
        <f t="shared" si="16"/>
        <v>2.4284279001655525E-2</v>
      </c>
      <c r="Q75" s="23">
        <f t="shared" si="17"/>
        <v>6.9835583274997166</v>
      </c>
      <c r="R75" s="23">
        <f t="shared" si="18"/>
        <v>0.66817083741974936</v>
      </c>
      <c r="X75" s="4"/>
      <c r="AG75">
        <v>0.12345595497598918</v>
      </c>
      <c r="AH75" s="32">
        <v>0.1</v>
      </c>
      <c r="AI75">
        <f t="shared" si="19"/>
        <v>0.26600000000000001</v>
      </c>
      <c r="AK75">
        <v>2.1004063896578544E-2</v>
      </c>
      <c r="AL75">
        <v>0.62819976770948105</v>
      </c>
      <c r="AM75">
        <v>0.2191257883667731</v>
      </c>
      <c r="AO75">
        <v>0.26600000000000001</v>
      </c>
    </row>
    <row r="76" spans="1:41" x14ac:dyDescent="0.2">
      <c r="A76" s="9" t="s">
        <v>52</v>
      </c>
      <c r="B76">
        <v>96</v>
      </c>
      <c r="C76" t="s">
        <v>20</v>
      </c>
      <c r="D76" t="s">
        <v>15</v>
      </c>
      <c r="E76" t="s">
        <v>75</v>
      </c>
      <c r="J76" s="22">
        <f t="shared" si="13"/>
        <v>77.474072284030598</v>
      </c>
      <c r="K76" s="12">
        <f t="shared" si="11"/>
        <v>-3.42248908385071</v>
      </c>
      <c r="L76">
        <f t="shared" si="14"/>
        <v>44.588624000000003</v>
      </c>
      <c r="O76">
        <f t="shared" si="15"/>
        <v>41.166134916149289</v>
      </c>
      <c r="P76" s="14">
        <f t="shared" si="16"/>
        <v>1.9832674959368777E-2</v>
      </c>
      <c r="Q76" s="23">
        <f t="shared" si="17"/>
        <v>7.033112478643023</v>
      </c>
      <c r="R76" s="23">
        <f t="shared" si="18"/>
        <v>0.6361827019049634</v>
      </c>
      <c r="X76" s="4"/>
      <c r="AG76">
        <v>0.11662101091961104</v>
      </c>
      <c r="AH76" s="32">
        <v>0.10443432415123444</v>
      </c>
      <c r="AI76">
        <f t="shared" si="19"/>
        <v>0.2616</v>
      </c>
      <c r="AK76">
        <v>1.7577116981808142E-2</v>
      </c>
      <c r="AL76">
        <v>0.63285536251813446</v>
      </c>
      <c r="AM76">
        <v>0.20937925103746599</v>
      </c>
      <c r="AO76">
        <v>0.2616</v>
      </c>
    </row>
    <row r="77" spans="1:41" x14ac:dyDescent="0.2">
      <c r="A77" s="9" t="s">
        <v>53</v>
      </c>
      <c r="B77">
        <v>96</v>
      </c>
      <c r="C77" t="s">
        <v>74</v>
      </c>
      <c r="D77" t="s">
        <v>15</v>
      </c>
      <c r="E77" t="s">
        <v>75</v>
      </c>
      <c r="J77" s="22">
        <f t="shared" si="13"/>
        <v>82.061173369397792</v>
      </c>
      <c r="K77" s="12">
        <f t="shared" si="11"/>
        <v>-3.9434999999999985</v>
      </c>
      <c r="L77">
        <f t="shared" si="14"/>
        <v>48.771284000000001</v>
      </c>
      <c r="O77">
        <f t="shared" si="15"/>
        <v>44.827784000000001</v>
      </c>
      <c r="P77" s="14">
        <f t="shared" si="16"/>
        <v>2.1435225887570887E-2</v>
      </c>
      <c r="Q77" s="23">
        <f t="shared" si="17"/>
        <v>6.7878479815720363</v>
      </c>
      <c r="R77" s="23">
        <f t="shared" si="18"/>
        <v>0.63529883468785564</v>
      </c>
      <c r="X77" s="4"/>
      <c r="AG77">
        <v>0.12027540145095357</v>
      </c>
      <c r="AH77" s="32">
        <v>0.1</v>
      </c>
      <c r="AI77">
        <f t="shared" si="19"/>
        <v>0.28060000000000002</v>
      </c>
      <c r="AK77">
        <v>1.8810797450016081E-2</v>
      </c>
      <c r="AL77">
        <v>0.60981285057986057</v>
      </c>
      <c r="AM77">
        <v>0.20910994353682377</v>
      </c>
      <c r="AO77">
        <v>0.28060000000000002</v>
      </c>
    </row>
    <row r="78" spans="1:41" x14ac:dyDescent="0.2">
      <c r="A78" s="9" t="s">
        <v>54</v>
      </c>
      <c r="B78">
        <v>96</v>
      </c>
      <c r="C78" t="s">
        <v>74</v>
      </c>
      <c r="D78" t="s">
        <v>15</v>
      </c>
      <c r="E78" t="s">
        <v>75</v>
      </c>
      <c r="J78" s="22">
        <f t="shared" si="13"/>
        <v>85.437676288484525</v>
      </c>
      <c r="K78" s="12">
        <f t="shared" si="11"/>
        <v>-3.9434999999999985</v>
      </c>
      <c r="L78">
        <f t="shared" si="14"/>
        <v>49.960039999999992</v>
      </c>
      <c r="O78">
        <f t="shared" si="15"/>
        <v>46.016539999999992</v>
      </c>
      <c r="P78" s="14">
        <f t="shared" si="16"/>
        <v>2.8933416998865914E-2</v>
      </c>
      <c r="Q78" s="23">
        <f t="shared" si="17"/>
        <v>6.7877095131863889</v>
      </c>
      <c r="R78" s="23">
        <f t="shared" si="18"/>
        <v>0.63308277176833994</v>
      </c>
      <c r="X78" s="4"/>
      <c r="AG78">
        <v>0.12296534877649266</v>
      </c>
      <c r="AH78" s="32">
        <v>0.1</v>
      </c>
      <c r="AI78">
        <f t="shared" si="19"/>
        <v>0.28599999999999998</v>
      </c>
      <c r="AK78">
        <v>2.4583076981421027E-2</v>
      </c>
      <c r="AL78">
        <v>0.60979984152446354</v>
      </c>
      <c r="AM78">
        <v>0.20843472631576476</v>
      </c>
      <c r="AO78">
        <v>0.28599999999999998</v>
      </c>
    </row>
    <row r="79" spans="1:41" x14ac:dyDescent="0.2">
      <c r="A79" s="9" t="s">
        <v>55</v>
      </c>
      <c r="B79">
        <v>96</v>
      </c>
      <c r="C79" t="s">
        <v>74</v>
      </c>
      <c r="D79" t="s">
        <v>15</v>
      </c>
      <c r="E79" t="s">
        <v>75</v>
      </c>
      <c r="J79" s="22">
        <f t="shared" si="13"/>
        <v>78.017182551655893</v>
      </c>
      <c r="K79" s="12">
        <f t="shared" si="11"/>
        <v>-1.1948852735161002</v>
      </c>
      <c r="L79">
        <f t="shared" si="14"/>
        <v>45.865436000000003</v>
      </c>
      <c r="O79">
        <f t="shared" si="15"/>
        <v>44.670550726483903</v>
      </c>
      <c r="P79" s="14">
        <f t="shared" si="16"/>
        <v>2.8048986954811277E-2</v>
      </c>
      <c r="Q79" s="23">
        <f t="shared" si="17"/>
        <v>6.8284615048082777</v>
      </c>
      <c r="R79" s="23">
        <f t="shared" si="18"/>
        <v>0.63043130208442621</v>
      </c>
      <c r="X79" s="4"/>
      <c r="AG79">
        <v>0.11705368876615253</v>
      </c>
      <c r="AH79" s="32">
        <v>0.12339346122374484</v>
      </c>
      <c r="AI79">
        <f t="shared" si="19"/>
        <v>0.26740000000000003</v>
      </c>
      <c r="AK79">
        <v>2.3902222444042557E-2</v>
      </c>
      <c r="AL79">
        <v>0.61362847658852671</v>
      </c>
      <c r="AM79">
        <v>0.20762684402328649</v>
      </c>
      <c r="AO79">
        <v>0.26740000000000003</v>
      </c>
    </row>
    <row r="80" spans="1:41" x14ac:dyDescent="0.2">
      <c r="A80" s="9" t="s">
        <v>57</v>
      </c>
      <c r="B80">
        <v>96</v>
      </c>
      <c r="C80" t="s">
        <v>19</v>
      </c>
      <c r="D80" t="s">
        <v>15</v>
      </c>
      <c r="E80" t="s">
        <v>3</v>
      </c>
      <c r="J80" s="22">
        <f t="shared" si="13"/>
        <v>87.131534021152405</v>
      </c>
      <c r="K80" s="12">
        <f t="shared" si="11"/>
        <v>33.735777198622031</v>
      </c>
      <c r="L80">
        <f t="shared" si="14"/>
        <v>69.992779999999996</v>
      </c>
      <c r="O80">
        <f t="shared" ref="O80:O109" si="20">K80+L80</f>
        <v>103.72855719862203</v>
      </c>
      <c r="P80" s="14">
        <f t="shared" si="16"/>
        <v>5.1196201841923944E-2</v>
      </c>
      <c r="Q80" s="23">
        <f t="shared" si="17"/>
        <v>6.6660892084312691</v>
      </c>
      <c r="R80" s="23">
        <f t="shared" si="18"/>
        <v>0.63802624044893019</v>
      </c>
      <c r="X80" s="4"/>
      <c r="AG80">
        <v>0.12431478877018474</v>
      </c>
      <c r="AH80">
        <v>0.42068834587533105</v>
      </c>
      <c r="AI80">
        <f t="shared" si="19"/>
        <v>0.377</v>
      </c>
      <c r="AK80">
        <v>4.1721479478001498E-2</v>
      </c>
      <c r="AL80">
        <v>0.59837365731221992</v>
      </c>
      <c r="AM80">
        <v>0.20994096296432974</v>
      </c>
      <c r="AO80">
        <v>0.377</v>
      </c>
    </row>
    <row r="81" spans="1:41" x14ac:dyDescent="0.2">
      <c r="A81" s="9" t="s">
        <v>58</v>
      </c>
      <c r="B81">
        <v>96</v>
      </c>
      <c r="C81" t="s">
        <v>19</v>
      </c>
      <c r="D81" t="s">
        <v>15</v>
      </c>
      <c r="E81" t="s">
        <v>3</v>
      </c>
      <c r="J81" s="22">
        <f t="shared" si="13"/>
        <v>64.722321861215391</v>
      </c>
      <c r="K81" s="12">
        <f t="shared" si="11"/>
        <v>33.763339243382283</v>
      </c>
      <c r="L81">
        <f t="shared" si="14"/>
        <v>41.572706000000004</v>
      </c>
      <c r="O81">
        <f t="shared" si="20"/>
        <v>75.336045243382287</v>
      </c>
      <c r="P81" s="14">
        <f t="shared" si="16"/>
        <v>2.2091188758873948E-2</v>
      </c>
      <c r="Q81" s="23">
        <f t="shared" si="17"/>
        <v>6.3718220938768049</v>
      </c>
      <c r="R81" s="23">
        <f t="shared" si="18"/>
        <v>0.82065651688297259</v>
      </c>
      <c r="X81" s="4"/>
      <c r="AG81">
        <v>0.10646211641610159</v>
      </c>
      <c r="AH81">
        <v>0.42092292645118762</v>
      </c>
      <c r="AI81">
        <f t="shared" si="19"/>
        <v>0.24790000000000001</v>
      </c>
      <c r="AK81">
        <v>1.9315772716608122E-2</v>
      </c>
      <c r="AL81">
        <v>0.57072736695573134</v>
      </c>
      <c r="AM81">
        <v>0.2655869947845742</v>
      </c>
      <c r="AO81">
        <v>0.24790000000000001</v>
      </c>
    </row>
    <row r="82" spans="1:41" x14ac:dyDescent="0.2">
      <c r="A82" s="9" t="s">
        <v>59</v>
      </c>
      <c r="B82">
        <v>96</v>
      </c>
      <c r="C82" t="s">
        <v>19</v>
      </c>
      <c r="D82" t="s">
        <v>15</v>
      </c>
      <c r="E82" t="s">
        <v>3</v>
      </c>
      <c r="J82" s="22">
        <f t="shared" si="13"/>
        <v>79.705147372644106</v>
      </c>
      <c r="K82" s="12">
        <f t="shared" si="11"/>
        <v>30.900887141386665</v>
      </c>
      <c r="L82">
        <f t="shared" si="14"/>
        <v>43.950217999999992</v>
      </c>
      <c r="O82">
        <f t="shared" si="20"/>
        <v>74.851105141386654</v>
      </c>
      <c r="P82" s="14">
        <f t="shared" si="16"/>
        <v>2.8525714080355315E-3</v>
      </c>
      <c r="Q82" s="23">
        <f t="shared" si="17"/>
        <v>6.462497694356041</v>
      </c>
      <c r="R82" s="23">
        <f t="shared" si="18"/>
        <v>0.60787028784101305</v>
      </c>
      <c r="X82" s="4"/>
      <c r="AG82">
        <v>0.11839843407353981</v>
      </c>
      <c r="AH82">
        <v>0.39656059527117465</v>
      </c>
      <c r="AI82">
        <f t="shared" si="19"/>
        <v>0.25869999999999999</v>
      </c>
      <c r="AK82">
        <v>4.5054437321289699E-3</v>
      </c>
      <c r="AL82">
        <v>0.57924630724878257</v>
      </c>
      <c r="AM82">
        <v>0.20075267758714596</v>
      </c>
      <c r="AO82">
        <v>0.25869999999999999</v>
      </c>
    </row>
    <row r="83" spans="1:41" x14ac:dyDescent="0.2">
      <c r="A83" s="9" t="s">
        <v>60</v>
      </c>
      <c r="B83">
        <v>96</v>
      </c>
      <c r="C83" t="s">
        <v>74</v>
      </c>
      <c r="D83" t="s">
        <v>15</v>
      </c>
      <c r="E83" t="s">
        <v>3</v>
      </c>
      <c r="J83" s="22">
        <f t="shared" si="13"/>
        <v>74.660161674349496</v>
      </c>
      <c r="K83" s="12">
        <f t="shared" si="11"/>
        <v>33.072845831553487</v>
      </c>
      <c r="L83">
        <f t="shared" si="14"/>
        <v>46.922107999999994</v>
      </c>
      <c r="O83">
        <f t="shared" si="20"/>
        <v>79.994953831553488</v>
      </c>
      <c r="P83" s="14">
        <f t="shared" si="16"/>
        <v>5.0855332359372608E-3</v>
      </c>
      <c r="Q83" s="23">
        <f t="shared" si="17"/>
        <v>6.813680627762162</v>
      </c>
      <c r="R83" s="23">
        <f t="shared" si="18"/>
        <v>0.66109775785482761</v>
      </c>
      <c r="X83" s="4"/>
      <c r="AG83">
        <v>0.11437926213389843</v>
      </c>
      <c r="AH83">
        <v>0.41504613669988921</v>
      </c>
      <c r="AI83">
        <f t="shared" si="19"/>
        <v>0.2722</v>
      </c>
      <c r="AK83">
        <v>6.2244289730078988E-3</v>
      </c>
      <c r="AL83">
        <v>0.61223981846694497</v>
      </c>
      <c r="AM83">
        <v>0.21697067576320161</v>
      </c>
      <c r="AO83">
        <v>0.2722</v>
      </c>
    </row>
    <row r="84" spans="1:41" x14ac:dyDescent="0.2">
      <c r="A84" s="9" t="s">
        <v>61</v>
      </c>
      <c r="B84">
        <v>96</v>
      </c>
      <c r="C84" t="s">
        <v>74</v>
      </c>
      <c r="D84" t="s">
        <v>15</v>
      </c>
      <c r="E84" t="s">
        <v>3</v>
      </c>
      <c r="J84" s="22">
        <f t="shared" si="13"/>
        <v>73.309673495278318</v>
      </c>
      <c r="K84" s="12">
        <f t="shared" si="11"/>
        <v>32.840949287479589</v>
      </c>
      <c r="L84">
        <f t="shared" si="14"/>
        <v>42.453265999999999</v>
      </c>
      <c r="O84">
        <f t="shared" si="20"/>
        <v>75.294215287479588</v>
      </c>
      <c r="P84" s="14">
        <f t="shared" si="16"/>
        <v>7.2412671582128742E-3</v>
      </c>
      <c r="Q84" s="23">
        <f t="shared" si="17"/>
        <v>6.787815457350888</v>
      </c>
      <c r="R84" s="23">
        <f t="shared" si="18"/>
        <v>0.62361888145487065</v>
      </c>
      <c r="X84" s="4"/>
      <c r="AG84">
        <v>0.11330337321790505</v>
      </c>
      <c r="AH84">
        <v>0.4130724651047244</v>
      </c>
      <c r="AI84">
        <f t="shared" si="19"/>
        <v>0.25190000000000001</v>
      </c>
      <c r="AK84">
        <v>7.8839624004718046E-3</v>
      </c>
      <c r="AL84">
        <v>0.60980979494089516</v>
      </c>
      <c r="AM84">
        <v>0.20555115218003372</v>
      </c>
      <c r="AO84">
        <v>0.25190000000000001</v>
      </c>
    </row>
    <row r="85" spans="1:41" x14ac:dyDescent="0.2">
      <c r="A85" s="9" t="s">
        <v>62</v>
      </c>
      <c r="B85">
        <v>96</v>
      </c>
      <c r="C85" t="s">
        <v>74</v>
      </c>
      <c r="D85" t="s">
        <v>15</v>
      </c>
      <c r="E85" t="s">
        <v>3</v>
      </c>
      <c r="J85" s="22">
        <f t="shared" si="13"/>
        <v>71.007179287406458</v>
      </c>
      <c r="K85" s="12">
        <f t="shared" si="11"/>
        <v>32.736145227799042</v>
      </c>
      <c r="L85">
        <f t="shared" si="14"/>
        <v>41.506663999999994</v>
      </c>
      <c r="O85">
        <f t="shared" si="20"/>
        <v>74.242809227799029</v>
      </c>
      <c r="P85" s="14">
        <f t="shared" si="16"/>
        <v>4.5537957042020441E-3</v>
      </c>
      <c r="Q85" s="23">
        <f t="shared" si="17"/>
        <v>6.7822994103260124</v>
      </c>
      <c r="R85" s="23">
        <f t="shared" si="18"/>
        <v>0.61636682207609195</v>
      </c>
      <c r="X85" s="4"/>
      <c r="AG85">
        <v>0.11146905283230048</v>
      </c>
      <c r="AH85">
        <v>0.41218047770372396</v>
      </c>
      <c r="AI85">
        <f t="shared" si="19"/>
        <v>0.24759999999999999</v>
      </c>
      <c r="AK85">
        <v>5.8150852226343678E-3</v>
      </c>
      <c r="AL85">
        <v>0.60929156429218456</v>
      </c>
      <c r="AM85">
        <v>0.20334150581233759</v>
      </c>
      <c r="AO85">
        <v>0.24759999999999999</v>
      </c>
    </row>
    <row r="86" spans="1:41" x14ac:dyDescent="0.2">
      <c r="A86" s="9" t="s">
        <v>63</v>
      </c>
      <c r="B86">
        <v>96</v>
      </c>
      <c r="C86" t="s">
        <v>76</v>
      </c>
      <c r="D86" t="s">
        <v>14</v>
      </c>
      <c r="E86" t="s">
        <v>3</v>
      </c>
      <c r="J86" s="22">
        <f t="shared" si="13"/>
        <v>82.594087724043817</v>
      </c>
      <c r="K86" s="12">
        <f t="shared" si="11"/>
        <v>31.855407848275689</v>
      </c>
      <c r="L86">
        <f t="shared" si="14"/>
        <v>35.496842000000001</v>
      </c>
      <c r="O86">
        <f t="shared" si="20"/>
        <v>67.35224984827569</v>
      </c>
      <c r="P86" s="14">
        <f t="shared" si="16"/>
        <v>1.0097578485502441E-2</v>
      </c>
      <c r="Q86" s="23">
        <f t="shared" si="17"/>
        <v>6.7362598525158752</v>
      </c>
      <c r="R86" s="23">
        <f t="shared" si="18"/>
        <v>0.62974534593344711</v>
      </c>
      <c r="X86" s="4"/>
      <c r="AG86">
        <v>0.12069995655348824</v>
      </c>
      <c r="AH86">
        <v>0.40468452145432304</v>
      </c>
      <c r="AI86">
        <f t="shared" si="19"/>
        <v>0.2203</v>
      </c>
      <c r="AK86">
        <v>1.0082816386068083E-2</v>
      </c>
      <c r="AL86">
        <v>0.60496616427244221</v>
      </c>
      <c r="AM86">
        <v>0.20741783849282361</v>
      </c>
      <c r="AO86">
        <v>0.2203</v>
      </c>
    </row>
    <row r="87" spans="1:41" x14ac:dyDescent="0.2">
      <c r="A87" s="9" t="s">
        <v>64</v>
      </c>
      <c r="B87">
        <v>96</v>
      </c>
      <c r="C87" t="s">
        <v>76</v>
      </c>
      <c r="D87" t="s">
        <v>14</v>
      </c>
      <c r="E87" t="s">
        <v>3</v>
      </c>
      <c r="J87" s="22">
        <f t="shared" si="13"/>
        <v>77.482901464621321</v>
      </c>
      <c r="K87" s="12">
        <f t="shared" si="11"/>
        <v>32.832837106144943</v>
      </c>
      <c r="L87">
        <f t="shared" si="14"/>
        <v>36.113233999999999</v>
      </c>
      <c r="O87">
        <f t="shared" si="20"/>
        <v>68.946071106144942</v>
      </c>
      <c r="P87" s="14">
        <f t="shared" si="16"/>
        <v>8.5744528234593855E-3</v>
      </c>
      <c r="Q87" s="23">
        <f t="shared" si="17"/>
        <v>6.7797604425241094</v>
      </c>
      <c r="R87" s="23">
        <f t="shared" si="18"/>
        <v>0.62984948098821802</v>
      </c>
      <c r="X87" s="4"/>
      <c r="AG87">
        <v>0.11662804483348164</v>
      </c>
      <c r="AH87">
        <v>0.41300342232558784</v>
      </c>
      <c r="AI87">
        <f t="shared" si="19"/>
        <v>0.22309999999999999</v>
      </c>
      <c r="AK87">
        <v>8.9102793098224681E-3</v>
      </c>
      <c r="AL87">
        <v>0.60905302917362925</v>
      </c>
      <c r="AM87">
        <v>0.20744956763809203</v>
      </c>
      <c r="AO87">
        <v>0.22309999999999999</v>
      </c>
    </row>
    <row r="88" spans="1:41" x14ac:dyDescent="0.2">
      <c r="A88" s="9" t="s">
        <v>65</v>
      </c>
      <c r="B88">
        <v>96</v>
      </c>
      <c r="C88" t="s">
        <v>76</v>
      </c>
      <c r="D88" t="s">
        <v>14</v>
      </c>
      <c r="E88" t="s">
        <v>3</v>
      </c>
      <c r="J88" s="22">
        <f t="shared" si="13"/>
        <v>68.067162265885528</v>
      </c>
      <c r="K88" s="12">
        <f t="shared" si="11"/>
        <v>31.428787423774001</v>
      </c>
      <c r="L88">
        <f t="shared" si="14"/>
        <v>32.062657999999999</v>
      </c>
      <c r="O88">
        <f t="shared" si="20"/>
        <v>63.491445423773996</v>
      </c>
      <c r="P88" s="14">
        <f t="shared" si="16"/>
        <v>9.5264113421747107E-3</v>
      </c>
      <c r="Q88" s="23">
        <f t="shared" si="17"/>
        <v>6.7479977125348123</v>
      </c>
      <c r="R88" s="23">
        <f t="shared" si="18"/>
        <v>0.61068950110354958</v>
      </c>
      <c r="X88" s="4"/>
      <c r="AG88">
        <v>0.10912683927182214</v>
      </c>
      <c r="AH88">
        <v>0.40105355482168598</v>
      </c>
      <c r="AI88">
        <f t="shared" si="19"/>
        <v>0.20469999999999999</v>
      </c>
      <c r="AK88">
        <v>9.6431188161468142E-3</v>
      </c>
      <c r="AL88">
        <v>0.60606893203070389</v>
      </c>
      <c r="AM88">
        <v>0.2016116700498323</v>
      </c>
      <c r="AO88">
        <v>0.20469999999999999</v>
      </c>
    </row>
    <row r="89" spans="1:41" x14ac:dyDescent="0.2">
      <c r="A89" s="9" t="s">
        <v>66</v>
      </c>
      <c r="B89">
        <v>96</v>
      </c>
      <c r="C89" t="s">
        <v>76</v>
      </c>
      <c r="D89" t="s">
        <v>15</v>
      </c>
      <c r="E89" t="s">
        <v>3</v>
      </c>
      <c r="J89" s="22">
        <f t="shared" si="13"/>
        <v>69.725645708776511</v>
      </c>
      <c r="K89" s="12">
        <f t="shared" si="11"/>
        <v>31.403363049454285</v>
      </c>
      <c r="L89">
        <f t="shared" si="14"/>
        <v>35.078576000000005</v>
      </c>
      <c r="O89">
        <f t="shared" si="20"/>
        <v>66.481939049454297</v>
      </c>
      <c r="P89" s="14">
        <f t="shared" si="16"/>
        <v>8.2718823304855794E-3</v>
      </c>
      <c r="Q89" s="23">
        <f t="shared" si="17"/>
        <v>6.9586435732676994</v>
      </c>
      <c r="R89" s="23">
        <f t="shared" si="18"/>
        <v>0.64517995318670507</v>
      </c>
      <c r="X89" s="4"/>
      <c r="AG89">
        <v>0.11044809774799196</v>
      </c>
      <c r="AH89">
        <v>0.40083716795994967</v>
      </c>
      <c r="AI89">
        <f t="shared" si="19"/>
        <v>0.21840000000000001</v>
      </c>
      <c r="AK89">
        <v>8.6773536031451732E-3</v>
      </c>
      <c r="AL89">
        <v>0.62585903544416566</v>
      </c>
      <c r="AM89">
        <v>0.21212064387163468</v>
      </c>
      <c r="AO89">
        <v>0.21840000000000001</v>
      </c>
    </row>
    <row r="90" spans="1:41" x14ac:dyDescent="0.2">
      <c r="A90" s="9" t="s">
        <v>67</v>
      </c>
      <c r="B90">
        <v>96</v>
      </c>
      <c r="C90" t="s">
        <v>76</v>
      </c>
      <c r="D90" t="s">
        <v>15</v>
      </c>
      <c r="E90" t="s">
        <v>3</v>
      </c>
      <c r="J90" s="22">
        <f t="shared" si="13"/>
        <v>65.647364649346983</v>
      </c>
      <c r="K90" s="12">
        <f t="shared" si="11"/>
        <v>32.390039207870913</v>
      </c>
      <c r="L90">
        <f t="shared" si="14"/>
        <v>33.625651999999995</v>
      </c>
      <c r="O90">
        <f t="shared" si="20"/>
        <v>66.015691207870901</v>
      </c>
      <c r="P90" s="14">
        <f t="shared" si="16"/>
        <v>5.7835117636173281E-3</v>
      </c>
      <c r="Q90" s="23">
        <f t="shared" si="17"/>
        <v>6.8557253253899946</v>
      </c>
      <c r="R90" s="23">
        <f t="shared" si="18"/>
        <v>0.62915826506198147</v>
      </c>
      <c r="X90" s="4"/>
      <c r="AG90">
        <v>0.10719906717064644</v>
      </c>
      <c r="AH90">
        <v>0.40923476920610163</v>
      </c>
      <c r="AI90">
        <f t="shared" si="19"/>
        <v>0.21179999999999999</v>
      </c>
      <c r="AK90">
        <v>6.7617488557485212E-3</v>
      </c>
      <c r="AL90">
        <v>0.6161899027987594</v>
      </c>
      <c r="AM90">
        <v>0.20723895949481461</v>
      </c>
      <c r="AO90">
        <v>0.21179999999999999</v>
      </c>
    </row>
    <row r="91" spans="1:41" x14ac:dyDescent="0.2">
      <c r="A91" s="9" t="s">
        <v>68</v>
      </c>
      <c r="B91">
        <v>96</v>
      </c>
      <c r="C91" t="s">
        <v>76</v>
      </c>
      <c r="D91" t="s">
        <v>15</v>
      </c>
      <c r="E91" t="s">
        <v>3</v>
      </c>
      <c r="J91" s="22">
        <f t="shared" si="13"/>
        <v>70.320244415813406</v>
      </c>
      <c r="K91" s="12">
        <f t="shared" si="11"/>
        <v>31.971267335386486</v>
      </c>
      <c r="L91">
        <f t="shared" si="14"/>
        <v>50.862614000000008</v>
      </c>
      <c r="O91">
        <f t="shared" si="20"/>
        <v>82.833881335386494</v>
      </c>
      <c r="P91" s="14">
        <f t="shared" si="16"/>
        <v>4.5708841412506734E-3</v>
      </c>
      <c r="Q91" s="23">
        <f t="shared" si="17"/>
        <v>6.7664741056891717</v>
      </c>
      <c r="R91" s="23">
        <f t="shared" si="18"/>
        <v>0.62082707133848414</v>
      </c>
      <c r="X91" s="4"/>
      <c r="AG91">
        <v>0.11092179471793134</v>
      </c>
      <c r="AH91">
        <v>0.40567060160335749</v>
      </c>
      <c r="AI91">
        <f t="shared" si="19"/>
        <v>0.29010000000000002</v>
      </c>
      <c r="AK91">
        <v>5.8282402934955145E-3</v>
      </c>
      <c r="AL91">
        <v>0.60780478257132398</v>
      </c>
      <c r="AM91">
        <v>0.20470050924390135</v>
      </c>
      <c r="AO91">
        <v>0.29010000000000002</v>
      </c>
    </row>
    <row r="92" spans="1:41" s="5" customFormat="1" x14ac:dyDescent="0.2">
      <c r="A92" s="13" t="s">
        <v>71</v>
      </c>
      <c r="B92" s="5">
        <f>B62+48</f>
        <v>144</v>
      </c>
      <c r="C92" s="5" t="s">
        <v>19</v>
      </c>
      <c r="D92" s="5" t="s">
        <v>14</v>
      </c>
      <c r="E92" s="5" t="s">
        <v>75</v>
      </c>
      <c r="J92" s="24">
        <f t="shared" si="13"/>
        <v>82.762708765407098</v>
      </c>
      <c r="K92" s="12">
        <f t="shared" si="11"/>
        <v>-3.9434999999999985</v>
      </c>
      <c r="L92">
        <f t="shared" si="14"/>
        <v>26.449087999999996</v>
      </c>
      <c r="M92"/>
      <c r="O92">
        <f t="shared" si="20"/>
        <v>22.505587999999996</v>
      </c>
      <c r="P92" s="14">
        <f t="shared" si="16"/>
        <v>3.2447683916171882E-3</v>
      </c>
      <c r="Q92" s="25">
        <f t="shared" si="17"/>
        <v>6.2444176293448104</v>
      </c>
      <c r="R92" s="25">
        <f t="shared" si="18"/>
        <v>0.7246829952851388</v>
      </c>
      <c r="S92">
        <f>J2-J92</f>
        <v>5.1497025359635558</v>
      </c>
      <c r="T92">
        <f>(S92/J2)*100</f>
        <v>5.8577650865586781</v>
      </c>
      <c r="U92">
        <f>(J32-J92)/(B92-B32)*24</f>
        <v>2.3635608660113014</v>
      </c>
      <c r="V92">
        <f>(L32-L92)/(B92-B32)*24</f>
        <v>0.96311250000000115</v>
      </c>
      <c r="X92" s="6"/>
      <c r="Y92">
        <f>Q2-Q92</f>
        <v>0.72775847790441794</v>
      </c>
      <c r="Z92">
        <f>R92-R2</f>
        <v>-0.32915604530972553</v>
      </c>
      <c r="AA92" s="4">
        <f>2*Z92/Y92*100</f>
        <v>-90.457495255165171</v>
      </c>
      <c r="AB92">
        <f>4*(S92/12)/(8*Y92)*100</f>
        <v>29.483811664597702</v>
      </c>
      <c r="AG92" s="5">
        <v>0.12083429131644099</v>
      </c>
      <c r="AH92" s="32">
        <v>0.1</v>
      </c>
      <c r="AI92">
        <f>AVERAGE(AO92:AQ92)</f>
        <v>0.1792</v>
      </c>
      <c r="AK92" s="5">
        <v>4.8073659673727393E-3</v>
      </c>
      <c r="AL92" s="5">
        <v>0.55875776299744551</v>
      </c>
      <c r="AM92" s="5">
        <v>0.23634460551040182</v>
      </c>
      <c r="AO92" s="5">
        <v>0.1792</v>
      </c>
    </row>
    <row r="93" spans="1:41" x14ac:dyDescent="0.2">
      <c r="A93" s="9" t="s">
        <v>48</v>
      </c>
      <c r="B93">
        <f t="shared" ref="B93:B111" si="21">B63+48</f>
        <v>144</v>
      </c>
      <c r="C93" t="s">
        <v>19</v>
      </c>
      <c r="D93" t="s">
        <v>14</v>
      </c>
      <c r="E93" t="s">
        <v>75</v>
      </c>
      <c r="J93" s="22">
        <f t="shared" si="13"/>
        <v>45.080971983227599</v>
      </c>
      <c r="K93" s="12">
        <f t="shared" ref="K93:K109" si="22">(3.9165*AH93-0.5231)*30</f>
        <v>-3.9434999999999985</v>
      </c>
      <c r="L93">
        <f t="shared" si="14"/>
        <v>16.366675999999998</v>
      </c>
      <c r="O93">
        <f t="shared" si="20"/>
        <v>12.423176</v>
      </c>
      <c r="P93" s="14">
        <f t="shared" si="16"/>
        <v>6.5972023931834796E-3</v>
      </c>
      <c r="Q93" s="23">
        <f t="shared" si="17"/>
        <v>5.4949951557989003</v>
      </c>
      <c r="R93" s="23">
        <f t="shared" si="18"/>
        <v>1.1289225080952401</v>
      </c>
      <c r="S93">
        <f t="shared" ref="S93:S121" si="23">J3-J93</f>
        <v>37.321696387672446</v>
      </c>
      <c r="T93">
        <f t="shared" ref="T93:T121" si="24">(S93/J3)*100</f>
        <v>45.29185416628129</v>
      </c>
      <c r="U93">
        <f t="shared" ref="U93:U121" si="25">(J33-J93)/(B93-B33)*24</f>
        <v>10.783036175215216</v>
      </c>
      <c r="V93">
        <f t="shared" ref="V93:V121" si="26">(L33-L93)/(B93-B33)*24</f>
        <v>2.7655087500000013</v>
      </c>
      <c r="X93" s="28"/>
      <c r="Y93">
        <f t="shared" ref="Y93:Y121" si="27">Q3-Q93</f>
        <v>1.6281419931741539</v>
      </c>
      <c r="Z93">
        <f t="shared" ref="Z93:Z121" si="28">R93-R3</f>
        <v>0.42006965437378752</v>
      </c>
      <c r="AA93" s="4">
        <f t="shared" ref="AA93:AA121" si="29">2*Z93/Y93*100</f>
        <v>51.601108028033629</v>
      </c>
      <c r="AB93">
        <f t="shared" ref="AB93:AB121" si="30">4*(S93/12)/(8*Y93)*100</f>
        <v>95.511981715304074</v>
      </c>
      <c r="AD93" s="28">
        <f>AVERAGE(AB92:AB94)</f>
        <v>75.020711332159763</v>
      </c>
      <c r="AG93">
        <v>9.0814507679971318E-2</v>
      </c>
      <c r="AH93" s="32">
        <v>0.1</v>
      </c>
      <c r="AI93">
        <f t="shared" si="19"/>
        <v>0.13339999999999999</v>
      </c>
      <c r="AK93">
        <v>7.3881465690403998E-3</v>
      </c>
      <c r="AL93">
        <v>0.48834978915810784</v>
      </c>
      <c r="AM93">
        <v>0.35951325657990252</v>
      </c>
      <c r="AO93">
        <v>0.13339999999999999</v>
      </c>
    </row>
    <row r="94" spans="1:41" x14ac:dyDescent="0.2">
      <c r="A94" s="9" t="s">
        <v>49</v>
      </c>
      <c r="B94">
        <f t="shared" si="21"/>
        <v>144</v>
      </c>
      <c r="C94" t="s">
        <v>19</v>
      </c>
      <c r="D94" t="s">
        <v>14</v>
      </c>
      <c r="E94" t="s">
        <v>75</v>
      </c>
      <c r="J94" s="22">
        <f t="shared" si="13"/>
        <v>57.7398019455119</v>
      </c>
      <c r="K94" s="12">
        <f t="shared" si="22"/>
        <v>-3.9434999999999985</v>
      </c>
      <c r="L94">
        <f t="shared" si="14"/>
        <v>22.332469999999994</v>
      </c>
      <c r="O94">
        <f t="shared" si="20"/>
        <v>18.388969999999993</v>
      </c>
      <c r="P94" s="14">
        <f t="shared" si="16"/>
        <v>1.7832258219060374E-2</v>
      </c>
      <c r="Q94" s="23">
        <f t="shared" si="17"/>
        <v>5.9907867100583774</v>
      </c>
      <c r="R94" s="23">
        <f t="shared" si="18"/>
        <v>0.87380423368600657</v>
      </c>
      <c r="S94">
        <f t="shared" si="23"/>
        <v>28.695189747369298</v>
      </c>
      <c r="T94">
        <f t="shared" si="24"/>
        <v>33.198579863729705</v>
      </c>
      <c r="U94">
        <f t="shared" si="25"/>
        <v>8.3604216138629326</v>
      </c>
      <c r="V94">
        <f t="shared" si="26"/>
        <v>0.93284325000000212</v>
      </c>
      <c r="X94" s="4"/>
      <c r="Y94">
        <f t="shared" si="27"/>
        <v>1.1948402417568893</v>
      </c>
      <c r="Z94">
        <f t="shared" si="28"/>
        <v>0.18756439099532984</v>
      </c>
      <c r="AA94" s="4">
        <f t="shared" si="29"/>
        <v>31.395727134120584</v>
      </c>
      <c r="AB94">
        <f t="shared" si="30"/>
        <v>100.06634061657753</v>
      </c>
      <c r="AG94">
        <v>0.10089937554992448</v>
      </c>
      <c r="AH94" s="32">
        <v>0.1</v>
      </c>
      <c r="AI94">
        <f t="shared" si="19"/>
        <v>0.1605</v>
      </c>
      <c r="AK94">
        <v>1.6037150284111144E-2</v>
      </c>
      <c r="AL94">
        <v>0.53492922867891557</v>
      </c>
      <c r="AM94">
        <v>0.28178069277452972</v>
      </c>
      <c r="AO94">
        <v>0.1605</v>
      </c>
    </row>
    <row r="95" spans="1:41" x14ac:dyDescent="0.2">
      <c r="A95" s="9" t="s">
        <v>50</v>
      </c>
      <c r="B95">
        <f t="shared" si="21"/>
        <v>144</v>
      </c>
      <c r="C95" t="s">
        <v>20</v>
      </c>
      <c r="D95" t="s">
        <v>14</v>
      </c>
      <c r="E95" t="s">
        <v>75</v>
      </c>
      <c r="J95" s="22">
        <f t="shared" si="13"/>
        <v>22.657313376737132</v>
      </c>
      <c r="K95" s="12">
        <f t="shared" si="22"/>
        <v>-3.9434999999999985</v>
      </c>
      <c r="L95">
        <f t="shared" si="14"/>
        <v>25.084219999999995</v>
      </c>
      <c r="O95">
        <f t="shared" si="20"/>
        <v>21.140719999999995</v>
      </c>
      <c r="P95" s="14">
        <f t="shared" si="16"/>
        <v>7.3719396124574043E-3</v>
      </c>
      <c r="Q95" s="23">
        <f t="shared" si="17"/>
        <v>1.9928860101176813</v>
      </c>
      <c r="R95" s="23">
        <f t="shared" si="18"/>
        <v>4.077875425895094</v>
      </c>
      <c r="S95">
        <f t="shared" si="23"/>
        <v>69.21772118320547</v>
      </c>
      <c r="T95">
        <f t="shared" si="24"/>
        <v>75.338987914116444</v>
      </c>
      <c r="U95">
        <f t="shared" si="25"/>
        <v>17.816487481559971</v>
      </c>
      <c r="V95">
        <f t="shared" si="26"/>
        <v>-0.43752824999999884</v>
      </c>
      <c r="X95" s="4"/>
      <c r="Y95">
        <f t="shared" si="27"/>
        <v>5.2465021291458545</v>
      </c>
      <c r="Z95">
        <f t="shared" si="28"/>
        <v>3.4052863548730059</v>
      </c>
      <c r="AA95" s="4">
        <f t="shared" si="29"/>
        <v>129.81168294798334</v>
      </c>
      <c r="AB95">
        <f t="shared" si="30"/>
        <v>54.971324607780723</v>
      </c>
      <c r="AG95">
        <v>7.2950326323467249E-2</v>
      </c>
      <c r="AH95" s="32">
        <v>0.1</v>
      </c>
      <c r="AI95">
        <f t="shared" si="19"/>
        <v>0.17299999999999999</v>
      </c>
      <c r="AK95">
        <v>7.9845570534699036E-3</v>
      </c>
      <c r="AL95">
        <v>0.15932788520459237</v>
      </c>
      <c r="AM95">
        <v>1.2580363881459762</v>
      </c>
      <c r="AO95">
        <v>0.17299999999999999</v>
      </c>
    </row>
    <row r="96" spans="1:41" x14ac:dyDescent="0.2">
      <c r="A96" s="9" t="s">
        <v>51</v>
      </c>
      <c r="B96">
        <f t="shared" si="21"/>
        <v>144</v>
      </c>
      <c r="C96" t="s">
        <v>20</v>
      </c>
      <c r="D96" t="s">
        <v>14</v>
      </c>
      <c r="E96" t="s">
        <v>75</v>
      </c>
      <c r="J96" s="22">
        <f t="shared" si="13"/>
        <v>44.095761169453553</v>
      </c>
      <c r="K96" s="12">
        <f t="shared" si="22"/>
        <v>-3.9434999999999985</v>
      </c>
      <c r="L96">
        <f t="shared" si="14"/>
        <v>24.665953999999999</v>
      </c>
      <c r="O96">
        <f t="shared" si="20"/>
        <v>20.722453999999999</v>
      </c>
      <c r="P96" s="14">
        <f t="shared" si="16"/>
        <v>1.3282284833873786E-2</v>
      </c>
      <c r="Q96" s="23">
        <f t="shared" si="17"/>
        <v>4.1757459190276007</v>
      </c>
      <c r="R96" s="23">
        <f t="shared" si="18"/>
        <v>2.3523233475305485</v>
      </c>
      <c r="S96">
        <f t="shared" si="23"/>
        <v>41.17119127301153</v>
      </c>
      <c r="T96">
        <f t="shared" si="24"/>
        <v>48.285050765467773</v>
      </c>
      <c r="U96">
        <f t="shared" si="25"/>
        <v>14.192004157654583</v>
      </c>
      <c r="V96">
        <f t="shared" si="26"/>
        <v>-0.59437799999999896</v>
      </c>
      <c r="X96" s="28"/>
      <c r="Y96">
        <f t="shared" si="27"/>
        <v>3.0825588967928192</v>
      </c>
      <c r="Z96">
        <f t="shared" si="28"/>
        <v>1.6670380636338167</v>
      </c>
      <c r="AA96" s="4">
        <f t="shared" si="29"/>
        <v>108.15936495930376</v>
      </c>
      <c r="AB96">
        <f t="shared" si="30"/>
        <v>55.650722678063545</v>
      </c>
      <c r="AG96">
        <v>9.0029623064997996E-2</v>
      </c>
      <c r="AH96" s="32">
        <v>0.1</v>
      </c>
      <c r="AI96">
        <f t="shared" si="19"/>
        <v>0.1711</v>
      </c>
      <c r="AK96">
        <v>1.2534476392512537E-2</v>
      </c>
      <c r="AL96">
        <v>0.3644067943468246</v>
      </c>
      <c r="AM96">
        <v>0.73227402423234267</v>
      </c>
      <c r="AO96">
        <v>0.1711</v>
      </c>
    </row>
    <row r="97" spans="1:41" x14ac:dyDescent="0.2">
      <c r="A97" s="9" t="s">
        <v>52</v>
      </c>
      <c r="B97">
        <f t="shared" si="21"/>
        <v>144</v>
      </c>
      <c r="C97" t="s">
        <v>20</v>
      </c>
      <c r="D97" t="s">
        <v>14</v>
      </c>
      <c r="E97" t="s">
        <v>75</v>
      </c>
      <c r="J97" s="22">
        <f t="shared" si="13"/>
        <v>46.344075706180753</v>
      </c>
      <c r="K97" s="12">
        <f t="shared" si="22"/>
        <v>-3.9434999999999985</v>
      </c>
      <c r="L97">
        <f t="shared" si="14"/>
        <v>29.619104</v>
      </c>
      <c r="O97">
        <f t="shared" si="20"/>
        <v>25.675604</v>
      </c>
      <c r="P97" s="14">
        <f t="shared" si="16"/>
        <v>1.6486774065911678E-2</v>
      </c>
      <c r="Q97" s="23">
        <f t="shared" si="17"/>
        <v>5.0230628016926042</v>
      </c>
      <c r="R97" s="23">
        <f t="shared" si="18"/>
        <v>1.741956334442109</v>
      </c>
      <c r="S97">
        <f t="shared" si="23"/>
        <v>44.13754677531184</v>
      </c>
      <c r="T97">
        <f t="shared" si="24"/>
        <v>48.780675638679973</v>
      </c>
      <c r="U97">
        <f t="shared" si="25"/>
        <v>11.80019617168861</v>
      </c>
      <c r="V97">
        <f t="shared" si="26"/>
        <v>-0.61639199999999938</v>
      </c>
      <c r="X97" s="4"/>
      <c r="Y97">
        <f t="shared" si="27"/>
        <v>2.2959539388029473</v>
      </c>
      <c r="Z97">
        <f t="shared" si="28"/>
        <v>1.0751434490088558</v>
      </c>
      <c r="AA97" s="4">
        <f t="shared" si="29"/>
        <v>93.655489410158523</v>
      </c>
      <c r="AB97">
        <f t="shared" si="30"/>
        <v>80.100232756854368</v>
      </c>
      <c r="AG97">
        <v>9.1820780312590666E-2</v>
      </c>
      <c r="AH97" s="32">
        <v>0.1</v>
      </c>
      <c r="AI97">
        <f t="shared" si="19"/>
        <v>0.19359999999999999</v>
      </c>
      <c r="AK97">
        <v>1.5001365716637167E-2</v>
      </c>
      <c r="AL97">
        <v>0.44401191297375087</v>
      </c>
      <c r="AM97">
        <v>0.54629991908656583</v>
      </c>
      <c r="AO97">
        <v>0.19359999999999999</v>
      </c>
    </row>
    <row r="98" spans="1:41" x14ac:dyDescent="0.2">
      <c r="A98" s="9" t="s">
        <v>53</v>
      </c>
      <c r="B98">
        <f t="shared" si="21"/>
        <v>144</v>
      </c>
      <c r="C98" t="s">
        <v>74</v>
      </c>
      <c r="D98" t="s">
        <v>14</v>
      </c>
      <c r="E98" t="s">
        <v>75</v>
      </c>
      <c r="J98" s="22">
        <f t="shared" ref="J98:J128" si="31">30*(AG98-0.0549)/0.0239</f>
        <v>70.90470453182391</v>
      </c>
      <c r="K98" s="12">
        <f t="shared" si="22"/>
        <v>-3.9434999999999985</v>
      </c>
      <c r="L98">
        <f t="shared" si="14"/>
        <v>18.369949999999996</v>
      </c>
      <c r="O98">
        <f t="shared" si="20"/>
        <v>14.426449999999997</v>
      </c>
      <c r="P98" s="14">
        <f t="shared" si="16"/>
        <v>1.370737697940351E-3</v>
      </c>
      <c r="Q98" s="23">
        <f t="shared" si="17"/>
        <v>6.7527328278945866</v>
      </c>
      <c r="R98" s="23">
        <f t="shared" si="18"/>
        <v>0.62746342278246015</v>
      </c>
      <c r="S98">
        <f t="shared" si="23"/>
        <v>18.115109664431245</v>
      </c>
      <c r="T98">
        <f t="shared" si="24"/>
        <v>20.349525359033276</v>
      </c>
      <c r="U98">
        <f t="shared" si="25"/>
        <v>5.0769473849402225</v>
      </c>
      <c r="V98">
        <f t="shared" si="26"/>
        <v>2.248179750000002</v>
      </c>
      <c r="X98" s="4"/>
      <c r="Y98">
        <f t="shared" si="27"/>
        <v>0.21032232413562912</v>
      </c>
      <c r="Z98">
        <f t="shared" si="28"/>
        <v>-5.9390712448163518E-2</v>
      </c>
      <c r="AA98" s="4">
        <f t="shared" si="29"/>
        <v>-56.475899733653222</v>
      </c>
      <c r="AB98">
        <f t="shared" si="30"/>
        <v>358.87594867543788</v>
      </c>
      <c r="AG98">
        <v>0.11138741461035305</v>
      </c>
      <c r="AH98" s="32">
        <v>0.1</v>
      </c>
      <c r="AI98">
        <f t="shared" si="19"/>
        <v>0.14249999999999999</v>
      </c>
      <c r="AK98">
        <v>3.3646941477600855E-3</v>
      </c>
      <c r="AL98">
        <v>0.60651379442827758</v>
      </c>
      <c r="AM98">
        <v>0.2067225541689397</v>
      </c>
      <c r="AO98">
        <v>0.14249999999999999</v>
      </c>
    </row>
    <row r="99" spans="1:41" x14ac:dyDescent="0.2">
      <c r="A99" s="9" t="s">
        <v>54</v>
      </c>
      <c r="B99">
        <f t="shared" si="21"/>
        <v>144</v>
      </c>
      <c r="C99" t="s">
        <v>74</v>
      </c>
      <c r="D99" t="s">
        <v>14</v>
      </c>
      <c r="E99" t="s">
        <v>75</v>
      </c>
      <c r="J99" s="22">
        <f t="shared" si="31"/>
        <v>37.413660290460754</v>
      </c>
      <c r="K99" s="12">
        <f t="shared" si="22"/>
        <v>-3.9434999999999985</v>
      </c>
      <c r="L99">
        <f t="shared" si="14"/>
        <v>24.687967999999998</v>
      </c>
      <c r="O99">
        <f t="shared" si="20"/>
        <v>20.744467999999998</v>
      </c>
      <c r="P99" s="14">
        <f t="shared" si="16"/>
        <v>4.9169486944758492E-3</v>
      </c>
      <c r="Q99" s="23">
        <f t="shared" ref="Q99:Q129" si="32">(0.3548*AL99 + 0.0099)*30</f>
        <v>3.8593611589714296</v>
      </c>
      <c r="R99" s="23">
        <f t="shared" ref="R99:R129" si="33">(0.1094*AM99 - 0.0017)*30</f>
        <v>2.3247964304801019</v>
      </c>
      <c r="S99">
        <f t="shared" si="23"/>
        <v>50.799534856999273</v>
      </c>
      <c r="T99">
        <f t="shared" si="24"/>
        <v>57.5872291804884</v>
      </c>
      <c r="U99">
        <f t="shared" si="25"/>
        <v>16.25502970113229</v>
      </c>
      <c r="V99">
        <f t="shared" si="26"/>
        <v>0.59712975000000057</v>
      </c>
      <c r="X99" s="4"/>
      <c r="Y99">
        <f t="shared" si="27"/>
        <v>3.3211663881343494</v>
      </c>
      <c r="Z99">
        <f t="shared" si="28"/>
        <v>1.6230092506437059</v>
      </c>
      <c r="AA99" s="4">
        <f t="shared" si="29"/>
        <v>97.737304366459298</v>
      </c>
      <c r="AB99">
        <f t="shared" si="30"/>
        <v>63.732045864083332</v>
      </c>
      <c r="AG99">
        <v>8.4706216031400397E-2</v>
      </c>
      <c r="AH99" s="32">
        <v>0.1</v>
      </c>
      <c r="AI99">
        <f t="shared" si="19"/>
        <v>0.17119999999999999</v>
      </c>
      <c r="AK99">
        <v>6.0946487255395298E-3</v>
      </c>
      <c r="AL99">
        <v>0.33468255909164124</v>
      </c>
      <c r="AM99">
        <v>0.72388678564293174</v>
      </c>
      <c r="AO99">
        <v>0.17119999999999999</v>
      </c>
    </row>
    <row r="100" spans="1:41" x14ac:dyDescent="0.2">
      <c r="A100" s="9" t="s">
        <v>55</v>
      </c>
      <c r="B100">
        <f t="shared" si="21"/>
        <v>144</v>
      </c>
      <c r="C100" t="s">
        <v>74</v>
      </c>
      <c r="D100" t="s">
        <v>14</v>
      </c>
      <c r="E100" t="s">
        <v>75</v>
      </c>
      <c r="J100" s="22">
        <f t="shared" si="31"/>
        <v>79.253848752760945</v>
      </c>
      <c r="K100" s="12">
        <f t="shared" si="22"/>
        <v>-3.9434999999999985</v>
      </c>
      <c r="L100">
        <f t="shared" si="14"/>
        <v>23.191015999999998</v>
      </c>
      <c r="O100">
        <f t="shared" si="20"/>
        <v>19.247515999999997</v>
      </c>
      <c r="P100" s="14">
        <f t="shared" si="16"/>
        <v>1.2293556767560508E-3</v>
      </c>
      <c r="Q100" s="23">
        <f t="shared" si="32"/>
        <v>6.4521232083446671</v>
      </c>
      <c r="R100" s="23">
        <f t="shared" si="33"/>
        <v>0.75247993736301</v>
      </c>
      <c r="S100">
        <f t="shared" si="23"/>
        <v>9.705441379767862</v>
      </c>
      <c r="T100">
        <f t="shared" si="24"/>
        <v>10.90998069488751</v>
      </c>
      <c r="U100">
        <f t="shared" si="25"/>
        <v>4.9619808381227486</v>
      </c>
      <c r="V100">
        <f t="shared" si="26"/>
        <v>0.38249324999999956</v>
      </c>
      <c r="X100" s="4"/>
      <c r="Y100">
        <f t="shared" si="27"/>
        <v>0.80684267018485567</v>
      </c>
      <c r="Z100">
        <f t="shared" si="28"/>
        <v>6.4125766265276773E-2</v>
      </c>
      <c r="AA100" s="4">
        <f t="shared" si="29"/>
        <v>15.895482139184564</v>
      </c>
      <c r="AB100">
        <f t="shared" si="30"/>
        <v>50.120476490293996</v>
      </c>
      <c r="AG100">
        <v>0.11803889950636623</v>
      </c>
      <c r="AH100" s="32">
        <v>0.1</v>
      </c>
      <c r="AI100">
        <f t="shared" si="19"/>
        <v>0.16439999999999999</v>
      </c>
      <c r="AK100">
        <v>3.2558550244465366E-3</v>
      </c>
      <c r="AL100">
        <v>0.5782716279917951</v>
      </c>
      <c r="AM100">
        <v>0.24481411863589581</v>
      </c>
      <c r="AO100">
        <v>0.16439999999999999</v>
      </c>
    </row>
    <row r="101" spans="1:41" x14ac:dyDescent="0.2">
      <c r="A101" s="9" t="s">
        <v>56</v>
      </c>
      <c r="B101">
        <f t="shared" si="21"/>
        <v>144</v>
      </c>
      <c r="C101" t="s">
        <v>19</v>
      </c>
      <c r="D101" t="s">
        <v>15</v>
      </c>
      <c r="E101" t="s">
        <v>75</v>
      </c>
      <c r="J101" s="22">
        <f t="shared" si="31"/>
        <v>82.841598348507716</v>
      </c>
      <c r="K101" s="12">
        <f t="shared" si="22"/>
        <v>-1.3338593715626428</v>
      </c>
      <c r="L101">
        <f t="shared" si="14"/>
        <v>24.357758</v>
      </c>
      <c r="O101">
        <f t="shared" si="20"/>
        <v>23.023898628437358</v>
      </c>
      <c r="P101" s="14">
        <f t="shared" si="16"/>
        <v>4.4426227639942232E-3</v>
      </c>
      <c r="Q101" s="23">
        <f t="shared" si="32"/>
        <v>6.2241591063215784</v>
      </c>
      <c r="R101" s="23">
        <f t="shared" si="33"/>
        <v>0.7024417473236092</v>
      </c>
      <c r="S101">
        <f t="shared" si="23"/>
        <v>11.867290860535505</v>
      </c>
      <c r="T101">
        <f t="shared" si="24"/>
        <v>12.530281961539849</v>
      </c>
      <c r="U101">
        <f t="shared" si="25"/>
        <v>4.3477184339346984</v>
      </c>
      <c r="V101">
        <f t="shared" si="26"/>
        <v>2.0473019999999993</v>
      </c>
      <c r="X101" s="4"/>
      <c r="Y101">
        <f t="shared" si="27"/>
        <v>1.3805320531441616</v>
      </c>
      <c r="Z101">
        <f t="shared" si="28"/>
        <v>-0.11203507900102183</v>
      </c>
      <c r="AA101" s="4">
        <f t="shared" si="29"/>
        <v>-16.230710289683163</v>
      </c>
      <c r="AB101">
        <f t="shared" si="30"/>
        <v>35.817382971743129</v>
      </c>
      <c r="AG101">
        <v>0.12089714001764447</v>
      </c>
      <c r="AH101" s="32">
        <v>0.12221065261021624</v>
      </c>
      <c r="AI101">
        <f t="shared" si="19"/>
        <v>0.16969999999999999</v>
      </c>
      <c r="AK101">
        <v>5.7295017428746911E-3</v>
      </c>
      <c r="AL101">
        <v>0.5568544819918807</v>
      </c>
      <c r="AM101">
        <v>0.22956786938562135</v>
      </c>
      <c r="AO101">
        <v>0.16969999999999999</v>
      </c>
    </row>
    <row r="102" spans="1:41" x14ac:dyDescent="0.2">
      <c r="A102" s="9" t="s">
        <v>48</v>
      </c>
      <c r="B102">
        <f t="shared" si="21"/>
        <v>144</v>
      </c>
      <c r="C102" t="s">
        <v>19</v>
      </c>
      <c r="D102" t="s">
        <v>15</v>
      </c>
      <c r="E102" t="s">
        <v>75</v>
      </c>
      <c r="J102" s="22">
        <f t="shared" si="31"/>
        <v>76.466032985094458</v>
      </c>
      <c r="K102" s="12">
        <f t="shared" si="22"/>
        <v>-3.9434999999999985</v>
      </c>
      <c r="L102">
        <f t="shared" si="14"/>
        <v>20.923573999999991</v>
      </c>
      <c r="O102">
        <f t="shared" si="20"/>
        <v>16.980073999999995</v>
      </c>
      <c r="P102" s="14">
        <f t="shared" si="16"/>
        <v>1.4269387562202743E-3</v>
      </c>
      <c r="Q102" s="23">
        <f t="shared" si="32"/>
        <v>6.2778433944130301</v>
      </c>
      <c r="R102" s="23">
        <f t="shared" si="33"/>
        <v>0.70575208172668424</v>
      </c>
      <c r="S102">
        <f t="shared" si="23"/>
        <v>15.388805216641714</v>
      </c>
      <c r="T102">
        <f t="shared" si="24"/>
        <v>16.753396465457872</v>
      </c>
      <c r="U102">
        <f t="shared" si="25"/>
        <v>5.4475361354472192</v>
      </c>
      <c r="V102">
        <f t="shared" si="26"/>
        <v>1.2025147500000015</v>
      </c>
      <c r="X102" s="4"/>
      <c r="Y102">
        <f t="shared" si="27"/>
        <v>1.0547066058934886</v>
      </c>
      <c r="Z102">
        <f t="shared" si="28"/>
        <v>-3.3314890758070481E-3</v>
      </c>
      <c r="AA102" s="4">
        <f t="shared" si="29"/>
        <v>-0.63173759549648334</v>
      </c>
      <c r="AB102">
        <f t="shared" si="30"/>
        <v>60.794178568444856</v>
      </c>
      <c r="AG102">
        <v>0.11581793961145859</v>
      </c>
      <c r="AH102" s="32">
        <v>0.1</v>
      </c>
      <c r="AI102">
        <f t="shared" si="19"/>
        <v>0.15409999999999999</v>
      </c>
      <c r="AK102">
        <v>3.4079590117169168E-3</v>
      </c>
      <c r="AL102">
        <v>0.5618981016923178</v>
      </c>
      <c r="AM102">
        <v>0.23057650265895316</v>
      </c>
      <c r="AO102">
        <v>0.15409999999999999</v>
      </c>
    </row>
    <row r="103" spans="1:41" x14ac:dyDescent="0.2">
      <c r="A103" s="9" t="s">
        <v>49</v>
      </c>
      <c r="B103">
        <f t="shared" si="21"/>
        <v>144</v>
      </c>
      <c r="C103" t="s">
        <v>19</v>
      </c>
      <c r="D103" t="s">
        <v>15</v>
      </c>
      <c r="E103" t="s">
        <v>75</v>
      </c>
      <c r="J103" s="22">
        <f t="shared" si="31"/>
        <v>64.15415220558954</v>
      </c>
      <c r="K103" s="12">
        <f t="shared" si="22"/>
        <v>-1.2938430305487669</v>
      </c>
      <c r="L103">
        <f t="shared" si="14"/>
        <v>24.842065999999996</v>
      </c>
      <c r="O103">
        <f t="shared" si="20"/>
        <v>23.548222969451228</v>
      </c>
      <c r="P103" s="14">
        <f t="shared" si="16"/>
        <v>1.1292131682211978E-2</v>
      </c>
      <c r="Q103" s="23">
        <f t="shared" si="32"/>
        <v>5.7412800145837926</v>
      </c>
      <c r="R103" s="23">
        <f t="shared" si="33"/>
        <v>1.1016215249464827</v>
      </c>
      <c r="S103">
        <f t="shared" si="23"/>
        <v>27.023349647754955</v>
      </c>
      <c r="T103">
        <f t="shared" si="24"/>
        <v>29.638177289854873</v>
      </c>
      <c r="U103">
        <f t="shared" si="25"/>
        <v>8.6441493705432464</v>
      </c>
      <c r="V103">
        <f t="shared" si="26"/>
        <v>0.31094775000000041</v>
      </c>
      <c r="X103" s="4"/>
      <c r="Y103">
        <f t="shared" si="27"/>
        <v>1.5489618468860638</v>
      </c>
      <c r="Z103">
        <f t="shared" si="28"/>
        <v>0.42237221404832659</v>
      </c>
      <c r="AA103" s="4">
        <f t="shared" si="29"/>
        <v>54.536167549567125</v>
      </c>
      <c r="AB103">
        <f t="shared" si="30"/>
        <v>72.692100470607159</v>
      </c>
      <c r="AG103">
        <v>0.106009474590453</v>
      </c>
      <c r="AH103" s="32">
        <v>0.12255123170731719</v>
      </c>
      <c r="AI103">
        <f t="shared" si="19"/>
        <v>0.1719</v>
      </c>
      <c r="AK103">
        <v>1.1002410840809837E-2</v>
      </c>
      <c r="AL103">
        <v>0.51148816371512518</v>
      </c>
      <c r="AM103">
        <v>0.35119485830179237</v>
      </c>
      <c r="AO103">
        <v>0.1719</v>
      </c>
    </row>
    <row r="104" spans="1:41" x14ac:dyDescent="0.2">
      <c r="A104" s="9" t="s">
        <v>50</v>
      </c>
      <c r="B104">
        <f t="shared" si="21"/>
        <v>144</v>
      </c>
      <c r="C104" t="s">
        <v>20</v>
      </c>
      <c r="D104" t="s">
        <v>15</v>
      </c>
      <c r="E104" t="s">
        <v>75</v>
      </c>
      <c r="J104" s="22">
        <f t="shared" si="31"/>
        <v>50.067958975595083</v>
      </c>
      <c r="K104" s="12">
        <f t="shared" si="22"/>
        <v>-0.69376248975000943</v>
      </c>
      <c r="L104">
        <f t="shared" si="14"/>
        <v>24.886093999999996</v>
      </c>
      <c r="O104">
        <f t="shared" si="20"/>
        <v>24.192331510249986</v>
      </c>
      <c r="P104" s="14">
        <f t="shared" si="16"/>
        <v>6.8391895267613826E-3</v>
      </c>
      <c r="Q104" s="23">
        <f t="shared" si="32"/>
        <v>5.0649318471225921</v>
      </c>
      <c r="R104" s="23">
        <f t="shared" si="33"/>
        <v>1.7573736055479763</v>
      </c>
      <c r="S104">
        <f t="shared" si="23"/>
        <v>37.673630208013343</v>
      </c>
      <c r="T104">
        <f t="shared" si="24"/>
        <v>42.937027421713715</v>
      </c>
      <c r="U104">
        <f t="shared" si="25"/>
        <v>12.980938749661831</v>
      </c>
      <c r="V104">
        <f t="shared" si="26"/>
        <v>0.6384060000000007</v>
      </c>
      <c r="X104" s="4"/>
      <c r="Y104">
        <f t="shared" si="27"/>
        <v>2.2763157332831305</v>
      </c>
      <c r="Z104">
        <f t="shared" si="28"/>
        <v>1.0573748396011671</v>
      </c>
      <c r="AA104" s="4">
        <f t="shared" si="29"/>
        <v>92.902300339163872</v>
      </c>
      <c r="AB104">
        <f t="shared" si="30"/>
        <v>68.959440425978485</v>
      </c>
      <c r="AG104">
        <v>9.4787473983890744E-2</v>
      </c>
      <c r="AH104" s="32">
        <v>0.12765851747095613</v>
      </c>
      <c r="AI104">
        <f t="shared" si="19"/>
        <v>0.1721</v>
      </c>
      <c r="AK104">
        <v>7.5744338158286236E-3</v>
      </c>
      <c r="AL104">
        <v>0.44794549484428714</v>
      </c>
      <c r="AM104">
        <v>0.55099744227543457</v>
      </c>
      <c r="AO104">
        <v>0.1721</v>
      </c>
    </row>
    <row r="105" spans="1:41" x14ac:dyDescent="0.2">
      <c r="A105" s="9" t="s">
        <v>51</v>
      </c>
      <c r="B105">
        <f t="shared" si="21"/>
        <v>144</v>
      </c>
      <c r="C105" t="s">
        <v>20</v>
      </c>
      <c r="D105" t="s">
        <v>15</v>
      </c>
      <c r="E105" t="s">
        <v>75</v>
      </c>
      <c r="J105" s="22">
        <f t="shared" si="31"/>
        <v>42.390555392071086</v>
      </c>
      <c r="K105" s="12">
        <f t="shared" si="22"/>
        <v>-3.9434999999999985</v>
      </c>
      <c r="L105">
        <f t="shared" si="14"/>
        <v>24.445813999999999</v>
      </c>
      <c r="O105">
        <f t="shared" si="20"/>
        <v>20.502313999999998</v>
      </c>
      <c r="P105" s="14">
        <f t="shared" si="16"/>
        <v>6.5440260148735612E-3</v>
      </c>
      <c r="Q105" s="23">
        <f t="shared" si="32"/>
        <v>4.7507400051275024</v>
      </c>
      <c r="R105" s="23">
        <f t="shared" si="33"/>
        <v>1.9648418594096073</v>
      </c>
      <c r="S105">
        <f t="shared" si="23"/>
        <v>47.471660884572366</v>
      </c>
      <c r="T105">
        <f t="shared" si="24"/>
        <v>52.827164576521767</v>
      </c>
      <c r="U105">
        <f t="shared" si="25"/>
        <v>14.037901075096503</v>
      </c>
      <c r="V105">
        <f t="shared" si="26"/>
        <v>0.14309099999999919</v>
      </c>
      <c r="X105" s="28"/>
      <c r="Y105">
        <f t="shared" si="27"/>
        <v>2.7205286354391074</v>
      </c>
      <c r="Z105">
        <f t="shared" si="28"/>
        <v>1.2562310045349119</v>
      </c>
      <c r="AA105" s="4">
        <f t="shared" si="29"/>
        <v>92.351978080329943</v>
      </c>
      <c r="AB105">
        <f t="shared" si="30"/>
        <v>72.705938265974481</v>
      </c>
      <c r="AG105">
        <v>8.8671142462349958E-2</v>
      </c>
      <c r="AH105" s="32">
        <v>0.1</v>
      </c>
      <c r="AI105">
        <f t="shared" si="19"/>
        <v>0.1701</v>
      </c>
      <c r="AK105">
        <v>7.347210173112826E-3</v>
      </c>
      <c r="AL105">
        <v>0.41842728345805175</v>
      </c>
      <c r="AM105">
        <v>0.6142114135922021</v>
      </c>
      <c r="AO105">
        <v>0.1701</v>
      </c>
    </row>
    <row r="106" spans="1:41" x14ac:dyDescent="0.2">
      <c r="A106" s="9" t="s">
        <v>52</v>
      </c>
      <c r="B106">
        <f t="shared" si="21"/>
        <v>144</v>
      </c>
      <c r="C106" t="s">
        <v>20</v>
      </c>
      <c r="D106" t="s">
        <v>15</v>
      </c>
      <c r="E106" t="s">
        <v>75</v>
      </c>
      <c r="J106" s="22">
        <f t="shared" si="31"/>
        <v>52.251773173360604</v>
      </c>
      <c r="K106" s="12">
        <f t="shared" si="22"/>
        <v>-7.6957510019876212</v>
      </c>
      <c r="L106">
        <f t="shared" si="14"/>
        <v>24.225674000000001</v>
      </c>
      <c r="O106">
        <f t="shared" si="20"/>
        <v>16.529922998012381</v>
      </c>
      <c r="P106" s="14">
        <f t="shared" si="16"/>
        <v>1.9899183783738286E-3</v>
      </c>
      <c r="Q106" s="23">
        <f t="shared" si="32"/>
        <v>5.6499920728145252</v>
      </c>
      <c r="R106" s="23">
        <f t="shared" si="33"/>
        <v>1.2524241233676341</v>
      </c>
      <c r="S106">
        <f t="shared" si="23"/>
        <v>41.745085961378237</v>
      </c>
      <c r="T106">
        <f t="shared" si="24"/>
        <v>44.411149846548774</v>
      </c>
      <c r="U106">
        <f t="shared" si="25"/>
        <v>11.930791102497558</v>
      </c>
      <c r="V106">
        <f t="shared" si="26"/>
        <v>1.1584867499999989</v>
      </c>
      <c r="X106" s="4"/>
      <c r="Y106">
        <f t="shared" si="27"/>
        <v>2.2788324110326128</v>
      </c>
      <c r="Z106">
        <f t="shared" si="28"/>
        <v>0.54688748336809179</v>
      </c>
      <c r="AA106" s="4">
        <f t="shared" si="29"/>
        <v>47.997165629242502</v>
      </c>
      <c r="AB106">
        <f t="shared" si="30"/>
        <v>76.327621693598985</v>
      </c>
      <c r="AG106">
        <v>9.652724596144395E-2</v>
      </c>
      <c r="AH106" s="32">
        <v>6.8064589965635802E-2</v>
      </c>
      <c r="AI106">
        <f t="shared" si="19"/>
        <v>0.1691</v>
      </c>
      <c r="AK106">
        <v>3.8413536400106461E-3</v>
      </c>
      <c r="AL106">
        <v>0.50291169417648673</v>
      </c>
      <c r="AM106">
        <v>0.39714324295174713</v>
      </c>
      <c r="AO106">
        <v>0.1691</v>
      </c>
    </row>
    <row r="107" spans="1:41" s="28" customFormat="1" x14ac:dyDescent="0.2">
      <c r="A107" s="27" t="s">
        <v>53</v>
      </c>
      <c r="B107" s="28">
        <f t="shared" si="21"/>
        <v>144</v>
      </c>
      <c r="C107" s="28" t="s">
        <v>74</v>
      </c>
      <c r="D107" s="28" t="s">
        <v>15</v>
      </c>
      <c r="E107" s="28" t="s">
        <v>75</v>
      </c>
      <c r="J107" s="29">
        <f t="shared" si="31"/>
        <v>53.866654634527102</v>
      </c>
      <c r="K107" s="12">
        <f t="shared" si="22"/>
        <v>-3.7856274893193191</v>
      </c>
      <c r="L107" s="28">
        <f t="shared" si="14"/>
        <v>21.672049999999999</v>
      </c>
      <c r="O107" s="28">
        <f t="shared" si="20"/>
        <v>17.886422510680681</v>
      </c>
      <c r="P107" s="14">
        <f t="shared" si="16"/>
        <v>3.8220220032658203E-4</v>
      </c>
      <c r="Q107" s="30">
        <f t="shared" si="32"/>
        <v>5.115560423791143</v>
      </c>
      <c r="R107" s="30">
        <f t="shared" si="33"/>
        <v>1.5744583641579664</v>
      </c>
      <c r="S107" s="28">
        <f t="shared" si="23"/>
        <v>35.875736702228899</v>
      </c>
      <c r="T107" s="28">
        <f t="shared" si="24"/>
        <v>39.976354728063939</v>
      </c>
      <c r="U107" s="28">
        <f t="shared" si="25"/>
        <v>11.952733973602578</v>
      </c>
      <c r="V107" s="28">
        <f t="shared" si="26"/>
        <v>1.9207215000000009</v>
      </c>
      <c r="X107" s="31"/>
      <c r="Y107" s="28">
        <f t="shared" si="27"/>
        <v>2.1776606652571218</v>
      </c>
      <c r="Z107" s="28">
        <f t="shared" si="28"/>
        <v>0.86364540419481217</v>
      </c>
      <c r="AA107" s="31">
        <f t="shared" si="29"/>
        <v>79.31863930626119</v>
      </c>
      <c r="AB107" s="28">
        <f t="shared" si="30"/>
        <v>68.643493747285618</v>
      </c>
      <c r="AG107" s="28">
        <v>9.7813768192173259E-2</v>
      </c>
      <c r="AH107" s="32">
        <v>0.10134365301230419</v>
      </c>
      <c r="AI107" s="28">
        <f t="shared" si="19"/>
        <v>0.1575</v>
      </c>
      <c r="AK107" s="28">
        <v>2.6036968439773537E-3</v>
      </c>
      <c r="AL107" s="28">
        <v>0.45270203154745808</v>
      </c>
      <c r="AM107" s="28">
        <v>0.49526458383850286</v>
      </c>
      <c r="AO107" s="28">
        <v>0.1575</v>
      </c>
    </row>
    <row r="108" spans="1:41" s="28" customFormat="1" x14ac:dyDescent="0.2">
      <c r="A108" s="27" t="s">
        <v>54</v>
      </c>
      <c r="B108" s="28">
        <f t="shared" si="21"/>
        <v>144</v>
      </c>
      <c r="C108" s="28" t="s">
        <v>74</v>
      </c>
      <c r="D108" s="28" t="s">
        <v>15</v>
      </c>
      <c r="E108" s="28" t="s">
        <v>75</v>
      </c>
      <c r="J108" s="29">
        <f t="shared" si="31"/>
        <v>50.346146939548433</v>
      </c>
      <c r="K108" s="12">
        <f t="shared" si="22"/>
        <v>-5.7417141562839236</v>
      </c>
      <c r="L108" s="28">
        <f t="shared" si="14"/>
        <v>21.055658000000001</v>
      </c>
      <c r="O108" s="28">
        <f t="shared" si="20"/>
        <v>15.313943843716078</v>
      </c>
      <c r="P108" s="14">
        <f t="shared" si="16"/>
        <v>3.3671497419843679E-3</v>
      </c>
      <c r="Q108" s="30">
        <f t="shared" si="32"/>
        <v>5.1867427473522723</v>
      </c>
      <c r="R108" s="30">
        <f t="shared" si="33"/>
        <v>1.4728273584249856</v>
      </c>
      <c r="S108" s="28">
        <f t="shared" si="23"/>
        <v>42.121941138670621</v>
      </c>
      <c r="T108" s="28">
        <f t="shared" si="24"/>
        <v>45.552949146130864</v>
      </c>
      <c r="U108" s="28">
        <f t="shared" si="25"/>
        <v>12.372835843604204</v>
      </c>
      <c r="V108" s="28">
        <f t="shared" si="26"/>
        <v>2.3032147499999995</v>
      </c>
      <c r="Y108" s="28">
        <f t="shared" si="27"/>
        <v>2.0740285243439995</v>
      </c>
      <c r="Z108" s="28">
        <f t="shared" si="28"/>
        <v>0.76482465410097078</v>
      </c>
      <c r="AA108" s="31">
        <f t="shared" si="29"/>
        <v>73.752568503644795</v>
      </c>
      <c r="AB108" s="28">
        <f t="shared" si="30"/>
        <v>84.621829457869296</v>
      </c>
      <c r="AD108" s="28">
        <f>AVERAGE(AB107:AB109)</f>
        <v>85.162605969674118</v>
      </c>
      <c r="AG108" s="28">
        <v>9.5009097061840256E-2</v>
      </c>
      <c r="AH108" s="32">
        <v>8.4695398474114447E-2</v>
      </c>
      <c r="AI108" s="28">
        <f t="shared" si="19"/>
        <v>0.1547</v>
      </c>
      <c r="AK108" s="28">
        <v>4.901577938402131E-3</v>
      </c>
      <c r="AL108" s="28">
        <v>0.45938958543332137</v>
      </c>
      <c r="AM108" s="28">
        <v>0.46429840293265862</v>
      </c>
      <c r="AO108" s="28">
        <v>0.1547</v>
      </c>
    </row>
    <row r="109" spans="1:41" s="28" customFormat="1" x14ac:dyDescent="0.2">
      <c r="A109" s="27" t="s">
        <v>55</v>
      </c>
      <c r="B109" s="28">
        <f t="shared" si="21"/>
        <v>144</v>
      </c>
      <c r="C109" s="28" t="s">
        <v>74</v>
      </c>
      <c r="D109" s="28" t="s">
        <v>15</v>
      </c>
      <c r="E109" s="28" t="s">
        <v>75</v>
      </c>
      <c r="J109" s="29">
        <f t="shared" si="31"/>
        <v>40.044960183557194</v>
      </c>
      <c r="K109" s="12">
        <f t="shared" si="22"/>
        <v>-6.8088916324232844</v>
      </c>
      <c r="L109" s="28">
        <f t="shared" si="14"/>
        <v>23.235044000000002</v>
      </c>
      <c r="O109" s="28">
        <f t="shared" si="20"/>
        <v>16.426152367576719</v>
      </c>
      <c r="P109" s="14">
        <f t="shared" si="16"/>
        <v>4.7418764207735088E-3</v>
      </c>
      <c r="Q109" s="30">
        <f t="shared" si="32"/>
        <v>5.1150031253273696</v>
      </c>
      <c r="R109" s="30">
        <f t="shared" si="33"/>
        <v>1.4491831595361704</v>
      </c>
      <c r="S109" s="28">
        <f t="shared" si="23"/>
        <v>52.441112196836499</v>
      </c>
      <c r="T109" s="28">
        <f t="shared" si="24"/>
        <v>56.701631766940075</v>
      </c>
      <c r="U109" s="28">
        <f t="shared" si="25"/>
        <v>14.808823327576427</v>
      </c>
      <c r="V109" s="28">
        <f t="shared" si="26"/>
        <v>1.0098922499999992</v>
      </c>
      <c r="X109" s="31"/>
      <c r="Y109" s="28">
        <f t="shared" si="27"/>
        <v>2.1375396363244752</v>
      </c>
      <c r="Z109" s="28">
        <f t="shared" si="28"/>
        <v>0.73962827250507079</v>
      </c>
      <c r="AA109" s="31">
        <f t="shared" si="29"/>
        <v>69.203701296212728</v>
      </c>
      <c r="AB109" s="28">
        <f t="shared" si="30"/>
        <v>102.22249470386744</v>
      </c>
      <c r="AG109" s="28">
        <v>8.6802484946233896E-2</v>
      </c>
      <c r="AH109" s="32">
        <v>7.5612650475141208E-2</v>
      </c>
      <c r="AI109" s="28">
        <f t="shared" si="19"/>
        <v>0.1646</v>
      </c>
      <c r="AK109" s="28">
        <v>5.9598740729588217E-3</v>
      </c>
      <c r="AL109" s="28">
        <v>0.45264967355574692</v>
      </c>
      <c r="AM109" s="28">
        <v>0.45709419851802879</v>
      </c>
      <c r="AO109" s="28">
        <v>0.1646</v>
      </c>
    </row>
    <row r="110" spans="1:41" x14ac:dyDescent="0.2">
      <c r="A110" s="9" t="s">
        <v>57</v>
      </c>
      <c r="B110">
        <f t="shared" si="21"/>
        <v>144</v>
      </c>
      <c r="C110" t="s">
        <v>19</v>
      </c>
      <c r="D110" t="s">
        <v>15</v>
      </c>
      <c r="E110" t="s">
        <v>3</v>
      </c>
      <c r="J110" s="22">
        <f t="shared" si="31"/>
        <v>86.241103201093736</v>
      </c>
      <c r="K110" s="12">
        <f t="shared" ref="K110:K139" si="34">(3.9165*AH110-0.5231)*30</f>
        <v>33.855073285292605</v>
      </c>
      <c r="L110">
        <f t="shared" si="14"/>
        <v>27.747913999999998</v>
      </c>
      <c r="O110">
        <f t="shared" ref="O110:O139" si="35">K110+L110</f>
        <v>61.602987285292599</v>
      </c>
      <c r="P110" s="14">
        <f t="shared" si="16"/>
        <v>1.4386586199407942E-3</v>
      </c>
      <c r="Q110" s="23">
        <f t="shared" si="32"/>
        <v>6.3427956750991141</v>
      </c>
      <c r="R110" s="23">
        <f t="shared" si="33"/>
        <v>0.68582733538517737</v>
      </c>
      <c r="S110">
        <f t="shared" si="23"/>
        <v>2.1800654710307867</v>
      </c>
      <c r="T110">
        <f t="shared" si="24"/>
        <v>2.4655469994009134</v>
      </c>
      <c r="U110">
        <f t="shared" si="25"/>
        <v>3.916120304065192</v>
      </c>
      <c r="V110">
        <f t="shared" si="26"/>
        <v>1.2217769999999986</v>
      </c>
      <c r="X110" s="4"/>
      <c r="Y110">
        <f t="shared" si="27"/>
        <v>0.89541998684726831</v>
      </c>
      <c r="Z110">
        <f t="shared" si="28"/>
        <v>1.887342186954466E-2</v>
      </c>
      <c r="AA110" s="4">
        <f t="shared" si="29"/>
        <v>4.2155462569016562</v>
      </c>
      <c r="AB110">
        <f t="shared" si="30"/>
        <v>10.144520183515107</v>
      </c>
      <c r="AD110" s="28">
        <f>AD108-AD93</f>
        <v>10.141894637514355</v>
      </c>
      <c r="AG110">
        <v>0.12360541221687135</v>
      </c>
      <c r="AH110">
        <v>0.42170367492482747</v>
      </c>
      <c r="AI110">
        <f t="shared" si="19"/>
        <v>0.18509999999999999</v>
      </c>
      <c r="AK110">
        <v>3.4169812316711275E-3</v>
      </c>
      <c r="AL110">
        <v>0.5680003452742497</v>
      </c>
      <c r="AM110">
        <v>0.22450558664996262</v>
      </c>
      <c r="AO110">
        <v>0.18509999999999999</v>
      </c>
    </row>
    <row r="111" spans="1:41" x14ac:dyDescent="0.2">
      <c r="A111" s="9" t="s">
        <v>58</v>
      </c>
      <c r="B111">
        <f t="shared" si="21"/>
        <v>144</v>
      </c>
      <c r="C111" t="s">
        <v>19</v>
      </c>
      <c r="D111" t="s">
        <v>15</v>
      </c>
      <c r="E111" t="s">
        <v>3</v>
      </c>
      <c r="J111" s="22">
        <f t="shared" si="31"/>
        <v>30.716809679705364</v>
      </c>
      <c r="K111" s="12">
        <f t="shared" si="34"/>
        <v>34.446600796866662</v>
      </c>
      <c r="L111">
        <f t="shared" si="14"/>
        <v>23.080945999999997</v>
      </c>
      <c r="O111">
        <f t="shared" si="35"/>
        <v>57.527546796866659</v>
      </c>
      <c r="P111" s="14">
        <f t="shared" si="16"/>
        <v>2.5587170122280817E-3</v>
      </c>
      <c r="Q111" s="23">
        <f t="shared" si="32"/>
        <v>2.2957606535610831</v>
      </c>
      <c r="R111" s="23">
        <f t="shared" si="33"/>
        <v>3.5471943437573583</v>
      </c>
      <c r="S111">
        <f t="shared" si="23"/>
        <v>57.6519291359715</v>
      </c>
      <c r="T111">
        <f t="shared" si="24"/>
        <v>65.240185509747135</v>
      </c>
      <c r="U111">
        <f t="shared" si="25"/>
        <v>17.406932956559839</v>
      </c>
      <c r="V111">
        <f t="shared" si="26"/>
        <v>0.56410875000000082</v>
      </c>
      <c r="X111" s="4"/>
      <c r="Y111">
        <f t="shared" si="27"/>
        <v>4.9309829619860688</v>
      </c>
      <c r="Z111">
        <f t="shared" si="28"/>
        <v>2.895651138096246</v>
      </c>
      <c r="AA111" s="4">
        <f t="shared" si="29"/>
        <v>117.44721733655939</v>
      </c>
      <c r="AB111">
        <f t="shared" si="30"/>
        <v>48.715717180886074</v>
      </c>
      <c r="AG111">
        <v>7.9371058378165271E-2</v>
      </c>
      <c r="AH111">
        <v>0.42673816585273122</v>
      </c>
      <c r="AI111">
        <f t="shared" si="19"/>
        <v>0.16389999999999999</v>
      </c>
      <c r="AK111">
        <v>4.2792278770039122E-3</v>
      </c>
      <c r="AL111">
        <v>0.18778284982723442</v>
      </c>
      <c r="AM111">
        <v>1.0963419694568428</v>
      </c>
      <c r="AO111">
        <v>0.16389999999999999</v>
      </c>
    </row>
    <row r="112" spans="1:41" x14ac:dyDescent="0.2">
      <c r="A112" s="9" t="s">
        <v>59</v>
      </c>
      <c r="B112">
        <f t="shared" ref="B112:B120" si="36">B83+48</f>
        <v>144</v>
      </c>
      <c r="C112" t="s">
        <v>19</v>
      </c>
      <c r="D112" t="s">
        <v>15</v>
      </c>
      <c r="E112" t="s">
        <v>3</v>
      </c>
      <c r="J112" s="22">
        <f t="shared" si="31"/>
        <v>58.066278687741217</v>
      </c>
      <c r="K112" s="12">
        <f t="shared" si="34"/>
        <v>33.794585280880113</v>
      </c>
      <c r="L112">
        <f t="shared" si="14"/>
        <v>27.461731999999994</v>
      </c>
      <c r="O112">
        <f t="shared" si="35"/>
        <v>61.256317280880111</v>
      </c>
      <c r="P112" s="14">
        <f t="shared" si="16"/>
        <v>2.1944557434846611E-3</v>
      </c>
      <c r="Q112" s="23">
        <f t="shared" si="32"/>
        <v>5.4504906922952703</v>
      </c>
      <c r="R112" s="23">
        <f t="shared" si="33"/>
        <v>1.2169632862686994</v>
      </c>
      <c r="S112">
        <f t="shared" si="23"/>
        <v>29.25360055267673</v>
      </c>
      <c r="T112">
        <f t="shared" si="24"/>
        <v>33.501650262402158</v>
      </c>
      <c r="U112">
        <f t="shared" si="25"/>
        <v>10.508936829072166</v>
      </c>
      <c r="V112">
        <f t="shared" si="26"/>
        <v>-0.27517499999999817</v>
      </c>
      <c r="X112" s="4"/>
      <c r="Y112">
        <f t="shared" si="27"/>
        <v>1.7696396051507577</v>
      </c>
      <c r="Z112">
        <f t="shared" si="28"/>
        <v>0.56446129628248842</v>
      </c>
      <c r="AA112" s="4">
        <f t="shared" si="29"/>
        <v>63.793926700052729</v>
      </c>
      <c r="AB112">
        <f t="shared" si="30"/>
        <v>68.878432618734109</v>
      </c>
      <c r="AG112">
        <v>0.1011594686879005</v>
      </c>
      <c r="AH112">
        <v>0.42118886149095802</v>
      </c>
      <c r="AI112">
        <f t="shared" si="19"/>
        <v>0.18379999999999999</v>
      </c>
      <c r="AK112">
        <v>3.9988111959081305E-3</v>
      </c>
      <c r="AL112">
        <v>0.48416861070042005</v>
      </c>
      <c r="AM112">
        <v>0.3863386003256245</v>
      </c>
      <c r="AO112">
        <v>0.18379999999999999</v>
      </c>
    </row>
    <row r="113" spans="1:45" x14ac:dyDescent="0.2">
      <c r="A113" s="9" t="s">
        <v>60</v>
      </c>
      <c r="B113">
        <f t="shared" si="36"/>
        <v>144</v>
      </c>
      <c r="C113" t="s">
        <v>74</v>
      </c>
      <c r="D113" t="s">
        <v>15</v>
      </c>
      <c r="E113" t="s">
        <v>3</v>
      </c>
      <c r="J113" s="22">
        <f t="shared" si="31"/>
        <v>41.446252715007937</v>
      </c>
      <c r="K113" s="12">
        <f t="shared" si="34"/>
        <v>31.850117148139091</v>
      </c>
      <c r="L113">
        <f t="shared" si="14"/>
        <v>18.524047999999997</v>
      </c>
      <c r="O113">
        <f t="shared" si="35"/>
        <v>50.374165148139085</v>
      </c>
      <c r="P113" s="14">
        <f t="shared" si="16"/>
        <v>3.2285998889673884E-3</v>
      </c>
      <c r="Q113" s="23">
        <f t="shared" si="32"/>
        <v>3.6480177972723213</v>
      </c>
      <c r="R113" s="23">
        <f t="shared" si="33"/>
        <v>2.1075028129239088</v>
      </c>
      <c r="S113">
        <f t="shared" si="23"/>
        <v>47.108986404858491</v>
      </c>
      <c r="T113">
        <f t="shared" si="24"/>
        <v>53.19728891600959</v>
      </c>
      <c r="U113">
        <f t="shared" si="25"/>
        <v>14.813840487120103</v>
      </c>
      <c r="V113">
        <f t="shared" si="26"/>
        <v>2.2261657499999989</v>
      </c>
      <c r="X113" s="4"/>
      <c r="Y113">
        <f>Q23-Q113</f>
        <v>3.4020741603221643</v>
      </c>
      <c r="Z113">
        <f t="shared" si="28"/>
        <v>1.4158649166309201</v>
      </c>
      <c r="AA113" s="4">
        <f t="shared" si="29"/>
        <v>83.235394051306784</v>
      </c>
      <c r="AB113">
        <f t="shared" si="30"/>
        <v>57.69640345964396</v>
      </c>
      <c r="AG113">
        <v>8.7918847996289656E-2</v>
      </c>
      <c r="AH113">
        <v>0.40463949230298385</v>
      </c>
      <c r="AI113">
        <f t="shared" si="19"/>
        <v>0.14319999999999999</v>
      </c>
      <c r="AK113">
        <v>4.7949190831157729E-3</v>
      </c>
      <c r="AL113">
        <v>0.31482692571141685</v>
      </c>
      <c r="AM113">
        <v>0.65767910204872304</v>
      </c>
      <c r="AO113">
        <v>0.14319999999999999</v>
      </c>
    </row>
    <row r="114" spans="1:45" x14ac:dyDescent="0.2">
      <c r="A114" s="9" t="s">
        <v>61</v>
      </c>
      <c r="B114">
        <f t="shared" si="36"/>
        <v>144</v>
      </c>
      <c r="C114" t="s">
        <v>74</v>
      </c>
      <c r="D114" t="s">
        <v>15</v>
      </c>
      <c r="E114" t="s">
        <v>3</v>
      </c>
      <c r="J114" s="22">
        <f t="shared" si="31"/>
        <v>58.512317017883099</v>
      </c>
      <c r="K114" s="12">
        <f t="shared" si="34"/>
        <v>32.851189896290705</v>
      </c>
      <c r="L114">
        <f t="shared" si="14"/>
        <v>22.662680000000002</v>
      </c>
      <c r="O114">
        <f t="shared" si="35"/>
        <v>55.513869896290707</v>
      </c>
      <c r="P114" s="14">
        <f t="shared" si="16"/>
        <v>2.4578753731780058E-3</v>
      </c>
      <c r="Q114" s="23">
        <f t="shared" si="32"/>
        <v>5.939138256244398</v>
      </c>
      <c r="R114" s="23">
        <f t="shared" si="33"/>
        <v>1.0605899914356822</v>
      </c>
      <c r="S114">
        <f t="shared" si="23"/>
        <v>30.882882781195498</v>
      </c>
      <c r="T114">
        <f t="shared" si="24"/>
        <v>34.546466533557442</v>
      </c>
      <c r="U114">
        <f t="shared" si="25"/>
        <v>10.885109532440749</v>
      </c>
      <c r="V114">
        <f t="shared" si="26"/>
        <v>1.7913892499999999</v>
      </c>
      <c r="X114" s="4"/>
      <c r="Y114">
        <f t="shared" si="27"/>
        <v>1.3122777517101625</v>
      </c>
      <c r="Z114">
        <f t="shared" si="28"/>
        <v>0.40181742027038325</v>
      </c>
      <c r="AA114" s="4">
        <f t="shared" si="29"/>
        <v>61.239691025277864</v>
      </c>
      <c r="AB114">
        <f t="shared" si="30"/>
        <v>98.057501993984872</v>
      </c>
      <c r="AG114">
        <v>0.1015148125575802</v>
      </c>
      <c r="AH114">
        <v>0.41315962293110947</v>
      </c>
      <c r="AI114">
        <f t="shared" si="19"/>
        <v>0.16200000000000001</v>
      </c>
      <c r="AK114">
        <v>4.2015976698829916E-3</v>
      </c>
      <c r="AL114">
        <v>0.53007687488203659</v>
      </c>
      <c r="AM114">
        <v>0.3386928675916156</v>
      </c>
      <c r="AO114">
        <v>0.16200000000000001</v>
      </c>
    </row>
    <row r="115" spans="1:45" x14ac:dyDescent="0.2">
      <c r="A115" s="9" t="s">
        <v>62</v>
      </c>
      <c r="B115">
        <f t="shared" si="36"/>
        <v>144</v>
      </c>
      <c r="C115" t="s">
        <v>74</v>
      </c>
      <c r="D115" t="s">
        <v>15</v>
      </c>
      <c r="E115" t="s">
        <v>3</v>
      </c>
      <c r="J115" s="22">
        <f t="shared" si="31"/>
        <v>65.652401012783116</v>
      </c>
      <c r="K115" s="12">
        <f t="shared" si="34"/>
        <v>32.693601715002252</v>
      </c>
      <c r="L115">
        <f t="shared" si="14"/>
        <v>26.096864000000004</v>
      </c>
      <c r="O115">
        <f t="shared" si="35"/>
        <v>58.790465715002256</v>
      </c>
      <c r="P115" s="14">
        <f t="shared" si="16"/>
        <v>4.272587929539582E-3</v>
      </c>
      <c r="Q115" s="23">
        <f t="shared" si="32"/>
        <v>6.5934905442141636</v>
      </c>
      <c r="R115" s="23">
        <f t="shared" si="33"/>
        <v>0.67917560267473998</v>
      </c>
      <c r="S115">
        <f t="shared" si="23"/>
        <v>23.322818446689411</v>
      </c>
      <c r="T115">
        <f t="shared" si="24"/>
        <v>26.212712470254441</v>
      </c>
      <c r="U115">
        <f t="shared" si="25"/>
        <v>9.2399008061947825</v>
      </c>
      <c r="V115">
        <f t="shared" si="26"/>
        <v>0.55860524999999939</v>
      </c>
      <c r="X115" s="4"/>
      <c r="Y115">
        <f>Q25-Q115</f>
        <v>0.97505468925815197</v>
      </c>
      <c r="Z115">
        <f t="shared" si="28"/>
        <v>-0.63522159451495575</v>
      </c>
      <c r="AA115" s="4">
        <f t="shared" si="29"/>
        <v>-130.29455711827808</v>
      </c>
      <c r="AB115">
        <f t="shared" si="30"/>
        <v>99.664573961974568</v>
      </c>
      <c r="AG115">
        <v>0.10720307947351722</v>
      </c>
      <c r="AH115">
        <v>0.41181838984639563</v>
      </c>
      <c r="AI115">
        <f t="shared" si="19"/>
        <v>0.17760000000000001</v>
      </c>
      <c r="AK115">
        <v>5.5986050265893631E-3</v>
      </c>
      <c r="AL115">
        <v>0.59155303872737353</v>
      </c>
      <c r="AM115">
        <v>0.22247885517207192</v>
      </c>
      <c r="AO115">
        <v>0.17760000000000001</v>
      </c>
    </row>
    <row r="116" spans="1:45" x14ac:dyDescent="0.2">
      <c r="A116" s="9" t="s">
        <v>63</v>
      </c>
      <c r="B116">
        <f t="shared" si="36"/>
        <v>144</v>
      </c>
      <c r="C116" t="s">
        <v>76</v>
      </c>
      <c r="D116" t="s">
        <v>14</v>
      </c>
      <c r="E116" t="s">
        <v>3</v>
      </c>
      <c r="J116" s="22">
        <f t="shared" si="31"/>
        <v>76.507448866913705</v>
      </c>
      <c r="K116" s="12">
        <f t="shared" si="34"/>
        <v>25.483201202347118</v>
      </c>
      <c r="L116">
        <f t="shared" si="14"/>
        <v>15.023821999999997</v>
      </c>
      <c r="O116">
        <f t="shared" si="35"/>
        <v>40.507023202347114</v>
      </c>
      <c r="P116" s="14">
        <f t="shared" si="16"/>
        <v>2.2811499076869938E-3</v>
      </c>
      <c r="Q116" s="23">
        <f t="shared" si="32"/>
        <v>6.657636485079748</v>
      </c>
      <c r="R116" s="23">
        <f t="shared" si="33"/>
        <v>0.64462705847544666</v>
      </c>
      <c r="S116">
        <f t="shared" si="23"/>
        <v>24.494719901495259</v>
      </c>
      <c r="T116">
        <f t="shared" si="24"/>
        <v>24.251677167111104</v>
      </c>
      <c r="U116">
        <f t="shared" si="25"/>
        <v>7.1260584776640847</v>
      </c>
      <c r="V116">
        <f t="shared" si="26"/>
        <v>2.8893374999999994</v>
      </c>
      <c r="X116" s="4"/>
      <c r="Y116">
        <f t="shared" si="27"/>
        <v>0.37231047759573066</v>
      </c>
      <c r="Z116">
        <f t="shared" si="28"/>
        <v>-5.3957524937285672E-2</v>
      </c>
      <c r="AA116" s="4">
        <f t="shared" si="29"/>
        <v>-28.985230437632147</v>
      </c>
      <c r="AB116">
        <f t="shared" si="30"/>
        <v>274.1296285347068</v>
      </c>
      <c r="AG116">
        <v>0.11585093426397458</v>
      </c>
      <c r="AH116">
        <v>0.35045066770796302</v>
      </c>
      <c r="AI116">
        <f t="shared" si="19"/>
        <v>0.1273</v>
      </c>
      <c r="AK116">
        <v>4.0655503523379481E-3</v>
      </c>
      <c r="AL116">
        <v>0.59757952697103989</v>
      </c>
      <c r="AM116">
        <v>0.21195218113206785</v>
      </c>
      <c r="AO116">
        <v>0.1273</v>
      </c>
    </row>
    <row r="117" spans="1:45" x14ac:dyDescent="0.2">
      <c r="A117" s="9" t="s">
        <v>64</v>
      </c>
      <c r="B117">
        <f t="shared" si="36"/>
        <v>144</v>
      </c>
      <c r="C117" t="s">
        <v>76</v>
      </c>
      <c r="D117" t="s">
        <v>14</v>
      </c>
      <c r="E117" t="s">
        <v>3</v>
      </c>
      <c r="J117" s="22">
        <f t="shared" si="31"/>
        <v>81.04229239954536</v>
      </c>
      <c r="K117" s="12">
        <f t="shared" si="34"/>
        <v>32.291767943819622</v>
      </c>
      <c r="L117">
        <f t="shared" si="14"/>
        <v>19.668775999999998</v>
      </c>
      <c r="O117">
        <f t="shared" si="35"/>
        <v>51.960543943819616</v>
      </c>
      <c r="P117" s="14">
        <f t="shared" si="16"/>
        <v>7.3478444756575759E-3</v>
      </c>
      <c r="Q117" s="23">
        <f t="shared" si="32"/>
        <v>6.6336231286562946</v>
      </c>
      <c r="R117" s="23">
        <f t="shared" si="33"/>
        <v>0.66537526168385797</v>
      </c>
      <c r="S117">
        <f t="shared" si="23"/>
        <v>17.224793297979858</v>
      </c>
      <c r="T117">
        <f t="shared" si="24"/>
        <v>17.528548013522347</v>
      </c>
      <c r="U117">
        <f t="shared" si="25"/>
        <v>6.4944334235207251</v>
      </c>
      <c r="V117">
        <f t="shared" si="26"/>
        <v>1.4033925000000016</v>
      </c>
      <c r="X117" s="4"/>
      <c r="Y117">
        <f t="shared" si="27"/>
        <v>0.55850599557672798</v>
      </c>
      <c r="Z117">
        <f t="shared" si="28"/>
        <v>-3.8603825595940888E-3</v>
      </c>
      <c r="AA117" s="4">
        <f t="shared" si="29"/>
        <v>-1.3823961032352952</v>
      </c>
      <c r="AB117">
        <f t="shared" si="30"/>
        <v>128.50349439992047</v>
      </c>
      <c r="AG117">
        <v>0.11946369294497113</v>
      </c>
      <c r="AH117">
        <v>0.40839838243175985</v>
      </c>
      <c r="AI117">
        <f t="shared" si="19"/>
        <v>0.1484</v>
      </c>
      <c r="AK117">
        <v>7.9660080644015207E-3</v>
      </c>
      <c r="AL117">
        <v>0.5953234807080322</v>
      </c>
      <c r="AM117">
        <v>0.21827399807552039</v>
      </c>
      <c r="AO117">
        <v>0.1484</v>
      </c>
    </row>
    <row r="118" spans="1:45" x14ac:dyDescent="0.2">
      <c r="A118" s="9" t="s">
        <v>65</v>
      </c>
      <c r="B118">
        <f t="shared" si="36"/>
        <v>144</v>
      </c>
      <c r="C118" t="s">
        <v>76</v>
      </c>
      <c r="D118" t="s">
        <v>14</v>
      </c>
      <c r="E118" t="s">
        <v>3</v>
      </c>
      <c r="J118" s="22">
        <f t="shared" si="31"/>
        <v>71.623732200240468</v>
      </c>
      <c r="K118" s="12">
        <f t="shared" si="34"/>
        <v>31.421406008840478</v>
      </c>
      <c r="L118">
        <f t="shared" si="14"/>
        <v>18.347936000000001</v>
      </c>
      <c r="O118">
        <f t="shared" si="35"/>
        <v>49.769342008840482</v>
      </c>
      <c r="P118" s="14">
        <f t="shared" si="16"/>
        <v>2.9698700344894502E-3</v>
      </c>
      <c r="Q118" s="23">
        <f t="shared" si="32"/>
        <v>6.6599930312160813</v>
      </c>
      <c r="R118" s="23">
        <f t="shared" si="33"/>
        <v>0.64890204556064657</v>
      </c>
      <c r="S118">
        <f t="shared" si="23"/>
        <v>24.185802050299543</v>
      </c>
      <c r="T118">
        <f t="shared" si="24"/>
        <v>25.243627619620984</v>
      </c>
      <c r="U118">
        <f t="shared" si="25"/>
        <v>8.9470755243824982</v>
      </c>
      <c r="V118">
        <f t="shared" si="26"/>
        <v>1.8106515000000005</v>
      </c>
      <c r="X118" s="4"/>
      <c r="Y118">
        <f t="shared" si="27"/>
        <v>0.60579020181335164</v>
      </c>
      <c r="Z118">
        <f t="shared" si="28"/>
        <v>-1.1365626736126955E-2</v>
      </c>
      <c r="AA118" s="4">
        <f t="shared" si="29"/>
        <v>-3.7523309892122643</v>
      </c>
      <c r="AB118">
        <f t="shared" si="30"/>
        <v>166.35160969577828</v>
      </c>
      <c r="AG118">
        <v>0.11196023998619158</v>
      </c>
      <c r="AH118">
        <v>0.40099073159573151</v>
      </c>
      <c r="AI118">
        <f t="shared" si="19"/>
        <v>0.1424</v>
      </c>
      <c r="AK118">
        <v>4.5957429056885683E-3</v>
      </c>
      <c r="AL118">
        <v>0.59780092363924098</v>
      </c>
      <c r="AM118">
        <v>0.21325473661201907</v>
      </c>
      <c r="AO118">
        <v>0.1424</v>
      </c>
    </row>
    <row r="119" spans="1:45" x14ac:dyDescent="0.2">
      <c r="A119" s="9" t="s">
        <v>66</v>
      </c>
      <c r="B119">
        <f t="shared" si="36"/>
        <v>144</v>
      </c>
      <c r="C119" t="s">
        <v>76</v>
      </c>
      <c r="D119" t="s">
        <v>15</v>
      </c>
      <c r="E119" t="s">
        <v>3</v>
      </c>
      <c r="J119" s="22">
        <f t="shared" si="31"/>
        <v>71.120379989433189</v>
      </c>
      <c r="K119" s="12">
        <f t="shared" si="34"/>
        <v>30.029818524814132</v>
      </c>
      <c r="L119">
        <f t="shared" si="14"/>
        <v>18.303907999999996</v>
      </c>
      <c r="O119">
        <f t="shared" si="35"/>
        <v>48.333726524814125</v>
      </c>
      <c r="P119" s="14">
        <f t="shared" si="16"/>
        <v>3.059164524271122E-4</v>
      </c>
      <c r="Q119" s="23">
        <f t="shared" si="32"/>
        <v>6.6151320894906718</v>
      </c>
      <c r="R119" s="23">
        <f t="shared" si="33"/>
        <v>0.64797748219804041</v>
      </c>
      <c r="S119">
        <f t="shared" si="23"/>
        <v>25.808026932705374</v>
      </c>
      <c r="T119">
        <f t="shared" si="24"/>
        <v>26.625865164003631</v>
      </c>
      <c r="U119">
        <f t="shared" si="25"/>
        <v>8.690475719347571</v>
      </c>
      <c r="V119">
        <f t="shared" si="26"/>
        <v>1.3703715000000019</v>
      </c>
      <c r="X119" s="4"/>
      <c r="Y119">
        <f t="shared" si="27"/>
        <v>0.7237978866310355</v>
      </c>
      <c r="Z119">
        <f t="shared" si="28"/>
        <v>-1.1171015060632006E-2</v>
      </c>
      <c r="AA119" s="4">
        <f t="shared" si="29"/>
        <v>-3.0867774739238945</v>
      </c>
      <c r="AB119">
        <f t="shared" si="30"/>
        <v>148.56833314816726</v>
      </c>
      <c r="AG119">
        <v>0.11155923605824844</v>
      </c>
      <c r="AH119">
        <v>0.38914692986777422</v>
      </c>
      <c r="AI119">
        <f t="shared" si="19"/>
        <v>0.14219999999999999</v>
      </c>
      <c r="AK119">
        <v>2.5449703251940819E-3</v>
      </c>
      <c r="AL119">
        <v>0.59358625417988276</v>
      </c>
      <c r="AM119">
        <v>0.21297302931079842</v>
      </c>
      <c r="AO119">
        <v>0.14219999999999999</v>
      </c>
    </row>
    <row r="120" spans="1:45" x14ac:dyDescent="0.2">
      <c r="A120" s="9" t="s">
        <v>67</v>
      </c>
      <c r="B120">
        <f t="shared" si="36"/>
        <v>144</v>
      </c>
      <c r="C120" t="s">
        <v>76</v>
      </c>
      <c r="D120" t="s">
        <v>15</v>
      </c>
      <c r="E120" t="s">
        <v>3</v>
      </c>
      <c r="J120" s="22">
        <f t="shared" si="31"/>
        <v>78.203519866392796</v>
      </c>
      <c r="K120" s="12">
        <f t="shared" si="34"/>
        <v>31.716256964492615</v>
      </c>
      <c r="L120">
        <f t="shared" si="14"/>
        <v>25.458457999999993</v>
      </c>
      <c r="O120">
        <f t="shared" si="35"/>
        <v>57.174714964492608</v>
      </c>
      <c r="P120" s="14">
        <f t="shared" si="16"/>
        <v>3.1643757997637631E-3</v>
      </c>
      <c r="Q120" s="23">
        <f t="shared" si="32"/>
        <v>6.5714399028138439</v>
      </c>
      <c r="R120" s="23">
        <f t="shared" si="33"/>
        <v>0.65427036319630716</v>
      </c>
      <c r="S120">
        <f t="shared" si="23"/>
        <v>19.418331811549379</v>
      </c>
      <c r="T120">
        <f t="shared" si="24"/>
        <v>19.891378290601494</v>
      </c>
      <c r="U120">
        <f t="shared" si="25"/>
        <v>7.0584231997550688</v>
      </c>
      <c r="V120">
        <f t="shared" si="26"/>
        <v>-0.1706084999999975</v>
      </c>
      <c r="X120" s="4"/>
      <c r="Y120">
        <f t="shared" si="27"/>
        <v>0.77321271936909053</v>
      </c>
      <c r="Z120">
        <f t="shared" si="28"/>
        <v>-1.4090061127507325E-2</v>
      </c>
      <c r="AA120" s="4">
        <f t="shared" si="29"/>
        <v>-3.6445497531401783</v>
      </c>
      <c r="AB120">
        <f t="shared" si="30"/>
        <v>104.64095307107041</v>
      </c>
      <c r="AG120">
        <v>0.11720213749355959</v>
      </c>
      <c r="AH120">
        <v>0.40350020821730814</v>
      </c>
      <c r="AI120">
        <f t="shared" si="19"/>
        <v>0.17469999999999999</v>
      </c>
      <c r="AK120">
        <v>4.7454779058997412E-3</v>
      </c>
      <c r="AL120">
        <v>0.58948138884008305</v>
      </c>
      <c r="AM120">
        <v>0.21489042144921</v>
      </c>
      <c r="AO120">
        <v>0.17469999999999999</v>
      </c>
    </row>
    <row r="121" spans="1:45" x14ac:dyDescent="0.2">
      <c r="A121" s="9" t="s">
        <v>68</v>
      </c>
      <c r="B121">
        <v>144</v>
      </c>
      <c r="C121" t="s">
        <v>76</v>
      </c>
      <c r="D121" t="s">
        <v>15</v>
      </c>
      <c r="E121" t="s">
        <v>3</v>
      </c>
      <c r="J121" s="22">
        <f t="shared" si="31"/>
        <v>96.153524054107578</v>
      </c>
      <c r="K121" s="12">
        <f t="shared" si="34"/>
        <v>31.748253135655176</v>
      </c>
      <c r="L121">
        <f t="shared" si="14"/>
        <v>20.065027999999998</v>
      </c>
      <c r="O121">
        <f t="shared" si="35"/>
        <v>51.813281135655174</v>
      </c>
      <c r="P121" s="14">
        <f t="shared" si="16"/>
        <v>7.2666357686336234E-3</v>
      </c>
      <c r="Q121" s="23">
        <f t="shared" si="32"/>
        <v>6.5924889958630066</v>
      </c>
      <c r="R121" s="23">
        <f t="shared" si="33"/>
        <v>0.65194994895721881</v>
      </c>
      <c r="S121">
        <f t="shared" si="23"/>
        <v>1.1216052459327983</v>
      </c>
      <c r="T121">
        <f t="shared" si="24"/>
        <v>1.1530236495222348</v>
      </c>
      <c r="U121">
        <f t="shared" si="25"/>
        <v>3.0533879714718211</v>
      </c>
      <c r="V121">
        <f t="shared" si="26"/>
        <v>1.9537425000000024</v>
      </c>
      <c r="X121" s="4"/>
      <c r="Y121">
        <f t="shared" si="27"/>
        <v>1.4511964192517501</v>
      </c>
      <c r="Z121">
        <f t="shared" si="28"/>
        <v>-6.6663002197093868E-2</v>
      </c>
      <c r="AA121" s="4">
        <f t="shared" si="29"/>
        <v>-9.187316246475568</v>
      </c>
      <c r="AB121">
        <f t="shared" si="30"/>
        <v>3.2203464185752906</v>
      </c>
      <c r="AG121">
        <v>0.13150230749643904</v>
      </c>
      <c r="AH121">
        <v>0.40377252764505023</v>
      </c>
      <c r="AI121">
        <f t="shared" si="19"/>
        <v>0.1502</v>
      </c>
      <c r="AK121">
        <v>7.9034917387479781E-3</v>
      </c>
      <c r="AL121">
        <v>0.59145894361734375</v>
      </c>
      <c r="AM121">
        <v>0.21418340918867121</v>
      </c>
      <c r="AO121">
        <v>0.1502</v>
      </c>
    </row>
    <row r="122" spans="1:45" s="5" customFormat="1" x14ac:dyDescent="0.2">
      <c r="A122" s="13" t="s">
        <v>72</v>
      </c>
      <c r="B122" s="5">
        <f t="shared" ref="B122:B141" si="37">B93+2</f>
        <v>146</v>
      </c>
      <c r="C122" s="5" t="s">
        <v>19</v>
      </c>
      <c r="D122" s="5" t="s">
        <v>14</v>
      </c>
      <c r="E122" s="5" t="s">
        <v>75</v>
      </c>
      <c r="J122" s="20">
        <f t="shared" si="31"/>
        <v>82.402114831248682</v>
      </c>
      <c r="K122" s="11">
        <f t="shared" si="34"/>
        <v>26.910292083214078</v>
      </c>
      <c r="L122" s="5">
        <f t="shared" si="14"/>
        <v>12.228043999999995</v>
      </c>
      <c r="O122" s="5">
        <f t="shared" si="35"/>
        <v>39.138336083214071</v>
      </c>
      <c r="P122" s="14">
        <f t="shared" si="16"/>
        <v>8.5762934884304823E-3</v>
      </c>
      <c r="Q122" s="21">
        <f t="shared" si="32"/>
        <v>6.1532576782129871</v>
      </c>
      <c r="R122" s="21">
        <f t="shared" si="33"/>
        <v>0.67157720115026576</v>
      </c>
      <c r="W122">
        <f t="shared" ref="W122:W151" si="38">AVERAGE(AR122:AS122)</f>
        <v>0.29154999999999998</v>
      </c>
      <c r="X122" s="6"/>
      <c r="AA122" s="6"/>
      <c r="AG122" s="5">
        <v>0.12054701814889478</v>
      </c>
      <c r="AH122" s="32">
        <v>0.36259663886305016</v>
      </c>
      <c r="AI122" s="5">
        <f t="shared" si="19"/>
        <v>0.11459999999999999</v>
      </c>
      <c r="AK122" s="5">
        <v>8.9116962959434037E-3</v>
      </c>
      <c r="AL122" s="5">
        <v>0.55019331813350125</v>
      </c>
      <c r="AM122" s="5">
        <v>0.22016368103298772</v>
      </c>
      <c r="AO122" s="5">
        <v>0.11459999999999999</v>
      </c>
      <c r="AR122" s="5">
        <v>0.27979999999999999</v>
      </c>
      <c r="AS122" s="5">
        <v>0.30330000000000001</v>
      </c>
    </row>
    <row r="123" spans="1:45" x14ac:dyDescent="0.2">
      <c r="A123" s="9" t="s">
        <v>48</v>
      </c>
      <c r="B123">
        <f t="shared" si="37"/>
        <v>146</v>
      </c>
      <c r="C123" t="s">
        <v>19</v>
      </c>
      <c r="D123" t="s">
        <v>14</v>
      </c>
      <c r="E123" t="s">
        <v>75</v>
      </c>
      <c r="J123" s="10">
        <f t="shared" si="31"/>
        <v>46.898227256894565</v>
      </c>
      <c r="K123" s="11">
        <f t="shared" si="34"/>
        <v>-8.6521317801880073</v>
      </c>
      <c r="L123">
        <f t="shared" si="14"/>
        <v>20.549336</v>
      </c>
      <c r="O123">
        <f t="shared" si="35"/>
        <v>11.897204219811993</v>
      </c>
      <c r="P123" s="14">
        <f t="shared" si="16"/>
        <v>1.0996768741070006E-2</v>
      </c>
      <c r="Q123" s="19">
        <f t="shared" si="32"/>
        <v>5.5257777588431116</v>
      </c>
      <c r="R123" s="19">
        <f t="shared" si="33"/>
        <v>1.0376615374767326</v>
      </c>
      <c r="W123">
        <f t="shared" si="38"/>
        <v>0.2802</v>
      </c>
      <c r="X123" s="4"/>
      <c r="AA123" s="4"/>
      <c r="AG123">
        <v>9.2262254381326E-2</v>
      </c>
      <c r="AH123" s="32">
        <v>5.9924832714685655E-2</v>
      </c>
      <c r="AI123">
        <f t="shared" si="19"/>
        <v>0.15240000000000001</v>
      </c>
      <c r="AK123">
        <v>1.0775033672879143E-2</v>
      </c>
      <c r="AL123">
        <v>0.49124180372445619</v>
      </c>
      <c r="AM123">
        <v>0.33170674511783449</v>
      </c>
      <c r="AO123">
        <v>0.15240000000000001</v>
      </c>
      <c r="AR123">
        <v>0.28399999999999997</v>
      </c>
      <c r="AS123">
        <v>0.27639999999999998</v>
      </c>
    </row>
    <row r="124" spans="1:45" x14ac:dyDescent="0.2">
      <c r="A124" s="9" t="s">
        <v>49</v>
      </c>
      <c r="B124">
        <f t="shared" si="37"/>
        <v>146</v>
      </c>
      <c r="C124" t="s">
        <v>19</v>
      </c>
      <c r="D124" t="s">
        <v>14</v>
      </c>
      <c r="E124" t="s">
        <v>75</v>
      </c>
      <c r="J124" s="10">
        <f t="shared" si="31"/>
        <v>68.973616027673273</v>
      </c>
      <c r="K124" s="11">
        <f t="shared" si="34"/>
        <v>-3.9434999999999985</v>
      </c>
      <c r="L124">
        <f t="shared" si="14"/>
        <v>13.747009999999998</v>
      </c>
      <c r="O124">
        <f t="shared" si="35"/>
        <v>9.8035099999999993</v>
      </c>
      <c r="P124" s="14">
        <f t="shared" si="16"/>
        <v>9.992605901766715E-3</v>
      </c>
      <c r="Q124" s="19">
        <f t="shared" si="32"/>
        <v>5.6571170652559895</v>
      </c>
      <c r="R124" s="19">
        <f t="shared" si="33"/>
        <v>0.85484624261361697</v>
      </c>
      <c r="W124">
        <f t="shared" si="38"/>
        <v>0.29215000000000002</v>
      </c>
      <c r="X124" s="4"/>
      <c r="AA124" s="4"/>
      <c r="AG124">
        <v>0.10984898076871304</v>
      </c>
      <c r="AH124" s="32">
        <v>0.1</v>
      </c>
      <c r="AI124">
        <f t="shared" si="19"/>
        <v>0.1215</v>
      </c>
      <c r="AK124">
        <v>1.000200608296129E-2</v>
      </c>
      <c r="AL124">
        <v>0.50358108467267848</v>
      </c>
      <c r="AM124">
        <v>0.27600433961414289</v>
      </c>
      <c r="AO124">
        <v>0.1215</v>
      </c>
      <c r="AR124">
        <v>0.28689999999999999</v>
      </c>
      <c r="AS124">
        <v>0.2974</v>
      </c>
    </row>
    <row r="125" spans="1:45" x14ac:dyDescent="0.2">
      <c r="A125" s="9" t="s">
        <v>50</v>
      </c>
      <c r="B125">
        <f t="shared" si="37"/>
        <v>146</v>
      </c>
      <c r="C125" t="s">
        <v>20</v>
      </c>
      <c r="D125" t="s">
        <v>14</v>
      </c>
      <c r="E125" t="s">
        <v>75</v>
      </c>
      <c r="J125" s="10">
        <f t="shared" si="31"/>
        <v>26.619406823443672</v>
      </c>
      <c r="K125" s="11">
        <f t="shared" si="34"/>
        <v>-5.4729895385625991</v>
      </c>
      <c r="L125">
        <f t="shared" si="14"/>
        <v>27.946039999999996</v>
      </c>
      <c r="O125">
        <f t="shared" si="35"/>
        <v>22.473050461437396</v>
      </c>
      <c r="P125" s="14">
        <f t="shared" si="16"/>
        <v>5.4399165048415916E-3</v>
      </c>
      <c r="Q125" s="19">
        <f t="shared" si="32"/>
        <v>1.4894527826721671</v>
      </c>
      <c r="R125" s="19">
        <f t="shared" si="33"/>
        <v>3.6213689481923033</v>
      </c>
      <c r="W125">
        <f t="shared" si="38"/>
        <v>0.33355000000000001</v>
      </c>
      <c r="X125" s="4"/>
      <c r="AA125" s="4"/>
      <c r="AG125">
        <v>7.6106794102676789E-2</v>
      </c>
      <c r="AH125" s="32">
        <v>8.6982513821331986E-2</v>
      </c>
      <c r="AI125">
        <f t="shared" si="19"/>
        <v>0.186</v>
      </c>
      <c r="AK125">
        <v>6.4972413432190851E-3</v>
      </c>
      <c r="AL125">
        <v>0.11203051321609989</v>
      </c>
      <c r="AM125">
        <v>1.1189423973773014</v>
      </c>
      <c r="AO125">
        <v>0.186</v>
      </c>
      <c r="AR125">
        <v>0.31859999999999999</v>
      </c>
      <c r="AS125">
        <v>0.34849999999999998</v>
      </c>
    </row>
    <row r="126" spans="1:45" x14ac:dyDescent="0.2">
      <c r="A126" s="9" t="s">
        <v>51</v>
      </c>
      <c r="B126">
        <f t="shared" si="37"/>
        <v>146</v>
      </c>
      <c r="C126" t="s">
        <v>20</v>
      </c>
      <c r="D126" t="s">
        <v>14</v>
      </c>
      <c r="E126" t="s">
        <v>75</v>
      </c>
      <c r="J126" s="10">
        <f t="shared" si="31"/>
        <v>58.824791440880489</v>
      </c>
      <c r="K126" s="11">
        <f t="shared" si="34"/>
        <v>-3.9434999999999985</v>
      </c>
      <c r="L126">
        <f t="shared" si="14"/>
        <v>18.502034000000002</v>
      </c>
      <c r="O126">
        <f t="shared" si="35"/>
        <v>14.558534000000003</v>
      </c>
      <c r="P126" s="14">
        <f t="shared" si="16"/>
        <v>6.6785515635084227E-3</v>
      </c>
      <c r="Q126" s="19">
        <f t="shared" si="32"/>
        <v>3.0853485705798827</v>
      </c>
      <c r="R126" s="19">
        <f t="shared" si="33"/>
        <v>2.2989473133054683</v>
      </c>
      <c r="W126">
        <f t="shared" si="38"/>
        <v>0.34294999999999998</v>
      </c>
      <c r="X126" s="4"/>
      <c r="AA126" s="4"/>
      <c r="AG126">
        <v>0.10176375051456812</v>
      </c>
      <c r="AH126" s="32">
        <v>0.1</v>
      </c>
      <c r="AI126">
        <f t="shared" si="19"/>
        <v>0.1431</v>
      </c>
      <c r="AK126">
        <v>7.450771026565375E-3</v>
      </c>
      <c r="AL126">
        <v>0.26196435274143953</v>
      </c>
      <c r="AM126">
        <v>0.71601075969088002</v>
      </c>
      <c r="AO126">
        <v>0.1431</v>
      </c>
      <c r="AR126">
        <v>0.34429999999999999</v>
      </c>
      <c r="AS126">
        <v>0.34160000000000001</v>
      </c>
    </row>
    <row r="127" spans="1:45" x14ac:dyDescent="0.2">
      <c r="A127" s="9" t="s">
        <v>52</v>
      </c>
      <c r="B127">
        <f t="shared" si="37"/>
        <v>146</v>
      </c>
      <c r="C127" t="s">
        <v>20</v>
      </c>
      <c r="D127" t="s">
        <v>14</v>
      </c>
      <c r="E127" t="s">
        <v>75</v>
      </c>
      <c r="J127" s="10">
        <f t="shared" si="31"/>
        <v>51.868790246392429</v>
      </c>
      <c r="K127" s="11">
        <f t="shared" si="34"/>
        <v>-10.784817597760545</v>
      </c>
      <c r="L127">
        <f t="shared" si="14"/>
        <v>16.762927999999995</v>
      </c>
      <c r="O127">
        <f t="shared" si="35"/>
        <v>5.9781104022394498</v>
      </c>
      <c r="P127" s="14">
        <f t="shared" si="16"/>
        <v>5.438077491199263E-3</v>
      </c>
      <c r="Q127" s="19">
        <f t="shared" si="32"/>
        <v>3.8198332140053761</v>
      </c>
      <c r="R127" s="19">
        <f t="shared" si="33"/>
        <v>1.6841623758400981</v>
      </c>
      <c r="W127">
        <f t="shared" si="38"/>
        <v>0.31640000000000001</v>
      </c>
      <c r="X127" s="4"/>
      <c r="AA127" s="4"/>
      <c r="AG127">
        <v>9.6222136229625971E-2</v>
      </c>
      <c r="AH127" s="32">
        <v>4.1773542723004847E-2</v>
      </c>
      <c r="AI127">
        <f t="shared" si="19"/>
        <v>0.13519999999999999</v>
      </c>
      <c r="AK127">
        <v>6.4958256283289169E-3</v>
      </c>
      <c r="AL127">
        <v>0.33096892277389856</v>
      </c>
      <c r="AM127">
        <v>0.52869054717857955</v>
      </c>
      <c r="AO127">
        <v>0.13519999999999999</v>
      </c>
      <c r="AR127">
        <v>0.3009</v>
      </c>
      <c r="AS127">
        <v>0.33189999999999997</v>
      </c>
    </row>
    <row r="128" spans="1:45" x14ac:dyDescent="0.2">
      <c r="A128" s="9" t="s">
        <v>53</v>
      </c>
      <c r="B128">
        <f t="shared" si="37"/>
        <v>146</v>
      </c>
      <c r="C128" t="s">
        <v>74</v>
      </c>
      <c r="D128" t="s">
        <v>14</v>
      </c>
      <c r="E128" t="s">
        <v>75</v>
      </c>
      <c r="J128" s="10">
        <f t="shared" si="31"/>
        <v>53.980584167613387</v>
      </c>
      <c r="K128" s="11">
        <f t="shared" si="34"/>
        <v>-3.9434999999999985</v>
      </c>
      <c r="L128">
        <f t="shared" si="14"/>
        <v>23.587267999999995</v>
      </c>
      <c r="O128">
        <f t="shared" si="35"/>
        <v>19.643767999999994</v>
      </c>
      <c r="P128" s="14">
        <f t="shared" si="16"/>
        <v>5.63446319529925E-3</v>
      </c>
      <c r="Q128" s="19">
        <f t="shared" si="32"/>
        <v>5.9908370269669469</v>
      </c>
      <c r="R128" s="19">
        <f t="shared" si="33"/>
        <v>0.67598769867012742</v>
      </c>
      <c r="W128">
        <f t="shared" si="38"/>
        <v>0.38175000000000003</v>
      </c>
      <c r="X128" s="4"/>
      <c r="AA128" s="4"/>
      <c r="AG128">
        <v>9.7904532053532001E-2</v>
      </c>
      <c r="AH128" s="32">
        <v>0.1</v>
      </c>
      <c r="AI128">
        <f t="shared" si="19"/>
        <v>0.16619999999999999</v>
      </c>
      <c r="AK128">
        <v>6.6470078485752508E-3</v>
      </c>
      <c r="AL128">
        <v>0.5349339559345121</v>
      </c>
      <c r="AM128">
        <v>0.22150752549364031</v>
      </c>
      <c r="AO128">
        <v>0.16619999999999999</v>
      </c>
      <c r="AR128">
        <v>0.37859999999999999</v>
      </c>
      <c r="AS128">
        <v>0.38490000000000002</v>
      </c>
    </row>
    <row r="129" spans="1:45" x14ac:dyDescent="0.2">
      <c r="A129" s="9" t="s">
        <v>54</v>
      </c>
      <c r="B129">
        <f t="shared" si="37"/>
        <v>146</v>
      </c>
      <c r="C129" t="s">
        <v>74</v>
      </c>
      <c r="D129" t="s">
        <v>14</v>
      </c>
      <c r="E129" t="s">
        <v>75</v>
      </c>
      <c r="J129" s="10">
        <f t="shared" ref="J129:J192" si="39">30*(AG129-0.0549)/0.0239</f>
        <v>36.549223840400813</v>
      </c>
      <c r="K129" s="11">
        <f t="shared" si="34"/>
        <v>-3.9434999999999985</v>
      </c>
      <c r="L129">
        <f t="shared" si="14"/>
        <v>17.313277999999997</v>
      </c>
      <c r="O129">
        <f t="shared" si="35"/>
        <v>13.369777999999998</v>
      </c>
      <c r="P129" s="14">
        <f t="shared" si="16"/>
        <v>7.8797367821318402E-3</v>
      </c>
      <c r="Q129" s="19">
        <f t="shared" si="32"/>
        <v>3.8663027004148516</v>
      </c>
      <c r="R129" s="19">
        <f t="shared" si="33"/>
        <v>2.0761632451695284</v>
      </c>
      <c r="W129">
        <f t="shared" si="38"/>
        <v>0.38069999999999998</v>
      </c>
      <c r="X129" s="4"/>
      <c r="AA129" s="4"/>
      <c r="AG129">
        <v>8.4017548326185978E-2</v>
      </c>
      <c r="AH129" s="32">
        <v>0.1</v>
      </c>
      <c r="AI129">
        <f t="shared" si="19"/>
        <v>0.13769999999999999</v>
      </c>
      <c r="AK129">
        <v>8.3754709639198149E-3</v>
      </c>
      <c r="AL129">
        <v>0.33533471443206048</v>
      </c>
      <c r="AM129">
        <v>0.64813017829662656</v>
      </c>
      <c r="AO129">
        <v>0.13769999999999999</v>
      </c>
      <c r="AR129">
        <v>0.36559999999999998</v>
      </c>
      <c r="AS129">
        <v>0.39579999999999999</v>
      </c>
    </row>
    <row r="130" spans="1:45" x14ac:dyDescent="0.2">
      <c r="A130" s="9" t="s">
        <v>55</v>
      </c>
      <c r="B130">
        <f t="shared" si="37"/>
        <v>146</v>
      </c>
      <c r="C130" t="s">
        <v>74</v>
      </c>
      <c r="D130" t="s">
        <v>14</v>
      </c>
      <c r="E130" t="s">
        <v>75</v>
      </c>
      <c r="J130" s="10">
        <f t="shared" si="39"/>
        <v>85.998625829344505</v>
      </c>
      <c r="K130" s="11">
        <f t="shared" si="34"/>
        <v>-1.2779747007116864</v>
      </c>
      <c r="L130">
        <f t="shared" si="14"/>
        <v>19.998986000000002</v>
      </c>
      <c r="O130">
        <f t="shared" si="35"/>
        <v>18.721011299288314</v>
      </c>
      <c r="P130" s="14">
        <f t="shared" si="16"/>
        <v>1.1439496304147772E-2</v>
      </c>
      <c r="Q130" s="19">
        <f t="shared" ref="Q130:Q193" si="40">(0.3548*AL130 + 0.0099)*30</f>
        <v>7.1582066175644812</v>
      </c>
      <c r="R130" s="19">
        <f t="shared" ref="R130:R193" si="41">(0.1094*AM130 - 0.0017)*30</f>
        <v>0.96081545855138462</v>
      </c>
      <c r="W130">
        <f t="shared" si="38"/>
        <v>0.49854999999999999</v>
      </c>
      <c r="X130" s="4"/>
      <c r="AA130" s="4"/>
      <c r="AG130">
        <v>0.12341223857737779</v>
      </c>
      <c r="AH130" s="32">
        <v>0.12268628706998863</v>
      </c>
      <c r="AI130">
        <f t="shared" si="19"/>
        <v>0.14990000000000001</v>
      </c>
      <c r="AK130">
        <v>1.1115855507427075E-2</v>
      </c>
      <c r="AL130">
        <v>0.6446079122101166</v>
      </c>
      <c r="AM130">
        <v>0.30829233959518121</v>
      </c>
      <c r="AO130">
        <v>0.14990000000000001</v>
      </c>
      <c r="AR130">
        <v>0.42849999999999999</v>
      </c>
      <c r="AS130">
        <v>0.56859999999999999</v>
      </c>
    </row>
    <row r="131" spans="1:45" s="5" customFormat="1" x14ac:dyDescent="0.2">
      <c r="A131" s="13" t="s">
        <v>56</v>
      </c>
      <c r="B131" s="5">
        <f t="shared" si="37"/>
        <v>146</v>
      </c>
      <c r="C131" s="5" t="s">
        <v>19</v>
      </c>
      <c r="D131" s="5" t="s">
        <v>15</v>
      </c>
      <c r="E131" s="5" t="s">
        <v>75</v>
      </c>
      <c r="J131" s="20">
        <f t="shared" si="39"/>
        <v>95.542783629849794</v>
      </c>
      <c r="K131" s="11">
        <f t="shared" si="34"/>
        <v>65.63198016307463</v>
      </c>
      <c r="L131">
        <f t="shared" ref="L131:L181" si="42">(11.007*AI131-0.65)*20</f>
        <v>8.8819160000000004</v>
      </c>
      <c r="M131"/>
      <c r="O131">
        <f t="shared" si="35"/>
        <v>74.513896163074634</v>
      </c>
      <c r="P131" s="14">
        <f t="shared" ref="P131:P194" si="43">(AK131*0.0433 - 0.0001)*30</f>
        <v>7.5729633458944184E-3</v>
      </c>
      <c r="Q131" s="21">
        <f t="shared" si="40"/>
        <v>5.9526065812892011</v>
      </c>
      <c r="R131" s="21">
        <f t="shared" si="41"/>
        <v>0.71507364973794862</v>
      </c>
      <c r="V131"/>
      <c r="W131">
        <f t="shared" si="38"/>
        <v>0.27600000000000002</v>
      </c>
      <c r="X131" s="6"/>
      <c r="AA131" s="4"/>
      <c r="AG131" s="18">
        <v>0.131015750958447</v>
      </c>
      <c r="AH131" s="32">
        <v>0.69215694423656005</v>
      </c>
      <c r="AI131">
        <f t="shared" ref="AI131:AI181" si="44">AVERAGE(AO131:AQ131)</f>
        <v>9.9400000000000002E-2</v>
      </c>
      <c r="AK131" s="5">
        <v>8.1393097350996296E-3</v>
      </c>
      <c r="AL131" s="5">
        <v>0.53134221921168745</v>
      </c>
      <c r="AM131" s="5">
        <v>0.2334167122906608</v>
      </c>
      <c r="AO131" s="5">
        <v>9.9400000000000002E-2</v>
      </c>
      <c r="AR131" s="5">
        <v>0.29189999999999999</v>
      </c>
      <c r="AS131" s="5">
        <v>0.2601</v>
      </c>
    </row>
    <row r="132" spans="1:45" x14ac:dyDescent="0.2">
      <c r="A132" s="9" t="s">
        <v>48</v>
      </c>
      <c r="B132">
        <f t="shared" si="37"/>
        <v>146</v>
      </c>
      <c r="C132" t="s">
        <v>19</v>
      </c>
      <c r="D132" t="s">
        <v>15</v>
      </c>
      <c r="E132" t="s">
        <v>75</v>
      </c>
      <c r="J132" s="10">
        <f t="shared" si="39"/>
        <v>77.061024395914615</v>
      </c>
      <c r="K132" s="11">
        <f t="shared" si="34"/>
        <v>-10.704161961326085</v>
      </c>
      <c r="L132">
        <f t="shared" si="42"/>
        <v>22.574623999999996</v>
      </c>
      <c r="O132">
        <f t="shared" si="35"/>
        <v>11.870462038673912</v>
      </c>
      <c r="P132" s="14">
        <f t="shared" si="43"/>
        <v>1.1115496970766714E-2</v>
      </c>
      <c r="Q132" s="19">
        <f t="shared" si="40"/>
        <v>5.8693559595038041</v>
      </c>
      <c r="R132" s="19">
        <f t="shared" si="41"/>
        <v>0.7289039028628187</v>
      </c>
      <c r="W132">
        <f t="shared" si="38"/>
        <v>0.28015000000000001</v>
      </c>
      <c r="X132" s="4"/>
      <c r="AA132" s="4"/>
      <c r="AG132">
        <v>0.11629194943541198</v>
      </c>
      <c r="AH132" s="32">
        <v>4.2460002882453857E-2</v>
      </c>
      <c r="AI132">
        <f t="shared" si="44"/>
        <v>0.16159999999999999</v>
      </c>
      <c r="AK132">
        <v>1.0866433387811174E-2</v>
      </c>
      <c r="AL132">
        <v>0.52352085301614093</v>
      </c>
      <c r="AM132">
        <v>0.23763068338294294</v>
      </c>
      <c r="AO132">
        <v>0.16159999999999999</v>
      </c>
      <c r="AR132">
        <v>0.28539999999999999</v>
      </c>
      <c r="AS132">
        <v>0.27489999999999998</v>
      </c>
    </row>
    <row r="133" spans="1:45" x14ac:dyDescent="0.2">
      <c r="A133" s="9" t="s">
        <v>49</v>
      </c>
      <c r="B133">
        <f t="shared" si="37"/>
        <v>146</v>
      </c>
      <c r="C133" t="s">
        <v>19</v>
      </c>
      <c r="D133" t="s">
        <v>15</v>
      </c>
      <c r="E133" t="s">
        <v>75</v>
      </c>
      <c r="J133" s="10">
        <f t="shared" si="39"/>
        <v>68.420097474275764</v>
      </c>
      <c r="K133" s="11">
        <f t="shared" si="34"/>
        <v>-1.5827797713715204</v>
      </c>
      <c r="L133">
        <f t="shared" si="42"/>
        <v>20.087041999999997</v>
      </c>
      <c r="O133">
        <f t="shared" si="35"/>
        <v>18.504262228628477</v>
      </c>
      <c r="P133" s="14">
        <f t="shared" si="43"/>
        <v>9.3586606597118802E-3</v>
      </c>
      <c r="Q133" s="19">
        <f t="shared" si="40"/>
        <v>5.4113608642287927</v>
      </c>
      <c r="R133" s="19">
        <f t="shared" si="41"/>
        <v>1.150127509230616</v>
      </c>
      <c r="W133">
        <f t="shared" si="38"/>
        <v>0.29225000000000001</v>
      </c>
      <c r="X133" s="4"/>
      <c r="AA133" s="4"/>
      <c r="AG133">
        <v>0.10940801098783969</v>
      </c>
      <c r="AH133" s="32">
        <v>0.12009209097092199</v>
      </c>
      <c r="AI133">
        <f t="shared" si="44"/>
        <v>0.15029999999999999</v>
      </c>
      <c r="AK133">
        <v>9.5139804924648814E-3</v>
      </c>
      <c r="AL133">
        <v>0.48049237732326122</v>
      </c>
      <c r="AM133">
        <v>0.3659742563164583</v>
      </c>
      <c r="AO133">
        <v>0.15029999999999999</v>
      </c>
      <c r="AR133">
        <v>0.2888</v>
      </c>
      <c r="AS133">
        <v>0.29570000000000002</v>
      </c>
    </row>
    <row r="134" spans="1:45" x14ac:dyDescent="0.2">
      <c r="A134" s="9" t="s">
        <v>50</v>
      </c>
      <c r="B134">
        <f t="shared" si="37"/>
        <v>146</v>
      </c>
      <c r="C134" t="s">
        <v>20</v>
      </c>
      <c r="D134" t="s">
        <v>15</v>
      </c>
      <c r="E134" t="s">
        <v>75</v>
      </c>
      <c r="J134" s="10">
        <f t="shared" si="39"/>
        <v>42.53278362412928</v>
      </c>
      <c r="K134" s="11">
        <f t="shared" si="34"/>
        <v>-9.7049684256771602</v>
      </c>
      <c r="L134">
        <f t="shared" si="42"/>
        <v>20.747461999999999</v>
      </c>
      <c r="O134">
        <f t="shared" si="35"/>
        <v>11.042493574322839</v>
      </c>
      <c r="P134" s="14">
        <f t="shared" si="43"/>
        <v>8.7730174130015921E-4</v>
      </c>
      <c r="Q134" s="19">
        <f t="shared" si="40"/>
        <v>3.4930802299346353</v>
      </c>
      <c r="R134" s="19">
        <f t="shared" si="41"/>
        <v>1.9186797202537447</v>
      </c>
      <c r="W134">
        <f t="shared" si="38"/>
        <v>0.33589999999999998</v>
      </c>
      <c r="X134" s="4"/>
      <c r="AA134" s="4"/>
      <c r="AG134">
        <v>8.8784450953889663E-2</v>
      </c>
      <c r="AH134" s="32">
        <v>5.0964139532089364E-2</v>
      </c>
      <c r="AI134">
        <f t="shared" si="44"/>
        <v>0.15329999999999999</v>
      </c>
      <c r="AK134">
        <v>2.9848358285605539E-3</v>
      </c>
      <c r="AL134">
        <v>0.300270596574092</v>
      </c>
      <c r="AM134">
        <v>0.60014616704867296</v>
      </c>
      <c r="AO134">
        <v>0.15329999999999999</v>
      </c>
      <c r="AR134">
        <v>0.32800000000000001</v>
      </c>
      <c r="AS134">
        <v>0.34379999999999999</v>
      </c>
    </row>
    <row r="135" spans="1:45" x14ac:dyDescent="0.2">
      <c r="A135" s="9" t="s">
        <v>51</v>
      </c>
      <c r="B135">
        <f t="shared" si="37"/>
        <v>146</v>
      </c>
      <c r="C135" t="s">
        <v>20</v>
      </c>
      <c r="D135" t="s">
        <v>15</v>
      </c>
      <c r="E135" t="s">
        <v>75</v>
      </c>
      <c r="J135" s="10">
        <f t="shared" si="39"/>
        <v>46.650711083354899</v>
      </c>
      <c r="K135" s="11">
        <f t="shared" si="34"/>
        <v>-0.51134472863718972</v>
      </c>
      <c r="L135">
        <f t="shared" si="42"/>
        <v>26.052835999999999</v>
      </c>
      <c r="O135">
        <f t="shared" si="35"/>
        <v>25.541491271362808</v>
      </c>
      <c r="P135" s="14">
        <f t="shared" si="43"/>
        <v>9.0045220265021417E-3</v>
      </c>
      <c r="Q135" s="19">
        <f t="shared" si="40"/>
        <v>3.7501967102272005</v>
      </c>
      <c r="R135" s="19">
        <f t="shared" si="41"/>
        <v>1.7132878321191647</v>
      </c>
      <c r="W135">
        <f t="shared" si="38"/>
        <v>0.33684999999999998</v>
      </c>
      <c r="X135" s="4"/>
      <c r="AA135" s="4"/>
      <c r="AG135">
        <v>9.206506649640607E-2</v>
      </c>
      <c r="AH135" s="32">
        <v>0.12921107512117802</v>
      </c>
      <c r="AI135">
        <f t="shared" si="44"/>
        <v>0.1774</v>
      </c>
      <c r="AK135">
        <v>9.2413564484235128E-3</v>
      </c>
      <c r="AL135">
        <v>0.3244265981047727</v>
      </c>
      <c r="AM135">
        <v>0.53756484829956264</v>
      </c>
      <c r="AO135">
        <v>0.1774</v>
      </c>
      <c r="AR135">
        <v>0.33979999999999999</v>
      </c>
      <c r="AS135">
        <v>0.33389999999999997</v>
      </c>
    </row>
    <row r="136" spans="1:45" x14ac:dyDescent="0.2">
      <c r="A136" s="9" t="s">
        <v>52</v>
      </c>
      <c r="B136">
        <f t="shared" si="37"/>
        <v>146</v>
      </c>
      <c r="C136" t="s">
        <v>20</v>
      </c>
      <c r="D136" t="s">
        <v>15</v>
      </c>
      <c r="E136" t="s">
        <v>75</v>
      </c>
      <c r="J136" s="10">
        <f t="shared" si="39"/>
        <v>44.507939435108824</v>
      </c>
      <c r="K136" s="11">
        <f t="shared" si="34"/>
        <v>-9.6939549240404563</v>
      </c>
      <c r="L136">
        <f t="shared" si="42"/>
        <v>17.445361999999999</v>
      </c>
      <c r="O136">
        <f t="shared" si="35"/>
        <v>7.751407075959543</v>
      </c>
      <c r="P136" s="14">
        <f t="shared" si="43"/>
        <v>1.3766597029545156E-2</v>
      </c>
      <c r="Q136" s="19">
        <f t="shared" si="40"/>
        <v>4.3056136430621939</v>
      </c>
      <c r="R136" s="19">
        <f t="shared" si="41"/>
        <v>1.3644946540365703</v>
      </c>
      <c r="W136">
        <f t="shared" si="38"/>
        <v>0.3226</v>
      </c>
      <c r="X136" s="4"/>
      <c r="AA136" s="4"/>
      <c r="AG136">
        <v>9.0357991749970029E-2</v>
      </c>
      <c r="AH136" s="32">
        <v>5.1057875449674828E-2</v>
      </c>
      <c r="AI136">
        <f t="shared" si="44"/>
        <v>0.13830000000000001</v>
      </c>
      <c r="AK136">
        <v>1.2907311031212593E-2</v>
      </c>
      <c r="AL136">
        <v>0.37660782065597465</v>
      </c>
      <c r="AM136">
        <v>0.43129026631217865</v>
      </c>
      <c r="AO136">
        <v>0.13830000000000001</v>
      </c>
      <c r="AR136">
        <v>0.31740000000000002</v>
      </c>
      <c r="AS136">
        <v>0.32779999999999998</v>
      </c>
    </row>
    <row r="137" spans="1:45" x14ac:dyDescent="0.2">
      <c r="A137" s="9" t="s">
        <v>53</v>
      </c>
      <c r="B137">
        <f t="shared" si="37"/>
        <v>146</v>
      </c>
      <c r="C137" t="s">
        <v>74</v>
      </c>
      <c r="D137" t="s">
        <v>15</v>
      </c>
      <c r="E137" t="s">
        <v>75</v>
      </c>
      <c r="J137" s="10">
        <f t="shared" si="39"/>
        <v>51.04829573549781</v>
      </c>
      <c r="K137" s="11">
        <f t="shared" si="34"/>
        <v>-0.91237666311905774</v>
      </c>
      <c r="L137">
        <f t="shared" si="42"/>
        <v>31.534322000000003</v>
      </c>
      <c r="O137">
        <f t="shared" si="35"/>
        <v>30.621945336880945</v>
      </c>
      <c r="P137" s="14">
        <f t="shared" si="43"/>
        <v>1.8502791692316396E-2</v>
      </c>
      <c r="Q137" s="19">
        <f t="shared" si="40"/>
        <v>4.8346523340024143</v>
      </c>
      <c r="R137" s="19">
        <f t="shared" si="41"/>
        <v>1.4182792483449398</v>
      </c>
      <c r="W137">
        <f t="shared" si="38"/>
        <v>0.36134999999999995</v>
      </c>
      <c r="X137" s="4"/>
      <c r="AA137" s="4"/>
      <c r="AG137">
        <v>9.5568475602613251E-2</v>
      </c>
      <c r="AH137" s="32">
        <v>0.12579789213907777</v>
      </c>
      <c r="AI137">
        <f t="shared" si="44"/>
        <v>0.20230000000000001</v>
      </c>
      <c r="AK137">
        <v>1.655334233434673E-2</v>
      </c>
      <c r="AL137">
        <v>0.42631081679842303</v>
      </c>
      <c r="AM137">
        <v>0.44767801594909806</v>
      </c>
      <c r="AO137">
        <v>0.20230000000000001</v>
      </c>
      <c r="AR137">
        <v>0.37619999999999998</v>
      </c>
      <c r="AS137">
        <v>0.34649999999999997</v>
      </c>
    </row>
    <row r="138" spans="1:45" x14ac:dyDescent="0.2">
      <c r="A138" s="9" t="s">
        <v>54</v>
      </c>
      <c r="B138">
        <f t="shared" si="37"/>
        <v>146</v>
      </c>
      <c r="C138" t="s">
        <v>74</v>
      </c>
      <c r="D138" t="s">
        <v>15</v>
      </c>
      <c r="E138" t="s">
        <v>75</v>
      </c>
      <c r="J138" s="10">
        <f t="shared" si="39"/>
        <v>58.415712606494942</v>
      </c>
      <c r="K138" s="11">
        <f t="shared" si="34"/>
        <v>-3.9434999999999985</v>
      </c>
      <c r="L138">
        <f t="shared" si="42"/>
        <v>14.605556</v>
      </c>
      <c r="O138">
        <f t="shared" si="35"/>
        <v>10.662056000000002</v>
      </c>
      <c r="P138" s="14">
        <f t="shared" si="43"/>
        <v>1.1267928329323133E-2</v>
      </c>
      <c r="Q138" s="19">
        <f t="shared" si="40"/>
        <v>4.9038412814134151</v>
      </c>
      <c r="R138" s="19">
        <f t="shared" si="41"/>
        <v>1.4783334649426747</v>
      </c>
      <c r="W138">
        <f t="shared" si="38"/>
        <v>0.37955</v>
      </c>
      <c r="X138" s="4"/>
      <c r="AA138" s="4"/>
      <c r="AG138">
        <v>0.10143785104317431</v>
      </c>
      <c r="AH138" s="32">
        <v>0.1</v>
      </c>
      <c r="AI138">
        <f t="shared" si="44"/>
        <v>0.12540000000000001</v>
      </c>
      <c r="AK138">
        <v>1.0983778544513574E-2</v>
      </c>
      <c r="AL138">
        <v>0.43281109370663429</v>
      </c>
      <c r="AM138">
        <v>0.46597607097583021</v>
      </c>
      <c r="AO138">
        <v>0.12540000000000001</v>
      </c>
      <c r="AR138">
        <v>0.36249999999999999</v>
      </c>
      <c r="AS138">
        <v>0.39660000000000001</v>
      </c>
    </row>
    <row r="139" spans="1:45" x14ac:dyDescent="0.2">
      <c r="A139" s="9" t="s">
        <v>55</v>
      </c>
      <c r="B139">
        <f t="shared" si="37"/>
        <v>146</v>
      </c>
      <c r="C139" t="s">
        <v>74</v>
      </c>
      <c r="D139" t="s">
        <v>15</v>
      </c>
      <c r="E139" t="s">
        <v>75</v>
      </c>
      <c r="J139" s="10">
        <f t="shared" si="39"/>
        <v>59.02152433412455</v>
      </c>
      <c r="K139" s="11">
        <f t="shared" si="34"/>
        <v>-3.9434999999999985</v>
      </c>
      <c r="L139">
        <f t="shared" si="42"/>
        <v>19.492664000000001</v>
      </c>
      <c r="O139">
        <f t="shared" si="35"/>
        <v>15.549164000000003</v>
      </c>
      <c r="P139" s="14">
        <f t="shared" si="43"/>
        <v>1.0552315499991555E-2</v>
      </c>
      <c r="Q139" s="19">
        <f t="shared" si="40"/>
        <v>4.6906507082257622</v>
      </c>
      <c r="R139" s="19">
        <f t="shared" si="41"/>
        <v>1.3651481140926287</v>
      </c>
      <c r="W139">
        <f t="shared" si="38"/>
        <v>0.49885000000000002</v>
      </c>
      <c r="X139" s="4"/>
      <c r="AA139" s="4"/>
      <c r="AG139">
        <v>0.10192048105285256</v>
      </c>
      <c r="AH139" s="32">
        <v>0.1</v>
      </c>
      <c r="AI139">
        <f t="shared" si="44"/>
        <v>0.14760000000000001</v>
      </c>
      <c r="AK139">
        <v>1.043288337181798E-2</v>
      </c>
      <c r="AL139">
        <v>0.41278191546653159</v>
      </c>
      <c r="AM139">
        <v>0.43148937053401237</v>
      </c>
      <c r="AO139">
        <v>0.14760000000000001</v>
      </c>
      <c r="AR139">
        <v>0.42809999999999998</v>
      </c>
      <c r="AS139">
        <v>0.5696</v>
      </c>
    </row>
    <row r="140" spans="1:45" x14ac:dyDescent="0.2">
      <c r="A140" s="9" t="s">
        <v>57</v>
      </c>
      <c r="B140">
        <f t="shared" si="37"/>
        <v>146</v>
      </c>
      <c r="C140" t="s">
        <v>19</v>
      </c>
      <c r="D140" t="s">
        <v>15</v>
      </c>
      <c r="E140" t="s">
        <v>3</v>
      </c>
      <c r="J140" s="10">
        <f t="shared" si="39"/>
        <v>71.226705510610884</v>
      </c>
      <c r="K140" s="11">
        <f t="shared" ref="K140:K155" si="45">(3.9165*AH140-0.5231)*30</f>
        <v>35.851316371523183</v>
      </c>
      <c r="L140">
        <f t="shared" si="42"/>
        <v>36.905737999999999</v>
      </c>
      <c r="O140">
        <f t="shared" ref="O140:O169" si="46">K140+L140</f>
        <v>72.757054371523182</v>
      </c>
      <c r="P140" s="14">
        <f t="shared" si="43"/>
        <v>1.6573662426487036E-2</v>
      </c>
      <c r="Q140" s="19">
        <f t="shared" si="40"/>
        <v>6.1351280699815414</v>
      </c>
      <c r="R140" s="19">
        <f t="shared" si="41"/>
        <v>0.65046898847964429</v>
      </c>
      <c r="W140">
        <f t="shared" si="38"/>
        <v>0.31584999999999996</v>
      </c>
      <c r="X140" s="4"/>
      <c r="AA140" s="4"/>
      <c r="AG140">
        <v>0.11164394205678667</v>
      </c>
      <c r="AH140">
        <v>0.4386937007661873</v>
      </c>
      <c r="AI140">
        <f t="shared" si="44"/>
        <v>0.22670000000000001</v>
      </c>
      <c r="AK140">
        <v>1.5068254369889945E-2</v>
      </c>
      <c r="AL140">
        <v>0.54849004791258371</v>
      </c>
      <c r="AM140">
        <v>0.21373217199257902</v>
      </c>
      <c r="AO140">
        <v>0.22670000000000001</v>
      </c>
      <c r="AR140">
        <v>0.32979999999999998</v>
      </c>
      <c r="AS140">
        <v>0.3019</v>
      </c>
    </row>
    <row r="141" spans="1:45" x14ac:dyDescent="0.2">
      <c r="A141" s="9" t="s">
        <v>58</v>
      </c>
      <c r="B141">
        <f t="shared" si="37"/>
        <v>146</v>
      </c>
      <c r="C141" t="s">
        <v>19</v>
      </c>
      <c r="D141" t="s">
        <v>15</v>
      </c>
      <c r="E141" t="s">
        <v>3</v>
      </c>
      <c r="J141" s="10">
        <f t="shared" si="39"/>
        <v>22.677060462404398</v>
      </c>
      <c r="K141" s="11">
        <f t="shared" si="45"/>
        <v>33.877604023203368</v>
      </c>
      <c r="L141">
        <f t="shared" si="42"/>
        <v>17.049110000000002</v>
      </c>
      <c r="O141">
        <f t="shared" si="46"/>
        <v>50.926714023203374</v>
      </c>
      <c r="P141" s="14">
        <f t="shared" si="43"/>
        <v>2.1409386021845868E-2</v>
      </c>
      <c r="Q141" s="19">
        <f t="shared" si="40"/>
        <v>2.6053812651191377</v>
      </c>
      <c r="R141" s="19">
        <f t="shared" si="41"/>
        <v>3.1279771495807163</v>
      </c>
      <c r="W141">
        <f t="shared" si="38"/>
        <v>0.32074999999999998</v>
      </c>
      <c r="X141" s="4"/>
      <c r="AA141" s="4"/>
      <c r="AG141">
        <v>7.296605816838217E-2</v>
      </c>
      <c r="AH141">
        <v>0.42189543404573271</v>
      </c>
      <c r="AI141">
        <f t="shared" si="44"/>
        <v>0.13650000000000001</v>
      </c>
      <c r="AK141">
        <v>1.8790905328595744E-2</v>
      </c>
      <c r="AL141">
        <v>0.21687159574587914</v>
      </c>
      <c r="AM141">
        <v>0.96860973478998058</v>
      </c>
      <c r="AO141">
        <v>0.13650000000000001</v>
      </c>
      <c r="AR141">
        <v>0.32340000000000002</v>
      </c>
      <c r="AS141">
        <v>0.31809999999999999</v>
      </c>
    </row>
    <row r="142" spans="1:45" x14ac:dyDescent="0.2">
      <c r="A142" s="9" t="s">
        <v>59</v>
      </c>
      <c r="B142">
        <f t="shared" ref="B142:B151" si="47">B112+2</f>
        <v>146</v>
      </c>
      <c r="C142" t="s">
        <v>19</v>
      </c>
      <c r="D142" t="s">
        <v>15</v>
      </c>
      <c r="E142" t="s">
        <v>3</v>
      </c>
      <c r="J142" s="10">
        <f t="shared" si="39"/>
        <v>57.959409866057392</v>
      </c>
      <c r="K142" s="11">
        <f t="shared" si="45"/>
        <v>35.180573061171636</v>
      </c>
      <c r="L142">
        <f t="shared" si="42"/>
        <v>16.344662</v>
      </c>
      <c r="O142">
        <f t="shared" si="46"/>
        <v>51.525235061171635</v>
      </c>
      <c r="P142" s="14">
        <f t="shared" si="43"/>
        <v>1.3318646436027395E-2</v>
      </c>
      <c r="Q142" s="19">
        <f t="shared" si="40"/>
        <v>4.9740249449003704</v>
      </c>
      <c r="R142" s="19">
        <f t="shared" si="41"/>
        <v>1.4254898329636219</v>
      </c>
      <c r="W142">
        <f t="shared" si="38"/>
        <v>0.29420000000000002</v>
      </c>
      <c r="X142" s="4"/>
      <c r="AA142" s="4"/>
      <c r="AG142">
        <v>0.10107432985995905</v>
      </c>
      <c r="AH142">
        <v>0.43298500413780705</v>
      </c>
      <c r="AI142">
        <f t="shared" si="44"/>
        <v>0.1333</v>
      </c>
      <c r="AK142">
        <v>1.2562468388011852E-2</v>
      </c>
      <c r="AL142">
        <v>0.43940482383505924</v>
      </c>
      <c r="AM142">
        <v>0.44987502527837353</v>
      </c>
      <c r="AO142">
        <v>0.1333</v>
      </c>
      <c r="AR142">
        <v>0.28970000000000001</v>
      </c>
      <c r="AS142">
        <v>0.29870000000000002</v>
      </c>
    </row>
    <row r="143" spans="1:45" x14ac:dyDescent="0.2">
      <c r="A143" s="9" t="s">
        <v>60</v>
      </c>
      <c r="B143">
        <f t="shared" si="47"/>
        <v>146</v>
      </c>
      <c r="C143" t="s">
        <v>74</v>
      </c>
      <c r="D143" t="s">
        <v>15</v>
      </c>
      <c r="E143" t="s">
        <v>3</v>
      </c>
      <c r="J143" s="10">
        <f t="shared" si="39"/>
        <v>48.344627325240481</v>
      </c>
      <c r="K143" s="11">
        <f t="shared" si="45"/>
        <v>33.419695757830603</v>
      </c>
      <c r="L143">
        <f t="shared" si="42"/>
        <v>24.005533999999997</v>
      </c>
      <c r="O143">
        <f t="shared" si="46"/>
        <v>57.4252297578306</v>
      </c>
      <c r="P143" s="14">
        <f t="shared" si="43"/>
        <v>2.7358478276894561E-2</v>
      </c>
      <c r="Q143" s="19">
        <f t="shared" si="40"/>
        <v>4.2405293148545491</v>
      </c>
      <c r="R143" s="19">
        <f t="shared" si="41"/>
        <v>1.9683832975003785</v>
      </c>
      <c r="W143">
        <f t="shared" si="38"/>
        <v>0.45845000000000002</v>
      </c>
      <c r="X143" s="4"/>
      <c r="AA143" s="4"/>
      <c r="AG143">
        <v>9.341455310244158E-2</v>
      </c>
      <c r="AH143">
        <v>0.41799817658479593</v>
      </c>
      <c r="AI143">
        <f t="shared" si="44"/>
        <v>0.1681</v>
      </c>
      <c r="AK143">
        <v>2.337065302301352E-2</v>
      </c>
      <c r="AL143">
        <v>0.37049317125653414</v>
      </c>
      <c r="AM143">
        <v>0.61529046237062113</v>
      </c>
      <c r="AO143">
        <v>0.1681</v>
      </c>
      <c r="AR143">
        <v>0.45660000000000001</v>
      </c>
      <c r="AS143">
        <v>0.46029999999999999</v>
      </c>
    </row>
    <row r="144" spans="1:45" x14ac:dyDescent="0.2">
      <c r="A144" s="9" t="s">
        <v>61</v>
      </c>
      <c r="B144">
        <f t="shared" si="47"/>
        <v>146</v>
      </c>
      <c r="C144" t="s">
        <v>74</v>
      </c>
      <c r="D144" t="s">
        <v>15</v>
      </c>
      <c r="E144" t="s">
        <v>3</v>
      </c>
      <c r="J144" s="10">
        <f t="shared" si="39"/>
        <v>62.294357154788216</v>
      </c>
      <c r="K144" s="11">
        <f t="shared" si="45"/>
        <v>34.155258629107799</v>
      </c>
      <c r="L144">
        <f t="shared" si="42"/>
        <v>24.930121999999997</v>
      </c>
      <c r="O144">
        <f t="shared" si="46"/>
        <v>59.085380629107796</v>
      </c>
      <c r="P144" s="14">
        <f t="shared" si="43"/>
        <v>1.8907387791590638E-2</v>
      </c>
      <c r="Q144" s="19">
        <f t="shared" si="40"/>
        <v>5.5491918268638925</v>
      </c>
      <c r="R144" s="19">
        <f t="shared" si="41"/>
        <v>1.153094564476939</v>
      </c>
      <c r="W144">
        <f t="shared" si="38"/>
        <v>0.41425000000000001</v>
      </c>
      <c r="X144" s="4"/>
      <c r="AA144" s="4"/>
      <c r="AG144">
        <v>0.10452783786664795</v>
      </c>
      <c r="AH144">
        <v>0.42425855252655686</v>
      </c>
      <c r="AI144">
        <f t="shared" si="44"/>
        <v>0.17230000000000001</v>
      </c>
      <c r="AK144">
        <v>1.6864809693295336E-2</v>
      </c>
      <c r="AL144">
        <v>0.49344154705598392</v>
      </c>
      <c r="AM144">
        <v>0.36687829508742809</v>
      </c>
      <c r="AO144">
        <v>0.17230000000000001</v>
      </c>
      <c r="AR144">
        <v>0.41349999999999998</v>
      </c>
      <c r="AS144">
        <v>0.41499999999999998</v>
      </c>
    </row>
    <row r="145" spans="1:45" x14ac:dyDescent="0.2">
      <c r="A145" s="9" t="s">
        <v>62</v>
      </c>
      <c r="B145">
        <f t="shared" si="47"/>
        <v>146</v>
      </c>
      <c r="C145" t="s">
        <v>74</v>
      </c>
      <c r="D145" t="s">
        <v>15</v>
      </c>
      <c r="E145" t="s">
        <v>3</v>
      </c>
      <c r="J145" s="10">
        <f t="shared" si="39"/>
        <v>73.838025223950126</v>
      </c>
      <c r="K145" s="11">
        <f t="shared" si="45"/>
        <v>33.117090728081429</v>
      </c>
      <c r="L145">
        <f t="shared" si="42"/>
        <v>19.822873999999999</v>
      </c>
      <c r="O145">
        <f t="shared" si="46"/>
        <v>52.939964728081428</v>
      </c>
      <c r="P145" s="14">
        <f t="shared" si="43"/>
        <v>2.129553003439388E-2</v>
      </c>
      <c r="Q145" s="19">
        <f t="shared" si="40"/>
        <v>6.1454801189018351</v>
      </c>
      <c r="R145" s="19">
        <f t="shared" si="41"/>
        <v>0.73528717535967858</v>
      </c>
      <c r="W145">
        <f t="shared" si="38"/>
        <v>0.46550000000000002</v>
      </c>
      <c r="X145" s="4"/>
      <c r="AA145" s="4"/>
      <c r="AG145">
        <v>0.1137242934284136</v>
      </c>
      <c r="AH145">
        <v>0.41542270503494988</v>
      </c>
      <c r="AI145">
        <f t="shared" si="44"/>
        <v>0.14910000000000001</v>
      </c>
      <c r="AK145">
        <v>1.8703256377516461E-2</v>
      </c>
      <c r="AL145">
        <v>0.54946261921287443</v>
      </c>
      <c r="AM145">
        <v>0.23957561711141942</v>
      </c>
      <c r="AO145">
        <v>0.14910000000000001</v>
      </c>
      <c r="AR145">
        <v>0.45300000000000001</v>
      </c>
      <c r="AS145">
        <v>0.47799999999999998</v>
      </c>
    </row>
    <row r="146" spans="1:45" x14ac:dyDescent="0.2">
      <c r="A146" s="9" t="s">
        <v>63</v>
      </c>
      <c r="B146">
        <f t="shared" si="47"/>
        <v>146</v>
      </c>
      <c r="C146" t="s">
        <v>76</v>
      </c>
      <c r="D146" t="s">
        <v>14</v>
      </c>
      <c r="E146" t="s">
        <v>3</v>
      </c>
      <c r="J146" s="10">
        <f t="shared" si="39"/>
        <v>67.624916763912822</v>
      </c>
      <c r="K146" s="11">
        <f t="shared" si="45"/>
        <v>34.257119244447424</v>
      </c>
      <c r="L146">
        <f t="shared" si="42"/>
        <v>17.401333999999999</v>
      </c>
      <c r="O146">
        <f t="shared" si="46"/>
        <v>51.658453244447422</v>
      </c>
      <c r="P146" s="14">
        <f t="shared" si="43"/>
        <v>2.2754092275680166E-2</v>
      </c>
      <c r="Q146" s="19">
        <f t="shared" si="40"/>
        <v>6.8683201465360701</v>
      </c>
      <c r="R146" s="19">
        <f t="shared" si="41"/>
        <v>0.65298747384275735</v>
      </c>
      <c r="W146">
        <f t="shared" si="38"/>
        <v>0.53944999999999999</v>
      </c>
      <c r="X146" s="4"/>
      <c r="AA146" s="4"/>
      <c r="AG146">
        <v>0.10877451702191722</v>
      </c>
      <c r="AH146">
        <v>0.4251254882713939</v>
      </c>
      <c r="AI146">
        <f t="shared" si="44"/>
        <v>0.1381</v>
      </c>
      <c r="AK146">
        <v>1.9826091051331925E-2</v>
      </c>
      <c r="AL146">
        <v>0.61737318174897315</v>
      </c>
      <c r="AM146">
        <v>0.21449953499169938</v>
      </c>
      <c r="AO146">
        <v>0.1381</v>
      </c>
      <c r="AR146">
        <v>0.54820000000000002</v>
      </c>
      <c r="AS146">
        <v>0.53069999999999995</v>
      </c>
    </row>
    <row r="147" spans="1:45" x14ac:dyDescent="0.2">
      <c r="A147" s="9" t="s">
        <v>64</v>
      </c>
      <c r="B147">
        <f t="shared" si="47"/>
        <v>146</v>
      </c>
      <c r="C147" t="s">
        <v>76</v>
      </c>
      <c r="D147" t="s">
        <v>14</v>
      </c>
      <c r="E147" t="s">
        <v>3</v>
      </c>
      <c r="J147" s="10">
        <f t="shared" si="39"/>
        <v>74.529552239219996</v>
      </c>
      <c r="K147" s="11">
        <f t="shared" si="45"/>
        <v>33.848469980153013</v>
      </c>
      <c r="L147">
        <f t="shared" si="42"/>
        <v>13.592912000000002</v>
      </c>
      <c r="O147">
        <f t="shared" si="46"/>
        <v>47.441381980153011</v>
      </c>
      <c r="P147" s="14">
        <f t="shared" si="43"/>
        <v>1.1280677758131612E-2</v>
      </c>
      <c r="Q147" s="19">
        <f t="shared" si="40"/>
        <v>6.7923332047235423</v>
      </c>
      <c r="R147" s="19">
        <f t="shared" si="41"/>
        <v>0.6632497708691355</v>
      </c>
      <c r="W147">
        <f t="shared" si="38"/>
        <v>0.48049999999999998</v>
      </c>
      <c r="X147" s="4"/>
      <c r="AA147" s="4"/>
      <c r="AG147">
        <v>0.1142752099505786</v>
      </c>
      <c r="AH147">
        <v>0.42164747419169329</v>
      </c>
      <c r="AI147">
        <f t="shared" si="44"/>
        <v>0.1208</v>
      </c>
      <c r="AK147">
        <v>1.0993593347291464E-2</v>
      </c>
      <c r="AL147">
        <v>0.61023423569368118</v>
      </c>
      <c r="AM147">
        <v>0.21762637747383776</v>
      </c>
      <c r="AO147">
        <v>0.1208</v>
      </c>
      <c r="AR147">
        <v>0.47149999999999997</v>
      </c>
      <c r="AS147">
        <v>0.48949999999999999</v>
      </c>
    </row>
    <row r="148" spans="1:45" x14ac:dyDescent="0.2">
      <c r="A148" s="9" t="s">
        <v>65</v>
      </c>
      <c r="B148">
        <f t="shared" si="47"/>
        <v>146</v>
      </c>
      <c r="C148" t="s">
        <v>76</v>
      </c>
      <c r="D148" t="s">
        <v>14</v>
      </c>
      <c r="E148" t="s">
        <v>3</v>
      </c>
      <c r="J148" s="10">
        <f t="shared" si="39"/>
        <v>73.771877931265067</v>
      </c>
      <c r="K148" s="11">
        <f t="shared" si="45"/>
        <v>33.342187448484395</v>
      </c>
      <c r="L148">
        <f t="shared" si="42"/>
        <v>26.074849999999998</v>
      </c>
      <c r="O148">
        <f t="shared" si="46"/>
        <v>59.417037448484393</v>
      </c>
      <c r="P148" s="14">
        <f t="shared" si="43"/>
        <v>1.1911719025790694E-2</v>
      </c>
      <c r="Q148" s="19">
        <f t="shared" si="40"/>
        <v>6.8100693970460249</v>
      </c>
      <c r="R148" s="19">
        <f t="shared" si="41"/>
        <v>0.6611909684424454</v>
      </c>
      <c r="W148">
        <f t="shared" si="38"/>
        <v>0.54110000000000003</v>
      </c>
      <c r="X148" s="4"/>
      <c r="AA148" s="4"/>
      <c r="AG148">
        <v>0.11367159608524117</v>
      </c>
      <c r="AH148">
        <v>0.41733850332766831</v>
      </c>
      <c r="AI148">
        <f t="shared" si="44"/>
        <v>0.17749999999999999</v>
      </c>
      <c r="AK148">
        <v>1.1479383391678748E-2</v>
      </c>
      <c r="AL148">
        <v>0.61190054463040444</v>
      </c>
      <c r="AM148">
        <v>0.21699907630787491</v>
      </c>
      <c r="AO148">
        <v>0.17749999999999999</v>
      </c>
      <c r="AR148">
        <v>0.53510000000000002</v>
      </c>
      <c r="AS148">
        <v>0.54710000000000003</v>
      </c>
    </row>
    <row r="149" spans="1:45" x14ac:dyDescent="0.2">
      <c r="A149" s="9" t="s">
        <v>66</v>
      </c>
      <c r="B149">
        <f t="shared" si="47"/>
        <v>146</v>
      </c>
      <c r="C149" t="s">
        <v>76</v>
      </c>
      <c r="D149" t="s">
        <v>15</v>
      </c>
      <c r="E149" t="s">
        <v>3</v>
      </c>
      <c r="J149" s="10">
        <f t="shared" si="39"/>
        <v>78.37648210079351</v>
      </c>
      <c r="K149" s="11">
        <f t="shared" si="45"/>
        <v>34.143269853771613</v>
      </c>
      <c r="L149">
        <f t="shared" si="42"/>
        <v>14.737639999999999</v>
      </c>
      <c r="O149">
        <f t="shared" si="46"/>
        <v>48.880909853771612</v>
      </c>
      <c r="P149" s="14">
        <f t="shared" si="43"/>
        <v>5.9141659183009551E-3</v>
      </c>
      <c r="Q149" s="19">
        <f t="shared" si="40"/>
        <v>6.7963480752024257</v>
      </c>
      <c r="R149" s="19">
        <f t="shared" si="41"/>
        <v>0.65517303331694265</v>
      </c>
      <c r="W149">
        <f t="shared" si="38"/>
        <v>0.54384999999999994</v>
      </c>
      <c r="X149" s="4"/>
      <c r="AA149" s="4"/>
      <c r="AG149">
        <v>0.11733993074029883</v>
      </c>
      <c r="AH149">
        <v>0.42415651605405857</v>
      </c>
      <c r="AI149">
        <f t="shared" si="44"/>
        <v>0.126</v>
      </c>
      <c r="AK149">
        <v>6.8623294213248304E-3</v>
      </c>
      <c r="AL149">
        <v>0.61061143134182883</v>
      </c>
      <c r="AM149">
        <v>0.215165458049038</v>
      </c>
      <c r="AO149">
        <v>0.126</v>
      </c>
      <c r="AR149">
        <v>0.54349999999999998</v>
      </c>
      <c r="AS149">
        <v>0.54420000000000002</v>
      </c>
    </row>
    <row r="150" spans="1:45" x14ac:dyDescent="0.2">
      <c r="A150" s="9" t="s">
        <v>67</v>
      </c>
      <c r="B150">
        <f t="shared" si="47"/>
        <v>146</v>
      </c>
      <c r="C150" t="s">
        <v>76</v>
      </c>
      <c r="D150" t="s">
        <v>15</v>
      </c>
      <c r="E150" t="s">
        <v>3</v>
      </c>
      <c r="J150" s="10">
        <f t="shared" si="39"/>
        <v>69.422151084043108</v>
      </c>
      <c r="K150" s="11">
        <f t="shared" si="45"/>
        <v>31.703651481905936</v>
      </c>
      <c r="L150">
        <f t="shared" si="42"/>
        <v>13.614925999999999</v>
      </c>
      <c r="O150">
        <f t="shared" si="46"/>
        <v>45.318577481905933</v>
      </c>
      <c r="P150" s="14">
        <f t="shared" si="43"/>
        <v>8.2532149087705484E-3</v>
      </c>
      <c r="Q150" s="19">
        <f t="shared" si="40"/>
        <v>6.7564437913941058</v>
      </c>
      <c r="R150" s="19">
        <f t="shared" si="41"/>
        <v>0.65535190110224717</v>
      </c>
      <c r="W150">
        <f t="shared" si="38"/>
        <v>0.53059999999999996</v>
      </c>
      <c r="X150" s="4"/>
      <c r="AA150" s="4"/>
      <c r="AG150">
        <v>0.11020631369695434</v>
      </c>
      <c r="AH150">
        <v>0.40339292294911222</v>
      </c>
      <c r="AI150">
        <f t="shared" si="44"/>
        <v>0.12089999999999999</v>
      </c>
      <c r="AK150">
        <v>8.6629829936647803E-3</v>
      </c>
      <c r="AL150">
        <v>0.60686243812421137</v>
      </c>
      <c r="AM150">
        <v>0.21521995767892968</v>
      </c>
      <c r="AO150">
        <v>0.12089999999999999</v>
      </c>
      <c r="AR150">
        <v>0.53520000000000001</v>
      </c>
      <c r="AS150">
        <v>0.52600000000000002</v>
      </c>
    </row>
    <row r="151" spans="1:45" x14ac:dyDescent="0.2">
      <c r="A151" s="9" t="s">
        <v>68</v>
      </c>
      <c r="B151">
        <f t="shared" si="47"/>
        <v>146</v>
      </c>
      <c r="C151" t="s">
        <v>76</v>
      </c>
      <c r="D151" t="s">
        <v>15</v>
      </c>
      <c r="E151" t="s">
        <v>3</v>
      </c>
      <c r="J151" s="10">
        <f t="shared" si="39"/>
        <v>74.818198913837733</v>
      </c>
      <c r="K151" s="11">
        <f t="shared" si="45"/>
        <v>32.237995807508561</v>
      </c>
      <c r="L151">
        <f t="shared" si="42"/>
        <v>26.250961999999998</v>
      </c>
      <c r="O151">
        <f t="shared" si="46"/>
        <v>58.488957807508555</v>
      </c>
      <c r="P151" s="14">
        <f t="shared" si="43"/>
        <v>6.3655805746423728E-3</v>
      </c>
      <c r="Q151" s="19">
        <f t="shared" si="40"/>
        <v>6.7431428973193279</v>
      </c>
      <c r="R151" s="19">
        <f t="shared" si="41"/>
        <v>0.66175446407905814</v>
      </c>
      <c r="W151">
        <f t="shared" si="38"/>
        <v>0.54849999999999999</v>
      </c>
      <c r="X151" s="4"/>
      <c r="AA151" s="4"/>
      <c r="AG151">
        <v>0.11450516513469072</v>
      </c>
      <c r="AH151">
        <v>0.4079407277544454</v>
      </c>
      <c r="AI151">
        <f t="shared" si="44"/>
        <v>0.17829999999999999</v>
      </c>
      <c r="AK151">
        <v>7.2098387795553297E-3</v>
      </c>
      <c r="AL151">
        <v>0.60561282387442017</v>
      </c>
      <c r="AM151">
        <v>0.21717076906735472</v>
      </c>
      <c r="AO151">
        <v>0.17829999999999999</v>
      </c>
      <c r="AR151">
        <v>0.5423</v>
      </c>
      <c r="AS151">
        <v>0.55469999999999997</v>
      </c>
    </row>
    <row r="152" spans="1:45" x14ac:dyDescent="0.2">
      <c r="A152" s="9" t="s">
        <v>73</v>
      </c>
      <c r="B152">
        <f>B122+48</f>
        <v>194</v>
      </c>
      <c r="C152" t="s">
        <v>19</v>
      </c>
      <c r="D152" t="s">
        <v>14</v>
      </c>
      <c r="E152" t="s">
        <v>75</v>
      </c>
      <c r="J152" s="10">
        <f t="shared" si="39"/>
        <v>77.251200954253008</v>
      </c>
      <c r="K152" s="11">
        <f t="shared" si="45"/>
        <v>-3.8589652848750915</v>
      </c>
      <c r="L152">
        <f t="shared" si="42"/>
        <v>52.733803999999999</v>
      </c>
      <c r="O152">
        <f t="shared" si="46"/>
        <v>48.874838715124909</v>
      </c>
      <c r="P152" s="14">
        <f t="shared" si="43"/>
        <v>-2.528176634777253E-4</v>
      </c>
      <c r="Q152" s="19">
        <f t="shared" si="40"/>
        <v>3.9795548316726985</v>
      </c>
      <c r="R152" s="19">
        <f t="shared" si="41"/>
        <v>0.76761652305863026</v>
      </c>
      <c r="S152">
        <f>J122-J152</f>
        <v>5.1509138769956735</v>
      </c>
      <c r="W152" s="5"/>
      <c r="X152" s="4"/>
      <c r="Y152">
        <f>Q122-Q152</f>
        <v>2.1737028465402886</v>
      </c>
      <c r="Z152">
        <f>R152-R122</f>
        <v>9.6039321908364506E-2</v>
      </c>
      <c r="AA152" s="4">
        <f>2*Z152/Y152*100</f>
        <v>8.836472019275563</v>
      </c>
      <c r="AG152">
        <v>0.11644345676022157</v>
      </c>
      <c r="AH152" s="32">
        <v>0.10071947499999923</v>
      </c>
      <c r="AI152">
        <f t="shared" si="44"/>
        <v>0.29859999999999998</v>
      </c>
      <c r="AK152">
        <v>2.1148439850056005E-3</v>
      </c>
      <c r="AL152">
        <v>0.34597471173174549</v>
      </c>
      <c r="AM152">
        <v>0.24942611915253818</v>
      </c>
      <c r="AO152">
        <v>0.29859999999999998</v>
      </c>
    </row>
    <row r="153" spans="1:45" x14ac:dyDescent="0.2">
      <c r="A153" s="9" t="s">
        <v>48</v>
      </c>
      <c r="B153">
        <f t="shared" ref="B153:B181" si="48">B123+48</f>
        <v>194</v>
      </c>
      <c r="C153" t="s">
        <v>19</v>
      </c>
      <c r="D153" t="s">
        <v>14</v>
      </c>
      <c r="E153" t="s">
        <v>75</v>
      </c>
      <c r="J153" s="10">
        <f t="shared" si="39"/>
        <v>28.117228786640979</v>
      </c>
      <c r="K153" s="11">
        <f t="shared" si="45"/>
        <v>-3.9434999999999985</v>
      </c>
      <c r="L153">
        <f t="shared" si="42"/>
        <v>29.398964000000003</v>
      </c>
      <c r="O153">
        <f t="shared" si="46"/>
        <v>25.455464000000006</v>
      </c>
      <c r="P153" s="14">
        <f t="shared" si="43"/>
        <v>1.2229605423070219E-4</v>
      </c>
      <c r="Q153" s="19">
        <f t="shared" si="40"/>
        <v>2.2108902748056236</v>
      </c>
      <c r="R153" s="19">
        <f t="shared" si="41"/>
        <v>2.6647548332940629</v>
      </c>
      <c r="S153">
        <f>J123-J153</f>
        <v>18.780998470253586</v>
      </c>
      <c r="W153" s="5"/>
      <c r="X153" s="4"/>
      <c r="Y153">
        <f t="shared" ref="Y153:Y181" si="49">Q123-Q153</f>
        <v>3.314887484037488</v>
      </c>
      <c r="Z153">
        <f t="shared" ref="Z153:Z181" si="50">R153-R123</f>
        <v>1.6270932958173303</v>
      </c>
      <c r="AA153" s="4">
        <f t="shared" ref="AA153:AA181" si="51">2*Z153/Y153*100</f>
        <v>98.168840037704854</v>
      </c>
      <c r="AG153">
        <v>7.7300058933357313E-2</v>
      </c>
      <c r="AH153" s="32">
        <v>0.1</v>
      </c>
      <c r="AI153">
        <f t="shared" si="44"/>
        <v>0.19259999999999999</v>
      </c>
      <c r="AK153">
        <v>2.4036151302776771E-3</v>
      </c>
      <c r="AL153">
        <v>0.17980930804261777</v>
      </c>
      <c r="AM153">
        <v>0.82746947997990949</v>
      </c>
      <c r="AO153">
        <v>0.19259999999999999</v>
      </c>
    </row>
    <row r="154" spans="1:45" x14ac:dyDescent="0.2">
      <c r="A154" s="9" t="s">
        <v>49</v>
      </c>
      <c r="B154">
        <f t="shared" si="48"/>
        <v>194</v>
      </c>
      <c r="C154" t="s">
        <v>19</v>
      </c>
      <c r="D154" t="s">
        <v>14</v>
      </c>
      <c r="E154" t="s">
        <v>75</v>
      </c>
      <c r="J154" s="10">
        <f t="shared" si="39"/>
        <v>69.581081498604547</v>
      </c>
      <c r="K154" s="11">
        <f t="shared" si="45"/>
        <v>-3.9434999999999985</v>
      </c>
      <c r="L154">
        <f t="shared" si="42"/>
        <v>27.109507999999998</v>
      </c>
      <c r="O154">
        <f t="shared" si="46"/>
        <v>23.166007999999998</v>
      </c>
      <c r="P154" s="14">
        <f t="shared" si="43"/>
        <v>7.3544842459554642E-4</v>
      </c>
      <c r="Q154" s="19">
        <f t="shared" si="40"/>
        <v>3.5620397691222787</v>
      </c>
      <c r="R154" s="19">
        <f t="shared" si="41"/>
        <v>1.6178610577378798</v>
      </c>
      <c r="S154">
        <f t="shared" ref="S154:S180" si="52">J124-J154</f>
        <v>-0.6074654709312739</v>
      </c>
      <c r="W154" s="5"/>
      <c r="X154" s="4"/>
      <c r="Y154">
        <f t="shared" si="49"/>
        <v>2.0950772961337107</v>
      </c>
      <c r="Z154">
        <f t="shared" si="50"/>
        <v>0.76301481512426284</v>
      </c>
      <c r="AA154" s="4">
        <f t="shared" si="51"/>
        <v>72.838822370166739</v>
      </c>
      <c r="AG154">
        <v>0.11033292826055496</v>
      </c>
      <c r="AH154" s="32">
        <v>0.1</v>
      </c>
      <c r="AI154">
        <f t="shared" si="44"/>
        <v>0.1822</v>
      </c>
      <c r="AK154">
        <v>2.875633891143608E-3</v>
      </c>
      <c r="AL154">
        <v>0.30674932066161953</v>
      </c>
      <c r="AM154">
        <v>0.50848904867089573</v>
      </c>
      <c r="AO154">
        <v>0.1822</v>
      </c>
    </row>
    <row r="155" spans="1:45" x14ac:dyDescent="0.2">
      <c r="A155" s="9" t="s">
        <v>50</v>
      </c>
      <c r="B155">
        <f t="shared" si="48"/>
        <v>194</v>
      </c>
      <c r="C155" t="s">
        <v>20</v>
      </c>
      <c r="D155" t="s">
        <v>14</v>
      </c>
      <c r="E155" t="s">
        <v>75</v>
      </c>
      <c r="J155" s="10">
        <f t="shared" si="39"/>
        <v>33.753353639374104</v>
      </c>
      <c r="K155" s="11">
        <f t="shared" si="45"/>
        <v>-0.20536910114394957</v>
      </c>
      <c r="L155">
        <f t="shared" si="42"/>
        <v>31.182097999999996</v>
      </c>
      <c r="O155">
        <f t="shared" si="46"/>
        <v>30.976728898856045</v>
      </c>
      <c r="P155" s="14">
        <f t="shared" si="43"/>
        <v>9.5941390551853521E-5</v>
      </c>
      <c r="Q155" s="19">
        <f t="shared" si="40"/>
        <v>0.7639670257545319</v>
      </c>
      <c r="R155" s="19">
        <f t="shared" si="41"/>
        <v>3.98635197741703</v>
      </c>
      <c r="S155">
        <f t="shared" si="52"/>
        <v>-7.1339468159304325</v>
      </c>
      <c r="W155" s="5"/>
      <c r="X155" s="4"/>
      <c r="Y155">
        <f t="shared" si="49"/>
        <v>0.72548575691763517</v>
      </c>
      <c r="Z155">
        <f t="shared" si="50"/>
        <v>0.3649830292247267</v>
      </c>
      <c r="AA155" s="4">
        <f t="shared" si="51"/>
        <v>100.61755885475321</v>
      </c>
      <c r="AG155">
        <v>8.1790171732701367E-2</v>
      </c>
      <c r="AH155" s="32">
        <v>0.13181523383000171</v>
      </c>
      <c r="AI155">
        <f t="shared" si="44"/>
        <v>0.20069999999999999</v>
      </c>
      <c r="AK155">
        <v>2.3833267055826434E-3</v>
      </c>
      <c r="AL155">
        <v>4.3871385358373906E-2</v>
      </c>
      <c r="AM155">
        <v>1.2301499017114657</v>
      </c>
      <c r="AO155">
        <v>0.20069999999999999</v>
      </c>
    </row>
    <row r="156" spans="1:45" x14ac:dyDescent="0.2">
      <c r="A156" s="9" t="s">
        <v>51</v>
      </c>
      <c r="B156">
        <f t="shared" si="48"/>
        <v>194</v>
      </c>
      <c r="C156" t="s">
        <v>20</v>
      </c>
      <c r="D156" t="s">
        <v>14</v>
      </c>
      <c r="E156" t="s">
        <v>75</v>
      </c>
      <c r="J156" s="10">
        <f t="shared" si="39"/>
        <v>49.121635185688902</v>
      </c>
      <c r="K156" s="11">
        <f t="shared" ref="K156:K219" si="53">(3.9165*AH156-0.5231)*30</f>
        <v>-3.9434999999999985</v>
      </c>
      <c r="L156">
        <f t="shared" si="42"/>
        <v>35.342744000000003</v>
      </c>
      <c r="O156">
        <f t="shared" si="46"/>
        <v>31.399244000000003</v>
      </c>
      <c r="P156" s="14">
        <f t="shared" si="43"/>
        <v>-2.5761516490866934E-4</v>
      </c>
      <c r="Q156" s="19">
        <f t="shared" si="40"/>
        <v>0.96912712973283532</v>
      </c>
      <c r="R156" s="19">
        <f t="shared" si="41"/>
        <v>2.7524723285967427</v>
      </c>
      <c r="S156">
        <f t="shared" si="52"/>
        <v>9.7031562551915869</v>
      </c>
      <c r="W156" s="5"/>
      <c r="X156" s="4"/>
      <c r="Y156">
        <f t="shared" si="49"/>
        <v>2.1162214408470472</v>
      </c>
      <c r="Z156">
        <f t="shared" si="50"/>
        <v>0.45352501529127442</v>
      </c>
      <c r="AA156" s="4">
        <f t="shared" si="51"/>
        <v>42.861773020288908</v>
      </c>
      <c r="AG156">
        <v>9.4033569364598821E-2</v>
      </c>
      <c r="AH156" s="32">
        <v>0.1</v>
      </c>
      <c r="AI156">
        <f t="shared" si="44"/>
        <v>0.21959999999999999</v>
      </c>
      <c r="AK156">
        <v>2.1111507583459052E-3</v>
      </c>
      <c r="AL156">
        <v>6.3146103883205129E-2</v>
      </c>
      <c r="AM156">
        <v>0.85419632193685036</v>
      </c>
      <c r="AO156">
        <v>0.21959999999999999</v>
      </c>
    </row>
    <row r="157" spans="1:45" x14ac:dyDescent="0.2">
      <c r="A157" s="9" t="s">
        <v>52</v>
      </c>
      <c r="B157">
        <f t="shared" si="48"/>
        <v>194</v>
      </c>
      <c r="C157" t="s">
        <v>20</v>
      </c>
      <c r="D157" t="s">
        <v>14</v>
      </c>
      <c r="E157" t="s">
        <v>75</v>
      </c>
      <c r="J157" s="10">
        <f t="shared" si="39"/>
        <v>54.241985220757513</v>
      </c>
      <c r="K157" s="11">
        <f t="shared" si="53"/>
        <v>-3.9434999999999985</v>
      </c>
      <c r="L157">
        <f t="shared" si="42"/>
        <v>37.015808000000007</v>
      </c>
      <c r="O157">
        <f t="shared" si="46"/>
        <v>33.072308000000007</v>
      </c>
      <c r="P157" s="14">
        <f t="shared" si="43"/>
        <v>-3.0722479378894932E-4</v>
      </c>
      <c r="Q157" s="19">
        <f t="shared" si="40"/>
        <v>1.0894867506776942</v>
      </c>
      <c r="R157" s="19">
        <f t="shared" si="41"/>
        <v>2.2717543083823104</v>
      </c>
      <c r="S157">
        <f t="shared" si="52"/>
        <v>-2.3731949743650844</v>
      </c>
      <c r="W157" s="5"/>
      <c r="X157" s="4"/>
      <c r="Y157">
        <f t="shared" si="49"/>
        <v>2.7303464633276819</v>
      </c>
      <c r="Z157">
        <f t="shared" si="50"/>
        <v>0.58759193254221231</v>
      </c>
      <c r="AA157" s="4">
        <f t="shared" si="51"/>
        <v>43.041565635305432</v>
      </c>
      <c r="AG157">
        <v>9.8112781559203485E-2</v>
      </c>
      <c r="AH157" s="32">
        <v>0.1</v>
      </c>
      <c r="AI157">
        <f t="shared" si="44"/>
        <v>0.22720000000000001</v>
      </c>
      <c r="AK157">
        <v>2.07296012795308E-3</v>
      </c>
      <c r="AL157">
        <v>7.4453847301549608E-2</v>
      </c>
      <c r="AM157">
        <v>0.70772526154244675</v>
      </c>
      <c r="AO157">
        <v>0.22720000000000001</v>
      </c>
    </row>
    <row r="158" spans="1:45" x14ac:dyDescent="0.2">
      <c r="A158" s="9" t="s">
        <v>53</v>
      </c>
      <c r="B158">
        <f t="shared" si="48"/>
        <v>194</v>
      </c>
      <c r="C158" t="s">
        <v>74</v>
      </c>
      <c r="D158" t="s">
        <v>14</v>
      </c>
      <c r="E158" t="s">
        <v>75</v>
      </c>
      <c r="J158" s="10">
        <f t="shared" si="39"/>
        <v>70.261109180308381</v>
      </c>
      <c r="K158" s="11">
        <f t="shared" si="53"/>
        <v>-12.324674800443212</v>
      </c>
      <c r="L158">
        <f t="shared" si="42"/>
        <v>27.527774000000001</v>
      </c>
      <c r="O158">
        <f t="shared" si="46"/>
        <v>15.203099199556789</v>
      </c>
      <c r="P158" s="14">
        <f t="shared" si="43"/>
        <v>1.0734806830229068E-3</v>
      </c>
      <c r="Q158" s="19">
        <f t="shared" si="40"/>
        <v>3.279723134782075</v>
      </c>
      <c r="R158" s="19">
        <f t="shared" si="41"/>
        <v>0.68569389462550245</v>
      </c>
      <c r="S158">
        <f t="shared" si="52"/>
        <v>-16.280525012694994</v>
      </c>
      <c r="W158" s="5"/>
      <c r="X158" s="4"/>
      <c r="Y158">
        <f t="shared" si="49"/>
        <v>2.7111138921848719</v>
      </c>
      <c r="Z158">
        <f t="shared" si="50"/>
        <v>9.7061959553750299E-3</v>
      </c>
      <c r="AA158" s="4">
        <f t="shared" si="51"/>
        <v>0.71603011465909749</v>
      </c>
      <c r="AG158">
        <v>0.11087468364697901</v>
      </c>
      <c r="AH158" s="32">
        <v>2.866781735015779E-2</v>
      </c>
      <c r="AI158">
        <f t="shared" si="44"/>
        <v>0.18410000000000001</v>
      </c>
      <c r="AK158">
        <v>3.1358588783856095E-3</v>
      </c>
      <c r="AL158">
        <v>0.28022577365483603</v>
      </c>
      <c r="AM158">
        <v>0.22446492828321221</v>
      </c>
      <c r="AO158">
        <v>0.18410000000000001</v>
      </c>
    </row>
    <row r="159" spans="1:45" x14ac:dyDescent="0.2">
      <c r="A159" s="9" t="s">
        <v>54</v>
      </c>
      <c r="B159">
        <f t="shared" si="48"/>
        <v>194</v>
      </c>
      <c r="C159" t="s">
        <v>74</v>
      </c>
      <c r="D159" t="s">
        <v>14</v>
      </c>
      <c r="E159" t="s">
        <v>75</v>
      </c>
      <c r="J159" s="10">
        <f t="shared" si="39"/>
        <v>42.966891205900659</v>
      </c>
      <c r="K159" s="11">
        <f t="shared" si="53"/>
        <v>-3.9434999999999985</v>
      </c>
      <c r="L159">
        <f t="shared" si="42"/>
        <v>27.043466000000002</v>
      </c>
      <c r="O159">
        <f t="shared" si="46"/>
        <v>23.099966000000002</v>
      </c>
      <c r="P159" s="14">
        <f t="shared" si="43"/>
        <v>9.6262455551758368E-4</v>
      </c>
      <c r="Q159" s="19">
        <f t="shared" si="40"/>
        <v>2.7980589930097453</v>
      </c>
      <c r="R159" s="19">
        <f t="shared" si="41"/>
        <v>2.2470933403997733</v>
      </c>
      <c r="S159">
        <f t="shared" si="52"/>
        <v>-6.4176673654998453</v>
      </c>
      <c r="W159" s="5"/>
      <c r="X159" s="4"/>
      <c r="Y159">
        <f t="shared" si="49"/>
        <v>1.0682437074051063</v>
      </c>
      <c r="Z159">
        <f t="shared" si="50"/>
        <v>0.17093009523024483</v>
      </c>
      <c r="AA159" s="4">
        <f t="shared" si="51"/>
        <v>32.002078560416663</v>
      </c>
      <c r="AG159">
        <v>8.913028999403419E-2</v>
      </c>
      <c r="AH159" s="32">
        <v>0.1</v>
      </c>
      <c r="AI159">
        <f t="shared" si="44"/>
        <v>0.18190000000000001</v>
      </c>
      <c r="AK159">
        <v>3.0505192883122276E-3</v>
      </c>
      <c r="AL159">
        <v>0.23497359949358745</v>
      </c>
      <c r="AM159">
        <v>0.70021125545392238</v>
      </c>
      <c r="AO159">
        <v>0.18190000000000001</v>
      </c>
    </row>
    <row r="160" spans="1:45" x14ac:dyDescent="0.2">
      <c r="A160" s="9" t="s">
        <v>55</v>
      </c>
      <c r="B160">
        <f t="shared" si="48"/>
        <v>194</v>
      </c>
      <c r="C160" t="s">
        <v>74</v>
      </c>
      <c r="D160" t="s">
        <v>14</v>
      </c>
      <c r="E160" t="s">
        <v>75</v>
      </c>
      <c r="J160" s="10">
        <f t="shared" si="39"/>
        <v>77.756509680038306</v>
      </c>
      <c r="K160" s="11">
        <f t="shared" si="53"/>
        <v>-3.9434999999999985</v>
      </c>
      <c r="L160">
        <f t="shared" si="42"/>
        <v>30.059383999999998</v>
      </c>
      <c r="O160">
        <f t="shared" si="46"/>
        <v>26.115884000000001</v>
      </c>
      <c r="P160" s="14">
        <f t="shared" si="43"/>
        <v>1.3438891517035742E-3</v>
      </c>
      <c r="Q160" s="19">
        <f t="shared" si="40"/>
        <v>3.0915711784875675</v>
      </c>
      <c r="R160" s="19">
        <f t="shared" si="41"/>
        <v>1.2524438365771833</v>
      </c>
      <c r="S160">
        <f t="shared" si="52"/>
        <v>8.2421161493061987</v>
      </c>
      <c r="W160" s="5"/>
      <c r="X160" s="4"/>
      <c r="Y160">
        <f t="shared" si="49"/>
        <v>4.0666354390769133</v>
      </c>
      <c r="Z160">
        <f t="shared" si="50"/>
        <v>0.29162837802579866</v>
      </c>
      <c r="AA160" s="4">
        <f t="shared" si="51"/>
        <v>14.342489381934637</v>
      </c>
      <c r="AG160">
        <v>0.11684601937843052</v>
      </c>
      <c r="AH160" s="32">
        <v>0.1</v>
      </c>
      <c r="AI160">
        <f t="shared" si="44"/>
        <v>0.1956</v>
      </c>
      <c r="AK160">
        <v>3.3440255209419359E-3</v>
      </c>
      <c r="AL160">
        <v>0.26254896453284171</v>
      </c>
      <c r="AM160">
        <v>0.3971492494141326</v>
      </c>
      <c r="AO160">
        <v>0.1956</v>
      </c>
    </row>
    <row r="161" spans="1:41" x14ac:dyDescent="0.2">
      <c r="A161" s="9" t="s">
        <v>56</v>
      </c>
      <c r="B161">
        <f t="shared" si="48"/>
        <v>194</v>
      </c>
      <c r="C161" t="s">
        <v>19</v>
      </c>
      <c r="D161" t="s">
        <v>15</v>
      </c>
      <c r="E161" t="s">
        <v>75</v>
      </c>
      <c r="J161" s="10">
        <f t="shared" si="39"/>
        <v>63.672532907106202</v>
      </c>
      <c r="K161" s="11">
        <f t="shared" si="53"/>
        <v>-3.9434999999999985</v>
      </c>
      <c r="L161">
        <f t="shared" si="42"/>
        <v>27.659858</v>
      </c>
      <c r="O161">
        <f t="shared" si="46"/>
        <v>23.716358</v>
      </c>
      <c r="P161" s="14">
        <f t="shared" si="43"/>
        <v>1.0833684886633796E-3</v>
      </c>
      <c r="Q161" s="19">
        <f t="shared" si="40"/>
        <v>3.1827386242445463</v>
      </c>
      <c r="R161" s="19">
        <f t="shared" si="41"/>
        <v>1.4712375377204876</v>
      </c>
      <c r="S161">
        <f t="shared" si="52"/>
        <v>31.870250722743592</v>
      </c>
      <c r="W161" s="5"/>
      <c r="X161" s="4"/>
      <c r="Y161">
        <f t="shared" si="49"/>
        <v>2.7698679570446547</v>
      </c>
      <c r="Z161">
        <f t="shared" si="50"/>
        <v>0.75616388798253897</v>
      </c>
      <c r="AA161" s="4">
        <f t="shared" si="51"/>
        <v>54.599273301774097</v>
      </c>
      <c r="AG161">
        <v>0.10562578454932794</v>
      </c>
      <c r="AH161" s="32">
        <v>0.1</v>
      </c>
      <c r="AI161">
        <f t="shared" si="44"/>
        <v>0.1847</v>
      </c>
      <c r="AK161">
        <v>3.1434707380010624E-3</v>
      </c>
      <c r="AL161">
        <v>0.27111411351414372</v>
      </c>
      <c r="AM161">
        <v>0.46381399686791214</v>
      </c>
      <c r="AO161">
        <v>0.1847</v>
      </c>
    </row>
    <row r="162" spans="1:41" x14ac:dyDescent="0.2">
      <c r="A162" s="9" t="s">
        <v>48</v>
      </c>
      <c r="B162">
        <f t="shared" si="48"/>
        <v>194</v>
      </c>
      <c r="C162" t="s">
        <v>19</v>
      </c>
      <c r="D162" t="s">
        <v>15</v>
      </c>
      <c r="E162" t="s">
        <v>75</v>
      </c>
      <c r="J162" s="10">
        <f t="shared" si="39"/>
        <v>64.617907184684967</v>
      </c>
      <c r="K162" s="11">
        <f t="shared" si="53"/>
        <v>-3.9434999999999985</v>
      </c>
      <c r="L162">
        <f t="shared" si="42"/>
        <v>29.112781999999999</v>
      </c>
      <c r="O162">
        <f t="shared" si="46"/>
        <v>25.169282000000003</v>
      </c>
      <c r="P162" s="14">
        <f t="shared" si="43"/>
        <v>7.7911649541924388E-4</v>
      </c>
      <c r="Q162" s="19">
        <f t="shared" si="40"/>
        <v>3.8432395540757316</v>
      </c>
      <c r="R162" s="19">
        <f t="shared" si="41"/>
        <v>1.3330884585802478</v>
      </c>
      <c r="S162">
        <f t="shared" si="52"/>
        <v>12.443117211229648</v>
      </c>
      <c r="W162" s="5"/>
      <c r="X162" s="4"/>
      <c r="Y162">
        <f t="shared" si="49"/>
        <v>2.0261164054280725</v>
      </c>
      <c r="Z162">
        <f t="shared" si="50"/>
        <v>0.60418455571742913</v>
      </c>
      <c r="AA162" s="4">
        <f t="shared" si="51"/>
        <v>59.63966868821425</v>
      </c>
      <c r="AG162">
        <v>0.10637893272379902</v>
      </c>
      <c r="AH162" s="32">
        <v>0.1</v>
      </c>
      <c r="AI162">
        <f t="shared" si="44"/>
        <v>0.1913</v>
      </c>
      <c r="AK162">
        <v>2.9092505738408346E-3</v>
      </c>
      <c r="AL162">
        <v>0.33316794006724271</v>
      </c>
      <c r="AM162">
        <v>0.4217210416149445</v>
      </c>
      <c r="AO162">
        <v>0.1913</v>
      </c>
    </row>
    <row r="163" spans="1:41" x14ac:dyDescent="0.2">
      <c r="A163" s="9" t="s">
        <v>49</v>
      </c>
      <c r="B163">
        <f t="shared" si="48"/>
        <v>194</v>
      </c>
      <c r="C163" t="s">
        <v>19</v>
      </c>
      <c r="D163" t="s">
        <v>15</v>
      </c>
      <c r="E163" t="s">
        <v>75</v>
      </c>
      <c r="J163" s="10">
        <f t="shared" si="39"/>
        <v>60.255171521631866</v>
      </c>
      <c r="K163" s="11">
        <f t="shared" si="53"/>
        <v>-5.3938817986574099</v>
      </c>
      <c r="L163">
        <f t="shared" si="42"/>
        <v>29.817230000000006</v>
      </c>
      <c r="O163">
        <f t="shared" si="46"/>
        <v>24.423348201342595</v>
      </c>
      <c r="P163" s="14">
        <f t="shared" si="43"/>
        <v>6.017959448617776E-4</v>
      </c>
      <c r="Q163" s="19">
        <f t="shared" si="40"/>
        <v>2.945318687948014</v>
      </c>
      <c r="R163" s="19">
        <f t="shared" si="41"/>
        <v>1.9187442401653385</v>
      </c>
      <c r="S163">
        <f t="shared" si="52"/>
        <v>8.1649259526438982</v>
      </c>
      <c r="W163" s="5"/>
      <c r="X163" s="4"/>
      <c r="Y163">
        <f t="shared" si="49"/>
        <v>2.4660421762807787</v>
      </c>
      <c r="Z163">
        <f t="shared" si="50"/>
        <v>0.76861673093472249</v>
      </c>
      <c r="AA163" s="4">
        <f t="shared" si="51"/>
        <v>62.336057211635399</v>
      </c>
      <c r="AG163">
        <v>0.10290328664556672</v>
      </c>
      <c r="AH163" s="32">
        <v>8.765579983269578E-2</v>
      </c>
      <c r="AI163">
        <f t="shared" si="44"/>
        <v>0.19450000000000001</v>
      </c>
      <c r="AK163">
        <v>2.7727451461599523E-3</v>
      </c>
      <c r="AL163">
        <v>0.24880859526005392</v>
      </c>
      <c r="AM163">
        <v>0.60016582576640409</v>
      </c>
      <c r="AO163">
        <v>0.19450000000000001</v>
      </c>
    </row>
    <row r="164" spans="1:41" x14ac:dyDescent="0.2">
      <c r="A164" s="9" t="s">
        <v>50</v>
      </c>
      <c r="B164">
        <f t="shared" si="48"/>
        <v>194</v>
      </c>
      <c r="C164" t="s">
        <v>20</v>
      </c>
      <c r="D164" t="s">
        <v>15</v>
      </c>
      <c r="E164" t="s">
        <v>75</v>
      </c>
      <c r="J164" s="10">
        <f t="shared" si="39"/>
        <v>65.174949008624836</v>
      </c>
      <c r="K164" s="11">
        <f t="shared" si="53"/>
        <v>-3.9434999999999985</v>
      </c>
      <c r="L164">
        <f t="shared" si="42"/>
        <v>34.264058000000006</v>
      </c>
      <c r="O164">
        <f t="shared" si="46"/>
        <v>30.320558000000005</v>
      </c>
      <c r="P164" s="14">
        <f t="shared" si="43"/>
        <v>2.2858609708985224E-3</v>
      </c>
      <c r="Q164" s="19">
        <f t="shared" si="40"/>
        <v>2.8802390182783371</v>
      </c>
      <c r="R164" s="19">
        <f t="shared" si="41"/>
        <v>1.7897219153289268</v>
      </c>
      <c r="S164">
        <f t="shared" si="52"/>
        <v>-22.642165384495556</v>
      </c>
      <c r="W164" s="5"/>
      <c r="X164" s="4"/>
      <c r="Y164">
        <f t="shared" si="49"/>
        <v>0.61284121165629823</v>
      </c>
      <c r="Z164">
        <f t="shared" si="50"/>
        <v>-0.1289578049248179</v>
      </c>
      <c r="AA164" s="4">
        <f t="shared" si="51"/>
        <v>-42.085226147337409</v>
      </c>
      <c r="AG164">
        <v>0.10682270937687112</v>
      </c>
      <c r="AH164" s="32">
        <v>0.1</v>
      </c>
      <c r="AI164">
        <f t="shared" si="44"/>
        <v>0.2147</v>
      </c>
      <c r="AK164">
        <v>4.0691770368733813E-3</v>
      </c>
      <c r="AL164">
        <v>0.24269438352859235</v>
      </c>
      <c r="AM164">
        <v>0.56085372191618732</v>
      </c>
      <c r="AO164">
        <v>0.2147</v>
      </c>
    </row>
    <row r="165" spans="1:41" x14ac:dyDescent="0.2">
      <c r="A165" s="9" t="s">
        <v>51</v>
      </c>
      <c r="B165">
        <f t="shared" si="48"/>
        <v>194</v>
      </c>
      <c r="C165" t="s">
        <v>20</v>
      </c>
      <c r="D165" t="s">
        <v>15</v>
      </c>
      <c r="E165" t="s">
        <v>75</v>
      </c>
      <c r="J165" s="10">
        <f t="shared" si="39"/>
        <v>56.794146776142881</v>
      </c>
      <c r="K165" s="11">
        <f t="shared" si="53"/>
        <v>-3.9434999999999985</v>
      </c>
      <c r="L165">
        <f t="shared" si="42"/>
        <v>39.855614000000003</v>
      </c>
      <c r="O165">
        <f t="shared" si="46"/>
        <v>35.912114000000003</v>
      </c>
      <c r="P165" s="14">
        <f t="shared" si="43"/>
        <v>2.2821554876447717E-4</v>
      </c>
      <c r="Q165" s="19">
        <f t="shared" si="40"/>
        <v>1.2020035776147342</v>
      </c>
      <c r="R165" s="19">
        <f t="shared" si="41"/>
        <v>2.142746205811092</v>
      </c>
      <c r="S165">
        <f t="shared" si="52"/>
        <v>-10.143435692787982</v>
      </c>
      <c r="W165" s="5"/>
      <c r="X165" s="4"/>
      <c r="Y165">
        <f t="shared" si="49"/>
        <v>2.5481931326124663</v>
      </c>
      <c r="Z165">
        <f t="shared" si="50"/>
        <v>0.4294583736919273</v>
      </c>
      <c r="AA165" s="4">
        <f t="shared" si="51"/>
        <v>33.70689357848137</v>
      </c>
      <c r="AG165">
        <v>0.10014600359832716</v>
      </c>
      <c r="AH165" s="32">
        <v>0.1</v>
      </c>
      <c r="AI165">
        <f t="shared" si="44"/>
        <v>0.24010000000000001</v>
      </c>
      <c r="AK165">
        <v>2.4851543870396285E-3</v>
      </c>
      <c r="AL165">
        <v>8.5024763022804789E-2</v>
      </c>
      <c r="AM165">
        <v>0.66841749110636561</v>
      </c>
      <c r="AO165">
        <v>0.24010000000000001</v>
      </c>
    </row>
    <row r="166" spans="1:41" x14ac:dyDescent="0.2">
      <c r="A166" s="9" t="s">
        <v>52</v>
      </c>
      <c r="B166">
        <f t="shared" si="48"/>
        <v>194</v>
      </c>
      <c r="C166" t="s">
        <v>20</v>
      </c>
      <c r="D166" t="s">
        <v>15</v>
      </c>
      <c r="E166" t="s">
        <v>75</v>
      </c>
      <c r="J166" s="10">
        <f t="shared" si="39"/>
        <v>61.469271620111421</v>
      </c>
      <c r="K166" s="11">
        <f t="shared" si="53"/>
        <v>-3.9434999999999985</v>
      </c>
      <c r="L166">
        <f t="shared" si="42"/>
        <v>33.801763999999999</v>
      </c>
      <c r="O166">
        <f t="shared" si="46"/>
        <v>29.858263999999998</v>
      </c>
      <c r="P166" s="14">
        <f t="shared" si="43"/>
        <v>1.9716249516925526E-4</v>
      </c>
      <c r="Q166" s="19">
        <f t="shared" si="40"/>
        <v>1.0886348570942419</v>
      </c>
      <c r="R166" s="19">
        <f t="shared" si="41"/>
        <v>1.8019477324484259</v>
      </c>
      <c r="S166">
        <f t="shared" si="52"/>
        <v>-16.961332185002597</v>
      </c>
      <c r="W166" s="5"/>
      <c r="X166" s="4"/>
      <c r="Y166">
        <f t="shared" si="49"/>
        <v>3.2169787859679522</v>
      </c>
      <c r="Z166">
        <f t="shared" si="50"/>
        <v>0.43745307841185554</v>
      </c>
      <c r="AA166" s="4">
        <f t="shared" si="51"/>
        <v>27.196516204581116</v>
      </c>
      <c r="AG166">
        <v>0.1038705197240221</v>
      </c>
      <c r="AH166" s="32">
        <v>0.1</v>
      </c>
      <c r="AI166">
        <f t="shared" si="44"/>
        <v>0.21260000000000001</v>
      </c>
      <c r="AK166">
        <v>2.4612490340025061E-3</v>
      </c>
      <c r="AL166">
        <v>7.4373812203517659E-2</v>
      </c>
      <c r="AM166">
        <v>0.56457883377465745</v>
      </c>
      <c r="AO166">
        <v>0.21260000000000001</v>
      </c>
    </row>
    <row r="167" spans="1:41" x14ac:dyDescent="0.2">
      <c r="A167" s="9" t="s">
        <v>53</v>
      </c>
      <c r="B167">
        <f t="shared" si="48"/>
        <v>194</v>
      </c>
      <c r="C167" t="s">
        <v>74</v>
      </c>
      <c r="D167" t="s">
        <v>15</v>
      </c>
      <c r="E167" t="s">
        <v>75</v>
      </c>
      <c r="J167" s="10">
        <f t="shared" si="39"/>
        <v>47.897414630922547</v>
      </c>
      <c r="K167" s="11">
        <f t="shared" si="53"/>
        <v>-3.9434999999999985</v>
      </c>
      <c r="L167">
        <f t="shared" si="42"/>
        <v>26.999437999999998</v>
      </c>
      <c r="O167">
        <f t="shared" si="46"/>
        <v>23.055937999999998</v>
      </c>
      <c r="P167" s="14">
        <f t="shared" si="43"/>
        <v>-2.3058089424467406E-4</v>
      </c>
      <c r="Q167" s="19">
        <f t="shared" si="40"/>
        <v>3.2451988384942276</v>
      </c>
      <c r="R167" s="19">
        <f t="shared" si="41"/>
        <v>1.7956101883597708</v>
      </c>
      <c r="S167">
        <f t="shared" si="52"/>
        <v>3.1508811045752623</v>
      </c>
      <c r="W167" s="5"/>
      <c r="X167" s="4"/>
      <c r="Y167">
        <f t="shared" si="49"/>
        <v>1.5894534955081867</v>
      </c>
      <c r="Z167">
        <f t="shared" si="50"/>
        <v>0.37733094001483103</v>
      </c>
      <c r="AA167" s="4">
        <f t="shared" si="51"/>
        <v>47.479330610322663</v>
      </c>
      <c r="AG167">
        <v>9.305827365596829E-2</v>
      </c>
      <c r="AH167" s="32">
        <v>0.1</v>
      </c>
      <c r="AI167">
        <f t="shared" si="44"/>
        <v>0.1817</v>
      </c>
      <c r="AK167">
        <v>2.1319623600887807E-3</v>
      </c>
      <c r="AL167">
        <v>0.27698222834406494</v>
      </c>
      <c r="AM167">
        <v>0.5626478331382605</v>
      </c>
      <c r="AO167">
        <v>0.1817</v>
      </c>
    </row>
    <row r="168" spans="1:41" x14ac:dyDescent="0.2">
      <c r="A168" s="9" t="s">
        <v>54</v>
      </c>
      <c r="B168">
        <f t="shared" si="48"/>
        <v>194</v>
      </c>
      <c r="C168" t="s">
        <v>74</v>
      </c>
      <c r="D168" t="s">
        <v>15</v>
      </c>
      <c r="E168" t="s">
        <v>75</v>
      </c>
      <c r="J168" s="10">
        <f t="shared" si="39"/>
        <v>30.325277043958494</v>
      </c>
      <c r="K168" s="11">
        <f t="shared" si="53"/>
        <v>-2.2913659293826312</v>
      </c>
      <c r="L168">
        <f t="shared" si="42"/>
        <v>26.559157999999996</v>
      </c>
      <c r="O168">
        <f t="shared" si="46"/>
        <v>24.267792070617364</v>
      </c>
      <c r="P168" s="14">
        <f t="shared" si="43"/>
        <v>5.3593317237788708E-4</v>
      </c>
      <c r="Q168" s="19">
        <f t="shared" si="40"/>
        <v>0.51906564321540705</v>
      </c>
      <c r="R168" s="19">
        <f t="shared" si="41"/>
        <v>3.91595646431281</v>
      </c>
      <c r="S168">
        <f t="shared" si="52"/>
        <v>28.090435562536449</v>
      </c>
      <c r="W168" s="5"/>
      <c r="X168" s="4"/>
      <c r="Y168">
        <f t="shared" si="49"/>
        <v>4.3847756381980076</v>
      </c>
      <c r="Z168">
        <f t="shared" si="50"/>
        <v>2.4376229993701353</v>
      </c>
      <c r="AA168" s="4">
        <f t="shared" si="51"/>
        <v>111.18575728868603</v>
      </c>
      <c r="AG168">
        <v>7.90591373783536E-2</v>
      </c>
      <c r="AH168" s="32">
        <v>0.11406131384839668</v>
      </c>
      <c r="AI168">
        <f t="shared" si="44"/>
        <v>0.1797</v>
      </c>
      <c r="AK168">
        <v>2.722042472962192E-3</v>
      </c>
      <c r="AL168">
        <v>2.0862987900733473E-2</v>
      </c>
      <c r="AM168">
        <v>1.2087009336723979</v>
      </c>
      <c r="AO168">
        <v>0.1797</v>
      </c>
    </row>
    <row r="169" spans="1:41" x14ac:dyDescent="0.2">
      <c r="A169" s="9" t="s">
        <v>55</v>
      </c>
      <c r="B169">
        <f t="shared" si="48"/>
        <v>194</v>
      </c>
      <c r="C169" t="s">
        <v>74</v>
      </c>
      <c r="D169" t="s">
        <v>15</v>
      </c>
      <c r="E169" t="s">
        <v>75</v>
      </c>
      <c r="J169" s="10">
        <f t="shared" si="39"/>
        <v>73.566303835073711</v>
      </c>
      <c r="K169" s="11">
        <f t="shared" si="53"/>
        <v>-3.9434999999999985</v>
      </c>
      <c r="L169">
        <f t="shared" si="42"/>
        <v>33.273428000000003</v>
      </c>
      <c r="O169">
        <f t="shared" si="46"/>
        <v>29.329928000000002</v>
      </c>
      <c r="P169" s="14">
        <f t="shared" si="43"/>
        <v>2.3151533399197923E-3</v>
      </c>
      <c r="Q169" s="19">
        <f t="shared" si="40"/>
        <v>3.3911250549744789</v>
      </c>
      <c r="R169" s="19">
        <f t="shared" si="41"/>
        <v>1.7197562661473205</v>
      </c>
      <c r="S169">
        <f t="shared" si="52"/>
        <v>-14.544779500949161</v>
      </c>
      <c r="W169" s="5"/>
      <c r="X169" s="4"/>
      <c r="Y169">
        <f t="shared" si="49"/>
        <v>1.2995256532512833</v>
      </c>
      <c r="Z169">
        <f t="shared" si="50"/>
        <v>0.35460815205469176</v>
      </c>
      <c r="AA169" s="4">
        <f t="shared" si="51"/>
        <v>54.575013762521365</v>
      </c>
      <c r="AG169">
        <v>0.11350782205527539</v>
      </c>
      <c r="AH169" s="32">
        <v>0.1</v>
      </c>
      <c r="AI169">
        <f t="shared" si="44"/>
        <v>0.2102</v>
      </c>
      <c r="AK169">
        <v>4.0917269745340979E-3</v>
      </c>
      <c r="AL169">
        <v>0.29069194428546397</v>
      </c>
      <c r="AM169">
        <v>0.5395357300875443</v>
      </c>
      <c r="AO169">
        <v>0.2102</v>
      </c>
    </row>
    <row r="170" spans="1:41" x14ac:dyDescent="0.2">
      <c r="A170" s="9" t="s">
        <v>57</v>
      </c>
      <c r="B170">
        <f t="shared" si="48"/>
        <v>194</v>
      </c>
      <c r="C170" t="s">
        <v>19</v>
      </c>
      <c r="D170" t="s">
        <v>15</v>
      </c>
      <c r="E170" t="s">
        <v>3</v>
      </c>
      <c r="J170" s="10">
        <f t="shared" si="39"/>
        <v>73.155007718789889</v>
      </c>
      <c r="K170" s="11">
        <f t="shared" si="53"/>
        <v>30.392501867968086</v>
      </c>
      <c r="L170">
        <f t="shared" si="42"/>
        <v>46.437800000000003</v>
      </c>
      <c r="O170">
        <f t="shared" ref="O170:O181" si="54">K170+L170</f>
        <v>76.830301867968089</v>
      </c>
      <c r="P170" s="14">
        <f t="shared" si="43"/>
        <v>1.2780239493269947E-3</v>
      </c>
      <c r="Q170" s="19">
        <f t="shared" si="40"/>
        <v>4.1761598751719022</v>
      </c>
      <c r="R170" s="19">
        <f t="shared" si="41"/>
        <v>0.97762313514057597</v>
      </c>
      <c r="S170">
        <f t="shared" si="52"/>
        <v>-1.9283022081790051</v>
      </c>
      <c r="W170" s="5"/>
      <c r="X170" s="4"/>
      <c r="Y170">
        <f t="shared" si="49"/>
        <v>1.9589681948096391</v>
      </c>
      <c r="Z170">
        <f t="shared" si="50"/>
        <v>0.32715414666093168</v>
      </c>
      <c r="AA170" s="4">
        <f t="shared" si="51"/>
        <v>33.400659339721699</v>
      </c>
      <c r="AG170">
        <v>0.11318015614930262</v>
      </c>
      <c r="AH170">
        <v>0.39223372797113143</v>
      </c>
      <c r="AI170">
        <f t="shared" si="44"/>
        <v>0.27</v>
      </c>
      <c r="AK170">
        <v>3.2933209771570404E-3</v>
      </c>
      <c r="AL170">
        <v>0.36444568537879585</v>
      </c>
      <c r="AM170">
        <v>0.31341350857421574</v>
      </c>
      <c r="AO170">
        <v>0.27</v>
      </c>
    </row>
    <row r="171" spans="1:41" x14ac:dyDescent="0.2">
      <c r="A171" s="9" t="s">
        <v>58</v>
      </c>
      <c r="B171">
        <f t="shared" si="48"/>
        <v>194</v>
      </c>
      <c r="C171" t="s">
        <v>19</v>
      </c>
      <c r="D171" t="s">
        <v>15</v>
      </c>
      <c r="E171" t="s">
        <v>3</v>
      </c>
      <c r="J171" s="10">
        <f t="shared" si="39"/>
        <v>8.8122334648243523</v>
      </c>
      <c r="K171" s="11">
        <f t="shared" si="53"/>
        <v>31.304797905714238</v>
      </c>
      <c r="L171">
        <f t="shared" si="42"/>
        <v>25.128247999999999</v>
      </c>
      <c r="O171">
        <f t="shared" si="54"/>
        <v>56.433045905714238</v>
      </c>
      <c r="P171" s="14">
        <f t="shared" si="43"/>
        <v>7.024773562545665E-4</v>
      </c>
      <c r="Q171" s="19">
        <f t="shared" si="40"/>
        <v>0.65725054532156757</v>
      </c>
      <c r="R171" s="19">
        <f t="shared" si="41"/>
        <v>4.8218095309566937</v>
      </c>
      <c r="S171">
        <f t="shared" si="52"/>
        <v>13.864826997580046</v>
      </c>
      <c r="W171" s="5"/>
      <c r="X171" s="4"/>
      <c r="Y171">
        <f t="shared" si="49"/>
        <v>1.9481307197975701</v>
      </c>
      <c r="Z171">
        <f t="shared" si="50"/>
        <v>1.6938323813759775</v>
      </c>
      <c r="AA171" s="4">
        <f t="shared" si="51"/>
        <v>173.89309291852686</v>
      </c>
      <c r="AG171">
        <v>6.1920412660310065E-2</v>
      </c>
      <c r="AH171">
        <v>0.39999827997543924</v>
      </c>
      <c r="AI171">
        <f t="shared" si="44"/>
        <v>0.17319999999999999</v>
      </c>
      <c r="AK171">
        <v>2.8502520063545551E-3</v>
      </c>
      <c r="AL171">
        <v>3.3845410120402805E-2</v>
      </c>
      <c r="AM171">
        <v>1.4847073525157508</v>
      </c>
      <c r="AO171">
        <v>0.17319999999999999</v>
      </c>
    </row>
    <row r="172" spans="1:41" x14ac:dyDescent="0.2">
      <c r="A172" s="9" t="s">
        <v>59</v>
      </c>
      <c r="B172">
        <f t="shared" si="48"/>
        <v>194</v>
      </c>
      <c r="C172" t="s">
        <v>19</v>
      </c>
      <c r="D172" t="s">
        <v>15</v>
      </c>
      <c r="E172" t="s">
        <v>3</v>
      </c>
      <c r="J172" s="10">
        <f t="shared" si="39"/>
        <v>41.47019134474575</v>
      </c>
      <c r="K172" s="11">
        <f t="shared" si="53"/>
        <v>11.181351705518074</v>
      </c>
      <c r="L172">
        <f t="shared" si="42"/>
        <v>32.150714000000001</v>
      </c>
      <c r="O172">
        <f t="shared" si="54"/>
        <v>43.332065705518076</v>
      </c>
      <c r="P172" s="14">
        <f t="shared" si="43"/>
        <v>9.1820879589609111E-4</v>
      </c>
      <c r="Q172" s="19">
        <f t="shared" si="40"/>
        <v>3.0947652968932564</v>
      </c>
      <c r="R172" s="19">
        <f t="shared" si="41"/>
        <v>2.5793791057732371</v>
      </c>
      <c r="S172">
        <f t="shared" si="52"/>
        <v>16.489218521311642</v>
      </c>
      <c r="W172" s="5"/>
      <c r="X172" s="4"/>
      <c r="Y172">
        <f t="shared" si="49"/>
        <v>1.879259648007114</v>
      </c>
      <c r="Z172">
        <f t="shared" si="50"/>
        <v>1.1538892728096153</v>
      </c>
      <c r="AA172" s="4">
        <f t="shared" si="51"/>
        <v>122.80253812008071</v>
      </c>
      <c r="AG172">
        <v>8.7937919104647447E-2</v>
      </c>
      <c r="AH172">
        <v>0.22872761994568341</v>
      </c>
      <c r="AI172">
        <f t="shared" si="44"/>
        <v>0.2051</v>
      </c>
      <c r="AK172">
        <v>3.0163270176259364E-3</v>
      </c>
      <c r="AL172">
        <v>0.26284905081672832</v>
      </c>
      <c r="AM172">
        <v>0.80145615654272917</v>
      </c>
      <c r="AO172">
        <v>0.2051</v>
      </c>
    </row>
    <row r="173" spans="1:41" x14ac:dyDescent="0.2">
      <c r="A173" s="9" t="s">
        <v>60</v>
      </c>
      <c r="B173">
        <f t="shared" si="48"/>
        <v>194</v>
      </c>
      <c r="C173" t="s">
        <v>74</v>
      </c>
      <c r="D173" t="s">
        <v>15</v>
      </c>
      <c r="E173" t="s">
        <v>3</v>
      </c>
      <c r="J173" s="10">
        <f t="shared" si="39"/>
        <v>90.949650757435663</v>
      </c>
      <c r="K173" s="11">
        <f t="shared" si="53"/>
        <v>-15.693</v>
      </c>
      <c r="L173">
        <f t="shared" si="42"/>
        <v>32.745092000000007</v>
      </c>
      <c r="O173">
        <f t="shared" si="54"/>
        <v>17.052092000000009</v>
      </c>
      <c r="P173" s="14">
        <f t="shared" si="43"/>
        <v>1.3213249012822637E-3</v>
      </c>
      <c r="Q173" s="19">
        <f t="shared" si="40"/>
        <v>3.0035234527162329</v>
      </c>
      <c r="R173" s="19">
        <f t="shared" si="41"/>
        <v>2.6708560657304066</v>
      </c>
      <c r="S173">
        <f t="shared" si="52"/>
        <v>-42.605023432195182</v>
      </c>
      <c r="W173" s="5"/>
      <c r="X173" s="4"/>
      <c r="Y173">
        <f t="shared" si="49"/>
        <v>1.2370058621383162</v>
      </c>
      <c r="Z173">
        <f t="shared" si="50"/>
        <v>0.70247276823002802</v>
      </c>
      <c r="AA173" s="4">
        <f t="shared" si="51"/>
        <v>113.57630383670418</v>
      </c>
      <c r="AG173">
        <v>0.12735655510342375</v>
      </c>
      <c r="AH173">
        <v>0</v>
      </c>
      <c r="AI173">
        <f t="shared" si="44"/>
        <v>0.20780000000000001</v>
      </c>
      <c r="AK173">
        <v>3.3266550433273781E-3</v>
      </c>
      <c r="AL173">
        <v>0.25427691213042397</v>
      </c>
      <c r="AM173">
        <v>0.82932847828470646</v>
      </c>
      <c r="AO173">
        <v>0.20780000000000001</v>
      </c>
    </row>
    <row r="174" spans="1:41" x14ac:dyDescent="0.2">
      <c r="A174" s="9" t="s">
        <v>61</v>
      </c>
      <c r="B174">
        <f t="shared" si="48"/>
        <v>194</v>
      </c>
      <c r="C174" t="s">
        <v>74</v>
      </c>
      <c r="D174" t="s">
        <v>15</v>
      </c>
      <c r="E174" t="s">
        <v>3</v>
      </c>
      <c r="J174" s="10">
        <f t="shared" si="39"/>
        <v>46.828378012255214</v>
      </c>
      <c r="K174" s="11">
        <f t="shared" si="53"/>
        <v>-15.693</v>
      </c>
      <c r="L174">
        <f t="shared" si="42"/>
        <v>32.965232</v>
      </c>
      <c r="O174">
        <f t="shared" si="54"/>
        <v>17.272232000000002</v>
      </c>
      <c r="P174" s="14">
        <f t="shared" si="43"/>
        <v>3.604336572753046E-3</v>
      </c>
      <c r="Q174" s="19">
        <f t="shared" si="40"/>
        <v>3.3657585229218818</v>
      </c>
      <c r="R174" s="19">
        <f t="shared" si="41"/>
        <v>2.3867893464811671</v>
      </c>
      <c r="S174">
        <f t="shared" si="52"/>
        <v>15.465979142533001</v>
      </c>
      <c r="W174" s="5"/>
      <c r="X174" s="4"/>
      <c r="Y174">
        <f t="shared" si="49"/>
        <v>2.1834333039420106</v>
      </c>
      <c r="Z174">
        <f t="shared" si="50"/>
        <v>1.2336947820042281</v>
      </c>
      <c r="AA174" s="4">
        <f t="shared" si="51"/>
        <v>113.00503475667362</v>
      </c>
      <c r="AG174">
        <v>9.2206607816429989E-2</v>
      </c>
      <c r="AH174">
        <v>0</v>
      </c>
      <c r="AI174">
        <f t="shared" si="44"/>
        <v>0.20880000000000001</v>
      </c>
      <c r="AK174">
        <v>5.0841698019653938E-3</v>
      </c>
      <c r="AL174">
        <v>0.2883087676551937</v>
      </c>
      <c r="AM174">
        <v>0.74277554737390827</v>
      </c>
      <c r="AO174">
        <v>0.20880000000000001</v>
      </c>
    </row>
    <row r="175" spans="1:41" x14ac:dyDescent="0.2">
      <c r="A175" s="9" t="s">
        <v>62</v>
      </c>
      <c r="B175">
        <f t="shared" si="48"/>
        <v>194</v>
      </c>
      <c r="C175" t="s">
        <v>74</v>
      </c>
      <c r="D175" t="s">
        <v>15</v>
      </c>
      <c r="E175" t="s">
        <v>3</v>
      </c>
      <c r="J175" s="10">
        <f t="shared" si="39"/>
        <v>40.164177120348057</v>
      </c>
      <c r="K175" s="11">
        <f t="shared" si="53"/>
        <v>29.737886548387806</v>
      </c>
      <c r="L175">
        <f t="shared" si="42"/>
        <v>26.889367999999997</v>
      </c>
      <c r="O175">
        <f t="shared" si="54"/>
        <v>56.627254548387803</v>
      </c>
      <c r="P175" s="14">
        <f t="shared" si="43"/>
        <v>6.3072929140934649E-3</v>
      </c>
      <c r="Q175" s="19">
        <f t="shared" si="40"/>
        <v>3.4920072633786199</v>
      </c>
      <c r="R175" s="19">
        <f t="shared" si="41"/>
        <v>2.0899539815848076</v>
      </c>
      <c r="S175">
        <f t="shared" si="52"/>
        <v>33.673848103602069</v>
      </c>
      <c r="W175" s="5"/>
      <c r="X175" s="4"/>
      <c r="Y175">
        <f t="shared" si="49"/>
        <v>2.6534728555232152</v>
      </c>
      <c r="Z175">
        <f t="shared" si="50"/>
        <v>1.354666806225129</v>
      </c>
      <c r="AA175" s="4">
        <f t="shared" si="51"/>
        <v>102.10519421032585</v>
      </c>
      <c r="AG175">
        <v>8.6897461105877288E-2</v>
      </c>
      <c r="AH175">
        <v>0.38666229667975494</v>
      </c>
      <c r="AI175">
        <f t="shared" si="44"/>
        <v>0.1812</v>
      </c>
      <c r="AK175">
        <v>7.1649676013036687E-3</v>
      </c>
      <c r="AL175">
        <v>0.30016979174921266</v>
      </c>
      <c r="AM175">
        <v>0.6523321089533235</v>
      </c>
      <c r="AO175">
        <v>0.1812</v>
      </c>
    </row>
    <row r="176" spans="1:41" x14ac:dyDescent="0.2">
      <c r="A176" s="9" t="s">
        <v>63</v>
      </c>
      <c r="B176">
        <f t="shared" si="48"/>
        <v>194</v>
      </c>
      <c r="C176" t="s">
        <v>76</v>
      </c>
      <c r="D176" t="s">
        <v>14</v>
      </c>
      <c r="E176" t="s">
        <v>3</v>
      </c>
      <c r="J176" s="10">
        <f t="shared" si="39"/>
        <v>62.856419917261093</v>
      </c>
      <c r="K176" s="11">
        <f t="shared" si="53"/>
        <v>30.788483872592494</v>
      </c>
      <c r="L176">
        <f t="shared" si="42"/>
        <v>29.134795999999994</v>
      </c>
      <c r="O176">
        <f t="shared" si="54"/>
        <v>59.923279872592488</v>
      </c>
      <c r="P176" s="14">
        <f t="shared" si="43"/>
        <v>7.1216358941676248E-3</v>
      </c>
      <c r="Q176" s="19">
        <f t="shared" si="40"/>
        <v>6.5017881669489368</v>
      </c>
      <c r="R176" s="19">
        <f t="shared" si="41"/>
        <v>0.69627572587985676</v>
      </c>
      <c r="S176">
        <f t="shared" si="52"/>
        <v>4.768496846651729</v>
      </c>
      <c r="W176" s="5"/>
      <c r="X176" s="4"/>
      <c r="Y176">
        <f t="shared" si="49"/>
        <v>0.36653197958713335</v>
      </c>
      <c r="Z176">
        <f t="shared" si="50"/>
        <v>4.3288252037099406E-2</v>
      </c>
      <c r="AA176" s="4">
        <f t="shared" si="51"/>
        <v>23.620450300603995</v>
      </c>
      <c r="AG176">
        <v>0.10497561453408467</v>
      </c>
      <c r="AH176">
        <v>0.39560393099785091</v>
      </c>
      <c r="AI176">
        <f t="shared" si="44"/>
        <v>0.19139999999999999</v>
      </c>
      <c r="AK176">
        <v>7.7918675089820059E-3</v>
      </c>
      <c r="AL176">
        <v>0.58293763312184677</v>
      </c>
      <c r="AM176">
        <v>0.2276891303716809</v>
      </c>
      <c r="AO176">
        <v>0.19139999999999999</v>
      </c>
    </row>
    <row r="177" spans="1:41" x14ac:dyDescent="0.2">
      <c r="A177" s="9" t="s">
        <v>64</v>
      </c>
      <c r="B177">
        <f t="shared" si="48"/>
        <v>194</v>
      </c>
      <c r="C177" t="s">
        <v>76</v>
      </c>
      <c r="D177" t="s">
        <v>14</v>
      </c>
      <c r="E177" t="s">
        <v>3</v>
      </c>
      <c r="J177" s="10">
        <f t="shared" si="39"/>
        <v>67.568659171972172</v>
      </c>
      <c r="K177" s="11">
        <f t="shared" si="53"/>
        <v>31.785678927990769</v>
      </c>
      <c r="L177">
        <f t="shared" si="42"/>
        <v>23.917477999999992</v>
      </c>
      <c r="O177">
        <f t="shared" si="54"/>
        <v>55.703156927990761</v>
      </c>
      <c r="P177" s="14">
        <f t="shared" si="43"/>
        <v>4.2726339545949947E-3</v>
      </c>
      <c r="Q177" s="19">
        <f t="shared" si="40"/>
        <v>6.4921299560271652</v>
      </c>
      <c r="R177" s="19">
        <f t="shared" si="41"/>
        <v>0.66496270161671744</v>
      </c>
      <c r="S177">
        <f t="shared" si="52"/>
        <v>6.9608930672478238</v>
      </c>
      <c r="W177" s="5"/>
      <c r="X177" s="4"/>
      <c r="Y177">
        <f t="shared" si="49"/>
        <v>0.30020324869637705</v>
      </c>
      <c r="Z177">
        <f t="shared" si="50"/>
        <v>1.7129307475819422E-3</v>
      </c>
      <c r="AA177" s="4">
        <f t="shared" si="51"/>
        <v>1.1411806867649092</v>
      </c>
      <c r="AG177">
        <v>0.10872969847367116</v>
      </c>
      <c r="AH177">
        <v>0.40409105858113764</v>
      </c>
      <c r="AI177">
        <f t="shared" si="44"/>
        <v>0.16769999999999999</v>
      </c>
      <c r="AK177">
        <v>5.5986404577328674E-3</v>
      </c>
      <c r="AL177">
        <v>0.58203024765381117</v>
      </c>
      <c r="AM177">
        <v>0.21814829421594073</v>
      </c>
      <c r="AO177">
        <v>0.16769999999999999</v>
      </c>
    </row>
    <row r="178" spans="1:41" x14ac:dyDescent="0.2">
      <c r="A178" s="9" t="s">
        <v>65</v>
      </c>
      <c r="B178">
        <f t="shared" si="48"/>
        <v>194</v>
      </c>
      <c r="C178" t="s">
        <v>76</v>
      </c>
      <c r="D178" t="s">
        <v>14</v>
      </c>
      <c r="E178" t="s">
        <v>3</v>
      </c>
      <c r="J178" s="10">
        <f t="shared" si="39"/>
        <v>59.341645359417967</v>
      </c>
      <c r="K178" s="11">
        <f t="shared" si="53"/>
        <v>29.476458336572083</v>
      </c>
      <c r="L178">
        <f t="shared" si="42"/>
        <v>22.552610000000001</v>
      </c>
      <c r="O178">
        <f t="shared" si="54"/>
        <v>52.029068336572081</v>
      </c>
      <c r="P178" s="14">
        <f t="shared" si="43"/>
        <v>1.6171201953523722E-3</v>
      </c>
      <c r="Q178" s="19">
        <f t="shared" si="40"/>
        <v>6.6714154769048344</v>
      </c>
      <c r="R178" s="19">
        <f t="shared" si="41"/>
        <v>0.65797049085410308</v>
      </c>
      <c r="S178">
        <f t="shared" si="52"/>
        <v>14.4302325718471</v>
      </c>
      <c r="W178" s="5"/>
      <c r="X178" s="4"/>
      <c r="Y178">
        <f t="shared" si="49"/>
        <v>0.13865392014119049</v>
      </c>
      <c r="Z178">
        <f t="shared" si="50"/>
        <v>-3.2204775883423187E-3</v>
      </c>
      <c r="AA178" s="4">
        <f t="shared" si="51"/>
        <v>-4.6453466083943749</v>
      </c>
      <c r="AG178">
        <v>0.10217551080300298</v>
      </c>
      <c r="AH178">
        <v>0.38443728104661545</v>
      </c>
      <c r="AI178">
        <f t="shared" si="44"/>
        <v>0.1615</v>
      </c>
      <c r="AK178">
        <v>3.5543650464606408E-3</v>
      </c>
      <c r="AL178">
        <v>0.59887405833378748</v>
      </c>
      <c r="AM178">
        <v>0.21601782171057377</v>
      </c>
      <c r="AO178">
        <v>0.1615</v>
      </c>
    </row>
    <row r="179" spans="1:41" x14ac:dyDescent="0.2">
      <c r="A179" s="9" t="s">
        <v>66</v>
      </c>
      <c r="B179">
        <f t="shared" si="48"/>
        <v>194</v>
      </c>
      <c r="C179" t="s">
        <v>76</v>
      </c>
      <c r="D179" t="s">
        <v>15</v>
      </c>
      <c r="E179" t="s">
        <v>3</v>
      </c>
      <c r="J179" s="10">
        <f t="shared" si="39"/>
        <v>70.747148558785355</v>
      </c>
      <c r="K179" s="11">
        <f t="shared" si="53"/>
        <v>30.651896093684709</v>
      </c>
      <c r="L179">
        <f t="shared" si="42"/>
        <v>27.241591999999997</v>
      </c>
      <c r="O179">
        <f t="shared" si="54"/>
        <v>57.893488093684709</v>
      </c>
      <c r="P179" s="14">
        <f t="shared" si="43"/>
        <v>9.6077461317920941E-4</v>
      </c>
      <c r="Q179" s="19">
        <f t="shared" si="40"/>
        <v>6.668352245153562</v>
      </c>
      <c r="R179" s="19">
        <f t="shared" si="41"/>
        <v>0.64990531654872152</v>
      </c>
      <c r="S179">
        <f t="shared" si="52"/>
        <v>7.6293335420081547</v>
      </c>
      <c r="W179" s="5"/>
      <c r="X179" s="4"/>
      <c r="Y179">
        <f t="shared" si="49"/>
        <v>0.12799583004886372</v>
      </c>
      <c r="Z179">
        <f t="shared" si="50"/>
        <v>-5.2677167682211312E-3</v>
      </c>
      <c r="AA179" s="4">
        <f t="shared" si="51"/>
        <v>-8.23107560021311</v>
      </c>
      <c r="AG179">
        <v>0.11126189501849899</v>
      </c>
      <c r="AH179">
        <v>0.39444143234762935</v>
      </c>
      <c r="AI179">
        <f t="shared" si="44"/>
        <v>0.18279999999999999</v>
      </c>
      <c r="AK179">
        <v>3.0490951602611316E-3</v>
      </c>
      <c r="AL179">
        <v>0.59858626880435573</v>
      </c>
      <c r="AM179">
        <v>0.21356042551758733</v>
      </c>
      <c r="AO179">
        <v>0.18279999999999999</v>
      </c>
    </row>
    <row r="180" spans="1:41" x14ac:dyDescent="0.2">
      <c r="A180" s="9" t="s">
        <v>67</v>
      </c>
      <c r="B180">
        <f t="shared" si="48"/>
        <v>194</v>
      </c>
      <c r="C180" t="s">
        <v>76</v>
      </c>
      <c r="D180" t="s">
        <v>15</v>
      </c>
      <c r="E180" t="s">
        <v>3</v>
      </c>
      <c r="J180" s="10">
        <f t="shared" si="39"/>
        <v>62.706996886514837</v>
      </c>
      <c r="K180" s="11">
        <f t="shared" si="53"/>
        <v>29.94124878915418</v>
      </c>
      <c r="L180">
        <f t="shared" si="42"/>
        <v>26.977423999999999</v>
      </c>
      <c r="O180">
        <f t="shared" si="54"/>
        <v>56.918672789154179</v>
      </c>
      <c r="P180" s="14">
        <f t="shared" si="43"/>
        <v>8.5831618620742559E-4</v>
      </c>
      <c r="Q180" s="19">
        <f t="shared" si="40"/>
        <v>6.5393870489239587</v>
      </c>
      <c r="R180" s="19">
        <f t="shared" si="41"/>
        <v>0.64030075761509997</v>
      </c>
      <c r="S180">
        <f t="shared" si="52"/>
        <v>6.7151541975282711</v>
      </c>
      <c r="W180" s="5"/>
      <c r="X180" s="4"/>
      <c r="Y180">
        <f t="shared" si="49"/>
        <v>0.21705674247014706</v>
      </c>
      <c r="Z180">
        <f t="shared" si="50"/>
        <v>-1.5051143487147201E-2</v>
      </c>
      <c r="AA180" s="4">
        <f t="shared" si="51"/>
        <v>-13.868395255417843</v>
      </c>
      <c r="AG180">
        <v>0.10485657418625682</v>
      </c>
      <c r="AH180">
        <v>0.38839311280611244</v>
      </c>
      <c r="AI180">
        <f t="shared" si="44"/>
        <v>0.18160000000000001</v>
      </c>
      <c r="AK180">
        <v>2.970220312707795E-3</v>
      </c>
      <c r="AL180">
        <v>0.58647003466027425</v>
      </c>
      <c r="AM180">
        <v>0.21063399074195613</v>
      </c>
      <c r="AO180">
        <v>0.18160000000000001</v>
      </c>
    </row>
    <row r="181" spans="1:41" x14ac:dyDescent="0.2">
      <c r="A181" s="9" t="s">
        <v>68</v>
      </c>
      <c r="B181">
        <f t="shared" si="48"/>
        <v>194</v>
      </c>
      <c r="C181" t="s">
        <v>76</v>
      </c>
      <c r="D181" t="s">
        <v>15</v>
      </c>
      <c r="E181" t="s">
        <v>3</v>
      </c>
      <c r="J181" s="10">
        <f t="shared" si="39"/>
        <v>58.358870759933879</v>
      </c>
      <c r="K181" s="11">
        <f t="shared" si="53"/>
        <v>30.832131446307628</v>
      </c>
      <c r="L181">
        <f t="shared" si="42"/>
        <v>23.191015999999998</v>
      </c>
      <c r="O181">
        <f t="shared" si="54"/>
        <v>54.023147446307625</v>
      </c>
      <c r="P181" s="14">
        <f t="shared" si="43"/>
        <v>5.2032725441221461E-4</v>
      </c>
      <c r="Q181" s="19">
        <f t="shared" si="40"/>
        <v>6.5797380911303511</v>
      </c>
      <c r="R181" s="19">
        <f t="shared" si="41"/>
        <v>0.66922232193344622</v>
      </c>
      <c r="S181">
        <f>J151-J181</f>
        <v>16.459328153903854</v>
      </c>
      <c r="W181" s="5"/>
      <c r="X181" s="4"/>
      <c r="Y181">
        <f t="shared" si="49"/>
        <v>0.16340480618897679</v>
      </c>
      <c r="Z181">
        <f t="shared" si="50"/>
        <v>7.4678578543880825E-3</v>
      </c>
      <c r="AA181" s="4">
        <f t="shared" si="51"/>
        <v>9.1403160391152074</v>
      </c>
      <c r="AG181">
        <v>0.10139256703874733</v>
      </c>
      <c r="AH181">
        <v>0.395975415518172</v>
      </c>
      <c r="AI181">
        <f t="shared" si="44"/>
        <v>0.16439999999999999</v>
      </c>
      <c r="AK181">
        <v>2.7100286793011663E-3</v>
      </c>
      <c r="AL181">
        <v>0.59026100066989395</v>
      </c>
      <c r="AM181">
        <v>0.21944616756046503</v>
      </c>
      <c r="AO181">
        <v>0.16439999999999999</v>
      </c>
    </row>
    <row r="182" spans="1:41" x14ac:dyDescent="0.2">
      <c r="A182" s="9" t="s">
        <v>80</v>
      </c>
      <c r="B182">
        <f>B152+72</f>
        <v>266</v>
      </c>
      <c r="C182" t="s">
        <v>19</v>
      </c>
      <c r="D182" t="s">
        <v>14</v>
      </c>
      <c r="E182" t="s">
        <v>75</v>
      </c>
      <c r="J182" s="14">
        <f t="shared" si="39"/>
        <v>80.0912918572172</v>
      </c>
      <c r="K182">
        <f t="shared" si="53"/>
        <v>-3.9434999999999985</v>
      </c>
      <c r="P182" s="14">
        <f t="shared" si="43"/>
        <v>-1.0823512500001283E-3</v>
      </c>
      <c r="Q182" s="4">
        <f t="shared" si="40"/>
        <v>0.71350858999998357</v>
      </c>
      <c r="R182" s="4">
        <f t="shared" si="41"/>
        <v>2.535883794555982</v>
      </c>
      <c r="W182" s="5"/>
      <c r="AG182" s="32">
        <v>0.11870606251291638</v>
      </c>
      <c r="AH182" s="32">
        <v>0.1</v>
      </c>
      <c r="AK182" s="32">
        <v>1.4762499999999013E-3</v>
      </c>
      <c r="AL182" s="32">
        <v>3.9130833333331783E-2</v>
      </c>
      <c r="AM182" s="32">
        <v>0.78820347183302308</v>
      </c>
      <c r="AN182" s="36"/>
    </row>
    <row r="183" spans="1:41" x14ac:dyDescent="0.2">
      <c r="A183" s="9" t="s">
        <v>48</v>
      </c>
      <c r="B183">
        <f t="shared" ref="B183:B211" si="55">B153+72</f>
        <v>266</v>
      </c>
      <c r="C183" t="s">
        <v>19</v>
      </c>
      <c r="D183" t="s">
        <v>14</v>
      </c>
      <c r="E183" t="s">
        <v>75</v>
      </c>
      <c r="J183" s="14">
        <f t="shared" si="39"/>
        <v>9.1158313962493072</v>
      </c>
      <c r="K183">
        <f t="shared" si="53"/>
        <v>-3.9434999999999985</v>
      </c>
      <c r="P183" s="14">
        <f t="shared" si="43"/>
        <v>2.7666490242183761E-2</v>
      </c>
      <c r="Q183" s="4">
        <v>0</v>
      </c>
      <c r="R183" s="4">
        <f t="shared" si="41"/>
        <v>5.2752682182827169</v>
      </c>
      <c r="W183" s="5"/>
      <c r="AG183" s="32">
        <v>6.2162279012345278E-2</v>
      </c>
      <c r="AH183" s="32">
        <v>0.1</v>
      </c>
      <c r="AK183" s="32">
        <v>2.360776769991052E-2</v>
      </c>
      <c r="AL183" s="32" t="s">
        <v>84</v>
      </c>
      <c r="AM183" s="32">
        <v>1.6228727051440333</v>
      </c>
      <c r="AN183" s="36"/>
    </row>
    <row r="184" spans="1:41" x14ac:dyDescent="0.2">
      <c r="A184" s="9" t="s">
        <v>49</v>
      </c>
      <c r="B184">
        <f t="shared" si="55"/>
        <v>266</v>
      </c>
      <c r="C184" t="s">
        <v>19</v>
      </c>
      <c r="D184" t="s">
        <v>14</v>
      </c>
      <c r="E184" t="s">
        <v>75</v>
      </c>
      <c r="J184" s="14">
        <f t="shared" si="39"/>
        <v>39.240210586926203</v>
      </c>
      <c r="K184">
        <f t="shared" si="53"/>
        <v>-3.9434999999999985</v>
      </c>
      <c r="P184" s="14">
        <f t="shared" si="43"/>
        <v>1.8733628031009097E-2</v>
      </c>
      <c r="Q184" s="4">
        <f t="shared" si="40"/>
        <v>0.30256255440000163</v>
      </c>
      <c r="R184" s="4">
        <f t="shared" si="41"/>
        <v>4.7428644270840508</v>
      </c>
      <c r="W184" s="5"/>
      <c r="AG184" s="32">
        <v>8.616136776758454E-2</v>
      </c>
      <c r="AH184" s="32">
        <v>0.1</v>
      </c>
      <c r="AK184" s="32">
        <v>1.6731045443425019E-2</v>
      </c>
      <c r="AL184" s="32">
        <v>5.2260000000015072E-4</v>
      </c>
      <c r="AM184" s="32">
        <v>1.4606533903363956</v>
      </c>
      <c r="AN184" s="36"/>
    </row>
    <row r="185" spans="1:41" x14ac:dyDescent="0.2">
      <c r="A185" s="9" t="s">
        <v>50</v>
      </c>
      <c r="B185">
        <f t="shared" si="55"/>
        <v>266</v>
      </c>
      <c r="C185" t="s">
        <v>20</v>
      </c>
      <c r="D185" t="s">
        <v>14</v>
      </c>
      <c r="E185" t="s">
        <v>75</v>
      </c>
      <c r="J185" s="14">
        <f t="shared" si="39"/>
        <v>32.355218458546588</v>
      </c>
      <c r="K185">
        <f t="shared" si="53"/>
        <v>-3.9434999999999985</v>
      </c>
      <c r="P185" s="14">
        <f t="shared" si="43"/>
        <v>4.7764752983652688E-3</v>
      </c>
      <c r="Q185" s="4">
        <v>0</v>
      </c>
      <c r="R185" s="4">
        <f t="shared" si="41"/>
        <v>4.5127734792512504</v>
      </c>
      <c r="W185" s="5"/>
      <c r="AG185" s="32">
        <v>8.0676324038642111E-2</v>
      </c>
      <c r="AH185" s="32">
        <v>0.1</v>
      </c>
      <c r="AK185" s="32">
        <v>5.9865090826522471E-3</v>
      </c>
      <c r="AL185" s="32" t="s">
        <v>84</v>
      </c>
      <c r="AM185" s="32">
        <v>1.3905464592477912</v>
      </c>
      <c r="AN185" s="36"/>
    </row>
    <row r="186" spans="1:41" x14ac:dyDescent="0.2">
      <c r="A186" s="9" t="s">
        <v>51</v>
      </c>
      <c r="B186">
        <f t="shared" si="55"/>
        <v>266</v>
      </c>
      <c r="C186" t="s">
        <v>20</v>
      </c>
      <c r="D186" t="s">
        <v>14</v>
      </c>
      <c r="E186" t="s">
        <v>75</v>
      </c>
      <c r="J186" s="14">
        <f t="shared" si="39"/>
        <v>60.932252975109193</v>
      </c>
      <c r="K186">
        <f t="shared" si="53"/>
        <v>-3.9434999999999985</v>
      </c>
      <c r="P186" s="14">
        <f t="shared" si="43"/>
        <v>1.6550323114059957E-3</v>
      </c>
      <c r="Q186" s="4">
        <f t="shared" si="40"/>
        <v>1.0950864103999418</v>
      </c>
      <c r="R186" s="4">
        <f t="shared" si="41"/>
        <v>3.287973430037376</v>
      </c>
      <c r="W186" s="5"/>
      <c r="AG186" s="32">
        <v>0.10344269487017033</v>
      </c>
      <c r="AH186" s="32">
        <v>0.1</v>
      </c>
      <c r="AK186" s="32">
        <v>3.5835506631300973E-3</v>
      </c>
      <c r="AL186" s="32">
        <v>7.4979933333327864E-2</v>
      </c>
      <c r="AM186" s="32">
        <v>1.017359363204563</v>
      </c>
      <c r="AN186" s="36"/>
    </row>
    <row r="187" spans="1:41" x14ac:dyDescent="0.2">
      <c r="A187" s="9" t="s">
        <v>52</v>
      </c>
      <c r="B187">
        <f t="shared" si="55"/>
        <v>266</v>
      </c>
      <c r="C187" t="s">
        <v>20</v>
      </c>
      <c r="D187" t="s">
        <v>14</v>
      </c>
      <c r="E187" t="s">
        <v>75</v>
      </c>
      <c r="J187" s="14">
        <f t="shared" si="39"/>
        <v>69.513952773519648</v>
      </c>
      <c r="K187">
        <f t="shared" si="53"/>
        <v>-3.9434999999999985</v>
      </c>
      <c r="P187" s="14">
        <f t="shared" si="43"/>
        <v>6.1788163073877417E-4</v>
      </c>
      <c r="Q187" s="4">
        <f t="shared" si="40"/>
        <v>0.82473218100000456</v>
      </c>
      <c r="R187" s="4">
        <f t="shared" si="41"/>
        <v>2.6207311817068693</v>
      </c>
      <c r="W187" s="5"/>
      <c r="AG187" s="32">
        <v>0.11027944904290399</v>
      </c>
      <c r="AH187" s="32">
        <v>0.1</v>
      </c>
      <c r="AK187" s="32">
        <v>2.7851282761653384E-3</v>
      </c>
      <c r="AL187" s="32">
        <v>4.9580250000000436E-2</v>
      </c>
      <c r="AM187" s="32">
        <v>0.81405581404840621</v>
      </c>
      <c r="AN187" s="36"/>
    </row>
    <row r="188" spans="1:41" x14ac:dyDescent="0.2">
      <c r="A188" s="9" t="s">
        <v>53</v>
      </c>
      <c r="B188">
        <f t="shared" si="55"/>
        <v>266</v>
      </c>
      <c r="C188" t="s">
        <v>74</v>
      </c>
      <c r="D188" t="s">
        <v>14</v>
      </c>
      <c r="E188" t="s">
        <v>75</v>
      </c>
      <c r="J188" s="14">
        <f t="shared" si="39"/>
        <v>79.983757594429164</v>
      </c>
      <c r="K188">
        <f t="shared" si="53"/>
        <v>-3.9434999999999985</v>
      </c>
      <c r="P188" s="14">
        <f t="shared" si="43"/>
        <v>2.4770849640950201E-4</v>
      </c>
      <c r="Q188" s="4">
        <f t="shared" si="40"/>
        <v>3.9599202522000141</v>
      </c>
      <c r="R188" s="4">
        <f t="shared" si="41"/>
        <v>0.84955830211479499</v>
      </c>
      <c r="W188" s="5"/>
      <c r="AG188" s="32">
        <v>0.11862039355022858</v>
      </c>
      <c r="AH188" s="32">
        <v>0.1</v>
      </c>
      <c r="AK188" s="32">
        <v>2.5001605053190934E-3</v>
      </c>
      <c r="AL188" s="32">
        <v>0.3441300500000013</v>
      </c>
      <c r="AM188" s="32">
        <v>0.27439314506849333</v>
      </c>
      <c r="AN188" s="36"/>
    </row>
    <row r="189" spans="1:41" x14ac:dyDescent="0.2">
      <c r="A189" s="9" t="s">
        <v>54</v>
      </c>
      <c r="B189">
        <f t="shared" si="55"/>
        <v>266</v>
      </c>
      <c r="C189" t="s">
        <v>74</v>
      </c>
      <c r="D189" t="s">
        <v>14</v>
      </c>
      <c r="E189" t="s">
        <v>75</v>
      </c>
      <c r="J189" s="14">
        <f t="shared" si="39"/>
        <v>15.730881109443496</v>
      </c>
      <c r="K189">
        <f t="shared" si="53"/>
        <v>-3.9434999999999985</v>
      </c>
      <c r="P189" s="14">
        <f t="shared" si="43"/>
        <v>9.7803446684100858E-4</v>
      </c>
      <c r="Q189" s="4">
        <f t="shared" si="40"/>
        <v>0.49087229959999001</v>
      </c>
      <c r="R189" s="4">
        <f t="shared" si="41"/>
        <v>4.5371774617619112</v>
      </c>
      <c r="W189" s="5"/>
      <c r="AG189" s="32">
        <v>6.7432268617189983E-2</v>
      </c>
      <c r="AH189" s="32">
        <v>0.1</v>
      </c>
      <c r="AK189" s="32">
        <v>3.0623821915635174E-3</v>
      </c>
      <c r="AL189" s="32">
        <v>1.8214233333332386E-2</v>
      </c>
      <c r="AM189" s="32">
        <v>1.3979821638518926</v>
      </c>
      <c r="AN189" s="36"/>
    </row>
    <row r="190" spans="1:41" x14ac:dyDescent="0.2">
      <c r="A190" s="9" t="s">
        <v>55</v>
      </c>
      <c r="B190">
        <f t="shared" si="55"/>
        <v>266</v>
      </c>
      <c r="C190" t="s">
        <v>74</v>
      </c>
      <c r="D190" t="s">
        <v>14</v>
      </c>
      <c r="E190" t="s">
        <v>75</v>
      </c>
      <c r="J190" s="14">
        <f t="shared" si="39"/>
        <v>38.077154882995913</v>
      </c>
      <c r="K190">
        <f t="shared" si="53"/>
        <v>-3.9434999999999985</v>
      </c>
      <c r="P190" s="14">
        <f t="shared" si="43"/>
        <v>7.8191021411840589E-3</v>
      </c>
      <c r="Q190" s="4">
        <v>0</v>
      </c>
      <c r="R190" s="4">
        <f t="shared" si="41"/>
        <v>3.5251251938967103</v>
      </c>
      <c r="W190" s="5"/>
      <c r="AG190" s="32">
        <v>8.5234800056786741E-2</v>
      </c>
      <c r="AH190" s="32">
        <v>0.1</v>
      </c>
      <c r="AK190" s="32">
        <v>8.3287930263156729E-3</v>
      </c>
      <c r="AL190" s="32" t="s">
        <v>84</v>
      </c>
      <c r="AM190" s="32">
        <v>1.0896176702915021</v>
      </c>
      <c r="AN190" s="36"/>
    </row>
    <row r="191" spans="1:41" x14ac:dyDescent="0.2">
      <c r="A191" s="9" t="s">
        <v>56</v>
      </c>
      <c r="B191">
        <f t="shared" si="55"/>
        <v>266</v>
      </c>
      <c r="C191" t="s">
        <v>19</v>
      </c>
      <c r="D191" t="s">
        <v>15</v>
      </c>
      <c r="E191" t="s">
        <v>75</v>
      </c>
      <c r="J191" s="14">
        <f t="shared" si="39"/>
        <v>37.172240519197622</v>
      </c>
      <c r="K191">
        <f t="shared" si="53"/>
        <v>-3.9434999999999985</v>
      </c>
      <c r="P191" s="14">
        <f t="shared" si="43"/>
        <v>3.0212386316404603E-3</v>
      </c>
      <c r="Q191" s="4">
        <v>0</v>
      </c>
      <c r="R191" s="4">
        <f t="shared" si="41"/>
        <v>4.2581987179947598</v>
      </c>
      <c r="W191" s="5"/>
      <c r="AG191" s="32">
        <v>8.4513884946960771E-2</v>
      </c>
      <c r="AH191" s="32">
        <v>0.1</v>
      </c>
      <c r="AK191" s="32">
        <v>4.6352876302082069E-3</v>
      </c>
      <c r="AL191" s="32" t="s">
        <v>84</v>
      </c>
      <c r="AM191" s="32">
        <v>1.3129794996937112</v>
      </c>
      <c r="AN191" s="36"/>
    </row>
    <row r="192" spans="1:41" x14ac:dyDescent="0.2">
      <c r="A192" s="9" t="s">
        <v>48</v>
      </c>
      <c r="B192">
        <f t="shared" si="55"/>
        <v>266</v>
      </c>
      <c r="C192" t="s">
        <v>19</v>
      </c>
      <c r="D192" t="s">
        <v>15</v>
      </c>
      <c r="E192" t="s">
        <v>75</v>
      </c>
      <c r="J192" s="14">
        <f t="shared" si="39"/>
        <v>50.24357965324154</v>
      </c>
      <c r="K192">
        <f t="shared" si="53"/>
        <v>-3.9434999999999985</v>
      </c>
      <c r="P192" s="14">
        <f t="shared" si="43"/>
        <v>3.0419399933709015E-4</v>
      </c>
      <c r="Q192" s="4">
        <f t="shared" si="40"/>
        <v>2.176812890999968</v>
      </c>
      <c r="R192" s="4">
        <f t="shared" si="41"/>
        <v>2.8508019130962849</v>
      </c>
      <c r="W192" s="5"/>
      <c r="AG192" s="32">
        <v>9.4927385123749097E-2</v>
      </c>
      <c r="AH192" s="32">
        <v>0.1</v>
      </c>
      <c r="AK192" s="32">
        <v>2.5436443412910625E-3</v>
      </c>
      <c r="AL192" s="32">
        <v>0.17660774999999695</v>
      </c>
      <c r="AM192" s="32">
        <v>0.88415658534317032</v>
      </c>
      <c r="AN192" s="36"/>
    </row>
    <row r="193" spans="1:40" x14ac:dyDescent="0.2">
      <c r="A193" s="9" t="s">
        <v>49</v>
      </c>
      <c r="B193">
        <f t="shared" si="55"/>
        <v>266</v>
      </c>
      <c r="C193" t="s">
        <v>19</v>
      </c>
      <c r="D193" t="s">
        <v>15</v>
      </c>
      <c r="E193" t="s">
        <v>75</v>
      </c>
      <c r="J193" s="14">
        <f t="shared" ref="J193:J256" si="56">30*(AG193-0.0549)/0.0239</f>
        <v>29.198382106963781</v>
      </c>
      <c r="K193">
        <f t="shared" si="53"/>
        <v>-3.9434999999999985</v>
      </c>
      <c r="P193" s="14">
        <f t="shared" si="43"/>
        <v>2.2291181592349056E-3</v>
      </c>
      <c r="Q193" s="4">
        <f t="shared" si="40"/>
        <v>0.48521040120000392</v>
      </c>
      <c r="R193" s="4">
        <f t="shared" si="41"/>
        <v>4.3872749362223846</v>
      </c>
      <c r="W193" s="5"/>
      <c r="AG193" s="32">
        <v>7.8161377745214478E-2</v>
      </c>
      <c r="AH193" s="32">
        <v>0.1</v>
      </c>
      <c r="AK193" s="32">
        <v>4.0254951187335686E-3</v>
      </c>
      <c r="AL193" s="32">
        <v>1.7682300000000373E-2</v>
      </c>
      <c r="AM193" s="32">
        <v>1.3523080244431398</v>
      </c>
      <c r="AN193" s="36"/>
    </row>
    <row r="194" spans="1:40" x14ac:dyDescent="0.2">
      <c r="A194" s="9" t="s">
        <v>50</v>
      </c>
      <c r="B194">
        <f t="shared" si="55"/>
        <v>266</v>
      </c>
      <c r="C194" t="s">
        <v>20</v>
      </c>
      <c r="D194" t="s">
        <v>15</v>
      </c>
      <c r="E194" t="s">
        <v>75</v>
      </c>
      <c r="J194" s="14">
        <f t="shared" si="56"/>
        <v>58.647280830516564</v>
      </c>
      <c r="K194">
        <f t="shared" si="53"/>
        <v>-3.9434999999999985</v>
      </c>
      <c r="P194" s="14">
        <f t="shared" si="43"/>
        <v>-9.0988221434664106E-5</v>
      </c>
      <c r="Q194" s="4">
        <f t="shared" ref="Q194:Q257" si="57">(0.3548*AL194 + 0.0099)*30</f>
        <v>1.4014445019998929</v>
      </c>
      <c r="R194" s="4">
        <f t="shared" ref="R194:R257" si="58">(0.1094*AM194 - 0.0017)*30</f>
        <v>3.5959568652518077</v>
      </c>
      <c r="W194" s="5"/>
      <c r="AG194" s="32">
        <v>0.10162233372831153</v>
      </c>
      <c r="AH194" s="32">
        <v>0.1</v>
      </c>
      <c r="AK194" s="32">
        <v>2.2394240019748546E-3</v>
      </c>
      <c r="AL194" s="32">
        <v>0.10376216666665661</v>
      </c>
      <c r="AM194" s="32">
        <v>1.1111995323741035</v>
      </c>
      <c r="AN194" s="36"/>
    </row>
    <row r="195" spans="1:40" x14ac:dyDescent="0.2">
      <c r="A195" s="9" t="s">
        <v>51</v>
      </c>
      <c r="B195">
        <f t="shared" si="55"/>
        <v>266</v>
      </c>
      <c r="C195" t="s">
        <v>20</v>
      </c>
      <c r="D195" t="s">
        <v>15</v>
      </c>
      <c r="E195" t="s">
        <v>75</v>
      </c>
      <c r="J195" s="14">
        <f t="shared" si="56"/>
        <v>60.856233114166464</v>
      </c>
      <c r="K195">
        <f t="shared" si="53"/>
        <v>-3.9434999999999985</v>
      </c>
      <c r="P195" s="14">
        <f t="shared" ref="P195:P258" si="59">(AK195*0.0433 - 0.0001)*30</f>
        <v>-6.4859597593094963E-4</v>
      </c>
      <c r="Q195" s="4">
        <f t="shared" si="57"/>
        <v>0.78844394659995909</v>
      </c>
      <c r="R195" s="4">
        <f t="shared" si="58"/>
        <v>2.7071027958385736</v>
      </c>
      <c r="W195" s="5"/>
      <c r="AG195" s="32">
        <v>0.10338213238095262</v>
      </c>
      <c r="AH195" s="32">
        <v>0.1</v>
      </c>
      <c r="AK195" s="32">
        <v>1.8101647606382221E-3</v>
      </c>
      <c r="AL195" s="32">
        <v>4.6170983333329474E-2</v>
      </c>
      <c r="AM195" s="32">
        <v>0.8403725764285721</v>
      </c>
      <c r="AN195" s="36"/>
    </row>
    <row r="196" spans="1:40" x14ac:dyDescent="0.2">
      <c r="A196" s="9" t="s">
        <v>52</v>
      </c>
      <c r="B196">
        <f t="shared" si="55"/>
        <v>266</v>
      </c>
      <c r="C196" t="s">
        <v>20</v>
      </c>
      <c r="D196" t="s">
        <v>15</v>
      </c>
      <c r="E196" t="s">
        <v>75</v>
      </c>
      <c r="J196" s="14">
        <f t="shared" si="56"/>
        <v>68.53938086245536</v>
      </c>
      <c r="K196">
        <f t="shared" si="53"/>
        <v>-3.9434999999999985</v>
      </c>
      <c r="P196" s="14">
        <f t="shared" si="59"/>
        <v>3.4784615286915371E-4</v>
      </c>
      <c r="Q196" s="4">
        <f t="shared" si="57"/>
        <v>0.67354107960002851</v>
      </c>
      <c r="R196" s="4">
        <f t="shared" si="58"/>
        <v>2.5225569504699372</v>
      </c>
      <c r="W196" s="5"/>
      <c r="AG196" s="32">
        <v>0.10950304008708944</v>
      </c>
      <c r="AH196" s="32">
        <v>0.1</v>
      </c>
      <c r="AK196" s="32">
        <v>2.5772487704920355E-3</v>
      </c>
      <c r="AL196" s="32">
        <v>3.537590000000268E-2</v>
      </c>
      <c r="AM196" s="32">
        <v>0.78414288557889611</v>
      </c>
      <c r="AN196" s="36"/>
    </row>
    <row r="197" spans="1:40" x14ac:dyDescent="0.2">
      <c r="A197" s="9" t="s">
        <v>53</v>
      </c>
      <c r="B197">
        <f t="shared" si="55"/>
        <v>266</v>
      </c>
      <c r="C197" t="s">
        <v>74</v>
      </c>
      <c r="D197" t="s">
        <v>15</v>
      </c>
      <c r="E197" t="s">
        <v>75</v>
      </c>
      <c r="J197" s="14">
        <f t="shared" si="56"/>
        <v>48.050015989521022</v>
      </c>
      <c r="K197">
        <f t="shared" si="53"/>
        <v>-3.9434999999999985</v>
      </c>
      <c r="P197" s="14">
        <f t="shared" si="59"/>
        <v>-3.9320035183251886E-4</v>
      </c>
      <c r="Q197" s="4">
        <f t="shared" si="57"/>
        <v>2.3938445832000346</v>
      </c>
      <c r="R197" s="4">
        <f t="shared" si="58"/>
        <v>2.9659166449236958</v>
      </c>
      <c r="W197" s="5"/>
      <c r="AG197" s="32">
        <v>9.3179846071651751E-2</v>
      </c>
      <c r="AH197" s="32">
        <v>0.1</v>
      </c>
      <c r="AK197" s="32">
        <v>2.0067741710296239E-3</v>
      </c>
      <c r="AL197" s="32">
        <v>0.19699780000000322</v>
      </c>
      <c r="AM197" s="32">
        <v>0.91923115323695792</v>
      </c>
      <c r="AN197" s="36"/>
    </row>
    <row r="198" spans="1:40" x14ac:dyDescent="0.2">
      <c r="A198" s="9" t="s">
        <v>54</v>
      </c>
      <c r="B198">
        <f t="shared" si="55"/>
        <v>266</v>
      </c>
      <c r="C198" t="s">
        <v>74</v>
      </c>
      <c r="D198" t="s">
        <v>15</v>
      </c>
      <c r="E198" t="s">
        <v>75</v>
      </c>
      <c r="J198" s="14">
        <f t="shared" si="56"/>
        <v>32.375664943501235</v>
      </c>
      <c r="K198">
        <f t="shared" si="53"/>
        <v>-3.9434999999999985</v>
      </c>
      <c r="P198" s="14">
        <f t="shared" si="59"/>
        <v>5.422536787967763E-4</v>
      </c>
      <c r="Q198" s="4">
        <f t="shared" si="57"/>
        <v>0.52100759239999861</v>
      </c>
      <c r="R198" s="4">
        <f t="shared" si="58"/>
        <v>4.466825114680228</v>
      </c>
      <c r="W198" s="5"/>
      <c r="AG198" s="32">
        <v>8.0692613071655983E-2</v>
      </c>
      <c r="AH198" s="32">
        <v>0.1</v>
      </c>
      <c r="AK198" s="32">
        <v>2.7269081438004439E-3</v>
      </c>
      <c r="AL198" s="32">
        <v>2.1045433333333197E-2</v>
      </c>
      <c r="AM198" s="32">
        <v>1.3765463481658222</v>
      </c>
      <c r="AN198" s="36"/>
    </row>
    <row r="199" spans="1:40" x14ac:dyDescent="0.2">
      <c r="A199" s="9" t="s">
        <v>55</v>
      </c>
      <c r="B199">
        <f t="shared" si="55"/>
        <v>266</v>
      </c>
      <c r="C199" t="s">
        <v>74</v>
      </c>
      <c r="D199" t="s">
        <v>15</v>
      </c>
      <c r="E199" t="s">
        <v>75</v>
      </c>
      <c r="J199" s="14">
        <f t="shared" si="56"/>
        <v>56.765661151746905</v>
      </c>
      <c r="K199">
        <f t="shared" si="53"/>
        <v>-3.9434999999999985</v>
      </c>
      <c r="P199" s="14">
        <f t="shared" si="59"/>
        <v>6.9652636200169104E-4</v>
      </c>
      <c r="Q199" s="4">
        <f t="shared" si="57"/>
        <v>2.1426362487999588</v>
      </c>
      <c r="R199" s="4">
        <f t="shared" si="58"/>
        <v>3.2395278657989031</v>
      </c>
      <c r="W199" s="5"/>
      <c r="AG199" s="32">
        <v>0.1001233100508917</v>
      </c>
      <c r="AH199" s="32">
        <v>0.1</v>
      </c>
      <c r="AK199" s="32">
        <v>2.8456707944585768E-3</v>
      </c>
      <c r="AL199" s="32">
        <v>0.17339686666666276</v>
      </c>
      <c r="AM199" s="32">
        <v>1.0025983747102081</v>
      </c>
      <c r="AN199" s="36"/>
    </row>
    <row r="200" spans="1:40" x14ac:dyDescent="0.2">
      <c r="A200" s="9" t="s">
        <v>57</v>
      </c>
      <c r="B200">
        <f t="shared" si="55"/>
        <v>266</v>
      </c>
      <c r="C200" t="s">
        <v>19</v>
      </c>
      <c r="D200" t="s">
        <v>15</v>
      </c>
      <c r="E200" t="s">
        <v>3</v>
      </c>
      <c r="J200" s="14">
        <f t="shared" si="56"/>
        <v>43.990142084615719</v>
      </c>
      <c r="K200">
        <f t="shared" si="53"/>
        <v>-3.9434999999999985</v>
      </c>
      <c r="P200" s="14">
        <f t="shared" si="59"/>
        <v>7.6859152442452746E-4</v>
      </c>
      <c r="Q200" s="4">
        <f t="shared" si="57"/>
        <v>0.36618191980000692</v>
      </c>
      <c r="R200" s="4">
        <f t="shared" si="58"/>
        <v>4.5446342587421995</v>
      </c>
      <c r="W200" s="5"/>
      <c r="AG200" s="32">
        <v>8.994547986074386E-2</v>
      </c>
      <c r="AH200" s="32">
        <v>0.1</v>
      </c>
      <c r="AK200" s="32">
        <v>2.9011482097186514E-3</v>
      </c>
      <c r="AL200" s="32">
        <v>6.4996166666673183E-3</v>
      </c>
      <c r="AM200" s="32">
        <v>1.4002541921822669</v>
      </c>
      <c r="AN200" s="36"/>
    </row>
    <row r="201" spans="1:40" x14ac:dyDescent="0.2">
      <c r="A201" s="9" t="s">
        <v>58</v>
      </c>
      <c r="B201">
        <f t="shared" si="55"/>
        <v>266</v>
      </c>
      <c r="C201" t="s">
        <v>19</v>
      </c>
      <c r="D201" t="s">
        <v>15</v>
      </c>
      <c r="E201" t="s">
        <v>3</v>
      </c>
      <c r="J201" s="14">
        <f t="shared" si="56"/>
        <v>17.174809215546389</v>
      </c>
      <c r="K201">
        <f t="shared" si="53"/>
        <v>33.184863009588177</v>
      </c>
      <c r="P201" s="14">
        <f t="shared" si="59"/>
        <v>6.2792503039815062E-5</v>
      </c>
      <c r="Q201" s="4">
        <v>0</v>
      </c>
      <c r="R201" s="4">
        <f t="shared" si="58"/>
        <v>5.483717394480097</v>
      </c>
      <c r="W201" s="5"/>
      <c r="AG201" s="32">
        <v>6.8582598008385287E-2</v>
      </c>
      <c r="AH201" s="32">
        <v>0.41599951495457832</v>
      </c>
      <c r="AK201" s="32">
        <v>2.3578079315164091E-3</v>
      </c>
      <c r="AL201" s="32" t="s">
        <v>84</v>
      </c>
      <c r="AM201" s="32">
        <v>1.6863855559049656</v>
      </c>
      <c r="AN201" s="36"/>
    </row>
    <row r="202" spans="1:40" x14ac:dyDescent="0.2">
      <c r="A202" s="9" t="s">
        <v>59</v>
      </c>
      <c r="B202">
        <f t="shared" si="55"/>
        <v>266</v>
      </c>
      <c r="C202" t="s">
        <v>19</v>
      </c>
      <c r="D202" t="s">
        <v>15</v>
      </c>
      <c r="E202" t="s">
        <v>3</v>
      </c>
      <c r="J202" s="14">
        <f t="shared" si="56"/>
        <v>32.43218382765675</v>
      </c>
      <c r="K202">
        <f t="shared" si="53"/>
        <v>-3.9434999999999985</v>
      </c>
      <c r="P202" s="14">
        <f t="shared" si="59"/>
        <v>6.2069204237342394E-4</v>
      </c>
      <c r="Q202" s="4">
        <f t="shared" si="57"/>
        <v>0.52579348960001193</v>
      </c>
      <c r="R202" s="4">
        <f t="shared" si="58"/>
        <v>4.7904626103179853</v>
      </c>
      <c r="W202" s="5"/>
      <c r="AG202" s="32">
        <v>8.0737639782699877E-2</v>
      </c>
      <c r="AH202" s="32">
        <v>0.1</v>
      </c>
      <c r="AK202" s="32">
        <v>2.7872917955145682E-3</v>
      </c>
      <c r="AL202" s="32">
        <v>2.1495066666667784E-2</v>
      </c>
      <c r="AM202" s="32">
        <v>1.475156188396705</v>
      </c>
      <c r="AN202" s="36"/>
    </row>
    <row r="203" spans="1:40" x14ac:dyDescent="0.2">
      <c r="A203" s="9" t="s">
        <v>60</v>
      </c>
      <c r="B203">
        <f t="shared" si="55"/>
        <v>266</v>
      </c>
      <c r="C203" t="s">
        <v>74</v>
      </c>
      <c r="D203" t="s">
        <v>15</v>
      </c>
      <c r="E203" t="s">
        <v>3</v>
      </c>
      <c r="J203" s="14">
        <f t="shared" si="56"/>
        <v>27.636613083649213</v>
      </c>
      <c r="K203">
        <f t="shared" si="53"/>
        <v>-3.9434999999999985</v>
      </c>
      <c r="P203" s="14">
        <f t="shared" si="59"/>
        <v>2.8480738389042334E-4</v>
      </c>
      <c r="Q203" s="4">
        <f t="shared" si="57"/>
        <v>0.91292304299999927</v>
      </c>
      <c r="R203" s="4">
        <f t="shared" si="58"/>
        <v>4.6967253289848285</v>
      </c>
      <c r="W203" s="5"/>
      <c r="AG203" s="32">
        <v>7.6917168423307203E-2</v>
      </c>
      <c r="AH203" s="32">
        <v>0.1</v>
      </c>
      <c r="AK203" s="32">
        <v>2.5287200799772314E-3</v>
      </c>
      <c r="AL203" s="32">
        <v>5.7865749999999938E-2</v>
      </c>
      <c r="AM203" s="32">
        <v>1.4465951642245058</v>
      </c>
      <c r="AN203" s="36"/>
    </row>
    <row r="204" spans="1:40" x14ac:dyDescent="0.2">
      <c r="A204" s="9" t="s">
        <v>61</v>
      </c>
      <c r="B204">
        <f t="shared" si="55"/>
        <v>266</v>
      </c>
      <c r="C204" t="s">
        <v>74</v>
      </c>
      <c r="D204" t="s">
        <v>15</v>
      </c>
      <c r="E204" t="s">
        <v>3</v>
      </c>
      <c r="J204" s="14">
        <f t="shared" si="56"/>
        <v>30.166555507646418</v>
      </c>
      <c r="K204">
        <f t="shared" si="53"/>
        <v>-3.9434999999999985</v>
      </c>
      <c r="P204" s="14">
        <f t="shared" si="59"/>
        <v>2.2259771643331363E-4</v>
      </c>
      <c r="Q204" s="4">
        <f t="shared" si="57"/>
        <v>1.1558189455999852</v>
      </c>
      <c r="R204" s="4">
        <f t="shared" si="58"/>
        <v>4.3141132097149519</v>
      </c>
      <c r="W204" s="5"/>
      <c r="AG204" s="32">
        <v>7.8932689221091645E-2</v>
      </c>
      <c r="AH204" s="32">
        <v>0.1</v>
      </c>
      <c r="AK204" s="32">
        <v>2.48082965083396E-3</v>
      </c>
      <c r="AL204" s="32">
        <v>8.0685733333331955E-2</v>
      </c>
      <c r="AM204" s="32">
        <v>1.3300162125883461</v>
      </c>
      <c r="AN204" s="36"/>
    </row>
    <row r="205" spans="1:40" x14ac:dyDescent="0.2">
      <c r="A205" s="9" t="s">
        <v>62</v>
      </c>
      <c r="B205">
        <f t="shared" si="55"/>
        <v>266</v>
      </c>
      <c r="C205" t="s">
        <v>74</v>
      </c>
      <c r="D205" t="s">
        <v>15</v>
      </c>
      <c r="E205" t="s">
        <v>3</v>
      </c>
      <c r="J205" s="14">
        <f t="shared" si="56"/>
        <v>13.417891213390002</v>
      </c>
      <c r="K205">
        <f t="shared" si="53"/>
        <v>31.775010026500095</v>
      </c>
      <c r="P205" s="14">
        <f t="shared" si="59"/>
        <v>-4.5378779667503463E-4</v>
      </c>
      <c r="Q205" s="4">
        <f t="shared" si="57"/>
        <v>0.40910810740001297</v>
      </c>
      <c r="R205" s="4">
        <f t="shared" si="58"/>
        <v>5.0002401391224849</v>
      </c>
      <c r="W205" s="5"/>
      <c r="AG205" s="32">
        <v>6.5589586666667365E-2</v>
      </c>
      <c r="AH205" s="32">
        <v>0.4040002555555563</v>
      </c>
      <c r="AK205" s="32">
        <v>1.9601325660700275E-3</v>
      </c>
      <c r="AL205" s="32">
        <v>1.0532516666667879E-2</v>
      </c>
      <c r="AM205" s="32">
        <v>1.5390737779166623</v>
      </c>
      <c r="AN205" s="36"/>
    </row>
    <row r="206" spans="1:40" x14ac:dyDescent="0.2">
      <c r="A206" s="9" t="s">
        <v>63</v>
      </c>
      <c r="B206">
        <f t="shared" si="55"/>
        <v>266</v>
      </c>
      <c r="C206" t="s">
        <v>76</v>
      </c>
      <c r="D206" t="s">
        <v>14</v>
      </c>
      <c r="E206" t="s">
        <v>3</v>
      </c>
      <c r="J206" s="14">
        <f t="shared" si="56"/>
        <v>68.399871673770491</v>
      </c>
      <c r="K206">
        <f t="shared" si="53"/>
        <v>32.406645545392372</v>
      </c>
      <c r="P206" s="14">
        <f t="shared" si="59"/>
        <v>-4.0447375025833563E-4</v>
      </c>
      <c r="Q206" s="4">
        <f t="shared" si="57"/>
        <v>5.4101858817521622</v>
      </c>
      <c r="R206" s="4">
        <f t="shared" si="58"/>
        <v>0.91740696153242962</v>
      </c>
      <c r="W206" s="5"/>
      <c r="AG206" s="32">
        <v>0.1093918977667705</v>
      </c>
      <c r="AH206" s="32">
        <v>0.40937610575252026</v>
      </c>
      <c r="AK206" s="32">
        <v>1.9980956503015124E-3</v>
      </c>
      <c r="AL206" s="32">
        <v>0.48038198813906074</v>
      </c>
      <c r="AM206" s="32">
        <v>0.29506610649982623</v>
      </c>
      <c r="AN206" s="36"/>
    </row>
    <row r="207" spans="1:40" x14ac:dyDescent="0.2">
      <c r="A207" s="9" t="s">
        <v>64</v>
      </c>
      <c r="B207">
        <f t="shared" si="55"/>
        <v>266</v>
      </c>
      <c r="C207" t="s">
        <v>76</v>
      </c>
      <c r="D207" t="s">
        <v>14</v>
      </c>
      <c r="E207" t="s">
        <v>3</v>
      </c>
      <c r="J207" s="14">
        <f t="shared" si="56"/>
        <v>60.913620856130834</v>
      </c>
      <c r="K207">
        <f t="shared" si="53"/>
        <v>32.469697061910288</v>
      </c>
      <c r="P207" s="14">
        <f t="shared" si="59"/>
        <v>-8.4720570822301741E-5</v>
      </c>
      <c r="Q207" s="4">
        <f t="shared" si="57"/>
        <v>6.1944157044000336</v>
      </c>
      <c r="R207" s="4">
        <f t="shared" si="58"/>
        <v>1.0074030170160999</v>
      </c>
      <c r="W207" s="5"/>
      <c r="AG207" s="32">
        <v>0.1034278512820509</v>
      </c>
      <c r="AH207" s="32">
        <v>0.40991273723911903</v>
      </c>
      <c r="AK207" s="32">
        <v>2.2442489832006918E-3</v>
      </c>
      <c r="AL207" s="32">
        <v>0.55406010000000316</v>
      </c>
      <c r="AM207" s="32">
        <v>0.32248720810971965</v>
      </c>
      <c r="AN207" s="36"/>
    </row>
    <row r="208" spans="1:40" x14ac:dyDescent="0.2">
      <c r="A208" s="9" t="s">
        <v>65</v>
      </c>
      <c r="B208">
        <f t="shared" si="55"/>
        <v>266</v>
      </c>
      <c r="C208" t="s">
        <v>76</v>
      </c>
      <c r="D208" t="s">
        <v>14</v>
      </c>
      <c r="E208" t="s">
        <v>3</v>
      </c>
      <c r="J208" s="14">
        <f t="shared" si="56"/>
        <v>73.15125523012621</v>
      </c>
      <c r="K208">
        <f t="shared" si="53"/>
        <v>33.389865670872368</v>
      </c>
      <c r="P208" s="14">
        <f t="shared" si="59"/>
        <v>-3.4915273958846006E-4</v>
      </c>
      <c r="Q208" s="4">
        <f t="shared" si="57"/>
        <v>6.7242337545999744</v>
      </c>
      <c r="R208" s="4">
        <f t="shared" si="58"/>
        <v>0.80181659510145853</v>
      </c>
      <c r="W208" s="5"/>
      <c r="AG208" s="32">
        <v>0.11317716666666722</v>
      </c>
      <c r="AH208" s="32">
        <v>0.41774429270073077</v>
      </c>
      <c r="AK208" s="32">
        <v>2.0406830334191994E-3</v>
      </c>
      <c r="AL208" s="32">
        <v>0.60383631666666426</v>
      </c>
      <c r="AM208" s="32">
        <v>0.25984661642335727</v>
      </c>
      <c r="AN208" s="36"/>
    </row>
    <row r="209" spans="1:41" x14ac:dyDescent="0.2">
      <c r="A209" s="9" t="s">
        <v>66</v>
      </c>
      <c r="B209">
        <f t="shared" si="55"/>
        <v>266</v>
      </c>
      <c r="C209" t="s">
        <v>76</v>
      </c>
      <c r="D209" t="s">
        <v>15</v>
      </c>
      <c r="E209" t="s">
        <v>3</v>
      </c>
      <c r="J209" s="14">
        <f t="shared" si="56"/>
        <v>73.87604208492084</v>
      </c>
      <c r="K209">
        <f t="shared" si="53"/>
        <v>31.620697491127927</v>
      </c>
      <c r="P209" s="14">
        <f t="shared" si="59"/>
        <v>2.545011051569834E-4</v>
      </c>
      <c r="Q209" s="4">
        <f t="shared" si="57"/>
        <v>6.5512682224000311</v>
      </c>
      <c r="R209" s="4">
        <f t="shared" si="58"/>
        <v>0.73672915175201725</v>
      </c>
      <c r="W209" s="5"/>
      <c r="AG209" s="32">
        <v>0.11375458019432028</v>
      </c>
      <c r="AH209" s="32">
        <v>0.40268690149476938</v>
      </c>
      <c r="AK209" s="32">
        <v>2.5053896113602647E-3</v>
      </c>
      <c r="AL209" s="32">
        <v>0.58758626666666958</v>
      </c>
      <c r="AM209" s="32">
        <v>0.24001497615844525</v>
      </c>
      <c r="AN209" s="36"/>
    </row>
    <row r="210" spans="1:41" x14ac:dyDescent="0.2">
      <c r="A210" s="9" t="s">
        <v>67</v>
      </c>
      <c r="B210">
        <f t="shared" si="55"/>
        <v>266</v>
      </c>
      <c r="C210" t="s">
        <v>76</v>
      </c>
      <c r="D210" t="s">
        <v>15</v>
      </c>
      <c r="E210" t="s">
        <v>3</v>
      </c>
      <c r="J210" s="14">
        <f t="shared" si="56"/>
        <v>71.13020796952182</v>
      </c>
      <c r="K210">
        <f t="shared" si="53"/>
        <v>32.578715509902523</v>
      </c>
      <c r="P210" s="14">
        <f t="shared" si="59"/>
        <v>-1.7776536813564372E-4</v>
      </c>
      <c r="Q210" s="4">
        <f t="shared" si="57"/>
        <v>6.8513362422000217</v>
      </c>
      <c r="R210" s="4">
        <f t="shared" si="58"/>
        <v>0.7404417322109299</v>
      </c>
      <c r="W210" s="5"/>
      <c r="AG210" s="32">
        <v>0.11156706568238572</v>
      </c>
      <c r="AH210" s="32">
        <v>0.41084059330101297</v>
      </c>
      <c r="AK210" s="32">
        <v>2.1726209637139005E-3</v>
      </c>
      <c r="AL210" s="32">
        <v>0.61577755000000201</v>
      </c>
      <c r="AM210" s="32">
        <v>0.24114617069193478</v>
      </c>
      <c r="AN210" s="36"/>
    </row>
    <row r="211" spans="1:41" x14ac:dyDescent="0.2">
      <c r="A211" s="9" t="s">
        <v>68</v>
      </c>
      <c r="B211">
        <f t="shared" si="55"/>
        <v>266</v>
      </c>
      <c r="C211" t="s">
        <v>76</v>
      </c>
      <c r="D211" t="s">
        <v>15</v>
      </c>
      <c r="E211" t="s">
        <v>3</v>
      </c>
      <c r="J211" s="14">
        <f t="shared" si="56"/>
        <v>62.439460689316334</v>
      </c>
      <c r="K211">
        <f t="shared" si="53"/>
        <v>28.349065637016114</v>
      </c>
      <c r="P211" s="14">
        <f t="shared" si="59"/>
        <v>-2.3410219900267125E-5</v>
      </c>
      <c r="Q211" s="4">
        <f t="shared" si="57"/>
        <v>6.2185997593999751</v>
      </c>
      <c r="R211" s="4">
        <f t="shared" si="58"/>
        <v>0.67423932042776735</v>
      </c>
      <c r="W211" s="5"/>
      <c r="AG211" s="32">
        <v>0.10464343701582202</v>
      </c>
      <c r="AH211" s="32">
        <v>0.37484204125295639</v>
      </c>
      <c r="AK211" s="32">
        <v>2.2914470978442902E-3</v>
      </c>
      <c r="AL211" s="32">
        <v>0.55633218333333101</v>
      </c>
      <c r="AM211" s="32">
        <v>0.22097480817421311</v>
      </c>
      <c r="AN211" s="36"/>
    </row>
    <row r="212" spans="1:41" x14ac:dyDescent="0.2">
      <c r="A212" s="9" t="s">
        <v>81</v>
      </c>
      <c r="B212">
        <f>B182+2</f>
        <v>268</v>
      </c>
      <c r="C212" t="s">
        <v>19</v>
      </c>
      <c r="D212" t="s">
        <v>14</v>
      </c>
      <c r="E212" t="s">
        <v>75</v>
      </c>
      <c r="J212" s="14">
        <f t="shared" si="56"/>
        <v>257.91261480470286</v>
      </c>
      <c r="K212">
        <f t="shared" si="53"/>
        <v>-3.9434999999999985</v>
      </c>
      <c r="L212">
        <f t="shared" ref="L212:L241" si="60">(11.007*AI212-0.65)*20</f>
        <v>64.929559999999995</v>
      </c>
      <c r="O212">
        <f t="shared" ref="O212:O275" si="61">K212+L212</f>
        <v>60.986059999999995</v>
      </c>
      <c r="P212" s="14">
        <f t="shared" si="59"/>
        <v>3.0472786584417774E-4</v>
      </c>
      <c r="Q212" s="4">
        <f t="shared" si="57"/>
        <v>9.9088153078000012</v>
      </c>
      <c r="R212" s="4">
        <f t="shared" si="58"/>
        <v>2.2713223697002016</v>
      </c>
      <c r="W212" s="5"/>
      <c r="AG212" s="32">
        <v>0.26037038312774663</v>
      </c>
      <c r="AH212" s="32">
        <v>0.1</v>
      </c>
      <c r="AI212">
        <f t="shared" ref="AI212:AI271" si="62">AVERAGE(AO212:AQ212)</f>
        <v>0.35399999999999998</v>
      </c>
      <c r="AK212" s="32">
        <v>2.5440553239755026E-3</v>
      </c>
      <c r="AL212" s="32">
        <v>0.90302661666666673</v>
      </c>
      <c r="AM212" s="32">
        <v>0.70759365316886091</v>
      </c>
      <c r="AN212" s="36"/>
      <c r="AO212">
        <v>0.35399999999999998</v>
      </c>
    </row>
    <row r="213" spans="1:41" x14ac:dyDescent="0.2">
      <c r="A213" s="9" t="s">
        <v>48</v>
      </c>
      <c r="B213">
        <f t="shared" ref="B213:B241" si="63">B183+2</f>
        <v>268</v>
      </c>
      <c r="C213" t="s">
        <v>19</v>
      </c>
      <c r="D213" t="s">
        <v>14</v>
      </c>
      <c r="E213" t="s">
        <v>75</v>
      </c>
      <c r="J213" s="14">
        <f t="shared" si="56"/>
        <v>255.74329152797429</v>
      </c>
      <c r="K213">
        <f t="shared" si="53"/>
        <v>-3.9434999999999985</v>
      </c>
      <c r="L213">
        <f t="shared" si="60"/>
        <v>42.299167999999995</v>
      </c>
      <c r="O213">
        <f t="shared" si="61"/>
        <v>38.355667999999994</v>
      </c>
      <c r="P213" s="14">
        <f t="shared" si="59"/>
        <v>-1.1067640281146781E-4</v>
      </c>
      <c r="Q213" s="4">
        <f t="shared" si="57"/>
        <v>10.446678093200008</v>
      </c>
      <c r="R213" s="4">
        <f t="shared" si="58"/>
        <v>4.4483493926877342</v>
      </c>
      <c r="W213" s="5"/>
      <c r="AG213" s="32">
        <v>0.25864215558395287</v>
      </c>
      <c r="AH213" s="32">
        <v>0.1</v>
      </c>
      <c r="AI213">
        <f t="shared" si="62"/>
        <v>0.25119999999999998</v>
      </c>
      <c r="AK213" s="32">
        <v>2.2242675882898633E-3</v>
      </c>
      <c r="AL213" s="32">
        <v>0.9535586333333339</v>
      </c>
      <c r="AM213" s="32">
        <v>1.3709169386617106</v>
      </c>
      <c r="AN213" s="36"/>
      <c r="AO213">
        <v>0.25119999999999998</v>
      </c>
    </row>
    <row r="214" spans="1:41" x14ac:dyDescent="0.2">
      <c r="A214" s="9" t="s">
        <v>49</v>
      </c>
      <c r="B214">
        <f t="shared" si="63"/>
        <v>268</v>
      </c>
      <c r="C214" t="s">
        <v>19</v>
      </c>
      <c r="D214" t="s">
        <v>14</v>
      </c>
      <c r="E214" t="s">
        <v>75</v>
      </c>
      <c r="J214" s="14">
        <f t="shared" si="56"/>
        <v>235.14289426323464</v>
      </c>
      <c r="K214">
        <f t="shared" si="53"/>
        <v>-3.9434999999999985</v>
      </c>
      <c r="L214">
        <f t="shared" si="60"/>
        <v>43.267784000000006</v>
      </c>
      <c r="O214">
        <f t="shared" si="61"/>
        <v>39.324284000000006</v>
      </c>
      <c r="P214" s="14">
        <f t="shared" si="59"/>
        <v>2.0158690041955385E-4</v>
      </c>
      <c r="Q214" s="4">
        <f t="shared" si="57"/>
        <v>10.186637284243432</v>
      </c>
      <c r="R214" s="4">
        <f t="shared" si="58"/>
        <v>4.2071714813847363</v>
      </c>
      <c r="W214" s="5"/>
      <c r="AG214" s="32">
        <v>0.24223050576304361</v>
      </c>
      <c r="AH214" s="32">
        <v>0.1</v>
      </c>
      <c r="AI214">
        <f t="shared" si="62"/>
        <v>0.25559999999999999</v>
      </c>
      <c r="AK214" s="32">
        <v>2.4646550426632441E-3</v>
      </c>
      <c r="AL214" s="32">
        <v>0.92912789216868008</v>
      </c>
      <c r="AM214" s="32">
        <v>1.2974318956077808</v>
      </c>
      <c r="AN214" s="36"/>
      <c r="AO214">
        <v>0.25559999999999999</v>
      </c>
    </row>
    <row r="215" spans="1:41" x14ac:dyDescent="0.2">
      <c r="A215" s="9" t="s">
        <v>50</v>
      </c>
      <c r="B215">
        <f t="shared" si="63"/>
        <v>268</v>
      </c>
      <c r="C215" t="s">
        <v>20</v>
      </c>
      <c r="D215" t="s">
        <v>14</v>
      </c>
      <c r="E215" t="s">
        <v>75</v>
      </c>
      <c r="J215" s="14">
        <f t="shared" si="56"/>
        <v>227.33157574055357</v>
      </c>
      <c r="K215">
        <f t="shared" si="53"/>
        <v>-5.4688678786935006</v>
      </c>
      <c r="L215">
        <f t="shared" si="60"/>
        <v>42.145070000000004</v>
      </c>
      <c r="O215">
        <f t="shared" si="61"/>
        <v>36.676202121306503</v>
      </c>
      <c r="P215" s="14">
        <f t="shared" si="59"/>
        <v>-6.284780629928777E-5</v>
      </c>
      <c r="Q215" s="4">
        <f t="shared" si="57"/>
        <v>10.017376302199981</v>
      </c>
      <c r="R215" s="4">
        <f t="shared" si="58"/>
        <v>4.0797739108232705</v>
      </c>
      <c r="W215" s="5"/>
      <c r="AG215" s="32">
        <v>0.23600748867330767</v>
      </c>
      <c r="AH215" s="32">
        <v>8.7017593270407256E-2</v>
      </c>
      <c r="AI215">
        <f t="shared" si="62"/>
        <v>0.2505</v>
      </c>
      <c r="AK215" s="32">
        <v>2.2610871391075538E-3</v>
      </c>
      <c r="AL215" s="32">
        <v>0.91322588333333155</v>
      </c>
      <c r="AM215" s="32">
        <v>1.2586148418108687</v>
      </c>
      <c r="AN215" s="36"/>
      <c r="AO215">
        <v>0.2505</v>
      </c>
    </row>
    <row r="216" spans="1:41" x14ac:dyDescent="0.2">
      <c r="A216" s="9" t="s">
        <v>51</v>
      </c>
      <c r="B216">
        <f t="shared" si="63"/>
        <v>268</v>
      </c>
      <c r="C216" t="s">
        <v>20</v>
      </c>
      <c r="D216" t="s">
        <v>14</v>
      </c>
      <c r="E216" t="s">
        <v>75</v>
      </c>
      <c r="J216" s="14">
        <f t="shared" si="56"/>
        <v>246.04195594708725</v>
      </c>
      <c r="K216">
        <f t="shared" si="53"/>
        <v>-6.0215651835562154</v>
      </c>
      <c r="L216">
        <f t="shared" si="60"/>
        <v>41.616733999999994</v>
      </c>
      <c r="O216">
        <f t="shared" si="61"/>
        <v>35.595168816443781</v>
      </c>
      <c r="P216" s="14">
        <f t="shared" si="59"/>
        <v>-1.1909058543308558E-4</v>
      </c>
      <c r="Q216" s="4">
        <f t="shared" si="57"/>
        <v>10.361990309553001</v>
      </c>
      <c r="R216" s="4">
        <f t="shared" si="58"/>
        <v>2.8615046343100072</v>
      </c>
      <c r="W216" s="5"/>
      <c r="AG216" s="32">
        <v>0.25091342490451285</v>
      </c>
      <c r="AH216" s="32">
        <v>8.2313586250000292E-2</v>
      </c>
      <c r="AI216">
        <f t="shared" si="62"/>
        <v>0.24809999999999999</v>
      </c>
      <c r="AK216" s="32">
        <v>2.2177901574803038E-3</v>
      </c>
      <c r="AL216" s="32">
        <v>0.94560224629396838</v>
      </c>
      <c r="AM216" s="32">
        <v>0.88741762166666893</v>
      </c>
      <c r="AN216" s="36"/>
      <c r="AO216">
        <v>0.24809999999999999</v>
      </c>
    </row>
    <row r="217" spans="1:41" x14ac:dyDescent="0.2">
      <c r="A217" s="9" t="s">
        <v>52</v>
      </c>
      <c r="B217">
        <f t="shared" si="63"/>
        <v>268</v>
      </c>
      <c r="C217" t="s">
        <v>20</v>
      </c>
      <c r="D217" t="s">
        <v>14</v>
      </c>
      <c r="E217" t="s">
        <v>75</v>
      </c>
      <c r="J217" s="14">
        <f t="shared" si="56"/>
        <v>249.05954826850319</v>
      </c>
      <c r="K217">
        <f t="shared" si="53"/>
        <v>-3.9434999999999985</v>
      </c>
      <c r="L217">
        <f t="shared" si="60"/>
        <v>43.267784000000006</v>
      </c>
      <c r="O217">
        <f t="shared" si="61"/>
        <v>39.324284000000006</v>
      </c>
      <c r="P217" s="14">
        <f t="shared" si="59"/>
        <v>1.6745752467765753E-5</v>
      </c>
      <c r="Q217" s="4">
        <f t="shared" si="57"/>
        <v>10.567046121999976</v>
      </c>
      <c r="R217" s="4">
        <f t="shared" si="58"/>
        <v>2.3679409555418833</v>
      </c>
      <c r="W217" s="5"/>
      <c r="AG217" s="32">
        <v>0.25331744012057422</v>
      </c>
      <c r="AH217" s="32">
        <v>0.1</v>
      </c>
      <c r="AI217">
        <f t="shared" si="62"/>
        <v>0.25559999999999999</v>
      </c>
      <c r="AK217" s="32">
        <v>2.3223600865802663E-3</v>
      </c>
      <c r="AL217" s="32">
        <v>0.96486716666666439</v>
      </c>
      <c r="AM217" s="32">
        <v>0.73703258852586329</v>
      </c>
      <c r="AN217" s="36"/>
      <c r="AO217">
        <v>0.25559999999999999</v>
      </c>
    </row>
    <row r="218" spans="1:41" x14ac:dyDescent="0.2">
      <c r="A218" s="9" t="s">
        <v>53</v>
      </c>
      <c r="B218">
        <f t="shared" si="63"/>
        <v>268</v>
      </c>
      <c r="C218" t="s">
        <v>74</v>
      </c>
      <c r="D218" t="s">
        <v>14</v>
      </c>
      <c r="E218" t="s">
        <v>75</v>
      </c>
      <c r="J218" s="14">
        <f t="shared" si="56"/>
        <v>270.71182655719633</v>
      </c>
      <c r="K218">
        <f t="shared" si="53"/>
        <v>-3.9434999999999985</v>
      </c>
      <c r="L218">
        <f t="shared" si="60"/>
        <v>38.644844000000006</v>
      </c>
      <c r="O218">
        <f t="shared" si="61"/>
        <v>34.701344000000006</v>
      </c>
      <c r="P218" s="14">
        <f t="shared" si="59"/>
        <v>-3.1304318304211244E-4</v>
      </c>
      <c r="Q218" s="4">
        <f t="shared" si="57"/>
        <v>14.722157526265505</v>
      </c>
      <c r="R218" s="4">
        <f t="shared" si="58"/>
        <v>0.79640800676433898</v>
      </c>
      <c r="W218" s="5"/>
      <c r="AG218" s="32">
        <v>0.27056708849056643</v>
      </c>
      <c r="AH218" s="32">
        <v>0.1</v>
      </c>
      <c r="AI218">
        <f t="shared" si="62"/>
        <v>0.2346</v>
      </c>
      <c r="AK218" s="32">
        <v>2.0684809984279351E-3</v>
      </c>
      <c r="AL218" s="32">
        <v>1.3552383996867254</v>
      </c>
      <c r="AM218" s="32">
        <v>0.25819866141509418</v>
      </c>
      <c r="AN218" s="36"/>
      <c r="AO218">
        <v>0.2346</v>
      </c>
    </row>
    <row r="219" spans="1:41" x14ac:dyDescent="0.2">
      <c r="A219" s="9" t="s">
        <v>54</v>
      </c>
      <c r="B219">
        <f t="shared" si="63"/>
        <v>268</v>
      </c>
      <c r="C219" t="s">
        <v>74</v>
      </c>
      <c r="D219" t="s">
        <v>14</v>
      </c>
      <c r="E219" t="s">
        <v>75</v>
      </c>
      <c r="J219" s="14">
        <f t="shared" si="56"/>
        <v>214.32828428119518</v>
      </c>
      <c r="K219">
        <f t="shared" si="53"/>
        <v>-3.9434999999999985</v>
      </c>
      <c r="L219">
        <f t="shared" si="60"/>
        <v>40.097768000000002</v>
      </c>
      <c r="O219">
        <f t="shared" si="61"/>
        <v>36.154268000000002</v>
      </c>
      <c r="P219" s="14">
        <f t="shared" si="59"/>
        <v>5.1106070609994786E-4</v>
      </c>
      <c r="Q219" s="4">
        <f t="shared" si="57"/>
        <v>10.424448453999945</v>
      </c>
      <c r="R219" s="4">
        <f t="shared" si="58"/>
        <v>4.3156977441418594</v>
      </c>
      <c r="W219" s="5"/>
      <c r="AG219" s="32">
        <v>0.22564819981068551</v>
      </c>
      <c r="AH219" s="32">
        <v>0.1</v>
      </c>
      <c r="AI219">
        <f t="shared" si="62"/>
        <v>0.2412</v>
      </c>
      <c r="AK219" s="32">
        <v>2.7028950778290595E-3</v>
      </c>
      <c r="AL219" s="32">
        <v>0.9514701666666614</v>
      </c>
      <c r="AM219" s="32">
        <v>1.3304990079652224</v>
      </c>
      <c r="AN219" s="36"/>
      <c r="AO219">
        <v>0.2412</v>
      </c>
    </row>
    <row r="220" spans="1:41" x14ac:dyDescent="0.2">
      <c r="A220" s="9" t="s">
        <v>55</v>
      </c>
      <c r="B220">
        <f t="shared" si="63"/>
        <v>268</v>
      </c>
      <c r="C220" t="s">
        <v>74</v>
      </c>
      <c r="D220" t="s">
        <v>14</v>
      </c>
      <c r="E220" t="s">
        <v>75</v>
      </c>
      <c r="J220" s="14">
        <f t="shared" si="56"/>
        <v>253.14721895149464</v>
      </c>
      <c r="K220">
        <f t="shared" ref="K220:K283" si="64">(3.9165*AH220-0.5231)*30</f>
        <v>-3.9434999999999985</v>
      </c>
      <c r="L220">
        <f t="shared" si="60"/>
        <v>42.717433999999997</v>
      </c>
      <c r="O220">
        <f t="shared" si="61"/>
        <v>38.773933999999997</v>
      </c>
      <c r="P220" s="14">
        <f t="shared" si="59"/>
        <v>7.3022488054473389E-3</v>
      </c>
      <c r="Q220" s="4">
        <f t="shared" si="57"/>
        <v>9.9568699520000461</v>
      </c>
      <c r="R220" s="4">
        <f t="shared" si="58"/>
        <v>3.49369546240588</v>
      </c>
      <c r="W220" s="5"/>
      <c r="AG220" s="32">
        <v>0.25657395109802406</v>
      </c>
      <c r="AH220" s="32">
        <v>0.1</v>
      </c>
      <c r="AI220">
        <f t="shared" si="62"/>
        <v>0.25309999999999999</v>
      </c>
      <c r="AK220" s="32">
        <v>7.9309074714760119E-3</v>
      </c>
      <c r="AL220" s="32">
        <v>0.90754133333333753</v>
      </c>
      <c r="AM220" s="32">
        <v>1.0800412743467032</v>
      </c>
      <c r="AN220" s="36"/>
      <c r="AO220">
        <v>0.25309999999999999</v>
      </c>
    </row>
    <row r="221" spans="1:41" x14ac:dyDescent="0.2">
      <c r="A221" s="9" t="s">
        <v>56</v>
      </c>
      <c r="B221">
        <f t="shared" si="63"/>
        <v>268</v>
      </c>
      <c r="C221" t="s">
        <v>19</v>
      </c>
      <c r="D221" t="s">
        <v>15</v>
      </c>
      <c r="E221" t="s">
        <v>75</v>
      </c>
      <c r="J221" s="14">
        <f t="shared" si="56"/>
        <v>234.05188834414159</v>
      </c>
      <c r="K221">
        <f t="shared" si="64"/>
        <v>-3.9434999999999985</v>
      </c>
      <c r="L221">
        <f t="shared" si="60"/>
        <v>42.82750399999999</v>
      </c>
      <c r="O221">
        <f t="shared" si="61"/>
        <v>38.88400399999999</v>
      </c>
      <c r="P221" s="14">
        <f t="shared" si="59"/>
        <v>2.5555324217029038E-2</v>
      </c>
      <c r="Q221" s="4">
        <f t="shared" si="57"/>
        <v>9.4656081951999642</v>
      </c>
      <c r="R221" s="4">
        <f t="shared" si="58"/>
        <v>3.9689437952737285</v>
      </c>
      <c r="W221" s="5"/>
      <c r="AG221" s="32">
        <v>0.24136133771416612</v>
      </c>
      <c r="AH221" s="32">
        <v>0.1</v>
      </c>
      <c r="AI221">
        <f t="shared" si="62"/>
        <v>0.25359999999999999</v>
      </c>
      <c r="AK221" s="32">
        <v>2.1982543662070086E-2</v>
      </c>
      <c r="AL221" s="32">
        <v>0.86138746666666322</v>
      </c>
      <c r="AM221" s="32">
        <v>1.2248457633375165</v>
      </c>
      <c r="AN221" s="36"/>
      <c r="AO221">
        <v>0.25359999999999999</v>
      </c>
    </row>
    <row r="222" spans="1:41" x14ac:dyDescent="0.2">
      <c r="A222" s="9" t="s">
        <v>48</v>
      </c>
      <c r="B222">
        <f t="shared" si="63"/>
        <v>268</v>
      </c>
      <c r="C222" t="s">
        <v>19</v>
      </c>
      <c r="D222" t="s">
        <v>15</v>
      </c>
      <c r="E222" t="s">
        <v>75</v>
      </c>
      <c r="J222" s="14">
        <f t="shared" si="56"/>
        <v>243.8782607528654</v>
      </c>
      <c r="K222">
        <f t="shared" si="64"/>
        <v>-3.9434999999999985</v>
      </c>
      <c r="L222">
        <f t="shared" si="60"/>
        <v>44.280428000000001</v>
      </c>
      <c r="O222">
        <f t="shared" si="61"/>
        <v>40.336928</v>
      </c>
      <c r="P222" s="14">
        <f t="shared" si="59"/>
        <v>7.9725189761905707E-3</v>
      </c>
      <c r="Q222" s="4">
        <f t="shared" si="57"/>
        <v>12.169155811200088</v>
      </c>
      <c r="R222" s="4">
        <f t="shared" si="58"/>
        <v>2.8367443158892338</v>
      </c>
      <c r="W222" s="5"/>
      <c r="AG222" s="32">
        <v>0.24918968106644945</v>
      </c>
      <c r="AH222" s="32">
        <v>0.1</v>
      </c>
      <c r="AI222">
        <f t="shared" si="62"/>
        <v>0.26019999999999999</v>
      </c>
      <c r="AK222" s="32">
        <v>8.446896825396899E-3</v>
      </c>
      <c r="AL222" s="32">
        <v>1.1153848000000082</v>
      </c>
      <c r="AM222" s="32">
        <v>0.87987334426850516</v>
      </c>
      <c r="AN222" s="36"/>
      <c r="AO222">
        <v>0.26019999999999999</v>
      </c>
    </row>
    <row r="223" spans="1:41" x14ac:dyDescent="0.2">
      <c r="A223" s="9" t="s">
        <v>49</v>
      </c>
      <c r="B223">
        <f t="shared" si="63"/>
        <v>268</v>
      </c>
      <c r="C223" t="s">
        <v>19</v>
      </c>
      <c r="D223" t="s">
        <v>15</v>
      </c>
      <c r="E223" t="s">
        <v>75</v>
      </c>
      <c r="J223" s="14">
        <f t="shared" si="56"/>
        <v>253.7897811560247</v>
      </c>
      <c r="K223">
        <f t="shared" si="64"/>
        <v>-3.9434999999999985</v>
      </c>
      <c r="L223">
        <f t="shared" si="60"/>
        <v>41.396593999999993</v>
      </c>
      <c r="O223">
        <f t="shared" si="61"/>
        <v>37.453093999999993</v>
      </c>
      <c r="P223" s="14">
        <f t="shared" si="59"/>
        <v>4.2228949862378427E-3</v>
      </c>
      <c r="Q223" s="4">
        <f t="shared" si="57"/>
        <v>10.39318099439997</v>
      </c>
      <c r="R223" s="4">
        <f t="shared" si="58"/>
        <v>4.2211291022880779</v>
      </c>
      <c r="W223" s="5"/>
      <c r="AG223" s="32">
        <v>0.25708585898763303</v>
      </c>
      <c r="AH223" s="32">
        <v>0.1</v>
      </c>
      <c r="AI223">
        <f t="shared" si="62"/>
        <v>0.24709999999999999</v>
      </c>
      <c r="AK223" s="32">
        <v>5.5603502588436049E-3</v>
      </c>
      <c r="AL223" s="32">
        <v>0.94853259999999695</v>
      </c>
      <c r="AM223" s="32">
        <v>1.3016846746764408</v>
      </c>
      <c r="AN223" s="36"/>
      <c r="AO223">
        <v>0.24709999999999999</v>
      </c>
    </row>
    <row r="224" spans="1:41" x14ac:dyDescent="0.2">
      <c r="A224" s="9" t="s">
        <v>50</v>
      </c>
      <c r="B224">
        <f t="shared" si="63"/>
        <v>268</v>
      </c>
      <c r="C224" t="s">
        <v>20</v>
      </c>
      <c r="D224" t="s">
        <v>15</v>
      </c>
      <c r="E224" t="s">
        <v>75</v>
      </c>
      <c r="J224" s="14">
        <f t="shared" si="56"/>
        <v>246.68423062525173</v>
      </c>
      <c r="K224">
        <f t="shared" si="64"/>
        <v>-3.9434999999999985</v>
      </c>
      <c r="L224">
        <f t="shared" si="60"/>
        <v>43.003616000000008</v>
      </c>
      <c r="O224">
        <f t="shared" si="61"/>
        <v>39.060116000000008</v>
      </c>
      <c r="P224" s="14">
        <f t="shared" si="59"/>
        <v>1.3859321818493401E-3</v>
      </c>
      <c r="Q224" s="4">
        <f t="shared" si="57"/>
        <v>10.318749986000041</v>
      </c>
      <c r="R224" s="4">
        <f t="shared" si="58"/>
        <v>3.1399146658251116</v>
      </c>
      <c r="W224" s="5"/>
      <c r="AG224" s="32">
        <v>0.25142510373145055</v>
      </c>
      <c r="AH224" s="32">
        <v>0.1</v>
      </c>
      <c r="AI224">
        <f t="shared" si="62"/>
        <v>0.25440000000000002</v>
      </c>
      <c r="AK224" s="32">
        <v>3.3763912100456817E-3</v>
      </c>
      <c r="AL224" s="32">
        <v>0.94153983333333713</v>
      </c>
      <c r="AM224" s="32">
        <v>0.97224700360301997</v>
      </c>
      <c r="AN224" s="36"/>
      <c r="AO224">
        <v>0.25440000000000002</v>
      </c>
    </row>
    <row r="225" spans="1:41" x14ac:dyDescent="0.2">
      <c r="A225" s="9" t="s">
        <v>51</v>
      </c>
      <c r="B225">
        <f t="shared" si="63"/>
        <v>268</v>
      </c>
      <c r="C225" t="s">
        <v>20</v>
      </c>
      <c r="D225" t="s">
        <v>15</v>
      </c>
      <c r="E225" t="s">
        <v>75</v>
      </c>
      <c r="J225" s="14">
        <f t="shared" si="56"/>
        <v>285.52440515305113</v>
      </c>
      <c r="K225">
        <f t="shared" si="64"/>
        <v>-3.9434999999999985</v>
      </c>
      <c r="L225">
        <f t="shared" si="60"/>
        <v>46.239673999999994</v>
      </c>
      <c r="O225">
        <f t="shared" si="61"/>
        <v>42.296173999999993</v>
      </c>
      <c r="P225" s="14">
        <f t="shared" si="59"/>
        <v>6.3119331461047336E-4</v>
      </c>
      <c r="Q225" s="4">
        <f t="shared" si="57"/>
        <v>11.084887543399949</v>
      </c>
      <c r="R225" s="4">
        <f t="shared" si="58"/>
        <v>2.6531733563952073</v>
      </c>
      <c r="W225" s="5"/>
      <c r="AG225" s="32">
        <v>0.28236777610526409</v>
      </c>
      <c r="AH225" s="32">
        <v>0.1</v>
      </c>
      <c r="AI225">
        <f t="shared" si="62"/>
        <v>0.26910000000000001</v>
      </c>
      <c r="AK225" s="32">
        <v>2.7953759157894331E-3</v>
      </c>
      <c r="AL225" s="32">
        <v>1.0135181833333284</v>
      </c>
      <c r="AM225" s="32">
        <v>0.82394069360000222</v>
      </c>
      <c r="AN225" s="36"/>
      <c r="AO225">
        <v>0.26910000000000001</v>
      </c>
    </row>
    <row r="226" spans="1:41" x14ac:dyDescent="0.2">
      <c r="A226" s="9" t="s">
        <v>52</v>
      </c>
      <c r="B226">
        <f t="shared" si="63"/>
        <v>268</v>
      </c>
      <c r="C226" t="s">
        <v>20</v>
      </c>
      <c r="D226" t="s">
        <v>15</v>
      </c>
      <c r="E226" t="s">
        <v>75</v>
      </c>
      <c r="J226" s="14">
        <f t="shared" si="56"/>
        <v>280.42844892936222</v>
      </c>
      <c r="K226">
        <f t="shared" si="64"/>
        <v>-3.9434999999999985</v>
      </c>
      <c r="L226">
        <f t="shared" si="60"/>
        <v>44.170358</v>
      </c>
      <c r="O226">
        <f t="shared" si="61"/>
        <v>40.226858</v>
      </c>
      <c r="P226" s="14">
        <f t="shared" si="59"/>
        <v>4.7440447899999806E-3</v>
      </c>
      <c r="Q226" s="4">
        <f t="shared" si="57"/>
        <v>9.3022463746812196</v>
      </c>
      <c r="R226" s="4">
        <f t="shared" si="58"/>
        <v>2.4241443171611725</v>
      </c>
      <c r="W226" s="5"/>
      <c r="AG226" s="32">
        <v>0.2783079976470586</v>
      </c>
      <c r="AH226" s="32">
        <v>0.1</v>
      </c>
      <c r="AI226">
        <f t="shared" si="62"/>
        <v>0.25969999999999999</v>
      </c>
      <c r="AK226" s="32">
        <v>5.961543333333319E-3</v>
      </c>
      <c r="AL226" s="32">
        <v>0.84603968195050916</v>
      </c>
      <c r="AM226" s="32">
        <v>0.754157317843136</v>
      </c>
      <c r="AN226" s="36"/>
      <c r="AO226">
        <v>0.25969999999999999</v>
      </c>
    </row>
    <row r="227" spans="1:41" x14ac:dyDescent="0.2">
      <c r="A227" s="9" t="s">
        <v>53</v>
      </c>
      <c r="B227">
        <f t="shared" si="63"/>
        <v>268</v>
      </c>
      <c r="C227" t="s">
        <v>74</v>
      </c>
      <c r="D227" t="s">
        <v>15</v>
      </c>
      <c r="E227" t="s">
        <v>75</v>
      </c>
      <c r="J227" s="14">
        <f t="shared" si="56"/>
        <v>273.65670637244722</v>
      </c>
      <c r="K227">
        <f t="shared" si="64"/>
        <v>-6.4087610108993474</v>
      </c>
      <c r="L227">
        <f t="shared" si="60"/>
        <v>42.431252000000008</v>
      </c>
      <c r="O227">
        <f t="shared" si="61"/>
        <v>36.02249098910066</v>
      </c>
      <c r="P227" s="14">
        <f t="shared" si="59"/>
        <v>3.4767872779306881E-2</v>
      </c>
      <c r="Q227" s="4">
        <f t="shared" si="57"/>
        <v>12.612857337600028</v>
      </c>
      <c r="R227" s="4">
        <f t="shared" si="58"/>
        <v>3.0256481815910305</v>
      </c>
      <c r="W227" s="5"/>
      <c r="AG227" s="32">
        <v>0.27291317607671628</v>
      </c>
      <c r="AH227" s="32">
        <v>7.901816238223458E-2</v>
      </c>
      <c r="AI227">
        <f t="shared" si="62"/>
        <v>0.25180000000000002</v>
      </c>
      <c r="AK227" s="32">
        <v>2.9074574887842097E-2</v>
      </c>
      <c r="AL227" s="32">
        <v>1.1570704000000025</v>
      </c>
      <c r="AM227" s="32">
        <v>0.93743089018617631</v>
      </c>
      <c r="AN227" s="36"/>
      <c r="AO227">
        <v>0.25180000000000002</v>
      </c>
    </row>
    <row r="228" spans="1:41" x14ac:dyDescent="0.2">
      <c r="A228" s="9" t="s">
        <v>54</v>
      </c>
      <c r="B228">
        <f t="shared" si="63"/>
        <v>268</v>
      </c>
      <c r="C228" t="s">
        <v>74</v>
      </c>
      <c r="D228" t="s">
        <v>15</v>
      </c>
      <c r="E228" t="s">
        <v>75</v>
      </c>
      <c r="J228" s="14">
        <f t="shared" si="56"/>
        <v>243.65129682364173</v>
      </c>
      <c r="K228">
        <f t="shared" si="64"/>
        <v>-3.9434999999999985</v>
      </c>
      <c r="L228">
        <f t="shared" si="60"/>
        <v>40.956314000000006</v>
      </c>
      <c r="O228">
        <f t="shared" si="61"/>
        <v>37.012814000000006</v>
      </c>
      <c r="P228" s="14">
        <f t="shared" si="59"/>
        <v>1.0217810896432615E-2</v>
      </c>
      <c r="Q228" s="4">
        <f t="shared" si="57"/>
        <v>9.2036806908572864</v>
      </c>
      <c r="R228" s="4">
        <f t="shared" si="58"/>
        <v>4.5300671633139356</v>
      </c>
      <c r="W228" s="5"/>
      <c r="AG228" s="32">
        <v>0.24900886646950127</v>
      </c>
      <c r="AH228" s="32">
        <v>0.1</v>
      </c>
      <c r="AI228">
        <f t="shared" si="62"/>
        <v>0.24510000000000001</v>
      </c>
      <c r="AK228" s="32">
        <v>1.0175374054220643E-2</v>
      </c>
      <c r="AL228" s="32">
        <v>0.83677947114405171</v>
      </c>
      <c r="AM228" s="32">
        <v>1.3958157109426983</v>
      </c>
      <c r="AN228" s="36"/>
      <c r="AO228">
        <v>0.24510000000000001</v>
      </c>
    </row>
    <row r="229" spans="1:41" x14ac:dyDescent="0.2">
      <c r="A229" s="9" t="s">
        <v>55</v>
      </c>
      <c r="B229">
        <f t="shared" si="63"/>
        <v>268</v>
      </c>
      <c r="C229" t="s">
        <v>74</v>
      </c>
      <c r="D229" t="s">
        <v>15</v>
      </c>
      <c r="E229" t="s">
        <v>75</v>
      </c>
      <c r="J229" s="14">
        <f t="shared" si="56"/>
        <v>255.53364667179298</v>
      </c>
      <c r="K229">
        <f t="shared" si="64"/>
        <v>-3.9434999999999985</v>
      </c>
      <c r="L229">
        <f t="shared" si="60"/>
        <v>46.547870000000003</v>
      </c>
      <c r="O229">
        <f t="shared" si="61"/>
        <v>42.604370000000003</v>
      </c>
      <c r="P229" s="14">
        <f t="shared" si="59"/>
        <v>3.4436874116890927E-2</v>
      </c>
      <c r="Q229" s="4">
        <f t="shared" si="57"/>
        <v>11.439539414400004</v>
      </c>
      <c r="R229" s="4">
        <f t="shared" si="58"/>
        <v>2.8754503860888017</v>
      </c>
      <c r="W229" s="5"/>
      <c r="AG229" s="32">
        <v>0.2584751385151951</v>
      </c>
      <c r="AH229" s="32">
        <v>0.1</v>
      </c>
      <c r="AI229">
        <f t="shared" si="62"/>
        <v>0.27050000000000002</v>
      </c>
      <c r="AK229" s="32">
        <v>2.8819764524165459E-2</v>
      </c>
      <c r="AL229" s="32">
        <v>1.0468376000000004</v>
      </c>
      <c r="AM229" s="32">
        <v>0.8916667843049364</v>
      </c>
      <c r="AN229" s="36"/>
      <c r="AO229">
        <v>0.27050000000000002</v>
      </c>
    </row>
    <row r="230" spans="1:41" x14ac:dyDescent="0.2">
      <c r="A230" s="9" t="s">
        <v>57</v>
      </c>
      <c r="B230">
        <f t="shared" si="63"/>
        <v>268</v>
      </c>
      <c r="C230" t="s">
        <v>19</v>
      </c>
      <c r="D230" t="s">
        <v>15</v>
      </c>
      <c r="E230" t="s">
        <v>3</v>
      </c>
      <c r="J230" s="14">
        <f t="shared" si="56"/>
        <v>294.43408007390121</v>
      </c>
      <c r="K230">
        <f t="shared" si="64"/>
        <v>9.8445512039508571</v>
      </c>
      <c r="L230">
        <f t="shared" si="60"/>
        <v>67.086932000000004</v>
      </c>
      <c r="O230">
        <f t="shared" si="61"/>
        <v>76.931483203950862</v>
      </c>
      <c r="P230" s="14">
        <f t="shared" si="59"/>
        <v>1.8846584910991186E-3</v>
      </c>
      <c r="Q230" s="4">
        <f t="shared" si="57"/>
        <v>12.777464314000033</v>
      </c>
      <c r="R230" s="4">
        <f t="shared" si="58"/>
        <v>4.7303857614963221</v>
      </c>
      <c r="W230" s="5"/>
      <c r="AG230" s="32">
        <v>0.28946581712554131</v>
      </c>
      <c r="AH230" s="32">
        <v>0.21735011025108181</v>
      </c>
      <c r="AI230">
        <f t="shared" si="62"/>
        <v>0.36380000000000001</v>
      </c>
      <c r="AK230" s="32">
        <v>3.7603221640485907E-3</v>
      </c>
      <c r="AL230" s="32">
        <v>1.1725351666666697</v>
      </c>
      <c r="AM230" s="32">
        <v>1.4568512375064966</v>
      </c>
      <c r="AN230" s="36"/>
      <c r="AO230">
        <v>0.36380000000000001</v>
      </c>
    </row>
    <row r="231" spans="1:41" x14ac:dyDescent="0.2">
      <c r="A231" s="9" t="s">
        <v>58</v>
      </c>
      <c r="B231">
        <f t="shared" si="63"/>
        <v>268</v>
      </c>
      <c r="C231" t="s">
        <v>19</v>
      </c>
      <c r="D231" t="s">
        <v>15</v>
      </c>
      <c r="E231" t="s">
        <v>3</v>
      </c>
      <c r="J231" s="14">
        <f t="shared" si="56"/>
        <v>276.0828518980137</v>
      </c>
      <c r="K231">
        <f t="shared" si="64"/>
        <v>38.16505073410525</v>
      </c>
      <c r="L231">
        <f t="shared" si="60"/>
        <v>43.509937999999991</v>
      </c>
      <c r="O231">
        <f t="shared" si="61"/>
        <v>81.674988734105241</v>
      </c>
      <c r="P231" s="14">
        <f t="shared" si="59"/>
        <v>2.633541484298681E-2</v>
      </c>
      <c r="Q231" s="4">
        <f t="shared" si="57"/>
        <v>3.6003121917407648</v>
      </c>
      <c r="R231" s="4">
        <f t="shared" si="58"/>
        <v>5.5219825068161255</v>
      </c>
      <c r="W231" s="5"/>
      <c r="AG231" s="32">
        <v>0.27484600534541759</v>
      </c>
      <c r="AH231" s="32">
        <v>0.45838589500919402</v>
      </c>
      <c r="AI231">
        <f t="shared" si="62"/>
        <v>0.25669999999999998</v>
      </c>
      <c r="AK231" s="32">
        <v>2.2583075321775836E-2</v>
      </c>
      <c r="AL231" s="32">
        <v>0.31034500110304064</v>
      </c>
      <c r="AM231" s="32">
        <v>1.6980446394930304</v>
      </c>
      <c r="AN231" s="36"/>
      <c r="AO231">
        <v>0.25669999999999998</v>
      </c>
    </row>
    <row r="232" spans="1:41" x14ac:dyDescent="0.2">
      <c r="A232" s="9" t="s">
        <v>59</v>
      </c>
      <c r="B232">
        <f t="shared" si="63"/>
        <v>268</v>
      </c>
      <c r="C232" t="s">
        <v>19</v>
      </c>
      <c r="D232" t="s">
        <v>15</v>
      </c>
      <c r="E232" t="s">
        <v>3</v>
      </c>
      <c r="J232" s="14">
        <f t="shared" si="56"/>
        <v>261.95277514796396</v>
      </c>
      <c r="K232">
        <f t="shared" si="64"/>
        <v>19.963807789322807</v>
      </c>
      <c r="L232">
        <f t="shared" si="60"/>
        <v>41.132426000000002</v>
      </c>
      <c r="O232">
        <f t="shared" si="61"/>
        <v>61.09623378932281</v>
      </c>
      <c r="P232" s="14">
        <f t="shared" si="59"/>
        <v>6.0772200997429651E-3</v>
      </c>
      <c r="Q232" s="4">
        <f t="shared" si="57"/>
        <v>11.930037286799982</v>
      </c>
      <c r="R232" s="4">
        <f t="shared" si="58"/>
        <v>4.7128319899080475</v>
      </c>
      <c r="W232" s="5"/>
      <c r="AG232" s="32">
        <v>0.26358904420121132</v>
      </c>
      <c r="AH232" s="32">
        <v>0.30347510778605735</v>
      </c>
      <c r="AI232">
        <f t="shared" si="62"/>
        <v>0.24590000000000001</v>
      </c>
      <c r="AK232" s="32">
        <v>6.9878522707798041E-3</v>
      </c>
      <c r="AL232" s="32">
        <v>1.0929196999999982</v>
      </c>
      <c r="AM232" s="32">
        <v>1.4515027391554076</v>
      </c>
      <c r="AN232" s="36"/>
      <c r="AO232">
        <v>0.24590000000000001</v>
      </c>
    </row>
    <row r="233" spans="1:41" x14ac:dyDescent="0.2">
      <c r="A233" s="9" t="s">
        <v>60</v>
      </c>
      <c r="B233">
        <f t="shared" si="63"/>
        <v>268</v>
      </c>
      <c r="C233" t="s">
        <v>74</v>
      </c>
      <c r="D233" t="s">
        <v>15</v>
      </c>
      <c r="E233" t="s">
        <v>3</v>
      </c>
      <c r="J233" s="14">
        <f t="shared" si="56"/>
        <v>262.02514807026068</v>
      </c>
      <c r="K233">
        <f t="shared" si="64"/>
        <v>17.60904393577189</v>
      </c>
      <c r="L233">
        <f t="shared" si="60"/>
        <v>41.924929999999996</v>
      </c>
      <c r="O233">
        <f t="shared" si="61"/>
        <v>59.533973935771883</v>
      </c>
      <c r="P233" s="14">
        <f t="shared" si="59"/>
        <v>2.0561697061904416E-2</v>
      </c>
      <c r="Q233" s="4">
        <f t="shared" si="57"/>
        <v>12.377391656599968</v>
      </c>
      <c r="R233" s="4">
        <f t="shared" si="58"/>
        <v>4.7242998019430171</v>
      </c>
      <c r="W233" s="5"/>
      <c r="AG233" s="32">
        <v>0.26364670129597434</v>
      </c>
      <c r="AH233" s="32">
        <v>0.28343371152620866</v>
      </c>
      <c r="AI233">
        <f t="shared" si="62"/>
        <v>0.2495</v>
      </c>
      <c r="AK233" s="32">
        <v>1.8138334920634658E-2</v>
      </c>
      <c r="AL233" s="32">
        <v>1.1349484833333303</v>
      </c>
      <c r="AM233" s="32">
        <v>1.454996892730962</v>
      </c>
      <c r="AN233" s="36"/>
      <c r="AO233">
        <v>0.2495</v>
      </c>
    </row>
    <row r="234" spans="1:41" x14ac:dyDescent="0.2">
      <c r="A234" s="9" t="s">
        <v>61</v>
      </c>
      <c r="B234">
        <f t="shared" si="63"/>
        <v>268</v>
      </c>
      <c r="C234" t="s">
        <v>74</v>
      </c>
      <c r="D234" t="s">
        <v>15</v>
      </c>
      <c r="E234" t="s">
        <v>3</v>
      </c>
      <c r="J234" s="14">
        <f t="shared" si="56"/>
        <v>274.52236887868668</v>
      </c>
      <c r="K234">
        <f t="shared" si="64"/>
        <v>18.901585614856309</v>
      </c>
      <c r="L234">
        <f t="shared" si="60"/>
        <v>44.522581999999993</v>
      </c>
      <c r="O234">
        <f t="shared" si="61"/>
        <v>63.424167614856302</v>
      </c>
      <c r="P234" s="14">
        <f t="shared" si="59"/>
        <v>7.1072929948572333E-4</v>
      </c>
      <c r="Q234" s="4">
        <f t="shared" si="57"/>
        <v>13.352126068400056</v>
      </c>
      <c r="R234" s="4">
        <f t="shared" si="58"/>
        <v>4.3474023180096522</v>
      </c>
      <c r="W234" s="5"/>
      <c r="AG234" s="32">
        <v>0.27360282054002039</v>
      </c>
      <c r="AH234" s="32">
        <v>0.29443453436194145</v>
      </c>
      <c r="AI234">
        <f t="shared" si="62"/>
        <v>0.26129999999999998</v>
      </c>
      <c r="AK234" s="32">
        <v>2.8566045415594488E-3</v>
      </c>
      <c r="AL234" s="32">
        <v>1.2265244333333385</v>
      </c>
      <c r="AM234" s="32">
        <v>1.340159146255226</v>
      </c>
      <c r="AN234" s="36"/>
      <c r="AO234">
        <v>0.26129999999999998</v>
      </c>
    </row>
    <row r="235" spans="1:41" x14ac:dyDescent="0.2">
      <c r="A235" s="9" t="s">
        <v>62</v>
      </c>
      <c r="B235">
        <f t="shared" si="63"/>
        <v>268</v>
      </c>
      <c r="C235" t="s">
        <v>74</v>
      </c>
      <c r="D235" t="s">
        <v>15</v>
      </c>
      <c r="E235" t="s">
        <v>3</v>
      </c>
      <c r="J235" s="14">
        <f t="shared" si="56"/>
        <v>261.0554374363669</v>
      </c>
      <c r="K235">
        <f t="shared" si="64"/>
        <v>37.189615183831599</v>
      </c>
      <c r="L235">
        <f t="shared" si="60"/>
        <v>46.966135999999992</v>
      </c>
      <c r="O235">
        <f t="shared" si="61"/>
        <v>84.155751183831597</v>
      </c>
      <c r="P235" s="14">
        <f t="shared" si="59"/>
        <v>1.5014932241623612E-2</v>
      </c>
      <c r="Q235" s="4">
        <f t="shared" si="57"/>
        <v>11.848320460399989</v>
      </c>
      <c r="R235" s="4">
        <f t="shared" si="58"/>
        <v>5.0895824979685624</v>
      </c>
      <c r="W235" s="5"/>
      <c r="AG235" s="32">
        <v>0.26287416515763895</v>
      </c>
      <c r="AH235" s="32">
        <v>0.45008396258420869</v>
      </c>
      <c r="AI235">
        <f t="shared" si="62"/>
        <v>0.27239999999999998</v>
      </c>
      <c r="AK235" s="32">
        <v>1.3868308115183692E-2</v>
      </c>
      <c r="AL235" s="32">
        <v>1.0852424333333324</v>
      </c>
      <c r="AM235" s="32">
        <v>1.5662957032201592</v>
      </c>
      <c r="AN235" s="36"/>
      <c r="AO235">
        <v>0.27239999999999998</v>
      </c>
    </row>
    <row r="236" spans="1:41" x14ac:dyDescent="0.2">
      <c r="A236" s="9" t="s">
        <v>63</v>
      </c>
      <c r="B236">
        <f t="shared" si="63"/>
        <v>268</v>
      </c>
      <c r="C236" t="s">
        <v>76</v>
      </c>
      <c r="D236" t="s">
        <v>14</v>
      </c>
      <c r="E236" t="s">
        <v>3</v>
      </c>
      <c r="J236" s="14">
        <f t="shared" si="56"/>
        <v>298.95558972010969</v>
      </c>
      <c r="K236">
        <f t="shared" si="64"/>
        <v>38.309956001957993</v>
      </c>
      <c r="L236">
        <f t="shared" si="60"/>
        <v>41.374579999999995</v>
      </c>
      <c r="O236">
        <f t="shared" si="61"/>
        <v>79.68453600195798</v>
      </c>
      <c r="P236" s="14">
        <f t="shared" si="59"/>
        <v>3.1390963265623384E-3</v>
      </c>
      <c r="Q236" s="4">
        <f t="shared" si="57"/>
        <v>15.511824655235982</v>
      </c>
      <c r="R236" s="4">
        <f t="shared" si="58"/>
        <v>1.0654362476924653</v>
      </c>
      <c r="W236" s="5"/>
      <c r="AG236" s="32">
        <v>0.29306795314368739</v>
      </c>
      <c r="AH236" s="32">
        <v>0.45961918381171962</v>
      </c>
      <c r="AI236">
        <f t="shared" si="62"/>
        <v>0.247</v>
      </c>
      <c r="AK236" s="32">
        <v>4.7260171874998758E-3</v>
      </c>
      <c r="AL236" s="32">
        <v>1.4294273445355112</v>
      </c>
      <c r="AM236" s="32">
        <v>0.34016948436699124</v>
      </c>
      <c r="AN236" s="36"/>
      <c r="AO236">
        <v>0.247</v>
      </c>
    </row>
    <row r="237" spans="1:41" x14ac:dyDescent="0.2">
      <c r="A237" s="9" t="s">
        <v>64</v>
      </c>
      <c r="B237">
        <f t="shared" si="63"/>
        <v>268</v>
      </c>
      <c r="C237" t="s">
        <v>76</v>
      </c>
      <c r="D237" t="s">
        <v>14</v>
      </c>
      <c r="E237" t="s">
        <v>3</v>
      </c>
      <c r="J237" s="14">
        <f t="shared" si="56"/>
        <v>324.83583208365292</v>
      </c>
      <c r="K237">
        <f t="shared" si="64"/>
        <v>38.655061813566533</v>
      </c>
      <c r="L237">
        <f t="shared" si="60"/>
        <v>40.075754000000003</v>
      </c>
      <c r="O237">
        <f t="shared" si="61"/>
        <v>78.730815813566537</v>
      </c>
      <c r="P237" s="14">
        <f t="shared" si="59"/>
        <v>6.2579653018377207E-4</v>
      </c>
      <c r="Q237" s="4">
        <f t="shared" si="57"/>
        <v>6.2524052945298179</v>
      </c>
      <c r="R237" s="4">
        <f t="shared" si="58"/>
        <v>1.0546807082296568</v>
      </c>
      <c r="W237" s="5"/>
      <c r="AG237" s="32">
        <v>0.31368587955997684</v>
      </c>
      <c r="AH237" s="32">
        <v>0.46255637953586559</v>
      </c>
      <c r="AI237">
        <f t="shared" si="62"/>
        <v>0.24110000000000001</v>
      </c>
      <c r="AK237" s="32">
        <v>2.7912213473316183E-3</v>
      </c>
      <c r="AL237" s="32">
        <v>0.55950820128991152</v>
      </c>
      <c r="AM237" s="32">
        <v>0.33689235473176626</v>
      </c>
      <c r="AN237" s="36"/>
      <c r="AO237">
        <v>0.24110000000000001</v>
      </c>
    </row>
    <row r="238" spans="1:41" x14ac:dyDescent="0.2">
      <c r="A238" s="9" t="s">
        <v>65</v>
      </c>
      <c r="B238">
        <f t="shared" si="63"/>
        <v>268</v>
      </c>
      <c r="C238" t="s">
        <v>76</v>
      </c>
      <c r="D238" t="s">
        <v>14</v>
      </c>
      <c r="E238" t="s">
        <v>3</v>
      </c>
      <c r="J238" s="14">
        <f t="shared" si="56"/>
        <v>317.81876730710894</v>
      </c>
      <c r="K238">
        <f t="shared" si="64"/>
        <v>38.159894306958222</v>
      </c>
      <c r="L238">
        <f t="shared" si="60"/>
        <v>36.465457999999998</v>
      </c>
      <c r="O238">
        <f t="shared" si="61"/>
        <v>74.62535230695822</v>
      </c>
      <c r="P238" s="14">
        <f t="shared" si="59"/>
        <v>3.3828693907908688E-4</v>
      </c>
      <c r="Q238" s="4">
        <f t="shared" si="57"/>
        <v>18.927658342799891</v>
      </c>
      <c r="R238" s="4">
        <f t="shared" si="58"/>
        <v>0.82559555825368491</v>
      </c>
      <c r="W238" s="5"/>
      <c r="AG238" s="32">
        <v>0.30809561795466345</v>
      </c>
      <c r="AH238" s="32">
        <v>0.45834200865533192</v>
      </c>
      <c r="AI238">
        <f t="shared" si="62"/>
        <v>0.22470000000000001</v>
      </c>
      <c r="AK238" s="32">
        <v>2.5698898684211602E-3</v>
      </c>
      <c r="AL238" s="32">
        <v>1.75034369999999</v>
      </c>
      <c r="AM238" s="32">
        <v>0.26709188246608317</v>
      </c>
      <c r="AN238" s="36"/>
      <c r="AO238">
        <v>0.22470000000000001</v>
      </c>
    </row>
    <row r="239" spans="1:41" x14ac:dyDescent="0.2">
      <c r="A239" s="9" t="s">
        <v>66</v>
      </c>
      <c r="B239">
        <f t="shared" si="63"/>
        <v>268</v>
      </c>
      <c r="C239" t="s">
        <v>76</v>
      </c>
      <c r="D239" t="s">
        <v>15</v>
      </c>
      <c r="E239" t="s">
        <v>3</v>
      </c>
      <c r="J239" s="14">
        <f t="shared" si="56"/>
        <v>331.16169192915874</v>
      </c>
      <c r="K239">
        <f t="shared" si="64"/>
        <v>39.874962969143994</v>
      </c>
      <c r="L239">
        <f t="shared" si="60"/>
        <v>40.295893999999997</v>
      </c>
      <c r="O239">
        <f t="shared" si="61"/>
        <v>80.170856969143983</v>
      </c>
      <c r="P239" s="14">
        <f t="shared" si="59"/>
        <v>-1.5980435923212884E-5</v>
      </c>
      <c r="Q239" s="4">
        <f t="shared" si="57"/>
        <v>4.5899347835804978</v>
      </c>
      <c r="R239" s="4">
        <f t="shared" si="58"/>
        <v>0.83534731567125486</v>
      </c>
      <c r="W239" s="5"/>
      <c r="AG239" s="32">
        <v>0.31872548123689648</v>
      </c>
      <c r="AH239" s="32">
        <v>0.47293895884202719</v>
      </c>
      <c r="AI239">
        <f t="shared" si="62"/>
        <v>0.24210000000000001</v>
      </c>
      <c r="AK239" s="32">
        <v>2.2971667159944476E-3</v>
      </c>
      <c r="AL239" s="32">
        <v>0.40331969030256465</v>
      </c>
      <c r="AM239" s="32">
        <v>0.27006316748057735</v>
      </c>
      <c r="AN239" s="36"/>
      <c r="AO239">
        <v>0.24210000000000001</v>
      </c>
    </row>
    <row r="240" spans="1:41" x14ac:dyDescent="0.2">
      <c r="A240" s="9" t="s">
        <v>67</v>
      </c>
      <c r="B240">
        <f t="shared" si="63"/>
        <v>268</v>
      </c>
      <c r="C240" t="s">
        <v>76</v>
      </c>
      <c r="D240" t="s">
        <v>15</v>
      </c>
      <c r="E240" t="s">
        <v>3</v>
      </c>
      <c r="J240" s="14">
        <f t="shared" si="56"/>
        <v>263.13954858056292</v>
      </c>
      <c r="K240">
        <f t="shared" si="64"/>
        <v>32.969138958311667</v>
      </c>
      <c r="L240">
        <f t="shared" si="60"/>
        <v>36.355387999999998</v>
      </c>
      <c r="O240">
        <f t="shared" si="61"/>
        <v>69.324526958311665</v>
      </c>
      <c r="P240" s="14">
        <f t="shared" si="59"/>
        <v>2.6314417605264868E-4</v>
      </c>
      <c r="Q240" s="4">
        <f t="shared" si="57"/>
        <v>16.996213536599967</v>
      </c>
      <c r="R240" s="4">
        <f t="shared" si="58"/>
        <v>1.039068629257305</v>
      </c>
      <c r="W240" s="5"/>
      <c r="AG240" s="32">
        <v>0.26453450703584847</v>
      </c>
      <c r="AH240" s="32">
        <v>0.41416348745318243</v>
      </c>
      <c r="AI240">
        <f t="shared" si="62"/>
        <v>0.22420000000000001</v>
      </c>
      <c r="AK240" s="32">
        <v>2.5120432456140485E-3</v>
      </c>
      <c r="AL240" s="32">
        <v>1.5688851499999967</v>
      </c>
      <c r="AM240" s="32">
        <v>0.3321354750936335</v>
      </c>
      <c r="AN240" s="36"/>
      <c r="AO240">
        <v>0.22420000000000001</v>
      </c>
    </row>
    <row r="241" spans="1:42" x14ac:dyDescent="0.2">
      <c r="A241" s="9" t="s">
        <v>68</v>
      </c>
      <c r="B241">
        <f t="shared" si="63"/>
        <v>268</v>
      </c>
      <c r="C241" t="s">
        <v>76</v>
      </c>
      <c r="D241" t="s">
        <v>15</v>
      </c>
      <c r="E241" t="s">
        <v>3</v>
      </c>
      <c r="J241" s="14">
        <f t="shared" si="56"/>
        <v>307.27613634884591</v>
      </c>
      <c r="K241">
        <f t="shared" si="64"/>
        <v>37.209016012209077</v>
      </c>
      <c r="L241">
        <f t="shared" si="60"/>
        <v>46.019534</v>
      </c>
      <c r="O241">
        <f t="shared" si="61"/>
        <v>83.22855001220907</v>
      </c>
      <c r="P241" s="14">
        <f t="shared" si="59"/>
        <v>-2.5337513036656229E-4</v>
      </c>
      <c r="Q241" s="4">
        <f t="shared" si="57"/>
        <v>18.376095132800039</v>
      </c>
      <c r="R241" s="4">
        <f t="shared" si="58"/>
        <v>0.76162034378920418</v>
      </c>
      <c r="W241" s="5"/>
      <c r="AG241" s="32">
        <v>0.29969665529124723</v>
      </c>
      <c r="AH241" s="32">
        <v>0.450249083043611</v>
      </c>
      <c r="AI241">
        <f t="shared" si="62"/>
        <v>0.2681</v>
      </c>
      <c r="AK241" s="32">
        <v>2.1144148342058799E-3</v>
      </c>
      <c r="AL241" s="32">
        <v>1.698524533333337</v>
      </c>
      <c r="AM241" s="32">
        <v>0.24759912973467524</v>
      </c>
      <c r="AN241" s="36"/>
      <c r="AO241">
        <v>0.2681</v>
      </c>
    </row>
    <row r="242" spans="1:42" x14ac:dyDescent="0.2">
      <c r="A242" s="9" t="s">
        <v>82</v>
      </c>
      <c r="B242">
        <f>B212+24</f>
        <v>292</v>
      </c>
      <c r="C242" t="s">
        <v>19</v>
      </c>
      <c r="D242" t="s">
        <v>14</v>
      </c>
      <c r="E242" t="s">
        <v>75</v>
      </c>
      <c r="J242" s="14">
        <f t="shared" si="56"/>
        <v>272.01413777456474</v>
      </c>
      <c r="K242">
        <f t="shared" si="64"/>
        <v>3.283669295108107</v>
      </c>
      <c r="L242" s="5"/>
      <c r="M242" s="5"/>
      <c r="P242" s="14">
        <f t="shared" si="59"/>
        <v>1.32092719488605E-4</v>
      </c>
      <c r="Q242" s="4">
        <f t="shared" si="57"/>
        <v>7.2672480586000425</v>
      </c>
      <c r="R242" s="4">
        <f t="shared" si="58"/>
        <v>3.6711017471287226</v>
      </c>
      <c r="S242">
        <f>J212-J242</f>
        <v>-14.10152296986189</v>
      </c>
      <c r="U242">
        <f>S242/(B242-B212)*24</f>
        <v>-14.10152296986189</v>
      </c>
      <c r="V242" s="5"/>
      <c r="W242" s="5"/>
      <c r="AG242" s="32">
        <v>0.27160459642706991</v>
      </c>
      <c r="AH242" s="32">
        <v>0.16151044125373937</v>
      </c>
      <c r="AI242">
        <f t="shared" si="62"/>
        <v>0.16900000000000001</v>
      </c>
      <c r="AK242" s="32">
        <v>2.4111568279358009E-3</v>
      </c>
      <c r="AL242" s="32">
        <v>0.65485231666667065</v>
      </c>
      <c r="AM242" s="32">
        <v>1.1340955963219752</v>
      </c>
      <c r="AN242" s="36"/>
      <c r="AP242">
        <v>0.16900000000000001</v>
      </c>
    </row>
    <row r="243" spans="1:42" x14ac:dyDescent="0.2">
      <c r="A243" s="9" t="s">
        <v>48</v>
      </c>
      <c r="B243">
        <f t="shared" ref="B243:B271" si="65">B213+24</f>
        <v>292</v>
      </c>
      <c r="C243" t="s">
        <v>19</v>
      </c>
      <c r="D243" t="s">
        <v>14</v>
      </c>
      <c r="E243" t="s">
        <v>75</v>
      </c>
      <c r="J243" s="14">
        <f t="shared" si="56"/>
        <v>227.80549611476386</v>
      </c>
      <c r="K243">
        <f t="shared" si="64"/>
        <v>19.135787843602124</v>
      </c>
      <c r="L243" s="5"/>
      <c r="M243" s="5"/>
      <c r="P243" s="14">
        <f t="shared" si="59"/>
        <v>-8.3789742358496766E-4</v>
      </c>
      <c r="Q243" s="4">
        <f t="shared" si="57"/>
        <v>11.255596547600032</v>
      </c>
      <c r="R243" s="4">
        <f t="shared" si="58"/>
        <v>6.2922102230720141</v>
      </c>
      <c r="S243">
        <f t="shared" ref="S243:S271" si="66">J213-J243</f>
        <v>27.937795413210438</v>
      </c>
      <c r="U243">
        <f t="shared" ref="U243:U271" si="67">S243/(B243-B213)*24</f>
        <v>27.937795413210438</v>
      </c>
      <c r="V243" s="5"/>
      <c r="W243" s="5"/>
      <c r="AG243" s="32">
        <v>0.23638504523809523</v>
      </c>
      <c r="AH243" s="32">
        <v>0.2964278296404283</v>
      </c>
      <c r="AI243">
        <f t="shared" si="62"/>
        <v>0.13469999999999999</v>
      </c>
      <c r="AK243" s="32">
        <v>1.6644361635219651E-3</v>
      </c>
      <c r="AL243" s="32">
        <v>1.0295562333333361</v>
      </c>
      <c r="AM243" s="32">
        <v>1.9327270637026248</v>
      </c>
      <c r="AN243" s="36"/>
      <c r="AP243">
        <v>0.13469999999999999</v>
      </c>
    </row>
    <row r="244" spans="1:42" x14ac:dyDescent="0.2">
      <c r="A244" s="9" t="s">
        <v>49</v>
      </c>
      <c r="B244">
        <f t="shared" si="65"/>
        <v>292</v>
      </c>
      <c r="C244" t="s">
        <v>19</v>
      </c>
      <c r="D244" t="s">
        <v>14</v>
      </c>
      <c r="E244" t="s">
        <v>75</v>
      </c>
      <c r="J244" s="14">
        <f t="shared" si="56"/>
        <v>215.41169036733521</v>
      </c>
      <c r="K244">
        <f t="shared" si="64"/>
        <v>22.239943810946404</v>
      </c>
      <c r="L244" s="5"/>
      <c r="M244" s="5"/>
      <c r="P244" s="14">
        <f t="shared" si="59"/>
        <v>-1.0657008234276966E-3</v>
      </c>
      <c r="Q244" s="4">
        <f t="shared" si="57"/>
        <v>10.510579701999987</v>
      </c>
      <c r="R244" s="4">
        <f t="shared" si="58"/>
        <v>5.8433782942326857</v>
      </c>
      <c r="S244">
        <f t="shared" si="66"/>
        <v>19.731203895899426</v>
      </c>
      <c r="U244">
        <f t="shared" si="67"/>
        <v>19.731203895899426</v>
      </c>
      <c r="V244" s="5"/>
      <c r="W244" s="5"/>
      <c r="AG244" s="32">
        <v>0.22651131332597707</v>
      </c>
      <c r="AH244" s="32">
        <v>0.32284730253156646</v>
      </c>
      <c r="AI244">
        <f t="shared" si="62"/>
        <v>0.14530000000000001</v>
      </c>
      <c r="AK244" s="32">
        <v>1.4890678803481938E-3</v>
      </c>
      <c r="AL244" s="32">
        <v>0.95956216666666538</v>
      </c>
      <c r="AM244" s="32">
        <v>1.7959714485779057</v>
      </c>
      <c r="AN244" s="36"/>
      <c r="AP244">
        <v>0.14530000000000001</v>
      </c>
    </row>
    <row r="245" spans="1:42" x14ac:dyDescent="0.2">
      <c r="A245" s="9" t="s">
        <v>50</v>
      </c>
      <c r="B245">
        <f t="shared" si="65"/>
        <v>292</v>
      </c>
      <c r="C245" t="s">
        <v>20</v>
      </c>
      <c r="D245" t="s">
        <v>14</v>
      </c>
      <c r="E245" t="s">
        <v>75</v>
      </c>
      <c r="J245" s="14">
        <f t="shared" si="56"/>
        <v>235.18920343945754</v>
      </c>
      <c r="K245">
        <f t="shared" si="64"/>
        <v>-3.0513559690611047</v>
      </c>
      <c r="L245" s="5"/>
      <c r="M245" s="5"/>
      <c r="P245" s="14">
        <f t="shared" si="59"/>
        <v>2.6595921049866675E-4</v>
      </c>
      <c r="Q245" s="4">
        <f t="shared" si="57"/>
        <v>7.9313149779999632</v>
      </c>
      <c r="R245" s="4">
        <f t="shared" si="58"/>
        <v>6.291836662280768</v>
      </c>
      <c r="S245">
        <f t="shared" si="66"/>
        <v>-7.8576276989039684</v>
      </c>
      <c r="U245">
        <f t="shared" si="67"/>
        <v>-7.8576276989039684</v>
      </c>
      <c r="V245" s="5"/>
      <c r="W245" s="5"/>
      <c r="AG245" s="32">
        <v>0.24226739874010117</v>
      </c>
      <c r="AH245" s="32">
        <v>0.10759303826493805</v>
      </c>
      <c r="AI245">
        <f t="shared" si="62"/>
        <v>0.13739999999999999</v>
      </c>
      <c r="AK245" s="32">
        <v>2.5142103237095204E-3</v>
      </c>
      <c r="AL245" s="32">
        <v>0.71724116666666315</v>
      </c>
      <c r="AM245" s="32">
        <v>1.9326132426205875</v>
      </c>
      <c r="AN245" s="36"/>
      <c r="AP245">
        <v>0.13739999999999999</v>
      </c>
    </row>
    <row r="246" spans="1:42" x14ac:dyDescent="0.2">
      <c r="A246" s="9" t="s">
        <v>51</v>
      </c>
      <c r="B246">
        <f t="shared" si="65"/>
        <v>292</v>
      </c>
      <c r="C246" t="s">
        <v>20</v>
      </c>
      <c r="D246" t="s">
        <v>14</v>
      </c>
      <c r="E246" t="s">
        <v>75</v>
      </c>
      <c r="J246" s="14">
        <f t="shared" si="56"/>
        <v>238.84262609930497</v>
      </c>
      <c r="K246">
        <f t="shared" si="64"/>
        <v>-3.9434999999999985</v>
      </c>
      <c r="L246" s="5"/>
      <c r="M246" s="5"/>
      <c r="P246" s="14">
        <f t="shared" si="59"/>
        <v>1.1786314339094677E-3</v>
      </c>
      <c r="Q246" s="4">
        <f t="shared" si="57"/>
        <v>9.1005761180000579</v>
      </c>
      <c r="R246" s="4">
        <f t="shared" si="58"/>
        <v>4.376655855984577</v>
      </c>
      <c r="S246">
        <f t="shared" si="66"/>
        <v>7.1993298477822805</v>
      </c>
      <c r="U246">
        <f t="shared" si="67"/>
        <v>7.1993298477822805</v>
      </c>
      <c r="V246" s="5"/>
      <c r="W246" s="5"/>
      <c r="AG246" s="32">
        <v>0.2451779587924463</v>
      </c>
      <c r="AH246" s="32">
        <v>0.1</v>
      </c>
      <c r="AI246">
        <f t="shared" si="62"/>
        <v>0.13600000000000001</v>
      </c>
      <c r="AK246" s="32">
        <v>3.2168063386524004E-3</v>
      </c>
      <c r="AL246" s="32">
        <v>0.82709283333333872</v>
      </c>
      <c r="AM246" s="32">
        <v>1.3490724728776895</v>
      </c>
      <c r="AN246" s="36"/>
      <c r="AP246">
        <v>0.13600000000000001</v>
      </c>
    </row>
    <row r="247" spans="1:42" x14ac:dyDescent="0.2">
      <c r="A247" s="9" t="s">
        <v>52</v>
      </c>
      <c r="B247">
        <f t="shared" si="65"/>
        <v>292</v>
      </c>
      <c r="C247" t="s">
        <v>20</v>
      </c>
      <c r="D247" t="s">
        <v>14</v>
      </c>
      <c r="E247" t="s">
        <v>75</v>
      </c>
      <c r="J247" s="14">
        <f t="shared" si="56"/>
        <v>248.90427308575531</v>
      </c>
      <c r="K247">
        <f t="shared" si="64"/>
        <v>-3.9434999999999985</v>
      </c>
      <c r="L247" s="5"/>
      <c r="M247" s="5"/>
      <c r="P247" s="14">
        <f t="shared" si="59"/>
        <v>1.6584165578535667E-3</v>
      </c>
      <c r="Q247" s="4">
        <f t="shared" si="57"/>
        <v>9.6195346272000286</v>
      </c>
      <c r="R247" s="4">
        <f t="shared" si="58"/>
        <v>3.8693910893672951</v>
      </c>
      <c r="S247">
        <f t="shared" si="66"/>
        <v>0.15527518274788576</v>
      </c>
      <c r="U247">
        <f t="shared" si="67"/>
        <v>0.15527518274788576</v>
      </c>
      <c r="V247" s="5"/>
      <c r="W247" s="5"/>
      <c r="AG247" s="32">
        <v>0.25319373755831842</v>
      </c>
      <c r="AH247" s="32">
        <v>0.1</v>
      </c>
      <c r="AI247">
        <f t="shared" si="62"/>
        <v>0.14149999999999999</v>
      </c>
      <c r="AK247" s="32">
        <v>3.5861559336825E-3</v>
      </c>
      <c r="AL247" s="32">
        <v>0.87584880000000265</v>
      </c>
      <c r="AM247" s="32">
        <v>1.1945128243044776</v>
      </c>
      <c r="AN247" s="36"/>
      <c r="AP247">
        <v>0.14149999999999999</v>
      </c>
    </row>
    <row r="248" spans="1:42" x14ac:dyDescent="0.2">
      <c r="A248" s="9" t="s">
        <v>53</v>
      </c>
      <c r="B248">
        <f t="shared" si="65"/>
        <v>292</v>
      </c>
      <c r="C248" t="s">
        <v>74</v>
      </c>
      <c r="D248" t="s">
        <v>14</v>
      </c>
      <c r="E248" t="s">
        <v>75</v>
      </c>
      <c r="J248" s="14">
        <f t="shared" si="56"/>
        <v>268.65068073640003</v>
      </c>
      <c r="K248">
        <f t="shared" si="64"/>
        <v>-3.9434999999999985</v>
      </c>
      <c r="L248" s="5"/>
      <c r="M248" s="5"/>
      <c r="P248" s="14">
        <f t="shared" si="59"/>
        <v>3.1622475133869722E-3</v>
      </c>
      <c r="Q248" s="4">
        <f t="shared" si="57"/>
        <v>14.661904861400046</v>
      </c>
      <c r="R248" s="4">
        <f t="shared" si="58"/>
        <v>0.89152530454944023</v>
      </c>
      <c r="S248">
        <f t="shared" si="66"/>
        <v>2.0611458207962983</v>
      </c>
      <c r="U248">
        <f t="shared" si="67"/>
        <v>2.0611458207962983</v>
      </c>
      <c r="V248" s="5"/>
      <c r="W248" s="5"/>
      <c r="AG248" s="32">
        <v>0.2689250423199987</v>
      </c>
      <c r="AH248" s="32">
        <v>0.1</v>
      </c>
      <c r="AI248">
        <f t="shared" si="62"/>
        <v>0.10100000000000001</v>
      </c>
      <c r="AK248" s="32">
        <v>4.7438395022224578E-3</v>
      </c>
      <c r="AL248" s="32">
        <v>1.3495776833333375</v>
      </c>
      <c r="AM248" s="32">
        <v>0.28718016592000006</v>
      </c>
      <c r="AN248" s="36"/>
      <c r="AP248">
        <v>0.10100000000000001</v>
      </c>
    </row>
    <row r="249" spans="1:42" x14ac:dyDescent="0.2">
      <c r="A249" s="9" t="s">
        <v>54</v>
      </c>
      <c r="B249">
        <f t="shared" si="65"/>
        <v>292</v>
      </c>
      <c r="C249" t="s">
        <v>74</v>
      </c>
      <c r="D249" t="s">
        <v>14</v>
      </c>
      <c r="E249" t="s">
        <v>75</v>
      </c>
      <c r="J249" s="14">
        <f t="shared" si="56"/>
        <v>200.35633461532916</v>
      </c>
      <c r="K249">
        <f t="shared" si="64"/>
        <v>-3.9434999999999985</v>
      </c>
      <c r="L249" s="5"/>
      <c r="M249" s="5"/>
      <c r="P249" s="14">
        <f t="shared" si="59"/>
        <v>3.2823272935607615E-3</v>
      </c>
      <c r="Q249" s="4">
        <f t="shared" si="57"/>
        <v>7.1048447450000287</v>
      </c>
      <c r="R249" s="4">
        <f t="shared" si="58"/>
        <v>7.0754174384794561</v>
      </c>
      <c r="S249">
        <f t="shared" si="66"/>
        <v>13.97194966586602</v>
      </c>
      <c r="U249">
        <f t="shared" si="67"/>
        <v>13.97194966586602</v>
      </c>
      <c r="V249" s="5"/>
      <c r="W249" s="5"/>
      <c r="AG249" s="32">
        <v>0.21451721324354556</v>
      </c>
      <c r="AH249" s="32">
        <v>0.1</v>
      </c>
      <c r="AI249">
        <f t="shared" si="62"/>
        <v>0.125</v>
      </c>
      <c r="AK249" s="32">
        <v>4.8362796717172918E-3</v>
      </c>
      <c r="AL249" s="32">
        <v>0.63959458333333608</v>
      </c>
      <c r="AM249" s="32">
        <v>2.1713642408529727</v>
      </c>
      <c r="AN249" s="36"/>
      <c r="AP249">
        <v>0.125</v>
      </c>
    </row>
    <row r="250" spans="1:42" x14ac:dyDescent="0.2">
      <c r="A250" s="9" t="s">
        <v>55</v>
      </c>
      <c r="B250">
        <f t="shared" si="65"/>
        <v>292</v>
      </c>
      <c r="C250" t="s">
        <v>74</v>
      </c>
      <c r="D250" t="s">
        <v>14</v>
      </c>
      <c r="E250" t="s">
        <v>75</v>
      </c>
      <c r="J250" s="14">
        <f t="shared" si="56"/>
        <v>203.31707261226248</v>
      </c>
      <c r="K250">
        <f t="shared" si="64"/>
        <v>-3.9434999999999985</v>
      </c>
      <c r="L250" s="5"/>
      <c r="M250" s="5"/>
      <c r="P250" s="14">
        <f t="shared" si="59"/>
        <v>1.2023096673684727E-3</v>
      </c>
      <c r="Q250" s="4">
        <f t="shared" si="57"/>
        <v>6.9747184743999826</v>
      </c>
      <c r="R250" s="4">
        <f t="shared" si="58"/>
        <v>6.0386288617913282</v>
      </c>
      <c r="S250">
        <f t="shared" si="66"/>
        <v>49.830146339232158</v>
      </c>
      <c r="U250">
        <f t="shared" si="67"/>
        <v>49.830146339232158</v>
      </c>
      <c r="V250" s="5"/>
      <c r="W250" s="5"/>
      <c r="AG250" s="32">
        <v>0.21687593451443576</v>
      </c>
      <c r="AH250" s="32">
        <v>0.1</v>
      </c>
      <c r="AI250">
        <f t="shared" si="62"/>
        <v>0.12959999999999999</v>
      </c>
      <c r="AK250" s="32">
        <v>3.2350343859649522E-3</v>
      </c>
      <c r="AL250" s="32">
        <v>0.62736926666666504</v>
      </c>
      <c r="AM250" s="32">
        <v>1.8554627854330676</v>
      </c>
      <c r="AN250" s="36"/>
      <c r="AP250">
        <v>0.12959999999999999</v>
      </c>
    </row>
    <row r="251" spans="1:42" x14ac:dyDescent="0.2">
      <c r="A251" s="9" t="s">
        <v>56</v>
      </c>
      <c r="B251">
        <f t="shared" si="65"/>
        <v>292</v>
      </c>
      <c r="C251" t="s">
        <v>19</v>
      </c>
      <c r="D251" t="s">
        <v>15</v>
      </c>
      <c r="E251" t="s">
        <v>75</v>
      </c>
      <c r="J251" s="14">
        <f t="shared" si="56"/>
        <v>210.92286663842017</v>
      </c>
      <c r="K251">
        <f t="shared" si="64"/>
        <v>-5.3127451605664042</v>
      </c>
      <c r="L251" s="5"/>
      <c r="M251" s="5"/>
      <c r="P251" s="14">
        <f t="shared" si="59"/>
        <v>3.8696833398959581E-4</v>
      </c>
      <c r="Q251" s="4">
        <f t="shared" si="57"/>
        <v>8.0236477752000077</v>
      </c>
      <c r="R251" s="4">
        <f t="shared" si="58"/>
        <v>5.9989359660515751</v>
      </c>
      <c r="S251">
        <f t="shared" si="66"/>
        <v>23.129021705721414</v>
      </c>
      <c r="U251">
        <f t="shared" si="67"/>
        <v>23.129021705721414</v>
      </c>
      <c r="V251" s="5"/>
      <c r="W251" s="5"/>
      <c r="AG251" s="32">
        <v>0.22293521708860808</v>
      </c>
      <c r="AH251" s="32">
        <v>8.8346353797468802E-2</v>
      </c>
      <c r="AI251">
        <f t="shared" si="62"/>
        <v>0.1263</v>
      </c>
      <c r="AK251" s="32">
        <v>2.6073659230096968E-3</v>
      </c>
      <c r="AL251" s="32">
        <v>0.72591580000000056</v>
      </c>
      <c r="AM251" s="32">
        <v>1.8433686672917657</v>
      </c>
      <c r="AN251" s="36"/>
      <c r="AP251">
        <v>0.1263</v>
      </c>
    </row>
    <row r="252" spans="1:42" x14ac:dyDescent="0.2">
      <c r="A252" s="9" t="s">
        <v>48</v>
      </c>
      <c r="B252">
        <f t="shared" si="65"/>
        <v>292</v>
      </c>
      <c r="C252" t="s">
        <v>19</v>
      </c>
      <c r="D252" t="s">
        <v>15</v>
      </c>
      <c r="E252" t="s">
        <v>75</v>
      </c>
      <c r="J252" s="14">
        <f t="shared" si="56"/>
        <v>230.17005310453814</v>
      </c>
      <c r="K252">
        <f t="shared" si="64"/>
        <v>-5.5676725943749235</v>
      </c>
      <c r="L252" s="5"/>
      <c r="M252" s="5"/>
      <c r="P252" s="14">
        <f t="shared" si="59"/>
        <v>3.5792157835289997E-3</v>
      </c>
      <c r="Q252" s="4">
        <f t="shared" si="57"/>
        <v>9.6648411680000983</v>
      </c>
      <c r="R252" s="4">
        <f t="shared" si="58"/>
        <v>4.440674420702023</v>
      </c>
      <c r="S252">
        <f t="shared" si="66"/>
        <v>13.70820764832726</v>
      </c>
      <c r="U252">
        <f t="shared" si="67"/>
        <v>13.70820764832726</v>
      </c>
      <c r="V252" s="5"/>
      <c r="W252" s="5"/>
      <c r="AG252" s="32">
        <v>0.23826880897328206</v>
      </c>
      <c r="AH252" s="32">
        <v>8.6176666288991677E-2</v>
      </c>
      <c r="AI252">
        <f t="shared" si="62"/>
        <v>0.13300000000000001</v>
      </c>
      <c r="AK252" s="32">
        <v>5.0648312421316399E-3</v>
      </c>
      <c r="AL252" s="32">
        <v>0.88010533333334262</v>
      </c>
      <c r="AM252" s="32">
        <v>1.3685784340956806</v>
      </c>
      <c r="AN252" s="36"/>
      <c r="AP252">
        <v>0.13300000000000001</v>
      </c>
    </row>
    <row r="253" spans="1:42" x14ac:dyDescent="0.2">
      <c r="A253" s="9" t="s">
        <v>49</v>
      </c>
      <c r="B253">
        <f t="shared" si="65"/>
        <v>292</v>
      </c>
      <c r="C253" t="s">
        <v>19</v>
      </c>
      <c r="D253" t="s">
        <v>15</v>
      </c>
      <c r="E253" t="s">
        <v>75</v>
      </c>
      <c r="J253" s="14">
        <f t="shared" si="56"/>
        <v>220.97401692107078</v>
      </c>
      <c r="K253">
        <f t="shared" si="64"/>
        <v>-3.9434999999999985</v>
      </c>
      <c r="L253" s="5"/>
      <c r="M253" s="5"/>
      <c r="P253" s="14">
        <f t="shared" si="59"/>
        <v>1.7657645649448629E-4</v>
      </c>
      <c r="Q253" s="4">
        <f t="shared" si="57"/>
        <v>8.5763037691999813</v>
      </c>
      <c r="R253" s="4">
        <f t="shared" si="58"/>
        <v>6.3764433384031216</v>
      </c>
      <c r="S253">
        <f t="shared" si="66"/>
        <v>32.815764234953917</v>
      </c>
      <c r="U253">
        <f t="shared" si="67"/>
        <v>32.815764234953917</v>
      </c>
      <c r="V253" s="5"/>
      <c r="W253" s="5"/>
      <c r="AG253" s="32">
        <v>0.23094263348045307</v>
      </c>
      <c r="AH253" s="32">
        <v>0.1</v>
      </c>
      <c r="AI253">
        <f t="shared" si="62"/>
        <v>0.1368</v>
      </c>
      <c r="AK253" s="32">
        <v>2.4454014291720449E-3</v>
      </c>
      <c r="AL253" s="32">
        <v>0.77783763333333145</v>
      </c>
      <c r="AM253" s="32">
        <v>1.9583922420484834</v>
      </c>
      <c r="AN253" s="36"/>
      <c r="AP253">
        <v>0.1368</v>
      </c>
    </row>
    <row r="254" spans="1:42" x14ac:dyDescent="0.2">
      <c r="A254" s="9" t="s">
        <v>50</v>
      </c>
      <c r="B254">
        <f t="shared" si="65"/>
        <v>292</v>
      </c>
      <c r="C254" t="s">
        <v>20</v>
      </c>
      <c r="D254" t="s">
        <v>15</v>
      </c>
      <c r="E254" t="s">
        <v>75</v>
      </c>
      <c r="J254" s="14">
        <f t="shared" si="56"/>
        <v>255.36136652966729</v>
      </c>
      <c r="K254">
        <f t="shared" si="64"/>
        <v>-4.516079354571688</v>
      </c>
      <c r="L254" s="5"/>
      <c r="M254" s="5"/>
      <c r="P254" s="14">
        <f t="shared" si="59"/>
        <v>3.0640369627580981E-3</v>
      </c>
      <c r="Q254" s="4">
        <f t="shared" si="57"/>
        <v>9.0608998984000646</v>
      </c>
      <c r="R254" s="4">
        <f t="shared" si="58"/>
        <v>5.5567214998921459</v>
      </c>
      <c r="S254">
        <f t="shared" si="66"/>
        <v>-8.6771359044155645</v>
      </c>
      <c r="U254">
        <f t="shared" si="67"/>
        <v>-8.6771359044155645</v>
      </c>
      <c r="V254" s="5"/>
      <c r="W254" s="5"/>
      <c r="AG254" s="32">
        <v>0.25833788866863494</v>
      </c>
      <c r="AH254" s="32">
        <v>9.512677684521309E-2</v>
      </c>
      <c r="AI254">
        <f t="shared" si="62"/>
        <v>0.15310000000000001</v>
      </c>
      <c r="AK254" s="32">
        <v>4.6682347673272506E-3</v>
      </c>
      <c r="AL254" s="32">
        <v>0.82336526666667265</v>
      </c>
      <c r="AM254" s="32">
        <v>1.7086293418318546</v>
      </c>
      <c r="AN254" s="36"/>
      <c r="AP254">
        <v>0.15310000000000001</v>
      </c>
    </row>
    <row r="255" spans="1:42" x14ac:dyDescent="0.2">
      <c r="A255" s="9" t="s">
        <v>51</v>
      </c>
      <c r="B255">
        <f t="shared" si="65"/>
        <v>292</v>
      </c>
      <c r="C255" t="s">
        <v>20</v>
      </c>
      <c r="D255" t="s">
        <v>15</v>
      </c>
      <c r="E255" t="s">
        <v>75</v>
      </c>
      <c r="J255" s="14">
        <f t="shared" si="56"/>
        <v>233.02546648322385</v>
      </c>
      <c r="K255">
        <f t="shared" si="64"/>
        <v>-3.9434999999999985</v>
      </c>
      <c r="L255" s="5"/>
      <c r="M255" s="5"/>
      <c r="P255" s="14">
        <f t="shared" si="59"/>
        <v>8.8719883186531422E-4</v>
      </c>
      <c r="Q255" s="4">
        <f t="shared" si="57"/>
        <v>9.281336961000072</v>
      </c>
      <c r="R255" s="4">
        <f t="shared" si="58"/>
        <v>3.7314325787697946</v>
      </c>
      <c r="S255">
        <f t="shared" si="66"/>
        <v>52.498938669827282</v>
      </c>
      <c r="U255">
        <f t="shared" si="67"/>
        <v>52.498938669827282</v>
      </c>
      <c r="V255" s="5"/>
      <c r="W255" s="5"/>
      <c r="AG255" s="32">
        <v>0.24054362163163501</v>
      </c>
      <c r="AH255" s="32">
        <v>0.1</v>
      </c>
      <c r="AI255">
        <f t="shared" si="62"/>
        <v>0.1419</v>
      </c>
      <c r="AK255" s="32">
        <v>2.9924548359240299E-3</v>
      </c>
      <c r="AL255" s="32">
        <v>0.8440752500000066</v>
      </c>
      <c r="AM255" s="32">
        <v>1.1524779338116375</v>
      </c>
      <c r="AN255" s="36"/>
      <c r="AP255">
        <v>0.1419</v>
      </c>
    </row>
    <row r="256" spans="1:42" x14ac:dyDescent="0.2">
      <c r="A256" s="9" t="s">
        <v>52</v>
      </c>
      <c r="B256">
        <f t="shared" si="65"/>
        <v>292</v>
      </c>
      <c r="C256" t="s">
        <v>20</v>
      </c>
      <c r="D256" t="s">
        <v>15</v>
      </c>
      <c r="E256" t="s">
        <v>75</v>
      </c>
      <c r="J256" s="14">
        <f t="shared" si="56"/>
        <v>258.25059069068141</v>
      </c>
      <c r="K256">
        <f t="shared" si="64"/>
        <v>-7.0401312733946089</v>
      </c>
      <c r="L256" s="5"/>
      <c r="M256" s="5"/>
      <c r="P256" s="14">
        <f t="shared" si="59"/>
        <v>2.7798868136783565E-3</v>
      </c>
      <c r="Q256" s="4">
        <f t="shared" si="57"/>
        <v>10.942810899199944</v>
      </c>
      <c r="R256" s="4">
        <f t="shared" si="58"/>
        <v>3.0209672627299575</v>
      </c>
      <c r="S256">
        <f t="shared" si="66"/>
        <v>22.177858238680813</v>
      </c>
      <c r="U256">
        <f t="shared" si="67"/>
        <v>22.177858238680813</v>
      </c>
      <c r="V256" s="5"/>
      <c r="W256" s="5"/>
      <c r="AG256" s="32">
        <v>0.26063963725024286</v>
      </c>
      <c r="AH256" s="32">
        <v>7.3644569782589819E-2</v>
      </c>
      <c r="AI256">
        <f t="shared" si="62"/>
        <v>0.12470000000000001</v>
      </c>
      <c r="AK256" s="32">
        <v>4.4494894639556248E-3</v>
      </c>
      <c r="AL256" s="32">
        <v>1.0001701333333282</v>
      </c>
      <c r="AM256" s="32">
        <v>0.93600465043569692</v>
      </c>
      <c r="AN256" s="36"/>
      <c r="AP256">
        <v>0.12470000000000001</v>
      </c>
    </row>
    <row r="257" spans="1:42" x14ac:dyDescent="0.2">
      <c r="A257" s="9" t="s">
        <v>53</v>
      </c>
      <c r="B257">
        <f t="shared" si="65"/>
        <v>292</v>
      </c>
      <c r="C257" t="s">
        <v>74</v>
      </c>
      <c r="D257" t="s">
        <v>15</v>
      </c>
      <c r="E257" t="s">
        <v>75</v>
      </c>
      <c r="J257" s="14">
        <f t="shared" ref="J257:J301" si="68">30*(AG257-0.0549)/0.0239</f>
        <v>197.82278229744006</v>
      </c>
      <c r="K257">
        <f t="shared" si="64"/>
        <v>-5.1345336036225317</v>
      </c>
      <c r="L257" s="5"/>
      <c r="M257" s="5"/>
      <c r="P257" s="14">
        <f t="shared" si="59"/>
        <v>3.3912740954749091E-5</v>
      </c>
      <c r="Q257" s="4">
        <f t="shared" si="57"/>
        <v>8.9024934067999908</v>
      </c>
      <c r="R257" s="4">
        <f t="shared" si="58"/>
        <v>5.5997181674021554</v>
      </c>
      <c r="S257">
        <f t="shared" si="66"/>
        <v>75.833924075007161</v>
      </c>
      <c r="U257">
        <f t="shared" si="67"/>
        <v>75.833924075007161</v>
      </c>
      <c r="V257" s="5"/>
      <c r="W257" s="5"/>
      <c r="AG257" s="32">
        <v>0.21249881656362724</v>
      </c>
      <c r="AH257" s="32">
        <v>8.9863112442039816E-2</v>
      </c>
      <c r="AI257">
        <f t="shared" si="62"/>
        <v>0.1137</v>
      </c>
      <c r="AK257" s="32">
        <v>2.3355756281406848E-3</v>
      </c>
      <c r="AL257" s="32">
        <v>0.80848303333333238</v>
      </c>
      <c r="AM257" s="32">
        <v>1.7217300936630577</v>
      </c>
      <c r="AN257" s="36"/>
      <c r="AP257">
        <v>0.1137</v>
      </c>
    </row>
    <row r="258" spans="1:42" x14ac:dyDescent="0.2">
      <c r="A258" s="9" t="s">
        <v>54</v>
      </c>
      <c r="B258">
        <f t="shared" si="65"/>
        <v>292</v>
      </c>
      <c r="C258" t="s">
        <v>74</v>
      </c>
      <c r="D258" t="s">
        <v>15</v>
      </c>
      <c r="E258" t="s">
        <v>75</v>
      </c>
      <c r="J258" s="14">
        <f t="shared" si="68"/>
        <v>184.63505736054202</v>
      </c>
      <c r="K258">
        <f t="shared" si="64"/>
        <v>-3.9434999999999985</v>
      </c>
      <c r="L258" s="5"/>
      <c r="M258" s="5"/>
      <c r="P258" s="14">
        <f t="shared" si="59"/>
        <v>2.9023659700903666E-3</v>
      </c>
      <c r="Q258" s="4">
        <f t="shared" ref="Q258:Q301" si="69">(0.3548*AL258 + 0.0099)*30</f>
        <v>7.3090968960000122</v>
      </c>
      <c r="R258" s="4">
        <f t="shared" ref="R258:R301" si="70">(0.1094*AM258 - 0.0017)*30</f>
        <v>5.140656249299723</v>
      </c>
      <c r="S258">
        <f t="shared" si="66"/>
        <v>59.016239463099708</v>
      </c>
      <c r="U258">
        <f t="shared" si="67"/>
        <v>59.016239463099708</v>
      </c>
      <c r="V258" s="5"/>
      <c r="W258" s="5"/>
      <c r="AG258" s="32">
        <v>0.20199259569723182</v>
      </c>
      <c r="AH258" s="32">
        <v>0.1</v>
      </c>
      <c r="AI258">
        <f t="shared" si="62"/>
        <v>0.12790000000000001</v>
      </c>
      <c r="AK258" s="32">
        <v>4.5437767283220687E-3</v>
      </c>
      <c r="AL258" s="32">
        <v>0.65878400000000115</v>
      </c>
      <c r="AM258" s="32">
        <v>1.5818574799816341</v>
      </c>
      <c r="AN258" s="36"/>
      <c r="AP258">
        <v>0.12790000000000001</v>
      </c>
    </row>
    <row r="259" spans="1:42" x14ac:dyDescent="0.2">
      <c r="A259" s="9" t="s">
        <v>55</v>
      </c>
      <c r="B259">
        <f t="shared" si="65"/>
        <v>292</v>
      </c>
      <c r="C259" t="s">
        <v>74</v>
      </c>
      <c r="D259" t="s">
        <v>15</v>
      </c>
      <c r="E259" t="s">
        <v>75</v>
      </c>
      <c r="J259" s="14">
        <f t="shared" si="68"/>
        <v>201.75899738999439</v>
      </c>
      <c r="K259">
        <f t="shared" si="64"/>
        <v>-3.9434999999999985</v>
      </c>
      <c r="L259" s="5"/>
      <c r="M259" s="5"/>
      <c r="P259" s="14">
        <f t="shared" ref="P259:P301" si="71">(AK259*0.0433 - 0.0001)*30</f>
        <v>9.3680130903730043E-4</v>
      </c>
      <c r="Q259" s="4">
        <f t="shared" si="69"/>
        <v>9.3692078512919501</v>
      </c>
      <c r="R259" s="4">
        <f t="shared" si="70"/>
        <v>4.2734897972523376</v>
      </c>
      <c r="S259">
        <f t="shared" si="66"/>
        <v>53.774649281798588</v>
      </c>
      <c r="U259">
        <f t="shared" si="67"/>
        <v>53.774649281798588</v>
      </c>
      <c r="V259" s="5"/>
      <c r="W259" s="5"/>
      <c r="AG259" s="32">
        <v>0.21563466792069552</v>
      </c>
      <c r="AH259" s="32">
        <v>0.1</v>
      </c>
      <c r="AI259">
        <f t="shared" si="62"/>
        <v>0.12559999999999999</v>
      </c>
      <c r="AK259" s="32">
        <v>3.0306399607677448E-3</v>
      </c>
      <c r="AL259" s="32">
        <v>0.85233068877226126</v>
      </c>
      <c r="AM259" s="32">
        <v>1.3176385732030278</v>
      </c>
      <c r="AN259" s="36"/>
      <c r="AP259">
        <v>0.12559999999999999</v>
      </c>
    </row>
    <row r="260" spans="1:42" x14ac:dyDescent="0.2">
      <c r="A260" s="9" t="s">
        <v>57</v>
      </c>
      <c r="B260">
        <f t="shared" si="65"/>
        <v>292</v>
      </c>
      <c r="C260" t="s">
        <v>19</v>
      </c>
      <c r="D260" t="s">
        <v>15</v>
      </c>
      <c r="E260" t="s">
        <v>3</v>
      </c>
      <c r="J260" s="14">
        <f t="shared" si="68"/>
        <v>261.69914609734894</v>
      </c>
      <c r="K260">
        <f t="shared" si="64"/>
        <v>3.2498957127949302</v>
      </c>
      <c r="L260" s="5"/>
      <c r="M260" s="5"/>
      <c r="P260" s="14">
        <f t="shared" si="71"/>
        <v>2.5011750993539977E-3</v>
      </c>
      <c r="Q260" s="4">
        <f t="shared" si="69"/>
        <v>8.0113755980000114</v>
      </c>
      <c r="R260" s="4">
        <f t="shared" si="70"/>
        <v>7.377972465251271</v>
      </c>
      <c r="S260">
        <f t="shared" si="66"/>
        <v>32.73493397655227</v>
      </c>
      <c r="U260">
        <f t="shared" si="67"/>
        <v>32.73493397655227</v>
      </c>
      <c r="V260" s="5"/>
      <c r="W260" s="5"/>
      <c r="AG260" s="32">
        <v>0.26338698639088798</v>
      </c>
      <c r="AH260" s="32">
        <v>0.16122299427886233</v>
      </c>
      <c r="AI260">
        <f t="shared" si="62"/>
        <v>0.27010000000000001</v>
      </c>
      <c r="AK260" s="32">
        <v>4.2349307924203217E-3</v>
      </c>
      <c r="AL260" s="32">
        <v>0.72476283333333447</v>
      </c>
      <c r="AM260" s="32">
        <v>2.2635504159814963</v>
      </c>
      <c r="AN260" s="36"/>
      <c r="AP260">
        <v>0.27010000000000001</v>
      </c>
    </row>
    <row r="261" spans="1:42" x14ac:dyDescent="0.2">
      <c r="A261" s="9" t="s">
        <v>58</v>
      </c>
      <c r="B261">
        <f t="shared" si="65"/>
        <v>292</v>
      </c>
      <c r="C261" t="s">
        <v>19</v>
      </c>
      <c r="D261" t="s">
        <v>15</v>
      </c>
      <c r="E261" t="s">
        <v>3</v>
      </c>
      <c r="J261" s="14">
        <f t="shared" si="68"/>
        <v>230.88708876077015</v>
      </c>
      <c r="K261">
        <f t="shared" si="64"/>
        <v>37.101560215924117</v>
      </c>
      <c r="L261" s="5"/>
      <c r="M261" s="5"/>
      <c r="P261" s="14">
        <f t="shared" si="71"/>
        <v>-3.9677405851059906E-4</v>
      </c>
      <c r="Q261" s="4">
        <f t="shared" si="69"/>
        <v>9.3880088227999803</v>
      </c>
      <c r="R261" s="4">
        <f t="shared" si="70"/>
        <v>7.8180799001557064</v>
      </c>
      <c r="S261">
        <f t="shared" si="66"/>
        <v>45.195763137243546</v>
      </c>
      <c r="U261">
        <f t="shared" si="67"/>
        <v>45.195763137243546</v>
      </c>
      <c r="V261" s="5"/>
      <c r="W261" s="5"/>
      <c r="AG261" s="32">
        <v>0.23884004737941356</v>
      </c>
      <c r="AH261" s="32">
        <v>0.44933452671112906</v>
      </c>
      <c r="AI261">
        <f t="shared" si="62"/>
        <v>0.12939999999999999</v>
      </c>
      <c r="AK261" s="32">
        <v>2.0040230496454203E-3</v>
      </c>
      <c r="AL261" s="32">
        <v>0.85409703333333153</v>
      </c>
      <c r="AM261" s="32">
        <v>2.3976477453247123</v>
      </c>
      <c r="AN261" s="36"/>
      <c r="AP261">
        <v>0.12939999999999999</v>
      </c>
    </row>
    <row r="262" spans="1:42" x14ac:dyDescent="0.2">
      <c r="A262" s="9" t="s">
        <v>59</v>
      </c>
      <c r="B262">
        <f t="shared" si="65"/>
        <v>292</v>
      </c>
      <c r="C262" t="s">
        <v>19</v>
      </c>
      <c r="D262" t="s">
        <v>15</v>
      </c>
      <c r="E262" t="s">
        <v>3</v>
      </c>
      <c r="J262" s="14">
        <f t="shared" si="68"/>
        <v>231.14110485669232</v>
      </c>
      <c r="K262">
        <f t="shared" si="64"/>
        <v>4.6743115951958805</v>
      </c>
      <c r="L262" s="5"/>
      <c r="M262" s="5"/>
      <c r="P262" s="14">
        <f t="shared" si="71"/>
        <v>1.22571648403148E-3</v>
      </c>
      <c r="Q262" s="4">
        <f t="shared" si="69"/>
        <v>9.1251178113999707</v>
      </c>
      <c r="R262" s="4">
        <f t="shared" si="70"/>
        <v>6.6882056001845989</v>
      </c>
      <c r="S262">
        <f t="shared" si="66"/>
        <v>30.811670291271639</v>
      </c>
      <c r="U262">
        <f t="shared" si="67"/>
        <v>30.811670291271639</v>
      </c>
      <c r="V262" s="5"/>
      <c r="W262" s="5"/>
      <c r="AG262" s="32">
        <v>0.23904241353583155</v>
      </c>
      <c r="AH262" s="32">
        <v>0.17334619852075306</v>
      </c>
      <c r="AI262">
        <f t="shared" si="62"/>
        <v>0.1305</v>
      </c>
      <c r="AK262" s="32">
        <v>3.2530534904014474E-3</v>
      </c>
      <c r="AL262" s="32">
        <v>0.82939851666666398</v>
      </c>
      <c r="AM262" s="32">
        <v>2.0533837904279704</v>
      </c>
      <c r="AN262" s="36"/>
      <c r="AP262">
        <v>0.1305</v>
      </c>
    </row>
    <row r="263" spans="1:42" x14ac:dyDescent="0.2">
      <c r="A263" s="9" t="s">
        <v>60</v>
      </c>
      <c r="B263">
        <f t="shared" si="65"/>
        <v>292</v>
      </c>
      <c r="C263" t="s">
        <v>74</v>
      </c>
      <c r="D263" t="s">
        <v>15</v>
      </c>
      <c r="E263" t="s">
        <v>3</v>
      </c>
      <c r="J263" s="14">
        <f t="shared" si="68"/>
        <v>226.99865090927545</v>
      </c>
      <c r="K263">
        <f t="shared" si="64"/>
        <v>17.083233968583606</v>
      </c>
      <c r="L263" s="5"/>
      <c r="M263" s="5"/>
      <c r="P263" s="14">
        <f t="shared" si="71"/>
        <v>-2.6471735000000422E-4</v>
      </c>
      <c r="Q263" s="4">
        <f t="shared" si="69"/>
        <v>8.3268871748000102</v>
      </c>
      <c r="R263" s="4">
        <f t="shared" si="70"/>
        <v>7.6712948936314715</v>
      </c>
      <c r="S263">
        <f t="shared" si="66"/>
        <v>35.02649716098523</v>
      </c>
      <c r="U263">
        <f t="shared" si="67"/>
        <v>35.02649716098523</v>
      </c>
      <c r="V263" s="5"/>
      <c r="W263" s="5"/>
      <c r="AG263" s="32">
        <v>0.23574225855772279</v>
      </c>
      <c r="AH263" s="32">
        <v>0.27895854264933495</v>
      </c>
      <c r="AI263">
        <f t="shared" si="62"/>
        <v>0.1308</v>
      </c>
      <c r="AK263" s="32">
        <v>2.1056833333333302E-3</v>
      </c>
      <c r="AL263" s="32">
        <v>0.75440503333333409</v>
      </c>
      <c r="AM263" s="32">
        <v>2.3529234898328677</v>
      </c>
      <c r="AN263" s="36"/>
      <c r="AP263">
        <v>0.1308</v>
      </c>
    </row>
    <row r="264" spans="1:42" x14ac:dyDescent="0.2">
      <c r="A264" s="9" t="s">
        <v>61</v>
      </c>
      <c r="B264">
        <f t="shared" si="65"/>
        <v>292</v>
      </c>
      <c r="C264" t="s">
        <v>74</v>
      </c>
      <c r="D264" t="s">
        <v>15</v>
      </c>
      <c r="E264" t="s">
        <v>3</v>
      </c>
      <c r="J264" s="14">
        <f t="shared" si="68"/>
        <v>234.04736167598003</v>
      </c>
      <c r="K264">
        <f t="shared" si="64"/>
        <v>13.338673711939403</v>
      </c>
      <c r="L264" s="5"/>
      <c r="M264" s="5"/>
      <c r="P264" s="14">
        <f t="shared" si="71"/>
        <v>8.9879563485714652E-3</v>
      </c>
      <c r="Q264" s="4">
        <f t="shared" si="69"/>
        <v>9.0305040050000365</v>
      </c>
      <c r="R264" s="4">
        <f t="shared" si="70"/>
        <v>7.0191488516882004</v>
      </c>
      <c r="S264">
        <f t="shared" si="66"/>
        <v>40.475007202706649</v>
      </c>
      <c r="U264">
        <f t="shared" si="67"/>
        <v>40.475007202706649</v>
      </c>
      <c r="V264" s="5"/>
      <c r="W264" s="5"/>
      <c r="AG264" s="32">
        <v>0.24135773146853079</v>
      </c>
      <c r="AH264" s="32">
        <v>0.24708858855218863</v>
      </c>
      <c r="AI264">
        <f t="shared" si="62"/>
        <v>0.1295</v>
      </c>
      <c r="AK264" s="32">
        <v>9.2286038095238387E-3</v>
      </c>
      <c r="AL264" s="32">
        <v>0.82050958333333668</v>
      </c>
      <c r="AM264" s="32">
        <v>2.1542196379305913</v>
      </c>
      <c r="AN264" s="36"/>
      <c r="AP264">
        <v>0.1295</v>
      </c>
    </row>
    <row r="265" spans="1:42" x14ac:dyDescent="0.2">
      <c r="A265" s="9" t="s">
        <v>62</v>
      </c>
      <c r="B265">
        <f t="shared" si="65"/>
        <v>292</v>
      </c>
      <c r="C265" t="s">
        <v>74</v>
      </c>
      <c r="D265" t="s">
        <v>15</v>
      </c>
      <c r="E265" t="s">
        <v>3</v>
      </c>
      <c r="J265" s="14">
        <f t="shared" si="68"/>
        <v>204.35228685695657</v>
      </c>
      <c r="K265">
        <f t="shared" si="64"/>
        <v>24.345420211026337</v>
      </c>
      <c r="L265" s="5"/>
      <c r="M265" s="5"/>
      <c r="P265" s="14">
        <f t="shared" si="71"/>
        <v>2.0720226815949677E-2</v>
      </c>
      <c r="Q265" s="4">
        <f t="shared" si="69"/>
        <v>7.9477521524000139</v>
      </c>
      <c r="R265" s="4">
        <f t="shared" si="70"/>
        <v>6.3810962947334362</v>
      </c>
      <c r="S265">
        <f t="shared" si="66"/>
        <v>56.703150579410334</v>
      </c>
      <c r="U265">
        <f t="shared" si="67"/>
        <v>56.703150579410334</v>
      </c>
      <c r="V265" s="5"/>
      <c r="W265" s="5"/>
      <c r="AG265" s="32">
        <v>0.21770065519604209</v>
      </c>
      <c r="AH265" s="32">
        <v>0.34076701315823088</v>
      </c>
      <c r="AI265">
        <f t="shared" si="62"/>
        <v>0.13650000000000001</v>
      </c>
      <c r="AK265" s="32">
        <v>1.8260374762085974E-2</v>
      </c>
      <c r="AL265" s="32">
        <v>0.71878543333333456</v>
      </c>
      <c r="AM265" s="32">
        <v>1.9598099618322475</v>
      </c>
      <c r="AN265" s="36"/>
      <c r="AP265">
        <v>0.13650000000000001</v>
      </c>
    </row>
    <row r="266" spans="1:42" x14ac:dyDescent="0.2">
      <c r="A266" s="9" t="s">
        <v>63</v>
      </c>
      <c r="B266">
        <f t="shared" si="65"/>
        <v>292</v>
      </c>
      <c r="C266" t="s">
        <v>76</v>
      </c>
      <c r="D266" t="s">
        <v>14</v>
      </c>
      <c r="E266" t="s">
        <v>3</v>
      </c>
      <c r="J266" s="14">
        <f t="shared" si="68"/>
        <v>282.43032467439701</v>
      </c>
      <c r="K266">
        <f t="shared" si="64"/>
        <v>36.581243797141873</v>
      </c>
      <c r="L266" s="5"/>
      <c r="M266" s="5"/>
      <c r="P266" s="14">
        <f t="shared" si="71"/>
        <v>6.5181753913787777E-3</v>
      </c>
      <c r="Q266" s="4">
        <f t="shared" si="69"/>
        <v>16.616063524650052</v>
      </c>
      <c r="R266" s="4">
        <f t="shared" si="70"/>
        <v>1.3395585089530961</v>
      </c>
      <c r="S266">
        <f t="shared" si="66"/>
        <v>16.525265045712672</v>
      </c>
      <c r="U266">
        <f t="shared" si="67"/>
        <v>16.525265045712672</v>
      </c>
      <c r="V266" s="5"/>
      <c r="W266" s="5"/>
      <c r="AG266" s="32">
        <v>0.27990282532393629</v>
      </c>
      <c r="AH266" s="32">
        <v>0.44490611342731079</v>
      </c>
      <c r="AI266">
        <f t="shared" si="62"/>
        <v>0.1169</v>
      </c>
      <c r="AK266" s="32">
        <v>7.3273097701145318E-3</v>
      </c>
      <c r="AL266" s="32">
        <v>1.5331701920941425</v>
      </c>
      <c r="AM266" s="32">
        <v>0.42369241589064477</v>
      </c>
      <c r="AN266" s="36"/>
      <c r="AP266">
        <v>0.1169</v>
      </c>
    </row>
    <row r="267" spans="1:42" x14ac:dyDescent="0.2">
      <c r="A267" s="9" t="s">
        <v>64</v>
      </c>
      <c r="B267">
        <f t="shared" si="65"/>
        <v>292</v>
      </c>
      <c r="C267" t="s">
        <v>76</v>
      </c>
      <c r="D267" t="s">
        <v>14</v>
      </c>
      <c r="E267" t="s">
        <v>3</v>
      </c>
      <c r="J267" s="14">
        <f t="shared" si="68"/>
        <v>279.87693072365272</v>
      </c>
      <c r="K267">
        <f t="shared" si="64"/>
        <v>32.749690815362392</v>
      </c>
      <c r="L267" s="5"/>
      <c r="M267" s="5"/>
      <c r="P267" s="14">
        <f t="shared" si="71"/>
        <v>2.2067750538960998E-2</v>
      </c>
      <c r="Q267" s="4">
        <f t="shared" si="69"/>
        <v>16.205398042599956</v>
      </c>
      <c r="R267" s="4">
        <f t="shared" si="70"/>
        <v>1.5065849394731572</v>
      </c>
      <c r="S267">
        <f t="shared" si="66"/>
        <v>44.958901360000198</v>
      </c>
      <c r="U267">
        <f t="shared" si="67"/>
        <v>44.958901360000198</v>
      </c>
      <c r="V267" s="5"/>
      <c r="W267" s="5"/>
      <c r="AG267" s="32">
        <v>0.27786862147651004</v>
      </c>
      <c r="AH267" s="32">
        <v>0.41229576420581637</v>
      </c>
      <c r="AI267">
        <f t="shared" si="62"/>
        <v>0.1105</v>
      </c>
      <c r="AK267" s="32">
        <v>1.9297729437229405E-2</v>
      </c>
      <c r="AL267" s="32">
        <v>1.4945883166666625</v>
      </c>
      <c r="AM267" s="32">
        <v>0.47458407662192481</v>
      </c>
      <c r="AN267" s="36"/>
      <c r="AP267">
        <v>0.1105</v>
      </c>
    </row>
    <row r="268" spans="1:42" x14ac:dyDescent="0.2">
      <c r="A268" s="9" t="s">
        <v>65</v>
      </c>
      <c r="B268">
        <f t="shared" si="65"/>
        <v>292</v>
      </c>
      <c r="C268" t="s">
        <v>76</v>
      </c>
      <c r="D268" t="s">
        <v>14</v>
      </c>
      <c r="E268" t="s">
        <v>3</v>
      </c>
      <c r="J268" s="14">
        <f t="shared" si="68"/>
        <v>289.03324215756288</v>
      </c>
      <c r="K268">
        <f t="shared" si="64"/>
        <v>34.47641535925851</v>
      </c>
      <c r="L268" s="5"/>
      <c r="M268" s="5"/>
      <c r="P268" s="14">
        <f t="shared" si="71"/>
        <v>1.9206541869129411E-2</v>
      </c>
      <c r="Q268" s="4">
        <f t="shared" si="69"/>
        <v>17.708502835226202</v>
      </c>
      <c r="R268" s="4">
        <f t="shared" si="70"/>
        <v>1.0146498071253931</v>
      </c>
      <c r="S268">
        <f t="shared" si="66"/>
        <v>28.785525149546061</v>
      </c>
      <c r="U268">
        <f t="shared" si="67"/>
        <v>28.785525149546061</v>
      </c>
      <c r="V268" s="5"/>
      <c r="W268" s="5"/>
      <c r="AG268" s="32">
        <v>0.28516314958552513</v>
      </c>
      <c r="AH268" s="32">
        <v>0.42699191760720467</v>
      </c>
      <c r="AI268">
        <f t="shared" si="62"/>
        <v>0.1062</v>
      </c>
      <c r="AK268" s="32">
        <v>1.70951053649957E-2</v>
      </c>
      <c r="AL268" s="32">
        <v>1.6358044753124954</v>
      </c>
      <c r="AM268" s="32">
        <v>0.32469524897178337</v>
      </c>
      <c r="AN268" s="36"/>
      <c r="AP268">
        <v>0.1062</v>
      </c>
    </row>
    <row r="269" spans="1:42" x14ac:dyDescent="0.2">
      <c r="A269" s="9" t="s">
        <v>66</v>
      </c>
      <c r="B269">
        <f t="shared" si="65"/>
        <v>292</v>
      </c>
      <c r="C269" t="s">
        <v>76</v>
      </c>
      <c r="D269" t="s">
        <v>15</v>
      </c>
      <c r="E269" t="s">
        <v>3</v>
      </c>
      <c r="J269" s="14">
        <f t="shared" si="68"/>
        <v>293.00952296400862</v>
      </c>
      <c r="K269">
        <f t="shared" si="64"/>
        <v>35.568484566734817</v>
      </c>
      <c r="L269" s="5"/>
      <c r="M269" s="5"/>
      <c r="P269" s="14">
        <f t="shared" si="71"/>
        <v>3.4763387804749683E-2</v>
      </c>
      <c r="Q269" s="4">
        <f t="shared" si="69"/>
        <v>4.8928193391463823</v>
      </c>
      <c r="R269" s="4">
        <f t="shared" si="70"/>
        <v>0.94170422007072641</v>
      </c>
      <c r="S269">
        <f t="shared" si="66"/>
        <v>38.152168965150111</v>
      </c>
      <c r="U269">
        <f t="shared" si="67"/>
        <v>38.152168965150111</v>
      </c>
      <c r="V269" s="5"/>
      <c r="W269" s="5"/>
      <c r="AG269" s="32">
        <v>0.28833091996132687</v>
      </c>
      <c r="AH269" s="32">
        <v>0.43628651914323857</v>
      </c>
      <c r="AI269">
        <f t="shared" si="62"/>
        <v>0.1089</v>
      </c>
      <c r="AK269" s="32">
        <v>2.9071122251539405E-2</v>
      </c>
      <c r="AL269" s="32">
        <v>0.43177558616557521</v>
      </c>
      <c r="AM269" s="32">
        <v>0.30246929313550475</v>
      </c>
      <c r="AN269" s="36"/>
      <c r="AP269">
        <v>0.1089</v>
      </c>
    </row>
    <row r="270" spans="1:42" x14ac:dyDescent="0.2">
      <c r="A270" s="9" t="s">
        <v>67</v>
      </c>
      <c r="B270">
        <f t="shared" si="65"/>
        <v>292</v>
      </c>
      <c r="C270" t="s">
        <v>76</v>
      </c>
      <c r="D270" t="s">
        <v>15</v>
      </c>
      <c r="E270" t="s">
        <v>3</v>
      </c>
      <c r="J270" s="14">
        <f t="shared" si="68"/>
        <v>316.06823641882119</v>
      </c>
      <c r="K270">
        <f t="shared" si="64"/>
        <v>38.542841501151393</v>
      </c>
      <c r="L270" s="5"/>
      <c r="M270" s="5"/>
      <c r="P270" s="14">
        <f t="shared" si="71"/>
        <v>1.0838045051639269E-2</v>
      </c>
      <c r="Q270" s="4">
        <f t="shared" si="69"/>
        <v>5.6283985072725864</v>
      </c>
      <c r="R270" s="4">
        <f t="shared" si="70"/>
        <v>0.84473514310983744</v>
      </c>
      <c r="S270">
        <f t="shared" si="66"/>
        <v>-52.92868783825827</v>
      </c>
      <c r="U270">
        <f t="shared" si="67"/>
        <v>-52.92868783825827</v>
      </c>
      <c r="V270" s="5"/>
      <c r="W270" s="5"/>
      <c r="AG270" s="32">
        <v>0.3067010283469942</v>
      </c>
      <c r="AH270" s="32">
        <v>0.46160127240436943</v>
      </c>
      <c r="AI270">
        <f t="shared" si="62"/>
        <v>8.5500000000000007E-2</v>
      </c>
      <c r="AK270" s="32">
        <v>1.0652844535519068E-2</v>
      </c>
      <c r="AL270" s="32">
        <v>0.50088298640291118</v>
      </c>
      <c r="AM270" s="32">
        <v>0.27292356584699495</v>
      </c>
      <c r="AN270" s="36"/>
      <c r="AP270">
        <v>8.5500000000000007E-2</v>
      </c>
    </row>
    <row r="271" spans="1:42" x14ac:dyDescent="0.2">
      <c r="A271" s="9" t="s">
        <v>68</v>
      </c>
      <c r="B271">
        <f t="shared" si="65"/>
        <v>292</v>
      </c>
      <c r="C271" t="s">
        <v>76</v>
      </c>
      <c r="D271" t="s">
        <v>15</v>
      </c>
      <c r="E271" t="s">
        <v>3</v>
      </c>
      <c r="J271" s="14">
        <f t="shared" si="68"/>
        <v>310.12286529301781</v>
      </c>
      <c r="K271">
        <f t="shared" si="64"/>
        <v>38.564773190872785</v>
      </c>
      <c r="L271" s="5"/>
      <c r="M271" s="5"/>
      <c r="P271" s="14">
        <f t="shared" si="71"/>
        <v>2.490961832241112E-2</v>
      </c>
      <c r="Q271" s="4">
        <f t="shared" si="69"/>
        <v>16.911635364575559</v>
      </c>
      <c r="R271" s="4">
        <f t="shared" si="70"/>
        <v>0.86402497392352173</v>
      </c>
      <c r="S271">
        <f t="shared" si="66"/>
        <v>-2.8467289441719004</v>
      </c>
      <c r="U271">
        <f t="shared" si="67"/>
        <v>-2.8467289441719004</v>
      </c>
      <c r="V271" s="5"/>
      <c r="W271" s="5"/>
      <c r="AG271" s="32">
        <v>0.30196454935010419</v>
      </c>
      <c r="AH271" s="32">
        <v>0.46178793302585452</v>
      </c>
      <c r="AI271">
        <f t="shared" si="62"/>
        <v>9.4899999999999998E-2</v>
      </c>
      <c r="AK271" s="32">
        <v>2.1485464451432734E-2</v>
      </c>
      <c r="AL271" s="32">
        <v>1.5609390609334421</v>
      </c>
      <c r="AM271" s="32">
        <v>0.27880102800838569</v>
      </c>
      <c r="AN271" s="36"/>
      <c r="AP271">
        <v>9.4899999999999998E-2</v>
      </c>
    </row>
    <row r="272" spans="1:42" x14ac:dyDescent="0.2">
      <c r="A272" s="9" t="s">
        <v>83</v>
      </c>
      <c r="B272">
        <f>B242+48</f>
        <v>340</v>
      </c>
      <c r="C272" t="s">
        <v>19</v>
      </c>
      <c r="D272" t="s">
        <v>14</v>
      </c>
      <c r="E272" t="s">
        <v>75</v>
      </c>
      <c r="J272" s="14">
        <f t="shared" si="68"/>
        <v>240.99337068968521</v>
      </c>
      <c r="K272">
        <f t="shared" si="64"/>
        <v>-3.9434999999999985</v>
      </c>
      <c r="L272">
        <f t="shared" ref="L272:L301" si="72">(11.007*AI272-0.65)*20</f>
        <v>62.243851999999997</v>
      </c>
      <c r="M272" s="33">
        <f>(1.584*AN272 - 0.0774)*40</f>
        <v>8.9550720000000013</v>
      </c>
      <c r="O272">
        <f t="shared" si="61"/>
        <v>58.300351999999997</v>
      </c>
      <c r="P272" s="14">
        <f t="shared" si="71"/>
        <v>3.4822035026038363E-3</v>
      </c>
      <c r="Q272" s="4">
        <f t="shared" si="69"/>
        <v>1.3860405052000693</v>
      </c>
      <c r="R272" s="4">
        <f t="shared" si="70"/>
        <v>8.2329049177821787</v>
      </c>
      <c r="S272">
        <f>J212-J272</f>
        <v>16.919244115017648</v>
      </c>
      <c r="U272">
        <f t="shared" ref="U272:U301" si="73">(J212-J272)/(B272-B212)*24</f>
        <v>5.6397480383392162</v>
      </c>
      <c r="V272">
        <f>(L212-L272)/(B272-B212)*24</f>
        <v>0.89523599999999937</v>
      </c>
      <c r="W272" s="5"/>
      <c r="Y272">
        <f>Q212-Q272</f>
        <v>8.5227748025999315</v>
      </c>
      <c r="Z272">
        <f>R272-R212</f>
        <v>5.9615825480819771</v>
      </c>
      <c r="AA272" s="4">
        <f>2*Z272/Y272*100</f>
        <v>139.89769027484701</v>
      </c>
      <c r="AB272">
        <f>4*(S272/12)/(8*Y272)*100</f>
        <v>8.271584326941813</v>
      </c>
      <c r="AG272" s="32">
        <v>0.24689138531611587</v>
      </c>
      <c r="AH272" s="32">
        <v>0.1</v>
      </c>
      <c r="AI272">
        <f t="shared" ref="AI272:AI301" si="74">AVERAGE(AO272:AQ272)</f>
        <v>0.34179999999999999</v>
      </c>
      <c r="AK272" s="32">
        <v>4.9901489627435236E-3</v>
      </c>
      <c r="AL272" s="32">
        <v>0.10231496666667317</v>
      </c>
      <c r="AM272" s="32">
        <v>2.5240417177885979</v>
      </c>
      <c r="AN272" s="33">
        <v>0.19020000000000001</v>
      </c>
      <c r="AO272">
        <v>0.34179999999999999</v>
      </c>
    </row>
    <row r="273" spans="1:41" x14ac:dyDescent="0.2">
      <c r="A273" s="9" t="s">
        <v>48</v>
      </c>
      <c r="B273">
        <f t="shared" ref="B273:B301" si="75">B243+48</f>
        <v>340</v>
      </c>
      <c r="C273" t="s">
        <v>19</v>
      </c>
      <c r="D273" t="s">
        <v>14</v>
      </c>
      <c r="E273" t="s">
        <v>75</v>
      </c>
      <c r="J273" s="14">
        <f t="shared" si="68"/>
        <v>149.32878412527464</v>
      </c>
      <c r="K273">
        <f t="shared" si="64"/>
        <v>-3.9434999999999985</v>
      </c>
      <c r="L273">
        <f t="shared" si="72"/>
        <v>41.066384000000006</v>
      </c>
      <c r="M273" s="33">
        <f t="shared" ref="M273:M301" si="76">(1.584*AN273 - 0.0774)*40</f>
        <v>10.025856000000001</v>
      </c>
      <c r="O273">
        <f t="shared" si="61"/>
        <v>37.122884000000006</v>
      </c>
      <c r="P273" s="14">
        <f t="shared" si="71"/>
        <v>5.3819428438708983E-3</v>
      </c>
      <c r="Q273" s="4">
        <f t="shared" si="69"/>
        <v>0.88400702040000889</v>
      </c>
      <c r="R273" s="4">
        <f t="shared" si="70"/>
        <v>12.797694857020074</v>
      </c>
      <c r="S273">
        <f t="shared" ref="S273:S301" si="77">J213-J273</f>
        <v>106.41450740269966</v>
      </c>
      <c r="U273">
        <f t="shared" si="73"/>
        <v>35.471502467566552</v>
      </c>
      <c r="V273">
        <f t="shared" ref="V273:V301" si="78">(L213-L273)/(B273-B213)*24</f>
        <v>0.41092799999999607</v>
      </c>
      <c r="W273" s="5"/>
      <c r="Y273">
        <f t="shared" ref="Y273:Y301" si="79">Q213-Q273</f>
        <v>9.5626710727999988</v>
      </c>
      <c r="Z273">
        <f t="shared" ref="Z273:Z301" si="80">R273-R213</f>
        <v>8.349345464332341</v>
      </c>
      <c r="AA273" s="4">
        <f>2*Z273/Y273*100</f>
        <v>174.62370922871469</v>
      </c>
      <c r="AB273">
        <f t="shared" ref="AB273:AB301" si="81">4*(S273/12)/(8*Y273)*100</f>
        <v>46.367147575092105</v>
      </c>
      <c r="AG273" s="32">
        <v>0.17386526468646879</v>
      </c>
      <c r="AH273" s="32">
        <v>0.1</v>
      </c>
      <c r="AI273">
        <f t="shared" si="74"/>
        <v>0.24560000000000001</v>
      </c>
      <c r="AK273" s="32">
        <v>6.4526118890461115E-3</v>
      </c>
      <c r="AL273" s="32">
        <v>5.5149100000000839E-2</v>
      </c>
      <c r="AM273" s="32">
        <v>3.9148978845277496</v>
      </c>
      <c r="AN273" s="33">
        <v>0.20710000000000001</v>
      </c>
      <c r="AO273">
        <v>0.24560000000000001</v>
      </c>
    </row>
    <row r="274" spans="1:41" x14ac:dyDescent="0.2">
      <c r="A274" s="9" t="s">
        <v>49</v>
      </c>
      <c r="B274">
        <f t="shared" si="75"/>
        <v>340</v>
      </c>
      <c r="C274" t="s">
        <v>19</v>
      </c>
      <c r="D274" t="s">
        <v>14</v>
      </c>
      <c r="E274" t="s">
        <v>75</v>
      </c>
      <c r="J274" s="14">
        <f t="shared" si="68"/>
        <v>161.96808583823133</v>
      </c>
      <c r="K274">
        <f t="shared" si="64"/>
        <v>-3.9434999999999985</v>
      </c>
      <c r="L274">
        <f t="shared" si="72"/>
        <v>42.167084000000003</v>
      </c>
      <c r="M274" s="33">
        <f t="shared" si="76"/>
        <v>13.307904000000001</v>
      </c>
      <c r="O274">
        <f t="shared" si="61"/>
        <v>38.223584000000002</v>
      </c>
      <c r="P274" s="14">
        <f t="shared" si="71"/>
        <v>2.7052502905524282E-3</v>
      </c>
      <c r="Q274" s="4">
        <v>0</v>
      </c>
      <c r="R274" s="4">
        <f t="shared" si="70"/>
        <v>13.325077691738368</v>
      </c>
      <c r="S274">
        <f t="shared" si="77"/>
        <v>73.174808425003306</v>
      </c>
      <c r="U274">
        <f t="shared" si="73"/>
        <v>24.391602808334437</v>
      </c>
      <c r="V274">
        <f t="shared" si="78"/>
        <v>0.36690000000000111</v>
      </c>
      <c r="W274" s="5"/>
      <c r="Y274">
        <f t="shared" si="79"/>
        <v>10.186637284243432</v>
      </c>
      <c r="Z274">
        <f t="shared" si="80"/>
        <v>9.117906210353631</v>
      </c>
      <c r="AA274" s="4">
        <f t="shared" ref="AA274:AA301" si="82">2*Z274/Y274*100</f>
        <v>179.01699954423819</v>
      </c>
      <c r="AB274">
        <f t="shared" si="81"/>
        <v>29.930881663548426</v>
      </c>
      <c r="AG274" s="32">
        <v>0.18393457505112432</v>
      </c>
      <c r="AH274" s="32">
        <v>0.1</v>
      </c>
      <c r="AI274">
        <f t="shared" si="74"/>
        <v>0.25059999999999999</v>
      </c>
      <c r="AK274" s="32">
        <v>4.3920325562374352E-3</v>
      </c>
      <c r="AL274" s="32" t="s">
        <v>84</v>
      </c>
      <c r="AM274" s="32">
        <v>4.0755873527539208</v>
      </c>
      <c r="AN274" s="33">
        <v>0.25890000000000002</v>
      </c>
      <c r="AO274">
        <v>0.25059999999999999</v>
      </c>
    </row>
    <row r="275" spans="1:41" x14ac:dyDescent="0.2">
      <c r="A275" s="9" t="s">
        <v>50</v>
      </c>
      <c r="B275">
        <f t="shared" si="75"/>
        <v>340</v>
      </c>
      <c r="C275" t="s">
        <v>20</v>
      </c>
      <c r="D275" t="s">
        <v>14</v>
      </c>
      <c r="E275" t="s">
        <v>75</v>
      </c>
      <c r="J275" s="14">
        <f t="shared" si="68"/>
        <v>171.92344164759194</v>
      </c>
      <c r="K275">
        <f t="shared" si="64"/>
        <v>-3.9434999999999985</v>
      </c>
      <c r="L275">
        <f t="shared" si="72"/>
        <v>40.516034000000005</v>
      </c>
      <c r="M275" s="33">
        <f t="shared" si="76"/>
        <v>10.798848</v>
      </c>
      <c r="O275">
        <f t="shared" si="61"/>
        <v>36.572534000000005</v>
      </c>
      <c r="P275" s="14">
        <f t="shared" si="71"/>
        <v>1.5261370527703004E-4</v>
      </c>
      <c r="Q275" s="4">
        <f t="shared" si="69"/>
        <v>0.53972701779997556</v>
      </c>
      <c r="R275" s="4">
        <f t="shared" si="70"/>
        <v>13.244613303898619</v>
      </c>
      <c r="S275">
        <f t="shared" si="77"/>
        <v>55.408134092961632</v>
      </c>
      <c r="U275">
        <f t="shared" si="73"/>
        <v>18.469378030987208</v>
      </c>
      <c r="V275">
        <f t="shared" si="78"/>
        <v>0.54301199999999972</v>
      </c>
      <c r="W275" s="5"/>
      <c r="Y275">
        <f t="shared" si="79"/>
        <v>9.4776492844000053</v>
      </c>
      <c r="Z275">
        <f t="shared" si="80"/>
        <v>9.1648393930753489</v>
      </c>
      <c r="AA275" s="4">
        <f t="shared" si="82"/>
        <v>193.39899838160218</v>
      </c>
      <c r="AB275">
        <f t="shared" si="81"/>
        <v>24.359123075733805</v>
      </c>
      <c r="AG275" s="32">
        <v>0.19186567517924824</v>
      </c>
      <c r="AH275" s="32">
        <v>0.1</v>
      </c>
      <c r="AI275">
        <f t="shared" si="74"/>
        <v>0.24310000000000001</v>
      </c>
      <c r="AK275" s="32">
        <v>2.4269543535619942E-3</v>
      </c>
      <c r="AL275" s="32">
        <v>2.2804116666664376E-2</v>
      </c>
      <c r="AM275" s="32">
        <v>4.0510704765078058</v>
      </c>
      <c r="AN275" s="33">
        <v>0.21929999999999999</v>
      </c>
      <c r="AO275">
        <v>0.24310000000000001</v>
      </c>
    </row>
    <row r="276" spans="1:41" x14ac:dyDescent="0.2">
      <c r="A276" s="9" t="s">
        <v>51</v>
      </c>
      <c r="B276">
        <f t="shared" si="75"/>
        <v>340</v>
      </c>
      <c r="C276" t="s">
        <v>20</v>
      </c>
      <c r="D276" t="s">
        <v>14</v>
      </c>
      <c r="E276" t="s">
        <v>75</v>
      </c>
      <c r="J276" s="14">
        <f t="shared" si="68"/>
        <v>219.67863450524456</v>
      </c>
      <c r="K276">
        <f t="shared" si="64"/>
        <v>-0.84004859872368609</v>
      </c>
      <c r="L276">
        <f t="shared" si="72"/>
        <v>40.71416</v>
      </c>
      <c r="M276" s="33">
        <f t="shared" si="76"/>
        <v>10.760832000000002</v>
      </c>
      <c r="O276">
        <f t="shared" ref="O276:O301" si="83">K276+L276</f>
        <v>39.874111401276316</v>
      </c>
      <c r="P276" s="14">
        <f t="shared" si="71"/>
        <v>1.383145370420555E-4</v>
      </c>
      <c r="Q276" s="4">
        <f t="shared" si="69"/>
        <v>3.448685561600068</v>
      </c>
      <c r="R276" s="4">
        <f t="shared" si="70"/>
        <v>9.5305446573039312</v>
      </c>
      <c r="S276">
        <f t="shared" si="77"/>
        <v>26.363321441842686</v>
      </c>
      <c r="U276">
        <f t="shared" si="73"/>
        <v>8.7877738139475632</v>
      </c>
      <c r="V276">
        <f t="shared" si="78"/>
        <v>0.30085799999999807</v>
      </c>
      <c r="W276" s="5"/>
      <c r="Y276">
        <f t="shared" si="79"/>
        <v>6.9133047479529326</v>
      </c>
      <c r="Z276">
        <f t="shared" si="80"/>
        <v>6.669040022993924</v>
      </c>
      <c r="AA276" s="4">
        <f t="shared" si="82"/>
        <v>192.93348886344589</v>
      </c>
      <c r="AB276">
        <f t="shared" si="81"/>
        <v>15.889242074403109</v>
      </c>
      <c r="AG276" s="32">
        <v>0.22991064548917817</v>
      </c>
      <c r="AH276" s="32">
        <v>0.1264134763290039</v>
      </c>
      <c r="AI276">
        <f t="shared" si="74"/>
        <v>0.24399999999999999</v>
      </c>
      <c r="AK276" s="32">
        <v>2.4159465258214441E-3</v>
      </c>
      <c r="AL276" s="32">
        <v>0.29609973333333972</v>
      </c>
      <c r="AM276" s="32">
        <v>2.9194225037489123</v>
      </c>
      <c r="AN276" s="33">
        <v>0.21870000000000001</v>
      </c>
      <c r="AO276">
        <v>0.24399999999999999</v>
      </c>
    </row>
    <row r="277" spans="1:41" x14ac:dyDescent="0.2">
      <c r="A277" s="9" t="s">
        <v>52</v>
      </c>
      <c r="B277">
        <f t="shared" si="75"/>
        <v>340</v>
      </c>
      <c r="C277" t="s">
        <v>20</v>
      </c>
      <c r="D277" t="s">
        <v>14</v>
      </c>
      <c r="E277" t="s">
        <v>75</v>
      </c>
      <c r="J277" s="14">
        <f t="shared" si="68"/>
        <v>219.3621436145167</v>
      </c>
      <c r="K277">
        <f t="shared" si="64"/>
        <v>-3.9434999999999985</v>
      </c>
      <c r="L277">
        <f t="shared" si="72"/>
        <v>40.053739999999998</v>
      </c>
      <c r="M277" s="33">
        <f t="shared" si="76"/>
        <v>10.253952000000002</v>
      </c>
      <c r="O277">
        <f t="shared" si="83"/>
        <v>36.110239999999997</v>
      </c>
      <c r="P277" s="14">
        <f t="shared" si="71"/>
        <v>1.1457489693121548E-2</v>
      </c>
      <c r="Q277" s="4">
        <f t="shared" si="69"/>
        <v>1.9490366130000027</v>
      </c>
      <c r="R277" s="4">
        <f t="shared" si="70"/>
        <v>11.49847413649767</v>
      </c>
      <c r="S277">
        <f t="shared" si="77"/>
        <v>29.697404653986496</v>
      </c>
      <c r="U277">
        <f t="shared" si="73"/>
        <v>9.8991348846621658</v>
      </c>
      <c r="V277">
        <f t="shared" si="78"/>
        <v>1.0713480000000029</v>
      </c>
      <c r="W277" s="5"/>
      <c r="Y277">
        <f t="shared" si="79"/>
        <v>8.6180095089999735</v>
      </c>
      <c r="Z277">
        <f t="shared" si="80"/>
        <v>9.130533180955787</v>
      </c>
      <c r="AA277" s="4">
        <f t="shared" si="82"/>
        <v>211.89424707458434</v>
      </c>
      <c r="AB277">
        <f t="shared" si="81"/>
        <v>14.358209506389329</v>
      </c>
      <c r="AG277" s="32">
        <v>0.22965850774623164</v>
      </c>
      <c r="AH277" s="32">
        <v>0.1</v>
      </c>
      <c r="AI277">
        <f t="shared" si="74"/>
        <v>0.24099999999999999</v>
      </c>
      <c r="AK277" s="32">
        <v>1.1129707231040453E-2</v>
      </c>
      <c r="AL277" s="32">
        <v>0.15520825000000027</v>
      </c>
      <c r="AM277" s="32">
        <v>3.519035385892038</v>
      </c>
      <c r="AN277" s="33">
        <v>0.2107</v>
      </c>
      <c r="AO277">
        <v>0.24099999999999999</v>
      </c>
    </row>
    <row r="278" spans="1:41" x14ac:dyDescent="0.2">
      <c r="A278" s="9" t="s">
        <v>53</v>
      </c>
      <c r="B278">
        <f t="shared" si="75"/>
        <v>340</v>
      </c>
      <c r="C278" t="s">
        <v>74</v>
      </c>
      <c r="D278" t="s">
        <v>14</v>
      </c>
      <c r="E278" t="s">
        <v>75</v>
      </c>
      <c r="J278" s="14">
        <f t="shared" si="68"/>
        <v>320.06978780289757</v>
      </c>
      <c r="K278">
        <f t="shared" si="64"/>
        <v>-3.9434999999999985</v>
      </c>
      <c r="L278">
        <f t="shared" si="72"/>
        <v>33.735721999999996</v>
      </c>
      <c r="M278" s="33">
        <f t="shared" si="76"/>
        <v>3.6898560000000002</v>
      </c>
      <c r="O278">
        <f t="shared" si="83"/>
        <v>29.792221999999995</v>
      </c>
      <c r="P278" s="14">
        <f t="shared" si="71"/>
        <v>8.5982998399282556E-3</v>
      </c>
      <c r="Q278" s="4">
        <f t="shared" si="69"/>
        <v>17.146655347186936</v>
      </c>
      <c r="R278" s="4">
        <f t="shared" si="70"/>
        <v>1.4819275501895031</v>
      </c>
      <c r="S278">
        <f t="shared" si="77"/>
        <v>-49.357961245701233</v>
      </c>
      <c r="U278">
        <f t="shared" si="73"/>
        <v>-16.45265374856708</v>
      </c>
      <c r="V278">
        <f t="shared" si="78"/>
        <v>1.6363740000000035</v>
      </c>
      <c r="W278" s="5"/>
      <c r="Y278">
        <f t="shared" si="79"/>
        <v>-2.424497820921431</v>
      </c>
      <c r="Z278">
        <f t="shared" si="80"/>
        <v>0.68551954342516408</v>
      </c>
      <c r="AA278" s="4">
        <f t="shared" si="82"/>
        <v>-56.549404788875599</v>
      </c>
      <c r="AB278">
        <f t="shared" si="81"/>
        <v>84.825059475173305</v>
      </c>
      <c r="AG278" s="32">
        <v>0.30988893094964176</v>
      </c>
      <c r="AH278" s="32">
        <v>0.1</v>
      </c>
      <c r="AI278">
        <f t="shared" si="74"/>
        <v>0.21229999999999999</v>
      </c>
      <c r="AK278" s="32">
        <v>8.9286372901680178E-3</v>
      </c>
      <c r="AL278" s="32">
        <v>1.5830191043956159</v>
      </c>
      <c r="AM278" s="32">
        <v>0.4670711609352538</v>
      </c>
      <c r="AN278" s="33">
        <v>0.1071</v>
      </c>
      <c r="AO278">
        <v>0.21229999999999999</v>
      </c>
    </row>
    <row r="279" spans="1:41" x14ac:dyDescent="0.2">
      <c r="A279" s="9" t="s">
        <v>54</v>
      </c>
      <c r="B279">
        <f t="shared" si="75"/>
        <v>340</v>
      </c>
      <c r="C279" t="s">
        <v>74</v>
      </c>
      <c r="D279" t="s">
        <v>14</v>
      </c>
      <c r="E279" t="s">
        <v>75</v>
      </c>
      <c r="J279" s="14">
        <f t="shared" si="68"/>
        <v>184.76364479067803</v>
      </c>
      <c r="K279">
        <f t="shared" si="64"/>
        <v>-3.9434999999999985</v>
      </c>
      <c r="L279">
        <f t="shared" si="72"/>
        <v>39.591446000000005</v>
      </c>
      <c r="M279" s="33">
        <f t="shared" si="76"/>
        <v>9.8737919999999999</v>
      </c>
      <c r="O279">
        <f t="shared" si="83"/>
        <v>35.647946000000005</v>
      </c>
      <c r="P279" s="14">
        <f t="shared" si="71"/>
        <v>4.0342508437846729E-3</v>
      </c>
      <c r="Q279" s="4">
        <f t="shared" si="69"/>
        <v>3.6415099594000004</v>
      </c>
      <c r="R279" s="4">
        <f t="shared" si="70"/>
        <v>10.324357157498326</v>
      </c>
      <c r="S279">
        <f t="shared" si="77"/>
        <v>29.564639490517152</v>
      </c>
      <c r="U279">
        <f t="shared" si="73"/>
        <v>9.8548798301723828</v>
      </c>
      <c r="V279">
        <f t="shared" si="78"/>
        <v>0.16877399999999909</v>
      </c>
      <c r="W279" s="5"/>
      <c r="Y279">
        <f t="shared" si="79"/>
        <v>6.7829384945999447</v>
      </c>
      <c r="Z279">
        <f t="shared" si="80"/>
        <v>6.008659413356467</v>
      </c>
      <c r="AA279" s="4">
        <f t="shared" si="82"/>
        <v>177.16980385831599</v>
      </c>
      <c r="AB279">
        <f t="shared" si="81"/>
        <v>18.161155076848484</v>
      </c>
      <c r="AG279" s="32">
        <v>0.2020950370165735</v>
      </c>
      <c r="AH279" s="32">
        <v>0.1</v>
      </c>
      <c r="AI279">
        <f t="shared" si="74"/>
        <v>0.2389</v>
      </c>
      <c r="AK279" s="32">
        <v>5.4151276703500173E-3</v>
      </c>
      <c r="AL279" s="32">
        <v>0.31421551666666669</v>
      </c>
      <c r="AM279" s="32">
        <v>3.1612910290976011</v>
      </c>
      <c r="AN279" s="33">
        <v>0.20469999999999999</v>
      </c>
      <c r="AO279">
        <v>0.2389</v>
      </c>
    </row>
    <row r="280" spans="1:41" x14ac:dyDescent="0.2">
      <c r="A280" s="9" t="s">
        <v>55</v>
      </c>
      <c r="B280">
        <f t="shared" si="75"/>
        <v>340</v>
      </c>
      <c r="C280" t="s">
        <v>74</v>
      </c>
      <c r="D280" t="s">
        <v>14</v>
      </c>
      <c r="E280" t="s">
        <v>75</v>
      </c>
      <c r="J280" s="14">
        <f t="shared" si="68"/>
        <v>182.72657828338549</v>
      </c>
      <c r="K280">
        <f t="shared" si="64"/>
        <v>-4.7786500240559784</v>
      </c>
      <c r="L280">
        <f t="shared" si="72"/>
        <v>40.912286000000002</v>
      </c>
      <c r="M280" s="33">
        <f t="shared" si="76"/>
        <v>11.217024000000002</v>
      </c>
      <c r="O280">
        <f t="shared" si="83"/>
        <v>36.133635975944024</v>
      </c>
      <c r="P280" s="14">
        <f t="shared" si="71"/>
        <v>3.3267328814597119E-3</v>
      </c>
      <c r="Q280" s="4">
        <f t="shared" si="69"/>
        <v>0.52207908839998762</v>
      </c>
      <c r="R280" s="4">
        <f t="shared" si="70"/>
        <v>12.130489869770225</v>
      </c>
      <c r="S280">
        <f t="shared" si="77"/>
        <v>70.420640668109144</v>
      </c>
      <c r="U280">
        <f t="shared" si="73"/>
        <v>23.473546889369715</v>
      </c>
      <c r="V280">
        <f t="shared" si="78"/>
        <v>0.60171599999999847</v>
      </c>
      <c r="W280" s="5"/>
      <c r="Y280">
        <f t="shared" si="79"/>
        <v>9.4347908636000586</v>
      </c>
      <c r="Z280">
        <f t="shared" si="80"/>
        <v>8.636794407364345</v>
      </c>
      <c r="AA280" s="4">
        <f t="shared" si="82"/>
        <v>183.08396088959583</v>
      </c>
      <c r="AB280">
        <f t="shared" si="81"/>
        <v>31.09971809223131</v>
      </c>
      <c r="AG280" s="32">
        <v>0.20047217403243045</v>
      </c>
      <c r="AH280" s="32">
        <v>9.2892037754321644E-2</v>
      </c>
      <c r="AI280">
        <f t="shared" si="74"/>
        <v>0.24490000000000001</v>
      </c>
      <c r="AK280" s="32">
        <v>4.8704641119782233E-3</v>
      </c>
      <c r="AL280" s="32">
        <v>2.1146099999998835E-2</v>
      </c>
      <c r="AM280" s="32">
        <v>3.7116056885344988</v>
      </c>
      <c r="AN280" s="33">
        <v>0.22589999999999999</v>
      </c>
      <c r="AO280">
        <v>0.24490000000000001</v>
      </c>
    </row>
    <row r="281" spans="1:41" x14ac:dyDescent="0.2">
      <c r="A281" s="9" t="s">
        <v>56</v>
      </c>
      <c r="B281">
        <f t="shared" si="75"/>
        <v>340</v>
      </c>
      <c r="C281" t="s">
        <v>19</v>
      </c>
      <c r="D281" t="s">
        <v>15</v>
      </c>
      <c r="E281" t="s">
        <v>75</v>
      </c>
      <c r="J281" s="14">
        <f t="shared" si="68"/>
        <v>179.39992368627301</v>
      </c>
      <c r="K281">
        <f t="shared" si="64"/>
        <v>-5.4335058884557021</v>
      </c>
      <c r="L281">
        <f t="shared" si="72"/>
        <v>42.805489999999999</v>
      </c>
      <c r="M281" s="33">
        <f t="shared" si="76"/>
        <v>11.236032000000002</v>
      </c>
      <c r="O281">
        <f t="shared" si="83"/>
        <v>37.371984111544293</v>
      </c>
      <c r="P281" s="14">
        <f t="shared" si="71"/>
        <v>7.4486149247287626E-4</v>
      </c>
      <c r="Q281" s="4">
        <v>0</v>
      </c>
      <c r="R281" s="4">
        <f t="shared" si="70"/>
        <v>12.823730263571759</v>
      </c>
      <c r="S281">
        <f t="shared" si="77"/>
        <v>54.651964657868575</v>
      </c>
      <c r="U281">
        <f t="shared" si="73"/>
        <v>18.217321552622856</v>
      </c>
      <c r="V281">
        <f t="shared" si="78"/>
        <v>7.3379999999971801E-3</v>
      </c>
      <c r="W281" s="5"/>
      <c r="Y281">
        <f t="shared" si="79"/>
        <v>9.4656081951999642</v>
      </c>
      <c r="Z281">
        <f t="shared" si="80"/>
        <v>8.8547864682980304</v>
      </c>
      <c r="AA281" s="4">
        <f t="shared" si="82"/>
        <v>187.09387259000044</v>
      </c>
      <c r="AB281">
        <f t="shared" si="81"/>
        <v>24.057251759402149</v>
      </c>
      <c r="AG281" s="32">
        <v>0.19782193920339752</v>
      </c>
      <c r="AH281" s="32">
        <v>8.7318559185874278E-2</v>
      </c>
      <c r="AI281">
        <f t="shared" si="74"/>
        <v>0.2535</v>
      </c>
      <c r="AK281" s="32">
        <v>2.8828802867381653E-3</v>
      </c>
      <c r="AL281" s="32" t="s">
        <v>84</v>
      </c>
      <c r="AM281" s="32">
        <v>3.9228306714112615</v>
      </c>
      <c r="AN281" s="33">
        <v>0.22620000000000001</v>
      </c>
      <c r="AO281">
        <v>0.2535</v>
      </c>
    </row>
    <row r="282" spans="1:41" x14ac:dyDescent="0.2">
      <c r="A282" s="9" t="s">
        <v>48</v>
      </c>
      <c r="B282">
        <f t="shared" si="75"/>
        <v>340</v>
      </c>
      <c r="C282" t="s">
        <v>19</v>
      </c>
      <c r="D282" t="s">
        <v>15</v>
      </c>
      <c r="E282" t="s">
        <v>75</v>
      </c>
      <c r="J282" s="14">
        <f t="shared" si="68"/>
        <v>190.71698149822788</v>
      </c>
      <c r="K282">
        <f t="shared" si="64"/>
        <v>-3.9434999999999985</v>
      </c>
      <c r="L282">
        <f t="shared" si="72"/>
        <v>41.616733999999994</v>
      </c>
      <c r="M282" s="33">
        <f t="shared" si="76"/>
        <v>8.2391040000000011</v>
      </c>
      <c r="O282">
        <f t="shared" si="83"/>
        <v>37.673233999999994</v>
      </c>
      <c r="P282" s="14">
        <f t="shared" si="71"/>
        <v>6.3667989125331347E-4</v>
      </c>
      <c r="Q282" s="4">
        <f t="shared" si="69"/>
        <v>3.5971480735999273</v>
      </c>
      <c r="R282" s="4">
        <f t="shared" si="70"/>
        <v>9.9911386716486117</v>
      </c>
      <c r="S282">
        <f t="shared" si="77"/>
        <v>53.16127925463752</v>
      </c>
      <c r="U282">
        <f t="shared" si="73"/>
        <v>17.720426418212508</v>
      </c>
      <c r="V282">
        <f t="shared" si="78"/>
        <v>0.88789800000000219</v>
      </c>
      <c r="W282" s="5"/>
      <c r="Y282">
        <f t="shared" si="79"/>
        <v>8.5720077376001615</v>
      </c>
      <c r="Z282">
        <f t="shared" si="80"/>
        <v>7.1543943557593774</v>
      </c>
      <c r="AA282" s="4">
        <f t="shared" si="82"/>
        <v>166.9245893089298</v>
      </c>
      <c r="AB282">
        <f t="shared" si="81"/>
        <v>25.84054249695177</v>
      </c>
      <c r="AG282" s="32">
        <v>0.20683786192692155</v>
      </c>
      <c r="AH282" s="32">
        <v>0.1</v>
      </c>
      <c r="AI282">
        <f t="shared" si="74"/>
        <v>0.24809999999999999</v>
      </c>
      <c r="AK282" s="32">
        <v>2.79959960835513E-3</v>
      </c>
      <c r="AL282" s="32">
        <v>0.31004773333332647</v>
      </c>
      <c r="AM282" s="32">
        <v>3.0597619352981753</v>
      </c>
      <c r="AN282" s="33">
        <v>0.1789</v>
      </c>
      <c r="AO282">
        <v>0.24809999999999999</v>
      </c>
    </row>
    <row r="283" spans="1:41" x14ac:dyDescent="0.2">
      <c r="A283" s="9" t="s">
        <v>49</v>
      </c>
      <c r="B283">
        <f t="shared" si="75"/>
        <v>340</v>
      </c>
      <c r="C283" t="s">
        <v>19</v>
      </c>
      <c r="D283" t="s">
        <v>15</v>
      </c>
      <c r="E283" t="s">
        <v>75</v>
      </c>
      <c r="J283" s="14">
        <f t="shared" si="68"/>
        <v>175.81671835217608</v>
      </c>
      <c r="K283">
        <f t="shared" si="64"/>
        <v>-4.3357216923383657</v>
      </c>
      <c r="L283">
        <f t="shared" si="72"/>
        <v>41.704790000000003</v>
      </c>
      <c r="M283" s="33">
        <f t="shared" si="76"/>
        <v>12.642624000000001</v>
      </c>
      <c r="O283">
        <f t="shared" si="83"/>
        <v>37.369068307661635</v>
      </c>
      <c r="P283" s="14">
        <f t="shared" si="71"/>
        <v>-3.9008745207240713E-4</v>
      </c>
      <c r="Q283" s="4">
        <f t="shared" si="69"/>
        <v>0.57740660040002578</v>
      </c>
      <c r="R283" s="4">
        <f t="shared" si="70"/>
        <v>12.877611994598851</v>
      </c>
      <c r="S283">
        <f t="shared" si="77"/>
        <v>77.97306280384862</v>
      </c>
      <c r="U283">
        <f t="shared" si="73"/>
        <v>25.991020934616209</v>
      </c>
      <c r="V283">
        <f t="shared" si="78"/>
        <v>-0.10273200000000315</v>
      </c>
      <c r="W283" s="5"/>
      <c r="Y283">
        <f t="shared" si="79"/>
        <v>9.8157743939999431</v>
      </c>
      <c r="Z283">
        <f t="shared" si="80"/>
        <v>8.6564828923107733</v>
      </c>
      <c r="AA283" s="4">
        <f t="shared" si="82"/>
        <v>176.37901086239705</v>
      </c>
      <c r="AB283">
        <f t="shared" si="81"/>
        <v>33.098535952629035</v>
      </c>
      <c r="AG283" s="32">
        <v>0.19496731895390029</v>
      </c>
      <c r="AH283" s="32">
        <v>9.6661800992907221E-2</v>
      </c>
      <c r="AI283">
        <f t="shared" si="74"/>
        <v>0.2485</v>
      </c>
      <c r="AK283" s="32">
        <v>2.0091705526771308E-3</v>
      </c>
      <c r="AL283" s="32">
        <v>2.6344100000002424E-2</v>
      </c>
      <c r="AM283" s="32">
        <v>3.9392480178546161</v>
      </c>
      <c r="AN283" s="33">
        <v>0.24840000000000001</v>
      </c>
      <c r="AO283">
        <v>0.2485</v>
      </c>
    </row>
    <row r="284" spans="1:41" x14ac:dyDescent="0.2">
      <c r="A284" s="9" t="s">
        <v>50</v>
      </c>
      <c r="B284">
        <f t="shared" si="75"/>
        <v>340</v>
      </c>
      <c r="C284" t="s">
        <v>20</v>
      </c>
      <c r="D284" t="s">
        <v>15</v>
      </c>
      <c r="E284" t="s">
        <v>75</v>
      </c>
      <c r="J284" s="14">
        <f t="shared" si="68"/>
        <v>224.95239761044189</v>
      </c>
      <c r="K284">
        <f t="shared" ref="K284:K301" si="84">(3.9165*AH284-0.5231)*30</f>
        <v>-3.9434999999999985</v>
      </c>
      <c r="L284">
        <f t="shared" si="72"/>
        <v>41.220482000000004</v>
      </c>
      <c r="M284" s="33">
        <f t="shared" si="76"/>
        <v>14.049216000000001</v>
      </c>
      <c r="O284">
        <f t="shared" si="83"/>
        <v>37.276982000000004</v>
      </c>
      <c r="P284" s="14">
        <f t="shared" si="71"/>
        <v>2.244329090908602E-4</v>
      </c>
      <c r="Q284" s="4">
        <f t="shared" si="69"/>
        <v>2.9244586271999808</v>
      </c>
      <c r="R284" s="4">
        <f t="shared" si="70"/>
        <v>11.395000260109979</v>
      </c>
      <c r="S284">
        <f t="shared" si="77"/>
        <v>21.731833014809837</v>
      </c>
      <c r="U284">
        <f t="shared" si="73"/>
        <v>7.2439443382699462</v>
      </c>
      <c r="V284">
        <f t="shared" si="78"/>
        <v>0.59437800000000129</v>
      </c>
      <c r="W284" s="5"/>
      <c r="Y284">
        <f t="shared" si="79"/>
        <v>7.3942913588000607</v>
      </c>
      <c r="Z284">
        <f t="shared" si="80"/>
        <v>8.2550855942848678</v>
      </c>
      <c r="AA284" s="4">
        <f t="shared" si="82"/>
        <v>223.28267020369336</v>
      </c>
      <c r="AB284">
        <f t="shared" si="81"/>
        <v>12.245839369124965</v>
      </c>
      <c r="AG284" s="32">
        <v>0.2341120767629854</v>
      </c>
      <c r="AH284" s="32">
        <v>0.1</v>
      </c>
      <c r="AI284">
        <f t="shared" si="74"/>
        <v>0.24629999999999999</v>
      </c>
      <c r="AK284" s="32">
        <v>2.4822424242423868E-3</v>
      </c>
      <c r="AL284" s="32">
        <v>0.2468487999999982</v>
      </c>
      <c r="AM284" s="32">
        <v>3.487507696560018</v>
      </c>
      <c r="AN284" s="33">
        <v>0.27060000000000001</v>
      </c>
      <c r="AO284">
        <v>0.24629999999999999</v>
      </c>
    </row>
    <row r="285" spans="1:41" x14ac:dyDescent="0.2">
      <c r="A285" s="9" t="s">
        <v>51</v>
      </c>
      <c r="B285">
        <f t="shared" si="75"/>
        <v>340</v>
      </c>
      <c r="C285" t="s">
        <v>20</v>
      </c>
      <c r="D285" t="s">
        <v>15</v>
      </c>
      <c r="E285" t="s">
        <v>75</v>
      </c>
      <c r="J285" s="14">
        <f t="shared" si="68"/>
        <v>240.10448346936118</v>
      </c>
      <c r="K285">
        <f t="shared" si="84"/>
        <v>-3.9434999999999985</v>
      </c>
      <c r="L285">
        <f t="shared" si="72"/>
        <v>40.626104000000005</v>
      </c>
      <c r="M285" s="33">
        <f t="shared" si="76"/>
        <v>5.216832000000001</v>
      </c>
      <c r="O285">
        <f t="shared" si="83"/>
        <v>36.682604000000005</v>
      </c>
      <c r="P285" s="14">
        <f t="shared" si="71"/>
        <v>1.8540028784275292E-4</v>
      </c>
      <c r="Q285" s="4">
        <f t="shared" si="69"/>
        <v>5.4304353310000497</v>
      </c>
      <c r="R285" s="4">
        <f t="shared" si="70"/>
        <v>7.2526779742693988</v>
      </c>
      <c r="S285">
        <f t="shared" si="77"/>
        <v>45.41992168368995</v>
      </c>
      <c r="U285">
        <f t="shared" si="73"/>
        <v>15.139973894563315</v>
      </c>
      <c r="V285">
        <f t="shared" si="78"/>
        <v>1.8711899999999964</v>
      </c>
      <c r="W285" s="5"/>
      <c r="Y285">
        <f t="shared" si="79"/>
        <v>5.6544522123998995</v>
      </c>
      <c r="Z285">
        <f t="shared" si="80"/>
        <v>4.5995046178741914</v>
      </c>
      <c r="AA285" s="4">
        <f t="shared" si="82"/>
        <v>162.68612573248856</v>
      </c>
      <c r="AB285">
        <f t="shared" si="81"/>
        <v>33.469143707153002</v>
      </c>
      <c r="AG285" s="32">
        <v>0.24618323849725776</v>
      </c>
      <c r="AH285" s="32">
        <v>0.1</v>
      </c>
      <c r="AI285">
        <f t="shared" si="74"/>
        <v>0.24360000000000001</v>
      </c>
      <c r="AK285" s="32">
        <v>2.452194216969017E-3</v>
      </c>
      <c r="AL285" s="32">
        <v>0.48228441666667132</v>
      </c>
      <c r="AM285" s="32">
        <v>2.2253741542563676</v>
      </c>
      <c r="AN285" s="33">
        <v>0.13120000000000001</v>
      </c>
      <c r="AO285">
        <v>0.24360000000000001</v>
      </c>
    </row>
    <row r="286" spans="1:41" x14ac:dyDescent="0.2">
      <c r="A286" s="9" t="s">
        <v>52</v>
      </c>
      <c r="B286">
        <f t="shared" si="75"/>
        <v>340</v>
      </c>
      <c r="C286" t="s">
        <v>20</v>
      </c>
      <c r="D286" t="s">
        <v>15</v>
      </c>
      <c r="E286" t="s">
        <v>75</v>
      </c>
      <c r="J286" s="14">
        <f t="shared" si="68"/>
        <v>258.63835360786061</v>
      </c>
      <c r="K286">
        <f t="shared" si="84"/>
        <v>-5.0658723370307452</v>
      </c>
      <c r="L286">
        <f t="shared" si="72"/>
        <v>37.874353999999997</v>
      </c>
      <c r="M286" s="33">
        <f t="shared" si="76"/>
        <v>1.9031040000000004</v>
      </c>
      <c r="O286">
        <f t="shared" si="83"/>
        <v>32.80848166296925</v>
      </c>
      <c r="P286" s="14">
        <f t="shared" si="71"/>
        <v>-1.0083422256563975E-5</v>
      </c>
      <c r="Q286" s="4">
        <f t="shared" si="69"/>
        <v>10.890304579400015</v>
      </c>
      <c r="R286" s="4">
        <f t="shared" si="70"/>
        <v>3.5104698138789816</v>
      </c>
      <c r="S286">
        <f t="shared" si="77"/>
        <v>21.79009532150161</v>
      </c>
      <c r="U286">
        <f t="shared" si="73"/>
        <v>7.2633651071672034</v>
      </c>
      <c r="V286">
        <f t="shared" si="78"/>
        <v>2.0986680000000013</v>
      </c>
      <c r="W286" s="5"/>
      <c r="Y286">
        <f t="shared" si="79"/>
        <v>-1.588058204718795</v>
      </c>
      <c r="Z286">
        <f t="shared" si="80"/>
        <v>1.0863254967178091</v>
      </c>
      <c r="AA286" s="4">
        <f t="shared" si="82"/>
        <v>-136.81179864691043</v>
      </c>
      <c r="AB286">
        <f t="shared" si="81"/>
        <v>-57.171748220441977</v>
      </c>
      <c r="AG286" s="32">
        <v>0.26094855504092895</v>
      </c>
      <c r="AH286" s="32">
        <v>9.0447488514143193E-2</v>
      </c>
      <c r="AI286">
        <f t="shared" si="74"/>
        <v>0.2311</v>
      </c>
      <c r="AK286" s="32">
        <v>2.3017063723967945E-3</v>
      </c>
      <c r="AL286" s="32">
        <v>0.99523718333333466</v>
      </c>
      <c r="AM286" s="32">
        <v>1.0851522894207744</v>
      </c>
      <c r="AN286" s="33">
        <v>7.8899999999999998E-2</v>
      </c>
      <c r="AO286">
        <v>0.2311</v>
      </c>
    </row>
    <row r="287" spans="1:41" x14ac:dyDescent="0.2">
      <c r="A287" s="9" t="s">
        <v>53</v>
      </c>
      <c r="B287">
        <f t="shared" si="75"/>
        <v>340</v>
      </c>
      <c r="C287" t="s">
        <v>74</v>
      </c>
      <c r="D287" t="s">
        <v>15</v>
      </c>
      <c r="E287" t="s">
        <v>75</v>
      </c>
      <c r="J287" s="14">
        <f t="shared" si="68"/>
        <v>193.52441929067584</v>
      </c>
      <c r="K287">
        <f t="shared" si="84"/>
        <v>-3.9434999999999985</v>
      </c>
      <c r="L287">
        <f t="shared" si="72"/>
        <v>40.251866000000007</v>
      </c>
      <c r="M287" s="33">
        <f t="shared" si="76"/>
        <v>12.953088000000005</v>
      </c>
      <c r="O287">
        <f t="shared" si="83"/>
        <v>36.308366000000007</v>
      </c>
      <c r="P287" s="14">
        <f t="shared" si="71"/>
        <v>1.7007000953123295E-3</v>
      </c>
      <c r="Q287" s="4">
        <f t="shared" si="69"/>
        <v>4.2362493135999921</v>
      </c>
      <c r="R287" s="4">
        <f t="shared" si="70"/>
        <v>9.5231079969577692</v>
      </c>
      <c r="S287">
        <f t="shared" si="77"/>
        <v>80.132287081771381</v>
      </c>
      <c r="U287">
        <f t="shared" si="73"/>
        <v>26.710762360590461</v>
      </c>
      <c r="V287">
        <f t="shared" si="78"/>
        <v>0.72646200000000027</v>
      </c>
      <c r="W287" s="5"/>
      <c r="Y287">
        <f t="shared" si="79"/>
        <v>8.3766080240000349</v>
      </c>
      <c r="Z287">
        <f t="shared" si="80"/>
        <v>6.4974598153667387</v>
      </c>
      <c r="AA287" s="4">
        <f t="shared" si="82"/>
        <v>155.13343340766809</v>
      </c>
      <c r="AB287" s="28">
        <f t="shared" si="81"/>
        <v>39.859156421162318</v>
      </c>
      <c r="AG287" s="32">
        <v>0.2090744540349051</v>
      </c>
      <c r="AH287" s="32">
        <v>0.1</v>
      </c>
      <c r="AI287">
        <f t="shared" si="74"/>
        <v>0.2419</v>
      </c>
      <c r="AK287" s="32">
        <v>3.6187067708332021E-3</v>
      </c>
      <c r="AL287" s="32">
        <v>0.37009106666666591</v>
      </c>
      <c r="AM287" s="32">
        <v>2.9171566108951152</v>
      </c>
      <c r="AN287" s="33">
        <v>0.25330000000000003</v>
      </c>
      <c r="AO287">
        <v>0.2419</v>
      </c>
    </row>
    <row r="288" spans="1:41" x14ac:dyDescent="0.2">
      <c r="A288" s="9" t="s">
        <v>54</v>
      </c>
      <c r="B288">
        <f t="shared" si="75"/>
        <v>340</v>
      </c>
      <c r="C288" t="s">
        <v>74</v>
      </c>
      <c r="D288" t="s">
        <v>15</v>
      </c>
      <c r="E288" t="s">
        <v>75</v>
      </c>
      <c r="J288" s="14">
        <f t="shared" si="68"/>
        <v>187.8136931022282</v>
      </c>
      <c r="K288">
        <f t="shared" si="84"/>
        <v>-5.2973260273329306</v>
      </c>
      <c r="L288">
        <f t="shared" si="72"/>
        <v>40.317907999999996</v>
      </c>
      <c r="M288" s="33">
        <f t="shared" si="76"/>
        <v>11.394432000000002</v>
      </c>
      <c r="O288">
        <f t="shared" si="83"/>
        <v>35.020581972667067</v>
      </c>
      <c r="P288" s="14">
        <f t="shared" si="71"/>
        <v>1.5819150755531107E-2</v>
      </c>
      <c r="Q288" s="4">
        <f t="shared" si="69"/>
        <v>3.0264132455999788</v>
      </c>
      <c r="R288" s="4">
        <f t="shared" si="70"/>
        <v>10.478395518663797</v>
      </c>
      <c r="S288">
        <f t="shared" si="77"/>
        <v>55.837603721413529</v>
      </c>
      <c r="U288">
        <f t="shared" si="73"/>
        <v>18.61253457380451</v>
      </c>
      <c r="V288">
        <f t="shared" si="78"/>
        <v>0.21280200000000349</v>
      </c>
      <c r="W288" s="5"/>
      <c r="Y288">
        <f t="shared" si="79"/>
        <v>6.1772674452573071</v>
      </c>
      <c r="Z288">
        <f t="shared" si="80"/>
        <v>5.9483283553498616</v>
      </c>
      <c r="AA288" s="4">
        <f t="shared" si="82"/>
        <v>192.58769053027754</v>
      </c>
      <c r="AB288" s="28">
        <f t="shared" si="81"/>
        <v>37.663365595605249</v>
      </c>
      <c r="AG288" s="32">
        <v>0.20452490883810848</v>
      </c>
      <c r="AH288" s="32">
        <v>8.8477586047636669E-2</v>
      </c>
      <c r="AI288">
        <f t="shared" si="74"/>
        <v>0.2422</v>
      </c>
      <c r="AK288" s="32">
        <v>1.448741397654435E-2</v>
      </c>
      <c r="AL288" s="32">
        <v>0.25642739999999797</v>
      </c>
      <c r="AM288" s="32">
        <v>3.2082253256135882</v>
      </c>
      <c r="AN288" s="33">
        <v>0.22869999999999999</v>
      </c>
      <c r="AO288">
        <v>0.2422</v>
      </c>
    </row>
    <row r="289" spans="1:45" x14ac:dyDescent="0.2">
      <c r="A289" s="9" t="s">
        <v>55</v>
      </c>
      <c r="B289">
        <f t="shared" si="75"/>
        <v>340</v>
      </c>
      <c r="C289" t="s">
        <v>74</v>
      </c>
      <c r="D289" t="s">
        <v>15</v>
      </c>
      <c r="E289" t="s">
        <v>75</v>
      </c>
      <c r="J289" s="14">
        <f t="shared" si="68"/>
        <v>204.7006189136161</v>
      </c>
      <c r="K289">
        <f t="shared" si="84"/>
        <v>-3.9434999999999985</v>
      </c>
      <c r="L289">
        <f t="shared" si="72"/>
        <v>44.742722000000001</v>
      </c>
      <c r="M289" s="33">
        <f t="shared" si="76"/>
        <v>5.96448</v>
      </c>
      <c r="O289">
        <f t="shared" si="83"/>
        <v>40.799222</v>
      </c>
      <c r="P289" s="14">
        <f t="shared" si="71"/>
        <v>2.3438712756036768E-2</v>
      </c>
      <c r="Q289" s="4">
        <f t="shared" si="69"/>
        <v>5.7015030632000494</v>
      </c>
      <c r="R289" s="4">
        <f t="shared" si="70"/>
        <v>8.1273390510593018</v>
      </c>
      <c r="S289">
        <f t="shared" si="77"/>
        <v>50.833027758176883</v>
      </c>
      <c r="U289">
        <f t="shared" si="73"/>
        <v>16.944342586058958</v>
      </c>
      <c r="V289">
        <f t="shared" si="78"/>
        <v>0.60171600000000092</v>
      </c>
      <c r="W289" s="5"/>
      <c r="Y289">
        <f t="shared" si="79"/>
        <v>5.7380363511999546</v>
      </c>
      <c r="Z289">
        <f t="shared" si="80"/>
        <v>5.2518886649705001</v>
      </c>
      <c r="AA289" s="4">
        <f t="shared" si="82"/>
        <v>183.05525944854674</v>
      </c>
      <c r="AB289" s="28">
        <f t="shared" si="81"/>
        <v>36.912328427728404</v>
      </c>
      <c r="AG289" s="32">
        <v>0.21797815973451418</v>
      </c>
      <c r="AH289" s="32">
        <v>0.1</v>
      </c>
      <c r="AI289">
        <f t="shared" si="74"/>
        <v>0.26229999999999998</v>
      </c>
      <c r="AK289" s="32">
        <v>2.035312760279967E-2</v>
      </c>
      <c r="AL289" s="32">
        <v>0.50775113333333799</v>
      </c>
      <c r="AM289" s="32">
        <v>2.4918766151917433</v>
      </c>
      <c r="AN289" s="33">
        <v>0.14299999999999999</v>
      </c>
      <c r="AO289">
        <v>0.26229999999999998</v>
      </c>
    </row>
    <row r="290" spans="1:45" x14ac:dyDescent="0.2">
      <c r="A290" s="9" t="s">
        <v>57</v>
      </c>
      <c r="B290">
        <f t="shared" si="75"/>
        <v>340</v>
      </c>
      <c r="C290" t="s">
        <v>19</v>
      </c>
      <c r="D290" t="s">
        <v>15</v>
      </c>
      <c r="E290" t="s">
        <v>3</v>
      </c>
      <c r="J290" s="14">
        <f t="shared" si="68"/>
        <v>233.42893200836701</v>
      </c>
      <c r="K290">
        <f t="shared" si="84"/>
        <v>-3.9434999999999985</v>
      </c>
      <c r="L290">
        <f t="shared" si="72"/>
        <v>71.401676000000009</v>
      </c>
      <c r="M290" s="33">
        <f t="shared" si="76"/>
        <v>16.108416000000002</v>
      </c>
      <c r="O290">
        <f t="shared" si="83"/>
        <v>67.458176000000009</v>
      </c>
      <c r="P290" s="14">
        <f t="shared" si="71"/>
        <v>5.3718213627970222E-3</v>
      </c>
      <c r="Q290" s="4">
        <f t="shared" si="69"/>
        <v>0.479046815600008</v>
      </c>
      <c r="R290" s="4">
        <f t="shared" si="70"/>
        <v>14.83001506469104</v>
      </c>
      <c r="S290">
        <f t="shared" si="77"/>
        <v>61.0051480655342</v>
      </c>
      <c r="U290">
        <f t="shared" si="73"/>
        <v>20.335049355178068</v>
      </c>
      <c r="V290">
        <f t="shared" si="78"/>
        <v>-1.4382480000000015</v>
      </c>
      <c r="W290" s="5"/>
      <c r="Y290">
        <f t="shared" si="79"/>
        <v>12.298417498400026</v>
      </c>
      <c r="Z290">
        <f t="shared" si="80"/>
        <v>10.099629303194718</v>
      </c>
      <c r="AA290" s="4">
        <f t="shared" si="82"/>
        <v>164.24274593879477</v>
      </c>
      <c r="AB290">
        <f t="shared" si="81"/>
        <v>20.668359727810078</v>
      </c>
      <c r="AG290" s="32">
        <v>0.24086504916666573</v>
      </c>
      <c r="AH290" s="32">
        <v>0.1</v>
      </c>
      <c r="AI290">
        <f t="shared" si="74"/>
        <v>0.38340000000000002</v>
      </c>
      <c r="AK290" s="32">
        <v>6.4448201407213412E-3</v>
      </c>
      <c r="AL290" s="32">
        <v>1.7103233333334078E-2</v>
      </c>
      <c r="AM290" s="32">
        <v>4.5341301233062277</v>
      </c>
      <c r="AN290" s="33">
        <v>0.30309999999999998</v>
      </c>
      <c r="AO290">
        <v>0.38340000000000002</v>
      </c>
    </row>
    <row r="291" spans="1:45" x14ac:dyDescent="0.2">
      <c r="A291" s="9" t="s">
        <v>58</v>
      </c>
      <c r="B291">
        <f t="shared" si="75"/>
        <v>340</v>
      </c>
      <c r="C291" t="s">
        <v>19</v>
      </c>
      <c r="D291" t="s">
        <v>15</v>
      </c>
      <c r="E291" t="s">
        <v>3</v>
      </c>
      <c r="J291" s="14">
        <f t="shared" si="68"/>
        <v>211.55334352059987</v>
      </c>
      <c r="K291">
        <f t="shared" si="84"/>
        <v>39.927549817594659</v>
      </c>
      <c r="L291">
        <f t="shared" si="72"/>
        <v>43.179727999999997</v>
      </c>
      <c r="M291" s="33">
        <f t="shared" si="76"/>
        <v>13.567680000000003</v>
      </c>
      <c r="O291">
        <f t="shared" si="83"/>
        <v>83.10727781759465</v>
      </c>
      <c r="P291" s="14">
        <f t="shared" si="71"/>
        <v>4.7875118185942613E-3</v>
      </c>
      <c r="Q291" s="4">
        <v>0</v>
      </c>
      <c r="R291" s="4">
        <f t="shared" si="70"/>
        <v>15.512647304267974</v>
      </c>
      <c r="S291">
        <f t="shared" si="77"/>
        <v>64.529508377413833</v>
      </c>
      <c r="U291">
        <f t="shared" si="73"/>
        <v>21.509836125804611</v>
      </c>
      <c r="V291">
        <f t="shared" si="78"/>
        <v>0.11006999999999796</v>
      </c>
      <c r="W291" s="5"/>
      <c r="Y291">
        <f t="shared" si="79"/>
        <v>3.6003121917407648</v>
      </c>
      <c r="Z291">
        <f t="shared" si="80"/>
        <v>9.9906647974518492</v>
      </c>
      <c r="AA291" s="4">
        <f t="shared" si="82"/>
        <v>554.98880460259886</v>
      </c>
      <c r="AB291">
        <f t="shared" si="81"/>
        <v>74.680454708722507</v>
      </c>
      <c r="AG291" s="32">
        <v>0.22343749700474458</v>
      </c>
      <c r="AH291" s="32">
        <v>0.473386525533807</v>
      </c>
      <c r="AI291">
        <f t="shared" si="74"/>
        <v>0.25519999999999998</v>
      </c>
      <c r="AK291" s="32">
        <v>5.9950052491102857E-3</v>
      </c>
      <c r="AL291" s="32" t="s">
        <v>84</v>
      </c>
      <c r="AM291" s="32">
        <v>4.7421228836892064</v>
      </c>
      <c r="AN291" s="33">
        <v>0.26300000000000001</v>
      </c>
      <c r="AO291">
        <v>0.25519999999999998</v>
      </c>
    </row>
    <row r="292" spans="1:45" x14ac:dyDescent="0.2">
      <c r="A292" s="9" t="s">
        <v>59</v>
      </c>
      <c r="B292">
        <f t="shared" si="75"/>
        <v>340</v>
      </c>
      <c r="C292" t="s">
        <v>19</v>
      </c>
      <c r="D292" t="s">
        <v>15</v>
      </c>
      <c r="E292" t="s">
        <v>3</v>
      </c>
      <c r="J292" s="14">
        <f t="shared" si="68"/>
        <v>229.79047291420886</v>
      </c>
      <c r="K292">
        <f t="shared" si="84"/>
        <v>-5.090442667468805</v>
      </c>
      <c r="L292">
        <f t="shared" si="72"/>
        <v>42.695420000000006</v>
      </c>
      <c r="M292" s="33">
        <f t="shared" si="76"/>
        <v>14.587776000000003</v>
      </c>
      <c r="O292">
        <f t="shared" si="83"/>
        <v>37.604977332531199</v>
      </c>
      <c r="P292" s="14">
        <f t="shared" si="71"/>
        <v>1.9843488724999827E-2</v>
      </c>
      <c r="Q292" s="4">
        <f t="shared" si="69"/>
        <v>4.2315687919999743</v>
      </c>
      <c r="R292" s="4">
        <f t="shared" si="70"/>
        <v>11.186321705765911</v>
      </c>
      <c r="S292">
        <f t="shared" si="77"/>
        <v>32.162302233755099</v>
      </c>
      <c r="U292">
        <f t="shared" si="73"/>
        <v>10.7207674112517</v>
      </c>
      <c r="V292">
        <f t="shared" si="78"/>
        <v>-0.52099800000000118</v>
      </c>
      <c r="W292" s="5"/>
      <c r="Y292">
        <f t="shared" si="79"/>
        <v>7.6984684948000073</v>
      </c>
      <c r="Z292">
        <f t="shared" si="80"/>
        <v>6.4734897158578635</v>
      </c>
      <c r="AA292" s="4">
        <f t="shared" si="82"/>
        <v>168.17603969491944</v>
      </c>
      <c r="AB292">
        <f t="shared" si="81"/>
        <v>17.407305457074234</v>
      </c>
      <c r="AG292" s="32">
        <v>0.23796641008831976</v>
      </c>
      <c r="AH292" s="32">
        <v>9.0238370420283376E-2</v>
      </c>
      <c r="AI292">
        <f t="shared" si="74"/>
        <v>0.253</v>
      </c>
      <c r="AK292" s="32">
        <v>1.7585441666666535E-2</v>
      </c>
      <c r="AL292" s="32">
        <v>0.36965133333333089</v>
      </c>
      <c r="AM292" s="32">
        <v>3.4239249560529892</v>
      </c>
      <c r="AN292" s="33">
        <v>0.27910000000000001</v>
      </c>
      <c r="AO292">
        <v>0.253</v>
      </c>
    </row>
    <row r="293" spans="1:45" x14ac:dyDescent="0.2">
      <c r="A293" s="9" t="s">
        <v>60</v>
      </c>
      <c r="B293">
        <f t="shared" si="75"/>
        <v>340</v>
      </c>
      <c r="C293" t="s">
        <v>74</v>
      </c>
      <c r="D293" t="s">
        <v>15</v>
      </c>
      <c r="E293" t="s">
        <v>3</v>
      </c>
      <c r="J293" s="14">
        <f t="shared" si="68"/>
        <v>230.556949915405</v>
      </c>
      <c r="K293">
        <f t="shared" si="84"/>
        <v>-3.9434999999999985</v>
      </c>
      <c r="L293">
        <f t="shared" si="72"/>
        <v>39.415334000000001</v>
      </c>
      <c r="M293" s="33">
        <f t="shared" si="76"/>
        <v>8.6762879999999996</v>
      </c>
      <c r="O293">
        <f t="shared" si="83"/>
        <v>35.471834000000001</v>
      </c>
      <c r="P293" s="14">
        <f t="shared" si="71"/>
        <v>7.2836964447372185E-3</v>
      </c>
      <c r="Q293" s="4">
        <f t="shared" si="69"/>
        <v>4.8653224864000038</v>
      </c>
      <c r="R293" s="4">
        <f t="shared" si="70"/>
        <v>10.987235732661581</v>
      </c>
      <c r="S293">
        <f t="shared" si="77"/>
        <v>31.468198154855685</v>
      </c>
      <c r="U293">
        <f t="shared" si="73"/>
        <v>10.489399384951895</v>
      </c>
      <c r="V293">
        <f t="shared" si="78"/>
        <v>0.83653199999999828</v>
      </c>
      <c r="W293" s="5"/>
      <c r="Y293">
        <f t="shared" si="79"/>
        <v>7.5120691701999647</v>
      </c>
      <c r="Z293">
        <f t="shared" si="80"/>
        <v>6.2629359307185641</v>
      </c>
      <c r="AA293" s="4">
        <f t="shared" si="82"/>
        <v>166.74329772050942</v>
      </c>
      <c r="AB293">
        <f t="shared" si="81"/>
        <v>17.454244541841522</v>
      </c>
      <c r="AG293" s="32">
        <v>0.23857703676593933</v>
      </c>
      <c r="AH293" s="32">
        <v>0.1</v>
      </c>
      <c r="AI293">
        <f t="shared" si="74"/>
        <v>0.23810000000000001</v>
      </c>
      <c r="AK293" s="32">
        <v>7.9166254385967805E-3</v>
      </c>
      <c r="AL293" s="32">
        <v>0.42919226666666699</v>
      </c>
      <c r="AM293" s="32">
        <v>3.363265000810963</v>
      </c>
      <c r="AN293" s="33">
        <v>0.18579999999999999</v>
      </c>
      <c r="AO293">
        <v>0.23810000000000001</v>
      </c>
    </row>
    <row r="294" spans="1:45" x14ac:dyDescent="0.2">
      <c r="A294" s="9" t="s">
        <v>61</v>
      </c>
      <c r="B294">
        <f t="shared" si="75"/>
        <v>340</v>
      </c>
      <c r="C294" t="s">
        <v>74</v>
      </c>
      <c r="D294" t="s">
        <v>15</v>
      </c>
      <c r="E294" t="s">
        <v>3</v>
      </c>
      <c r="J294" s="14">
        <f t="shared" si="68"/>
        <v>220.64151770257035</v>
      </c>
      <c r="K294">
        <f t="shared" si="84"/>
        <v>-3.9434999999999985</v>
      </c>
      <c r="L294">
        <f t="shared" si="72"/>
        <v>40.449991999999995</v>
      </c>
      <c r="M294" s="33">
        <f t="shared" si="76"/>
        <v>9.0817920000000001</v>
      </c>
      <c r="O294">
        <f t="shared" si="83"/>
        <v>36.506491999999994</v>
      </c>
      <c r="P294" s="14">
        <f t="shared" si="71"/>
        <v>4.5738181468749804E-3</v>
      </c>
      <c r="Q294" s="4">
        <f t="shared" si="69"/>
        <v>5.2427459536000391</v>
      </c>
      <c r="R294" s="4">
        <f t="shared" si="70"/>
        <v>9.3780275403381701</v>
      </c>
      <c r="S294">
        <f t="shared" si="77"/>
        <v>53.880851176116323</v>
      </c>
      <c r="U294">
        <f t="shared" si="73"/>
        <v>17.960283725372108</v>
      </c>
      <c r="V294">
        <f t="shared" si="78"/>
        <v>1.3575299999999995</v>
      </c>
      <c r="W294" s="5"/>
      <c r="Y294">
        <f t="shared" si="79"/>
        <v>8.1093801148000164</v>
      </c>
      <c r="Z294">
        <f t="shared" si="80"/>
        <v>5.0306252223285179</v>
      </c>
      <c r="AA294" s="4">
        <f t="shared" si="82"/>
        <v>124.06929139127121</v>
      </c>
      <c r="AB294">
        <f t="shared" si="81"/>
        <v>27.684427587433149</v>
      </c>
      <c r="AG294" s="32">
        <v>0.23067774243638106</v>
      </c>
      <c r="AH294" s="32">
        <v>0.1</v>
      </c>
      <c r="AI294">
        <f t="shared" si="74"/>
        <v>0.24279999999999999</v>
      </c>
      <c r="AK294" s="32">
        <v>5.8304989583333189E-3</v>
      </c>
      <c r="AL294" s="32">
        <v>0.46465106666667033</v>
      </c>
      <c r="AM294" s="32">
        <v>2.8729517185673887</v>
      </c>
      <c r="AN294" s="33">
        <v>0.19220000000000001</v>
      </c>
      <c r="AO294">
        <v>0.24279999999999999</v>
      </c>
    </row>
    <row r="295" spans="1:45" x14ac:dyDescent="0.2">
      <c r="A295" s="9" t="s">
        <v>62</v>
      </c>
      <c r="B295">
        <f t="shared" si="75"/>
        <v>340</v>
      </c>
      <c r="C295" t="s">
        <v>74</v>
      </c>
      <c r="D295" t="s">
        <v>15</v>
      </c>
      <c r="E295" t="s">
        <v>3</v>
      </c>
      <c r="J295" s="14">
        <f t="shared" si="68"/>
        <v>226.05100504361135</v>
      </c>
      <c r="K295">
        <f t="shared" si="84"/>
        <v>-5.4218642615653714</v>
      </c>
      <c r="L295">
        <f t="shared" si="72"/>
        <v>42.409237999999988</v>
      </c>
      <c r="M295" s="33">
        <f t="shared" si="76"/>
        <v>7.0225920000000022</v>
      </c>
      <c r="O295">
        <f t="shared" si="83"/>
        <v>36.987373738434613</v>
      </c>
      <c r="P295" s="14">
        <f t="shared" si="71"/>
        <v>3.473124221428842E-3</v>
      </c>
      <c r="Q295" s="4">
        <f t="shared" si="69"/>
        <v>4.956119176999997</v>
      </c>
      <c r="R295" s="4">
        <f t="shared" si="70"/>
        <v>10.353319586829539</v>
      </c>
      <c r="S295">
        <f t="shared" si="77"/>
        <v>35.004432392755547</v>
      </c>
      <c r="U295">
        <f t="shared" si="73"/>
        <v>11.668144130918515</v>
      </c>
      <c r="V295">
        <f t="shared" si="78"/>
        <v>1.5189660000000011</v>
      </c>
      <c r="W295" s="5"/>
      <c r="Y295">
        <f t="shared" si="79"/>
        <v>6.8922012833999924</v>
      </c>
      <c r="Z295">
        <f t="shared" si="80"/>
        <v>5.2637370888609762</v>
      </c>
      <c r="AA295" s="4">
        <f t="shared" si="82"/>
        <v>152.74472907629075</v>
      </c>
      <c r="AB295">
        <f t="shared" si="81"/>
        <v>21.161860433149055</v>
      </c>
      <c r="AG295" s="32">
        <v>0.23498730068474372</v>
      </c>
      <c r="AH295" s="32">
        <v>8.7417641077787378E-2</v>
      </c>
      <c r="AI295">
        <f t="shared" si="74"/>
        <v>0.25169999999999998</v>
      </c>
      <c r="AK295" s="32">
        <v>4.9831595238097326E-3</v>
      </c>
      <c r="AL295" s="32">
        <v>0.43772258333333314</v>
      </c>
      <c r="AM295" s="32">
        <v>3.1701156571692684</v>
      </c>
      <c r="AN295" s="33">
        <v>0.15970000000000001</v>
      </c>
      <c r="AO295">
        <v>0.25169999999999998</v>
      </c>
    </row>
    <row r="296" spans="1:45" x14ac:dyDescent="0.2">
      <c r="A296" s="9" t="s">
        <v>63</v>
      </c>
      <c r="B296">
        <f t="shared" si="75"/>
        <v>340</v>
      </c>
      <c r="C296" t="s">
        <v>76</v>
      </c>
      <c r="D296" t="s">
        <v>14</v>
      </c>
      <c r="E296" t="s">
        <v>3</v>
      </c>
      <c r="J296" s="14">
        <f t="shared" si="68"/>
        <v>284.02799867277582</v>
      </c>
      <c r="K296">
        <f t="shared" si="84"/>
        <v>34.827141676814726</v>
      </c>
      <c r="L296">
        <f t="shared" si="72"/>
        <v>39.063109999999995</v>
      </c>
      <c r="M296" s="33">
        <f t="shared" si="76"/>
        <v>0.92102400000000029</v>
      </c>
      <c r="O296">
        <f t="shared" si="83"/>
        <v>73.890251676814728</v>
      </c>
      <c r="P296" s="14">
        <f t="shared" si="71"/>
        <v>4.2933407169966058E-3</v>
      </c>
      <c r="Q296" s="4">
        <f t="shared" si="69"/>
        <v>13.492152227802331</v>
      </c>
      <c r="R296" s="4">
        <f t="shared" si="70"/>
        <v>2.1296153789558265</v>
      </c>
      <c r="S296">
        <f t="shared" si="77"/>
        <v>14.927591047333863</v>
      </c>
      <c r="U296">
        <f t="shared" si="73"/>
        <v>4.9758636824446212</v>
      </c>
      <c r="V296">
        <f t="shared" si="78"/>
        <v>0.77049000000000001</v>
      </c>
      <c r="W296" s="5"/>
      <c r="Y296">
        <f t="shared" si="79"/>
        <v>2.0196724274336511</v>
      </c>
      <c r="Z296">
        <f t="shared" si="80"/>
        <v>1.0641791312633613</v>
      </c>
      <c r="AA296" s="4">
        <f t="shared" si="82"/>
        <v>105.38135955201288</v>
      </c>
      <c r="AB296">
        <f t="shared" si="81"/>
        <v>30.796229718099205</v>
      </c>
      <c r="AG296" s="32">
        <v>0.28117563894264475</v>
      </c>
      <c r="AH296" s="32">
        <v>0.42997694946010234</v>
      </c>
      <c r="AI296">
        <f t="shared" si="74"/>
        <v>0.23649999999999999</v>
      </c>
      <c r="AK296" s="32">
        <v>5.6145809984577411E-3</v>
      </c>
      <c r="AL296" s="32">
        <v>1.2396798410186332</v>
      </c>
      <c r="AM296" s="32">
        <v>0.66441662978544369</v>
      </c>
      <c r="AN296" s="33">
        <v>6.3399999999999998E-2</v>
      </c>
      <c r="AO296">
        <v>0.23649999999999999</v>
      </c>
    </row>
    <row r="297" spans="1:45" x14ac:dyDescent="0.2">
      <c r="A297" s="9" t="s">
        <v>64</v>
      </c>
      <c r="B297">
        <f t="shared" si="75"/>
        <v>340</v>
      </c>
      <c r="C297" t="s">
        <v>76</v>
      </c>
      <c r="D297" t="s">
        <v>14</v>
      </c>
      <c r="E297" t="s">
        <v>3</v>
      </c>
      <c r="J297" s="14">
        <f t="shared" si="68"/>
        <v>307.14418527320254</v>
      </c>
      <c r="K297">
        <f t="shared" si="84"/>
        <v>44.069358927759346</v>
      </c>
      <c r="L297">
        <f t="shared" si="72"/>
        <v>38.600816000000002</v>
      </c>
      <c r="M297" s="33">
        <f t="shared" si="76"/>
        <v>7.7639040000000001</v>
      </c>
      <c r="O297">
        <f t="shared" si="83"/>
        <v>82.670174927759348</v>
      </c>
      <c r="P297" s="14">
        <f t="shared" si="71"/>
        <v>3.2871257012226356E-3</v>
      </c>
      <c r="Q297" s="4">
        <f t="shared" si="69"/>
        <v>13.415398616799973</v>
      </c>
      <c r="R297" s="4">
        <f t="shared" si="70"/>
        <v>5.4772114733490262</v>
      </c>
      <c r="S297">
        <f t="shared" si="77"/>
        <v>17.691646810450379</v>
      </c>
      <c r="U297">
        <f t="shared" si="73"/>
        <v>5.8972156034834597</v>
      </c>
      <c r="V297">
        <f t="shared" si="78"/>
        <v>0.49164600000000058</v>
      </c>
      <c r="W297" s="5"/>
      <c r="Y297">
        <f t="shared" si="79"/>
        <v>-7.1629933222701547</v>
      </c>
      <c r="Z297">
        <f t="shared" si="80"/>
        <v>4.4225307651193697</v>
      </c>
      <c r="AA297" s="4">
        <f t="shared" si="82"/>
        <v>-123.48275549467482</v>
      </c>
      <c r="AB297">
        <f t="shared" si="81"/>
        <v>-10.291115980013341</v>
      </c>
      <c r="AG297" s="32">
        <v>0.29959153426765139</v>
      </c>
      <c r="AH297" s="32">
        <v>0.50863746480922034</v>
      </c>
      <c r="AI297">
        <f t="shared" si="74"/>
        <v>0.2344</v>
      </c>
      <c r="AK297" s="32">
        <v>4.8399735960143464E-3</v>
      </c>
      <c r="AL297" s="32">
        <v>1.2324688666666641</v>
      </c>
      <c r="AM297" s="32">
        <v>1.6844032520868453</v>
      </c>
      <c r="AN297" s="33">
        <v>0.1714</v>
      </c>
      <c r="AO297">
        <v>0.2344</v>
      </c>
    </row>
    <row r="298" spans="1:45" x14ac:dyDescent="0.2">
      <c r="A298" s="9" t="s">
        <v>65</v>
      </c>
      <c r="B298">
        <f t="shared" si="75"/>
        <v>340</v>
      </c>
      <c r="C298" t="s">
        <v>76</v>
      </c>
      <c r="D298" t="s">
        <v>14</v>
      </c>
      <c r="E298" t="s">
        <v>3</v>
      </c>
      <c r="J298" s="14">
        <f t="shared" si="68"/>
        <v>306.12229711331616</v>
      </c>
      <c r="K298">
        <f t="shared" si="84"/>
        <v>42.594505305215641</v>
      </c>
      <c r="L298">
        <f t="shared" si="72"/>
        <v>37.103864000000002</v>
      </c>
      <c r="M298" s="33">
        <f t="shared" si="76"/>
        <v>6.3889920000000009</v>
      </c>
      <c r="O298">
        <f t="shared" si="83"/>
        <v>79.698369305215635</v>
      </c>
      <c r="P298" s="14">
        <f t="shared" si="71"/>
        <v>3.9747272815999941E-3</v>
      </c>
      <c r="Q298" s="4">
        <f t="shared" si="69"/>
        <v>14.367924854800007</v>
      </c>
      <c r="R298" s="4">
        <f t="shared" si="70"/>
        <v>4.0454033381488657</v>
      </c>
      <c r="S298">
        <f t="shared" si="77"/>
        <v>11.696470193792777</v>
      </c>
      <c r="U298">
        <f t="shared" si="73"/>
        <v>3.8988233979309257</v>
      </c>
      <c r="V298">
        <f t="shared" si="78"/>
        <v>-0.2128020000000011</v>
      </c>
      <c r="W298" s="5"/>
      <c r="Y298">
        <f t="shared" si="79"/>
        <v>4.5597334879998836</v>
      </c>
      <c r="Z298">
        <f t="shared" si="80"/>
        <v>3.2198077798951807</v>
      </c>
      <c r="AA298" s="4">
        <f t="shared" si="82"/>
        <v>141.22789362005199</v>
      </c>
      <c r="AB298">
        <f t="shared" si="81"/>
        <v>10.688188816823633</v>
      </c>
      <c r="AG298" s="32">
        <v>0.29877743003360857</v>
      </c>
      <c r="AH298" s="32">
        <v>0.49608498493736453</v>
      </c>
      <c r="AI298">
        <f t="shared" si="74"/>
        <v>0.2276</v>
      </c>
      <c r="AK298" s="32">
        <v>5.3693050666666631E-3</v>
      </c>
      <c r="AL298" s="32">
        <v>1.3219583666666672</v>
      </c>
      <c r="AM298" s="32">
        <v>1.2481423943171439</v>
      </c>
      <c r="AN298" s="33">
        <v>0.1497</v>
      </c>
      <c r="AO298">
        <v>0.2276</v>
      </c>
    </row>
    <row r="299" spans="1:45" x14ac:dyDescent="0.2">
      <c r="A299" s="9" t="s">
        <v>66</v>
      </c>
      <c r="B299">
        <f t="shared" si="75"/>
        <v>340</v>
      </c>
      <c r="C299" t="s">
        <v>76</v>
      </c>
      <c r="D299" t="s">
        <v>15</v>
      </c>
      <c r="E299" t="s">
        <v>3</v>
      </c>
      <c r="J299" s="14">
        <f t="shared" si="68"/>
        <v>344.23052172908604</v>
      </c>
      <c r="K299">
        <f t="shared" si="84"/>
        <v>44.572142929899925</v>
      </c>
      <c r="L299">
        <f t="shared" si="72"/>
        <v>35.738996000000007</v>
      </c>
      <c r="M299" s="33">
        <f t="shared" si="76"/>
        <v>6.2432640000000008</v>
      </c>
      <c r="O299">
        <f t="shared" si="83"/>
        <v>80.311138929899926</v>
      </c>
      <c r="P299" s="14">
        <f t="shared" si="71"/>
        <v>4.2367811221827338E-3</v>
      </c>
      <c r="Q299" s="4">
        <f t="shared" si="69"/>
        <v>17.849078497303445</v>
      </c>
      <c r="R299" s="4">
        <f t="shared" si="70"/>
        <v>2.7765730777657081</v>
      </c>
      <c r="S299">
        <f t="shared" si="77"/>
        <v>-13.0688297999273</v>
      </c>
      <c r="U299">
        <f t="shared" si="73"/>
        <v>-4.3562765999757671</v>
      </c>
      <c r="V299">
        <f t="shared" si="78"/>
        <v>1.5189659999999965</v>
      </c>
      <c r="W299" s="5"/>
      <c r="Y299">
        <f>Q239-Q299</f>
        <v>-13.259143713722947</v>
      </c>
      <c r="Z299">
        <f t="shared" si="80"/>
        <v>1.9412257620944531</v>
      </c>
      <c r="AA299" s="4">
        <f t="shared" si="82"/>
        <v>-29.281314148293351</v>
      </c>
      <c r="AB299">
        <f t="shared" si="81"/>
        <v>4.1068607954930645</v>
      </c>
      <c r="AG299" s="32">
        <v>0.32913698231083854</v>
      </c>
      <c r="AH299" s="32">
        <v>0.51291665968679445</v>
      </c>
      <c r="AI299">
        <f t="shared" si="74"/>
        <v>0.22140000000000001</v>
      </c>
      <c r="AK299" s="32">
        <v>5.5710401248519892E-3</v>
      </c>
      <c r="AL299" s="32">
        <v>1.6490115085779258</v>
      </c>
      <c r="AM299" s="32">
        <v>0.86153963368851549</v>
      </c>
      <c r="AN299" s="33">
        <v>0.1474</v>
      </c>
      <c r="AO299">
        <v>0.22140000000000001</v>
      </c>
    </row>
    <row r="300" spans="1:45" x14ac:dyDescent="0.2">
      <c r="A300" s="9" t="s">
        <v>67</v>
      </c>
      <c r="B300">
        <f t="shared" si="75"/>
        <v>340</v>
      </c>
      <c r="C300" t="s">
        <v>76</v>
      </c>
      <c r="D300" t="s">
        <v>15</v>
      </c>
      <c r="E300" t="s">
        <v>3</v>
      </c>
      <c r="J300" s="14">
        <f t="shared" si="68"/>
        <v>318.84738621808651</v>
      </c>
      <c r="K300">
        <f t="shared" si="84"/>
        <v>36.039836169750139</v>
      </c>
      <c r="L300">
        <f t="shared" si="72"/>
        <v>34.242044000000007</v>
      </c>
      <c r="M300" s="33">
        <f t="shared" si="76"/>
        <v>5.7997440000000005</v>
      </c>
      <c r="O300">
        <f t="shared" si="83"/>
        <v>70.281880169750139</v>
      </c>
      <c r="P300" s="14">
        <f t="shared" si="71"/>
        <v>4.8405740102038944E-3</v>
      </c>
      <c r="Q300" s="4">
        <f t="shared" si="69"/>
        <v>18.105100960980298</v>
      </c>
      <c r="R300" s="4">
        <f t="shared" si="70"/>
        <v>1.0828439845795912</v>
      </c>
      <c r="S300">
        <f t="shared" si="77"/>
        <v>-55.707837637523596</v>
      </c>
      <c r="U300">
        <f t="shared" si="73"/>
        <v>-18.569279212507865</v>
      </c>
      <c r="V300">
        <f t="shared" si="78"/>
        <v>0.70444799999999685</v>
      </c>
      <c r="W300" s="5"/>
      <c r="Y300">
        <f t="shared" si="79"/>
        <v>-1.1088874243803311</v>
      </c>
      <c r="Z300">
        <f t="shared" si="80"/>
        <v>4.3775355322286158E-2</v>
      </c>
      <c r="AA300" s="4">
        <f t="shared" si="82"/>
        <v>-7.8953650947477776</v>
      </c>
      <c r="AB300">
        <f t="shared" si="81"/>
        <v>209.32331366825579</v>
      </c>
      <c r="AG300" s="32">
        <v>0.30891508435374226</v>
      </c>
      <c r="AH300" s="32">
        <v>0.440298192857144</v>
      </c>
      <c r="AI300">
        <f t="shared" si="74"/>
        <v>0.21460000000000001</v>
      </c>
      <c r="AK300" s="32">
        <v>6.0358537414964553E-3</v>
      </c>
      <c r="AL300" s="32">
        <v>1.6730647276381339</v>
      </c>
      <c r="AM300" s="32">
        <v>0.34547348707482972</v>
      </c>
      <c r="AN300" s="33">
        <v>0.1404</v>
      </c>
      <c r="AO300">
        <v>0.21460000000000001</v>
      </c>
    </row>
    <row r="301" spans="1:45" x14ac:dyDescent="0.2">
      <c r="A301" s="9" t="s">
        <v>68</v>
      </c>
      <c r="B301">
        <f t="shared" si="75"/>
        <v>340</v>
      </c>
      <c r="C301" t="s">
        <v>76</v>
      </c>
      <c r="D301" t="s">
        <v>15</v>
      </c>
      <c r="E301" t="s">
        <v>3</v>
      </c>
      <c r="J301" s="14">
        <f t="shared" si="68"/>
        <v>350.44439741618282</v>
      </c>
      <c r="K301">
        <f t="shared" si="84"/>
        <v>42.373467567674979</v>
      </c>
      <c r="L301">
        <f t="shared" si="72"/>
        <v>41.198468000000005</v>
      </c>
      <c r="M301" s="33">
        <f t="shared" si="76"/>
        <v>5.9328000000000003</v>
      </c>
      <c r="O301">
        <f t="shared" si="83"/>
        <v>83.571935567674984</v>
      </c>
      <c r="P301" s="14">
        <f t="shared" si="71"/>
        <v>3.8947388321369097E-3</v>
      </c>
      <c r="Q301" s="4">
        <f t="shared" si="69"/>
        <v>19.487089427368741</v>
      </c>
      <c r="R301" s="4">
        <f t="shared" si="70"/>
        <v>1.2059895148349993</v>
      </c>
      <c r="S301">
        <f t="shared" si="77"/>
        <v>-43.168261067336914</v>
      </c>
      <c r="U301">
        <f t="shared" si="73"/>
        <v>-14.38942035577897</v>
      </c>
      <c r="V301">
        <f t="shared" si="78"/>
        <v>1.6070219999999984</v>
      </c>
      <c r="W301" s="5"/>
      <c r="Y301">
        <f t="shared" si="79"/>
        <v>-1.1109942945687017</v>
      </c>
      <c r="Z301">
        <f t="shared" si="80"/>
        <v>0.4443691710457951</v>
      </c>
      <c r="AA301" s="4">
        <f t="shared" si="82"/>
        <v>-79.994861039012505</v>
      </c>
      <c r="AB301">
        <f t="shared" si="81"/>
        <v>161.89800013065187</v>
      </c>
      <c r="AG301" s="32">
        <v>0.33408736994155896</v>
      </c>
      <c r="AH301" s="32">
        <v>0.49420373264968709</v>
      </c>
      <c r="AI301">
        <f t="shared" si="74"/>
        <v>0.2462</v>
      </c>
      <c r="AK301" s="32">
        <v>5.3077281232770668E-3</v>
      </c>
      <c r="AL301" s="32">
        <v>1.8029020506735005</v>
      </c>
      <c r="AM301" s="32">
        <v>0.38299497709780606</v>
      </c>
      <c r="AN301" s="33">
        <v>0.14249999999999999</v>
      </c>
      <c r="AO301">
        <v>0.2462</v>
      </c>
    </row>
    <row r="302" spans="1:45" s="33" customFormat="1" x14ac:dyDescent="0.2">
      <c r="A302" s="35" t="s">
        <v>85</v>
      </c>
      <c r="C302" s="33" t="s">
        <v>19</v>
      </c>
      <c r="D302" s="33" t="s">
        <v>14</v>
      </c>
      <c r="E302" s="33" t="s">
        <v>75</v>
      </c>
      <c r="M302" s="33">
        <f>(1.584*AN302 - 0.0774)*40</f>
        <v>16.273152000000003</v>
      </c>
      <c r="W302" s="33">
        <f>AVERAGE(AR302:AT302)</f>
        <v>0.2616</v>
      </c>
      <c r="X302" s="33">
        <f>W302-W122</f>
        <v>-2.9949999999999977E-2</v>
      </c>
      <c r="AH302" s="34"/>
      <c r="AN302" s="33">
        <v>0.30570000000000003</v>
      </c>
      <c r="AR302" s="33">
        <v>0.20469999999999999</v>
      </c>
      <c r="AS302" s="33">
        <v>0.31850000000000001</v>
      </c>
    </row>
    <row r="303" spans="1:45" s="33" customFormat="1" x14ac:dyDescent="0.2">
      <c r="A303" s="35" t="s">
        <v>48</v>
      </c>
      <c r="C303" s="33" t="s">
        <v>19</v>
      </c>
      <c r="D303" s="33" t="s">
        <v>14</v>
      </c>
      <c r="E303" s="33" t="s">
        <v>75</v>
      </c>
      <c r="M303" s="33">
        <f t="shared" ref="M303:M331" si="85">(1.584*AN303 - 0.0774)*40</f>
        <v>15.392448000000002</v>
      </c>
      <c r="W303" s="33">
        <f t="shared" ref="W303:W331" si="86">AVERAGE(AR303:AT303)</f>
        <v>0.25609999999999999</v>
      </c>
      <c r="X303" s="33">
        <f t="shared" ref="X303:X331" si="87">W303-W123</f>
        <v>-2.410000000000001E-2</v>
      </c>
      <c r="AH303" s="34"/>
      <c r="AN303" s="33">
        <v>0.2918</v>
      </c>
      <c r="AR303" s="33">
        <v>0.25540000000000002</v>
      </c>
      <c r="AS303" s="33">
        <v>0.25679999999999997</v>
      </c>
    </row>
    <row r="304" spans="1:45" s="33" customFormat="1" x14ac:dyDescent="0.2">
      <c r="A304" s="35" t="s">
        <v>49</v>
      </c>
      <c r="C304" s="33" t="s">
        <v>19</v>
      </c>
      <c r="D304" s="33" t="s">
        <v>14</v>
      </c>
      <c r="E304" s="33" t="s">
        <v>75</v>
      </c>
      <c r="M304" s="33">
        <f t="shared" si="85"/>
        <v>12.940415999999999</v>
      </c>
      <c r="W304" s="33">
        <f t="shared" si="86"/>
        <v>0.24954999999999999</v>
      </c>
      <c r="X304" s="33">
        <f t="shared" si="87"/>
        <v>-4.2600000000000027E-2</v>
      </c>
      <c r="AH304" s="34"/>
      <c r="AN304" s="33">
        <v>0.25309999999999999</v>
      </c>
      <c r="AR304" s="33">
        <v>0.24790000000000001</v>
      </c>
      <c r="AS304" s="33">
        <v>0.25119999999999998</v>
      </c>
    </row>
    <row r="305" spans="1:45" s="33" customFormat="1" x14ac:dyDescent="0.2">
      <c r="A305" s="35" t="s">
        <v>50</v>
      </c>
      <c r="C305" s="33" t="s">
        <v>20</v>
      </c>
      <c r="D305" s="33" t="s">
        <v>14</v>
      </c>
      <c r="E305" s="33" t="s">
        <v>75</v>
      </c>
      <c r="M305" s="33">
        <f t="shared" si="85"/>
        <v>13.516992000000002</v>
      </c>
      <c r="W305" s="33">
        <f t="shared" si="86"/>
        <v>0.22434999999999999</v>
      </c>
      <c r="X305" s="33">
        <f t="shared" si="87"/>
        <v>-0.10920000000000002</v>
      </c>
      <c r="AH305" s="34"/>
      <c r="AN305" s="33">
        <v>0.26219999999999999</v>
      </c>
      <c r="AR305" s="33">
        <v>0.22670000000000001</v>
      </c>
      <c r="AS305" s="33">
        <v>0.222</v>
      </c>
    </row>
    <row r="306" spans="1:45" s="33" customFormat="1" x14ac:dyDescent="0.2">
      <c r="A306" s="35" t="s">
        <v>51</v>
      </c>
      <c r="C306" s="33" t="s">
        <v>20</v>
      </c>
      <c r="D306" s="33" t="s">
        <v>14</v>
      </c>
      <c r="E306" s="33" t="s">
        <v>75</v>
      </c>
      <c r="M306" s="33">
        <f t="shared" si="85"/>
        <v>15.937344000000003</v>
      </c>
      <c r="W306" s="33">
        <f t="shared" si="86"/>
        <v>0.24645</v>
      </c>
      <c r="X306" s="33">
        <f t="shared" si="87"/>
        <v>-9.6499999999999975E-2</v>
      </c>
      <c r="AH306" s="34"/>
      <c r="AN306" s="33">
        <v>0.3004</v>
      </c>
      <c r="AR306" s="33">
        <v>0.24349999999999999</v>
      </c>
      <c r="AS306" s="33">
        <v>0.24940000000000001</v>
      </c>
    </row>
    <row r="307" spans="1:45" s="33" customFormat="1" x14ac:dyDescent="0.2">
      <c r="A307" s="35" t="s">
        <v>52</v>
      </c>
      <c r="C307" s="33" t="s">
        <v>20</v>
      </c>
      <c r="D307" s="33" t="s">
        <v>14</v>
      </c>
      <c r="E307" s="33" t="s">
        <v>75</v>
      </c>
      <c r="M307" s="33">
        <f t="shared" si="85"/>
        <v>12.934079999999998</v>
      </c>
      <c r="W307" s="33">
        <f t="shared" si="86"/>
        <v>0.21590000000000001</v>
      </c>
      <c r="X307" s="33">
        <f t="shared" si="87"/>
        <v>-0.10050000000000001</v>
      </c>
      <c r="AH307" s="34"/>
      <c r="AN307" s="33">
        <v>0.253</v>
      </c>
      <c r="AR307" s="33">
        <v>0.21690000000000001</v>
      </c>
      <c r="AS307" s="33">
        <v>0.21490000000000001</v>
      </c>
    </row>
    <row r="308" spans="1:45" s="33" customFormat="1" x14ac:dyDescent="0.2">
      <c r="A308" s="35" t="s">
        <v>53</v>
      </c>
      <c r="C308" s="33" t="s">
        <v>74</v>
      </c>
      <c r="D308" s="33" t="s">
        <v>14</v>
      </c>
      <c r="E308" s="33" t="s">
        <v>75</v>
      </c>
      <c r="M308" s="33">
        <f t="shared" si="85"/>
        <v>1.2885119999999999</v>
      </c>
      <c r="W308" s="33">
        <f t="shared" si="86"/>
        <v>0.26819999999999999</v>
      </c>
      <c r="X308" s="33">
        <f t="shared" si="87"/>
        <v>-0.11355000000000004</v>
      </c>
      <c r="AH308" s="34"/>
      <c r="AN308" s="33">
        <v>6.9199999999999998E-2</v>
      </c>
      <c r="AR308" s="33">
        <v>0.2707</v>
      </c>
      <c r="AS308" s="33">
        <v>0.26569999999999999</v>
      </c>
    </row>
    <row r="309" spans="1:45" s="33" customFormat="1" x14ac:dyDescent="0.2">
      <c r="A309" s="35" t="s">
        <v>54</v>
      </c>
      <c r="C309" s="33" t="s">
        <v>74</v>
      </c>
      <c r="D309" s="33" t="s">
        <v>14</v>
      </c>
      <c r="E309" s="33" t="s">
        <v>75</v>
      </c>
      <c r="M309" s="33">
        <f t="shared" si="85"/>
        <v>10.355328</v>
      </c>
      <c r="W309" s="33">
        <f t="shared" si="86"/>
        <v>0.26024999999999998</v>
      </c>
      <c r="X309" s="33">
        <f t="shared" si="87"/>
        <v>-0.12045</v>
      </c>
      <c r="AH309" s="34"/>
      <c r="AN309" s="33">
        <v>0.21229999999999999</v>
      </c>
      <c r="AR309" s="33">
        <v>0.25900000000000001</v>
      </c>
      <c r="AS309" s="33">
        <v>0.26150000000000001</v>
      </c>
    </row>
    <row r="310" spans="1:45" s="33" customFormat="1" x14ac:dyDescent="0.2">
      <c r="A310" s="35" t="s">
        <v>55</v>
      </c>
      <c r="C310" s="33" t="s">
        <v>74</v>
      </c>
      <c r="D310" s="33" t="s">
        <v>14</v>
      </c>
      <c r="E310" s="33" t="s">
        <v>75</v>
      </c>
      <c r="M310" s="33">
        <f t="shared" si="85"/>
        <v>12.287808</v>
      </c>
      <c r="W310" s="33">
        <f t="shared" si="86"/>
        <v>0.32145000000000001</v>
      </c>
      <c r="X310" s="33">
        <f t="shared" si="87"/>
        <v>-0.17709999999999998</v>
      </c>
      <c r="AH310" s="34"/>
      <c r="AN310" s="33">
        <v>0.24279999999999999</v>
      </c>
      <c r="AR310" s="33">
        <v>0.32319999999999999</v>
      </c>
      <c r="AS310" s="33">
        <v>0.31969999999999998</v>
      </c>
    </row>
    <row r="311" spans="1:45" s="33" customFormat="1" x14ac:dyDescent="0.2">
      <c r="A311" s="35" t="s">
        <v>56</v>
      </c>
      <c r="C311" s="33" t="s">
        <v>19</v>
      </c>
      <c r="D311" s="33" t="s">
        <v>15</v>
      </c>
      <c r="E311" s="33" t="s">
        <v>75</v>
      </c>
      <c r="M311" s="33">
        <f t="shared" si="85"/>
        <v>16.444224000000002</v>
      </c>
      <c r="W311" s="33">
        <f t="shared" si="86"/>
        <v>0.24285000000000001</v>
      </c>
      <c r="X311" s="33">
        <f t="shared" si="87"/>
        <v>-3.3150000000000013E-2</v>
      </c>
      <c r="AH311" s="34"/>
      <c r="AN311" s="33">
        <v>0.30840000000000001</v>
      </c>
      <c r="AR311" s="33">
        <v>0.24329999999999999</v>
      </c>
      <c r="AS311" s="33">
        <v>0.2424</v>
      </c>
    </row>
    <row r="312" spans="1:45" s="33" customFormat="1" x14ac:dyDescent="0.2">
      <c r="A312" s="35" t="s">
        <v>48</v>
      </c>
      <c r="C312" s="33" t="s">
        <v>19</v>
      </c>
      <c r="D312" s="33" t="s">
        <v>15</v>
      </c>
      <c r="E312" s="33" t="s">
        <v>75</v>
      </c>
      <c r="M312" s="33">
        <f t="shared" si="85"/>
        <v>17.109504000000001</v>
      </c>
      <c r="W312" s="33">
        <f t="shared" si="86"/>
        <v>0.22310000000000002</v>
      </c>
      <c r="X312" s="33">
        <f t="shared" si="87"/>
        <v>-5.704999999999999E-2</v>
      </c>
      <c r="AH312" s="34"/>
      <c r="AN312" s="33">
        <v>0.31890000000000002</v>
      </c>
      <c r="AR312" s="33">
        <v>0.2235</v>
      </c>
      <c r="AS312" s="33">
        <v>0.22270000000000001</v>
      </c>
    </row>
    <row r="313" spans="1:45" s="33" customFormat="1" x14ac:dyDescent="0.2">
      <c r="A313" s="35" t="s">
        <v>49</v>
      </c>
      <c r="C313" s="33" t="s">
        <v>19</v>
      </c>
      <c r="D313" s="33" t="s">
        <v>15</v>
      </c>
      <c r="E313" s="33" t="s">
        <v>75</v>
      </c>
      <c r="M313" s="33">
        <f t="shared" si="85"/>
        <v>15.493824000000004</v>
      </c>
      <c r="W313" s="33">
        <f t="shared" si="86"/>
        <v>0.24640000000000001</v>
      </c>
      <c r="X313" s="33">
        <f t="shared" si="87"/>
        <v>-4.5850000000000002E-2</v>
      </c>
      <c r="AH313" s="34"/>
      <c r="AN313" s="33">
        <v>0.29339999999999999</v>
      </c>
      <c r="AR313" s="33">
        <v>0.2442</v>
      </c>
      <c r="AS313" s="33">
        <v>0.24859999999999999</v>
      </c>
    </row>
    <row r="314" spans="1:45" s="33" customFormat="1" x14ac:dyDescent="0.2">
      <c r="A314" s="35" t="s">
        <v>50</v>
      </c>
      <c r="C314" s="33" t="s">
        <v>20</v>
      </c>
      <c r="D314" s="33" t="s">
        <v>15</v>
      </c>
      <c r="E314" s="33" t="s">
        <v>75</v>
      </c>
      <c r="M314" s="33">
        <f t="shared" si="85"/>
        <v>15.797952000000004</v>
      </c>
      <c r="W314" s="33">
        <f t="shared" si="86"/>
        <v>0.2225</v>
      </c>
      <c r="X314" s="33">
        <f t="shared" si="87"/>
        <v>-0.11339999999999997</v>
      </c>
      <c r="AH314" s="34"/>
      <c r="AN314" s="33">
        <v>0.29820000000000002</v>
      </c>
      <c r="AR314" s="33">
        <v>0.2177</v>
      </c>
      <c r="AS314" s="33">
        <v>0.2273</v>
      </c>
    </row>
    <row r="315" spans="1:45" s="33" customFormat="1" x14ac:dyDescent="0.2">
      <c r="A315" s="35" t="s">
        <v>51</v>
      </c>
      <c r="C315" s="33" t="s">
        <v>20</v>
      </c>
      <c r="D315" s="33" t="s">
        <v>15</v>
      </c>
      <c r="E315" s="33" t="s">
        <v>75</v>
      </c>
      <c r="M315" s="33">
        <f t="shared" si="85"/>
        <v>15.506496000000002</v>
      </c>
      <c r="W315" s="33">
        <f t="shared" si="86"/>
        <v>0.22565000000000002</v>
      </c>
      <c r="X315" s="33">
        <f t="shared" si="87"/>
        <v>-0.11119999999999997</v>
      </c>
      <c r="AH315" s="34"/>
      <c r="AN315" s="33">
        <v>0.29360000000000003</v>
      </c>
      <c r="AR315" s="33">
        <v>0.2283</v>
      </c>
      <c r="AS315" s="33">
        <v>0.223</v>
      </c>
    </row>
    <row r="316" spans="1:45" s="33" customFormat="1" x14ac:dyDescent="0.2">
      <c r="A316" s="35" t="s">
        <v>52</v>
      </c>
      <c r="C316" s="33" t="s">
        <v>20</v>
      </c>
      <c r="D316" s="33" t="s">
        <v>15</v>
      </c>
      <c r="E316" s="33" t="s">
        <v>75</v>
      </c>
      <c r="M316" s="33">
        <f t="shared" si="85"/>
        <v>2.4543360000000005</v>
      </c>
      <c r="W316" s="33">
        <f t="shared" si="86"/>
        <v>0.21134999999999998</v>
      </c>
      <c r="X316" s="33">
        <f t="shared" si="87"/>
        <v>-0.11125000000000002</v>
      </c>
      <c r="AH316" s="34"/>
      <c r="AN316" s="33">
        <v>8.7599999999999997E-2</v>
      </c>
      <c r="AR316" s="33">
        <v>0.2135</v>
      </c>
      <c r="AS316" s="33">
        <v>0.2092</v>
      </c>
    </row>
    <row r="317" spans="1:45" s="33" customFormat="1" x14ac:dyDescent="0.2">
      <c r="A317" s="35" t="s">
        <v>53</v>
      </c>
      <c r="C317" s="33" t="s">
        <v>74</v>
      </c>
      <c r="D317" s="33" t="s">
        <v>15</v>
      </c>
      <c r="E317" s="33" t="s">
        <v>75</v>
      </c>
      <c r="M317" s="33">
        <f t="shared" si="85"/>
        <v>13.016448</v>
      </c>
      <c r="W317" s="33">
        <f t="shared" si="86"/>
        <v>0.27700000000000002</v>
      </c>
      <c r="X317" s="33">
        <f t="shared" si="87"/>
        <v>-8.4349999999999925E-2</v>
      </c>
      <c r="AH317" s="34"/>
      <c r="AN317" s="33">
        <v>0.25430000000000003</v>
      </c>
      <c r="AR317" s="33">
        <v>0.27550000000000002</v>
      </c>
      <c r="AS317" s="33">
        <v>0.27850000000000003</v>
      </c>
    </row>
    <row r="318" spans="1:45" s="33" customFormat="1" x14ac:dyDescent="0.2">
      <c r="A318" s="35" t="s">
        <v>54</v>
      </c>
      <c r="C318" s="33" t="s">
        <v>74</v>
      </c>
      <c r="D318" s="33" t="s">
        <v>15</v>
      </c>
      <c r="E318" s="33" t="s">
        <v>75</v>
      </c>
      <c r="M318" s="33">
        <f t="shared" si="85"/>
        <v>14.581440000000004</v>
      </c>
      <c r="W318" s="33">
        <f t="shared" si="86"/>
        <v>0.30554999999999999</v>
      </c>
      <c r="X318" s="33">
        <f t="shared" si="87"/>
        <v>-7.400000000000001E-2</v>
      </c>
      <c r="AH318" s="34"/>
      <c r="AN318" s="33">
        <v>0.27900000000000003</v>
      </c>
      <c r="AR318" s="33">
        <v>0.30730000000000002</v>
      </c>
      <c r="AS318" s="33">
        <v>0.30380000000000001</v>
      </c>
    </row>
    <row r="319" spans="1:45" s="33" customFormat="1" x14ac:dyDescent="0.2">
      <c r="A319" s="35" t="s">
        <v>55</v>
      </c>
      <c r="C319" s="33" t="s">
        <v>74</v>
      </c>
      <c r="D319" s="33" t="s">
        <v>15</v>
      </c>
      <c r="E319" s="33" t="s">
        <v>75</v>
      </c>
      <c r="M319" s="33">
        <f t="shared" si="85"/>
        <v>14.670144000000001</v>
      </c>
      <c r="W319" s="33">
        <f t="shared" si="86"/>
        <v>0.44579999999999997</v>
      </c>
      <c r="X319" s="33">
        <f t="shared" si="87"/>
        <v>-5.3050000000000042E-2</v>
      </c>
      <c r="AH319" s="34"/>
      <c r="AN319" s="33">
        <v>0.28039999999999998</v>
      </c>
      <c r="AR319" s="33">
        <v>0.44979999999999998</v>
      </c>
      <c r="AS319" s="33">
        <v>0.44180000000000003</v>
      </c>
    </row>
    <row r="320" spans="1:45" s="33" customFormat="1" x14ac:dyDescent="0.2">
      <c r="A320" s="35" t="s">
        <v>57</v>
      </c>
      <c r="C320" s="33" t="s">
        <v>19</v>
      </c>
      <c r="D320" s="33" t="s">
        <v>15</v>
      </c>
      <c r="E320" s="33" t="s">
        <v>3</v>
      </c>
      <c r="M320" s="33">
        <f t="shared" si="85"/>
        <v>16.678655999999997</v>
      </c>
      <c r="W320" s="33">
        <f>AVERAGE(AR320:AT320)</f>
        <v>0.33424999999999999</v>
      </c>
      <c r="X320" s="33">
        <f t="shared" si="87"/>
        <v>1.8400000000000027E-2</v>
      </c>
      <c r="AH320" s="34"/>
      <c r="AN320" s="33">
        <v>0.31209999999999999</v>
      </c>
      <c r="AR320" s="33">
        <v>0.3387</v>
      </c>
      <c r="AS320" s="33">
        <v>0.32979999999999998</v>
      </c>
    </row>
    <row r="321" spans="1:45" s="33" customFormat="1" x14ac:dyDescent="0.2">
      <c r="A321" s="35" t="s">
        <v>58</v>
      </c>
      <c r="C321" s="33" t="s">
        <v>19</v>
      </c>
      <c r="D321" s="33" t="s">
        <v>15</v>
      </c>
      <c r="E321" s="33" t="s">
        <v>3</v>
      </c>
      <c r="M321" s="33">
        <f t="shared" si="85"/>
        <v>14.860223999999999</v>
      </c>
      <c r="W321" s="33">
        <f t="shared" si="86"/>
        <v>0.26239999999999997</v>
      </c>
      <c r="X321" s="33">
        <f t="shared" si="87"/>
        <v>-5.8350000000000013E-2</v>
      </c>
      <c r="AH321" s="34"/>
      <c r="AN321" s="33">
        <v>0.28339999999999999</v>
      </c>
      <c r="AR321" s="33">
        <v>0.26800000000000002</v>
      </c>
      <c r="AS321" s="33">
        <v>0.25679999999999997</v>
      </c>
    </row>
    <row r="322" spans="1:45" s="33" customFormat="1" x14ac:dyDescent="0.2">
      <c r="A322" s="35" t="s">
        <v>59</v>
      </c>
      <c r="C322" s="33" t="s">
        <v>19</v>
      </c>
      <c r="D322" s="33" t="s">
        <v>15</v>
      </c>
      <c r="E322" s="33" t="s">
        <v>3</v>
      </c>
      <c r="M322" s="33">
        <f t="shared" si="85"/>
        <v>13.776768000000001</v>
      </c>
      <c r="W322" s="33">
        <f t="shared" si="86"/>
        <v>0.2253</v>
      </c>
      <c r="X322" s="33">
        <f t="shared" si="87"/>
        <v>-6.8900000000000017E-2</v>
      </c>
      <c r="AH322" s="34"/>
      <c r="AN322" s="33">
        <v>0.26629999999999998</v>
      </c>
      <c r="AR322" s="33">
        <v>0.22539999999999999</v>
      </c>
      <c r="AS322" s="33">
        <v>0.22520000000000001</v>
      </c>
    </row>
    <row r="323" spans="1:45" s="33" customFormat="1" x14ac:dyDescent="0.2">
      <c r="A323" s="35" t="s">
        <v>60</v>
      </c>
      <c r="C323" s="33" t="s">
        <v>74</v>
      </c>
      <c r="D323" s="33" t="s">
        <v>15</v>
      </c>
      <c r="E323" s="33" t="s">
        <v>3</v>
      </c>
      <c r="M323" s="33">
        <f t="shared" si="85"/>
        <v>15.823295999999999</v>
      </c>
      <c r="W323" s="33">
        <f t="shared" si="86"/>
        <v>0.31135000000000002</v>
      </c>
      <c r="X323" s="33">
        <f t="shared" si="87"/>
        <v>-0.14710000000000001</v>
      </c>
      <c r="AH323" s="34"/>
      <c r="AN323" s="33">
        <v>0.29859999999999998</v>
      </c>
      <c r="AR323" s="33">
        <v>0.31190000000000001</v>
      </c>
      <c r="AS323" s="33">
        <v>0.31080000000000002</v>
      </c>
    </row>
    <row r="324" spans="1:45" s="33" customFormat="1" x14ac:dyDescent="0.2">
      <c r="A324" s="35" t="s">
        <v>61</v>
      </c>
      <c r="C324" s="33" t="s">
        <v>74</v>
      </c>
      <c r="D324" s="33" t="s">
        <v>15</v>
      </c>
      <c r="E324" s="33" t="s">
        <v>3</v>
      </c>
      <c r="M324" s="33">
        <f t="shared" si="85"/>
        <v>11.388096000000001</v>
      </c>
      <c r="W324" s="33">
        <f t="shared" si="86"/>
        <v>0.30720000000000003</v>
      </c>
      <c r="X324" s="33">
        <f t="shared" si="87"/>
        <v>-0.10704999999999998</v>
      </c>
      <c r="AH324" s="34"/>
      <c r="AN324" s="33">
        <v>0.2286</v>
      </c>
      <c r="AR324" s="33">
        <v>0.30859999999999999</v>
      </c>
      <c r="AS324" s="33">
        <v>0.30580000000000002</v>
      </c>
    </row>
    <row r="325" spans="1:45" s="33" customFormat="1" x14ac:dyDescent="0.2">
      <c r="A325" s="35" t="s">
        <v>62</v>
      </c>
      <c r="C325" s="33" t="s">
        <v>74</v>
      </c>
      <c r="D325" s="33" t="s">
        <v>15</v>
      </c>
      <c r="E325" s="33" t="s">
        <v>3</v>
      </c>
      <c r="M325" s="33">
        <f t="shared" si="85"/>
        <v>16.013376000000001</v>
      </c>
      <c r="W325" s="33">
        <f t="shared" si="86"/>
        <v>0.32319999999999999</v>
      </c>
      <c r="X325" s="33">
        <f t="shared" si="87"/>
        <v>-0.14230000000000004</v>
      </c>
      <c r="AH325" s="34"/>
      <c r="AN325" s="33">
        <v>0.30159999999999998</v>
      </c>
      <c r="AR325" s="33">
        <v>0.33189999999999997</v>
      </c>
      <c r="AS325" s="33">
        <v>0.3145</v>
      </c>
    </row>
    <row r="326" spans="1:45" s="33" customFormat="1" x14ac:dyDescent="0.2">
      <c r="A326" s="35" t="s">
        <v>63</v>
      </c>
      <c r="C326" s="33" t="s">
        <v>76</v>
      </c>
      <c r="D326" s="33" t="s">
        <v>14</v>
      </c>
      <c r="E326" s="33" t="s">
        <v>3</v>
      </c>
      <c r="M326" s="33">
        <f t="shared" si="85"/>
        <v>5.9454720000000005</v>
      </c>
      <c r="W326" s="33">
        <f t="shared" si="86"/>
        <v>0.54225000000000001</v>
      </c>
      <c r="X326" s="33">
        <f t="shared" si="87"/>
        <v>2.8000000000000247E-3</v>
      </c>
      <c r="AH326" s="34"/>
      <c r="AN326" s="33">
        <v>0.14269999999999999</v>
      </c>
      <c r="AR326" s="33">
        <v>0.55420000000000003</v>
      </c>
      <c r="AS326" s="33">
        <v>0.53029999999999999</v>
      </c>
    </row>
    <row r="327" spans="1:45" s="33" customFormat="1" x14ac:dyDescent="0.2">
      <c r="A327" s="35" t="s">
        <v>64</v>
      </c>
      <c r="C327" s="33" t="s">
        <v>76</v>
      </c>
      <c r="D327" s="33" t="s">
        <v>14</v>
      </c>
      <c r="E327" s="33" t="s">
        <v>3</v>
      </c>
      <c r="M327" s="33">
        <f t="shared" si="85"/>
        <v>12.211776000000004</v>
      </c>
      <c r="W327" s="33">
        <f t="shared" si="86"/>
        <v>0.33939999999999998</v>
      </c>
      <c r="X327" s="33">
        <f t="shared" si="87"/>
        <v>-0.1411</v>
      </c>
      <c r="AH327" s="34"/>
      <c r="AN327" s="33">
        <v>0.24160000000000001</v>
      </c>
      <c r="AR327" s="33">
        <v>0.34739999999999999</v>
      </c>
      <c r="AS327" s="33">
        <v>0.33139999999999997</v>
      </c>
    </row>
    <row r="328" spans="1:45" s="33" customFormat="1" x14ac:dyDescent="0.2">
      <c r="A328" s="35" t="s">
        <v>65</v>
      </c>
      <c r="C328" s="33" t="s">
        <v>76</v>
      </c>
      <c r="D328" s="33" t="s">
        <v>14</v>
      </c>
      <c r="E328" s="33" t="s">
        <v>3</v>
      </c>
      <c r="M328" s="33">
        <f t="shared" si="85"/>
        <v>17.058816</v>
      </c>
      <c r="W328" s="33">
        <f t="shared" si="86"/>
        <v>0.39610000000000001</v>
      </c>
      <c r="X328" s="33">
        <f t="shared" si="87"/>
        <v>-0.14500000000000002</v>
      </c>
      <c r="AH328" s="34"/>
      <c r="AN328" s="33">
        <v>0.31809999999999999</v>
      </c>
      <c r="AR328" s="33">
        <v>0.39350000000000002</v>
      </c>
      <c r="AS328" s="33">
        <v>0.3987</v>
      </c>
    </row>
    <row r="329" spans="1:45" s="33" customFormat="1" x14ac:dyDescent="0.2">
      <c r="A329" s="35" t="s">
        <v>66</v>
      </c>
      <c r="C329" s="33" t="s">
        <v>76</v>
      </c>
      <c r="D329" s="33" t="s">
        <v>15</v>
      </c>
      <c r="E329" s="33" t="s">
        <v>3</v>
      </c>
      <c r="M329" s="33">
        <f t="shared" si="85"/>
        <v>15.550847999999998</v>
      </c>
      <c r="W329" s="33">
        <f t="shared" si="86"/>
        <v>0.4098</v>
      </c>
      <c r="X329" s="33">
        <f t="shared" si="87"/>
        <v>-0.13404999999999995</v>
      </c>
      <c r="AH329" s="34"/>
      <c r="AN329" s="33">
        <v>0.29430000000000001</v>
      </c>
      <c r="AR329" s="33">
        <v>0.40660000000000002</v>
      </c>
      <c r="AS329" s="33">
        <v>0.41299999999999998</v>
      </c>
    </row>
    <row r="330" spans="1:45" s="33" customFormat="1" x14ac:dyDescent="0.2">
      <c r="A330" s="35" t="s">
        <v>67</v>
      </c>
      <c r="C330" s="33" t="s">
        <v>76</v>
      </c>
      <c r="D330" s="33" t="s">
        <v>15</v>
      </c>
      <c r="E330" s="33" t="s">
        <v>3</v>
      </c>
      <c r="M330" s="33">
        <f t="shared" si="85"/>
        <v>16.906751999999997</v>
      </c>
      <c r="W330" s="33">
        <f t="shared" si="86"/>
        <v>0.41435</v>
      </c>
      <c r="X330" s="33">
        <f t="shared" si="87"/>
        <v>-0.11624999999999996</v>
      </c>
      <c r="AH330" s="34"/>
      <c r="AN330" s="33">
        <v>0.31569999999999998</v>
      </c>
      <c r="AR330" s="33">
        <v>0.41539999999999999</v>
      </c>
      <c r="AS330" s="33">
        <v>0.4133</v>
      </c>
    </row>
    <row r="331" spans="1:45" s="33" customFormat="1" x14ac:dyDescent="0.2">
      <c r="A331" s="35" t="s">
        <v>68</v>
      </c>
      <c r="C331" s="33" t="s">
        <v>76</v>
      </c>
      <c r="D331" s="33" t="s">
        <v>15</v>
      </c>
      <c r="E331" s="33" t="s">
        <v>3</v>
      </c>
      <c r="M331" s="33">
        <f t="shared" si="85"/>
        <v>4.1460480000000004</v>
      </c>
      <c r="W331" s="33">
        <f t="shared" si="86"/>
        <v>0.53095000000000003</v>
      </c>
      <c r="X331" s="33">
        <f t="shared" si="87"/>
        <v>-1.7549999999999955E-2</v>
      </c>
      <c r="AH331" s="34"/>
      <c r="AN331" s="33">
        <v>0.1143</v>
      </c>
      <c r="AR331" s="33">
        <v>0.45850000000000002</v>
      </c>
      <c r="AS331" s="33">
        <v>0.60340000000000005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2026-01-29T06:52:27Z</dcterms:created>
  <dcterms:modified xsi:type="dcterms:W3CDTF">2026-06-29T05:30:34Z</dcterms:modified>
</cp:coreProperties>
</file>