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E120995B-D7BB-9448-889D-465756D972F6}" xr6:coauthVersionLast="47" xr6:coauthVersionMax="47" xr10:uidLastSave="{00000000-0000-0000-0000-000000000000}"/>
  <bookViews>
    <workbookView xWindow="3620" yWindow="1240" windowWidth="23560" windowHeight="14800" xr2:uid="{B679385D-B3C3-A94A-871F-3DCD330101BA}"/>
  </bookViews>
  <sheets>
    <sheet name="Sheet1" sheetId="1" r:id="rId1"/>
  </sheets>
  <definedNames>
    <definedName name="_xlnm._FilterDatabase" localSheetId="0" hidden="1">Sheet1!$A$1:$AC$289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8" i="1" l="1"/>
  <c r="M197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L51" i="1"/>
  <c r="L52" i="1"/>
  <c r="L53" i="1"/>
  <c r="Q269" i="1" s="1"/>
  <c r="L54" i="1"/>
  <c r="L55" i="1"/>
  <c r="L56" i="1"/>
  <c r="Q272" i="1" s="1"/>
  <c r="L57" i="1"/>
  <c r="Q273" i="1" s="1"/>
  <c r="L58" i="1"/>
  <c r="L59" i="1"/>
  <c r="Q203" i="1" s="1"/>
  <c r="L60" i="1"/>
  <c r="Q204" i="1" s="1"/>
  <c r="L61" i="1"/>
  <c r="Q205" i="1" s="1"/>
  <c r="L62" i="1"/>
  <c r="L63" i="1"/>
  <c r="L64" i="1"/>
  <c r="L65" i="1"/>
  <c r="Q281" i="1" s="1"/>
  <c r="L66" i="1"/>
  <c r="L67" i="1"/>
  <c r="L68" i="1"/>
  <c r="L69" i="1"/>
  <c r="L70" i="1"/>
  <c r="L71" i="1"/>
  <c r="L72" i="1"/>
  <c r="L73" i="1"/>
  <c r="Q289" i="1" s="1"/>
  <c r="L50" i="1"/>
  <c r="U74" i="1"/>
  <c r="H74" i="1" s="1"/>
  <c r="U75" i="1"/>
  <c r="H75" i="1" s="1"/>
  <c r="U76" i="1"/>
  <c r="H76" i="1" s="1"/>
  <c r="U77" i="1"/>
  <c r="H77" i="1" s="1"/>
  <c r="U78" i="1"/>
  <c r="H78" i="1" s="1"/>
  <c r="U79" i="1"/>
  <c r="H79" i="1" s="1"/>
  <c r="U80" i="1"/>
  <c r="H80" i="1" s="1"/>
  <c r="U81" i="1"/>
  <c r="H81" i="1" s="1"/>
  <c r="U82" i="1"/>
  <c r="H82" i="1" s="1"/>
  <c r="U83" i="1"/>
  <c r="H83" i="1" s="1"/>
  <c r="U84" i="1"/>
  <c r="H84" i="1" s="1"/>
  <c r="U85" i="1"/>
  <c r="H85" i="1" s="1"/>
  <c r="U86" i="1"/>
  <c r="H86" i="1" s="1"/>
  <c r="U87" i="1"/>
  <c r="H87" i="1" s="1"/>
  <c r="U88" i="1"/>
  <c r="H88" i="1" s="1"/>
  <c r="U89" i="1"/>
  <c r="H89" i="1" s="1"/>
  <c r="U90" i="1"/>
  <c r="H90" i="1" s="1"/>
  <c r="U91" i="1"/>
  <c r="H91" i="1" s="1"/>
  <c r="U92" i="1"/>
  <c r="H92" i="1" s="1"/>
  <c r="U93" i="1"/>
  <c r="H93" i="1" s="1"/>
  <c r="U94" i="1"/>
  <c r="H94" i="1" s="1"/>
  <c r="U95" i="1"/>
  <c r="H95" i="1" s="1"/>
  <c r="U96" i="1"/>
  <c r="H96" i="1" s="1"/>
  <c r="U97" i="1"/>
  <c r="H97" i="1" s="1"/>
  <c r="U98" i="1"/>
  <c r="H98" i="1" s="1"/>
  <c r="U99" i="1"/>
  <c r="H99" i="1" s="1"/>
  <c r="U100" i="1"/>
  <c r="H100" i="1" s="1"/>
  <c r="U101" i="1"/>
  <c r="H101" i="1" s="1"/>
  <c r="U102" i="1"/>
  <c r="H102" i="1" s="1"/>
  <c r="U103" i="1"/>
  <c r="H103" i="1" s="1"/>
  <c r="U104" i="1"/>
  <c r="H104" i="1" s="1"/>
  <c r="U105" i="1"/>
  <c r="H105" i="1" s="1"/>
  <c r="U106" i="1"/>
  <c r="H106" i="1" s="1"/>
  <c r="U107" i="1"/>
  <c r="H107" i="1" s="1"/>
  <c r="U108" i="1"/>
  <c r="H108" i="1" s="1"/>
  <c r="U109" i="1"/>
  <c r="H109" i="1" s="1"/>
  <c r="U110" i="1"/>
  <c r="H110" i="1" s="1"/>
  <c r="U111" i="1"/>
  <c r="H111" i="1" s="1"/>
  <c r="U112" i="1"/>
  <c r="H112" i="1" s="1"/>
  <c r="U113" i="1"/>
  <c r="H113" i="1" s="1"/>
  <c r="U114" i="1"/>
  <c r="H114" i="1" s="1"/>
  <c r="U115" i="1"/>
  <c r="H115" i="1" s="1"/>
  <c r="U116" i="1"/>
  <c r="H116" i="1" s="1"/>
  <c r="U117" i="1"/>
  <c r="H117" i="1" s="1"/>
  <c r="U118" i="1"/>
  <c r="H118" i="1" s="1"/>
  <c r="U119" i="1"/>
  <c r="H119" i="1" s="1"/>
  <c r="U120" i="1"/>
  <c r="H120" i="1" s="1"/>
  <c r="U121" i="1"/>
  <c r="H121" i="1" s="1"/>
  <c r="U122" i="1"/>
  <c r="H122" i="1" s="1"/>
  <c r="U123" i="1"/>
  <c r="H123" i="1" s="1"/>
  <c r="U124" i="1"/>
  <c r="H124" i="1" s="1"/>
  <c r="U125" i="1"/>
  <c r="H125" i="1" s="1"/>
  <c r="U126" i="1"/>
  <c r="H126" i="1" s="1"/>
  <c r="U127" i="1"/>
  <c r="H127" i="1" s="1"/>
  <c r="U128" i="1"/>
  <c r="H128" i="1" s="1"/>
  <c r="U129" i="1"/>
  <c r="H129" i="1" s="1"/>
  <c r="U130" i="1"/>
  <c r="H130" i="1" s="1"/>
  <c r="U131" i="1"/>
  <c r="H131" i="1" s="1"/>
  <c r="U132" i="1"/>
  <c r="H132" i="1" s="1"/>
  <c r="U133" i="1"/>
  <c r="H133" i="1" s="1"/>
  <c r="U134" i="1"/>
  <c r="H134" i="1" s="1"/>
  <c r="U135" i="1"/>
  <c r="H135" i="1" s="1"/>
  <c r="U136" i="1"/>
  <c r="H136" i="1" s="1"/>
  <c r="U137" i="1"/>
  <c r="H137" i="1" s="1"/>
  <c r="U138" i="1"/>
  <c r="H138" i="1" s="1"/>
  <c r="U139" i="1"/>
  <c r="H139" i="1" s="1"/>
  <c r="U140" i="1"/>
  <c r="H140" i="1" s="1"/>
  <c r="U141" i="1"/>
  <c r="H141" i="1" s="1"/>
  <c r="U142" i="1"/>
  <c r="H142" i="1" s="1"/>
  <c r="U143" i="1"/>
  <c r="H143" i="1" s="1"/>
  <c r="U144" i="1"/>
  <c r="H144" i="1" s="1"/>
  <c r="U145" i="1"/>
  <c r="H145" i="1" s="1"/>
  <c r="U219" i="1"/>
  <c r="H219" i="1" s="1"/>
  <c r="U220" i="1"/>
  <c r="H220" i="1" s="1"/>
  <c r="U221" i="1"/>
  <c r="H221" i="1" s="1"/>
  <c r="U222" i="1"/>
  <c r="H222" i="1" s="1"/>
  <c r="U223" i="1"/>
  <c r="H223" i="1" s="1"/>
  <c r="U224" i="1"/>
  <c r="H224" i="1" s="1"/>
  <c r="U225" i="1"/>
  <c r="H225" i="1" s="1"/>
  <c r="U226" i="1"/>
  <c r="H226" i="1" s="1"/>
  <c r="U227" i="1"/>
  <c r="H227" i="1" s="1"/>
  <c r="U228" i="1"/>
  <c r="H228" i="1" s="1"/>
  <c r="U229" i="1"/>
  <c r="H229" i="1" s="1"/>
  <c r="U230" i="1"/>
  <c r="H230" i="1" s="1"/>
  <c r="U231" i="1"/>
  <c r="H231" i="1" s="1"/>
  <c r="U232" i="1"/>
  <c r="H232" i="1" s="1"/>
  <c r="U233" i="1"/>
  <c r="H233" i="1" s="1"/>
  <c r="U234" i="1"/>
  <c r="H234" i="1" s="1"/>
  <c r="U235" i="1"/>
  <c r="H235" i="1" s="1"/>
  <c r="U236" i="1"/>
  <c r="H236" i="1" s="1"/>
  <c r="U237" i="1"/>
  <c r="H237" i="1" s="1"/>
  <c r="U238" i="1"/>
  <c r="H238" i="1" s="1"/>
  <c r="U239" i="1"/>
  <c r="H239" i="1" s="1"/>
  <c r="U240" i="1"/>
  <c r="H240" i="1" s="1"/>
  <c r="U241" i="1"/>
  <c r="H241" i="1" s="1"/>
  <c r="U242" i="1"/>
  <c r="H242" i="1" s="1"/>
  <c r="U243" i="1"/>
  <c r="H243" i="1" s="1"/>
  <c r="U244" i="1"/>
  <c r="H244" i="1" s="1"/>
  <c r="U245" i="1"/>
  <c r="H245" i="1" s="1"/>
  <c r="U246" i="1"/>
  <c r="H246" i="1" s="1"/>
  <c r="U247" i="1"/>
  <c r="H247" i="1" s="1"/>
  <c r="U248" i="1"/>
  <c r="H248" i="1" s="1"/>
  <c r="U249" i="1"/>
  <c r="H249" i="1" s="1"/>
  <c r="U250" i="1"/>
  <c r="H250" i="1" s="1"/>
  <c r="U251" i="1"/>
  <c r="H251" i="1" s="1"/>
  <c r="U252" i="1"/>
  <c r="H252" i="1" s="1"/>
  <c r="U253" i="1"/>
  <c r="H253" i="1" s="1"/>
  <c r="U254" i="1"/>
  <c r="H254" i="1" s="1"/>
  <c r="U255" i="1"/>
  <c r="H255" i="1" s="1"/>
  <c r="U256" i="1"/>
  <c r="H256" i="1" s="1"/>
  <c r="U257" i="1"/>
  <c r="H257" i="1" s="1"/>
  <c r="U258" i="1"/>
  <c r="H258" i="1" s="1"/>
  <c r="U259" i="1"/>
  <c r="H259" i="1" s="1"/>
  <c r="U260" i="1"/>
  <c r="H260" i="1" s="1"/>
  <c r="U261" i="1"/>
  <c r="H261" i="1" s="1"/>
  <c r="U262" i="1"/>
  <c r="H262" i="1" s="1"/>
  <c r="U263" i="1"/>
  <c r="H263" i="1" s="1"/>
  <c r="U264" i="1"/>
  <c r="H264" i="1" s="1"/>
  <c r="U265" i="1"/>
  <c r="H265" i="1" s="1"/>
  <c r="U266" i="1"/>
  <c r="H266" i="1" s="1"/>
  <c r="U267" i="1"/>
  <c r="H267" i="1" s="1"/>
  <c r="U268" i="1"/>
  <c r="H268" i="1" s="1"/>
  <c r="U269" i="1"/>
  <c r="H269" i="1" s="1"/>
  <c r="U270" i="1"/>
  <c r="H270" i="1" s="1"/>
  <c r="U271" i="1"/>
  <c r="H271" i="1" s="1"/>
  <c r="U272" i="1"/>
  <c r="H272" i="1" s="1"/>
  <c r="U273" i="1"/>
  <c r="H273" i="1" s="1"/>
  <c r="U274" i="1"/>
  <c r="H274" i="1" s="1"/>
  <c r="U275" i="1"/>
  <c r="H275" i="1" s="1"/>
  <c r="U276" i="1"/>
  <c r="H276" i="1" s="1"/>
  <c r="U277" i="1"/>
  <c r="H277" i="1" s="1"/>
  <c r="U278" i="1"/>
  <c r="H278" i="1" s="1"/>
  <c r="U279" i="1"/>
  <c r="H279" i="1" s="1"/>
  <c r="U280" i="1"/>
  <c r="H280" i="1" s="1"/>
  <c r="U281" i="1"/>
  <c r="H281" i="1" s="1"/>
  <c r="U282" i="1"/>
  <c r="H282" i="1" s="1"/>
  <c r="U283" i="1"/>
  <c r="H283" i="1" s="1"/>
  <c r="U284" i="1"/>
  <c r="H284" i="1" s="1"/>
  <c r="U285" i="1"/>
  <c r="H285" i="1" s="1"/>
  <c r="U286" i="1"/>
  <c r="H286" i="1" s="1"/>
  <c r="U287" i="1"/>
  <c r="H287" i="1" s="1"/>
  <c r="U288" i="1"/>
  <c r="H288" i="1" s="1"/>
  <c r="U289" i="1"/>
  <c r="H289" i="1" s="1"/>
  <c r="U218" i="1"/>
  <c r="H218" i="1" s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8" i="1"/>
  <c r="L279" i="1"/>
  <c r="L280" i="1"/>
  <c r="Q280" i="1" s="1"/>
  <c r="L281" i="1"/>
  <c r="L282" i="1"/>
  <c r="L283" i="1"/>
  <c r="L284" i="1"/>
  <c r="L285" i="1"/>
  <c r="Q285" i="1" s="1"/>
  <c r="L286" i="1"/>
  <c r="L287" i="1"/>
  <c r="L288" i="1"/>
  <c r="Q288" i="1" s="1"/>
  <c r="L289" i="1"/>
  <c r="L218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18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0" i="1"/>
  <c r="L129" i="1"/>
  <c r="L128" i="1"/>
  <c r="L127" i="1"/>
  <c r="L126" i="1"/>
  <c r="L125" i="1"/>
  <c r="L124" i="1"/>
  <c r="L123" i="1"/>
  <c r="L122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194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22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Q266" i="1" l="1"/>
  <c r="Q282" i="1"/>
  <c r="Q274" i="1"/>
  <c r="Q277" i="1"/>
  <c r="Q214" i="1"/>
  <c r="Q206" i="1"/>
  <c r="Q145" i="1"/>
  <c r="Q137" i="1"/>
  <c r="Q129" i="1"/>
  <c r="Q287" i="1"/>
  <c r="Q279" i="1"/>
  <c r="Q271" i="1"/>
  <c r="Q144" i="1"/>
  <c r="Q136" i="1"/>
  <c r="Q128" i="1"/>
  <c r="I267" i="1"/>
  <c r="Q286" i="1"/>
  <c r="Q278" i="1"/>
  <c r="Q270" i="1"/>
  <c r="Q143" i="1"/>
  <c r="Q135" i="1"/>
  <c r="Q127" i="1"/>
  <c r="Q142" i="1"/>
  <c r="Q134" i="1"/>
  <c r="Q126" i="1"/>
  <c r="Q138" i="1"/>
  <c r="Q130" i="1"/>
  <c r="Q210" i="1"/>
  <c r="Q284" i="1"/>
  <c r="Q276" i="1"/>
  <c r="Q268" i="1"/>
  <c r="Q141" i="1"/>
  <c r="Q133" i="1"/>
  <c r="Q125" i="1"/>
  <c r="Q122" i="1"/>
  <c r="Q283" i="1"/>
  <c r="Q275" i="1"/>
  <c r="Q267" i="1"/>
  <c r="Q140" i="1"/>
  <c r="Q132" i="1"/>
  <c r="Q124" i="1"/>
  <c r="Q139" i="1"/>
  <c r="Q131" i="1"/>
  <c r="Q123" i="1"/>
  <c r="I276" i="1"/>
  <c r="I260" i="1"/>
  <c r="I252" i="1"/>
  <c r="I244" i="1"/>
  <c r="I236" i="1"/>
  <c r="I228" i="1"/>
  <c r="I220" i="1"/>
  <c r="I282" i="1"/>
  <c r="I266" i="1"/>
  <c r="I242" i="1"/>
  <c r="I218" i="1"/>
  <c r="I289" i="1"/>
  <c r="I281" i="1"/>
  <c r="I273" i="1"/>
  <c r="I265" i="1"/>
  <c r="I257" i="1"/>
  <c r="I249" i="1"/>
  <c r="I241" i="1"/>
  <c r="I233" i="1"/>
  <c r="I248" i="1"/>
  <c r="I240" i="1"/>
  <c r="I232" i="1"/>
  <c r="I224" i="1"/>
  <c r="I255" i="1"/>
  <c r="I274" i="1"/>
  <c r="I250" i="1"/>
  <c r="I226" i="1"/>
  <c r="I286" i="1"/>
  <c r="I270" i="1"/>
  <c r="I254" i="1"/>
  <c r="I238" i="1"/>
  <c r="I230" i="1"/>
  <c r="I245" i="1"/>
  <c r="I237" i="1"/>
  <c r="I229" i="1"/>
  <c r="I221" i="1"/>
  <c r="I258" i="1"/>
  <c r="I234" i="1"/>
  <c r="I278" i="1"/>
  <c r="I262" i="1"/>
  <c r="I246" i="1"/>
  <c r="I222" i="1"/>
  <c r="I287" i="1"/>
  <c r="I279" i="1"/>
  <c r="I271" i="1"/>
  <c r="I263" i="1"/>
  <c r="I247" i="1"/>
  <c r="I239" i="1"/>
  <c r="I283" i="1"/>
  <c r="I251" i="1"/>
  <c r="I235" i="1"/>
  <c r="I231" i="1"/>
  <c r="I284" i="1"/>
  <c r="I268" i="1"/>
  <c r="I275" i="1"/>
  <c r="I259" i="1"/>
  <c r="I243" i="1"/>
  <c r="I227" i="1"/>
  <c r="I219" i="1"/>
  <c r="I225" i="1"/>
  <c r="I269" i="1"/>
  <c r="I253" i="1"/>
  <c r="I285" i="1"/>
  <c r="I277" i="1"/>
  <c r="I261" i="1"/>
  <c r="I288" i="1"/>
  <c r="I280" i="1"/>
  <c r="I272" i="1"/>
  <c r="I264" i="1"/>
  <c r="I256" i="1"/>
  <c r="I22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G74" i="1"/>
  <c r="I74" i="1" s="1"/>
  <c r="G75" i="1"/>
  <c r="I75" i="1" s="1"/>
  <c r="G76" i="1"/>
  <c r="I76" i="1" s="1"/>
  <c r="G77" i="1"/>
  <c r="I77" i="1" s="1"/>
  <c r="G78" i="1"/>
  <c r="I78" i="1" s="1"/>
  <c r="G79" i="1"/>
  <c r="I79" i="1" s="1"/>
  <c r="G80" i="1"/>
  <c r="I80" i="1" s="1"/>
  <c r="G81" i="1"/>
  <c r="I81" i="1" s="1"/>
  <c r="G82" i="1"/>
  <c r="I82" i="1" s="1"/>
  <c r="G83" i="1"/>
  <c r="I83" i="1" s="1"/>
  <c r="G84" i="1"/>
  <c r="I84" i="1" s="1"/>
  <c r="G85" i="1"/>
  <c r="I85" i="1" s="1"/>
  <c r="G86" i="1"/>
  <c r="I86" i="1" s="1"/>
  <c r="G87" i="1"/>
  <c r="I87" i="1" s="1"/>
  <c r="G88" i="1"/>
  <c r="I88" i="1" s="1"/>
  <c r="G89" i="1"/>
  <c r="I89" i="1" s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6" i="1"/>
  <c r="I96" i="1" s="1"/>
  <c r="G97" i="1"/>
  <c r="I97" i="1" s="1"/>
  <c r="G98" i="1"/>
  <c r="I98" i="1" s="1"/>
  <c r="G99" i="1"/>
  <c r="I99" i="1" s="1"/>
  <c r="G100" i="1"/>
  <c r="I100" i="1" s="1"/>
  <c r="G101" i="1"/>
  <c r="I101" i="1" s="1"/>
  <c r="G102" i="1"/>
  <c r="I102" i="1" s="1"/>
  <c r="G103" i="1"/>
  <c r="I103" i="1" s="1"/>
  <c r="G104" i="1"/>
  <c r="I104" i="1" s="1"/>
  <c r="G105" i="1"/>
  <c r="I105" i="1" s="1"/>
  <c r="G106" i="1"/>
  <c r="I106" i="1" s="1"/>
  <c r="G107" i="1"/>
  <c r="I107" i="1" s="1"/>
  <c r="G108" i="1"/>
  <c r="I108" i="1" s="1"/>
  <c r="G109" i="1"/>
  <c r="I109" i="1" s="1"/>
  <c r="G110" i="1"/>
  <c r="I110" i="1" s="1"/>
  <c r="G111" i="1"/>
  <c r="I111" i="1" s="1"/>
  <c r="G112" i="1"/>
  <c r="I112" i="1" s="1"/>
  <c r="G113" i="1"/>
  <c r="I113" i="1" s="1"/>
  <c r="G114" i="1"/>
  <c r="I114" i="1" s="1"/>
  <c r="G115" i="1"/>
  <c r="I115" i="1" s="1"/>
  <c r="G116" i="1"/>
  <c r="I116" i="1" s="1"/>
  <c r="G117" i="1"/>
  <c r="I117" i="1" s="1"/>
  <c r="G118" i="1"/>
  <c r="I118" i="1" s="1"/>
  <c r="G119" i="1"/>
  <c r="I119" i="1" s="1"/>
  <c r="G120" i="1"/>
  <c r="I120" i="1" s="1"/>
  <c r="G121" i="1"/>
  <c r="I121" i="1" s="1"/>
  <c r="G122" i="1"/>
  <c r="I122" i="1" s="1"/>
  <c r="G123" i="1"/>
  <c r="I123" i="1" s="1"/>
  <c r="G124" i="1"/>
  <c r="I124" i="1" s="1"/>
  <c r="G125" i="1"/>
  <c r="I125" i="1" s="1"/>
  <c r="G126" i="1"/>
  <c r="I126" i="1" s="1"/>
  <c r="G127" i="1"/>
  <c r="I127" i="1" s="1"/>
  <c r="G128" i="1"/>
  <c r="I128" i="1" s="1"/>
  <c r="G129" i="1"/>
  <c r="I129" i="1" s="1"/>
  <c r="G130" i="1"/>
  <c r="I130" i="1" s="1"/>
  <c r="G131" i="1"/>
  <c r="I131" i="1" s="1"/>
  <c r="G132" i="1"/>
  <c r="I132" i="1" s="1"/>
  <c r="G133" i="1"/>
  <c r="I133" i="1" s="1"/>
  <c r="G134" i="1"/>
  <c r="I134" i="1" s="1"/>
  <c r="G135" i="1"/>
  <c r="I135" i="1" s="1"/>
  <c r="G136" i="1"/>
  <c r="I136" i="1" s="1"/>
  <c r="G137" i="1"/>
  <c r="I137" i="1" s="1"/>
  <c r="G138" i="1"/>
  <c r="I138" i="1" s="1"/>
  <c r="G139" i="1"/>
  <c r="I139" i="1" s="1"/>
  <c r="G140" i="1"/>
  <c r="I140" i="1" s="1"/>
  <c r="G141" i="1"/>
  <c r="I141" i="1" s="1"/>
  <c r="G142" i="1"/>
  <c r="I142" i="1" s="1"/>
  <c r="G143" i="1"/>
  <c r="I143" i="1" s="1"/>
  <c r="G144" i="1"/>
  <c r="I144" i="1" s="1"/>
  <c r="G145" i="1"/>
  <c r="I145" i="1" s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70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26" i="1"/>
  <c r="L217" i="1"/>
  <c r="Q217" i="1" s="1"/>
  <c r="L216" i="1"/>
  <c r="Q216" i="1" s="1"/>
  <c r="L215" i="1"/>
  <c r="Q215" i="1" s="1"/>
  <c r="L214" i="1"/>
  <c r="L213" i="1"/>
  <c r="Q213" i="1" s="1"/>
  <c r="L212" i="1"/>
  <c r="Q212" i="1" s="1"/>
  <c r="L211" i="1"/>
  <c r="Q211" i="1" s="1"/>
  <c r="L210" i="1"/>
  <c r="L209" i="1"/>
  <c r="Q209" i="1" s="1"/>
  <c r="L208" i="1"/>
  <c r="Q208" i="1" s="1"/>
  <c r="L207" i="1"/>
  <c r="Q207" i="1" s="1"/>
  <c r="L206" i="1"/>
  <c r="L202" i="1"/>
  <c r="Q202" i="1" s="1"/>
  <c r="L201" i="1"/>
  <c r="Q201" i="1" s="1"/>
  <c r="L200" i="1"/>
  <c r="Q200" i="1" s="1"/>
  <c r="L199" i="1"/>
  <c r="Q199" i="1" s="1"/>
  <c r="L198" i="1"/>
  <c r="Q198" i="1" s="1"/>
  <c r="L197" i="1"/>
  <c r="Q197" i="1" s="1"/>
  <c r="L196" i="1"/>
  <c r="Q196" i="1" s="1"/>
  <c r="L195" i="1"/>
  <c r="Q195" i="1" s="1"/>
  <c r="L194" i="1"/>
  <c r="Q194" i="1" s="1"/>
  <c r="F2" i="1"/>
  <c r="G2" i="1"/>
  <c r="F3" i="1"/>
  <c r="G3" i="1"/>
  <c r="F4" i="1"/>
  <c r="N76" i="1" s="1"/>
  <c r="G4" i="1"/>
  <c r="F5" i="1"/>
  <c r="N77" i="1" s="1"/>
  <c r="G5" i="1"/>
  <c r="F6" i="1"/>
  <c r="N78" i="1" s="1"/>
  <c r="G6" i="1"/>
  <c r="F7" i="1"/>
  <c r="G7" i="1"/>
  <c r="F8" i="1"/>
  <c r="G8" i="1"/>
  <c r="F9" i="1"/>
  <c r="G9" i="1"/>
  <c r="F10" i="1"/>
  <c r="G10" i="1"/>
  <c r="F11" i="1"/>
  <c r="G11" i="1"/>
  <c r="F12" i="1"/>
  <c r="N84" i="1" s="1"/>
  <c r="G12" i="1"/>
  <c r="F13" i="1"/>
  <c r="N85" i="1" s="1"/>
  <c r="G13" i="1"/>
  <c r="F14" i="1"/>
  <c r="N86" i="1" s="1"/>
  <c r="G14" i="1"/>
  <c r="F15" i="1"/>
  <c r="G15" i="1"/>
  <c r="F16" i="1"/>
  <c r="G16" i="1"/>
  <c r="F17" i="1"/>
  <c r="G17" i="1"/>
  <c r="F18" i="1"/>
  <c r="G18" i="1"/>
  <c r="F19" i="1"/>
  <c r="G19" i="1"/>
  <c r="F20" i="1"/>
  <c r="N92" i="1" s="1"/>
  <c r="G20" i="1"/>
  <c r="F21" i="1"/>
  <c r="N93" i="1" s="1"/>
  <c r="G21" i="1"/>
  <c r="F22" i="1"/>
  <c r="N94" i="1" s="1"/>
  <c r="G22" i="1"/>
  <c r="F23" i="1"/>
  <c r="G23" i="1"/>
  <c r="F24" i="1"/>
  <c r="G24" i="1"/>
  <c r="F25" i="1"/>
  <c r="G25" i="1"/>
  <c r="F26" i="1"/>
  <c r="G26" i="1"/>
  <c r="F27" i="1"/>
  <c r="G27" i="1"/>
  <c r="F28" i="1"/>
  <c r="N100" i="1" s="1"/>
  <c r="G28" i="1"/>
  <c r="F29" i="1"/>
  <c r="N101" i="1" s="1"/>
  <c r="G29" i="1"/>
  <c r="F30" i="1"/>
  <c r="N102" i="1" s="1"/>
  <c r="G30" i="1"/>
  <c r="F31" i="1"/>
  <c r="G31" i="1"/>
  <c r="F32" i="1"/>
  <c r="G32" i="1"/>
  <c r="F33" i="1"/>
  <c r="G33" i="1"/>
  <c r="F34" i="1"/>
  <c r="G34" i="1"/>
  <c r="F35" i="1"/>
  <c r="G35" i="1"/>
  <c r="F36" i="1"/>
  <c r="N108" i="1" s="1"/>
  <c r="G36" i="1"/>
  <c r="F37" i="1"/>
  <c r="N109" i="1" s="1"/>
  <c r="G37" i="1"/>
  <c r="F38" i="1"/>
  <c r="N110" i="1" s="1"/>
  <c r="G38" i="1"/>
  <c r="F39" i="1"/>
  <c r="G39" i="1"/>
  <c r="F40" i="1"/>
  <c r="G40" i="1"/>
  <c r="F41" i="1"/>
  <c r="G41" i="1"/>
  <c r="F42" i="1"/>
  <c r="G42" i="1"/>
  <c r="F43" i="1"/>
  <c r="G43" i="1"/>
  <c r="F44" i="1"/>
  <c r="N116" i="1" s="1"/>
  <c r="G44" i="1"/>
  <c r="F45" i="1"/>
  <c r="N117" i="1" s="1"/>
  <c r="G45" i="1"/>
  <c r="F46" i="1"/>
  <c r="N118" i="1" s="1"/>
  <c r="G46" i="1"/>
  <c r="F47" i="1"/>
  <c r="G47" i="1"/>
  <c r="F48" i="1"/>
  <c r="G48" i="1"/>
  <c r="F49" i="1"/>
  <c r="G49" i="1"/>
  <c r="F50" i="1"/>
  <c r="G50" i="1"/>
  <c r="F51" i="1"/>
  <c r="G51" i="1"/>
  <c r="F52" i="1"/>
  <c r="N124" i="1" s="1"/>
  <c r="G52" i="1"/>
  <c r="F53" i="1"/>
  <c r="N125" i="1" s="1"/>
  <c r="G53" i="1"/>
  <c r="F54" i="1"/>
  <c r="N126" i="1" s="1"/>
  <c r="G54" i="1"/>
  <c r="F55" i="1"/>
  <c r="G55" i="1"/>
  <c r="F56" i="1"/>
  <c r="G56" i="1"/>
  <c r="F57" i="1"/>
  <c r="G57" i="1"/>
  <c r="F58" i="1"/>
  <c r="G58" i="1"/>
  <c r="F59" i="1"/>
  <c r="G59" i="1"/>
  <c r="F60" i="1"/>
  <c r="N132" i="1" s="1"/>
  <c r="G60" i="1"/>
  <c r="F61" i="1"/>
  <c r="N133" i="1" s="1"/>
  <c r="G61" i="1"/>
  <c r="F62" i="1"/>
  <c r="N134" i="1" s="1"/>
  <c r="G62" i="1"/>
  <c r="F63" i="1"/>
  <c r="G63" i="1"/>
  <c r="F64" i="1"/>
  <c r="G64" i="1"/>
  <c r="F65" i="1"/>
  <c r="G65" i="1"/>
  <c r="F66" i="1"/>
  <c r="G66" i="1"/>
  <c r="F67" i="1"/>
  <c r="G67" i="1"/>
  <c r="F68" i="1"/>
  <c r="N140" i="1" s="1"/>
  <c r="G68" i="1"/>
  <c r="F69" i="1"/>
  <c r="N141" i="1" s="1"/>
  <c r="G69" i="1"/>
  <c r="F70" i="1"/>
  <c r="N142" i="1" s="1"/>
  <c r="G70" i="1"/>
  <c r="F71" i="1"/>
  <c r="G71" i="1"/>
  <c r="F72" i="1"/>
  <c r="G72" i="1"/>
  <c r="F73" i="1"/>
  <c r="G73" i="1"/>
  <c r="U2" i="1"/>
  <c r="H2" i="1" s="1"/>
  <c r="U3" i="1"/>
  <c r="H3" i="1" s="1"/>
  <c r="U4" i="1"/>
  <c r="H4" i="1" s="1"/>
  <c r="U5" i="1"/>
  <c r="H5" i="1" s="1"/>
  <c r="U6" i="1"/>
  <c r="H6" i="1" s="1"/>
  <c r="U7" i="1"/>
  <c r="H7" i="1" s="1"/>
  <c r="U8" i="1"/>
  <c r="H8" i="1" s="1"/>
  <c r="U9" i="1"/>
  <c r="H9" i="1" s="1"/>
  <c r="U10" i="1"/>
  <c r="H10" i="1" s="1"/>
  <c r="U11" i="1"/>
  <c r="H11" i="1" s="1"/>
  <c r="U12" i="1"/>
  <c r="H12" i="1" s="1"/>
  <c r="U13" i="1"/>
  <c r="H13" i="1" s="1"/>
  <c r="U14" i="1"/>
  <c r="H14" i="1" s="1"/>
  <c r="U15" i="1"/>
  <c r="H15" i="1" s="1"/>
  <c r="U16" i="1"/>
  <c r="H16" i="1" s="1"/>
  <c r="U17" i="1"/>
  <c r="H17" i="1" s="1"/>
  <c r="U18" i="1"/>
  <c r="H18" i="1" s="1"/>
  <c r="U19" i="1"/>
  <c r="H19" i="1" s="1"/>
  <c r="U20" i="1"/>
  <c r="H20" i="1" s="1"/>
  <c r="U21" i="1"/>
  <c r="H21" i="1" s="1"/>
  <c r="U22" i="1"/>
  <c r="H22" i="1" s="1"/>
  <c r="U23" i="1"/>
  <c r="H23" i="1" s="1"/>
  <c r="U24" i="1"/>
  <c r="H24" i="1" s="1"/>
  <c r="U25" i="1"/>
  <c r="H25" i="1" s="1"/>
  <c r="U26" i="1"/>
  <c r="H26" i="1" s="1"/>
  <c r="U27" i="1"/>
  <c r="H27" i="1" s="1"/>
  <c r="U28" i="1"/>
  <c r="H28" i="1" s="1"/>
  <c r="U29" i="1"/>
  <c r="H29" i="1" s="1"/>
  <c r="U30" i="1"/>
  <c r="H30" i="1" s="1"/>
  <c r="U31" i="1"/>
  <c r="H31" i="1" s="1"/>
  <c r="U32" i="1"/>
  <c r="H32" i="1" s="1"/>
  <c r="U33" i="1"/>
  <c r="H33" i="1" s="1"/>
  <c r="U34" i="1"/>
  <c r="H34" i="1" s="1"/>
  <c r="U35" i="1"/>
  <c r="H35" i="1" s="1"/>
  <c r="U36" i="1"/>
  <c r="H36" i="1" s="1"/>
  <c r="U37" i="1"/>
  <c r="H37" i="1" s="1"/>
  <c r="U38" i="1"/>
  <c r="H38" i="1" s="1"/>
  <c r="U39" i="1"/>
  <c r="H39" i="1" s="1"/>
  <c r="U40" i="1"/>
  <c r="H40" i="1" s="1"/>
  <c r="U41" i="1"/>
  <c r="H41" i="1" s="1"/>
  <c r="U42" i="1"/>
  <c r="H42" i="1" s="1"/>
  <c r="U43" i="1"/>
  <c r="H43" i="1" s="1"/>
  <c r="U44" i="1"/>
  <c r="H44" i="1" s="1"/>
  <c r="U45" i="1"/>
  <c r="H45" i="1" s="1"/>
  <c r="U46" i="1"/>
  <c r="H46" i="1" s="1"/>
  <c r="U47" i="1"/>
  <c r="H47" i="1" s="1"/>
  <c r="U48" i="1"/>
  <c r="H48" i="1" s="1"/>
  <c r="U49" i="1"/>
  <c r="H49" i="1" s="1"/>
  <c r="U50" i="1"/>
  <c r="H50" i="1" s="1"/>
  <c r="U51" i="1"/>
  <c r="H51" i="1" s="1"/>
  <c r="U52" i="1"/>
  <c r="H52" i="1" s="1"/>
  <c r="U53" i="1"/>
  <c r="H53" i="1" s="1"/>
  <c r="U54" i="1"/>
  <c r="H54" i="1" s="1"/>
  <c r="U55" i="1"/>
  <c r="H55" i="1" s="1"/>
  <c r="U56" i="1"/>
  <c r="H56" i="1" s="1"/>
  <c r="U57" i="1"/>
  <c r="H57" i="1" s="1"/>
  <c r="U58" i="1"/>
  <c r="H58" i="1" s="1"/>
  <c r="U59" i="1"/>
  <c r="H59" i="1" s="1"/>
  <c r="U60" i="1"/>
  <c r="H60" i="1" s="1"/>
  <c r="U61" i="1"/>
  <c r="H61" i="1" s="1"/>
  <c r="U62" i="1"/>
  <c r="H62" i="1" s="1"/>
  <c r="U63" i="1"/>
  <c r="H63" i="1" s="1"/>
  <c r="U64" i="1"/>
  <c r="H64" i="1" s="1"/>
  <c r="U65" i="1"/>
  <c r="H65" i="1" s="1"/>
  <c r="U66" i="1"/>
  <c r="H66" i="1" s="1"/>
  <c r="U67" i="1"/>
  <c r="H67" i="1" s="1"/>
  <c r="U68" i="1"/>
  <c r="H68" i="1" s="1"/>
  <c r="U69" i="1"/>
  <c r="H69" i="1" s="1"/>
  <c r="U70" i="1"/>
  <c r="H70" i="1" s="1"/>
  <c r="U71" i="1"/>
  <c r="H71" i="1" s="1"/>
  <c r="U72" i="1"/>
  <c r="H72" i="1" s="1"/>
  <c r="U73" i="1"/>
  <c r="H73" i="1" s="1"/>
  <c r="U147" i="1"/>
  <c r="H147" i="1" s="1"/>
  <c r="U148" i="1"/>
  <c r="H148" i="1" s="1"/>
  <c r="U149" i="1"/>
  <c r="H149" i="1" s="1"/>
  <c r="U150" i="1"/>
  <c r="H150" i="1" s="1"/>
  <c r="U151" i="1"/>
  <c r="H151" i="1" s="1"/>
  <c r="U152" i="1"/>
  <c r="H152" i="1" s="1"/>
  <c r="U153" i="1"/>
  <c r="H153" i="1" s="1"/>
  <c r="U154" i="1"/>
  <c r="H154" i="1" s="1"/>
  <c r="U155" i="1"/>
  <c r="H155" i="1" s="1"/>
  <c r="U156" i="1"/>
  <c r="H156" i="1" s="1"/>
  <c r="U157" i="1"/>
  <c r="H157" i="1" s="1"/>
  <c r="U158" i="1"/>
  <c r="H158" i="1" s="1"/>
  <c r="U159" i="1"/>
  <c r="H159" i="1" s="1"/>
  <c r="U160" i="1"/>
  <c r="H160" i="1" s="1"/>
  <c r="U161" i="1"/>
  <c r="H161" i="1" s="1"/>
  <c r="U162" i="1"/>
  <c r="H162" i="1" s="1"/>
  <c r="U163" i="1"/>
  <c r="H163" i="1" s="1"/>
  <c r="U164" i="1"/>
  <c r="H164" i="1" s="1"/>
  <c r="U165" i="1"/>
  <c r="H165" i="1" s="1"/>
  <c r="U166" i="1"/>
  <c r="H166" i="1" s="1"/>
  <c r="U167" i="1"/>
  <c r="H167" i="1" s="1"/>
  <c r="U168" i="1"/>
  <c r="H168" i="1" s="1"/>
  <c r="U169" i="1"/>
  <c r="H169" i="1" s="1"/>
  <c r="U170" i="1"/>
  <c r="H170" i="1" s="1"/>
  <c r="U171" i="1"/>
  <c r="H171" i="1" s="1"/>
  <c r="U172" i="1"/>
  <c r="H172" i="1" s="1"/>
  <c r="U173" i="1"/>
  <c r="H173" i="1" s="1"/>
  <c r="U174" i="1"/>
  <c r="H174" i="1" s="1"/>
  <c r="U175" i="1"/>
  <c r="H175" i="1" s="1"/>
  <c r="U176" i="1"/>
  <c r="H176" i="1" s="1"/>
  <c r="U177" i="1"/>
  <c r="H177" i="1" s="1"/>
  <c r="U178" i="1"/>
  <c r="H178" i="1" s="1"/>
  <c r="U179" i="1"/>
  <c r="H179" i="1" s="1"/>
  <c r="U180" i="1"/>
  <c r="H180" i="1" s="1"/>
  <c r="U181" i="1"/>
  <c r="H181" i="1" s="1"/>
  <c r="U182" i="1"/>
  <c r="H182" i="1" s="1"/>
  <c r="U183" i="1"/>
  <c r="H183" i="1" s="1"/>
  <c r="U184" i="1"/>
  <c r="H184" i="1" s="1"/>
  <c r="U185" i="1"/>
  <c r="H185" i="1" s="1"/>
  <c r="U186" i="1"/>
  <c r="H186" i="1" s="1"/>
  <c r="U187" i="1"/>
  <c r="H187" i="1" s="1"/>
  <c r="U188" i="1"/>
  <c r="H188" i="1" s="1"/>
  <c r="U189" i="1"/>
  <c r="H189" i="1" s="1"/>
  <c r="U190" i="1"/>
  <c r="H190" i="1" s="1"/>
  <c r="U191" i="1"/>
  <c r="H191" i="1" s="1"/>
  <c r="U192" i="1"/>
  <c r="H192" i="1" s="1"/>
  <c r="U193" i="1"/>
  <c r="H193" i="1" s="1"/>
  <c r="U195" i="1"/>
  <c r="H195" i="1" s="1"/>
  <c r="U196" i="1"/>
  <c r="H196" i="1" s="1"/>
  <c r="U197" i="1"/>
  <c r="H197" i="1" s="1"/>
  <c r="U198" i="1"/>
  <c r="H198" i="1" s="1"/>
  <c r="U199" i="1"/>
  <c r="H199" i="1" s="1"/>
  <c r="U200" i="1"/>
  <c r="H200" i="1" s="1"/>
  <c r="U201" i="1"/>
  <c r="H201" i="1" s="1"/>
  <c r="U202" i="1"/>
  <c r="H202" i="1" s="1"/>
  <c r="U203" i="1"/>
  <c r="H203" i="1" s="1"/>
  <c r="U204" i="1"/>
  <c r="H204" i="1" s="1"/>
  <c r="U205" i="1"/>
  <c r="H205" i="1" s="1"/>
  <c r="U206" i="1"/>
  <c r="H206" i="1" s="1"/>
  <c r="U207" i="1"/>
  <c r="H207" i="1" s="1"/>
  <c r="U208" i="1"/>
  <c r="H208" i="1" s="1"/>
  <c r="U209" i="1"/>
  <c r="H209" i="1" s="1"/>
  <c r="U210" i="1"/>
  <c r="H210" i="1" s="1"/>
  <c r="U211" i="1"/>
  <c r="H211" i="1" s="1"/>
  <c r="U212" i="1"/>
  <c r="H212" i="1" s="1"/>
  <c r="U213" i="1"/>
  <c r="H213" i="1" s="1"/>
  <c r="U214" i="1"/>
  <c r="H214" i="1" s="1"/>
  <c r="U215" i="1"/>
  <c r="H215" i="1" s="1"/>
  <c r="U216" i="1"/>
  <c r="H216" i="1" s="1"/>
  <c r="U217" i="1"/>
  <c r="H217" i="1" s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U146" i="1"/>
  <c r="H146" i="1" s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146" i="1"/>
  <c r="N139" i="1" l="1"/>
  <c r="N131" i="1"/>
  <c r="N123" i="1"/>
  <c r="N115" i="1"/>
  <c r="N107" i="1"/>
  <c r="N99" i="1"/>
  <c r="N91" i="1"/>
  <c r="N83" i="1"/>
  <c r="N75" i="1"/>
  <c r="N90" i="1"/>
  <c r="N82" i="1"/>
  <c r="N138" i="1"/>
  <c r="N130" i="1"/>
  <c r="N122" i="1"/>
  <c r="N114" i="1"/>
  <c r="N106" i="1"/>
  <c r="N98" i="1"/>
  <c r="N74" i="1"/>
  <c r="N145" i="1"/>
  <c r="N137" i="1"/>
  <c r="N129" i="1"/>
  <c r="N121" i="1"/>
  <c r="N113" i="1"/>
  <c r="N105" i="1"/>
  <c r="N97" i="1"/>
  <c r="N89" i="1"/>
  <c r="N81" i="1"/>
  <c r="N144" i="1"/>
  <c r="N136" i="1"/>
  <c r="N128" i="1"/>
  <c r="N120" i="1"/>
  <c r="N112" i="1"/>
  <c r="N104" i="1"/>
  <c r="N96" i="1"/>
  <c r="N88" i="1"/>
  <c r="N80" i="1"/>
  <c r="N143" i="1"/>
  <c r="N135" i="1"/>
  <c r="N127" i="1"/>
  <c r="N119" i="1"/>
  <c r="N111" i="1"/>
  <c r="N103" i="1"/>
  <c r="N95" i="1"/>
  <c r="N87" i="1"/>
  <c r="N79" i="1"/>
  <c r="N283" i="1"/>
  <c r="N211" i="1"/>
  <c r="N271" i="1"/>
  <c r="N199" i="1"/>
  <c r="N259" i="1"/>
  <c r="N187" i="1"/>
  <c r="N243" i="1"/>
  <c r="N171" i="1"/>
  <c r="N227" i="1"/>
  <c r="N155" i="1"/>
  <c r="N266" i="1"/>
  <c r="N194" i="1"/>
  <c r="N287" i="1"/>
  <c r="N215" i="1"/>
  <c r="N267" i="1"/>
  <c r="N195" i="1"/>
  <c r="N251" i="1"/>
  <c r="N179" i="1"/>
  <c r="N239" i="1"/>
  <c r="N167" i="1"/>
  <c r="N223" i="1"/>
  <c r="N151" i="1"/>
  <c r="N282" i="1"/>
  <c r="N210" i="1"/>
  <c r="N274" i="1"/>
  <c r="N202" i="1"/>
  <c r="N258" i="1"/>
  <c r="N186" i="1"/>
  <c r="N250" i="1"/>
  <c r="N178" i="1"/>
  <c r="N242" i="1"/>
  <c r="N170" i="1"/>
  <c r="N234" i="1"/>
  <c r="N162" i="1"/>
  <c r="N226" i="1"/>
  <c r="N154" i="1"/>
  <c r="N222" i="1"/>
  <c r="N150" i="1"/>
  <c r="N289" i="1"/>
  <c r="N217" i="1"/>
  <c r="N285" i="1"/>
  <c r="N213" i="1"/>
  <c r="N281" i="1"/>
  <c r="N209" i="1"/>
  <c r="N277" i="1"/>
  <c r="N205" i="1"/>
  <c r="N273" i="1"/>
  <c r="N201" i="1"/>
  <c r="N269" i="1"/>
  <c r="N197" i="1"/>
  <c r="N265" i="1"/>
  <c r="N193" i="1"/>
  <c r="N261" i="1"/>
  <c r="N189" i="1"/>
  <c r="N257" i="1"/>
  <c r="N185" i="1"/>
  <c r="N253" i="1"/>
  <c r="N181" i="1"/>
  <c r="N249" i="1"/>
  <c r="N177" i="1"/>
  <c r="N245" i="1"/>
  <c r="N173" i="1"/>
  <c r="N241" i="1"/>
  <c r="N169" i="1"/>
  <c r="N237" i="1"/>
  <c r="N165" i="1"/>
  <c r="N233" i="1"/>
  <c r="N161" i="1"/>
  <c r="N229" i="1"/>
  <c r="N157" i="1"/>
  <c r="N225" i="1"/>
  <c r="N153" i="1"/>
  <c r="N221" i="1"/>
  <c r="N149" i="1"/>
  <c r="N275" i="1"/>
  <c r="N203" i="1"/>
  <c r="N255" i="1"/>
  <c r="N183" i="1"/>
  <c r="N235" i="1"/>
  <c r="N163" i="1"/>
  <c r="N219" i="1"/>
  <c r="N147" i="1"/>
  <c r="N279" i="1"/>
  <c r="N207" i="1"/>
  <c r="N263" i="1"/>
  <c r="N191" i="1"/>
  <c r="N247" i="1"/>
  <c r="N175" i="1"/>
  <c r="N231" i="1"/>
  <c r="N159" i="1"/>
  <c r="N286" i="1"/>
  <c r="N214" i="1"/>
  <c r="N278" i="1"/>
  <c r="N206" i="1"/>
  <c r="N270" i="1"/>
  <c r="N198" i="1"/>
  <c r="N262" i="1"/>
  <c r="N190" i="1"/>
  <c r="N254" i="1"/>
  <c r="N182" i="1"/>
  <c r="N246" i="1"/>
  <c r="N174" i="1"/>
  <c r="N238" i="1"/>
  <c r="N166" i="1"/>
  <c r="N230" i="1"/>
  <c r="N158" i="1"/>
  <c r="N218" i="1"/>
  <c r="N146" i="1"/>
  <c r="N288" i="1"/>
  <c r="N216" i="1"/>
  <c r="N284" i="1"/>
  <c r="N212" i="1"/>
  <c r="N280" i="1"/>
  <c r="N208" i="1"/>
  <c r="N276" i="1"/>
  <c r="N204" i="1"/>
  <c r="N272" i="1"/>
  <c r="N200" i="1"/>
  <c r="N268" i="1"/>
  <c r="N196" i="1"/>
  <c r="N264" i="1"/>
  <c r="N192" i="1"/>
  <c r="N260" i="1"/>
  <c r="N188" i="1"/>
  <c r="N256" i="1"/>
  <c r="N184" i="1"/>
  <c r="N252" i="1"/>
  <c r="N180" i="1"/>
  <c r="N248" i="1"/>
  <c r="N176" i="1"/>
  <c r="N244" i="1"/>
  <c r="N172" i="1"/>
  <c r="N240" i="1"/>
  <c r="N168" i="1"/>
  <c r="N236" i="1"/>
  <c r="N164" i="1"/>
  <c r="N232" i="1"/>
  <c r="N160" i="1"/>
  <c r="N228" i="1"/>
  <c r="N156" i="1"/>
  <c r="N224" i="1"/>
  <c r="N152" i="1"/>
  <c r="N220" i="1"/>
  <c r="N148" i="1"/>
  <c r="P187" i="1"/>
  <c r="P171" i="1"/>
  <c r="O214" i="1"/>
  <c r="O206" i="1"/>
  <c r="O198" i="1"/>
  <c r="O190" i="1"/>
  <c r="O182" i="1"/>
  <c r="O174" i="1"/>
  <c r="O166" i="1"/>
  <c r="O158" i="1"/>
  <c r="O150" i="1"/>
  <c r="P155" i="1"/>
  <c r="P213" i="1"/>
  <c r="P285" i="1"/>
  <c r="P141" i="1"/>
  <c r="P205" i="1"/>
  <c r="P277" i="1"/>
  <c r="P133" i="1"/>
  <c r="P197" i="1"/>
  <c r="P269" i="1"/>
  <c r="P125" i="1"/>
  <c r="P189" i="1"/>
  <c r="P261" i="1"/>
  <c r="P117" i="1"/>
  <c r="P181" i="1"/>
  <c r="P253" i="1"/>
  <c r="P109" i="1"/>
  <c r="P173" i="1"/>
  <c r="P245" i="1"/>
  <c r="P101" i="1"/>
  <c r="P165" i="1"/>
  <c r="P237" i="1"/>
  <c r="P93" i="1"/>
  <c r="P157" i="1"/>
  <c r="P229" i="1"/>
  <c r="P85" i="1"/>
  <c r="P149" i="1"/>
  <c r="P221" i="1"/>
  <c r="P77" i="1"/>
  <c r="O215" i="1"/>
  <c r="O143" i="1"/>
  <c r="O287" i="1"/>
  <c r="O211" i="1"/>
  <c r="O139" i="1"/>
  <c r="O283" i="1"/>
  <c r="O207" i="1"/>
  <c r="O135" i="1"/>
  <c r="O279" i="1"/>
  <c r="O203" i="1"/>
  <c r="O131" i="1"/>
  <c r="O275" i="1"/>
  <c r="O199" i="1"/>
  <c r="O127" i="1"/>
  <c r="O271" i="1"/>
  <c r="O195" i="1"/>
  <c r="O123" i="1"/>
  <c r="O267" i="1"/>
  <c r="O191" i="1"/>
  <c r="O119" i="1"/>
  <c r="O263" i="1"/>
  <c r="O187" i="1"/>
  <c r="O115" i="1"/>
  <c r="O259" i="1"/>
  <c r="O183" i="1"/>
  <c r="O111" i="1"/>
  <c r="O255" i="1"/>
  <c r="O179" i="1"/>
  <c r="O107" i="1"/>
  <c r="O251" i="1"/>
  <c r="O175" i="1"/>
  <c r="O103" i="1"/>
  <c r="O247" i="1"/>
  <c r="O171" i="1"/>
  <c r="O99" i="1"/>
  <c r="O243" i="1"/>
  <c r="O167" i="1"/>
  <c r="O95" i="1"/>
  <c r="O239" i="1"/>
  <c r="O163" i="1"/>
  <c r="O91" i="1"/>
  <c r="O235" i="1"/>
  <c r="O159" i="1"/>
  <c r="O87" i="1"/>
  <c r="O231" i="1"/>
  <c r="O155" i="1"/>
  <c r="O83" i="1"/>
  <c r="O227" i="1"/>
  <c r="O151" i="1"/>
  <c r="O79" i="1"/>
  <c r="O223" i="1"/>
  <c r="O147" i="1"/>
  <c r="O75" i="1"/>
  <c r="O219" i="1"/>
  <c r="P212" i="1"/>
  <c r="P140" i="1"/>
  <c r="P284" i="1"/>
  <c r="P204" i="1"/>
  <c r="P132" i="1"/>
  <c r="P276" i="1"/>
  <c r="P196" i="1"/>
  <c r="P124" i="1"/>
  <c r="P268" i="1"/>
  <c r="P188" i="1"/>
  <c r="P116" i="1"/>
  <c r="P260" i="1"/>
  <c r="P180" i="1"/>
  <c r="P108" i="1"/>
  <c r="P252" i="1"/>
  <c r="P172" i="1"/>
  <c r="P100" i="1"/>
  <c r="P244" i="1"/>
  <c r="P164" i="1"/>
  <c r="P92" i="1"/>
  <c r="P236" i="1"/>
  <c r="P156" i="1"/>
  <c r="P84" i="1"/>
  <c r="P228" i="1"/>
  <c r="P148" i="1"/>
  <c r="P76" i="1"/>
  <c r="P220" i="1"/>
  <c r="P206" i="1"/>
  <c r="P278" i="1"/>
  <c r="P134" i="1"/>
  <c r="P190" i="1"/>
  <c r="P262" i="1"/>
  <c r="P118" i="1"/>
  <c r="P174" i="1"/>
  <c r="P246" i="1"/>
  <c r="P102" i="1"/>
  <c r="P158" i="1"/>
  <c r="P230" i="1"/>
  <c r="P86" i="1"/>
  <c r="P139" i="1"/>
  <c r="P283" i="1"/>
  <c r="P123" i="1"/>
  <c r="P267" i="1"/>
  <c r="P107" i="1"/>
  <c r="P251" i="1"/>
  <c r="P91" i="1"/>
  <c r="P235" i="1"/>
  <c r="P147" i="1"/>
  <c r="P75" i="1"/>
  <c r="P219" i="1"/>
  <c r="O210" i="1"/>
  <c r="O282" i="1"/>
  <c r="O138" i="1"/>
  <c r="O202" i="1"/>
  <c r="O274" i="1"/>
  <c r="O130" i="1"/>
  <c r="O262" i="1"/>
  <c r="O118" i="1"/>
  <c r="O254" i="1"/>
  <c r="O110" i="1"/>
  <c r="O246" i="1"/>
  <c r="O102" i="1"/>
  <c r="O238" i="1"/>
  <c r="O94" i="1"/>
  <c r="O230" i="1"/>
  <c r="O86" i="1"/>
  <c r="O222" i="1"/>
  <c r="O78" i="1"/>
  <c r="P179" i="1"/>
  <c r="P210" i="1"/>
  <c r="P282" i="1"/>
  <c r="P138" i="1"/>
  <c r="P266" i="1"/>
  <c r="P122" i="1"/>
  <c r="P178" i="1"/>
  <c r="P250" i="1"/>
  <c r="P106" i="1"/>
  <c r="P162" i="1"/>
  <c r="P234" i="1"/>
  <c r="P90" i="1"/>
  <c r="P154" i="1"/>
  <c r="P226" i="1"/>
  <c r="P82" i="1"/>
  <c r="P211" i="1"/>
  <c r="P195" i="1"/>
  <c r="P217" i="1"/>
  <c r="P289" i="1"/>
  <c r="P145" i="1"/>
  <c r="P209" i="1"/>
  <c r="P281" i="1"/>
  <c r="P137" i="1"/>
  <c r="P201" i="1"/>
  <c r="P273" i="1"/>
  <c r="P129" i="1"/>
  <c r="P193" i="1"/>
  <c r="P265" i="1"/>
  <c r="P121" i="1"/>
  <c r="P185" i="1"/>
  <c r="P257" i="1"/>
  <c r="P113" i="1"/>
  <c r="P177" i="1"/>
  <c r="P249" i="1"/>
  <c r="P105" i="1"/>
  <c r="P169" i="1"/>
  <c r="P241" i="1"/>
  <c r="P97" i="1"/>
  <c r="P161" i="1"/>
  <c r="P233" i="1"/>
  <c r="P89" i="1"/>
  <c r="P153" i="1"/>
  <c r="P225" i="1"/>
  <c r="P81" i="1"/>
  <c r="O217" i="1"/>
  <c r="O289" i="1"/>
  <c r="O145" i="1"/>
  <c r="O213" i="1"/>
  <c r="O141" i="1"/>
  <c r="O285" i="1"/>
  <c r="O209" i="1"/>
  <c r="O281" i="1"/>
  <c r="O137" i="1"/>
  <c r="O205" i="1"/>
  <c r="O133" i="1"/>
  <c r="O277" i="1"/>
  <c r="O201" i="1"/>
  <c r="O273" i="1"/>
  <c r="O129" i="1"/>
  <c r="O197" i="1"/>
  <c r="O125" i="1"/>
  <c r="O269" i="1"/>
  <c r="O193" i="1"/>
  <c r="O265" i="1"/>
  <c r="O121" i="1"/>
  <c r="O189" i="1"/>
  <c r="O117" i="1"/>
  <c r="O261" i="1"/>
  <c r="O185" i="1"/>
  <c r="O257" i="1"/>
  <c r="O113" i="1"/>
  <c r="O181" i="1"/>
  <c r="O109" i="1"/>
  <c r="O253" i="1"/>
  <c r="O177" i="1"/>
  <c r="O249" i="1"/>
  <c r="O105" i="1"/>
  <c r="O173" i="1"/>
  <c r="O101" i="1"/>
  <c r="O245" i="1"/>
  <c r="O169" i="1"/>
  <c r="O241" i="1"/>
  <c r="O97" i="1"/>
  <c r="O165" i="1"/>
  <c r="O93" i="1"/>
  <c r="O237" i="1"/>
  <c r="O161" i="1"/>
  <c r="O233" i="1"/>
  <c r="O89" i="1"/>
  <c r="O157" i="1"/>
  <c r="O85" i="1"/>
  <c r="O229" i="1"/>
  <c r="O153" i="1"/>
  <c r="O225" i="1"/>
  <c r="O81" i="1"/>
  <c r="O149" i="1"/>
  <c r="O77" i="1"/>
  <c r="O221" i="1"/>
  <c r="P163" i="1"/>
  <c r="P216" i="1"/>
  <c r="P288" i="1"/>
  <c r="P144" i="1"/>
  <c r="P208" i="1"/>
  <c r="P280" i="1"/>
  <c r="P136" i="1"/>
  <c r="P200" i="1"/>
  <c r="P272" i="1"/>
  <c r="P128" i="1"/>
  <c r="I48" i="1"/>
  <c r="P264" i="1"/>
  <c r="P120" i="1"/>
  <c r="P184" i="1"/>
  <c r="P256" i="1"/>
  <c r="P112" i="1"/>
  <c r="I32" i="1"/>
  <c r="P248" i="1"/>
  <c r="P104" i="1"/>
  <c r="I24" i="1"/>
  <c r="P240" i="1"/>
  <c r="P96" i="1"/>
  <c r="P160" i="1"/>
  <c r="P232" i="1"/>
  <c r="P88" i="1"/>
  <c r="P152" i="1"/>
  <c r="P224" i="1"/>
  <c r="P80" i="1"/>
  <c r="P214" i="1"/>
  <c r="P286" i="1"/>
  <c r="P142" i="1"/>
  <c r="P198" i="1"/>
  <c r="P270" i="1"/>
  <c r="P126" i="1"/>
  <c r="P182" i="1"/>
  <c r="P254" i="1"/>
  <c r="P110" i="1"/>
  <c r="P166" i="1"/>
  <c r="P238" i="1"/>
  <c r="P94" i="1"/>
  <c r="P150" i="1"/>
  <c r="P222" i="1"/>
  <c r="P78" i="1"/>
  <c r="P131" i="1"/>
  <c r="P275" i="1"/>
  <c r="P115" i="1"/>
  <c r="P259" i="1"/>
  <c r="P99" i="1"/>
  <c r="P243" i="1"/>
  <c r="P83" i="1"/>
  <c r="P227" i="1"/>
  <c r="O286" i="1"/>
  <c r="O142" i="1"/>
  <c r="O278" i="1"/>
  <c r="O134" i="1"/>
  <c r="O270" i="1"/>
  <c r="O126" i="1"/>
  <c r="O194" i="1"/>
  <c r="O266" i="1"/>
  <c r="O122" i="1"/>
  <c r="O186" i="1"/>
  <c r="O258" i="1"/>
  <c r="O114" i="1"/>
  <c r="O178" i="1"/>
  <c r="O250" i="1"/>
  <c r="O106" i="1"/>
  <c r="O170" i="1"/>
  <c r="O242" i="1"/>
  <c r="O98" i="1"/>
  <c r="O162" i="1"/>
  <c r="O234" i="1"/>
  <c r="O90" i="1"/>
  <c r="O154" i="1"/>
  <c r="O226" i="1"/>
  <c r="O82" i="1"/>
  <c r="O146" i="1"/>
  <c r="O218" i="1"/>
  <c r="O74" i="1"/>
  <c r="P202" i="1"/>
  <c r="P274" i="1"/>
  <c r="P130" i="1"/>
  <c r="P186" i="1"/>
  <c r="P258" i="1"/>
  <c r="P114" i="1"/>
  <c r="P170" i="1"/>
  <c r="P242" i="1"/>
  <c r="P98" i="1"/>
  <c r="P218" i="1"/>
  <c r="P74" i="1"/>
  <c r="P203" i="1"/>
  <c r="P215" i="1"/>
  <c r="P143" i="1"/>
  <c r="P287" i="1"/>
  <c r="P207" i="1"/>
  <c r="P135" i="1"/>
  <c r="P279" i="1"/>
  <c r="P199" i="1"/>
  <c r="P127" i="1"/>
  <c r="P271" i="1"/>
  <c r="P191" i="1"/>
  <c r="P119" i="1"/>
  <c r="P263" i="1"/>
  <c r="P183" i="1"/>
  <c r="P111" i="1"/>
  <c r="P255" i="1"/>
  <c r="P175" i="1"/>
  <c r="P103" i="1"/>
  <c r="P247" i="1"/>
  <c r="P167" i="1"/>
  <c r="P95" i="1"/>
  <c r="P239" i="1"/>
  <c r="P159" i="1"/>
  <c r="P87" i="1"/>
  <c r="P231" i="1"/>
  <c r="P151" i="1"/>
  <c r="P79" i="1"/>
  <c r="P223" i="1"/>
  <c r="O216" i="1"/>
  <c r="O288" i="1"/>
  <c r="O144" i="1"/>
  <c r="O212" i="1"/>
  <c r="O140" i="1"/>
  <c r="O284" i="1"/>
  <c r="O208" i="1"/>
  <c r="O280" i="1"/>
  <c r="O136" i="1"/>
  <c r="O204" i="1"/>
  <c r="O132" i="1"/>
  <c r="O276" i="1"/>
  <c r="O200" i="1"/>
  <c r="O272" i="1"/>
  <c r="O128" i="1"/>
  <c r="O196" i="1"/>
  <c r="O124" i="1"/>
  <c r="O268" i="1"/>
  <c r="O192" i="1"/>
  <c r="O264" i="1"/>
  <c r="O120" i="1"/>
  <c r="O188" i="1"/>
  <c r="O116" i="1"/>
  <c r="O260" i="1"/>
  <c r="O184" i="1"/>
  <c r="O256" i="1"/>
  <c r="O112" i="1"/>
  <c r="O180" i="1"/>
  <c r="O108" i="1"/>
  <c r="O252" i="1"/>
  <c r="O176" i="1"/>
  <c r="O248" i="1"/>
  <c r="O104" i="1"/>
  <c r="O172" i="1"/>
  <c r="O100" i="1"/>
  <c r="O244" i="1"/>
  <c r="O168" i="1"/>
  <c r="O240" i="1"/>
  <c r="O96" i="1"/>
  <c r="O164" i="1"/>
  <c r="O92" i="1"/>
  <c r="O236" i="1"/>
  <c r="O160" i="1"/>
  <c r="O232" i="1"/>
  <c r="O88" i="1"/>
  <c r="O156" i="1"/>
  <c r="O84" i="1"/>
  <c r="O228" i="1"/>
  <c r="O152" i="1"/>
  <c r="O224" i="1"/>
  <c r="O80" i="1"/>
  <c r="O148" i="1"/>
  <c r="O76" i="1"/>
  <c r="O220" i="1"/>
  <c r="P146" i="1"/>
  <c r="P192" i="1"/>
  <c r="P176" i="1"/>
  <c r="P168" i="1"/>
  <c r="U194" i="1"/>
  <c r="H194" i="1" s="1"/>
  <c r="P194" i="1" s="1"/>
  <c r="I36" i="1"/>
  <c r="I44" i="1"/>
  <c r="I38" i="1"/>
  <c r="I6" i="1"/>
  <c r="I50" i="1"/>
  <c r="I34" i="1"/>
  <c r="I2" i="1"/>
  <c r="I66" i="1"/>
  <c r="I42" i="1"/>
  <c r="I26" i="1"/>
  <c r="I30" i="1"/>
  <c r="I70" i="1"/>
  <c r="I46" i="1"/>
  <c r="I58" i="1"/>
  <c r="I18" i="1"/>
  <c r="I10" i="1"/>
  <c r="I8" i="1"/>
  <c r="I62" i="1"/>
  <c r="I54" i="1"/>
  <c r="I22" i="1"/>
  <c r="I14" i="1"/>
  <c r="I12" i="1"/>
  <c r="I40" i="1"/>
  <c r="I16" i="1"/>
  <c r="I28" i="1"/>
  <c r="I20" i="1"/>
  <c r="I4" i="1"/>
  <c r="I68" i="1"/>
  <c r="I60" i="1"/>
  <c r="I52" i="1"/>
  <c r="I72" i="1"/>
  <c r="I64" i="1"/>
  <c r="I56" i="1"/>
  <c r="I37" i="1"/>
  <c r="I29" i="1"/>
  <c r="I21" i="1"/>
  <c r="I13" i="1"/>
  <c r="I5" i="1"/>
  <c r="I73" i="1"/>
  <c r="I57" i="1"/>
  <c r="I49" i="1"/>
  <c r="I41" i="1"/>
  <c r="I17" i="1"/>
  <c r="I9" i="1"/>
  <c r="I65" i="1"/>
  <c r="I33" i="1"/>
  <c r="I25" i="1"/>
  <c r="I67" i="1"/>
  <c r="I59" i="1"/>
  <c r="I51" i="1"/>
  <c r="I43" i="1"/>
  <c r="I35" i="1"/>
  <c r="I27" i="1"/>
  <c r="I19" i="1"/>
  <c r="I11" i="1"/>
  <c r="I3" i="1"/>
  <c r="I61" i="1"/>
  <c r="I53" i="1"/>
  <c r="I45" i="1"/>
  <c r="I69" i="1"/>
  <c r="I71" i="1"/>
  <c r="I63" i="1"/>
  <c r="I55" i="1"/>
  <c r="I47" i="1"/>
  <c r="I39" i="1"/>
  <c r="I31" i="1"/>
  <c r="I23" i="1"/>
  <c r="I15" i="1"/>
  <c r="I7" i="1"/>
  <c r="I216" i="1"/>
  <c r="I208" i="1"/>
  <c r="I200" i="1"/>
  <c r="I192" i="1"/>
  <c r="I214" i="1"/>
  <c r="I206" i="1"/>
  <c r="I198" i="1"/>
  <c r="I190" i="1"/>
  <c r="I182" i="1"/>
  <c r="I174" i="1"/>
  <c r="I217" i="1"/>
  <c r="I209" i="1"/>
  <c r="I201" i="1"/>
  <c r="I193" i="1"/>
  <c r="I185" i="1"/>
  <c r="I177" i="1"/>
  <c r="I161" i="1"/>
  <c r="I184" i="1"/>
  <c r="I176" i="1"/>
  <c r="I168" i="1"/>
  <c r="I215" i="1"/>
  <c r="I207" i="1"/>
  <c r="I199" i="1"/>
  <c r="I191" i="1"/>
  <c r="I183" i="1"/>
  <c r="I175" i="1"/>
  <c r="I213" i="1"/>
  <c r="I205" i="1"/>
  <c r="I197" i="1"/>
  <c r="I189" i="1"/>
  <c r="I181" i="1"/>
  <c r="I173" i="1"/>
  <c r="I212" i="1"/>
  <c r="I204" i="1"/>
  <c r="I196" i="1"/>
  <c r="I188" i="1"/>
  <c r="I180" i="1"/>
  <c r="I172" i="1"/>
  <c r="I211" i="1"/>
  <c r="I203" i="1"/>
  <c r="I195" i="1"/>
  <c r="I187" i="1"/>
  <c r="I179" i="1"/>
  <c r="I171" i="1"/>
  <c r="I210" i="1"/>
  <c r="I202" i="1"/>
  <c r="I186" i="1"/>
  <c r="I178" i="1"/>
  <c r="I170" i="1"/>
  <c r="I146" i="1"/>
  <c r="I162" i="1"/>
  <c r="I154" i="1"/>
  <c r="I169" i="1"/>
  <c r="I153" i="1"/>
  <c r="I160" i="1"/>
  <c r="I152" i="1"/>
  <c r="I167" i="1"/>
  <c r="I159" i="1"/>
  <c r="I151" i="1"/>
  <c r="I166" i="1"/>
  <c r="I158" i="1"/>
  <c r="I150" i="1"/>
  <c r="I165" i="1"/>
  <c r="I157" i="1"/>
  <c r="I149" i="1"/>
  <c r="I164" i="1"/>
  <c r="I156" i="1"/>
  <c r="I148" i="1"/>
  <c r="I163" i="1"/>
  <c r="I155" i="1"/>
  <c r="I147" i="1"/>
  <c r="I194" i="1" l="1"/>
</calcChain>
</file>

<file path=xl/sharedStrings.xml><?xml version="1.0" encoding="utf-8"?>
<sst xmlns="http://schemas.openxmlformats.org/spreadsheetml/2006/main" count="1181" uniqueCount="114">
  <si>
    <t>Samples</t>
  </si>
  <si>
    <t>Time</t>
  </si>
  <si>
    <t>NO3</t>
  </si>
  <si>
    <t>NO2</t>
  </si>
  <si>
    <t>NH4</t>
  </si>
  <si>
    <t>TIN</t>
  </si>
  <si>
    <t>NLR/NRR</t>
  </si>
  <si>
    <t>HCO3</t>
  </si>
  <si>
    <t>NO3_Raw</t>
  </si>
  <si>
    <t>NO2_Raw</t>
  </si>
  <si>
    <t>NH4_Raw</t>
  </si>
  <si>
    <t>NH4_1</t>
  </si>
  <si>
    <t>NH4_2</t>
  </si>
  <si>
    <t>NH4_3</t>
  </si>
  <si>
    <t>Dark</t>
  </si>
  <si>
    <t>IR</t>
  </si>
  <si>
    <t>Strain</t>
  </si>
  <si>
    <t>Light</t>
  </si>
  <si>
    <t>HCO3_raw</t>
  </si>
  <si>
    <t>Paracoccus</t>
  </si>
  <si>
    <t>Marinobacter</t>
  </si>
  <si>
    <t>Aliidiomarina</t>
  </si>
  <si>
    <t>△NH4N</t>
  </si>
  <si>
    <t>△NO2N</t>
  </si>
  <si>
    <t>OD600.raw1</t>
  </si>
  <si>
    <t>OD600.raw2</t>
  </si>
  <si>
    <t>SynCom</t>
  </si>
  <si>
    <t>Substrate</t>
  </si>
  <si>
    <t>Control</t>
  </si>
  <si>
    <t>Pd_Control_1_0126_21:00_Dark_Dilute30</t>
  </si>
  <si>
    <t>Pd_Control_2</t>
  </si>
  <si>
    <t>Pd_Control_3</t>
  </si>
  <si>
    <t>Mz_Control_1</t>
  </si>
  <si>
    <t>Mz_Control_2</t>
  </si>
  <si>
    <t>Mz_Control_3</t>
  </si>
  <si>
    <t>Am_Control_1</t>
  </si>
  <si>
    <t>Am_Control_2</t>
  </si>
  <si>
    <t>Am_Control_3</t>
  </si>
  <si>
    <t>SC_Control_1</t>
  </si>
  <si>
    <t>SC_Control_2</t>
  </si>
  <si>
    <t>SC_Control_3</t>
  </si>
  <si>
    <t>Pd_Control_1_0126_21:00_IR_Dilute30</t>
  </si>
  <si>
    <t>Acetate</t>
  </si>
  <si>
    <t>Pd_Acetate_1_0127_8:00_Dark_Dilute30</t>
  </si>
  <si>
    <t>Pd_Acetate_2</t>
  </si>
  <si>
    <t>Pd_Acetate_3</t>
  </si>
  <si>
    <t>Mz_Acetate_1</t>
  </si>
  <si>
    <t>Mz_Acetate_2</t>
  </si>
  <si>
    <t>Mz_Acetate_3</t>
  </si>
  <si>
    <t>Am_Acetate_1</t>
  </si>
  <si>
    <t>Am_Acetate_2</t>
  </si>
  <si>
    <t>Am_Acetate_3</t>
  </si>
  <si>
    <t>SC_Acetate_1</t>
  </si>
  <si>
    <t>SC_Acetate_2</t>
  </si>
  <si>
    <t>SC_Acetate_3</t>
  </si>
  <si>
    <t>Pd_Acetate_1_0127_8:00_IR_Dilute30</t>
  </si>
  <si>
    <t>Pd_Thiosulfate_1_0127_21:00_Dark_Dilute30</t>
  </si>
  <si>
    <t>Pd_Thiosulfate_2</t>
  </si>
  <si>
    <t>Pd_Thiosulfate_3</t>
  </si>
  <si>
    <t>Mz_Thiosulfate_1</t>
  </si>
  <si>
    <t>Mz_Thiosulfate_2</t>
  </si>
  <si>
    <t>Mz_Thiosulfate_3</t>
  </si>
  <si>
    <t>Am_Thiosulfate_1</t>
  </si>
  <si>
    <t>Am_Thiosulfate_2</t>
  </si>
  <si>
    <t>Am_Thiosulfate_3</t>
  </si>
  <si>
    <t>SC_Thiosulfate_1</t>
  </si>
  <si>
    <t>SC_Thiosulfate_2</t>
  </si>
  <si>
    <t>SC_Thiosulfate_3</t>
  </si>
  <si>
    <t>Pd_Thiosulfate_1_0127_21:00_IR_Dilute30</t>
  </si>
  <si>
    <t>Thiosulfate</t>
  </si>
  <si>
    <t>Acetate_Raw</t>
  </si>
  <si>
    <t>S_Raw</t>
  </si>
  <si>
    <t>S2O3</t>
  </si>
  <si>
    <t>CH3COO</t>
  </si>
  <si>
    <t>P1-C-Dark-2.22</t>
  </si>
  <si>
    <t>P2-C</t>
  </si>
  <si>
    <t>P3-C</t>
  </si>
  <si>
    <t>A1-C</t>
  </si>
  <si>
    <t>A2-C</t>
  </si>
  <si>
    <t>A3-C</t>
  </si>
  <si>
    <t>M1-C</t>
  </si>
  <si>
    <t>M2-C</t>
  </si>
  <si>
    <t>M3-C</t>
  </si>
  <si>
    <t>Syn1-C</t>
  </si>
  <si>
    <t>Syn2-C</t>
  </si>
  <si>
    <t>Syn3-C</t>
  </si>
  <si>
    <t>P1-C-IR-2.11</t>
  </si>
  <si>
    <t>P1-Ac</t>
  </si>
  <si>
    <t>P2-Ac</t>
  </si>
  <si>
    <t>P3-Ac</t>
  </si>
  <si>
    <t>A1-Ac</t>
  </si>
  <si>
    <t>A2-Ac</t>
  </si>
  <si>
    <t>A3-Ac</t>
  </si>
  <si>
    <t>M1-Ac</t>
  </si>
  <si>
    <t>M2-Ac</t>
  </si>
  <si>
    <t>M3-Ac</t>
  </si>
  <si>
    <t>Syn1-Ac</t>
  </si>
  <si>
    <t>Syn2-Ac</t>
  </si>
  <si>
    <t>Syn3-Ac</t>
  </si>
  <si>
    <t>P1-S</t>
  </si>
  <si>
    <t>P2-S</t>
  </si>
  <si>
    <t>P3-S</t>
  </si>
  <si>
    <t>A1-S</t>
  </si>
  <si>
    <t>A2-S</t>
  </si>
  <si>
    <t>A3-S</t>
  </si>
  <si>
    <t>M1-S</t>
  </si>
  <si>
    <t>M2-S</t>
  </si>
  <si>
    <t>M3-S</t>
  </si>
  <si>
    <t>Syn1-S</t>
  </si>
  <si>
    <t>Syn2-S</t>
  </si>
  <si>
    <t>Syn3-S</t>
  </si>
  <si>
    <t>CO2_Emission</t>
  </si>
  <si>
    <t>△S2O3</t>
  </si>
  <si>
    <t>ECO2_quantification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</si>
</sst>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&quot;  &quot;"/>
  </numFmts>
  <fonts count="3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 (Body)"/>
    </font>
    <font>
      <sz val="12"/>
      <color theme="1"/>
      <name val="Calibri (Body)"/>
    </font>
    <font>
      <u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FF0000"/>
      <name val="Arial"/>
      <family val="2"/>
    </font>
    <font>
      <b/>
      <sz val="12"/>
      <color rgb="FFFF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8"/>
      <color theme="4"/>
      <name val="Arial"/>
      <family val="2"/>
    </font>
    <font>
      <b/>
      <sz val="10"/>
      <color theme="4"/>
      <name val="Calibri"/>
      <family val="2"/>
      <scheme val="minor"/>
    </font>
    <font>
      <sz val="10"/>
      <color theme="4"/>
      <name val="Calibri"/>
      <family val="2"/>
      <scheme val="minor"/>
    </font>
    <font>
      <sz val="11"/>
      <color theme="4"/>
      <name val="Calibri"/>
      <family val="2"/>
    </font>
    <font>
      <b/>
      <sz val="11"/>
      <color theme="4"/>
      <name val="Calibri"/>
      <family val="2"/>
      <scheme val="minor"/>
    </font>
    <font>
      <sz val="11"/>
      <color rgb="FFFF0000"/>
      <name val="Calibri (Body)"/>
    </font>
    <font>
      <sz val="12"/>
      <color rgb="FFFF0000"/>
      <name val="Calibri (Body)"/>
    </font>
    <font>
      <sz val="11"/>
      <color theme="4"/>
      <name val="Calibri (Body)"/>
    </font>
    <font>
      <sz val="12"/>
      <color theme="4"/>
      <name val="Calibri (Body)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/>
    <xf numFmtId="0" fontId="4" fillId="2" borderId="2" xfId="0" applyFont="1" applyFill="1" applyBorder="1" applyAlignment="1">
      <alignment horizontal="left" vertical="center"/>
    </xf>
    <xf numFmtId="0" fontId="5" fillId="0" borderId="0" xfId="0" applyFont="1"/>
    <xf numFmtId="0" fontId="8" fillId="0" borderId="0" xfId="0" applyFont="1"/>
    <xf numFmtId="0" fontId="9" fillId="0" borderId="0" xfId="0" applyFont="1"/>
    <xf numFmtId="0" fontId="0" fillId="3" borderId="0" xfId="0" applyFill="1"/>
    <xf numFmtId="0" fontId="10" fillId="0" borderId="0" xfId="0" applyFont="1"/>
    <xf numFmtId="0" fontId="10" fillId="3" borderId="0" xfId="0" applyFont="1" applyFill="1"/>
    <xf numFmtId="0" fontId="11" fillId="0" borderId="0" xfId="0" applyFont="1" applyAlignment="1">
      <alignment vertical="center"/>
    </xf>
    <xf numFmtId="0" fontId="7" fillId="0" borderId="0" xfId="0" applyFont="1"/>
    <xf numFmtId="0" fontId="0" fillId="4" borderId="0" xfId="0" applyFill="1"/>
    <xf numFmtId="0" fontId="0" fillId="5" borderId="0" xfId="0" applyFill="1"/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4" borderId="0" xfId="0" applyFont="1" applyFill="1"/>
    <xf numFmtId="0" fontId="15" fillId="4" borderId="0" xfId="0" applyFont="1" applyFill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3" fillId="4" borderId="0" xfId="0" applyFont="1" applyFill="1"/>
    <xf numFmtId="0" fontId="12" fillId="4" borderId="2" xfId="0" applyFont="1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20" fillId="4" borderId="2" xfId="0" applyFont="1" applyFill="1" applyBorder="1" applyAlignment="1">
      <alignment horizontal="left" vertical="center"/>
    </xf>
    <xf numFmtId="0" fontId="14" fillId="0" borderId="0" xfId="0" applyFont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24" fillId="0" borderId="0" xfId="0" applyFont="1" applyAlignment="1">
      <alignment vertical="center"/>
    </xf>
    <xf numFmtId="0" fontId="20" fillId="0" borderId="2" xfId="0" applyFont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7" fillId="3" borderId="0" xfId="0" applyFont="1" applyFill="1"/>
    <xf numFmtId="0" fontId="7" fillId="5" borderId="0" xfId="0" applyFont="1" applyFill="1"/>
    <xf numFmtId="0" fontId="25" fillId="0" borderId="0" xfId="0" applyFont="1"/>
    <xf numFmtId="0" fontId="26" fillId="0" borderId="0" xfId="0" applyFont="1"/>
    <xf numFmtId="0" fontId="20" fillId="2" borderId="2" xfId="0" applyFont="1" applyFill="1" applyBorder="1" applyAlignment="1">
      <alignment horizontal="left" vertical="center"/>
    </xf>
    <xf numFmtId="0" fontId="27" fillId="0" borderId="0" xfId="0" applyFont="1"/>
    <xf numFmtId="0" fontId="28" fillId="0" borderId="0" xfId="0" applyFont="1"/>
    <xf numFmtId="164" fontId="20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1B25-9AF0-9B44-BB0B-59E0C1010BCE}">
  <dimension ref="A1:AC289"/>
  <sheetViews>
    <sheetView tabSelected="1" zoomScale="90" zoomScaleNormal="90" workbookViewId="0">
      <pane ySplit="1" topLeftCell="A2" activePane="bottomLeft" state="frozen"/>
      <selection activeCell="C1" sqref="C1"/>
      <selection pane="bottomLeft" activeCell="A5" sqref="A5"/>
    </sheetView>
  </sheetViews>
  <sheetFormatPr baseColWidth="10" defaultRowHeight="16" x14ac:dyDescent="0.2"/>
  <cols>
    <col min="1" max="1" width="23.83203125" customWidth="1"/>
    <col min="13" max="13" width="20.33203125" customWidth="1"/>
    <col min="14" max="14" width="16.5" customWidth="1"/>
    <col min="22" max="22" width="10.83203125" customWidth="1"/>
    <col min="23" max="24" width="12.6640625" customWidth="1"/>
  </cols>
  <sheetData>
    <row r="1" spans="1:29" ht="17" thickBot="1" x14ac:dyDescent="0.25">
      <c r="A1" s="50" t="s">
        <v>0</v>
      </c>
      <c r="B1" s="51" t="s">
        <v>1</v>
      </c>
      <c r="C1" s="5" t="s">
        <v>16</v>
      </c>
      <c r="D1" s="5" t="s">
        <v>17</v>
      </c>
      <c r="E1" s="5" t="s">
        <v>27</v>
      </c>
      <c r="F1" s="5" t="s">
        <v>7</v>
      </c>
      <c r="G1" s="50" t="s">
        <v>3</v>
      </c>
      <c r="H1" s="50" t="s">
        <v>4</v>
      </c>
      <c r="I1" s="3" t="s">
        <v>5</v>
      </c>
      <c r="J1" s="50" t="s">
        <v>2</v>
      </c>
      <c r="K1" s="3" t="s">
        <v>73</v>
      </c>
      <c r="L1" s="5" t="s">
        <v>72</v>
      </c>
      <c r="M1" s="3" t="s">
        <v>113</v>
      </c>
      <c r="N1" s="3" t="s">
        <v>111</v>
      </c>
      <c r="O1" s="3" t="s">
        <v>23</v>
      </c>
      <c r="P1" s="3" t="s">
        <v>22</v>
      </c>
      <c r="Q1" s="3" t="s">
        <v>112</v>
      </c>
      <c r="R1" s="3" t="s">
        <v>6</v>
      </c>
      <c r="S1" s="3" t="s">
        <v>18</v>
      </c>
      <c r="T1" s="3" t="s">
        <v>9</v>
      </c>
      <c r="U1" s="3" t="s">
        <v>10</v>
      </c>
      <c r="V1" s="3" t="s">
        <v>8</v>
      </c>
      <c r="W1" s="3" t="s">
        <v>70</v>
      </c>
      <c r="X1" s="3" t="s">
        <v>71</v>
      </c>
      <c r="Y1" s="3" t="s">
        <v>11</v>
      </c>
      <c r="Z1" s="3" t="s">
        <v>12</v>
      </c>
      <c r="AA1" s="3" t="s">
        <v>13</v>
      </c>
      <c r="AB1" s="3" t="s">
        <v>24</v>
      </c>
      <c r="AC1" s="3" t="s">
        <v>25</v>
      </c>
    </row>
    <row r="2" spans="1:29" x14ac:dyDescent="0.2">
      <c r="A2" s="6" t="s">
        <v>29</v>
      </c>
      <c r="B2">
        <v>0</v>
      </c>
      <c r="C2" t="s">
        <v>19</v>
      </c>
      <c r="D2" t="s">
        <v>14</v>
      </c>
      <c r="E2" t="s">
        <v>28</v>
      </c>
      <c r="F2" s="4">
        <f t="shared" ref="F2:F65" si="0">30*(S2-0.0549)/0.0239</f>
        <v>193.47810177594513</v>
      </c>
      <c r="G2">
        <f t="shared" ref="G2:G65" si="1">(1.4692*T2-0.0724)*30</f>
        <v>13.720205968122713</v>
      </c>
      <c r="H2">
        <f t="shared" ref="H2:H65" si="2">(11.007*U2-0.65)*20</f>
        <v>26.118877999999999</v>
      </c>
      <c r="I2">
        <f>G2+H2</f>
        <v>39.839083968122708</v>
      </c>
      <c r="J2" s="2"/>
      <c r="K2" s="4">
        <v>2.9243194745707498E-3</v>
      </c>
      <c r="L2" s="4" t="e">
        <v>#VALUE!</v>
      </c>
      <c r="M2" s="2"/>
      <c r="N2" s="2"/>
      <c r="O2" s="2"/>
      <c r="P2" s="2"/>
      <c r="Q2" s="2"/>
      <c r="R2" s="3"/>
      <c r="S2" s="4">
        <v>0.20903755441483629</v>
      </c>
      <c r="T2" s="4">
        <v>0.36056370741725002</v>
      </c>
      <c r="U2">
        <f t="shared" ref="U2:U65" si="3">AVERAGE(Y2:AA2)</f>
        <v>0.1777</v>
      </c>
      <c r="V2" s="3"/>
      <c r="W2" s="4">
        <v>2.9243194745707498E-3</v>
      </c>
      <c r="X2" s="4" t="e">
        <v>#VALUE!</v>
      </c>
      <c r="Y2" s="7">
        <v>0.1777</v>
      </c>
      <c r="Z2" s="1"/>
      <c r="AA2" s="1"/>
      <c r="AB2" s="1"/>
      <c r="AC2" s="1"/>
    </row>
    <row r="3" spans="1:29" x14ac:dyDescent="0.2">
      <c r="A3" s="6" t="s">
        <v>30</v>
      </c>
      <c r="B3">
        <v>0</v>
      </c>
      <c r="C3" t="s">
        <v>19</v>
      </c>
      <c r="D3" t="s">
        <v>14</v>
      </c>
      <c r="E3" t="s">
        <v>28</v>
      </c>
      <c r="F3" s="4">
        <f t="shared" si="0"/>
        <v>184.34930869847102</v>
      </c>
      <c r="G3">
        <f t="shared" si="1"/>
        <v>15.334681840135438</v>
      </c>
      <c r="H3">
        <f t="shared" si="2"/>
        <v>25.964779999999994</v>
      </c>
      <c r="I3">
        <f t="shared" ref="I3:I65" si="4">G3+H3</f>
        <v>41.299461840135436</v>
      </c>
      <c r="J3" s="2"/>
      <c r="K3" s="4">
        <v>2.9243194745707498E-3</v>
      </c>
      <c r="L3" s="4" t="e">
        <v>#VALUE!</v>
      </c>
      <c r="M3" s="2"/>
      <c r="N3" s="2"/>
      <c r="O3" s="2"/>
      <c r="P3" s="2"/>
      <c r="Q3" s="2"/>
      <c r="R3" s="3"/>
      <c r="S3" s="4">
        <v>0.20176494926311525</v>
      </c>
      <c r="T3" s="4">
        <v>0.39719307196967601</v>
      </c>
      <c r="U3">
        <f t="shared" si="3"/>
        <v>0.17699999999999999</v>
      </c>
      <c r="V3" s="3"/>
      <c r="W3" s="4">
        <v>2.9243194745707498E-3</v>
      </c>
      <c r="X3" s="4" t="e">
        <v>#VALUE!</v>
      </c>
      <c r="Y3" s="7">
        <v>0.17699999999999999</v>
      </c>
      <c r="Z3" s="1"/>
      <c r="AA3" s="1"/>
      <c r="AB3" s="1"/>
      <c r="AC3" s="1"/>
    </row>
    <row r="4" spans="1:29" x14ac:dyDescent="0.2">
      <c r="A4" s="6" t="s">
        <v>31</v>
      </c>
      <c r="B4">
        <v>0</v>
      </c>
      <c r="C4" t="s">
        <v>19</v>
      </c>
      <c r="D4" t="s">
        <v>14</v>
      </c>
      <c r="E4" t="s">
        <v>28</v>
      </c>
      <c r="F4" s="4">
        <f t="shared" si="0"/>
        <v>195.89030171615454</v>
      </c>
      <c r="G4">
        <f t="shared" si="1"/>
        <v>15.825755133790153</v>
      </c>
      <c r="H4">
        <f t="shared" si="2"/>
        <v>25.876723999999996</v>
      </c>
      <c r="I4">
        <f t="shared" si="4"/>
        <v>41.702479133790149</v>
      </c>
      <c r="J4" s="2"/>
      <c r="K4" s="4">
        <v>2.9243194745707498E-3</v>
      </c>
      <c r="L4" s="4" t="e">
        <v>#VALUE!</v>
      </c>
      <c r="M4" s="2"/>
      <c r="N4" s="2"/>
      <c r="O4" s="2"/>
      <c r="P4" s="2"/>
      <c r="Q4" s="2"/>
      <c r="R4" s="3"/>
      <c r="S4" s="4">
        <v>0.21095927370053646</v>
      </c>
      <c r="T4" s="4">
        <v>0.40833458421340757</v>
      </c>
      <c r="U4">
        <f t="shared" si="3"/>
        <v>0.17660000000000001</v>
      </c>
      <c r="V4" s="3"/>
      <c r="W4" s="4">
        <v>2.9243194745707498E-3</v>
      </c>
      <c r="X4" s="4" t="e">
        <v>#VALUE!</v>
      </c>
      <c r="Y4" s="7">
        <v>0.17660000000000001</v>
      </c>
      <c r="Z4" s="1"/>
      <c r="AA4" s="1"/>
      <c r="AB4" s="1"/>
      <c r="AC4" s="1"/>
    </row>
    <row r="5" spans="1:29" x14ac:dyDescent="0.2">
      <c r="A5" s="6" t="s">
        <v>32</v>
      </c>
      <c r="B5">
        <v>0</v>
      </c>
      <c r="C5" t="s">
        <v>21</v>
      </c>
      <c r="D5" t="s">
        <v>14</v>
      </c>
      <c r="E5" t="s">
        <v>28</v>
      </c>
      <c r="F5" s="4">
        <f t="shared" si="0"/>
        <v>193.47810177594513</v>
      </c>
      <c r="G5">
        <f t="shared" si="1"/>
        <v>13.720205968122713</v>
      </c>
      <c r="H5">
        <f t="shared" si="2"/>
        <v>26.118877999999999</v>
      </c>
      <c r="I5">
        <f t="shared" si="4"/>
        <v>39.839083968122708</v>
      </c>
      <c r="J5" s="2"/>
      <c r="K5" s="4">
        <v>2.9243194745707498E-3</v>
      </c>
      <c r="L5" s="4" t="e">
        <v>#VALUE!</v>
      </c>
      <c r="M5" s="2"/>
      <c r="N5" s="2"/>
      <c r="O5" s="2"/>
      <c r="P5" s="2"/>
      <c r="Q5" s="2"/>
      <c r="R5" s="3"/>
      <c r="S5" s="4">
        <v>0.20903755441483629</v>
      </c>
      <c r="T5" s="4">
        <v>0.36056370741725002</v>
      </c>
      <c r="U5">
        <f t="shared" si="3"/>
        <v>0.1777</v>
      </c>
      <c r="V5" s="3"/>
      <c r="W5" s="4">
        <v>2.9243194745707498E-3</v>
      </c>
      <c r="X5" s="4" t="e">
        <v>#VALUE!</v>
      </c>
      <c r="Y5" s="7">
        <v>0.1777</v>
      </c>
      <c r="Z5" s="1"/>
      <c r="AA5" s="1"/>
      <c r="AB5" s="1"/>
      <c r="AC5" s="1"/>
    </row>
    <row r="6" spans="1:29" x14ac:dyDescent="0.2">
      <c r="A6" s="6" t="s">
        <v>33</v>
      </c>
      <c r="B6">
        <v>0</v>
      </c>
      <c r="C6" t="s">
        <v>21</v>
      </c>
      <c r="D6" t="s">
        <v>14</v>
      </c>
      <c r="E6" t="s">
        <v>28</v>
      </c>
      <c r="F6" s="4">
        <f t="shared" si="0"/>
        <v>184.34930869847102</v>
      </c>
      <c r="G6">
        <f t="shared" si="1"/>
        <v>15.334681840135438</v>
      </c>
      <c r="H6">
        <f t="shared" si="2"/>
        <v>25.964779999999994</v>
      </c>
      <c r="I6">
        <f t="shared" si="4"/>
        <v>41.299461840135436</v>
      </c>
      <c r="J6" s="2"/>
      <c r="K6" s="4">
        <v>2.9243194745707498E-3</v>
      </c>
      <c r="L6" s="4" t="e">
        <v>#VALUE!</v>
      </c>
      <c r="M6" s="2"/>
      <c r="N6" s="2"/>
      <c r="O6" s="2"/>
      <c r="P6" s="2"/>
      <c r="Q6" s="2"/>
      <c r="R6" s="3"/>
      <c r="S6" s="4">
        <v>0.20176494926311525</v>
      </c>
      <c r="T6" s="4">
        <v>0.39719307196967601</v>
      </c>
      <c r="U6">
        <f t="shared" si="3"/>
        <v>0.17699999999999999</v>
      </c>
      <c r="V6" s="3"/>
      <c r="W6" s="4">
        <v>2.9243194745707498E-3</v>
      </c>
      <c r="X6" s="4" t="e">
        <v>#VALUE!</v>
      </c>
      <c r="Y6" s="7">
        <v>0.17699999999999999</v>
      </c>
      <c r="Z6" s="1"/>
      <c r="AA6" s="1"/>
      <c r="AB6" s="1"/>
      <c r="AC6" s="1"/>
    </row>
    <row r="7" spans="1:29" x14ac:dyDescent="0.2">
      <c r="A7" s="6" t="s">
        <v>34</v>
      </c>
      <c r="B7">
        <v>0</v>
      </c>
      <c r="C7" t="s">
        <v>21</v>
      </c>
      <c r="D7" t="s">
        <v>14</v>
      </c>
      <c r="E7" t="s">
        <v>28</v>
      </c>
      <c r="F7" s="4">
        <f t="shared" si="0"/>
        <v>195.89030171615454</v>
      </c>
      <c r="G7">
        <f t="shared" si="1"/>
        <v>15.825755133790153</v>
      </c>
      <c r="H7">
        <f t="shared" si="2"/>
        <v>25.876723999999996</v>
      </c>
      <c r="I7">
        <f t="shared" si="4"/>
        <v>41.702479133790149</v>
      </c>
      <c r="J7" s="2"/>
      <c r="K7" s="4">
        <v>2.9243194745707498E-3</v>
      </c>
      <c r="L7" s="4" t="e">
        <v>#VALUE!</v>
      </c>
      <c r="M7" s="2"/>
      <c r="N7" s="2"/>
      <c r="O7" s="2"/>
      <c r="P7" s="2"/>
      <c r="Q7" s="2"/>
      <c r="R7" s="3"/>
      <c r="S7" s="4">
        <v>0.21095927370053646</v>
      </c>
      <c r="T7" s="4">
        <v>0.40833458421340757</v>
      </c>
      <c r="U7">
        <f t="shared" si="3"/>
        <v>0.17660000000000001</v>
      </c>
      <c r="V7" s="3"/>
      <c r="W7" s="4">
        <v>2.9243194745707498E-3</v>
      </c>
      <c r="X7" s="4" t="e">
        <v>#VALUE!</v>
      </c>
      <c r="Y7" s="7">
        <v>0.17660000000000001</v>
      </c>
      <c r="Z7" s="1"/>
      <c r="AA7" s="1"/>
      <c r="AB7" s="1"/>
      <c r="AC7" s="1"/>
    </row>
    <row r="8" spans="1:29" x14ac:dyDescent="0.2">
      <c r="A8" s="6" t="s">
        <v>35</v>
      </c>
      <c r="B8">
        <v>0</v>
      </c>
      <c r="C8" t="s">
        <v>20</v>
      </c>
      <c r="D8" t="s">
        <v>14</v>
      </c>
      <c r="E8" t="s">
        <v>28</v>
      </c>
      <c r="F8" s="4">
        <f t="shared" si="0"/>
        <v>193.47810177594513</v>
      </c>
      <c r="G8">
        <f t="shared" si="1"/>
        <v>13.720205968122713</v>
      </c>
      <c r="H8">
        <f t="shared" si="2"/>
        <v>26.118877999999999</v>
      </c>
      <c r="I8">
        <f t="shared" si="4"/>
        <v>39.839083968122708</v>
      </c>
      <c r="J8" s="2"/>
      <c r="K8" s="4">
        <v>2.9243194745707498E-3</v>
      </c>
      <c r="L8" s="4" t="e">
        <v>#VALUE!</v>
      </c>
      <c r="M8" s="2"/>
      <c r="N8" s="2"/>
      <c r="O8" s="2"/>
      <c r="P8" s="2"/>
      <c r="Q8" s="2"/>
      <c r="R8" s="3"/>
      <c r="S8" s="4">
        <v>0.20903755441483629</v>
      </c>
      <c r="T8" s="4">
        <v>0.36056370741725002</v>
      </c>
      <c r="U8">
        <f t="shared" si="3"/>
        <v>0.1777</v>
      </c>
      <c r="V8" s="3"/>
      <c r="W8" s="4">
        <v>2.9243194745707498E-3</v>
      </c>
      <c r="X8" s="4" t="e">
        <v>#VALUE!</v>
      </c>
      <c r="Y8" s="7">
        <v>0.1777</v>
      </c>
      <c r="Z8" s="1"/>
      <c r="AA8" s="1"/>
      <c r="AB8" s="1"/>
      <c r="AC8" s="1"/>
    </row>
    <row r="9" spans="1:29" x14ac:dyDescent="0.2">
      <c r="A9" s="6" t="s">
        <v>36</v>
      </c>
      <c r="B9">
        <v>0</v>
      </c>
      <c r="C9" t="s">
        <v>20</v>
      </c>
      <c r="D9" t="s">
        <v>14</v>
      </c>
      <c r="E9" t="s">
        <v>28</v>
      </c>
      <c r="F9" s="4">
        <f t="shared" si="0"/>
        <v>184.34930869847102</v>
      </c>
      <c r="G9">
        <f t="shared" si="1"/>
        <v>15.334681840135438</v>
      </c>
      <c r="H9">
        <f t="shared" si="2"/>
        <v>25.964779999999994</v>
      </c>
      <c r="I9">
        <f t="shared" si="4"/>
        <v>41.299461840135436</v>
      </c>
      <c r="J9" s="2"/>
      <c r="K9" s="4">
        <v>2.9243194745707498E-3</v>
      </c>
      <c r="L9" s="4" t="e">
        <v>#VALUE!</v>
      </c>
      <c r="M9" s="2"/>
      <c r="N9" s="2"/>
      <c r="O9" s="2"/>
      <c r="P9" s="2"/>
      <c r="Q9" s="2"/>
      <c r="R9" s="3"/>
      <c r="S9" s="4">
        <v>0.20176494926311525</v>
      </c>
      <c r="T9" s="4">
        <v>0.39719307196967601</v>
      </c>
      <c r="U9">
        <f t="shared" si="3"/>
        <v>0.17699999999999999</v>
      </c>
      <c r="V9" s="3"/>
      <c r="W9" s="4">
        <v>2.9243194745707498E-3</v>
      </c>
      <c r="X9" s="4" t="e">
        <v>#VALUE!</v>
      </c>
      <c r="Y9" s="7">
        <v>0.17699999999999999</v>
      </c>
      <c r="Z9" s="1"/>
      <c r="AA9" s="1"/>
      <c r="AB9" s="1"/>
      <c r="AC9" s="1"/>
    </row>
    <row r="10" spans="1:29" x14ac:dyDescent="0.2">
      <c r="A10" s="6" t="s">
        <v>37</v>
      </c>
      <c r="B10">
        <v>0</v>
      </c>
      <c r="C10" t="s">
        <v>20</v>
      </c>
      <c r="D10" t="s">
        <v>14</v>
      </c>
      <c r="E10" t="s">
        <v>28</v>
      </c>
      <c r="F10" s="4">
        <f t="shared" si="0"/>
        <v>195.89030171615454</v>
      </c>
      <c r="G10">
        <f t="shared" si="1"/>
        <v>15.825755133790153</v>
      </c>
      <c r="H10">
        <f t="shared" si="2"/>
        <v>25.876723999999996</v>
      </c>
      <c r="I10">
        <f t="shared" si="4"/>
        <v>41.702479133790149</v>
      </c>
      <c r="J10" s="2"/>
      <c r="K10" s="4">
        <v>2.9243194745707498E-3</v>
      </c>
      <c r="L10" s="4" t="e">
        <v>#VALUE!</v>
      </c>
      <c r="M10" s="2"/>
      <c r="N10" s="2"/>
      <c r="O10" s="2"/>
      <c r="P10" s="2"/>
      <c r="Q10" s="2"/>
      <c r="R10" s="3"/>
      <c r="S10" s="4">
        <v>0.21095927370053646</v>
      </c>
      <c r="T10" s="4">
        <v>0.40833458421340757</v>
      </c>
      <c r="U10">
        <f t="shared" si="3"/>
        <v>0.17660000000000001</v>
      </c>
      <c r="V10" s="3"/>
      <c r="W10" s="4">
        <v>2.9243194745707498E-3</v>
      </c>
      <c r="X10" s="4" t="e">
        <v>#VALUE!</v>
      </c>
      <c r="Y10" s="7">
        <v>0.17660000000000001</v>
      </c>
      <c r="Z10" s="1"/>
      <c r="AA10" s="1"/>
      <c r="AB10" s="1"/>
      <c r="AC10" s="1"/>
    </row>
    <row r="11" spans="1:29" x14ac:dyDescent="0.2">
      <c r="A11" s="6" t="s">
        <v>38</v>
      </c>
      <c r="B11">
        <v>0</v>
      </c>
      <c r="C11" t="s">
        <v>26</v>
      </c>
      <c r="D11" t="s">
        <v>14</v>
      </c>
      <c r="E11" t="s">
        <v>28</v>
      </c>
      <c r="F11" s="4">
        <f t="shared" si="0"/>
        <v>193.47810177594513</v>
      </c>
      <c r="G11">
        <f t="shared" si="1"/>
        <v>13.720205968122713</v>
      </c>
      <c r="H11">
        <f t="shared" si="2"/>
        <v>26.118877999999999</v>
      </c>
      <c r="I11">
        <f t="shared" si="4"/>
        <v>39.839083968122708</v>
      </c>
      <c r="J11" s="2"/>
      <c r="K11" s="4">
        <v>2.9243194745707498E-3</v>
      </c>
      <c r="L11" s="4" t="e">
        <v>#VALUE!</v>
      </c>
      <c r="M11" s="2"/>
      <c r="N11" s="2"/>
      <c r="O11" s="2"/>
      <c r="P11" s="2"/>
      <c r="Q11" s="2"/>
      <c r="R11" s="3"/>
      <c r="S11" s="4">
        <v>0.20903755441483629</v>
      </c>
      <c r="T11" s="4">
        <v>0.36056370741725002</v>
      </c>
      <c r="U11">
        <f t="shared" si="3"/>
        <v>0.1777</v>
      </c>
      <c r="V11" s="3"/>
      <c r="W11" s="4">
        <v>2.9243194745707498E-3</v>
      </c>
      <c r="X11" s="4" t="e">
        <v>#VALUE!</v>
      </c>
      <c r="Y11" s="7">
        <v>0.1777</v>
      </c>
      <c r="Z11" s="1"/>
      <c r="AA11" s="1"/>
      <c r="AB11" s="1"/>
      <c r="AC11" s="1"/>
    </row>
    <row r="12" spans="1:29" x14ac:dyDescent="0.2">
      <c r="A12" s="6" t="s">
        <v>39</v>
      </c>
      <c r="B12">
        <v>0</v>
      </c>
      <c r="C12" t="s">
        <v>26</v>
      </c>
      <c r="D12" t="s">
        <v>14</v>
      </c>
      <c r="E12" t="s">
        <v>28</v>
      </c>
      <c r="F12" s="4">
        <f t="shared" si="0"/>
        <v>184.34930869847102</v>
      </c>
      <c r="G12">
        <f t="shared" si="1"/>
        <v>15.334681840135438</v>
      </c>
      <c r="H12">
        <f t="shared" si="2"/>
        <v>25.964779999999994</v>
      </c>
      <c r="I12">
        <f t="shared" si="4"/>
        <v>41.299461840135436</v>
      </c>
      <c r="J12" s="2"/>
      <c r="K12" s="4">
        <v>2.9243194745707498E-3</v>
      </c>
      <c r="L12" s="4" t="e">
        <v>#VALUE!</v>
      </c>
      <c r="M12" s="2"/>
      <c r="N12" s="2"/>
      <c r="O12" s="2"/>
      <c r="P12" s="2"/>
      <c r="Q12" s="2"/>
      <c r="R12" s="3"/>
      <c r="S12" s="4">
        <v>0.20176494926311525</v>
      </c>
      <c r="T12" s="4">
        <v>0.39719307196967601</v>
      </c>
      <c r="U12">
        <f t="shared" si="3"/>
        <v>0.17699999999999999</v>
      </c>
      <c r="V12" s="3"/>
      <c r="W12" s="4">
        <v>2.9243194745707498E-3</v>
      </c>
      <c r="X12" s="4" t="e">
        <v>#VALUE!</v>
      </c>
      <c r="Y12" s="7">
        <v>0.17699999999999999</v>
      </c>
      <c r="Z12" s="1"/>
      <c r="AA12" s="1"/>
      <c r="AB12" s="1"/>
      <c r="AC12" s="1"/>
    </row>
    <row r="13" spans="1:29" x14ac:dyDescent="0.2">
      <c r="A13" s="6" t="s">
        <v>40</v>
      </c>
      <c r="B13">
        <v>0</v>
      </c>
      <c r="C13" t="s">
        <v>26</v>
      </c>
      <c r="D13" t="s">
        <v>14</v>
      </c>
      <c r="E13" t="s">
        <v>28</v>
      </c>
      <c r="F13" s="4">
        <f t="shared" si="0"/>
        <v>195.89030171615454</v>
      </c>
      <c r="G13">
        <f t="shared" si="1"/>
        <v>15.825755133790153</v>
      </c>
      <c r="H13">
        <f t="shared" si="2"/>
        <v>25.876723999999996</v>
      </c>
      <c r="I13">
        <f t="shared" si="4"/>
        <v>41.702479133790149</v>
      </c>
      <c r="J13" s="2"/>
      <c r="K13" s="4">
        <v>2.9243194745707498E-3</v>
      </c>
      <c r="L13" s="4" t="e">
        <v>#VALUE!</v>
      </c>
      <c r="M13" s="2"/>
      <c r="N13" s="2"/>
      <c r="O13" s="2"/>
      <c r="P13" s="2"/>
      <c r="Q13" s="2"/>
      <c r="R13" s="3"/>
      <c r="S13" s="4">
        <v>0.21095927370053646</v>
      </c>
      <c r="T13" s="4">
        <v>0.40833458421340757</v>
      </c>
      <c r="U13">
        <f t="shared" si="3"/>
        <v>0.17660000000000001</v>
      </c>
      <c r="V13" s="3"/>
      <c r="W13" s="4">
        <v>2.9243194745707498E-3</v>
      </c>
      <c r="X13" s="4" t="e">
        <v>#VALUE!</v>
      </c>
      <c r="Y13" s="7">
        <v>0.17660000000000001</v>
      </c>
      <c r="Z13" s="1"/>
      <c r="AA13" s="1"/>
      <c r="AB13" s="1"/>
      <c r="AC13" s="1"/>
    </row>
    <row r="14" spans="1:29" x14ac:dyDescent="0.2">
      <c r="A14" s="6" t="s">
        <v>41</v>
      </c>
      <c r="B14">
        <v>0</v>
      </c>
      <c r="C14" t="s">
        <v>19</v>
      </c>
      <c r="D14" t="s">
        <v>15</v>
      </c>
      <c r="E14" t="s">
        <v>28</v>
      </c>
      <c r="F14" s="4">
        <f t="shared" si="0"/>
        <v>193.47810177594513</v>
      </c>
      <c r="G14">
        <f t="shared" si="1"/>
        <v>13.720205968122713</v>
      </c>
      <c r="H14">
        <f t="shared" si="2"/>
        <v>26.118877999999999</v>
      </c>
      <c r="I14">
        <f t="shared" si="4"/>
        <v>39.839083968122708</v>
      </c>
      <c r="J14" s="2"/>
      <c r="K14" s="4">
        <v>2.9243194745707498E-3</v>
      </c>
      <c r="L14" s="4" t="e">
        <v>#VALUE!</v>
      </c>
      <c r="M14" s="2"/>
      <c r="N14" s="2"/>
      <c r="O14" s="2"/>
      <c r="P14" s="2"/>
      <c r="Q14" s="2"/>
      <c r="R14" s="3"/>
      <c r="S14" s="4">
        <v>0.20903755441483629</v>
      </c>
      <c r="T14" s="4">
        <v>0.36056370741725002</v>
      </c>
      <c r="U14">
        <f t="shared" si="3"/>
        <v>0.1777</v>
      </c>
      <c r="V14" s="3"/>
      <c r="W14" s="4">
        <v>2.9243194745707498E-3</v>
      </c>
      <c r="X14" s="4" t="e">
        <v>#VALUE!</v>
      </c>
      <c r="Y14" s="7">
        <v>0.1777</v>
      </c>
      <c r="Z14" s="1"/>
      <c r="AA14" s="1"/>
      <c r="AB14" s="1"/>
      <c r="AC14" s="1"/>
    </row>
    <row r="15" spans="1:29" x14ac:dyDescent="0.2">
      <c r="A15" s="6" t="s">
        <v>30</v>
      </c>
      <c r="B15">
        <v>0</v>
      </c>
      <c r="C15" t="s">
        <v>19</v>
      </c>
      <c r="D15" t="s">
        <v>15</v>
      </c>
      <c r="E15" t="s">
        <v>28</v>
      </c>
      <c r="F15" s="4">
        <f t="shared" si="0"/>
        <v>184.34930869847102</v>
      </c>
      <c r="G15">
        <f t="shared" si="1"/>
        <v>15.334681840135438</v>
      </c>
      <c r="H15">
        <f t="shared" si="2"/>
        <v>25.964779999999994</v>
      </c>
      <c r="I15">
        <f t="shared" si="4"/>
        <v>41.299461840135436</v>
      </c>
      <c r="J15" s="2"/>
      <c r="K15" s="4">
        <v>2.9243194745707498E-3</v>
      </c>
      <c r="L15" s="4" t="e">
        <v>#VALUE!</v>
      </c>
      <c r="M15" s="2"/>
      <c r="N15" s="2"/>
      <c r="O15" s="2"/>
      <c r="P15" s="2"/>
      <c r="Q15" s="2"/>
      <c r="R15" s="3"/>
      <c r="S15" s="4">
        <v>0.20176494926311525</v>
      </c>
      <c r="T15" s="4">
        <v>0.39719307196967601</v>
      </c>
      <c r="U15">
        <f t="shared" si="3"/>
        <v>0.17699999999999999</v>
      </c>
      <c r="V15" s="3"/>
      <c r="W15" s="4">
        <v>2.9243194745707498E-3</v>
      </c>
      <c r="X15" s="4" t="e">
        <v>#VALUE!</v>
      </c>
      <c r="Y15" s="7">
        <v>0.17699999999999999</v>
      </c>
      <c r="Z15" s="1"/>
      <c r="AA15" s="1"/>
      <c r="AB15" s="1"/>
      <c r="AC15" s="1"/>
    </row>
    <row r="16" spans="1:29" x14ac:dyDescent="0.2">
      <c r="A16" s="6" t="s">
        <v>31</v>
      </c>
      <c r="B16">
        <v>0</v>
      </c>
      <c r="C16" t="s">
        <v>19</v>
      </c>
      <c r="D16" t="s">
        <v>15</v>
      </c>
      <c r="E16" t="s">
        <v>28</v>
      </c>
      <c r="F16" s="4">
        <f t="shared" si="0"/>
        <v>195.89030171615454</v>
      </c>
      <c r="G16">
        <f t="shared" si="1"/>
        <v>15.825755133790153</v>
      </c>
      <c r="H16">
        <f t="shared" si="2"/>
        <v>25.876723999999996</v>
      </c>
      <c r="I16">
        <f t="shared" si="4"/>
        <v>41.702479133790149</v>
      </c>
      <c r="J16" s="2"/>
      <c r="K16" s="4">
        <v>2.9243194745707498E-3</v>
      </c>
      <c r="L16" s="4" t="e">
        <v>#VALUE!</v>
      </c>
      <c r="M16" s="2"/>
      <c r="N16" s="2"/>
      <c r="O16" s="2"/>
      <c r="P16" s="2"/>
      <c r="Q16" s="2"/>
      <c r="R16" s="3"/>
      <c r="S16" s="4">
        <v>0.21095927370053646</v>
      </c>
      <c r="T16" s="4">
        <v>0.40833458421340757</v>
      </c>
      <c r="U16">
        <f t="shared" si="3"/>
        <v>0.17660000000000001</v>
      </c>
      <c r="V16" s="3"/>
      <c r="W16" s="4">
        <v>2.9243194745707498E-3</v>
      </c>
      <c r="X16" s="4" t="e">
        <v>#VALUE!</v>
      </c>
      <c r="Y16" s="7">
        <v>0.17660000000000001</v>
      </c>
      <c r="Z16" s="1"/>
      <c r="AA16" s="1"/>
      <c r="AB16" s="1"/>
      <c r="AC16" s="1"/>
    </row>
    <row r="17" spans="1:29" x14ac:dyDescent="0.2">
      <c r="A17" s="6" t="s">
        <v>32</v>
      </c>
      <c r="B17">
        <v>0</v>
      </c>
      <c r="C17" t="s">
        <v>21</v>
      </c>
      <c r="D17" t="s">
        <v>15</v>
      </c>
      <c r="E17" t="s">
        <v>28</v>
      </c>
      <c r="F17" s="4">
        <f t="shared" si="0"/>
        <v>193.47810177594513</v>
      </c>
      <c r="G17">
        <f t="shared" si="1"/>
        <v>13.720205968122713</v>
      </c>
      <c r="H17">
        <f t="shared" si="2"/>
        <v>26.118877999999999</v>
      </c>
      <c r="I17">
        <f t="shared" si="4"/>
        <v>39.839083968122708</v>
      </c>
      <c r="J17" s="2"/>
      <c r="K17" s="4">
        <v>2.9243194745707498E-3</v>
      </c>
      <c r="L17" s="4" t="e">
        <v>#VALUE!</v>
      </c>
      <c r="M17" s="2"/>
      <c r="N17" s="2"/>
      <c r="O17" s="2"/>
      <c r="P17" s="2"/>
      <c r="Q17" s="2"/>
      <c r="R17" s="3"/>
      <c r="S17" s="4">
        <v>0.20903755441483629</v>
      </c>
      <c r="T17" s="4">
        <v>0.36056370741725002</v>
      </c>
      <c r="U17">
        <f t="shared" si="3"/>
        <v>0.1777</v>
      </c>
      <c r="V17" s="3"/>
      <c r="W17" s="4">
        <v>2.9243194745707498E-3</v>
      </c>
      <c r="X17" s="4" t="e">
        <v>#VALUE!</v>
      </c>
      <c r="Y17" s="7">
        <v>0.1777</v>
      </c>
      <c r="Z17" s="1"/>
      <c r="AA17" s="1"/>
      <c r="AB17" s="1"/>
      <c r="AC17" s="1"/>
    </row>
    <row r="18" spans="1:29" x14ac:dyDescent="0.2">
      <c r="A18" s="6" t="s">
        <v>33</v>
      </c>
      <c r="B18">
        <v>0</v>
      </c>
      <c r="C18" t="s">
        <v>21</v>
      </c>
      <c r="D18" t="s">
        <v>15</v>
      </c>
      <c r="E18" t="s">
        <v>28</v>
      </c>
      <c r="F18" s="4">
        <f t="shared" si="0"/>
        <v>184.34930869847102</v>
      </c>
      <c r="G18">
        <f t="shared" si="1"/>
        <v>15.334681840135438</v>
      </c>
      <c r="H18">
        <f t="shared" si="2"/>
        <v>25.964779999999994</v>
      </c>
      <c r="I18">
        <f t="shared" si="4"/>
        <v>41.299461840135436</v>
      </c>
      <c r="J18" s="2"/>
      <c r="K18" s="4">
        <v>2.9243194745707498E-3</v>
      </c>
      <c r="L18" s="4" t="e">
        <v>#VALUE!</v>
      </c>
      <c r="M18" s="2"/>
      <c r="N18" s="2"/>
      <c r="O18" s="2"/>
      <c r="P18" s="2"/>
      <c r="Q18" s="2"/>
      <c r="R18" s="3"/>
      <c r="S18" s="4">
        <v>0.20176494926311525</v>
      </c>
      <c r="T18" s="4">
        <v>0.39719307196967601</v>
      </c>
      <c r="U18">
        <f t="shared" si="3"/>
        <v>0.17699999999999999</v>
      </c>
      <c r="V18" s="3"/>
      <c r="W18" s="4">
        <v>2.9243194745707498E-3</v>
      </c>
      <c r="X18" s="4" t="e">
        <v>#VALUE!</v>
      </c>
      <c r="Y18" s="7">
        <v>0.17699999999999999</v>
      </c>
      <c r="Z18" s="1"/>
      <c r="AA18" s="1"/>
      <c r="AB18" s="1"/>
      <c r="AC18" s="1"/>
    </row>
    <row r="19" spans="1:29" x14ac:dyDescent="0.2">
      <c r="A19" s="6" t="s">
        <v>34</v>
      </c>
      <c r="B19">
        <v>0</v>
      </c>
      <c r="C19" t="s">
        <v>21</v>
      </c>
      <c r="D19" t="s">
        <v>15</v>
      </c>
      <c r="E19" t="s">
        <v>28</v>
      </c>
      <c r="F19" s="4">
        <f t="shared" si="0"/>
        <v>195.89030171615454</v>
      </c>
      <c r="G19">
        <f t="shared" si="1"/>
        <v>15.825755133790153</v>
      </c>
      <c r="H19">
        <f t="shared" si="2"/>
        <v>25.876723999999996</v>
      </c>
      <c r="I19">
        <f t="shared" si="4"/>
        <v>41.702479133790149</v>
      </c>
      <c r="J19" s="2"/>
      <c r="K19" s="4">
        <v>2.9243194745707498E-3</v>
      </c>
      <c r="L19" s="4" t="e">
        <v>#VALUE!</v>
      </c>
      <c r="M19" s="2"/>
      <c r="N19" s="2"/>
      <c r="O19" s="2"/>
      <c r="P19" s="2"/>
      <c r="Q19" s="2"/>
      <c r="R19" s="3"/>
      <c r="S19" s="4">
        <v>0.21095927370053646</v>
      </c>
      <c r="T19" s="4">
        <v>0.40833458421340757</v>
      </c>
      <c r="U19">
        <f t="shared" si="3"/>
        <v>0.17660000000000001</v>
      </c>
      <c r="V19" s="3"/>
      <c r="W19" s="4">
        <v>2.9243194745707498E-3</v>
      </c>
      <c r="X19" s="4" t="e">
        <v>#VALUE!</v>
      </c>
      <c r="Y19" s="7">
        <v>0.17660000000000001</v>
      </c>
      <c r="Z19" s="1"/>
      <c r="AA19" s="1"/>
      <c r="AB19" s="1"/>
      <c r="AC19" s="1"/>
    </row>
    <row r="20" spans="1:29" x14ac:dyDescent="0.2">
      <c r="A20" s="6" t="s">
        <v>35</v>
      </c>
      <c r="B20">
        <v>0</v>
      </c>
      <c r="C20" t="s">
        <v>20</v>
      </c>
      <c r="D20" t="s">
        <v>15</v>
      </c>
      <c r="E20" t="s">
        <v>28</v>
      </c>
      <c r="F20" s="4">
        <f t="shared" si="0"/>
        <v>193.47810177594513</v>
      </c>
      <c r="G20">
        <f t="shared" si="1"/>
        <v>13.720205968122713</v>
      </c>
      <c r="H20">
        <f t="shared" si="2"/>
        <v>26.118877999999999</v>
      </c>
      <c r="I20">
        <f t="shared" si="4"/>
        <v>39.839083968122708</v>
      </c>
      <c r="J20" s="2"/>
      <c r="K20" s="4">
        <v>2.9243194745707498E-3</v>
      </c>
      <c r="L20" s="4" t="e">
        <v>#VALUE!</v>
      </c>
      <c r="M20" s="2"/>
      <c r="N20" s="2"/>
      <c r="O20" s="2"/>
      <c r="P20" s="2"/>
      <c r="Q20" s="2"/>
      <c r="R20" s="3"/>
      <c r="S20" s="4">
        <v>0.20903755441483629</v>
      </c>
      <c r="T20" s="4">
        <v>0.36056370741725002</v>
      </c>
      <c r="U20">
        <f t="shared" si="3"/>
        <v>0.1777</v>
      </c>
      <c r="V20" s="3"/>
      <c r="W20" s="4">
        <v>2.9243194745707498E-3</v>
      </c>
      <c r="X20" s="4" t="e">
        <v>#VALUE!</v>
      </c>
      <c r="Y20" s="7">
        <v>0.1777</v>
      </c>
      <c r="Z20" s="1"/>
      <c r="AA20" s="1"/>
      <c r="AB20" s="1"/>
      <c r="AC20" s="1"/>
    </row>
    <row r="21" spans="1:29" x14ac:dyDescent="0.2">
      <c r="A21" s="6" t="s">
        <v>36</v>
      </c>
      <c r="B21">
        <v>0</v>
      </c>
      <c r="C21" t="s">
        <v>20</v>
      </c>
      <c r="D21" t="s">
        <v>15</v>
      </c>
      <c r="E21" t="s">
        <v>28</v>
      </c>
      <c r="F21" s="4">
        <f t="shared" si="0"/>
        <v>184.34930869847102</v>
      </c>
      <c r="G21">
        <f t="shared" si="1"/>
        <v>15.334681840135438</v>
      </c>
      <c r="H21">
        <f t="shared" si="2"/>
        <v>25.964779999999994</v>
      </c>
      <c r="I21">
        <f t="shared" si="4"/>
        <v>41.299461840135436</v>
      </c>
      <c r="J21" s="2"/>
      <c r="K21" s="4">
        <v>2.9243194745707498E-3</v>
      </c>
      <c r="L21" s="4" t="e">
        <v>#VALUE!</v>
      </c>
      <c r="M21" s="2"/>
      <c r="N21" s="2"/>
      <c r="O21" s="2"/>
      <c r="P21" s="2"/>
      <c r="Q21" s="2"/>
      <c r="R21" s="3"/>
      <c r="S21" s="4">
        <v>0.20176494926311525</v>
      </c>
      <c r="T21" s="4">
        <v>0.39719307196967601</v>
      </c>
      <c r="U21">
        <f t="shared" si="3"/>
        <v>0.17699999999999999</v>
      </c>
      <c r="V21" s="3"/>
      <c r="W21" s="4">
        <v>2.9243194745707498E-3</v>
      </c>
      <c r="X21" s="4" t="e">
        <v>#VALUE!</v>
      </c>
      <c r="Y21" s="7">
        <v>0.17699999999999999</v>
      </c>
      <c r="Z21" s="1"/>
      <c r="AA21" s="1"/>
      <c r="AB21" s="1"/>
      <c r="AC21" s="1"/>
    </row>
    <row r="22" spans="1:29" x14ac:dyDescent="0.2">
      <c r="A22" s="6" t="s">
        <v>37</v>
      </c>
      <c r="B22">
        <v>0</v>
      </c>
      <c r="C22" t="s">
        <v>20</v>
      </c>
      <c r="D22" t="s">
        <v>15</v>
      </c>
      <c r="E22" t="s">
        <v>28</v>
      </c>
      <c r="F22" s="4">
        <f t="shared" si="0"/>
        <v>195.89030171615454</v>
      </c>
      <c r="G22">
        <f t="shared" si="1"/>
        <v>15.825755133790153</v>
      </c>
      <c r="H22">
        <f t="shared" si="2"/>
        <v>25.876723999999996</v>
      </c>
      <c r="I22">
        <f t="shared" si="4"/>
        <v>41.702479133790149</v>
      </c>
      <c r="J22" s="2"/>
      <c r="K22" s="4">
        <v>2.9243194745707498E-3</v>
      </c>
      <c r="L22" s="4" t="e">
        <v>#VALUE!</v>
      </c>
      <c r="M22" s="2"/>
      <c r="N22" s="2"/>
      <c r="O22" s="2"/>
      <c r="P22" s="2"/>
      <c r="Q22" s="2"/>
      <c r="R22" s="3"/>
      <c r="S22" s="4">
        <v>0.21095927370053646</v>
      </c>
      <c r="T22" s="4">
        <v>0.40833458421340757</v>
      </c>
      <c r="U22">
        <f t="shared" si="3"/>
        <v>0.17660000000000001</v>
      </c>
      <c r="V22" s="3"/>
      <c r="W22" s="4">
        <v>2.9243194745707498E-3</v>
      </c>
      <c r="X22" s="4" t="e">
        <v>#VALUE!</v>
      </c>
      <c r="Y22" s="7">
        <v>0.17660000000000001</v>
      </c>
      <c r="Z22" s="1"/>
      <c r="AA22" s="1"/>
      <c r="AB22" s="1"/>
      <c r="AC22" s="1"/>
    </row>
    <row r="23" spans="1:29" x14ac:dyDescent="0.2">
      <c r="A23" s="6" t="s">
        <v>38</v>
      </c>
      <c r="B23">
        <v>0</v>
      </c>
      <c r="C23" t="s">
        <v>26</v>
      </c>
      <c r="D23" t="s">
        <v>15</v>
      </c>
      <c r="E23" t="s">
        <v>28</v>
      </c>
      <c r="F23" s="4">
        <f t="shared" si="0"/>
        <v>193.47810177594513</v>
      </c>
      <c r="G23">
        <f t="shared" si="1"/>
        <v>13.720205968122713</v>
      </c>
      <c r="H23">
        <f t="shared" si="2"/>
        <v>26.118877999999999</v>
      </c>
      <c r="I23">
        <f t="shared" si="4"/>
        <v>39.839083968122708</v>
      </c>
      <c r="J23" s="2"/>
      <c r="K23" s="4">
        <v>2.9243194745707498E-3</v>
      </c>
      <c r="L23" s="4" t="e">
        <v>#VALUE!</v>
      </c>
      <c r="M23" s="2"/>
      <c r="N23" s="2"/>
      <c r="O23" s="2"/>
      <c r="P23" s="2"/>
      <c r="Q23" s="2"/>
      <c r="R23" s="3"/>
      <c r="S23" s="4">
        <v>0.20903755441483629</v>
      </c>
      <c r="T23" s="4">
        <v>0.36056370741725002</v>
      </c>
      <c r="U23">
        <f t="shared" si="3"/>
        <v>0.1777</v>
      </c>
      <c r="V23" s="3"/>
      <c r="W23" s="4">
        <v>2.9243194745707498E-3</v>
      </c>
      <c r="X23" s="4" t="e">
        <v>#VALUE!</v>
      </c>
      <c r="Y23" s="7">
        <v>0.1777</v>
      </c>
      <c r="Z23" s="1"/>
      <c r="AA23" s="1"/>
      <c r="AB23" s="1"/>
      <c r="AC23" s="1"/>
    </row>
    <row r="24" spans="1:29" x14ac:dyDescent="0.2">
      <c r="A24" s="6" t="s">
        <v>39</v>
      </c>
      <c r="B24">
        <v>0</v>
      </c>
      <c r="C24" t="s">
        <v>26</v>
      </c>
      <c r="D24" t="s">
        <v>15</v>
      </c>
      <c r="E24" t="s">
        <v>28</v>
      </c>
      <c r="F24" s="4">
        <f t="shared" si="0"/>
        <v>184.34930869847102</v>
      </c>
      <c r="G24">
        <f t="shared" si="1"/>
        <v>15.334681840135438</v>
      </c>
      <c r="H24">
        <f t="shared" si="2"/>
        <v>25.964779999999994</v>
      </c>
      <c r="I24">
        <f t="shared" si="4"/>
        <v>41.299461840135436</v>
      </c>
      <c r="J24" s="2"/>
      <c r="K24" s="4">
        <v>2.9243194745707498E-3</v>
      </c>
      <c r="L24" s="4" t="e">
        <v>#VALUE!</v>
      </c>
      <c r="M24" s="2"/>
      <c r="N24" s="2"/>
      <c r="O24" s="2"/>
      <c r="P24" s="2"/>
      <c r="Q24" s="2"/>
      <c r="R24" s="3"/>
      <c r="S24" s="4">
        <v>0.20176494926311525</v>
      </c>
      <c r="T24" s="4">
        <v>0.39719307196967601</v>
      </c>
      <c r="U24">
        <f t="shared" si="3"/>
        <v>0.17699999999999999</v>
      </c>
      <c r="V24" s="3"/>
      <c r="W24" s="4">
        <v>2.9243194745707498E-3</v>
      </c>
      <c r="X24" s="4" t="e">
        <v>#VALUE!</v>
      </c>
      <c r="Y24" s="7">
        <v>0.17699999999999999</v>
      </c>
      <c r="Z24" s="1"/>
      <c r="AA24" s="1"/>
      <c r="AB24" s="1"/>
      <c r="AC24" s="1"/>
    </row>
    <row r="25" spans="1:29" x14ac:dyDescent="0.2">
      <c r="A25" s="6" t="s">
        <v>40</v>
      </c>
      <c r="B25">
        <v>0</v>
      </c>
      <c r="C25" t="s">
        <v>26</v>
      </c>
      <c r="D25" t="s">
        <v>15</v>
      </c>
      <c r="E25" t="s">
        <v>28</v>
      </c>
      <c r="F25" s="4">
        <f t="shared" si="0"/>
        <v>195.89030171615454</v>
      </c>
      <c r="G25">
        <f t="shared" si="1"/>
        <v>15.825755133790153</v>
      </c>
      <c r="H25">
        <f t="shared" si="2"/>
        <v>25.876723999999996</v>
      </c>
      <c r="I25">
        <f t="shared" si="4"/>
        <v>41.702479133790149</v>
      </c>
      <c r="J25" s="2"/>
      <c r="K25" s="4">
        <v>2.9243194745707498E-3</v>
      </c>
      <c r="L25" s="4" t="e">
        <v>#VALUE!</v>
      </c>
      <c r="M25" s="2"/>
      <c r="N25" s="2"/>
      <c r="O25" s="2"/>
      <c r="P25" s="2"/>
      <c r="Q25" s="2"/>
      <c r="R25" s="3"/>
      <c r="S25" s="4">
        <v>0.21095927370053646</v>
      </c>
      <c r="T25" s="4">
        <v>0.40833458421340757</v>
      </c>
      <c r="U25">
        <f t="shared" si="3"/>
        <v>0.17660000000000001</v>
      </c>
      <c r="V25" s="3"/>
      <c r="W25" s="4">
        <v>2.9243194745707498E-3</v>
      </c>
      <c r="X25" s="4" t="e">
        <v>#VALUE!</v>
      </c>
      <c r="Y25" s="7">
        <v>0.17660000000000001</v>
      </c>
      <c r="Z25" s="1"/>
      <c r="AA25" s="1"/>
      <c r="AB25" s="1"/>
      <c r="AC25" s="1"/>
    </row>
    <row r="26" spans="1:29" x14ac:dyDescent="0.2">
      <c r="A26" s="6" t="s">
        <v>43</v>
      </c>
      <c r="B26">
        <v>0</v>
      </c>
      <c r="C26" t="s">
        <v>19</v>
      </c>
      <c r="D26" t="s">
        <v>14</v>
      </c>
      <c r="E26" t="s">
        <v>42</v>
      </c>
      <c r="F26" s="4">
        <f t="shared" si="0"/>
        <v>193.47810177594513</v>
      </c>
      <c r="G26">
        <f t="shared" si="1"/>
        <v>13.720205968122713</v>
      </c>
      <c r="H26">
        <f t="shared" si="2"/>
        <v>26.118877999999999</v>
      </c>
      <c r="I26">
        <f t="shared" si="4"/>
        <v>39.839083968122708</v>
      </c>
      <c r="J26" s="2"/>
      <c r="K26" s="4">
        <f>(W26*0.0602-0.0038)*30</f>
        <v>0.54259213615595403</v>
      </c>
      <c r="L26" s="4" t="e">
        <v>#VALUE!</v>
      </c>
      <c r="M26" s="2"/>
      <c r="N26" s="2"/>
      <c r="O26" s="2"/>
      <c r="P26" s="2"/>
      <c r="Q26" s="2"/>
      <c r="R26" s="3"/>
      <c r="S26" s="4">
        <v>0.20903755441483629</v>
      </c>
      <c r="T26" s="4">
        <v>0.36056370741725002</v>
      </c>
      <c r="U26">
        <f t="shared" si="3"/>
        <v>0.1777</v>
      </c>
      <c r="V26" s="3"/>
      <c r="W26" s="4">
        <v>0.36356153718491363</v>
      </c>
      <c r="X26" s="4" t="e">
        <v>#VALUE!</v>
      </c>
      <c r="Y26" s="7">
        <v>0.1777</v>
      </c>
      <c r="Z26" s="1"/>
      <c r="AA26" s="1"/>
      <c r="AB26" s="1"/>
      <c r="AC26" s="1"/>
    </row>
    <row r="27" spans="1:29" x14ac:dyDescent="0.2">
      <c r="A27" s="6" t="s">
        <v>44</v>
      </c>
      <c r="B27">
        <v>0</v>
      </c>
      <c r="C27" t="s">
        <v>19</v>
      </c>
      <c r="D27" t="s">
        <v>14</v>
      </c>
      <c r="E27" t="s">
        <v>42</v>
      </c>
      <c r="F27" s="4">
        <f t="shared" si="0"/>
        <v>184.34930869847102</v>
      </c>
      <c r="G27">
        <f t="shared" si="1"/>
        <v>15.334681840135438</v>
      </c>
      <c r="H27">
        <f t="shared" si="2"/>
        <v>25.964779999999994</v>
      </c>
      <c r="I27">
        <f t="shared" si="4"/>
        <v>41.299461840135436</v>
      </c>
      <c r="J27" s="2"/>
      <c r="K27" s="4">
        <f t="shared" ref="K27:K49" si="5">(W27*0.0602-0.0038)*30</f>
        <v>0.54259213615595403</v>
      </c>
      <c r="L27" s="4" t="e">
        <v>#VALUE!</v>
      </c>
      <c r="M27" s="2"/>
      <c r="N27" s="2"/>
      <c r="O27" s="2"/>
      <c r="P27" s="2"/>
      <c r="Q27" s="2"/>
      <c r="R27" s="3"/>
      <c r="S27" s="4">
        <v>0.20176494926311525</v>
      </c>
      <c r="T27" s="4">
        <v>0.39719307196967601</v>
      </c>
      <c r="U27">
        <f t="shared" si="3"/>
        <v>0.17699999999999999</v>
      </c>
      <c r="V27" s="3"/>
      <c r="W27" s="4">
        <v>0.36356153718491363</v>
      </c>
      <c r="X27" s="4" t="e">
        <v>#VALUE!</v>
      </c>
      <c r="Y27" s="7">
        <v>0.17699999999999999</v>
      </c>
      <c r="Z27" s="1"/>
      <c r="AA27" s="1"/>
      <c r="AB27" s="1"/>
      <c r="AC27" s="1"/>
    </row>
    <row r="28" spans="1:29" x14ac:dyDescent="0.2">
      <c r="A28" s="6" t="s">
        <v>45</v>
      </c>
      <c r="B28">
        <v>0</v>
      </c>
      <c r="C28" t="s">
        <v>19</v>
      </c>
      <c r="D28" t="s">
        <v>14</v>
      </c>
      <c r="E28" t="s">
        <v>42</v>
      </c>
      <c r="F28" s="4">
        <f t="shared" si="0"/>
        <v>195.89030171615454</v>
      </c>
      <c r="G28">
        <f t="shared" si="1"/>
        <v>15.825755133790153</v>
      </c>
      <c r="H28">
        <f t="shared" si="2"/>
        <v>25.876723999999996</v>
      </c>
      <c r="I28">
        <f t="shared" si="4"/>
        <v>41.702479133790149</v>
      </c>
      <c r="J28" s="2"/>
      <c r="K28" s="4">
        <f t="shared" si="5"/>
        <v>0.54259213615595403</v>
      </c>
      <c r="L28" s="4" t="e">
        <v>#VALUE!</v>
      </c>
      <c r="M28" s="2"/>
      <c r="N28" s="2"/>
      <c r="O28" s="2"/>
      <c r="P28" s="2"/>
      <c r="Q28" s="2"/>
      <c r="R28" s="3"/>
      <c r="S28" s="4">
        <v>0.21095927370053646</v>
      </c>
      <c r="T28" s="4">
        <v>0.40833458421340757</v>
      </c>
      <c r="U28">
        <f t="shared" si="3"/>
        <v>0.17660000000000001</v>
      </c>
      <c r="V28" s="3"/>
      <c r="W28" s="4">
        <v>0.36356153718491363</v>
      </c>
      <c r="X28" s="4" t="e">
        <v>#VALUE!</v>
      </c>
      <c r="Y28" s="7">
        <v>0.17660000000000001</v>
      </c>
      <c r="Z28" s="1"/>
      <c r="AA28" s="1"/>
      <c r="AB28" s="1"/>
      <c r="AC28" s="1"/>
    </row>
    <row r="29" spans="1:29" x14ac:dyDescent="0.2">
      <c r="A29" s="6" t="s">
        <v>46</v>
      </c>
      <c r="B29">
        <v>0</v>
      </c>
      <c r="C29" t="s">
        <v>21</v>
      </c>
      <c r="D29" t="s">
        <v>14</v>
      </c>
      <c r="E29" t="s">
        <v>42</v>
      </c>
      <c r="F29" s="4">
        <f t="shared" si="0"/>
        <v>193.47810177594513</v>
      </c>
      <c r="G29">
        <f t="shared" si="1"/>
        <v>13.720205968122713</v>
      </c>
      <c r="H29">
        <f t="shared" si="2"/>
        <v>26.118877999999999</v>
      </c>
      <c r="I29">
        <f t="shared" si="4"/>
        <v>39.839083968122708</v>
      </c>
      <c r="J29" s="2"/>
      <c r="K29" s="4">
        <f t="shared" si="5"/>
        <v>0.54259213615595403</v>
      </c>
      <c r="L29" s="4" t="e">
        <v>#VALUE!</v>
      </c>
      <c r="M29" s="2"/>
      <c r="N29" s="2"/>
      <c r="O29" s="2"/>
      <c r="P29" s="2"/>
      <c r="Q29" s="2"/>
      <c r="R29" s="3"/>
      <c r="S29" s="4">
        <v>0.20903755441483629</v>
      </c>
      <c r="T29" s="4">
        <v>0.36056370741725002</v>
      </c>
      <c r="U29">
        <f t="shared" si="3"/>
        <v>0.1777</v>
      </c>
      <c r="V29" s="3"/>
      <c r="W29" s="4">
        <v>0.36356153718491363</v>
      </c>
      <c r="X29" s="4" t="e">
        <v>#VALUE!</v>
      </c>
      <c r="Y29" s="7">
        <v>0.1777</v>
      </c>
      <c r="Z29" s="1"/>
      <c r="AA29" s="1"/>
      <c r="AB29" s="1"/>
      <c r="AC29" s="1"/>
    </row>
    <row r="30" spans="1:29" x14ac:dyDescent="0.2">
      <c r="A30" s="6" t="s">
        <v>47</v>
      </c>
      <c r="B30">
        <v>0</v>
      </c>
      <c r="C30" t="s">
        <v>21</v>
      </c>
      <c r="D30" t="s">
        <v>14</v>
      </c>
      <c r="E30" t="s">
        <v>42</v>
      </c>
      <c r="F30" s="4">
        <f t="shared" si="0"/>
        <v>184.34930869847102</v>
      </c>
      <c r="G30">
        <f t="shared" si="1"/>
        <v>15.334681840135438</v>
      </c>
      <c r="H30">
        <f t="shared" si="2"/>
        <v>25.964779999999994</v>
      </c>
      <c r="I30">
        <f t="shared" si="4"/>
        <v>41.299461840135436</v>
      </c>
      <c r="J30" s="2"/>
      <c r="K30" s="4">
        <f t="shared" si="5"/>
        <v>0.54259213615595403</v>
      </c>
      <c r="L30" s="4" t="e">
        <v>#VALUE!</v>
      </c>
      <c r="M30" s="2"/>
      <c r="N30" s="2"/>
      <c r="O30" s="2"/>
      <c r="P30" s="2"/>
      <c r="Q30" s="2"/>
      <c r="R30" s="3"/>
      <c r="S30" s="4">
        <v>0.20176494926311525</v>
      </c>
      <c r="T30" s="4">
        <v>0.39719307196967601</v>
      </c>
      <c r="U30">
        <f t="shared" si="3"/>
        <v>0.17699999999999999</v>
      </c>
      <c r="V30" s="3"/>
      <c r="W30" s="4">
        <v>0.36356153718491363</v>
      </c>
      <c r="X30" s="4" t="e">
        <v>#VALUE!</v>
      </c>
      <c r="Y30" s="7">
        <v>0.17699999999999999</v>
      </c>
      <c r="Z30" s="1"/>
      <c r="AA30" s="1"/>
      <c r="AB30" s="1"/>
      <c r="AC30" s="1"/>
    </row>
    <row r="31" spans="1:29" x14ac:dyDescent="0.2">
      <c r="A31" s="6" t="s">
        <v>48</v>
      </c>
      <c r="B31">
        <v>0</v>
      </c>
      <c r="C31" t="s">
        <v>21</v>
      </c>
      <c r="D31" t="s">
        <v>14</v>
      </c>
      <c r="E31" t="s">
        <v>42</v>
      </c>
      <c r="F31" s="4">
        <f t="shared" si="0"/>
        <v>195.89030171615454</v>
      </c>
      <c r="G31">
        <f t="shared" si="1"/>
        <v>15.825755133790153</v>
      </c>
      <c r="H31">
        <f t="shared" si="2"/>
        <v>25.876723999999996</v>
      </c>
      <c r="I31">
        <f t="shared" si="4"/>
        <v>41.702479133790149</v>
      </c>
      <c r="J31" s="2"/>
      <c r="K31" s="4">
        <f t="shared" si="5"/>
        <v>0.54259213615595403</v>
      </c>
      <c r="L31" s="4" t="e">
        <v>#VALUE!</v>
      </c>
      <c r="M31" s="2"/>
      <c r="N31" s="2"/>
      <c r="O31" s="2"/>
      <c r="P31" s="2"/>
      <c r="Q31" s="2"/>
      <c r="R31" s="3"/>
      <c r="S31" s="4">
        <v>0.21095927370053646</v>
      </c>
      <c r="T31" s="4">
        <v>0.40833458421340757</v>
      </c>
      <c r="U31">
        <f t="shared" si="3"/>
        <v>0.17660000000000001</v>
      </c>
      <c r="V31" s="3"/>
      <c r="W31" s="4">
        <v>0.36356153718491363</v>
      </c>
      <c r="X31" s="4" t="e">
        <v>#VALUE!</v>
      </c>
      <c r="Y31" s="7">
        <v>0.17660000000000001</v>
      </c>
      <c r="Z31" s="1"/>
      <c r="AA31" s="1"/>
      <c r="AB31" s="1"/>
      <c r="AC31" s="1"/>
    </row>
    <row r="32" spans="1:29" x14ac:dyDescent="0.2">
      <c r="A32" s="6" t="s">
        <v>49</v>
      </c>
      <c r="B32">
        <v>0</v>
      </c>
      <c r="C32" t="s">
        <v>20</v>
      </c>
      <c r="D32" t="s">
        <v>14</v>
      </c>
      <c r="E32" t="s">
        <v>42</v>
      </c>
      <c r="F32" s="4">
        <f t="shared" si="0"/>
        <v>193.47810177594513</v>
      </c>
      <c r="G32">
        <f t="shared" si="1"/>
        <v>13.720205968122713</v>
      </c>
      <c r="H32">
        <f t="shared" si="2"/>
        <v>26.118877999999999</v>
      </c>
      <c r="I32">
        <f t="shared" si="4"/>
        <v>39.839083968122708</v>
      </c>
      <c r="J32" s="2"/>
      <c r="K32" s="4">
        <f t="shared" si="5"/>
        <v>0.54259213615595403</v>
      </c>
      <c r="L32" s="4" t="e">
        <v>#VALUE!</v>
      </c>
      <c r="M32" s="2"/>
      <c r="N32" s="2"/>
      <c r="O32" s="2"/>
      <c r="P32" s="2"/>
      <c r="Q32" s="2"/>
      <c r="R32" s="3"/>
      <c r="S32" s="4">
        <v>0.20903755441483629</v>
      </c>
      <c r="T32" s="4">
        <v>0.36056370741725002</v>
      </c>
      <c r="U32">
        <f t="shared" si="3"/>
        <v>0.1777</v>
      </c>
      <c r="V32" s="3"/>
      <c r="W32" s="4">
        <v>0.36356153718491363</v>
      </c>
      <c r="X32" s="4" t="e">
        <v>#VALUE!</v>
      </c>
      <c r="Y32" s="7">
        <v>0.1777</v>
      </c>
      <c r="Z32" s="1"/>
      <c r="AA32" s="1"/>
      <c r="AB32" s="1"/>
      <c r="AC32" s="1"/>
    </row>
    <row r="33" spans="1:29" x14ac:dyDescent="0.2">
      <c r="A33" s="6" t="s">
        <v>50</v>
      </c>
      <c r="B33">
        <v>0</v>
      </c>
      <c r="C33" t="s">
        <v>20</v>
      </c>
      <c r="D33" t="s">
        <v>14</v>
      </c>
      <c r="E33" t="s">
        <v>42</v>
      </c>
      <c r="F33" s="4">
        <f t="shared" si="0"/>
        <v>184.34930869847102</v>
      </c>
      <c r="G33">
        <f t="shared" si="1"/>
        <v>15.334681840135438</v>
      </c>
      <c r="H33">
        <f t="shared" si="2"/>
        <v>25.964779999999994</v>
      </c>
      <c r="I33">
        <f t="shared" si="4"/>
        <v>41.299461840135436</v>
      </c>
      <c r="J33" s="2"/>
      <c r="K33" s="4">
        <f t="shared" si="5"/>
        <v>0.54259213615595403</v>
      </c>
      <c r="L33" s="4" t="e">
        <v>#VALUE!</v>
      </c>
      <c r="M33" s="2"/>
      <c r="N33" s="2"/>
      <c r="O33" s="2"/>
      <c r="P33" s="2"/>
      <c r="Q33" s="2"/>
      <c r="R33" s="3"/>
      <c r="S33" s="4">
        <v>0.20176494926311525</v>
      </c>
      <c r="T33" s="4">
        <v>0.39719307196967601</v>
      </c>
      <c r="U33">
        <f t="shared" si="3"/>
        <v>0.17699999999999999</v>
      </c>
      <c r="V33" s="3"/>
      <c r="W33" s="4">
        <v>0.36356153718491363</v>
      </c>
      <c r="X33" s="4" t="e">
        <v>#VALUE!</v>
      </c>
      <c r="Y33" s="7">
        <v>0.17699999999999999</v>
      </c>
      <c r="Z33" s="1"/>
      <c r="AA33" s="1"/>
      <c r="AB33" s="1"/>
      <c r="AC33" s="1"/>
    </row>
    <row r="34" spans="1:29" x14ac:dyDescent="0.2">
      <c r="A34" s="6" t="s">
        <v>51</v>
      </c>
      <c r="B34">
        <v>0</v>
      </c>
      <c r="C34" t="s">
        <v>20</v>
      </c>
      <c r="D34" t="s">
        <v>14</v>
      </c>
      <c r="E34" t="s">
        <v>42</v>
      </c>
      <c r="F34" s="4">
        <f t="shared" si="0"/>
        <v>195.89030171615454</v>
      </c>
      <c r="G34">
        <f t="shared" si="1"/>
        <v>15.825755133790153</v>
      </c>
      <c r="H34">
        <f t="shared" si="2"/>
        <v>25.876723999999996</v>
      </c>
      <c r="I34">
        <f t="shared" si="4"/>
        <v>41.702479133790149</v>
      </c>
      <c r="J34" s="2"/>
      <c r="K34" s="4">
        <f t="shared" si="5"/>
        <v>0.54259213615595403</v>
      </c>
      <c r="L34" s="4" t="e">
        <v>#VALUE!</v>
      </c>
      <c r="M34" s="2"/>
      <c r="N34" s="2"/>
      <c r="O34" s="2"/>
      <c r="P34" s="2"/>
      <c r="Q34" s="2"/>
      <c r="R34" s="3"/>
      <c r="S34" s="4">
        <v>0.21095927370053646</v>
      </c>
      <c r="T34" s="4">
        <v>0.40833458421340757</v>
      </c>
      <c r="U34">
        <f t="shared" si="3"/>
        <v>0.17660000000000001</v>
      </c>
      <c r="V34" s="3"/>
      <c r="W34" s="4">
        <v>0.36356153718491363</v>
      </c>
      <c r="X34" s="4" t="e">
        <v>#VALUE!</v>
      </c>
      <c r="Y34" s="7">
        <v>0.17660000000000001</v>
      </c>
      <c r="Z34" s="1"/>
      <c r="AA34" s="1"/>
      <c r="AB34" s="1"/>
      <c r="AC34" s="1"/>
    </row>
    <row r="35" spans="1:29" x14ac:dyDescent="0.2">
      <c r="A35" s="6" t="s">
        <v>52</v>
      </c>
      <c r="B35">
        <v>0</v>
      </c>
      <c r="C35" t="s">
        <v>26</v>
      </c>
      <c r="D35" t="s">
        <v>14</v>
      </c>
      <c r="E35" t="s">
        <v>42</v>
      </c>
      <c r="F35" s="4">
        <f t="shared" si="0"/>
        <v>193.47810177594513</v>
      </c>
      <c r="G35">
        <f t="shared" si="1"/>
        <v>13.720205968122713</v>
      </c>
      <c r="H35">
        <f t="shared" si="2"/>
        <v>26.118877999999999</v>
      </c>
      <c r="I35">
        <f t="shared" si="4"/>
        <v>39.839083968122708</v>
      </c>
      <c r="J35" s="2"/>
      <c r="K35" s="4">
        <f t="shared" si="5"/>
        <v>0.54259213615595403</v>
      </c>
      <c r="L35" s="4" t="e">
        <v>#VALUE!</v>
      </c>
      <c r="M35" s="2"/>
      <c r="N35" s="2"/>
      <c r="O35" s="2"/>
      <c r="P35" s="2"/>
      <c r="Q35" s="2"/>
      <c r="R35" s="3"/>
      <c r="S35" s="4">
        <v>0.20903755441483629</v>
      </c>
      <c r="T35" s="4">
        <v>0.36056370741725002</v>
      </c>
      <c r="U35">
        <f t="shared" si="3"/>
        <v>0.1777</v>
      </c>
      <c r="V35" s="3"/>
      <c r="W35" s="4">
        <v>0.36356153718491363</v>
      </c>
      <c r="X35" s="4" t="e">
        <v>#VALUE!</v>
      </c>
      <c r="Y35" s="7">
        <v>0.1777</v>
      </c>
      <c r="Z35" s="1"/>
      <c r="AA35" s="1"/>
      <c r="AB35" s="1"/>
      <c r="AC35" s="1"/>
    </row>
    <row r="36" spans="1:29" x14ac:dyDescent="0.2">
      <c r="A36" s="6" t="s">
        <v>53</v>
      </c>
      <c r="B36">
        <v>0</v>
      </c>
      <c r="C36" t="s">
        <v>26</v>
      </c>
      <c r="D36" t="s">
        <v>14</v>
      </c>
      <c r="E36" t="s">
        <v>42</v>
      </c>
      <c r="F36" s="4">
        <f t="shared" si="0"/>
        <v>184.34930869847102</v>
      </c>
      <c r="G36">
        <f t="shared" si="1"/>
        <v>15.334681840135438</v>
      </c>
      <c r="H36">
        <f t="shared" si="2"/>
        <v>25.964779999999994</v>
      </c>
      <c r="I36">
        <f t="shared" si="4"/>
        <v>41.299461840135436</v>
      </c>
      <c r="J36" s="2"/>
      <c r="K36" s="4">
        <f t="shared" si="5"/>
        <v>0.54259213615595403</v>
      </c>
      <c r="L36" s="4" t="e">
        <v>#VALUE!</v>
      </c>
      <c r="M36" s="2"/>
      <c r="N36" s="2"/>
      <c r="O36" s="2"/>
      <c r="P36" s="2"/>
      <c r="Q36" s="2"/>
      <c r="R36" s="3"/>
      <c r="S36" s="4">
        <v>0.20176494926311525</v>
      </c>
      <c r="T36" s="4">
        <v>0.39719307196967601</v>
      </c>
      <c r="U36">
        <f t="shared" si="3"/>
        <v>0.17699999999999999</v>
      </c>
      <c r="V36" s="3"/>
      <c r="W36" s="4">
        <v>0.36356153718491363</v>
      </c>
      <c r="X36" s="4" t="e">
        <v>#VALUE!</v>
      </c>
      <c r="Y36" s="7">
        <v>0.17699999999999999</v>
      </c>
      <c r="Z36" s="1"/>
      <c r="AA36" s="1"/>
      <c r="AB36" s="1"/>
      <c r="AC36" s="1"/>
    </row>
    <row r="37" spans="1:29" x14ac:dyDescent="0.2">
      <c r="A37" s="6" t="s">
        <v>54</v>
      </c>
      <c r="B37">
        <v>0</v>
      </c>
      <c r="C37" t="s">
        <v>26</v>
      </c>
      <c r="D37" t="s">
        <v>14</v>
      </c>
      <c r="E37" t="s">
        <v>42</v>
      </c>
      <c r="F37" s="4">
        <f t="shared" si="0"/>
        <v>195.89030171615454</v>
      </c>
      <c r="G37">
        <f t="shared" si="1"/>
        <v>15.825755133790153</v>
      </c>
      <c r="H37">
        <f t="shared" si="2"/>
        <v>25.876723999999996</v>
      </c>
      <c r="I37">
        <f t="shared" si="4"/>
        <v>41.702479133790149</v>
      </c>
      <c r="J37" s="2"/>
      <c r="K37" s="4">
        <f t="shared" si="5"/>
        <v>0.54259213615595403</v>
      </c>
      <c r="L37" s="4" t="e">
        <v>#VALUE!</v>
      </c>
      <c r="M37" s="2"/>
      <c r="N37" s="2"/>
      <c r="O37" s="2"/>
      <c r="P37" s="2"/>
      <c r="Q37" s="2"/>
      <c r="R37" s="3"/>
      <c r="S37" s="4">
        <v>0.21095927370053646</v>
      </c>
      <c r="T37" s="4">
        <v>0.40833458421340757</v>
      </c>
      <c r="U37">
        <f t="shared" si="3"/>
        <v>0.17660000000000001</v>
      </c>
      <c r="V37" s="3"/>
      <c r="W37" s="4">
        <v>0.36356153718491363</v>
      </c>
      <c r="X37" s="4" t="e">
        <v>#VALUE!</v>
      </c>
      <c r="Y37" s="7">
        <v>0.17660000000000001</v>
      </c>
      <c r="Z37" s="1"/>
      <c r="AA37" s="1"/>
      <c r="AB37" s="1"/>
      <c r="AC37" s="1"/>
    </row>
    <row r="38" spans="1:29" x14ac:dyDescent="0.2">
      <c r="A38" s="6" t="s">
        <v>55</v>
      </c>
      <c r="B38">
        <v>0</v>
      </c>
      <c r="C38" t="s">
        <v>19</v>
      </c>
      <c r="D38" t="s">
        <v>15</v>
      </c>
      <c r="E38" t="s">
        <v>42</v>
      </c>
      <c r="F38" s="4">
        <f t="shared" si="0"/>
        <v>193.47810177594513</v>
      </c>
      <c r="G38">
        <f t="shared" si="1"/>
        <v>13.720205968122713</v>
      </c>
      <c r="H38">
        <f t="shared" si="2"/>
        <v>26.118877999999999</v>
      </c>
      <c r="I38">
        <f t="shared" si="4"/>
        <v>39.839083968122708</v>
      </c>
      <c r="J38" s="2"/>
      <c r="K38" s="4">
        <f t="shared" si="5"/>
        <v>0.54259213615595403</v>
      </c>
      <c r="L38" s="4" t="e">
        <v>#VALUE!</v>
      </c>
      <c r="M38" s="2"/>
      <c r="N38" s="2"/>
      <c r="O38" s="2"/>
      <c r="P38" s="2"/>
      <c r="Q38" s="2"/>
      <c r="R38" s="3"/>
      <c r="S38" s="4">
        <v>0.20903755441483629</v>
      </c>
      <c r="T38" s="4">
        <v>0.36056370741725002</v>
      </c>
      <c r="U38">
        <f t="shared" si="3"/>
        <v>0.1777</v>
      </c>
      <c r="V38" s="3"/>
      <c r="W38" s="4">
        <v>0.36356153718491363</v>
      </c>
      <c r="X38" s="4" t="e">
        <v>#VALUE!</v>
      </c>
      <c r="Y38" s="7">
        <v>0.1777</v>
      </c>
      <c r="Z38" s="1"/>
      <c r="AA38" s="1"/>
      <c r="AB38" s="1"/>
      <c r="AC38" s="1"/>
    </row>
    <row r="39" spans="1:29" x14ac:dyDescent="0.2">
      <c r="A39" s="6" t="s">
        <v>44</v>
      </c>
      <c r="B39">
        <v>0</v>
      </c>
      <c r="C39" t="s">
        <v>19</v>
      </c>
      <c r="D39" t="s">
        <v>15</v>
      </c>
      <c r="E39" t="s">
        <v>42</v>
      </c>
      <c r="F39" s="4">
        <f t="shared" si="0"/>
        <v>184.34930869847102</v>
      </c>
      <c r="G39">
        <f t="shared" si="1"/>
        <v>15.334681840135438</v>
      </c>
      <c r="H39">
        <f t="shared" si="2"/>
        <v>25.964779999999994</v>
      </c>
      <c r="I39">
        <f t="shared" si="4"/>
        <v>41.299461840135436</v>
      </c>
      <c r="J39" s="2"/>
      <c r="K39" s="4">
        <f t="shared" si="5"/>
        <v>0.54259213615595403</v>
      </c>
      <c r="L39" s="4" t="e">
        <v>#VALUE!</v>
      </c>
      <c r="M39" s="2"/>
      <c r="N39" s="2"/>
      <c r="O39" s="2"/>
      <c r="P39" s="2"/>
      <c r="Q39" s="2"/>
      <c r="R39" s="3"/>
      <c r="S39" s="4">
        <v>0.20176494926311525</v>
      </c>
      <c r="T39" s="4">
        <v>0.39719307196967601</v>
      </c>
      <c r="U39">
        <f t="shared" si="3"/>
        <v>0.17699999999999999</v>
      </c>
      <c r="V39" s="3"/>
      <c r="W39" s="4">
        <v>0.36356153718491363</v>
      </c>
      <c r="X39" s="4" t="e">
        <v>#VALUE!</v>
      </c>
      <c r="Y39" s="7">
        <v>0.17699999999999999</v>
      </c>
      <c r="Z39" s="1"/>
      <c r="AA39" s="1"/>
      <c r="AB39" s="1"/>
      <c r="AC39" s="1"/>
    </row>
    <row r="40" spans="1:29" x14ac:dyDescent="0.2">
      <c r="A40" s="6" t="s">
        <v>45</v>
      </c>
      <c r="B40">
        <v>0</v>
      </c>
      <c r="C40" t="s">
        <v>19</v>
      </c>
      <c r="D40" t="s">
        <v>15</v>
      </c>
      <c r="E40" t="s">
        <v>42</v>
      </c>
      <c r="F40" s="4">
        <f t="shared" si="0"/>
        <v>195.89030171615454</v>
      </c>
      <c r="G40">
        <f t="shared" si="1"/>
        <v>15.825755133790153</v>
      </c>
      <c r="H40">
        <f t="shared" si="2"/>
        <v>25.876723999999996</v>
      </c>
      <c r="I40">
        <f t="shared" si="4"/>
        <v>41.702479133790149</v>
      </c>
      <c r="J40" s="2"/>
      <c r="K40" s="4">
        <f t="shared" si="5"/>
        <v>0.54259213615595403</v>
      </c>
      <c r="L40" s="4" t="e">
        <v>#VALUE!</v>
      </c>
      <c r="M40" s="2"/>
      <c r="N40" s="2"/>
      <c r="O40" s="2"/>
      <c r="P40" s="2"/>
      <c r="Q40" s="2"/>
      <c r="R40" s="3"/>
      <c r="S40" s="4">
        <v>0.21095927370053646</v>
      </c>
      <c r="T40" s="4">
        <v>0.40833458421340757</v>
      </c>
      <c r="U40">
        <f t="shared" si="3"/>
        <v>0.17660000000000001</v>
      </c>
      <c r="V40" s="3"/>
      <c r="W40" s="4">
        <v>0.36356153718491363</v>
      </c>
      <c r="X40" s="4" t="e">
        <v>#VALUE!</v>
      </c>
      <c r="Y40" s="7">
        <v>0.17660000000000001</v>
      </c>
      <c r="Z40" s="1"/>
      <c r="AA40" s="1"/>
      <c r="AB40" s="1"/>
      <c r="AC40" s="1"/>
    </row>
    <row r="41" spans="1:29" x14ac:dyDescent="0.2">
      <c r="A41" s="6" t="s">
        <v>46</v>
      </c>
      <c r="B41">
        <v>0</v>
      </c>
      <c r="C41" t="s">
        <v>21</v>
      </c>
      <c r="D41" t="s">
        <v>15</v>
      </c>
      <c r="E41" t="s">
        <v>42</v>
      </c>
      <c r="F41" s="4">
        <f t="shared" si="0"/>
        <v>193.47810177594513</v>
      </c>
      <c r="G41">
        <f t="shared" si="1"/>
        <v>13.720205968122713</v>
      </c>
      <c r="H41">
        <f t="shared" si="2"/>
        <v>26.118877999999999</v>
      </c>
      <c r="I41">
        <f t="shared" si="4"/>
        <v>39.839083968122708</v>
      </c>
      <c r="J41" s="2"/>
      <c r="K41" s="4">
        <f t="shared" si="5"/>
        <v>0.54259213615595403</v>
      </c>
      <c r="L41" s="4" t="e">
        <v>#VALUE!</v>
      </c>
      <c r="M41" s="2"/>
      <c r="N41" s="2"/>
      <c r="O41" s="2"/>
      <c r="P41" s="2"/>
      <c r="Q41" s="2"/>
      <c r="R41" s="3"/>
      <c r="S41" s="4">
        <v>0.20903755441483629</v>
      </c>
      <c r="T41" s="4">
        <v>0.36056370741725002</v>
      </c>
      <c r="U41">
        <f t="shared" si="3"/>
        <v>0.1777</v>
      </c>
      <c r="V41" s="3"/>
      <c r="W41" s="4">
        <v>0.36356153718491363</v>
      </c>
      <c r="X41" s="4" t="e">
        <v>#VALUE!</v>
      </c>
      <c r="Y41" s="7">
        <v>0.1777</v>
      </c>
      <c r="Z41" s="1"/>
      <c r="AA41" s="1"/>
      <c r="AB41" s="1"/>
      <c r="AC41" s="1"/>
    </row>
    <row r="42" spans="1:29" x14ac:dyDescent="0.2">
      <c r="A42" s="6" t="s">
        <v>47</v>
      </c>
      <c r="B42">
        <v>0</v>
      </c>
      <c r="C42" t="s">
        <v>21</v>
      </c>
      <c r="D42" t="s">
        <v>15</v>
      </c>
      <c r="E42" t="s">
        <v>42</v>
      </c>
      <c r="F42" s="4">
        <f t="shared" si="0"/>
        <v>184.34930869847102</v>
      </c>
      <c r="G42">
        <f t="shared" si="1"/>
        <v>15.334681840135438</v>
      </c>
      <c r="H42">
        <f t="shared" si="2"/>
        <v>25.964779999999994</v>
      </c>
      <c r="I42">
        <f t="shared" si="4"/>
        <v>41.299461840135436</v>
      </c>
      <c r="J42" s="2"/>
      <c r="K42" s="4">
        <f t="shared" si="5"/>
        <v>0.54259213615595403</v>
      </c>
      <c r="L42" s="4" t="e">
        <v>#VALUE!</v>
      </c>
      <c r="M42" s="2"/>
      <c r="N42" s="2"/>
      <c r="O42" s="2"/>
      <c r="P42" s="2"/>
      <c r="Q42" s="2"/>
      <c r="R42" s="3"/>
      <c r="S42" s="4">
        <v>0.20176494926311525</v>
      </c>
      <c r="T42" s="4">
        <v>0.39719307196967601</v>
      </c>
      <c r="U42">
        <f t="shared" si="3"/>
        <v>0.17699999999999999</v>
      </c>
      <c r="V42" s="3"/>
      <c r="W42" s="4">
        <v>0.36356153718491363</v>
      </c>
      <c r="X42" s="4" t="e">
        <v>#VALUE!</v>
      </c>
      <c r="Y42" s="7">
        <v>0.17699999999999999</v>
      </c>
      <c r="Z42" s="1"/>
      <c r="AA42" s="1"/>
      <c r="AB42" s="1"/>
      <c r="AC42" s="1"/>
    </row>
    <row r="43" spans="1:29" x14ac:dyDescent="0.2">
      <c r="A43" s="6" t="s">
        <v>48</v>
      </c>
      <c r="B43">
        <v>0</v>
      </c>
      <c r="C43" t="s">
        <v>21</v>
      </c>
      <c r="D43" t="s">
        <v>15</v>
      </c>
      <c r="E43" t="s">
        <v>42</v>
      </c>
      <c r="F43" s="4">
        <f t="shared" si="0"/>
        <v>195.89030171615454</v>
      </c>
      <c r="G43">
        <f t="shared" si="1"/>
        <v>15.825755133790153</v>
      </c>
      <c r="H43">
        <f t="shared" si="2"/>
        <v>25.876723999999996</v>
      </c>
      <c r="I43">
        <f t="shared" si="4"/>
        <v>41.702479133790149</v>
      </c>
      <c r="J43" s="2"/>
      <c r="K43" s="4">
        <f t="shared" si="5"/>
        <v>0.54259213615595403</v>
      </c>
      <c r="L43" s="4" t="e">
        <v>#VALUE!</v>
      </c>
      <c r="M43" s="2"/>
      <c r="N43" s="2"/>
      <c r="O43" s="2"/>
      <c r="P43" s="2"/>
      <c r="Q43" s="2"/>
      <c r="R43" s="3"/>
      <c r="S43" s="4">
        <v>0.21095927370053646</v>
      </c>
      <c r="T43" s="4">
        <v>0.40833458421340757</v>
      </c>
      <c r="U43">
        <f t="shared" si="3"/>
        <v>0.17660000000000001</v>
      </c>
      <c r="V43" s="3"/>
      <c r="W43" s="4">
        <v>0.36356153718491363</v>
      </c>
      <c r="X43" s="4" t="e">
        <v>#VALUE!</v>
      </c>
      <c r="Y43" s="7">
        <v>0.17660000000000001</v>
      </c>
      <c r="Z43" s="1"/>
      <c r="AA43" s="1"/>
      <c r="AB43" s="1"/>
      <c r="AC43" s="1"/>
    </row>
    <row r="44" spans="1:29" x14ac:dyDescent="0.2">
      <c r="A44" s="6" t="s">
        <v>49</v>
      </c>
      <c r="B44">
        <v>0</v>
      </c>
      <c r="C44" t="s">
        <v>20</v>
      </c>
      <c r="D44" t="s">
        <v>15</v>
      </c>
      <c r="E44" t="s">
        <v>42</v>
      </c>
      <c r="F44" s="4">
        <f t="shared" si="0"/>
        <v>193.47810177594513</v>
      </c>
      <c r="G44">
        <f t="shared" si="1"/>
        <v>13.720205968122713</v>
      </c>
      <c r="H44">
        <f t="shared" si="2"/>
        <v>26.118877999999999</v>
      </c>
      <c r="I44">
        <f t="shared" si="4"/>
        <v>39.839083968122708</v>
      </c>
      <c r="J44" s="2"/>
      <c r="K44" s="4">
        <f t="shared" si="5"/>
        <v>0.54259213615595403</v>
      </c>
      <c r="L44" s="4" t="e">
        <v>#VALUE!</v>
      </c>
      <c r="M44" s="2"/>
      <c r="N44" s="2"/>
      <c r="O44" s="2"/>
      <c r="P44" s="2"/>
      <c r="Q44" s="2"/>
      <c r="R44" s="3"/>
      <c r="S44" s="4">
        <v>0.20903755441483629</v>
      </c>
      <c r="T44" s="4">
        <v>0.36056370741725002</v>
      </c>
      <c r="U44">
        <f t="shared" si="3"/>
        <v>0.1777</v>
      </c>
      <c r="V44" s="3"/>
      <c r="W44" s="4">
        <v>0.36356153718491363</v>
      </c>
      <c r="X44" s="4" t="e">
        <v>#VALUE!</v>
      </c>
      <c r="Y44" s="7">
        <v>0.1777</v>
      </c>
      <c r="Z44" s="1"/>
      <c r="AA44" s="1"/>
      <c r="AB44" s="1"/>
      <c r="AC44" s="1"/>
    </row>
    <row r="45" spans="1:29" x14ac:dyDescent="0.2">
      <c r="A45" s="6" t="s">
        <v>50</v>
      </c>
      <c r="B45">
        <v>0</v>
      </c>
      <c r="C45" t="s">
        <v>20</v>
      </c>
      <c r="D45" t="s">
        <v>15</v>
      </c>
      <c r="E45" t="s">
        <v>42</v>
      </c>
      <c r="F45" s="4">
        <f t="shared" si="0"/>
        <v>184.34930869847102</v>
      </c>
      <c r="G45">
        <f t="shared" si="1"/>
        <v>15.334681840135438</v>
      </c>
      <c r="H45">
        <f t="shared" si="2"/>
        <v>25.964779999999994</v>
      </c>
      <c r="I45">
        <f t="shared" si="4"/>
        <v>41.299461840135436</v>
      </c>
      <c r="J45" s="2"/>
      <c r="K45" s="4">
        <f t="shared" si="5"/>
        <v>0.54259213615595403</v>
      </c>
      <c r="L45" s="4" t="e">
        <v>#VALUE!</v>
      </c>
      <c r="M45" s="2"/>
      <c r="N45" s="2"/>
      <c r="O45" s="2"/>
      <c r="P45" s="2"/>
      <c r="Q45" s="2"/>
      <c r="R45" s="3"/>
      <c r="S45" s="4">
        <v>0.20176494926311525</v>
      </c>
      <c r="T45" s="4">
        <v>0.39719307196967601</v>
      </c>
      <c r="U45">
        <f t="shared" si="3"/>
        <v>0.17699999999999999</v>
      </c>
      <c r="V45" s="3"/>
      <c r="W45" s="4">
        <v>0.36356153718491363</v>
      </c>
      <c r="X45" s="4" t="e">
        <v>#VALUE!</v>
      </c>
      <c r="Y45" s="7">
        <v>0.17699999999999999</v>
      </c>
      <c r="Z45" s="1"/>
      <c r="AA45" s="1"/>
      <c r="AB45" s="1"/>
      <c r="AC45" s="1"/>
    </row>
    <row r="46" spans="1:29" x14ac:dyDescent="0.2">
      <c r="A46" s="6" t="s">
        <v>51</v>
      </c>
      <c r="B46">
        <v>0</v>
      </c>
      <c r="C46" t="s">
        <v>20</v>
      </c>
      <c r="D46" t="s">
        <v>15</v>
      </c>
      <c r="E46" t="s">
        <v>42</v>
      </c>
      <c r="F46" s="4">
        <f t="shared" si="0"/>
        <v>195.89030171615454</v>
      </c>
      <c r="G46">
        <f t="shared" si="1"/>
        <v>15.825755133790153</v>
      </c>
      <c r="H46">
        <f t="shared" si="2"/>
        <v>25.876723999999996</v>
      </c>
      <c r="I46">
        <f t="shared" si="4"/>
        <v>41.702479133790149</v>
      </c>
      <c r="J46" s="2"/>
      <c r="K46" s="4">
        <f t="shared" si="5"/>
        <v>0.54259213615595403</v>
      </c>
      <c r="L46" s="4" t="e">
        <v>#VALUE!</v>
      </c>
      <c r="M46" s="2"/>
      <c r="N46" s="2"/>
      <c r="O46" s="2"/>
      <c r="P46" s="2"/>
      <c r="Q46" s="2"/>
      <c r="R46" s="3"/>
      <c r="S46" s="4">
        <v>0.21095927370053646</v>
      </c>
      <c r="T46" s="4">
        <v>0.40833458421340757</v>
      </c>
      <c r="U46">
        <f t="shared" si="3"/>
        <v>0.17660000000000001</v>
      </c>
      <c r="V46" s="3"/>
      <c r="W46" s="4">
        <v>0.36356153718491363</v>
      </c>
      <c r="X46" s="4" t="e">
        <v>#VALUE!</v>
      </c>
      <c r="Y46" s="7">
        <v>0.17660000000000001</v>
      </c>
      <c r="Z46" s="1"/>
      <c r="AA46" s="1"/>
      <c r="AB46" s="1"/>
      <c r="AC46" s="1"/>
    </row>
    <row r="47" spans="1:29" x14ac:dyDescent="0.2">
      <c r="A47" s="6" t="s">
        <v>52</v>
      </c>
      <c r="B47">
        <v>0</v>
      </c>
      <c r="C47" t="s">
        <v>26</v>
      </c>
      <c r="D47" t="s">
        <v>15</v>
      </c>
      <c r="E47" t="s">
        <v>42</v>
      </c>
      <c r="F47" s="4">
        <f t="shared" si="0"/>
        <v>193.47810177594513</v>
      </c>
      <c r="G47">
        <f t="shared" si="1"/>
        <v>13.720205968122713</v>
      </c>
      <c r="H47">
        <f t="shared" si="2"/>
        <v>26.118877999999999</v>
      </c>
      <c r="I47">
        <f t="shared" si="4"/>
        <v>39.839083968122708</v>
      </c>
      <c r="J47" s="2"/>
      <c r="K47" s="4">
        <f t="shared" si="5"/>
        <v>0.54259213615595403</v>
      </c>
      <c r="L47" s="4" t="e">
        <v>#VALUE!</v>
      </c>
      <c r="M47" s="2"/>
      <c r="N47" s="2"/>
      <c r="O47" s="2"/>
      <c r="P47" s="2"/>
      <c r="Q47" s="2"/>
      <c r="R47" s="3"/>
      <c r="S47" s="4">
        <v>0.20903755441483629</v>
      </c>
      <c r="T47" s="4">
        <v>0.36056370741725002</v>
      </c>
      <c r="U47">
        <f t="shared" si="3"/>
        <v>0.1777</v>
      </c>
      <c r="V47" s="3"/>
      <c r="W47" s="4">
        <v>0.36356153718491363</v>
      </c>
      <c r="X47" s="4" t="e">
        <v>#VALUE!</v>
      </c>
      <c r="Y47" s="7">
        <v>0.1777</v>
      </c>
      <c r="Z47" s="1"/>
      <c r="AA47" s="1"/>
      <c r="AB47" s="1"/>
      <c r="AC47" s="1"/>
    </row>
    <row r="48" spans="1:29" x14ac:dyDescent="0.2">
      <c r="A48" s="6" t="s">
        <v>53</v>
      </c>
      <c r="B48">
        <v>0</v>
      </c>
      <c r="C48" t="s">
        <v>26</v>
      </c>
      <c r="D48" t="s">
        <v>15</v>
      </c>
      <c r="E48" t="s">
        <v>42</v>
      </c>
      <c r="F48" s="4">
        <f t="shared" si="0"/>
        <v>184.34930869847102</v>
      </c>
      <c r="G48">
        <f t="shared" si="1"/>
        <v>15.334681840135438</v>
      </c>
      <c r="H48">
        <f t="shared" si="2"/>
        <v>25.964779999999994</v>
      </c>
      <c r="I48">
        <f t="shared" si="4"/>
        <v>41.299461840135436</v>
      </c>
      <c r="J48" s="2"/>
      <c r="K48" s="4">
        <f t="shared" si="5"/>
        <v>0.54259213615595403</v>
      </c>
      <c r="L48" s="4" t="e">
        <v>#VALUE!</v>
      </c>
      <c r="M48" s="2"/>
      <c r="N48" s="2"/>
      <c r="O48" s="2"/>
      <c r="P48" s="2"/>
      <c r="Q48" s="2"/>
      <c r="R48" s="3"/>
      <c r="S48" s="4">
        <v>0.20176494926311525</v>
      </c>
      <c r="T48" s="4">
        <v>0.39719307196967601</v>
      </c>
      <c r="U48">
        <f t="shared" si="3"/>
        <v>0.17699999999999999</v>
      </c>
      <c r="V48" s="3"/>
      <c r="W48" s="4">
        <v>0.36356153718491363</v>
      </c>
      <c r="X48" s="4" t="e">
        <v>#VALUE!</v>
      </c>
      <c r="Y48" s="7">
        <v>0.17699999999999999</v>
      </c>
      <c r="Z48" s="1"/>
      <c r="AA48" s="1"/>
      <c r="AB48" s="1"/>
      <c r="AC48" s="1"/>
    </row>
    <row r="49" spans="1:29" x14ac:dyDescent="0.2">
      <c r="A49" s="6" t="s">
        <v>54</v>
      </c>
      <c r="B49">
        <v>0</v>
      </c>
      <c r="C49" t="s">
        <v>26</v>
      </c>
      <c r="D49" t="s">
        <v>15</v>
      </c>
      <c r="E49" t="s">
        <v>42</v>
      </c>
      <c r="F49" s="4">
        <f t="shared" si="0"/>
        <v>195.89030171615454</v>
      </c>
      <c r="G49">
        <f t="shared" si="1"/>
        <v>15.825755133790153</v>
      </c>
      <c r="H49">
        <f t="shared" si="2"/>
        <v>25.876723999999996</v>
      </c>
      <c r="I49">
        <f t="shared" si="4"/>
        <v>41.702479133790149</v>
      </c>
      <c r="J49" s="2"/>
      <c r="K49" s="4">
        <f t="shared" si="5"/>
        <v>0.54259213615595403</v>
      </c>
      <c r="L49" s="4" t="e">
        <v>#VALUE!</v>
      </c>
      <c r="M49" s="2"/>
      <c r="N49" s="2"/>
      <c r="O49" s="2"/>
      <c r="P49" s="2"/>
      <c r="Q49" s="2"/>
      <c r="R49" s="3"/>
      <c r="S49" s="4">
        <v>0.21095927370053646</v>
      </c>
      <c r="T49" s="4">
        <v>0.40833458421340757</v>
      </c>
      <c r="U49">
        <f t="shared" si="3"/>
        <v>0.17660000000000001</v>
      </c>
      <c r="V49" s="3"/>
      <c r="W49" s="4">
        <v>0.36356153718491363</v>
      </c>
      <c r="X49" s="4" t="e">
        <v>#VALUE!</v>
      </c>
      <c r="Y49" s="7">
        <v>0.17660000000000001</v>
      </c>
      <c r="Z49" s="1"/>
      <c r="AA49" s="1"/>
      <c r="AB49" s="1"/>
      <c r="AC49" s="1"/>
    </row>
    <row r="50" spans="1:29" x14ac:dyDescent="0.2">
      <c r="A50" s="6" t="s">
        <v>56</v>
      </c>
      <c r="B50">
        <v>0</v>
      </c>
      <c r="C50" t="s">
        <v>19</v>
      </c>
      <c r="D50" t="s">
        <v>14</v>
      </c>
      <c r="E50" t="s">
        <v>69</v>
      </c>
      <c r="F50" s="4">
        <f t="shared" si="0"/>
        <v>193.47810177594513</v>
      </c>
      <c r="G50">
        <f t="shared" si="1"/>
        <v>13.720205968122713</v>
      </c>
      <c r="H50">
        <f t="shared" si="2"/>
        <v>26.118877999999999</v>
      </c>
      <c r="I50">
        <f t="shared" si="4"/>
        <v>39.839083968122708</v>
      </c>
      <c r="J50" s="2"/>
      <c r="K50" s="4">
        <v>3.6648476415746013E-3</v>
      </c>
      <c r="L50" s="13">
        <f>(0.2119*X50+0.0014)*30</f>
        <v>0.86371398806986688</v>
      </c>
      <c r="M50" s="2"/>
      <c r="N50" s="2"/>
      <c r="O50" s="2"/>
      <c r="P50" s="2"/>
      <c r="Q50" s="2"/>
      <c r="R50" s="3"/>
      <c r="S50" s="4">
        <v>0.20903755441483629</v>
      </c>
      <c r="T50" s="4">
        <v>0.36056370741725002</v>
      </c>
      <c r="U50">
        <f t="shared" si="3"/>
        <v>0.1777</v>
      </c>
      <c r="V50" s="3"/>
      <c r="W50" s="4">
        <v>3.6648476415746013E-3</v>
      </c>
      <c r="X50" s="4">
        <v>0.1292612848937969</v>
      </c>
      <c r="Y50" s="7">
        <v>0.1777</v>
      </c>
      <c r="Z50" s="1"/>
      <c r="AA50" s="1"/>
      <c r="AB50" s="1"/>
      <c r="AC50" s="1"/>
    </row>
    <row r="51" spans="1:29" x14ac:dyDescent="0.2">
      <c r="A51" s="6" t="s">
        <v>57</v>
      </c>
      <c r="B51">
        <v>0</v>
      </c>
      <c r="C51" t="s">
        <v>19</v>
      </c>
      <c r="D51" t="s">
        <v>14</v>
      </c>
      <c r="E51" t="s">
        <v>69</v>
      </c>
      <c r="F51" s="4">
        <f t="shared" si="0"/>
        <v>184.34930869847102</v>
      </c>
      <c r="G51">
        <f t="shared" si="1"/>
        <v>15.334681840135438</v>
      </c>
      <c r="H51">
        <f t="shared" si="2"/>
        <v>25.964779999999994</v>
      </c>
      <c r="I51">
        <f t="shared" si="4"/>
        <v>41.299461840135436</v>
      </c>
      <c r="J51" s="2"/>
      <c r="K51" s="4">
        <v>3.6648476415746013E-3</v>
      </c>
      <c r="L51" s="13">
        <f t="shared" ref="L51:L73" si="6">(0.2119*X51+0.0014)*30</f>
        <v>0.86888217928231037</v>
      </c>
      <c r="M51" s="2"/>
      <c r="N51" s="2"/>
      <c r="O51" s="2"/>
      <c r="P51" s="2"/>
      <c r="Q51" s="2"/>
      <c r="R51" s="3"/>
      <c r="S51" s="4">
        <v>0.20176494926311525</v>
      </c>
      <c r="T51" s="4">
        <v>0.39719307196967601</v>
      </c>
      <c r="U51">
        <f t="shared" si="3"/>
        <v>0.17699999999999999</v>
      </c>
      <c r="V51" s="3"/>
      <c r="W51" s="4">
        <v>3.6648476415746013E-3</v>
      </c>
      <c r="X51" s="4">
        <v>0.13007427706187044</v>
      </c>
      <c r="Y51" s="7">
        <v>0.17699999999999999</v>
      </c>
      <c r="Z51" s="1"/>
      <c r="AA51" s="1"/>
      <c r="AB51" s="1"/>
      <c r="AC51" s="1"/>
    </row>
    <row r="52" spans="1:29" x14ac:dyDescent="0.2">
      <c r="A52" s="6" t="s">
        <v>58</v>
      </c>
      <c r="B52">
        <v>0</v>
      </c>
      <c r="C52" t="s">
        <v>19</v>
      </c>
      <c r="D52" t="s">
        <v>14</v>
      </c>
      <c r="E52" t="s">
        <v>69</v>
      </c>
      <c r="F52" s="4">
        <f t="shared" si="0"/>
        <v>195.89030171615454</v>
      </c>
      <c r="G52">
        <f t="shared" si="1"/>
        <v>15.825755133790153</v>
      </c>
      <c r="H52">
        <f t="shared" si="2"/>
        <v>25.876723999999996</v>
      </c>
      <c r="I52">
        <f t="shared" si="4"/>
        <v>41.702479133790149</v>
      </c>
      <c r="J52" s="2"/>
      <c r="K52" s="4">
        <v>3.6648476415746013E-3</v>
      </c>
      <c r="L52" s="13">
        <f t="shared" si="6"/>
        <v>0.86629808367608852</v>
      </c>
      <c r="M52" s="2"/>
      <c r="N52" s="2"/>
      <c r="O52" s="2"/>
      <c r="P52" s="2"/>
      <c r="Q52" s="2"/>
      <c r="R52" s="3"/>
      <c r="S52" s="4">
        <v>0.21095927370053646</v>
      </c>
      <c r="T52" s="4">
        <v>0.40833458421340757</v>
      </c>
      <c r="U52">
        <f t="shared" si="3"/>
        <v>0.17660000000000001</v>
      </c>
      <c r="V52" s="3"/>
      <c r="W52" s="4">
        <v>3.6648476415746013E-3</v>
      </c>
      <c r="X52" s="4">
        <v>0.12966778097783366</v>
      </c>
      <c r="Y52" s="7">
        <v>0.17660000000000001</v>
      </c>
      <c r="Z52" s="1"/>
      <c r="AA52" s="1"/>
      <c r="AB52" s="1"/>
      <c r="AC52" s="1"/>
    </row>
    <row r="53" spans="1:29" x14ac:dyDescent="0.2">
      <c r="A53" s="6" t="s">
        <v>59</v>
      </c>
      <c r="B53">
        <v>0</v>
      </c>
      <c r="C53" t="s">
        <v>21</v>
      </c>
      <c r="D53" t="s">
        <v>14</v>
      </c>
      <c r="E53" t="s">
        <v>69</v>
      </c>
      <c r="F53" s="4">
        <f t="shared" si="0"/>
        <v>193.47810177594513</v>
      </c>
      <c r="G53">
        <f t="shared" si="1"/>
        <v>13.720205968122713</v>
      </c>
      <c r="H53">
        <f t="shared" si="2"/>
        <v>26.118877999999999</v>
      </c>
      <c r="I53">
        <f t="shared" si="4"/>
        <v>39.839083968122708</v>
      </c>
      <c r="J53" s="2"/>
      <c r="K53" s="4">
        <v>3.6648476415746013E-3</v>
      </c>
      <c r="L53" s="13">
        <f t="shared" si="6"/>
        <v>0.86371398806986688</v>
      </c>
      <c r="M53" s="2"/>
      <c r="N53" s="2"/>
      <c r="O53" s="2"/>
      <c r="P53" s="2"/>
      <c r="Q53" s="2"/>
      <c r="R53" s="3"/>
      <c r="S53" s="4">
        <v>0.20903755441483629</v>
      </c>
      <c r="T53" s="4">
        <v>0.36056370741725002</v>
      </c>
      <c r="U53">
        <f t="shared" si="3"/>
        <v>0.1777</v>
      </c>
      <c r="V53" s="3"/>
      <c r="W53" s="4">
        <v>3.6648476415746013E-3</v>
      </c>
      <c r="X53" s="4">
        <v>0.1292612848937969</v>
      </c>
      <c r="Y53" s="7">
        <v>0.1777</v>
      </c>
      <c r="Z53" s="1"/>
      <c r="AA53" s="1"/>
      <c r="AB53" s="1"/>
      <c r="AC53" s="1"/>
    </row>
    <row r="54" spans="1:29" x14ac:dyDescent="0.2">
      <c r="A54" s="6" t="s">
        <v>60</v>
      </c>
      <c r="B54">
        <v>0</v>
      </c>
      <c r="C54" t="s">
        <v>21</v>
      </c>
      <c r="D54" t="s">
        <v>14</v>
      </c>
      <c r="E54" t="s">
        <v>69</v>
      </c>
      <c r="F54" s="4">
        <f t="shared" si="0"/>
        <v>184.34930869847102</v>
      </c>
      <c r="G54">
        <f t="shared" si="1"/>
        <v>15.334681840135438</v>
      </c>
      <c r="H54">
        <f t="shared" si="2"/>
        <v>25.964779999999994</v>
      </c>
      <c r="I54">
        <f t="shared" si="4"/>
        <v>41.299461840135436</v>
      </c>
      <c r="J54" s="2"/>
      <c r="K54" s="4">
        <v>3.6648476415746013E-3</v>
      </c>
      <c r="L54" s="13">
        <f t="shared" si="6"/>
        <v>0.86888217928231037</v>
      </c>
      <c r="M54" s="2"/>
      <c r="N54" s="2"/>
      <c r="O54" s="2"/>
      <c r="P54" s="2"/>
      <c r="Q54" s="2"/>
      <c r="R54" s="3"/>
      <c r="S54" s="4">
        <v>0.20176494926311525</v>
      </c>
      <c r="T54" s="4">
        <v>0.39719307196967601</v>
      </c>
      <c r="U54">
        <f t="shared" si="3"/>
        <v>0.17699999999999999</v>
      </c>
      <c r="V54" s="3"/>
      <c r="W54" s="4">
        <v>3.6648476415746013E-3</v>
      </c>
      <c r="X54" s="4">
        <v>0.13007427706187044</v>
      </c>
      <c r="Y54" s="7">
        <v>0.17699999999999999</v>
      </c>
      <c r="Z54" s="1"/>
      <c r="AA54" s="1"/>
      <c r="AB54" s="1"/>
      <c r="AC54" s="1"/>
    </row>
    <row r="55" spans="1:29" x14ac:dyDescent="0.2">
      <c r="A55" s="6" t="s">
        <v>61</v>
      </c>
      <c r="B55">
        <v>0</v>
      </c>
      <c r="C55" t="s">
        <v>21</v>
      </c>
      <c r="D55" t="s">
        <v>14</v>
      </c>
      <c r="E55" t="s">
        <v>69</v>
      </c>
      <c r="F55" s="4">
        <f t="shared" si="0"/>
        <v>195.89030171615454</v>
      </c>
      <c r="G55">
        <f t="shared" si="1"/>
        <v>15.825755133790153</v>
      </c>
      <c r="H55">
        <f t="shared" si="2"/>
        <v>25.876723999999996</v>
      </c>
      <c r="I55">
        <f t="shared" si="4"/>
        <v>41.702479133790149</v>
      </c>
      <c r="J55" s="2"/>
      <c r="K55" s="4">
        <v>3.6648476415746013E-3</v>
      </c>
      <c r="L55" s="13">
        <f t="shared" si="6"/>
        <v>0.86629808367608852</v>
      </c>
      <c r="M55" s="2"/>
      <c r="N55" s="2"/>
      <c r="O55" s="2"/>
      <c r="P55" s="2"/>
      <c r="Q55" s="2"/>
      <c r="R55" s="3"/>
      <c r="S55" s="4">
        <v>0.21095927370053646</v>
      </c>
      <c r="T55" s="4">
        <v>0.40833458421340757</v>
      </c>
      <c r="U55">
        <f t="shared" si="3"/>
        <v>0.17660000000000001</v>
      </c>
      <c r="V55" s="3"/>
      <c r="W55" s="4">
        <v>3.6648476415746013E-3</v>
      </c>
      <c r="X55" s="4">
        <v>0.12966778097783366</v>
      </c>
      <c r="Y55" s="7">
        <v>0.17660000000000001</v>
      </c>
      <c r="Z55" s="1"/>
      <c r="AA55" s="1"/>
      <c r="AB55" s="1"/>
      <c r="AC55" s="1"/>
    </row>
    <row r="56" spans="1:29" x14ac:dyDescent="0.2">
      <c r="A56" s="6" t="s">
        <v>62</v>
      </c>
      <c r="B56">
        <v>0</v>
      </c>
      <c r="C56" t="s">
        <v>20</v>
      </c>
      <c r="D56" t="s">
        <v>14</v>
      </c>
      <c r="E56" t="s">
        <v>69</v>
      </c>
      <c r="F56" s="4">
        <f t="shared" si="0"/>
        <v>193.47810177594513</v>
      </c>
      <c r="G56">
        <f t="shared" si="1"/>
        <v>13.720205968122713</v>
      </c>
      <c r="H56">
        <f t="shared" si="2"/>
        <v>26.118877999999999</v>
      </c>
      <c r="I56">
        <f t="shared" si="4"/>
        <v>39.839083968122708</v>
      </c>
      <c r="J56" s="2"/>
      <c r="K56" s="4">
        <v>3.6648476415746013E-3</v>
      </c>
      <c r="L56" s="13">
        <f t="shared" si="6"/>
        <v>0.86371398806986688</v>
      </c>
      <c r="M56" s="2"/>
      <c r="N56" s="2"/>
      <c r="O56" s="2"/>
      <c r="P56" s="2"/>
      <c r="Q56" s="2"/>
      <c r="R56" s="3"/>
      <c r="S56" s="4">
        <v>0.20903755441483629</v>
      </c>
      <c r="T56" s="4">
        <v>0.36056370741725002</v>
      </c>
      <c r="U56">
        <f t="shared" si="3"/>
        <v>0.1777</v>
      </c>
      <c r="V56" s="3"/>
      <c r="W56" s="4">
        <v>3.6648476415746013E-3</v>
      </c>
      <c r="X56" s="4">
        <v>0.1292612848937969</v>
      </c>
      <c r="Y56" s="7">
        <v>0.1777</v>
      </c>
      <c r="Z56" s="1"/>
      <c r="AA56" s="1"/>
      <c r="AB56" s="1"/>
      <c r="AC56" s="1"/>
    </row>
    <row r="57" spans="1:29" x14ac:dyDescent="0.2">
      <c r="A57" s="6" t="s">
        <v>63</v>
      </c>
      <c r="B57">
        <v>0</v>
      </c>
      <c r="C57" t="s">
        <v>20</v>
      </c>
      <c r="D57" t="s">
        <v>14</v>
      </c>
      <c r="E57" t="s">
        <v>69</v>
      </c>
      <c r="F57" s="4">
        <f t="shared" si="0"/>
        <v>184.34930869847102</v>
      </c>
      <c r="G57">
        <f t="shared" si="1"/>
        <v>15.334681840135438</v>
      </c>
      <c r="H57">
        <f t="shared" si="2"/>
        <v>25.964779999999994</v>
      </c>
      <c r="I57">
        <f t="shared" si="4"/>
        <v>41.299461840135436</v>
      </c>
      <c r="J57" s="2"/>
      <c r="K57" s="4">
        <v>3.6648476415746013E-3</v>
      </c>
      <c r="L57" s="13">
        <f t="shared" si="6"/>
        <v>0.86888217928231037</v>
      </c>
      <c r="M57" s="2"/>
      <c r="N57" s="2"/>
      <c r="O57" s="2"/>
      <c r="P57" s="2"/>
      <c r="Q57" s="2"/>
      <c r="R57" s="3"/>
      <c r="S57" s="4">
        <v>0.20176494926311525</v>
      </c>
      <c r="T57" s="4">
        <v>0.39719307196967601</v>
      </c>
      <c r="U57">
        <f t="shared" si="3"/>
        <v>0.17699999999999999</v>
      </c>
      <c r="V57" s="3"/>
      <c r="W57" s="4">
        <v>3.6648476415746013E-3</v>
      </c>
      <c r="X57" s="4">
        <v>0.13007427706187044</v>
      </c>
      <c r="Y57" s="7">
        <v>0.17699999999999999</v>
      </c>
      <c r="Z57" s="1"/>
      <c r="AA57" s="1"/>
      <c r="AB57" s="1"/>
      <c r="AC57" s="1"/>
    </row>
    <row r="58" spans="1:29" x14ac:dyDescent="0.2">
      <c r="A58" s="6" t="s">
        <v>64</v>
      </c>
      <c r="B58">
        <v>0</v>
      </c>
      <c r="C58" t="s">
        <v>20</v>
      </c>
      <c r="D58" t="s">
        <v>14</v>
      </c>
      <c r="E58" t="s">
        <v>69</v>
      </c>
      <c r="F58" s="4">
        <f t="shared" si="0"/>
        <v>195.89030171615454</v>
      </c>
      <c r="G58">
        <f t="shared" si="1"/>
        <v>15.825755133790153</v>
      </c>
      <c r="H58">
        <f t="shared" si="2"/>
        <v>25.876723999999996</v>
      </c>
      <c r="I58">
        <f t="shared" si="4"/>
        <v>41.702479133790149</v>
      </c>
      <c r="J58" s="2"/>
      <c r="K58" s="4">
        <v>3.6648476415746013E-3</v>
      </c>
      <c r="L58" s="13">
        <f t="shared" si="6"/>
        <v>0.86629808367608852</v>
      </c>
      <c r="M58" s="2"/>
      <c r="N58" s="2"/>
      <c r="O58" s="2"/>
      <c r="P58" s="2"/>
      <c r="Q58" s="2"/>
      <c r="R58" s="3"/>
      <c r="S58" s="4">
        <v>0.21095927370053646</v>
      </c>
      <c r="T58" s="4">
        <v>0.40833458421340757</v>
      </c>
      <c r="U58">
        <f t="shared" si="3"/>
        <v>0.17660000000000001</v>
      </c>
      <c r="V58" s="3"/>
      <c r="W58" s="4">
        <v>3.6648476415746013E-3</v>
      </c>
      <c r="X58" s="4">
        <v>0.12966778097783366</v>
      </c>
      <c r="Y58" s="7">
        <v>0.17660000000000001</v>
      </c>
      <c r="Z58" s="1"/>
      <c r="AA58" s="1"/>
      <c r="AB58" s="1"/>
      <c r="AC58" s="1"/>
    </row>
    <row r="59" spans="1:29" x14ac:dyDescent="0.2">
      <c r="A59" s="6" t="s">
        <v>65</v>
      </c>
      <c r="B59">
        <v>0</v>
      </c>
      <c r="C59" t="s">
        <v>26</v>
      </c>
      <c r="D59" t="s">
        <v>14</v>
      </c>
      <c r="E59" t="s">
        <v>69</v>
      </c>
      <c r="F59" s="4">
        <f t="shared" si="0"/>
        <v>193.47810177594513</v>
      </c>
      <c r="G59">
        <f t="shared" si="1"/>
        <v>13.720205968122713</v>
      </c>
      <c r="H59">
        <f t="shared" si="2"/>
        <v>26.118877999999999</v>
      </c>
      <c r="I59">
        <f t="shared" si="4"/>
        <v>39.839083968122708</v>
      </c>
      <c r="J59" s="2"/>
      <c r="K59" s="4">
        <v>3.6648476415746013E-3</v>
      </c>
      <c r="L59" s="13">
        <f t="shared" si="6"/>
        <v>0.86371398806986688</v>
      </c>
      <c r="M59" s="2"/>
      <c r="N59" s="2"/>
      <c r="O59" s="2"/>
      <c r="P59" s="2"/>
      <c r="Q59" s="2"/>
      <c r="R59" s="3"/>
      <c r="S59" s="4">
        <v>0.20903755441483629</v>
      </c>
      <c r="T59" s="4">
        <v>0.36056370741725002</v>
      </c>
      <c r="U59">
        <f t="shared" si="3"/>
        <v>0.1777</v>
      </c>
      <c r="V59" s="3"/>
      <c r="W59" s="4">
        <v>3.6648476415746013E-3</v>
      </c>
      <c r="X59" s="4">
        <v>0.1292612848937969</v>
      </c>
      <c r="Y59" s="7">
        <v>0.1777</v>
      </c>
      <c r="Z59" s="1"/>
      <c r="AA59" s="1"/>
      <c r="AB59" s="1"/>
      <c r="AC59" s="1"/>
    </row>
    <row r="60" spans="1:29" x14ac:dyDescent="0.2">
      <c r="A60" s="6" t="s">
        <v>66</v>
      </c>
      <c r="B60">
        <v>0</v>
      </c>
      <c r="C60" t="s">
        <v>26</v>
      </c>
      <c r="D60" t="s">
        <v>14</v>
      </c>
      <c r="E60" t="s">
        <v>69</v>
      </c>
      <c r="F60" s="4">
        <f t="shared" si="0"/>
        <v>184.34930869847102</v>
      </c>
      <c r="G60">
        <f t="shared" si="1"/>
        <v>15.334681840135438</v>
      </c>
      <c r="H60">
        <f t="shared" si="2"/>
        <v>25.964779999999994</v>
      </c>
      <c r="I60">
        <f t="shared" si="4"/>
        <v>41.299461840135436</v>
      </c>
      <c r="J60" s="2"/>
      <c r="K60" s="4">
        <v>3.6648476415746013E-3</v>
      </c>
      <c r="L60" s="13">
        <f t="shared" si="6"/>
        <v>0.86888217928231037</v>
      </c>
      <c r="M60" s="2"/>
      <c r="N60" s="2"/>
      <c r="O60" s="2"/>
      <c r="P60" s="2"/>
      <c r="Q60" s="2"/>
      <c r="R60" s="3"/>
      <c r="S60" s="4">
        <v>0.20176494926311525</v>
      </c>
      <c r="T60" s="4">
        <v>0.39719307196967601</v>
      </c>
      <c r="U60">
        <f t="shared" si="3"/>
        <v>0.17699999999999999</v>
      </c>
      <c r="V60" s="3"/>
      <c r="W60" s="4">
        <v>3.6648476415746013E-3</v>
      </c>
      <c r="X60" s="4">
        <v>0.13007427706187044</v>
      </c>
      <c r="Y60" s="7">
        <v>0.17699999999999999</v>
      </c>
      <c r="Z60" s="1"/>
      <c r="AA60" s="1"/>
      <c r="AB60" s="1"/>
      <c r="AC60" s="1"/>
    </row>
    <row r="61" spans="1:29" x14ac:dyDescent="0.2">
      <c r="A61" s="6" t="s">
        <v>67</v>
      </c>
      <c r="B61">
        <v>0</v>
      </c>
      <c r="C61" t="s">
        <v>26</v>
      </c>
      <c r="D61" t="s">
        <v>14</v>
      </c>
      <c r="E61" t="s">
        <v>69</v>
      </c>
      <c r="F61" s="4">
        <f t="shared" si="0"/>
        <v>195.89030171615454</v>
      </c>
      <c r="G61">
        <f t="shared" si="1"/>
        <v>15.825755133790153</v>
      </c>
      <c r="H61">
        <f t="shared" si="2"/>
        <v>25.876723999999996</v>
      </c>
      <c r="I61">
        <f t="shared" si="4"/>
        <v>41.702479133790149</v>
      </c>
      <c r="J61" s="2"/>
      <c r="K61" s="4">
        <v>3.6648476415746013E-3</v>
      </c>
      <c r="L61" s="13">
        <f t="shared" si="6"/>
        <v>0.86629808367608852</v>
      </c>
      <c r="M61" s="2"/>
      <c r="N61" s="2"/>
      <c r="O61" s="2"/>
      <c r="P61" s="2"/>
      <c r="Q61" s="2"/>
      <c r="R61" s="3"/>
      <c r="S61" s="4">
        <v>0.21095927370053646</v>
      </c>
      <c r="T61" s="4">
        <v>0.40833458421340757</v>
      </c>
      <c r="U61">
        <f t="shared" si="3"/>
        <v>0.17660000000000001</v>
      </c>
      <c r="V61" s="3"/>
      <c r="W61" s="4">
        <v>3.6648476415746013E-3</v>
      </c>
      <c r="X61" s="4">
        <v>0.12966778097783366</v>
      </c>
      <c r="Y61" s="7">
        <v>0.17660000000000001</v>
      </c>
      <c r="Z61" s="1"/>
      <c r="AA61" s="1"/>
      <c r="AB61" s="1"/>
      <c r="AC61" s="1"/>
    </row>
    <row r="62" spans="1:29" x14ac:dyDescent="0.2">
      <c r="A62" s="6" t="s">
        <v>68</v>
      </c>
      <c r="B62">
        <v>0</v>
      </c>
      <c r="C62" t="s">
        <v>19</v>
      </c>
      <c r="D62" t="s">
        <v>15</v>
      </c>
      <c r="E62" t="s">
        <v>69</v>
      </c>
      <c r="F62" s="4">
        <f t="shared" si="0"/>
        <v>193.47810177594513</v>
      </c>
      <c r="G62">
        <f t="shared" si="1"/>
        <v>13.720205968122713</v>
      </c>
      <c r="H62">
        <f t="shared" si="2"/>
        <v>26.118877999999999</v>
      </c>
      <c r="I62">
        <f t="shared" si="4"/>
        <v>39.839083968122708</v>
      </c>
      <c r="J62" s="2"/>
      <c r="K62" s="4">
        <v>3.6648476415746013E-3</v>
      </c>
      <c r="L62" s="13">
        <f t="shared" si="6"/>
        <v>0.86371398806986688</v>
      </c>
      <c r="M62" s="2"/>
      <c r="N62" s="2"/>
      <c r="O62" s="2"/>
      <c r="P62" s="2"/>
      <c r="Q62" s="2"/>
      <c r="R62" s="3"/>
      <c r="S62" s="4">
        <v>0.20903755441483629</v>
      </c>
      <c r="T62" s="4">
        <v>0.36056370741725002</v>
      </c>
      <c r="U62">
        <f t="shared" si="3"/>
        <v>0.1777</v>
      </c>
      <c r="V62" s="3"/>
      <c r="W62" s="4">
        <v>3.6648476415746013E-3</v>
      </c>
      <c r="X62" s="4">
        <v>0.1292612848937969</v>
      </c>
      <c r="Y62" s="7">
        <v>0.1777</v>
      </c>
      <c r="Z62" s="1"/>
      <c r="AA62" s="1"/>
      <c r="AB62" s="1"/>
      <c r="AC62" s="1"/>
    </row>
    <row r="63" spans="1:29" x14ac:dyDescent="0.2">
      <c r="A63" s="6" t="s">
        <v>57</v>
      </c>
      <c r="B63">
        <v>0</v>
      </c>
      <c r="C63" t="s">
        <v>19</v>
      </c>
      <c r="D63" t="s">
        <v>15</v>
      </c>
      <c r="E63" t="s">
        <v>69</v>
      </c>
      <c r="F63" s="4">
        <f t="shared" si="0"/>
        <v>184.34930869847102</v>
      </c>
      <c r="G63">
        <f t="shared" si="1"/>
        <v>15.334681840135438</v>
      </c>
      <c r="H63">
        <f t="shared" si="2"/>
        <v>25.964779999999994</v>
      </c>
      <c r="I63">
        <f t="shared" si="4"/>
        <v>41.299461840135436</v>
      </c>
      <c r="J63" s="2"/>
      <c r="K63" s="4">
        <v>3.6648476415746013E-3</v>
      </c>
      <c r="L63" s="13">
        <f t="shared" si="6"/>
        <v>0.86888217928231037</v>
      </c>
      <c r="M63" s="2"/>
      <c r="N63" s="2"/>
      <c r="O63" s="2"/>
      <c r="P63" s="2"/>
      <c r="Q63" s="2"/>
      <c r="R63" s="3"/>
      <c r="S63" s="4">
        <v>0.20176494926311525</v>
      </c>
      <c r="T63" s="4">
        <v>0.39719307196967601</v>
      </c>
      <c r="U63">
        <f t="shared" si="3"/>
        <v>0.17699999999999999</v>
      </c>
      <c r="V63" s="3"/>
      <c r="W63" s="4">
        <v>3.6648476415746013E-3</v>
      </c>
      <c r="X63" s="4">
        <v>0.13007427706187044</v>
      </c>
      <c r="Y63" s="7">
        <v>0.17699999999999999</v>
      </c>
      <c r="Z63" s="1"/>
      <c r="AA63" s="1"/>
      <c r="AB63" s="1"/>
      <c r="AC63" s="1"/>
    </row>
    <row r="64" spans="1:29" x14ac:dyDescent="0.2">
      <c r="A64" s="6" t="s">
        <v>58</v>
      </c>
      <c r="B64">
        <v>0</v>
      </c>
      <c r="C64" t="s">
        <v>19</v>
      </c>
      <c r="D64" t="s">
        <v>15</v>
      </c>
      <c r="E64" t="s">
        <v>69</v>
      </c>
      <c r="F64" s="4">
        <f t="shared" si="0"/>
        <v>195.89030171615454</v>
      </c>
      <c r="G64">
        <f t="shared" si="1"/>
        <v>15.825755133790153</v>
      </c>
      <c r="H64">
        <f t="shared" si="2"/>
        <v>25.876723999999996</v>
      </c>
      <c r="I64">
        <f t="shared" si="4"/>
        <v>41.702479133790149</v>
      </c>
      <c r="J64" s="2"/>
      <c r="K64" s="4">
        <v>3.6648476415746013E-3</v>
      </c>
      <c r="L64" s="13">
        <f t="shared" si="6"/>
        <v>0.86629808367608852</v>
      </c>
      <c r="M64" s="2"/>
      <c r="N64" s="2"/>
      <c r="O64" s="2"/>
      <c r="P64" s="2"/>
      <c r="Q64" s="2"/>
      <c r="R64" s="3"/>
      <c r="S64" s="4">
        <v>0.21095927370053646</v>
      </c>
      <c r="T64" s="4">
        <v>0.40833458421340757</v>
      </c>
      <c r="U64">
        <f t="shared" si="3"/>
        <v>0.17660000000000001</v>
      </c>
      <c r="V64" s="3"/>
      <c r="W64" s="4">
        <v>3.6648476415746013E-3</v>
      </c>
      <c r="X64" s="4">
        <v>0.12966778097783366</v>
      </c>
      <c r="Y64" s="7">
        <v>0.17660000000000001</v>
      </c>
      <c r="Z64" s="1"/>
      <c r="AA64" s="1"/>
      <c r="AB64" s="1"/>
      <c r="AC64" s="1"/>
    </row>
    <row r="65" spans="1:29" x14ac:dyDescent="0.2">
      <c r="A65" s="6" t="s">
        <v>59</v>
      </c>
      <c r="B65">
        <v>0</v>
      </c>
      <c r="C65" t="s">
        <v>21</v>
      </c>
      <c r="D65" t="s">
        <v>15</v>
      </c>
      <c r="E65" t="s">
        <v>69</v>
      </c>
      <c r="F65" s="4">
        <f t="shared" si="0"/>
        <v>193.47810177594513</v>
      </c>
      <c r="G65">
        <f t="shared" si="1"/>
        <v>13.720205968122713</v>
      </c>
      <c r="H65">
        <f t="shared" si="2"/>
        <v>26.118877999999999</v>
      </c>
      <c r="I65">
        <f t="shared" si="4"/>
        <v>39.839083968122708</v>
      </c>
      <c r="J65" s="2"/>
      <c r="K65" s="4">
        <v>3.6648476415746013E-3</v>
      </c>
      <c r="L65" s="13">
        <f t="shared" si="6"/>
        <v>0.86371398806986688</v>
      </c>
      <c r="M65" s="2"/>
      <c r="N65" s="2"/>
      <c r="O65" s="2"/>
      <c r="P65" s="2"/>
      <c r="Q65" s="2"/>
      <c r="R65" s="3"/>
      <c r="S65" s="4">
        <v>0.20903755441483629</v>
      </c>
      <c r="T65" s="4">
        <v>0.36056370741725002</v>
      </c>
      <c r="U65">
        <f t="shared" si="3"/>
        <v>0.1777</v>
      </c>
      <c r="V65" s="3"/>
      <c r="W65" s="4">
        <v>3.6648476415746013E-3</v>
      </c>
      <c r="X65" s="4">
        <v>0.1292612848937969</v>
      </c>
      <c r="Y65" s="7">
        <v>0.1777</v>
      </c>
      <c r="Z65" s="1"/>
      <c r="AA65" s="1"/>
      <c r="AB65" s="1"/>
      <c r="AC65" s="1"/>
    </row>
    <row r="66" spans="1:29" x14ac:dyDescent="0.2">
      <c r="A66" s="6" t="s">
        <v>60</v>
      </c>
      <c r="B66">
        <v>0</v>
      </c>
      <c r="C66" t="s">
        <v>21</v>
      </c>
      <c r="D66" t="s">
        <v>15</v>
      </c>
      <c r="E66" t="s">
        <v>69</v>
      </c>
      <c r="F66" s="4">
        <f t="shared" ref="F66:F129" si="7">30*(S66-0.0549)/0.0239</f>
        <v>184.34930869847102</v>
      </c>
      <c r="G66">
        <f t="shared" ref="G66:G129" si="8">(1.4692*T66-0.0724)*30</f>
        <v>15.334681840135438</v>
      </c>
      <c r="H66">
        <f t="shared" ref="H66:H129" si="9">(11.007*U66-0.65)*20</f>
        <v>25.964779999999994</v>
      </c>
      <c r="I66">
        <f t="shared" ref="I66:I129" si="10">G66+H66</f>
        <v>41.299461840135436</v>
      </c>
      <c r="J66" s="2"/>
      <c r="K66" s="4">
        <v>3.6648476415746013E-3</v>
      </c>
      <c r="L66" s="13">
        <f t="shared" si="6"/>
        <v>0.86888217928231037</v>
      </c>
      <c r="M66" s="2"/>
      <c r="N66" s="2"/>
      <c r="O66" s="2"/>
      <c r="P66" s="2"/>
      <c r="Q66" s="2"/>
      <c r="R66" s="3"/>
      <c r="S66" s="4">
        <v>0.20176494926311525</v>
      </c>
      <c r="T66" s="4">
        <v>0.39719307196967601</v>
      </c>
      <c r="U66">
        <f t="shared" ref="U66:U129" si="11">AVERAGE(Y66:AA66)</f>
        <v>0.17699999999999999</v>
      </c>
      <c r="V66" s="3"/>
      <c r="W66" s="4">
        <v>3.6648476415746013E-3</v>
      </c>
      <c r="X66" s="4">
        <v>0.13007427706187044</v>
      </c>
      <c r="Y66" s="7">
        <v>0.17699999999999999</v>
      </c>
      <c r="Z66" s="1"/>
      <c r="AA66" s="1"/>
      <c r="AB66" s="1"/>
      <c r="AC66" s="1"/>
    </row>
    <row r="67" spans="1:29" x14ac:dyDescent="0.2">
      <c r="A67" s="6" t="s">
        <v>61</v>
      </c>
      <c r="B67">
        <v>0</v>
      </c>
      <c r="C67" t="s">
        <v>21</v>
      </c>
      <c r="D67" t="s">
        <v>15</v>
      </c>
      <c r="E67" t="s">
        <v>69</v>
      </c>
      <c r="F67" s="4">
        <f t="shared" si="7"/>
        <v>195.89030171615454</v>
      </c>
      <c r="G67">
        <f t="shared" si="8"/>
        <v>15.825755133790153</v>
      </c>
      <c r="H67">
        <f t="shared" si="9"/>
        <v>25.876723999999996</v>
      </c>
      <c r="I67">
        <f t="shared" si="10"/>
        <v>41.702479133790149</v>
      </c>
      <c r="J67" s="2"/>
      <c r="K67" s="4">
        <v>3.6648476415746013E-3</v>
      </c>
      <c r="L67" s="13">
        <f t="shared" si="6"/>
        <v>0.86629808367608852</v>
      </c>
      <c r="M67" s="2"/>
      <c r="N67" s="2"/>
      <c r="O67" s="2"/>
      <c r="P67" s="2"/>
      <c r="Q67" s="2"/>
      <c r="R67" s="3"/>
      <c r="S67" s="4">
        <v>0.21095927370053646</v>
      </c>
      <c r="T67" s="4">
        <v>0.40833458421340757</v>
      </c>
      <c r="U67">
        <f t="shared" si="11"/>
        <v>0.17660000000000001</v>
      </c>
      <c r="V67" s="3"/>
      <c r="W67" s="4">
        <v>3.6648476415746013E-3</v>
      </c>
      <c r="X67" s="4">
        <v>0.12966778097783366</v>
      </c>
      <c r="Y67" s="7">
        <v>0.17660000000000001</v>
      </c>
      <c r="Z67" s="1"/>
      <c r="AA67" s="1"/>
      <c r="AB67" s="1"/>
      <c r="AC67" s="1"/>
    </row>
    <row r="68" spans="1:29" x14ac:dyDescent="0.2">
      <c r="A68" s="6" t="s">
        <v>62</v>
      </c>
      <c r="B68">
        <v>0</v>
      </c>
      <c r="C68" t="s">
        <v>20</v>
      </c>
      <c r="D68" t="s">
        <v>15</v>
      </c>
      <c r="E68" t="s">
        <v>69</v>
      </c>
      <c r="F68" s="4">
        <f t="shared" si="7"/>
        <v>193.47810177594513</v>
      </c>
      <c r="G68">
        <f t="shared" si="8"/>
        <v>13.720205968122713</v>
      </c>
      <c r="H68">
        <f t="shared" si="9"/>
        <v>26.118877999999999</v>
      </c>
      <c r="I68">
        <f t="shared" si="10"/>
        <v>39.839083968122708</v>
      </c>
      <c r="J68" s="2"/>
      <c r="K68" s="4">
        <v>3.6648476415746013E-3</v>
      </c>
      <c r="L68" s="13">
        <f t="shared" si="6"/>
        <v>0.86371398806986688</v>
      </c>
      <c r="M68" s="2"/>
      <c r="N68" s="2"/>
      <c r="O68" s="2"/>
      <c r="P68" s="2"/>
      <c r="Q68" s="2"/>
      <c r="R68" s="3"/>
      <c r="S68" s="4">
        <v>0.20903755441483629</v>
      </c>
      <c r="T68" s="4">
        <v>0.36056370741725002</v>
      </c>
      <c r="U68">
        <f t="shared" si="11"/>
        <v>0.1777</v>
      </c>
      <c r="V68" s="3"/>
      <c r="W68" s="4">
        <v>3.6648476415746013E-3</v>
      </c>
      <c r="X68" s="4">
        <v>0.1292612848937969</v>
      </c>
      <c r="Y68" s="7">
        <v>0.1777</v>
      </c>
      <c r="Z68" s="1"/>
      <c r="AA68" s="1"/>
      <c r="AB68" s="1"/>
      <c r="AC68" s="1"/>
    </row>
    <row r="69" spans="1:29" x14ac:dyDescent="0.2">
      <c r="A69" s="6" t="s">
        <v>63</v>
      </c>
      <c r="B69">
        <v>0</v>
      </c>
      <c r="C69" t="s">
        <v>20</v>
      </c>
      <c r="D69" t="s">
        <v>15</v>
      </c>
      <c r="E69" t="s">
        <v>69</v>
      </c>
      <c r="F69" s="4">
        <f t="shared" si="7"/>
        <v>184.34930869847102</v>
      </c>
      <c r="G69">
        <f t="shared" si="8"/>
        <v>15.334681840135438</v>
      </c>
      <c r="H69">
        <f t="shared" si="9"/>
        <v>25.964779999999994</v>
      </c>
      <c r="I69">
        <f t="shared" si="10"/>
        <v>41.299461840135436</v>
      </c>
      <c r="J69" s="2"/>
      <c r="K69" s="4">
        <v>3.6648476415746013E-3</v>
      </c>
      <c r="L69" s="13">
        <f t="shared" si="6"/>
        <v>0.86888217928231037</v>
      </c>
      <c r="M69" s="2"/>
      <c r="N69" s="2"/>
      <c r="O69" s="2"/>
      <c r="P69" s="2"/>
      <c r="Q69" s="2"/>
      <c r="R69" s="3"/>
      <c r="S69" s="4">
        <v>0.20176494926311525</v>
      </c>
      <c r="T69" s="4">
        <v>0.39719307196967601</v>
      </c>
      <c r="U69">
        <f t="shared" si="11"/>
        <v>0.17699999999999999</v>
      </c>
      <c r="V69" s="3"/>
      <c r="W69" s="4">
        <v>3.6648476415746013E-3</v>
      </c>
      <c r="X69" s="4">
        <v>0.13007427706187044</v>
      </c>
      <c r="Y69" s="7">
        <v>0.17699999999999999</v>
      </c>
      <c r="Z69" s="1"/>
      <c r="AA69" s="1"/>
      <c r="AB69" s="1"/>
      <c r="AC69" s="1"/>
    </row>
    <row r="70" spans="1:29" x14ac:dyDescent="0.2">
      <c r="A70" s="6" t="s">
        <v>64</v>
      </c>
      <c r="B70">
        <v>0</v>
      </c>
      <c r="C70" t="s">
        <v>20</v>
      </c>
      <c r="D70" t="s">
        <v>15</v>
      </c>
      <c r="E70" t="s">
        <v>69</v>
      </c>
      <c r="F70" s="4">
        <f t="shared" si="7"/>
        <v>195.89030171615454</v>
      </c>
      <c r="G70">
        <f t="shared" si="8"/>
        <v>15.825755133790153</v>
      </c>
      <c r="H70">
        <f t="shared" si="9"/>
        <v>25.876723999999996</v>
      </c>
      <c r="I70">
        <f t="shared" si="10"/>
        <v>41.702479133790149</v>
      </c>
      <c r="J70" s="2"/>
      <c r="K70" s="4">
        <v>3.6648476415746013E-3</v>
      </c>
      <c r="L70" s="13">
        <f t="shared" si="6"/>
        <v>0.86629808367608852</v>
      </c>
      <c r="M70" s="2"/>
      <c r="N70" s="2"/>
      <c r="O70" s="2"/>
      <c r="P70" s="2"/>
      <c r="Q70" s="2"/>
      <c r="R70" s="3"/>
      <c r="S70" s="4">
        <v>0.21095927370053646</v>
      </c>
      <c r="T70" s="4">
        <v>0.40833458421340757</v>
      </c>
      <c r="U70">
        <f t="shared" si="11"/>
        <v>0.17660000000000001</v>
      </c>
      <c r="V70" s="3"/>
      <c r="W70" s="4">
        <v>3.6648476415746013E-3</v>
      </c>
      <c r="X70" s="4">
        <v>0.12966778097783366</v>
      </c>
      <c r="Y70" s="7">
        <v>0.17660000000000001</v>
      </c>
      <c r="Z70" s="1"/>
      <c r="AA70" s="1"/>
      <c r="AB70" s="1"/>
      <c r="AC70" s="1"/>
    </row>
    <row r="71" spans="1:29" x14ac:dyDescent="0.2">
      <c r="A71" s="6" t="s">
        <v>65</v>
      </c>
      <c r="B71">
        <v>0</v>
      </c>
      <c r="C71" t="s">
        <v>26</v>
      </c>
      <c r="D71" t="s">
        <v>15</v>
      </c>
      <c r="E71" t="s">
        <v>69</v>
      </c>
      <c r="F71" s="4">
        <f t="shared" si="7"/>
        <v>193.47810177594513</v>
      </c>
      <c r="G71">
        <f t="shared" si="8"/>
        <v>13.720205968122713</v>
      </c>
      <c r="H71">
        <f t="shared" si="9"/>
        <v>26.118877999999999</v>
      </c>
      <c r="I71">
        <f t="shared" si="10"/>
        <v>39.839083968122708</v>
      </c>
      <c r="J71" s="2"/>
      <c r="K71" s="4">
        <v>3.6648476415746013E-3</v>
      </c>
      <c r="L71" s="13">
        <f t="shared" si="6"/>
        <v>0.86371398806986688</v>
      </c>
      <c r="M71" s="2"/>
      <c r="N71" s="2"/>
      <c r="O71" s="2"/>
      <c r="P71" s="2"/>
      <c r="Q71" s="2"/>
      <c r="R71" s="3"/>
      <c r="S71" s="4">
        <v>0.20903755441483629</v>
      </c>
      <c r="T71" s="4">
        <v>0.36056370741725002</v>
      </c>
      <c r="U71">
        <f t="shared" si="11"/>
        <v>0.1777</v>
      </c>
      <c r="V71" s="3"/>
      <c r="W71" s="4">
        <v>3.6648476415746013E-3</v>
      </c>
      <c r="X71" s="4">
        <v>0.1292612848937969</v>
      </c>
      <c r="Y71" s="7">
        <v>0.1777</v>
      </c>
      <c r="Z71" s="1"/>
      <c r="AA71" s="1"/>
      <c r="AB71" s="1"/>
      <c r="AC71" s="1"/>
    </row>
    <row r="72" spans="1:29" x14ac:dyDescent="0.2">
      <c r="A72" s="6" t="s">
        <v>66</v>
      </c>
      <c r="B72">
        <v>0</v>
      </c>
      <c r="C72" t="s">
        <v>26</v>
      </c>
      <c r="D72" t="s">
        <v>15</v>
      </c>
      <c r="E72" t="s">
        <v>69</v>
      </c>
      <c r="F72" s="4">
        <f t="shared" si="7"/>
        <v>184.34930869847102</v>
      </c>
      <c r="G72">
        <f t="shared" si="8"/>
        <v>15.334681840135438</v>
      </c>
      <c r="H72">
        <f t="shared" si="9"/>
        <v>25.964779999999994</v>
      </c>
      <c r="I72">
        <f t="shared" si="10"/>
        <v>41.299461840135436</v>
      </c>
      <c r="J72" s="2"/>
      <c r="K72" s="4">
        <v>3.6648476415746013E-3</v>
      </c>
      <c r="L72" s="13">
        <f t="shared" si="6"/>
        <v>0.86888217928231037</v>
      </c>
      <c r="M72" s="2"/>
      <c r="N72" s="2"/>
      <c r="O72" s="2"/>
      <c r="P72" s="2"/>
      <c r="Q72" s="2"/>
      <c r="R72" s="3"/>
      <c r="S72" s="4">
        <v>0.20176494926311525</v>
      </c>
      <c r="T72" s="4">
        <v>0.39719307196967601</v>
      </c>
      <c r="U72">
        <f t="shared" si="11"/>
        <v>0.17699999999999999</v>
      </c>
      <c r="V72" s="3"/>
      <c r="W72" s="4">
        <v>3.6648476415746013E-3</v>
      </c>
      <c r="X72" s="4">
        <v>0.13007427706187044</v>
      </c>
      <c r="Y72" s="7">
        <v>0.17699999999999999</v>
      </c>
      <c r="Z72" s="1"/>
      <c r="AA72" s="1"/>
      <c r="AB72" s="1"/>
      <c r="AC72" s="1"/>
    </row>
    <row r="73" spans="1:29" x14ac:dyDescent="0.2">
      <c r="A73" s="6" t="s">
        <v>67</v>
      </c>
      <c r="B73">
        <v>0</v>
      </c>
      <c r="C73" t="s">
        <v>26</v>
      </c>
      <c r="D73" t="s">
        <v>15</v>
      </c>
      <c r="E73" t="s">
        <v>69</v>
      </c>
      <c r="F73" s="4">
        <f t="shared" si="7"/>
        <v>195.89030171615454</v>
      </c>
      <c r="G73">
        <f t="shared" si="8"/>
        <v>15.825755133790153</v>
      </c>
      <c r="H73">
        <f t="shared" si="9"/>
        <v>25.876723999999996</v>
      </c>
      <c r="I73">
        <f t="shared" si="10"/>
        <v>41.702479133790149</v>
      </c>
      <c r="J73" s="2"/>
      <c r="K73" s="4">
        <v>3.6648476415746013E-3</v>
      </c>
      <c r="L73" s="13">
        <f t="shared" si="6"/>
        <v>0.86629808367608852</v>
      </c>
      <c r="M73" s="2"/>
      <c r="N73" s="2"/>
      <c r="O73" s="2"/>
      <c r="P73" s="2"/>
      <c r="Q73" s="2"/>
      <c r="R73" s="3"/>
      <c r="S73" s="4">
        <v>0.21095927370053646</v>
      </c>
      <c r="T73" s="4">
        <v>0.40833458421340757</v>
      </c>
      <c r="U73">
        <f t="shared" si="11"/>
        <v>0.17660000000000001</v>
      </c>
      <c r="V73" s="3"/>
      <c r="W73" s="4">
        <v>3.6648476415746013E-3</v>
      </c>
      <c r="X73" s="4">
        <v>0.12966778097783366</v>
      </c>
      <c r="Y73" s="7">
        <v>0.17660000000000001</v>
      </c>
      <c r="Z73" s="1"/>
      <c r="AA73" s="1"/>
      <c r="AB73" s="1"/>
      <c r="AC73" s="1"/>
    </row>
    <row r="74" spans="1:29" x14ac:dyDescent="0.2">
      <c r="A74" s="18" t="s">
        <v>74</v>
      </c>
      <c r="B74">
        <v>48</v>
      </c>
      <c r="C74" t="s">
        <v>19</v>
      </c>
      <c r="D74" t="s">
        <v>14</v>
      </c>
      <c r="E74" t="s">
        <v>28</v>
      </c>
      <c r="F74" s="4">
        <f t="shared" si="7"/>
        <v>137.69005266445077</v>
      </c>
      <c r="G74">
        <f t="shared" si="8"/>
        <v>15.20206353876042</v>
      </c>
      <c r="H74">
        <f t="shared" si="9"/>
        <v>25.986794</v>
      </c>
      <c r="I74">
        <f t="shared" si="10"/>
        <v>41.188857538760416</v>
      </c>
      <c r="J74" s="2"/>
      <c r="K74" s="4">
        <v>3.6648476415746013E-3</v>
      </c>
      <c r="L74" s="13" t="e">
        <v>#VALUE!</v>
      </c>
      <c r="M74" s="2"/>
      <c r="N74" s="13">
        <f>-(F2-F74)/F2*100</f>
        <v>-28.834296284392437</v>
      </c>
      <c r="O74" s="13">
        <f t="shared" ref="O74:P74" si="12">G2-G74</f>
        <v>-1.4818575706377075</v>
      </c>
      <c r="P74" s="13">
        <f t="shared" si="12"/>
        <v>0.13208399999999898</v>
      </c>
      <c r="Q74" s="13"/>
      <c r="R74" s="3"/>
      <c r="S74">
        <v>0.1645930752893458</v>
      </c>
      <c r="T74" s="4">
        <v>0.39418421677920912</v>
      </c>
      <c r="U74">
        <f t="shared" si="11"/>
        <v>0.17710000000000001</v>
      </c>
      <c r="V74" s="3"/>
      <c r="W74" s="4">
        <v>3.621679871670426E-3</v>
      </c>
      <c r="X74" s="4" t="e">
        <v>#VALUE!</v>
      </c>
      <c r="Y74" s="7">
        <v>0.17799999999999999</v>
      </c>
      <c r="Z74" s="52">
        <v>0.1772</v>
      </c>
      <c r="AA74" s="52">
        <v>0.17610000000000001</v>
      </c>
      <c r="AB74" s="1"/>
      <c r="AC74" s="1"/>
    </row>
    <row r="75" spans="1:29" x14ac:dyDescent="0.2">
      <c r="A75" s="18" t="s">
        <v>75</v>
      </c>
      <c r="B75">
        <v>48</v>
      </c>
      <c r="C75" t="s">
        <v>19</v>
      </c>
      <c r="D75" t="s">
        <v>14</v>
      </c>
      <c r="E75" t="s">
        <v>28</v>
      </c>
      <c r="F75" s="4">
        <f t="shared" si="7"/>
        <v>139.89047143277281</v>
      </c>
      <c r="G75">
        <f t="shared" si="8"/>
        <v>14.700018814419352</v>
      </c>
      <c r="H75">
        <f t="shared" si="9"/>
        <v>27.153536000000003</v>
      </c>
      <c r="I75">
        <f t="shared" si="10"/>
        <v>41.853554814419354</v>
      </c>
      <c r="J75" s="2"/>
      <c r="K75" s="4">
        <v>3.6648476415746013E-3</v>
      </c>
      <c r="L75" s="13" t="e">
        <v>#VALUE!</v>
      </c>
      <c r="M75" s="2"/>
      <c r="N75" s="13">
        <f t="shared" ref="N75:N138" si="13">-(F3-F75)/F3*100</f>
        <v>-24.116628144462872</v>
      </c>
      <c r="O75" s="13">
        <f t="shared" ref="O75:O138" si="14">G3-G75</f>
        <v>0.63466302571608679</v>
      </c>
      <c r="P75" s="13">
        <f t="shared" ref="P75:P138" si="15">H3-H75</f>
        <v>-1.1887560000000086</v>
      </c>
      <c r="Q75" s="13"/>
      <c r="R75" s="3"/>
      <c r="S75">
        <v>0.16634607557477568</v>
      </c>
      <c r="T75" s="4">
        <v>0.38279378379207168</v>
      </c>
      <c r="U75">
        <f t="shared" si="11"/>
        <v>0.18240000000000001</v>
      </c>
      <c r="V75" s="3"/>
      <c r="W75" s="4">
        <v>3.2157037228866046E-3</v>
      </c>
      <c r="X75" s="4" t="e">
        <v>#VALUE!</v>
      </c>
      <c r="Y75" s="7">
        <v>0.18279999999999999</v>
      </c>
      <c r="Z75" s="52">
        <v>0.18290000000000001</v>
      </c>
      <c r="AA75" s="52">
        <v>0.18149999999999999</v>
      </c>
      <c r="AB75" s="1"/>
      <c r="AC75" s="1"/>
    </row>
    <row r="76" spans="1:29" x14ac:dyDescent="0.2">
      <c r="A76" s="18" t="s">
        <v>76</v>
      </c>
      <c r="B76">
        <v>48</v>
      </c>
      <c r="C76" t="s">
        <v>19</v>
      </c>
      <c r="D76" t="s">
        <v>14</v>
      </c>
      <c r="E76" t="s">
        <v>28</v>
      </c>
      <c r="F76" s="4">
        <f t="shared" si="7"/>
        <v>144.19286016789437</v>
      </c>
      <c r="G76">
        <f t="shared" si="8"/>
        <v>14.807107979751352</v>
      </c>
      <c r="H76">
        <f t="shared" si="9"/>
        <v>24.122941999999998</v>
      </c>
      <c r="I76">
        <f t="shared" si="10"/>
        <v>38.930049979751352</v>
      </c>
      <c r="J76" s="2"/>
      <c r="K76" s="4">
        <v>3.6648476415746013E-3</v>
      </c>
      <c r="L76" s="13" t="e">
        <v>#VALUE!</v>
      </c>
      <c r="M76" s="2"/>
      <c r="N76" s="13">
        <f t="shared" si="13"/>
        <v>-26.391016347082807</v>
      </c>
      <c r="O76" s="13">
        <f t="shared" si="14"/>
        <v>1.0186471540388009</v>
      </c>
      <c r="P76" s="13">
        <f t="shared" si="15"/>
        <v>1.7537819999999975</v>
      </c>
      <c r="Q76" s="13"/>
      <c r="R76" s="3"/>
      <c r="S76">
        <v>0.16977364526708918</v>
      </c>
      <c r="T76" s="4">
        <v>0.3852234317939775</v>
      </c>
      <c r="U76">
        <f t="shared" si="11"/>
        <v>0.16863333333333333</v>
      </c>
      <c r="V76" s="3"/>
      <c r="W76" s="4">
        <v>1.5969657181110716E-3</v>
      </c>
      <c r="X76" s="4" t="e">
        <v>#VALUE!</v>
      </c>
      <c r="Y76" s="7">
        <v>0.1696</v>
      </c>
      <c r="Z76" s="52">
        <v>0.1694</v>
      </c>
      <c r="AA76" s="52">
        <v>0.16689999999999999</v>
      </c>
      <c r="AB76" s="1"/>
      <c r="AC76" s="1"/>
    </row>
    <row r="77" spans="1:29" x14ac:dyDescent="0.2">
      <c r="A77" s="18" t="s">
        <v>77</v>
      </c>
      <c r="B77">
        <v>48</v>
      </c>
      <c r="C77" t="s">
        <v>21</v>
      </c>
      <c r="D77" t="s">
        <v>14</v>
      </c>
      <c r="E77" t="s">
        <v>28</v>
      </c>
      <c r="F77" s="4">
        <f t="shared" si="7"/>
        <v>142.07494338743049</v>
      </c>
      <c r="G77">
        <f t="shared" si="8"/>
        <v>14.672262880377406</v>
      </c>
      <c r="H77">
        <f t="shared" si="9"/>
        <v>25.722626000000002</v>
      </c>
      <c r="I77">
        <f t="shared" si="10"/>
        <v>40.394888880377408</v>
      </c>
      <c r="J77" s="2"/>
      <c r="K77" s="4">
        <v>3.6648476415746013E-3</v>
      </c>
      <c r="L77" s="13" t="e">
        <v>#VALUE!</v>
      </c>
      <c r="M77" s="2"/>
      <c r="N77" s="13">
        <f t="shared" si="13"/>
        <v>-26.567946406690208</v>
      </c>
      <c r="O77" s="13">
        <f t="shared" si="14"/>
        <v>-0.9520569122546938</v>
      </c>
      <c r="P77" s="13">
        <f t="shared" si="15"/>
        <v>0.39625199999999694</v>
      </c>
      <c r="Q77" s="13"/>
      <c r="R77" s="3"/>
      <c r="S77">
        <v>0.16808637156531964</v>
      </c>
      <c r="T77" s="4">
        <v>0.38216405482297405</v>
      </c>
      <c r="U77">
        <f t="shared" si="11"/>
        <v>0.17590000000000003</v>
      </c>
      <c r="V77" s="3"/>
      <c r="W77" s="4">
        <v>2.3872306224781369E-3</v>
      </c>
      <c r="X77" s="4" t="e">
        <v>#VALUE!</v>
      </c>
      <c r="Y77" s="7">
        <v>0.17680000000000001</v>
      </c>
      <c r="Z77" s="52">
        <v>0.17549999999999999</v>
      </c>
      <c r="AA77" s="52">
        <v>0.1754</v>
      </c>
      <c r="AB77" s="1"/>
      <c r="AC77" s="1"/>
    </row>
    <row r="78" spans="1:29" x14ac:dyDescent="0.2">
      <c r="A78" s="18" t="s">
        <v>78</v>
      </c>
      <c r="B78">
        <v>48</v>
      </c>
      <c r="C78" t="s">
        <v>21</v>
      </c>
      <c r="D78" t="s">
        <v>14</v>
      </c>
      <c r="E78" t="s">
        <v>28</v>
      </c>
      <c r="F78" s="4">
        <f t="shared" si="7"/>
        <v>137.92222367936762</v>
      </c>
      <c r="G78">
        <f t="shared" si="8"/>
        <v>14.51601395217687</v>
      </c>
      <c r="H78">
        <f t="shared" si="9"/>
        <v>24.012871999999994</v>
      </c>
      <c r="I78">
        <f t="shared" si="10"/>
        <v>38.528885952176864</v>
      </c>
      <c r="J78" s="2"/>
      <c r="K78" s="4">
        <v>3.6648476415746013E-3</v>
      </c>
      <c r="L78" s="13" t="e">
        <v>#VALUE!</v>
      </c>
      <c r="M78" s="2"/>
      <c r="N78" s="13">
        <f t="shared" si="13"/>
        <v>-25.184301122084147</v>
      </c>
      <c r="O78" s="13">
        <f t="shared" si="14"/>
        <v>0.81866788795856849</v>
      </c>
      <c r="P78" s="13">
        <f t="shared" si="15"/>
        <v>1.9519079999999995</v>
      </c>
      <c r="Q78" s="13"/>
      <c r="R78" s="3"/>
      <c r="S78">
        <v>0.16477803819789621</v>
      </c>
      <c r="T78" s="4">
        <v>0.37861906598096173</v>
      </c>
      <c r="U78">
        <f t="shared" si="11"/>
        <v>0.16813333333333333</v>
      </c>
      <c r="V78" s="3"/>
      <c r="W78" s="4">
        <v>2.0533301701096737E-3</v>
      </c>
      <c r="X78" s="4" t="e">
        <v>#VALUE!</v>
      </c>
      <c r="Y78" s="7">
        <v>0.16919999999999999</v>
      </c>
      <c r="Z78" s="52">
        <v>0.16800000000000001</v>
      </c>
      <c r="AA78" s="52">
        <v>0.16719999999999999</v>
      </c>
      <c r="AB78" s="1"/>
      <c r="AC78" s="1"/>
    </row>
    <row r="79" spans="1:29" x14ac:dyDescent="0.2">
      <c r="A79" s="18" t="s">
        <v>79</v>
      </c>
      <c r="B79">
        <v>48</v>
      </c>
      <c r="C79" t="s">
        <v>21</v>
      </c>
      <c r="D79" t="s">
        <v>14</v>
      </c>
      <c r="E79" t="s">
        <v>28</v>
      </c>
      <c r="F79" s="4">
        <f t="shared" si="7"/>
        <v>137.04470110077028</v>
      </c>
      <c r="G79">
        <f t="shared" si="8"/>
        <v>14.344571794451959</v>
      </c>
      <c r="H79">
        <f t="shared" si="9"/>
        <v>24.240349999999999</v>
      </c>
      <c r="I79">
        <f t="shared" si="10"/>
        <v>38.584921794451958</v>
      </c>
      <c r="J79" s="2"/>
      <c r="K79" s="4">
        <v>3.6648476415746013E-3</v>
      </c>
      <c r="L79" s="13" t="e">
        <v>#VALUE!</v>
      </c>
      <c r="M79" s="2"/>
      <c r="N79" s="13">
        <f t="shared" si="13"/>
        <v>-30.040078605142817</v>
      </c>
      <c r="O79" s="13">
        <f t="shared" si="14"/>
        <v>1.4811833393381946</v>
      </c>
      <c r="P79" s="13">
        <f t="shared" si="15"/>
        <v>1.6363739999999964</v>
      </c>
      <c r="Q79" s="13"/>
      <c r="R79" s="3"/>
      <c r="S79">
        <v>0.16407894521028032</v>
      </c>
      <c r="T79" s="4">
        <v>0.37472937186795441</v>
      </c>
      <c r="U79">
        <f t="shared" si="11"/>
        <v>0.16916666666666669</v>
      </c>
      <c r="V79" s="3"/>
      <c r="W79" s="4">
        <v>2.5176447469267486E-3</v>
      </c>
      <c r="X79" s="4" t="e">
        <v>#VALUE!</v>
      </c>
      <c r="Y79" s="7">
        <v>0.16950000000000001</v>
      </c>
      <c r="Z79" s="52">
        <v>0.16880000000000001</v>
      </c>
      <c r="AA79" s="52">
        <v>0.16919999999999999</v>
      </c>
      <c r="AB79" s="1"/>
      <c r="AC79" s="1"/>
    </row>
    <row r="80" spans="1:29" x14ac:dyDescent="0.2">
      <c r="A80" s="18" t="s">
        <v>80</v>
      </c>
      <c r="B80">
        <v>48</v>
      </c>
      <c r="C80" t="s">
        <v>20</v>
      </c>
      <c r="D80" t="s">
        <v>14</v>
      </c>
      <c r="E80" t="s">
        <v>28</v>
      </c>
      <c r="F80" s="4">
        <f t="shared" si="7"/>
        <v>132.31220595317876</v>
      </c>
      <c r="G80">
        <f t="shared" si="8"/>
        <v>14.335107442181688</v>
      </c>
      <c r="H80">
        <f t="shared" si="9"/>
        <v>27.637844000000005</v>
      </c>
      <c r="I80">
        <f t="shared" si="10"/>
        <v>41.972951442181696</v>
      </c>
      <c r="J80" s="2"/>
      <c r="K80" s="4">
        <v>3.6648476415746013E-3</v>
      </c>
      <c r="L80" s="13" t="e">
        <v>#VALUE!</v>
      </c>
      <c r="M80" s="2"/>
      <c r="N80" s="13">
        <f t="shared" si="13"/>
        <v>-31.613859791532771</v>
      </c>
      <c r="O80" s="13">
        <f t="shared" si="14"/>
        <v>-0.61490147405897488</v>
      </c>
      <c r="P80" s="13">
        <f t="shared" si="15"/>
        <v>-1.518966000000006</v>
      </c>
      <c r="Q80" s="13"/>
      <c r="R80" s="3"/>
      <c r="S80">
        <v>0.16030872407603242</v>
      </c>
      <c r="T80" s="4">
        <v>0.37451464384657607</v>
      </c>
      <c r="U80">
        <f t="shared" si="11"/>
        <v>0.18460000000000001</v>
      </c>
      <c r="V80" s="3"/>
      <c r="W80" s="4">
        <v>4.2611299492285541E-3</v>
      </c>
      <c r="X80" s="4" t="e">
        <v>#VALUE!</v>
      </c>
      <c r="Y80" s="7">
        <v>0.185</v>
      </c>
      <c r="Z80" s="52">
        <v>0.18579999999999999</v>
      </c>
      <c r="AA80" s="52">
        <v>0.183</v>
      </c>
      <c r="AB80" s="1"/>
      <c r="AC80" s="1"/>
    </row>
    <row r="81" spans="1:29" x14ac:dyDescent="0.2">
      <c r="A81" s="18" t="s">
        <v>81</v>
      </c>
      <c r="B81">
        <v>48</v>
      </c>
      <c r="C81" t="s">
        <v>20</v>
      </c>
      <c r="D81" t="s">
        <v>14</v>
      </c>
      <c r="E81" t="s">
        <v>28</v>
      </c>
      <c r="F81" s="4">
        <f t="shared" si="7"/>
        <v>136.83941766743351</v>
      </c>
      <c r="G81">
        <f t="shared" si="8"/>
        <v>14.170398459293391</v>
      </c>
      <c r="H81">
        <f t="shared" si="9"/>
        <v>27.036128000000012</v>
      </c>
      <c r="I81">
        <f t="shared" si="10"/>
        <v>41.2065264592934</v>
      </c>
      <c r="J81" s="2"/>
      <c r="K81" s="4">
        <v>3.6648476415746013E-3</v>
      </c>
      <c r="L81" s="13" t="e">
        <v>#VALUE!</v>
      </c>
      <c r="M81" s="2"/>
      <c r="N81" s="13">
        <f t="shared" si="13"/>
        <v>-25.771667583927076</v>
      </c>
      <c r="O81" s="13">
        <f t="shared" si="14"/>
        <v>1.164283380842047</v>
      </c>
      <c r="P81" s="13">
        <f t="shared" si="15"/>
        <v>-1.0713480000000182</v>
      </c>
      <c r="Q81" s="13"/>
      <c r="R81" s="3"/>
      <c r="S81">
        <v>0.16391540274172203</v>
      </c>
      <c r="T81" s="4">
        <v>0.37077771257131753</v>
      </c>
      <c r="U81">
        <f t="shared" si="11"/>
        <v>0.1818666666666667</v>
      </c>
      <c r="V81" s="3"/>
      <c r="W81" s="4">
        <v>1.9685887009520666E-3</v>
      </c>
      <c r="X81" s="4" t="e">
        <v>#VALUE!</v>
      </c>
      <c r="Y81" s="7">
        <v>0.1837</v>
      </c>
      <c r="Z81" s="52">
        <v>0.18090000000000001</v>
      </c>
      <c r="AA81" s="52">
        <v>0.18099999999999999</v>
      </c>
      <c r="AB81" s="1"/>
      <c r="AC81" s="1"/>
    </row>
    <row r="82" spans="1:29" x14ac:dyDescent="0.2">
      <c r="A82" s="18" t="s">
        <v>82</v>
      </c>
      <c r="B82">
        <v>48</v>
      </c>
      <c r="C82" t="s">
        <v>20</v>
      </c>
      <c r="D82" t="s">
        <v>14</v>
      </c>
      <c r="E82" t="s">
        <v>28</v>
      </c>
      <c r="F82" s="4">
        <f t="shared" si="7"/>
        <v>135.87686810505619</v>
      </c>
      <c r="G82">
        <f t="shared" si="8"/>
        <v>14.280012139677346</v>
      </c>
      <c r="H82">
        <f t="shared" si="9"/>
        <v>27.168212</v>
      </c>
      <c r="I82">
        <f t="shared" si="10"/>
        <v>41.44822413967735</v>
      </c>
      <c r="J82" s="2"/>
      <c r="K82" s="4">
        <v>3.6648476415746013E-3</v>
      </c>
      <c r="L82" s="13" t="e">
        <v>#VALUE!</v>
      </c>
      <c r="M82" s="2"/>
      <c r="N82" s="13">
        <f t="shared" si="13"/>
        <v>-30.636245431924415</v>
      </c>
      <c r="O82" s="13">
        <f t="shared" si="14"/>
        <v>1.5457429941128069</v>
      </c>
      <c r="P82" s="13">
        <f t="shared" si="15"/>
        <v>-1.2914880000000046</v>
      </c>
      <c r="Q82" s="13"/>
      <c r="R82" s="3"/>
      <c r="S82">
        <v>0.16314857159036145</v>
      </c>
      <c r="T82" s="4">
        <v>0.37326463698333212</v>
      </c>
      <c r="U82">
        <f t="shared" si="11"/>
        <v>0.18246666666666667</v>
      </c>
      <c r="V82" s="3"/>
      <c r="W82" s="4">
        <v>1.6884593429774813E-3</v>
      </c>
      <c r="X82" s="4" t="e">
        <v>#VALUE!</v>
      </c>
      <c r="Y82" s="7">
        <v>0.1822</v>
      </c>
      <c r="Z82" s="52">
        <v>0.18279999999999999</v>
      </c>
      <c r="AA82" s="52">
        <v>0.18240000000000001</v>
      </c>
      <c r="AB82" s="1"/>
      <c r="AC82" s="1"/>
    </row>
    <row r="83" spans="1:29" x14ac:dyDescent="0.2">
      <c r="A83" s="18" t="s">
        <v>83</v>
      </c>
      <c r="B83">
        <v>48</v>
      </c>
      <c r="C83" t="s">
        <v>26</v>
      </c>
      <c r="D83" t="s">
        <v>14</v>
      </c>
      <c r="E83" t="s">
        <v>28</v>
      </c>
      <c r="F83" s="4">
        <f t="shared" si="7"/>
        <v>138.52835102433468</v>
      </c>
      <c r="G83">
        <f t="shared" si="8"/>
        <v>14.436921558766008</v>
      </c>
      <c r="H83">
        <f t="shared" si="9"/>
        <v>23.851436</v>
      </c>
      <c r="I83">
        <f t="shared" si="10"/>
        <v>38.288357558766009</v>
      </c>
      <c r="J83" s="2"/>
      <c r="K83" s="4">
        <v>3.6648476415746013E-3</v>
      </c>
      <c r="L83" s="13" t="e">
        <v>#VALUE!</v>
      </c>
      <c r="M83" s="2"/>
      <c r="N83" s="13">
        <f t="shared" si="13"/>
        <v>-28.401018124130822</v>
      </c>
      <c r="O83" s="13">
        <f t="shared" si="14"/>
        <v>-0.71671559064329493</v>
      </c>
      <c r="P83" s="13">
        <f t="shared" si="15"/>
        <v>2.2674419999999991</v>
      </c>
      <c r="Q83" s="13"/>
      <c r="R83" s="3"/>
      <c r="S83">
        <v>0.16526091964938663</v>
      </c>
      <c r="T83" s="4">
        <v>0.37682461109823956</v>
      </c>
      <c r="U83">
        <f t="shared" si="11"/>
        <v>0.16739999999999999</v>
      </c>
      <c r="V83" s="3"/>
      <c r="W83" s="4">
        <v>2.5131159472867098E-3</v>
      </c>
      <c r="X83" s="4" t="e">
        <v>#VALUE!</v>
      </c>
      <c r="Y83" s="7">
        <v>0.16819999999999999</v>
      </c>
      <c r="Z83" s="52">
        <v>0.16689999999999999</v>
      </c>
      <c r="AA83" s="52">
        <v>0.1671</v>
      </c>
      <c r="AB83" s="1"/>
      <c r="AC83" s="1"/>
    </row>
    <row r="84" spans="1:29" x14ac:dyDescent="0.2">
      <c r="A84" s="18" t="s">
        <v>84</v>
      </c>
      <c r="B84">
        <v>48</v>
      </c>
      <c r="C84" t="s">
        <v>26</v>
      </c>
      <c r="D84" t="s">
        <v>14</v>
      </c>
      <c r="E84" t="s">
        <v>28</v>
      </c>
      <c r="F84" s="4">
        <f t="shared" si="7"/>
        <v>139.02600672673563</v>
      </c>
      <c r="G84">
        <f t="shared" si="8"/>
        <v>14.139909906254605</v>
      </c>
      <c r="H84">
        <f t="shared" si="9"/>
        <v>24.203660000000006</v>
      </c>
      <c r="I84">
        <f t="shared" si="10"/>
        <v>38.343569906254615</v>
      </c>
      <c r="J84" s="2"/>
      <c r="K84" s="4">
        <v>3.6648476415746013E-3</v>
      </c>
      <c r="L84" s="13" t="e">
        <v>#VALUE!</v>
      </c>
      <c r="M84" s="2"/>
      <c r="N84" s="13">
        <f t="shared" si="13"/>
        <v>-24.585555699516057</v>
      </c>
      <c r="O84" s="13">
        <f t="shared" si="14"/>
        <v>1.1947719338808334</v>
      </c>
      <c r="P84" s="13">
        <f t="shared" si="15"/>
        <v>1.7611199999999876</v>
      </c>
      <c r="Q84" s="13"/>
      <c r="R84" s="3"/>
      <c r="S84">
        <v>0.16565738535896607</v>
      </c>
      <c r="T84" s="4">
        <v>0.37008598571228341</v>
      </c>
      <c r="U84">
        <f t="shared" si="11"/>
        <v>0.16900000000000001</v>
      </c>
      <c r="V84" s="3"/>
      <c r="W84" s="4">
        <v>2.3048223819641354E-3</v>
      </c>
      <c r="X84" s="4" t="e">
        <v>#VALUE!</v>
      </c>
      <c r="Y84" s="7">
        <v>0.17130000000000001</v>
      </c>
      <c r="Z84" s="52">
        <v>0.16850000000000001</v>
      </c>
      <c r="AA84" s="52">
        <v>0.16719999999999999</v>
      </c>
      <c r="AB84" s="1"/>
      <c r="AC84" s="1"/>
    </row>
    <row r="85" spans="1:29" x14ac:dyDescent="0.2">
      <c r="A85" s="18" t="s">
        <v>85</v>
      </c>
      <c r="B85">
        <v>48</v>
      </c>
      <c r="C85" t="s">
        <v>26</v>
      </c>
      <c r="D85" t="s">
        <v>14</v>
      </c>
      <c r="E85" t="s">
        <v>28</v>
      </c>
      <c r="F85" s="4">
        <f t="shared" si="7"/>
        <v>139.56192236808815</v>
      </c>
      <c r="G85">
        <f t="shared" si="8"/>
        <v>14.310792718507832</v>
      </c>
      <c r="H85">
        <f t="shared" si="9"/>
        <v>27.366337999999999</v>
      </c>
      <c r="I85">
        <f t="shared" si="10"/>
        <v>41.677130718507833</v>
      </c>
      <c r="J85" s="2"/>
      <c r="K85" s="4">
        <v>3.6648476415746013E-3</v>
      </c>
      <c r="L85" s="13" t="e">
        <v>#VALUE!</v>
      </c>
      <c r="M85" s="2"/>
      <c r="N85" s="13">
        <f t="shared" si="13"/>
        <v>-28.755062835977625</v>
      </c>
      <c r="O85" s="13">
        <f t="shared" si="14"/>
        <v>1.5149624152823211</v>
      </c>
      <c r="P85" s="13">
        <f t="shared" si="15"/>
        <v>-1.4896140000000031</v>
      </c>
      <c r="Q85" s="13"/>
      <c r="R85" s="3"/>
      <c r="S85">
        <v>0.16608433148657689</v>
      </c>
      <c r="T85" s="4">
        <v>0.37396298934812217</v>
      </c>
      <c r="U85">
        <f t="shared" si="11"/>
        <v>0.18336666666666665</v>
      </c>
      <c r="V85" s="3"/>
      <c r="W85" s="4">
        <v>2.292474924743537E-3</v>
      </c>
      <c r="X85" s="4" t="e">
        <v>#VALUE!</v>
      </c>
      <c r="Y85" s="7">
        <v>0.184</v>
      </c>
      <c r="Z85" s="52">
        <v>0.18329999999999999</v>
      </c>
      <c r="AA85" s="52">
        <v>0.18279999999999999</v>
      </c>
      <c r="AB85" s="1"/>
      <c r="AC85" s="1"/>
    </row>
    <row r="86" spans="1:29" x14ac:dyDescent="0.2">
      <c r="A86" s="18" t="s">
        <v>86</v>
      </c>
      <c r="B86">
        <v>48</v>
      </c>
      <c r="C86" t="s">
        <v>19</v>
      </c>
      <c r="D86" t="s">
        <v>15</v>
      </c>
      <c r="E86" t="s">
        <v>28</v>
      </c>
      <c r="F86" s="4">
        <f t="shared" si="7"/>
        <v>151.00114352984792</v>
      </c>
      <c r="G86">
        <f t="shared" si="8"/>
        <v>14.28149360669037</v>
      </c>
      <c r="H86">
        <f t="shared" si="9"/>
        <v>26.529805999999994</v>
      </c>
      <c r="I86">
        <f t="shared" si="10"/>
        <v>40.811299606690362</v>
      </c>
      <c r="J86" s="2"/>
      <c r="K86" s="4">
        <v>3.6648476415746013E-3</v>
      </c>
      <c r="L86" s="13" t="e">
        <v>#VALUE!</v>
      </c>
      <c r="M86" s="2"/>
      <c r="N86" s="13">
        <f t="shared" si="13"/>
        <v>-21.954400966413822</v>
      </c>
      <c r="O86" s="13">
        <f t="shared" si="14"/>
        <v>-0.56128763856765751</v>
      </c>
      <c r="P86" s="13">
        <f t="shared" si="15"/>
        <v>-0.41092799999999485</v>
      </c>
      <c r="Q86" s="13"/>
      <c r="R86" s="3"/>
      <c r="S86">
        <v>0.17519757767877886</v>
      </c>
      <c r="T86" s="4">
        <v>0.37329824863169003</v>
      </c>
      <c r="U86">
        <f t="shared" si="11"/>
        <v>0.17956666666666665</v>
      </c>
      <c r="V86" s="3"/>
      <c r="W86" s="4">
        <v>2.2306630977864134E-3</v>
      </c>
      <c r="X86" s="4" t="e">
        <v>#VALUE!</v>
      </c>
      <c r="Y86" s="7">
        <v>0.1807</v>
      </c>
      <c r="Z86" s="52">
        <v>0.18010000000000001</v>
      </c>
      <c r="AA86" s="52">
        <v>0.1779</v>
      </c>
      <c r="AB86" s="1"/>
      <c r="AC86" s="1"/>
    </row>
    <row r="87" spans="1:29" x14ac:dyDescent="0.2">
      <c r="A87" s="18" t="s">
        <v>75</v>
      </c>
      <c r="B87">
        <v>48</v>
      </c>
      <c r="C87" t="s">
        <v>19</v>
      </c>
      <c r="D87" t="s">
        <v>15</v>
      </c>
      <c r="E87" t="s">
        <v>28</v>
      </c>
      <c r="F87" s="4">
        <f t="shared" si="7"/>
        <v>151.90466040813496</v>
      </c>
      <c r="G87">
        <f t="shared" si="8"/>
        <v>13.996407987688517</v>
      </c>
      <c r="H87">
        <f t="shared" si="9"/>
        <v>27.469070000000002</v>
      </c>
      <c r="I87">
        <f t="shared" si="10"/>
        <v>41.465477987688516</v>
      </c>
      <c r="J87" s="2"/>
      <c r="K87" s="4">
        <v>3.6648476415746013E-3</v>
      </c>
      <c r="L87" s="13" t="e">
        <v>#VALUE!</v>
      </c>
      <c r="M87" s="2"/>
      <c r="N87" s="13">
        <f t="shared" si="13"/>
        <v>-17.599549745751315</v>
      </c>
      <c r="O87" s="13">
        <f t="shared" si="14"/>
        <v>1.3382738524469211</v>
      </c>
      <c r="P87" s="13">
        <f t="shared" si="15"/>
        <v>-1.5042900000000081</v>
      </c>
      <c r="Q87" s="13"/>
      <c r="R87" s="3"/>
      <c r="S87">
        <v>0.17591737945848085</v>
      </c>
      <c r="T87" s="4">
        <v>0.36683020209838724</v>
      </c>
      <c r="U87">
        <f t="shared" si="11"/>
        <v>0.18383333333333332</v>
      </c>
      <c r="V87" s="3"/>
      <c r="W87" s="4">
        <v>2.342577170738493E-3</v>
      </c>
      <c r="X87" s="4" t="e">
        <v>#VALUE!</v>
      </c>
      <c r="Y87" s="7">
        <v>0.1842</v>
      </c>
      <c r="Z87" s="52">
        <v>0.1837</v>
      </c>
      <c r="AA87" s="52">
        <v>0.18360000000000001</v>
      </c>
      <c r="AB87" s="1"/>
      <c r="AC87" s="1"/>
    </row>
    <row r="88" spans="1:29" x14ac:dyDescent="0.2">
      <c r="A88" s="18" t="s">
        <v>76</v>
      </c>
      <c r="B88">
        <v>48</v>
      </c>
      <c r="C88" t="s">
        <v>19</v>
      </c>
      <c r="D88" t="s">
        <v>15</v>
      </c>
      <c r="E88" t="s">
        <v>28</v>
      </c>
      <c r="F88" s="4">
        <f t="shared" si="7"/>
        <v>159.23659331192613</v>
      </c>
      <c r="G88">
        <f t="shared" si="8"/>
        <v>14.36612304585794</v>
      </c>
      <c r="H88">
        <f t="shared" si="9"/>
        <v>27.153536000000003</v>
      </c>
      <c r="I88">
        <f t="shared" si="10"/>
        <v>41.519659045857942</v>
      </c>
      <c r="J88" s="2"/>
      <c r="K88" s="4">
        <v>3.6648476415746013E-3</v>
      </c>
      <c r="L88" s="13" t="e">
        <v>#VALUE!</v>
      </c>
      <c r="M88" s="2"/>
      <c r="N88" s="13">
        <f t="shared" si="13"/>
        <v>-18.711344095707048</v>
      </c>
      <c r="O88" s="13">
        <f t="shared" si="14"/>
        <v>1.4596320879322136</v>
      </c>
      <c r="P88" s="13">
        <f t="shared" si="15"/>
        <v>-1.2768120000000067</v>
      </c>
      <c r="Q88" s="13"/>
      <c r="R88" s="3"/>
      <c r="S88">
        <v>0.18175848600516784</v>
      </c>
      <c r="T88" s="4">
        <v>0.3752183284748602</v>
      </c>
      <c r="U88">
        <f t="shared" si="11"/>
        <v>0.18240000000000001</v>
      </c>
      <c r="V88" s="3"/>
      <c r="W88" s="4">
        <v>3.0528155940000683E-3</v>
      </c>
      <c r="X88" s="4" t="e">
        <v>#VALUE!</v>
      </c>
      <c r="Y88" s="7">
        <v>0.1852</v>
      </c>
      <c r="Z88" s="52">
        <v>0.18140000000000001</v>
      </c>
      <c r="AA88" s="52">
        <v>0.18060000000000001</v>
      </c>
      <c r="AB88" s="1"/>
      <c r="AC88" s="1"/>
    </row>
    <row r="89" spans="1:29" x14ac:dyDescent="0.2">
      <c r="A89" s="18" t="s">
        <v>77</v>
      </c>
      <c r="B89">
        <v>48</v>
      </c>
      <c r="C89" t="s">
        <v>21</v>
      </c>
      <c r="D89" t="s">
        <v>15</v>
      </c>
      <c r="E89" t="s">
        <v>28</v>
      </c>
      <c r="F89" s="4">
        <f t="shared" si="7"/>
        <v>144.17025928922868</v>
      </c>
      <c r="G89">
        <f t="shared" si="8"/>
        <v>14.144179701901017</v>
      </c>
      <c r="H89">
        <f t="shared" si="9"/>
        <v>25.641907999999994</v>
      </c>
      <c r="I89">
        <f t="shared" si="10"/>
        <v>39.78608770190101</v>
      </c>
      <c r="J89" s="2"/>
      <c r="K89" s="4">
        <v>3.6648476415746013E-3</v>
      </c>
      <c r="L89" s="13" t="e">
        <v>#VALUE!</v>
      </c>
      <c r="M89" s="2"/>
      <c r="N89" s="13">
        <f t="shared" si="13"/>
        <v>-25.48497325233053</v>
      </c>
      <c r="O89" s="13">
        <f t="shared" si="14"/>
        <v>-0.42397373377830405</v>
      </c>
      <c r="P89" s="13">
        <f t="shared" si="15"/>
        <v>0.476970000000005</v>
      </c>
      <c r="Q89" s="13"/>
      <c r="R89" s="3"/>
      <c r="S89">
        <v>0.16975563990041886</v>
      </c>
      <c r="T89" s="4">
        <v>0.37018285919550364</v>
      </c>
      <c r="U89">
        <f t="shared" si="11"/>
        <v>0.17553333333333332</v>
      </c>
      <c r="V89" s="3"/>
      <c r="W89" s="4">
        <v>2.0410634423103521E-3</v>
      </c>
      <c r="X89" s="4" t="e">
        <v>#VALUE!</v>
      </c>
      <c r="Y89" s="7">
        <v>0.17610000000000001</v>
      </c>
      <c r="Z89" s="52">
        <v>0.17599999999999999</v>
      </c>
      <c r="AA89" s="52">
        <v>0.17449999999999999</v>
      </c>
      <c r="AB89" s="1"/>
      <c r="AC89" s="1"/>
    </row>
    <row r="90" spans="1:29" x14ac:dyDescent="0.2">
      <c r="A90" s="18" t="s">
        <v>78</v>
      </c>
      <c r="B90">
        <v>48</v>
      </c>
      <c r="C90" t="s">
        <v>21</v>
      </c>
      <c r="D90" t="s">
        <v>15</v>
      </c>
      <c r="E90" t="s">
        <v>28</v>
      </c>
      <c r="F90" s="4">
        <f t="shared" si="7"/>
        <v>149.34725325629802</v>
      </c>
      <c r="G90">
        <f t="shared" si="8"/>
        <v>14.296381108887452</v>
      </c>
      <c r="H90">
        <f t="shared" si="9"/>
        <v>25.465795999999994</v>
      </c>
      <c r="I90">
        <f t="shared" si="10"/>
        <v>39.762177108887443</v>
      </c>
      <c r="J90" s="2"/>
      <c r="K90" s="4">
        <v>3.6648476415746013E-3</v>
      </c>
      <c r="L90" s="13" t="e">
        <v>#VALUE!</v>
      </c>
      <c r="M90" s="2"/>
      <c r="N90" s="13">
        <f t="shared" si="13"/>
        <v>-18.986811336202916</v>
      </c>
      <c r="O90" s="13">
        <f t="shared" si="14"/>
        <v>1.0383007312479862</v>
      </c>
      <c r="P90" s="13">
        <f t="shared" si="15"/>
        <v>0.49898400000000009</v>
      </c>
      <c r="Q90" s="13"/>
      <c r="R90" s="3"/>
      <c r="S90">
        <v>0.17387997842751743</v>
      </c>
      <c r="T90" s="4">
        <v>0.3736360175353356</v>
      </c>
      <c r="U90">
        <f t="shared" si="11"/>
        <v>0.17473333333333332</v>
      </c>
      <c r="V90" s="3"/>
      <c r="W90" s="4">
        <v>2.4346605094462911E-3</v>
      </c>
      <c r="X90" s="4" t="e">
        <v>#VALUE!</v>
      </c>
      <c r="Y90" s="7">
        <v>0.1754</v>
      </c>
      <c r="Z90" s="52">
        <v>0.17530000000000001</v>
      </c>
      <c r="AA90" s="52">
        <v>0.17349999999999999</v>
      </c>
      <c r="AB90" s="1"/>
      <c r="AC90" s="1"/>
    </row>
    <row r="91" spans="1:29" x14ac:dyDescent="0.2">
      <c r="A91" s="18" t="s">
        <v>79</v>
      </c>
      <c r="B91">
        <v>48</v>
      </c>
      <c r="C91" t="s">
        <v>21</v>
      </c>
      <c r="D91" t="s">
        <v>15</v>
      </c>
      <c r="E91" t="s">
        <v>28</v>
      </c>
      <c r="F91" s="4">
        <f t="shared" si="7"/>
        <v>150.26866777009482</v>
      </c>
      <c r="G91">
        <f t="shared" si="8"/>
        <v>14.237470573129944</v>
      </c>
      <c r="H91">
        <f t="shared" si="9"/>
        <v>24.467828000000004</v>
      </c>
      <c r="I91">
        <f t="shared" si="10"/>
        <v>38.705298573129951</v>
      </c>
      <c r="J91" s="2"/>
      <c r="K91" s="4">
        <v>3.6648476415746013E-3</v>
      </c>
      <c r="L91" s="13" t="e">
        <v>#VALUE!</v>
      </c>
      <c r="M91" s="2"/>
      <c r="N91" s="13">
        <f t="shared" si="13"/>
        <v>-23.289378568708095</v>
      </c>
      <c r="O91" s="13">
        <f t="shared" si="14"/>
        <v>1.5882845606602096</v>
      </c>
      <c r="P91" s="13">
        <f t="shared" si="15"/>
        <v>1.4088959999999915</v>
      </c>
      <c r="Q91" s="13"/>
      <c r="R91" s="3"/>
      <c r="S91">
        <v>0.17461403865684222</v>
      </c>
      <c r="T91" s="4">
        <v>0.3722994503387318</v>
      </c>
      <c r="U91">
        <f t="shared" si="11"/>
        <v>0.17020000000000002</v>
      </c>
      <c r="V91" s="3"/>
      <c r="W91" s="4">
        <v>2.2983128487110822E-3</v>
      </c>
      <c r="X91" s="4" t="e">
        <v>#VALUE!</v>
      </c>
      <c r="Y91" s="7">
        <v>0.17030000000000001</v>
      </c>
      <c r="Z91" s="52">
        <v>0.17100000000000001</v>
      </c>
      <c r="AA91" s="52">
        <v>0.16930000000000001</v>
      </c>
      <c r="AB91" s="1"/>
      <c r="AC91" s="1"/>
    </row>
    <row r="92" spans="1:29" x14ac:dyDescent="0.2">
      <c r="A92" s="18" t="s">
        <v>80</v>
      </c>
      <c r="B92">
        <v>48</v>
      </c>
      <c r="C92" t="s">
        <v>20</v>
      </c>
      <c r="D92" t="s">
        <v>15</v>
      </c>
      <c r="E92" t="s">
        <v>28</v>
      </c>
      <c r="F92" s="4">
        <f t="shared" si="7"/>
        <v>148.2458170961518</v>
      </c>
      <c r="G92">
        <f t="shared" si="8"/>
        <v>14.199691692402766</v>
      </c>
      <c r="H92">
        <f t="shared" si="9"/>
        <v>28.988036000000001</v>
      </c>
      <c r="I92">
        <f t="shared" si="10"/>
        <v>43.187727692402767</v>
      </c>
      <c r="J92" s="2"/>
      <c r="K92" s="4">
        <v>3.6648476415746013E-3</v>
      </c>
      <c r="L92" s="13" t="e">
        <v>#VALUE!</v>
      </c>
      <c r="M92" s="2"/>
      <c r="N92" s="13">
        <f t="shared" si="13"/>
        <v>-23.378503440236358</v>
      </c>
      <c r="O92" s="13">
        <f t="shared" si="14"/>
        <v>-0.4794857242800532</v>
      </c>
      <c r="P92" s="13">
        <f t="shared" si="15"/>
        <v>-2.8691580000000023</v>
      </c>
      <c r="Q92" s="13"/>
      <c r="R92" s="3"/>
      <c r="S92">
        <v>0.17300250095326761</v>
      </c>
      <c r="T92" s="4">
        <v>0.37144231991112547</v>
      </c>
      <c r="U92">
        <f t="shared" si="11"/>
        <v>0.19073333333333334</v>
      </c>
      <c r="V92" s="3"/>
      <c r="W92" s="4">
        <v>2.6118700825046135E-3</v>
      </c>
      <c r="X92" s="4" t="e">
        <v>#VALUE!</v>
      </c>
      <c r="Y92" s="7">
        <v>0.19209999999999999</v>
      </c>
      <c r="Z92" s="52">
        <v>0.19059999999999999</v>
      </c>
      <c r="AA92" s="52">
        <v>0.1895</v>
      </c>
      <c r="AB92" s="1"/>
      <c r="AC92" s="1"/>
    </row>
    <row r="93" spans="1:29" x14ac:dyDescent="0.2">
      <c r="A93" s="18" t="s">
        <v>81</v>
      </c>
      <c r="B93">
        <v>48</v>
      </c>
      <c r="C93" t="s">
        <v>20</v>
      </c>
      <c r="D93" t="s">
        <v>15</v>
      </c>
      <c r="E93" t="s">
        <v>28</v>
      </c>
      <c r="F93" s="4">
        <f t="shared" si="7"/>
        <v>149.28727451232581</v>
      </c>
      <c r="G93">
        <f t="shared" si="8"/>
        <v>14.029471924920202</v>
      </c>
      <c r="H93">
        <f t="shared" si="9"/>
        <v>25.847371999999993</v>
      </c>
      <c r="I93">
        <f t="shared" si="10"/>
        <v>39.876843924920195</v>
      </c>
      <c r="J93" s="2"/>
      <c r="K93" s="4">
        <v>3.6648476415746013E-3</v>
      </c>
      <c r="L93" s="13" t="e">
        <v>#VALUE!</v>
      </c>
      <c r="M93" s="2"/>
      <c r="N93" s="13">
        <f t="shared" si="13"/>
        <v>-19.019346713957063</v>
      </c>
      <c r="O93" s="13">
        <f t="shared" si="14"/>
        <v>1.3052099152152365</v>
      </c>
      <c r="P93" s="13">
        <f t="shared" si="15"/>
        <v>0.11740800000000107</v>
      </c>
      <c r="Q93" s="13"/>
      <c r="R93" s="3"/>
      <c r="S93">
        <v>0.17383219536148622</v>
      </c>
      <c r="T93" s="4">
        <v>0.36758035949088397</v>
      </c>
      <c r="U93">
        <f t="shared" si="11"/>
        <v>0.17646666666666666</v>
      </c>
      <c r="V93" s="3"/>
      <c r="W93" s="4">
        <v>2.1385138182131191E-3</v>
      </c>
      <c r="X93" s="4" t="e">
        <v>#VALUE!</v>
      </c>
      <c r="Y93" s="7">
        <v>0.18010000000000001</v>
      </c>
      <c r="Z93" s="52">
        <v>0.1741</v>
      </c>
      <c r="AA93" s="52">
        <v>0.17519999999999999</v>
      </c>
      <c r="AB93" s="1"/>
      <c r="AC93" s="1"/>
    </row>
    <row r="94" spans="1:29" x14ac:dyDescent="0.2">
      <c r="A94" s="18" t="s">
        <v>82</v>
      </c>
      <c r="B94">
        <v>48</v>
      </c>
      <c r="C94" t="s">
        <v>20</v>
      </c>
      <c r="D94" t="s">
        <v>15</v>
      </c>
      <c r="E94" t="s">
        <v>28</v>
      </c>
      <c r="F94" s="4">
        <f t="shared" si="7"/>
        <v>151.8233344264211</v>
      </c>
      <c r="G94">
        <f t="shared" si="8"/>
        <v>14.202289108210596</v>
      </c>
      <c r="H94">
        <f t="shared" si="9"/>
        <v>29.567737999999999</v>
      </c>
      <c r="I94">
        <f t="shared" si="10"/>
        <v>43.770027108210598</v>
      </c>
      <c r="J94" s="2"/>
      <c r="K94" s="4">
        <v>3.6648476415746013E-3</v>
      </c>
      <c r="L94" s="13" t="e">
        <v>#VALUE!</v>
      </c>
      <c r="M94" s="2"/>
      <c r="N94" s="13">
        <f t="shared" si="13"/>
        <v>-22.495737105753488</v>
      </c>
      <c r="O94" s="13">
        <f t="shared" si="14"/>
        <v>1.6234660255795568</v>
      </c>
      <c r="P94" s="13">
        <f t="shared" si="15"/>
        <v>-3.6910140000000027</v>
      </c>
      <c r="Q94" s="13"/>
      <c r="R94" s="3"/>
      <c r="S94">
        <v>0.17585258975971549</v>
      </c>
      <c r="T94" s="4">
        <v>0.37150125029972308</v>
      </c>
      <c r="U94">
        <f t="shared" si="11"/>
        <v>0.19336666666666666</v>
      </c>
      <c r="V94" s="3"/>
      <c r="W94" s="4">
        <v>2.2000929285793678E-3</v>
      </c>
      <c r="X94" s="4" t="e">
        <v>#VALUE!</v>
      </c>
      <c r="Y94" s="7">
        <v>0.19420000000000001</v>
      </c>
      <c r="Z94" s="52">
        <v>0.19309999999999999</v>
      </c>
      <c r="AA94" s="52">
        <v>0.1928</v>
      </c>
      <c r="AB94" s="1"/>
      <c r="AC94" s="1"/>
    </row>
    <row r="95" spans="1:29" x14ac:dyDescent="0.2">
      <c r="A95" s="18" t="s">
        <v>83</v>
      </c>
      <c r="B95">
        <v>48</v>
      </c>
      <c r="C95" t="s">
        <v>26</v>
      </c>
      <c r="D95" t="s">
        <v>15</v>
      </c>
      <c r="E95" t="s">
        <v>28</v>
      </c>
      <c r="F95" s="4">
        <f t="shared" si="7"/>
        <v>146.47882640996872</v>
      </c>
      <c r="G95">
        <f t="shared" si="8"/>
        <v>14.272337116160095</v>
      </c>
      <c r="H95">
        <f t="shared" si="9"/>
        <v>23.946830000000006</v>
      </c>
      <c r="I95">
        <f t="shared" si="10"/>
        <v>38.219167116160101</v>
      </c>
      <c r="J95" s="2"/>
      <c r="K95" s="4">
        <v>3.6648476415746013E-3</v>
      </c>
      <c r="L95" s="13" t="e">
        <v>#VALUE!</v>
      </c>
      <c r="M95" s="2"/>
      <c r="N95" s="13">
        <f t="shared" si="13"/>
        <v>-24.29178027620063</v>
      </c>
      <c r="O95" s="13">
        <f t="shared" si="14"/>
        <v>-0.5521311480373825</v>
      </c>
      <c r="P95" s="13">
        <f t="shared" si="15"/>
        <v>2.1720479999999931</v>
      </c>
      <c r="Q95" s="13"/>
      <c r="R95" s="3"/>
      <c r="S95">
        <v>0.1715947983732751</v>
      </c>
      <c r="T95" s="4">
        <v>0.37309050540339628</v>
      </c>
      <c r="U95">
        <f t="shared" si="11"/>
        <v>0.16783333333333336</v>
      </c>
      <c r="V95" s="3"/>
      <c r="W95" s="4">
        <v>2.863963769686337E-3</v>
      </c>
      <c r="X95" s="4" t="e">
        <v>#VALUE!</v>
      </c>
      <c r="Y95" s="7">
        <v>0.1676</v>
      </c>
      <c r="Z95" s="52">
        <v>0.1676</v>
      </c>
      <c r="AA95" s="52">
        <v>0.16830000000000001</v>
      </c>
      <c r="AB95" s="1"/>
      <c r="AC95" s="1"/>
    </row>
    <row r="96" spans="1:29" x14ac:dyDescent="0.2">
      <c r="A96" s="18" t="s">
        <v>84</v>
      </c>
      <c r="B96">
        <v>48</v>
      </c>
      <c r="C96" t="s">
        <v>26</v>
      </c>
      <c r="D96" t="s">
        <v>15</v>
      </c>
      <c r="E96" t="s">
        <v>28</v>
      </c>
      <c r="F96" s="4">
        <f t="shared" si="7"/>
        <v>153.91239531902579</v>
      </c>
      <c r="G96">
        <f t="shared" si="8"/>
        <v>14.125366945167634</v>
      </c>
      <c r="H96">
        <f t="shared" si="9"/>
        <v>25.884061999999997</v>
      </c>
      <c r="I96">
        <f t="shared" si="10"/>
        <v>40.009428945167627</v>
      </c>
      <c r="J96" s="2"/>
      <c r="K96" s="4">
        <v>3.6648476415746013E-3</v>
      </c>
      <c r="L96" s="13" t="e">
        <v>#VALUE!</v>
      </c>
      <c r="M96" s="2"/>
      <c r="N96" s="13">
        <f t="shared" si="13"/>
        <v>-16.510457020063495</v>
      </c>
      <c r="O96" s="13">
        <f t="shared" si="14"/>
        <v>1.2093148949678039</v>
      </c>
      <c r="P96" s="13">
        <f t="shared" si="15"/>
        <v>8.0717999999997403E-2</v>
      </c>
      <c r="Q96" s="13"/>
      <c r="R96" s="3"/>
      <c r="S96">
        <v>0.17751687493749055</v>
      </c>
      <c r="T96" s="4">
        <v>0.36975603378636068</v>
      </c>
      <c r="U96">
        <f t="shared" si="11"/>
        <v>0.17663333333333334</v>
      </c>
      <c r="V96" s="3"/>
      <c r="W96" s="4">
        <v>2.2774453777141008E-3</v>
      </c>
      <c r="X96" s="4" t="e">
        <v>#VALUE!</v>
      </c>
      <c r="Y96" s="7">
        <v>0.17760000000000001</v>
      </c>
      <c r="Z96" s="52">
        <v>0.17599999999999999</v>
      </c>
      <c r="AA96" s="52">
        <v>0.17630000000000001</v>
      </c>
      <c r="AB96" s="1"/>
      <c r="AC96" s="1"/>
    </row>
    <row r="97" spans="1:29" x14ac:dyDescent="0.2">
      <c r="A97" s="18" t="s">
        <v>85</v>
      </c>
      <c r="B97">
        <v>48</v>
      </c>
      <c r="C97" t="s">
        <v>26</v>
      </c>
      <c r="D97" t="s">
        <v>15</v>
      </c>
      <c r="E97" t="s">
        <v>28</v>
      </c>
      <c r="F97" s="4">
        <f t="shared" si="7"/>
        <v>154.43324422616212</v>
      </c>
      <c r="G97">
        <f t="shared" si="8"/>
        <v>14.048322277901899</v>
      </c>
      <c r="H97">
        <f t="shared" si="9"/>
        <v>25.700611999999996</v>
      </c>
      <c r="I97">
        <f t="shared" si="10"/>
        <v>39.748934277901895</v>
      </c>
      <c r="J97" s="2"/>
      <c r="K97" s="4">
        <v>3.6648476415746013E-3</v>
      </c>
      <c r="L97" s="13" t="e">
        <v>#VALUE!</v>
      </c>
      <c r="M97" s="2"/>
      <c r="N97" s="13">
        <f t="shared" si="13"/>
        <v>-21.163404786656457</v>
      </c>
      <c r="O97" s="13">
        <f t="shared" si="14"/>
        <v>1.7774328558882537</v>
      </c>
      <c r="P97" s="13">
        <f t="shared" si="15"/>
        <v>0.17611199999999982</v>
      </c>
      <c r="Q97" s="13"/>
      <c r="R97" s="3"/>
      <c r="S97">
        <v>0.17793181790017581</v>
      </c>
      <c r="T97" s="4">
        <v>0.36800803788687492</v>
      </c>
      <c r="U97">
        <f t="shared" si="11"/>
        <v>0.17579999999999998</v>
      </c>
      <c r="V97" s="3"/>
      <c r="W97" s="4">
        <v>2.5288347041514678E-3</v>
      </c>
      <c r="X97" s="4" t="e">
        <v>#VALUE!</v>
      </c>
      <c r="Y97" s="7">
        <v>0.1754</v>
      </c>
      <c r="Z97" s="52">
        <v>0.17549999999999999</v>
      </c>
      <c r="AA97" s="52">
        <v>0.17649999999999999</v>
      </c>
      <c r="AB97" s="1"/>
      <c r="AC97" s="1"/>
    </row>
    <row r="98" spans="1:29" x14ac:dyDescent="0.2">
      <c r="A98" s="19" t="s">
        <v>87</v>
      </c>
      <c r="B98">
        <v>48</v>
      </c>
      <c r="C98" t="s">
        <v>19</v>
      </c>
      <c r="D98" t="s">
        <v>14</v>
      </c>
      <c r="E98" t="s">
        <v>42</v>
      </c>
      <c r="F98" s="4">
        <f t="shared" si="7"/>
        <v>171.8911636760846</v>
      </c>
      <c r="G98">
        <f t="shared" si="8"/>
        <v>14.727501427732928</v>
      </c>
      <c r="H98">
        <f t="shared" si="9"/>
        <v>32.062657999999999</v>
      </c>
      <c r="I98">
        <f t="shared" si="10"/>
        <v>46.790159427732931</v>
      </c>
      <c r="J98" s="2"/>
      <c r="K98" s="4">
        <f>(W98*0.0602-0.0038)*30</f>
        <v>0.40948707699016385</v>
      </c>
      <c r="L98" s="13" t="e">
        <v>#VALUE!</v>
      </c>
      <c r="M98" s="2"/>
      <c r="N98" s="13">
        <f t="shared" si="13"/>
        <v>-11.157303023811457</v>
      </c>
      <c r="O98" s="13">
        <f t="shared" si="14"/>
        <v>-1.0072954596102157</v>
      </c>
      <c r="P98" s="13">
        <f t="shared" si="15"/>
        <v>-5.9437800000000003</v>
      </c>
      <c r="Q98" s="13"/>
      <c r="R98" s="3"/>
      <c r="S98">
        <v>0.19183996039528073</v>
      </c>
      <c r="T98" s="4">
        <v>0.38341731163746551</v>
      </c>
      <c r="U98">
        <f t="shared" si="11"/>
        <v>0.20469999999999999</v>
      </c>
      <c r="V98" s="3"/>
      <c r="W98" s="15">
        <v>0.28985995403663556</v>
      </c>
      <c r="X98" s="4" t="e">
        <v>#VALUE!</v>
      </c>
      <c r="Y98" s="7">
        <v>0.20680000000000001</v>
      </c>
      <c r="Z98" s="52">
        <v>0.2034</v>
      </c>
      <c r="AA98" s="52">
        <v>0.2039</v>
      </c>
      <c r="AB98" s="1"/>
      <c r="AC98" s="1"/>
    </row>
    <row r="99" spans="1:29" x14ac:dyDescent="0.2">
      <c r="A99" s="19" t="s">
        <v>88</v>
      </c>
      <c r="B99">
        <v>48</v>
      </c>
      <c r="C99" t="s">
        <v>19</v>
      </c>
      <c r="D99" t="s">
        <v>14</v>
      </c>
      <c r="E99" t="s">
        <v>42</v>
      </c>
      <c r="F99" s="4">
        <f t="shared" si="7"/>
        <v>174.46689025688752</v>
      </c>
      <c r="G99">
        <f t="shared" si="8"/>
        <v>14.398465559595632</v>
      </c>
      <c r="H99">
        <f t="shared" si="9"/>
        <v>23.734028000000002</v>
      </c>
      <c r="I99">
        <f t="shared" si="10"/>
        <v>38.13249355959563</v>
      </c>
      <c r="J99" s="2"/>
      <c r="K99" s="4">
        <f t="shared" ref="K99:K162" si="16">(W99*0.0602-0.0038)*30</f>
        <v>0.455601883489967</v>
      </c>
      <c r="L99" s="13" t="e">
        <v>#VALUE!</v>
      </c>
      <c r="M99" s="2"/>
      <c r="N99" s="13">
        <f t="shared" si="13"/>
        <v>-5.3607027394648759</v>
      </c>
      <c r="O99" s="13">
        <f t="shared" si="14"/>
        <v>0.93621628053980643</v>
      </c>
      <c r="P99" s="13">
        <f t="shared" si="15"/>
        <v>2.2307519999999919</v>
      </c>
      <c r="Q99" s="13"/>
      <c r="R99" s="3"/>
      <c r="S99">
        <v>0.19389195590465372</v>
      </c>
      <c r="T99" s="4">
        <v>0.37595211815036822</v>
      </c>
      <c r="U99">
        <f t="shared" si="11"/>
        <v>0.16686666666666669</v>
      </c>
      <c r="V99" s="3"/>
      <c r="W99" s="15">
        <v>0.31539417690474364</v>
      </c>
      <c r="X99" s="4" t="e">
        <v>#VALUE!</v>
      </c>
      <c r="Y99" s="7">
        <v>0.16589999999999999</v>
      </c>
      <c r="Z99" s="52">
        <v>0.16669999999999999</v>
      </c>
      <c r="AA99" s="52">
        <v>0.16800000000000001</v>
      </c>
      <c r="AB99" s="1"/>
      <c r="AC99" s="1"/>
    </row>
    <row r="100" spans="1:29" x14ac:dyDescent="0.2">
      <c r="A100" s="19" t="s">
        <v>89</v>
      </c>
      <c r="B100">
        <v>48</v>
      </c>
      <c r="C100" t="s">
        <v>19</v>
      </c>
      <c r="D100" t="s">
        <v>14</v>
      </c>
      <c r="E100" t="s">
        <v>42</v>
      </c>
      <c r="F100" s="4">
        <f t="shared" si="7"/>
        <v>173.1441721311441</v>
      </c>
      <c r="G100">
        <f t="shared" si="8"/>
        <v>14.450265880017193</v>
      </c>
      <c r="H100">
        <f t="shared" si="9"/>
        <v>25.179614000000001</v>
      </c>
      <c r="I100">
        <f t="shared" si="10"/>
        <v>39.629879880017192</v>
      </c>
      <c r="J100" s="2"/>
      <c r="K100" s="4">
        <f t="shared" si="16"/>
        <v>0.44702162792151151</v>
      </c>
      <c r="L100" s="13" t="e">
        <v>#VALUE!</v>
      </c>
      <c r="M100" s="2"/>
      <c r="N100" s="13">
        <f t="shared" si="13"/>
        <v>-11.611667032893557</v>
      </c>
      <c r="O100" s="13">
        <f t="shared" si="14"/>
        <v>1.3754892537729599</v>
      </c>
      <c r="P100" s="13">
        <f t="shared" si="15"/>
        <v>0.69710999999999501</v>
      </c>
      <c r="Q100" s="13"/>
      <c r="R100" s="3"/>
      <c r="S100">
        <v>0.19283819046447814</v>
      </c>
      <c r="T100" s="4">
        <v>0.37712736818262077</v>
      </c>
      <c r="U100">
        <f t="shared" si="11"/>
        <v>0.17343333333333333</v>
      </c>
      <c r="V100" s="3"/>
      <c r="W100" s="15">
        <v>0.31064320482918689</v>
      </c>
      <c r="X100" s="4" t="e">
        <v>#VALUE!</v>
      </c>
      <c r="Y100" s="7">
        <v>0.17299999999999999</v>
      </c>
      <c r="Z100" s="52">
        <v>0.1734</v>
      </c>
      <c r="AA100" s="52">
        <v>0.1739</v>
      </c>
      <c r="AB100" s="1"/>
      <c r="AC100" s="1"/>
    </row>
    <row r="101" spans="1:29" x14ac:dyDescent="0.2">
      <c r="A101" s="19" t="s">
        <v>90</v>
      </c>
      <c r="B101">
        <v>48</v>
      </c>
      <c r="C101" t="s">
        <v>21</v>
      </c>
      <c r="D101" t="s">
        <v>14</v>
      </c>
      <c r="E101" t="s">
        <v>42</v>
      </c>
      <c r="F101" s="4">
        <f t="shared" si="7"/>
        <v>155.89168145040651</v>
      </c>
      <c r="G101">
        <f t="shared" si="8"/>
        <v>13.978430879570302</v>
      </c>
      <c r="H101">
        <f t="shared" si="9"/>
        <v>25.216303999999994</v>
      </c>
      <c r="I101">
        <f t="shared" si="10"/>
        <v>39.194734879570298</v>
      </c>
      <c r="J101" s="2"/>
      <c r="K101" s="4">
        <f t="shared" si="16"/>
        <v>0.41664531735455623</v>
      </c>
      <c r="L101" s="13" t="e">
        <v>#VALUE!</v>
      </c>
      <c r="M101" s="2"/>
      <c r="N101" s="13">
        <f t="shared" si="13"/>
        <v>-19.426705131242763</v>
      </c>
      <c r="O101" s="13">
        <f t="shared" si="14"/>
        <v>-0.25822491144758963</v>
      </c>
      <c r="P101" s="13">
        <f t="shared" si="15"/>
        <v>0.90257400000000487</v>
      </c>
      <c r="Q101" s="13"/>
      <c r="R101" s="3"/>
      <c r="S101">
        <v>0.1790937062221572</v>
      </c>
      <c r="T101" s="4">
        <v>0.36642233595540208</v>
      </c>
      <c r="U101">
        <f t="shared" si="11"/>
        <v>0.17359999999999998</v>
      </c>
      <c r="V101" s="3"/>
      <c r="W101" s="15">
        <v>0.29382354227827034</v>
      </c>
      <c r="X101" s="4" t="e">
        <v>#VALUE!</v>
      </c>
      <c r="Y101" s="7">
        <v>0.17449999999999999</v>
      </c>
      <c r="Z101" s="52">
        <v>0.17330000000000001</v>
      </c>
      <c r="AA101" s="52">
        <v>0.17299999999999999</v>
      </c>
      <c r="AB101" s="1"/>
      <c r="AC101" s="1"/>
    </row>
    <row r="102" spans="1:29" x14ac:dyDescent="0.2">
      <c r="A102" s="19" t="s">
        <v>91</v>
      </c>
      <c r="B102">
        <v>48</v>
      </c>
      <c r="C102" t="s">
        <v>21</v>
      </c>
      <c r="D102" t="s">
        <v>14</v>
      </c>
      <c r="E102" t="s">
        <v>42</v>
      </c>
      <c r="F102" s="4">
        <f t="shared" si="7"/>
        <v>170.00797660683304</v>
      </c>
      <c r="G102">
        <f t="shared" si="8"/>
        <v>14.242806674108873</v>
      </c>
      <c r="H102">
        <f t="shared" si="9"/>
        <v>24.210998000000004</v>
      </c>
      <c r="I102">
        <f t="shared" si="10"/>
        <v>38.453804674108881</v>
      </c>
      <c r="J102" s="2"/>
      <c r="K102" s="4">
        <f t="shared" si="16"/>
        <v>0.44463304304999574</v>
      </c>
      <c r="L102" s="13" t="e">
        <v>#VALUE!</v>
      </c>
      <c r="M102" s="2"/>
      <c r="N102" s="13">
        <f t="shared" si="13"/>
        <v>-7.7794336159378972</v>
      </c>
      <c r="O102" s="13">
        <f t="shared" si="14"/>
        <v>1.0918751660265649</v>
      </c>
      <c r="P102" s="13">
        <f t="shared" si="15"/>
        <v>1.7537819999999904</v>
      </c>
      <c r="Q102" s="13"/>
      <c r="R102" s="3"/>
      <c r="S102">
        <v>0.19033968803011034</v>
      </c>
      <c r="T102" s="4">
        <v>0.37242051624713846</v>
      </c>
      <c r="U102">
        <f t="shared" si="11"/>
        <v>0.16903333333333334</v>
      </c>
      <c r="V102" s="3"/>
      <c r="W102" s="15">
        <v>0.30932062184385145</v>
      </c>
      <c r="X102" s="4" t="e">
        <v>#VALUE!</v>
      </c>
      <c r="Y102" s="7">
        <v>0.16800000000000001</v>
      </c>
      <c r="Z102" s="52">
        <v>0.16969999999999999</v>
      </c>
      <c r="AA102" s="52">
        <v>0.1694</v>
      </c>
      <c r="AB102" s="1"/>
      <c r="AC102" s="1"/>
    </row>
    <row r="103" spans="1:29" x14ac:dyDescent="0.2">
      <c r="A103" s="19" t="s">
        <v>92</v>
      </c>
      <c r="B103">
        <v>48</v>
      </c>
      <c r="C103" t="s">
        <v>21</v>
      </c>
      <c r="D103" t="s">
        <v>14</v>
      </c>
      <c r="E103" t="s">
        <v>42</v>
      </c>
      <c r="F103" s="4">
        <f t="shared" si="7"/>
        <v>168.60829927087627</v>
      </c>
      <c r="G103">
        <f t="shared" si="8"/>
        <v>13.681695238406228</v>
      </c>
      <c r="H103">
        <f t="shared" si="9"/>
        <v>22.794764000000001</v>
      </c>
      <c r="I103">
        <f t="shared" si="10"/>
        <v>36.476459238406228</v>
      </c>
      <c r="J103" s="2"/>
      <c r="K103" s="4">
        <f t="shared" si="16"/>
        <v>0.42838146727458848</v>
      </c>
      <c r="L103" s="13" t="e">
        <v>#VALUE!</v>
      </c>
      <c r="M103" s="2"/>
      <c r="N103" s="13">
        <f t="shared" si="13"/>
        <v>-13.927183840275026</v>
      </c>
      <c r="O103" s="13">
        <f t="shared" si="14"/>
        <v>2.1440598953839256</v>
      </c>
      <c r="P103" s="13">
        <f t="shared" si="15"/>
        <v>3.0819599999999951</v>
      </c>
      <c r="Q103" s="13"/>
      <c r="R103" s="3"/>
      <c r="S103">
        <v>0.18922461175246477</v>
      </c>
      <c r="T103" s="4">
        <v>0.3596899727381393</v>
      </c>
      <c r="U103">
        <f t="shared" si="11"/>
        <v>0.16259999999999999</v>
      </c>
      <c r="V103" s="3"/>
      <c r="W103" s="15">
        <v>0.30032196416090173</v>
      </c>
      <c r="X103" s="4" t="e">
        <v>#VALUE!</v>
      </c>
      <c r="Y103" s="7">
        <v>0.16189999999999999</v>
      </c>
      <c r="Z103" s="52">
        <v>0.1628</v>
      </c>
      <c r="AA103" s="52">
        <v>0.16309999999999999</v>
      </c>
      <c r="AB103" s="1"/>
      <c r="AC103" s="1"/>
    </row>
    <row r="104" spans="1:29" x14ac:dyDescent="0.2">
      <c r="A104" s="19" t="s">
        <v>93</v>
      </c>
      <c r="B104">
        <v>48</v>
      </c>
      <c r="C104" t="s">
        <v>20</v>
      </c>
      <c r="D104" t="s">
        <v>14</v>
      </c>
      <c r="E104" t="s">
        <v>42</v>
      </c>
      <c r="F104" s="4">
        <f t="shared" si="7"/>
        <v>168.40630072587732</v>
      </c>
      <c r="G104">
        <f t="shared" si="8"/>
        <v>14.533890981080059</v>
      </c>
      <c r="H104">
        <f t="shared" si="9"/>
        <v>23.741365999999992</v>
      </c>
      <c r="I104">
        <f t="shared" si="10"/>
        <v>38.275256981080048</v>
      </c>
      <c r="J104" s="2"/>
      <c r="K104" s="4">
        <f t="shared" si="16"/>
        <v>0.48678745909129661</v>
      </c>
      <c r="L104" s="13" t="e">
        <v>#VALUE!</v>
      </c>
      <c r="M104" s="2"/>
      <c r="N104" s="13">
        <f t="shared" si="13"/>
        <v>-12.958469625209524</v>
      </c>
      <c r="O104" s="13">
        <f t="shared" si="14"/>
        <v>-0.81368501295734674</v>
      </c>
      <c r="P104" s="13">
        <f t="shared" si="15"/>
        <v>2.3775120000000065</v>
      </c>
      <c r="Q104" s="13"/>
      <c r="R104" s="3"/>
      <c r="S104">
        <v>0.18906368624494893</v>
      </c>
      <c r="T104" s="4">
        <v>0.37902466151828795</v>
      </c>
      <c r="U104">
        <f t="shared" si="11"/>
        <v>0.16689999999999997</v>
      </c>
      <c r="V104" s="3"/>
      <c r="W104" s="15">
        <v>0.33266193748133815</v>
      </c>
      <c r="X104" s="4" t="e">
        <v>#VALUE!</v>
      </c>
      <c r="Y104" s="7">
        <v>0.1671</v>
      </c>
      <c r="Z104" s="52">
        <v>0.16689999999999999</v>
      </c>
      <c r="AA104" s="52">
        <v>0.16669999999999999</v>
      </c>
      <c r="AB104" s="1"/>
      <c r="AC104" s="1"/>
    </row>
    <row r="105" spans="1:29" x14ac:dyDescent="0.2">
      <c r="A105" s="19" t="s">
        <v>94</v>
      </c>
      <c r="B105">
        <v>48</v>
      </c>
      <c r="C105" t="s">
        <v>20</v>
      </c>
      <c r="D105" t="s">
        <v>14</v>
      </c>
      <c r="E105" t="s">
        <v>42</v>
      </c>
      <c r="F105" s="4">
        <f t="shared" si="7"/>
        <v>170.44608943496684</v>
      </c>
      <c r="G105">
        <f t="shared" si="8"/>
        <v>14.184531855615662</v>
      </c>
      <c r="H105">
        <f t="shared" si="9"/>
        <v>25.546514000000002</v>
      </c>
      <c r="I105">
        <f t="shared" si="10"/>
        <v>39.731045855615662</v>
      </c>
      <c r="J105" s="2"/>
      <c r="K105" s="4">
        <f t="shared" si="16"/>
        <v>0.48579083391700811</v>
      </c>
      <c r="L105" s="13" t="e">
        <v>#VALUE!</v>
      </c>
      <c r="M105" s="2"/>
      <c r="N105" s="13">
        <f t="shared" si="13"/>
        <v>-7.5417799836965145</v>
      </c>
      <c r="O105" s="13">
        <f t="shared" si="14"/>
        <v>1.1501499845197767</v>
      </c>
      <c r="P105" s="13">
        <f t="shared" si="15"/>
        <v>0.41826599999999203</v>
      </c>
      <c r="Q105" s="13"/>
      <c r="R105" s="3"/>
      <c r="S105">
        <v>0.19068871791652361</v>
      </c>
      <c r="T105" s="4">
        <v>0.37109837225736597</v>
      </c>
      <c r="U105">
        <f t="shared" si="11"/>
        <v>0.17510000000000001</v>
      </c>
      <c r="V105" s="3"/>
      <c r="W105" s="15">
        <v>0.33211009629956156</v>
      </c>
      <c r="X105" s="4" t="e">
        <v>#VALUE!</v>
      </c>
      <c r="Y105" s="7">
        <v>0.17580000000000001</v>
      </c>
      <c r="Z105" s="52">
        <v>0.1749</v>
      </c>
      <c r="AA105" s="52">
        <v>0.17460000000000001</v>
      </c>
      <c r="AB105" s="1"/>
      <c r="AC105" s="1"/>
    </row>
    <row r="106" spans="1:29" x14ac:dyDescent="0.2">
      <c r="A106" s="19" t="s">
        <v>95</v>
      </c>
      <c r="B106">
        <v>48</v>
      </c>
      <c r="C106" t="s">
        <v>20</v>
      </c>
      <c r="D106" t="s">
        <v>14</v>
      </c>
      <c r="E106" t="s">
        <v>42</v>
      </c>
      <c r="F106" s="4">
        <f t="shared" si="7"/>
        <v>167.23498698148563</v>
      </c>
      <c r="G106">
        <f t="shared" si="8"/>
        <v>14.296753236013293</v>
      </c>
      <c r="H106">
        <f t="shared" si="9"/>
        <v>24.893431999999997</v>
      </c>
      <c r="I106">
        <f t="shared" si="10"/>
        <v>39.190185236013292</v>
      </c>
      <c r="J106" s="2"/>
      <c r="K106" s="4">
        <f t="shared" si="16"/>
        <v>0.48510862785549569</v>
      </c>
      <c r="L106" s="13" t="e">
        <v>#VALUE!</v>
      </c>
      <c r="M106" s="2"/>
      <c r="N106" s="13">
        <f t="shared" si="13"/>
        <v>-14.628245749598426</v>
      </c>
      <c r="O106" s="13">
        <f t="shared" si="14"/>
        <v>1.52900189777686</v>
      </c>
      <c r="P106" s="13">
        <f t="shared" si="15"/>
        <v>0.98329199999999872</v>
      </c>
      <c r="Q106" s="13"/>
      <c r="R106" s="3"/>
      <c r="S106">
        <v>0.18813053962858356</v>
      </c>
      <c r="T106" s="4">
        <v>0.37364446038690652</v>
      </c>
      <c r="U106">
        <f t="shared" si="11"/>
        <v>0.17213333333333333</v>
      </c>
      <c r="V106" s="3"/>
      <c r="W106" s="15">
        <v>0.33173235207945501</v>
      </c>
      <c r="X106" s="4" t="e">
        <v>#VALUE!</v>
      </c>
      <c r="Y106" s="7">
        <v>0.17269999999999999</v>
      </c>
      <c r="Z106" s="52">
        <v>0.1719</v>
      </c>
      <c r="AA106" s="52">
        <v>0.17180000000000001</v>
      </c>
      <c r="AB106" s="1"/>
      <c r="AC106" s="1"/>
    </row>
    <row r="107" spans="1:29" s="14" customFormat="1" x14ac:dyDescent="0.2">
      <c r="A107" s="29" t="s">
        <v>96</v>
      </c>
      <c r="B107" s="14">
        <v>48</v>
      </c>
      <c r="C107" s="14" t="s">
        <v>26</v>
      </c>
      <c r="D107" s="14" t="s">
        <v>14</v>
      </c>
      <c r="E107" s="14" t="s">
        <v>42</v>
      </c>
      <c r="F107" s="22">
        <f t="shared" si="7"/>
        <v>171.88021509656699</v>
      </c>
      <c r="G107" s="14">
        <f t="shared" si="8"/>
        <v>13.762239305815115</v>
      </c>
      <c r="H107">
        <f t="shared" si="9"/>
        <v>26.566495999999997</v>
      </c>
      <c r="I107">
        <f t="shared" si="10"/>
        <v>40.328735305815115</v>
      </c>
      <c r="J107" s="30"/>
      <c r="K107" s="22">
        <f t="shared" si="16"/>
        <v>0.38636450683443718</v>
      </c>
      <c r="L107" s="13" t="e">
        <v>#VALUE!</v>
      </c>
      <c r="M107" s="30"/>
      <c r="N107" s="13">
        <f t="shared" si="13"/>
        <v>-11.162961844844492</v>
      </c>
      <c r="O107" s="13">
        <f t="shared" si="14"/>
        <v>-4.2033337692402029E-2</v>
      </c>
      <c r="P107" s="13">
        <f t="shared" si="15"/>
        <v>-0.44761799999999852</v>
      </c>
      <c r="Q107" s="13"/>
      <c r="R107" s="23"/>
      <c r="S107" s="14">
        <v>0.19183123802693169</v>
      </c>
      <c r="T107" s="22">
        <v>0.36151736332278595</v>
      </c>
      <c r="U107">
        <f t="shared" si="11"/>
        <v>0.17973333333333333</v>
      </c>
      <c r="V107" s="23"/>
      <c r="W107" s="28">
        <v>0.27705675904453886</v>
      </c>
      <c r="X107" s="4" t="e">
        <v>#VALUE!</v>
      </c>
      <c r="Y107" s="32">
        <v>0.18010000000000001</v>
      </c>
      <c r="Z107" s="53">
        <v>0.17949999999999999</v>
      </c>
      <c r="AA107" s="53">
        <v>0.17960000000000001</v>
      </c>
      <c r="AB107" s="33"/>
      <c r="AC107" s="33"/>
    </row>
    <row r="108" spans="1:29" s="14" customFormat="1" x14ac:dyDescent="0.2">
      <c r="A108" s="29" t="s">
        <v>97</v>
      </c>
      <c r="B108" s="14">
        <v>48</v>
      </c>
      <c r="C108" s="14" t="s">
        <v>26</v>
      </c>
      <c r="D108" s="14" t="s">
        <v>14</v>
      </c>
      <c r="E108" s="14" t="s">
        <v>42</v>
      </c>
      <c r="F108" s="22">
        <f t="shared" si="7"/>
        <v>165.85684716981518</v>
      </c>
      <c r="G108" s="14">
        <f t="shared" si="8"/>
        <v>13.798466906289686</v>
      </c>
      <c r="H108">
        <f t="shared" si="9"/>
        <v>24.225674000000001</v>
      </c>
      <c r="I108">
        <f t="shared" si="10"/>
        <v>38.024140906289688</v>
      </c>
      <c r="J108" s="30"/>
      <c r="K108" s="22">
        <f t="shared" si="16"/>
        <v>0.41335004515207296</v>
      </c>
      <c r="L108" s="13" t="e">
        <v>#VALUE!</v>
      </c>
      <c r="M108" s="30"/>
      <c r="N108" s="13">
        <f t="shared" si="13"/>
        <v>-10.031207417708755</v>
      </c>
      <c r="O108" s="13">
        <f t="shared" si="14"/>
        <v>1.536214933845752</v>
      </c>
      <c r="P108" s="13">
        <f t="shared" si="15"/>
        <v>1.7391059999999925</v>
      </c>
      <c r="Q108" s="13"/>
      <c r="R108" s="23"/>
      <c r="S108" s="14">
        <v>0.18703262157861944</v>
      </c>
      <c r="T108" s="22">
        <v>0.36233929817337523</v>
      </c>
      <c r="U108">
        <f t="shared" si="11"/>
        <v>0.1691</v>
      </c>
      <c r="V108" s="23"/>
      <c r="W108" s="28">
        <v>0.29199891758143576</v>
      </c>
      <c r="X108" s="4" t="e">
        <v>#VALUE!</v>
      </c>
      <c r="Y108" s="32">
        <v>0.16900000000000001</v>
      </c>
      <c r="Z108" s="53">
        <v>0.16919999999999999</v>
      </c>
      <c r="AA108" s="53">
        <v>0.1691</v>
      </c>
      <c r="AB108" s="33"/>
      <c r="AC108" s="33"/>
    </row>
    <row r="109" spans="1:29" s="14" customFormat="1" x14ac:dyDescent="0.2">
      <c r="A109" s="29" t="s">
        <v>98</v>
      </c>
      <c r="B109" s="14">
        <v>48</v>
      </c>
      <c r="C109" s="14" t="s">
        <v>26</v>
      </c>
      <c r="D109" s="14" t="s">
        <v>14</v>
      </c>
      <c r="E109" s="14" t="s">
        <v>42</v>
      </c>
      <c r="F109" s="22">
        <f t="shared" si="7"/>
        <v>175.85339516107658</v>
      </c>
      <c r="G109" s="14">
        <f t="shared" si="8"/>
        <v>14.511340402537661</v>
      </c>
      <c r="H109">
        <f t="shared" si="9"/>
        <v>22.449877999999998</v>
      </c>
      <c r="I109">
        <f t="shared" si="10"/>
        <v>36.961218402537661</v>
      </c>
      <c r="J109" s="30"/>
      <c r="K109" s="22">
        <f t="shared" si="16"/>
        <v>0.43271207981243687</v>
      </c>
      <c r="L109" s="13" t="e">
        <v>#VALUE!</v>
      </c>
      <c r="M109" s="30"/>
      <c r="N109" s="13">
        <f t="shared" si="13"/>
        <v>-10.228636323257842</v>
      </c>
      <c r="O109" s="13">
        <f t="shared" si="14"/>
        <v>1.3144147312524925</v>
      </c>
      <c r="P109" s="13">
        <f t="shared" si="15"/>
        <v>3.4268459999999976</v>
      </c>
      <c r="Q109" s="13"/>
      <c r="R109" s="23"/>
      <c r="S109" s="14">
        <v>0.19499653814499102</v>
      </c>
      <c r="T109" s="22">
        <v>0.37851303209314957</v>
      </c>
      <c r="U109">
        <f t="shared" si="11"/>
        <v>0.16103333333333333</v>
      </c>
      <c r="V109" s="23"/>
      <c r="W109" s="28">
        <v>0.30271986700577896</v>
      </c>
      <c r="X109" s="4" t="e">
        <v>#VALUE!</v>
      </c>
      <c r="Y109" s="32">
        <v>0.16120000000000001</v>
      </c>
      <c r="Z109" s="53">
        <v>0.1608</v>
      </c>
      <c r="AA109" s="53">
        <v>0.16109999999999999</v>
      </c>
      <c r="AB109" s="33"/>
      <c r="AC109" s="33"/>
    </row>
    <row r="110" spans="1:29" x14ac:dyDescent="0.2">
      <c r="A110" s="19" t="s">
        <v>87</v>
      </c>
      <c r="B110">
        <v>48</v>
      </c>
      <c r="C110" t="s">
        <v>19</v>
      </c>
      <c r="D110" t="s">
        <v>15</v>
      </c>
      <c r="E110" t="s">
        <v>42</v>
      </c>
      <c r="F110" s="4">
        <f t="shared" si="7"/>
        <v>190.41396271865651</v>
      </c>
      <c r="G110">
        <f t="shared" si="8"/>
        <v>14.111567957869745</v>
      </c>
      <c r="H110">
        <f t="shared" si="9"/>
        <v>24.277040000000003</v>
      </c>
      <c r="I110">
        <f t="shared" si="10"/>
        <v>38.388607957869752</v>
      </c>
      <c r="J110" s="2"/>
      <c r="K110" s="4">
        <f t="shared" si="16"/>
        <v>0.44335134583426045</v>
      </c>
      <c r="L110" s="13" t="e">
        <v>#VALUE!</v>
      </c>
      <c r="M110" s="2"/>
      <c r="N110" s="13">
        <f t="shared" si="13"/>
        <v>-1.5837136240033074</v>
      </c>
      <c r="O110" s="13">
        <f t="shared" si="14"/>
        <v>-0.39136198974703262</v>
      </c>
      <c r="P110" s="13">
        <f t="shared" si="15"/>
        <v>1.8418379999999956</v>
      </c>
      <c r="Q110" s="13"/>
      <c r="R110" s="3"/>
      <c r="S110">
        <v>0.20659645696586304</v>
      </c>
      <c r="T110" s="4">
        <v>0.36944296120042075</v>
      </c>
      <c r="U110">
        <f t="shared" si="11"/>
        <v>0.16933333333333334</v>
      </c>
      <c r="V110" s="3"/>
      <c r="W110" s="15">
        <v>0.30861093346304569</v>
      </c>
      <c r="X110" s="4" t="e">
        <v>#VALUE!</v>
      </c>
      <c r="Y110" s="7">
        <v>0.1704</v>
      </c>
      <c r="Z110" s="52">
        <v>0.1691</v>
      </c>
      <c r="AA110" s="52">
        <v>0.16850000000000001</v>
      </c>
      <c r="AB110" s="1"/>
      <c r="AC110" s="1"/>
    </row>
    <row r="111" spans="1:29" x14ac:dyDescent="0.2">
      <c r="A111" s="19" t="s">
        <v>88</v>
      </c>
      <c r="B111">
        <v>48</v>
      </c>
      <c r="C111" t="s">
        <v>19</v>
      </c>
      <c r="D111" t="s">
        <v>15</v>
      </c>
      <c r="E111" t="s">
        <v>42</v>
      </c>
      <c r="F111" s="4">
        <f t="shared" si="7"/>
        <v>187.27643279891328</v>
      </c>
      <c r="G111">
        <f t="shared" si="8"/>
        <v>14.05238289453083</v>
      </c>
      <c r="H111">
        <f t="shared" si="9"/>
        <v>23.161664000000002</v>
      </c>
      <c r="I111">
        <f t="shared" si="10"/>
        <v>37.214046894530831</v>
      </c>
      <c r="J111" s="2"/>
      <c r="K111" s="4">
        <f t="shared" si="16"/>
        <v>0.44817952976926423</v>
      </c>
      <c r="L111" s="13" t="e">
        <v>#VALUE!</v>
      </c>
      <c r="M111" s="2"/>
      <c r="N111" s="13">
        <f t="shared" si="13"/>
        <v>1.5878139826550559</v>
      </c>
      <c r="O111" s="13">
        <f t="shared" si="14"/>
        <v>1.2822989456046088</v>
      </c>
      <c r="P111" s="13">
        <f t="shared" si="15"/>
        <v>2.8031159999999922</v>
      </c>
      <c r="Q111" s="13"/>
      <c r="R111" s="3"/>
      <c r="S111">
        <v>0.20409689146313426</v>
      </c>
      <c r="T111" s="4">
        <v>0.36810016549892977</v>
      </c>
      <c r="U111">
        <f t="shared" si="11"/>
        <v>0.16426666666666667</v>
      </c>
      <c r="V111" s="3"/>
      <c r="W111" s="15">
        <v>0.31128434649460923</v>
      </c>
      <c r="X111" s="4" t="e">
        <v>#VALUE!</v>
      </c>
      <c r="Y111" s="7">
        <v>0.16450000000000001</v>
      </c>
      <c r="Z111" s="52">
        <v>0.1643</v>
      </c>
      <c r="AA111" s="52">
        <v>0.16400000000000001</v>
      </c>
      <c r="AB111" s="1"/>
      <c r="AC111" s="1"/>
    </row>
    <row r="112" spans="1:29" x14ac:dyDescent="0.2">
      <c r="A112" s="19" t="s">
        <v>89</v>
      </c>
      <c r="B112">
        <v>48</v>
      </c>
      <c r="C112" t="s">
        <v>19</v>
      </c>
      <c r="D112" t="s">
        <v>15</v>
      </c>
      <c r="E112" t="s">
        <v>42</v>
      </c>
      <c r="F112" s="4">
        <f t="shared" si="7"/>
        <v>183.36729335770298</v>
      </c>
      <c r="G112">
        <f t="shared" si="8"/>
        <v>13.929897099070867</v>
      </c>
      <c r="H112">
        <f t="shared" si="9"/>
        <v>23.000228</v>
      </c>
      <c r="I112">
        <f t="shared" si="10"/>
        <v>36.930125099070864</v>
      </c>
      <c r="J112" s="2"/>
      <c r="K112" s="4">
        <f t="shared" si="16"/>
        <v>0.44116897181235593</v>
      </c>
      <c r="L112" s="13" t="e">
        <v>#VALUE!</v>
      </c>
      <c r="M112" s="2"/>
      <c r="N112" s="13">
        <f t="shared" si="13"/>
        <v>-6.392867971890424</v>
      </c>
      <c r="O112" s="13">
        <f t="shared" si="14"/>
        <v>1.8958580347192857</v>
      </c>
      <c r="P112" s="13">
        <f t="shared" si="15"/>
        <v>2.8764959999999959</v>
      </c>
      <c r="Q112" s="13"/>
      <c r="R112" s="3"/>
      <c r="S112">
        <v>0.20098261037497003</v>
      </c>
      <c r="T112" s="4">
        <v>0.36532119745600478</v>
      </c>
      <c r="U112">
        <f t="shared" si="11"/>
        <v>0.16353333333333334</v>
      </c>
      <c r="V112" s="3"/>
      <c r="W112" s="15">
        <v>0.30740253145756141</v>
      </c>
      <c r="X112" s="4" t="e">
        <v>#VALUE!</v>
      </c>
      <c r="Y112" s="7">
        <v>0.1636</v>
      </c>
      <c r="Z112" s="52">
        <v>0.16389999999999999</v>
      </c>
      <c r="AA112" s="52">
        <v>0.16309999999999999</v>
      </c>
      <c r="AB112" s="1"/>
      <c r="AC112" s="1"/>
    </row>
    <row r="113" spans="1:29" x14ac:dyDescent="0.2">
      <c r="A113" s="19" t="s">
        <v>90</v>
      </c>
      <c r="B113">
        <v>48</v>
      </c>
      <c r="C113" t="s">
        <v>21</v>
      </c>
      <c r="D113" t="s">
        <v>15</v>
      </c>
      <c r="E113" t="s">
        <v>42</v>
      </c>
      <c r="F113" s="4">
        <f t="shared" si="7"/>
        <v>180.36370046930196</v>
      </c>
      <c r="G113">
        <f t="shared" si="8"/>
        <v>13.7315879462144</v>
      </c>
      <c r="H113">
        <f t="shared" si="9"/>
        <v>21.994921999999999</v>
      </c>
      <c r="I113">
        <f t="shared" si="10"/>
        <v>35.726509946214399</v>
      </c>
      <c r="J113" s="2"/>
      <c r="K113" s="4">
        <f t="shared" si="16"/>
        <v>0.4324466449335827</v>
      </c>
      <c r="L113" s="13" t="e">
        <v>#VALUE!</v>
      </c>
      <c r="M113" s="2"/>
      <c r="N113" s="13">
        <f t="shared" si="13"/>
        <v>-6.7782354624453269</v>
      </c>
      <c r="O113" s="13">
        <f t="shared" si="14"/>
        <v>-1.1381978091687728E-2</v>
      </c>
      <c r="P113" s="13">
        <f t="shared" si="15"/>
        <v>4.1239559999999997</v>
      </c>
      <c r="Q113" s="13"/>
      <c r="R113" s="3"/>
      <c r="S113">
        <v>0.19858974804054391</v>
      </c>
      <c r="T113" s="4">
        <v>0.36082194269476359</v>
      </c>
      <c r="U113">
        <f t="shared" si="11"/>
        <v>0.15896666666666667</v>
      </c>
      <c r="V113" s="3"/>
      <c r="W113" s="15">
        <v>0.30257289309722185</v>
      </c>
      <c r="X113" s="4" t="e">
        <v>#VALUE!</v>
      </c>
      <c r="Y113" s="7">
        <v>0.1593</v>
      </c>
      <c r="Z113" s="52">
        <v>0.15939999999999999</v>
      </c>
      <c r="AA113" s="52">
        <v>0.15820000000000001</v>
      </c>
      <c r="AB113" s="1"/>
      <c r="AC113" s="1"/>
    </row>
    <row r="114" spans="1:29" x14ac:dyDescent="0.2">
      <c r="A114" s="19" t="s">
        <v>91</v>
      </c>
      <c r="B114">
        <v>48</v>
      </c>
      <c r="C114" t="s">
        <v>21</v>
      </c>
      <c r="D114" t="s">
        <v>15</v>
      </c>
      <c r="E114" t="s">
        <v>42</v>
      </c>
      <c r="F114" s="4">
        <f t="shared" si="7"/>
        <v>184.91032013919525</v>
      </c>
      <c r="G114">
        <f t="shared" si="8"/>
        <v>13.8443502035216</v>
      </c>
      <c r="H114">
        <f t="shared" si="9"/>
        <v>24.240349999999999</v>
      </c>
      <c r="I114">
        <f t="shared" si="10"/>
        <v>38.084700203521599</v>
      </c>
      <c r="J114" s="2"/>
      <c r="K114" s="4">
        <f t="shared" si="16"/>
        <v>0.43754436684878156</v>
      </c>
      <c r="L114" s="13" t="e">
        <v>#VALUE!</v>
      </c>
      <c r="M114" s="2"/>
      <c r="N114" s="13">
        <f t="shared" si="13"/>
        <v>0.30431979630682621</v>
      </c>
      <c r="O114" s="13">
        <f t="shared" si="14"/>
        <v>1.4903316366138384</v>
      </c>
      <c r="P114" s="13">
        <f t="shared" si="15"/>
        <v>1.7244299999999946</v>
      </c>
      <c r="Q114" s="13"/>
      <c r="R114" s="3"/>
      <c r="S114">
        <v>0.20221188837755888</v>
      </c>
      <c r="T114" s="4">
        <v>0.36338030228518009</v>
      </c>
      <c r="U114">
        <f t="shared" si="11"/>
        <v>0.16916666666666666</v>
      </c>
      <c r="V114" s="3"/>
      <c r="W114" s="15">
        <v>0.30539555196499535</v>
      </c>
      <c r="X114" s="4" t="e">
        <v>#VALUE!</v>
      </c>
      <c r="Y114" s="7">
        <v>0.1699</v>
      </c>
      <c r="Z114" s="52">
        <v>0.16900000000000001</v>
      </c>
      <c r="AA114" s="52">
        <v>0.1686</v>
      </c>
      <c r="AB114" s="1"/>
      <c r="AC114" s="1"/>
    </row>
    <row r="115" spans="1:29" x14ac:dyDescent="0.2">
      <c r="A115" s="19" t="s">
        <v>92</v>
      </c>
      <c r="B115">
        <v>48</v>
      </c>
      <c r="C115" t="s">
        <v>21</v>
      </c>
      <c r="D115" t="s">
        <v>15</v>
      </c>
      <c r="E115" t="s">
        <v>42</v>
      </c>
      <c r="F115" s="4">
        <f t="shared" si="7"/>
        <v>169.05186429536215</v>
      </c>
      <c r="G115">
        <f t="shared" si="8"/>
        <v>13.692053641408592</v>
      </c>
      <c r="H115">
        <f t="shared" si="9"/>
        <v>23.822083999999997</v>
      </c>
      <c r="I115">
        <f t="shared" si="10"/>
        <v>37.514137641408588</v>
      </c>
      <c r="J115" s="2"/>
      <c r="K115" s="4">
        <f t="shared" si="16"/>
        <v>0.42443922194557354</v>
      </c>
      <c r="L115" s="13" t="e">
        <v>#VALUE!</v>
      </c>
      <c r="M115" s="2"/>
      <c r="N115" s="13">
        <f t="shared" si="13"/>
        <v>-13.700748421778094</v>
      </c>
      <c r="O115" s="13">
        <f t="shared" si="14"/>
        <v>2.1337014923815616</v>
      </c>
      <c r="P115" s="13">
        <f t="shared" si="15"/>
        <v>2.0546399999999991</v>
      </c>
      <c r="Q115" s="13"/>
      <c r="R115" s="3"/>
      <c r="S115">
        <v>0.18957798522197186</v>
      </c>
      <c r="T115" s="4">
        <v>0.35992498505782267</v>
      </c>
      <c r="U115">
        <f t="shared" si="11"/>
        <v>0.16726666666666667</v>
      </c>
      <c r="V115" s="3"/>
      <c r="W115" s="15">
        <v>0.29813910406731647</v>
      </c>
      <c r="X115" s="4" t="e">
        <v>#VALUE!</v>
      </c>
      <c r="Y115" s="7">
        <v>0.16719999999999999</v>
      </c>
      <c r="Z115" s="52">
        <v>0.1671</v>
      </c>
      <c r="AA115" s="52">
        <v>0.16750000000000001</v>
      </c>
      <c r="AB115" s="1"/>
      <c r="AC115" s="1"/>
    </row>
    <row r="116" spans="1:29" x14ac:dyDescent="0.2">
      <c r="A116" s="19" t="s">
        <v>93</v>
      </c>
      <c r="B116">
        <v>48</v>
      </c>
      <c r="C116" t="s">
        <v>20</v>
      </c>
      <c r="D116" t="s">
        <v>15</v>
      </c>
      <c r="E116" t="s">
        <v>42</v>
      </c>
      <c r="F116" s="4">
        <f t="shared" si="7"/>
        <v>173.64829018177161</v>
      </c>
      <c r="G116">
        <f t="shared" si="8"/>
        <v>13.89341128962942</v>
      </c>
      <c r="H116">
        <f t="shared" si="9"/>
        <v>24.798037999999998</v>
      </c>
      <c r="I116">
        <f t="shared" si="10"/>
        <v>38.691449289629418</v>
      </c>
      <c r="J116" s="2"/>
      <c r="K116" s="4">
        <f t="shared" si="16"/>
        <v>0.48320428850068325</v>
      </c>
      <c r="L116" s="13" t="e">
        <v>#VALUE!</v>
      </c>
      <c r="M116" s="2"/>
      <c r="N116" s="13">
        <f t="shared" si="13"/>
        <v>-10.249124532520575</v>
      </c>
      <c r="O116" s="13">
        <f t="shared" si="14"/>
        <v>-0.17320532150670687</v>
      </c>
      <c r="P116" s="13">
        <f t="shared" si="15"/>
        <v>1.3208400000000005</v>
      </c>
      <c r="Q116" s="13"/>
      <c r="R116" s="3"/>
      <c r="S116">
        <v>0.19323980451147807</v>
      </c>
      <c r="T116" s="4">
        <v>0.36449340433862915</v>
      </c>
      <c r="U116">
        <f t="shared" si="11"/>
        <v>0.17169999999999999</v>
      </c>
      <c r="V116" s="3"/>
      <c r="W116" s="15">
        <v>0.33067790060945923</v>
      </c>
      <c r="X116" s="4" t="e">
        <v>#VALUE!</v>
      </c>
      <c r="Y116" s="7">
        <v>0.1714</v>
      </c>
      <c r="Z116" s="52">
        <v>0.17199999999999999</v>
      </c>
      <c r="AA116" s="52">
        <v>0.17169999999999999</v>
      </c>
      <c r="AB116" s="1"/>
      <c r="AC116" s="1"/>
    </row>
    <row r="117" spans="1:29" x14ac:dyDescent="0.2">
      <c r="A117" s="19" t="s">
        <v>94</v>
      </c>
      <c r="B117">
        <v>48</v>
      </c>
      <c r="C117" t="s">
        <v>20</v>
      </c>
      <c r="D117" t="s">
        <v>15</v>
      </c>
      <c r="E117" t="s">
        <v>42</v>
      </c>
      <c r="F117" s="4">
        <f t="shared" si="7"/>
        <v>174.2920744475355</v>
      </c>
      <c r="G117">
        <f t="shared" si="8"/>
        <v>13.769466437004482</v>
      </c>
      <c r="H117">
        <f t="shared" si="9"/>
        <v>30.573044000000014</v>
      </c>
      <c r="I117">
        <f t="shared" si="10"/>
        <v>44.342510437004492</v>
      </c>
      <c r="J117" s="2"/>
      <c r="K117" s="4">
        <f t="shared" si="16"/>
        <v>0.48327747706882362</v>
      </c>
      <c r="L117" s="13" t="e">
        <v>#VALUE!</v>
      </c>
      <c r="M117" s="2"/>
      <c r="N117" s="13">
        <f t="shared" si="13"/>
        <v>-5.4555313073538727</v>
      </c>
      <c r="O117" s="13">
        <f t="shared" si="14"/>
        <v>1.5652154031309564</v>
      </c>
      <c r="P117" s="13">
        <f t="shared" si="15"/>
        <v>-4.6082640000000197</v>
      </c>
      <c r="Q117" s="13"/>
      <c r="R117" s="3"/>
      <c r="S117">
        <v>0.19375268597653661</v>
      </c>
      <c r="T117" s="4">
        <v>0.36168133308386607</v>
      </c>
      <c r="U117">
        <f t="shared" si="11"/>
        <v>0.19793333333333338</v>
      </c>
      <c r="V117" s="3"/>
      <c r="W117" s="15">
        <v>0.33071842584098765</v>
      </c>
      <c r="X117" s="4" t="e">
        <v>#VALUE!</v>
      </c>
      <c r="Y117" s="7">
        <v>0.19750000000000001</v>
      </c>
      <c r="Z117" s="52">
        <v>0.1953</v>
      </c>
      <c r="AA117" s="52">
        <v>0.20100000000000001</v>
      </c>
      <c r="AB117" s="1"/>
      <c r="AC117" s="1"/>
    </row>
    <row r="118" spans="1:29" x14ac:dyDescent="0.2">
      <c r="A118" s="19" t="s">
        <v>95</v>
      </c>
      <c r="B118">
        <v>48</v>
      </c>
      <c r="C118" t="s">
        <v>20</v>
      </c>
      <c r="D118" t="s">
        <v>15</v>
      </c>
      <c r="E118" t="s">
        <v>42</v>
      </c>
      <c r="F118" s="4">
        <f t="shared" si="7"/>
        <v>170.98446049550472</v>
      </c>
      <c r="G118">
        <f t="shared" si="8"/>
        <v>13.909846805069206</v>
      </c>
      <c r="H118">
        <f t="shared" si="9"/>
        <v>23.814746</v>
      </c>
      <c r="I118">
        <f t="shared" si="10"/>
        <v>37.724592805069207</v>
      </c>
      <c r="J118" s="2"/>
      <c r="K118" s="4">
        <f t="shared" si="16"/>
        <v>0.49482366359303304</v>
      </c>
      <c r="L118" s="13" t="e">
        <v>#VALUE!</v>
      </c>
      <c r="M118" s="2"/>
      <c r="N118" s="13">
        <f t="shared" si="13"/>
        <v>-12.714177783409836</v>
      </c>
      <c r="O118" s="13">
        <f t="shared" si="14"/>
        <v>1.9159083287209473</v>
      </c>
      <c r="P118" s="13">
        <f t="shared" si="15"/>
        <v>2.0619779999999963</v>
      </c>
      <c r="Q118" s="13"/>
      <c r="R118" s="3"/>
      <c r="S118">
        <v>0.19111762019475212</v>
      </c>
      <c r="T118" s="4">
        <v>0.36486629469709608</v>
      </c>
      <c r="U118">
        <f t="shared" si="11"/>
        <v>0.16723333333333334</v>
      </c>
      <c r="V118" s="3"/>
      <c r="W118" s="15">
        <v>0.33711166311906599</v>
      </c>
      <c r="X118" s="4" t="e">
        <v>#VALUE!</v>
      </c>
      <c r="Y118" s="7">
        <v>0.1676</v>
      </c>
      <c r="Z118" s="52">
        <v>0.1668</v>
      </c>
      <c r="AA118" s="52">
        <v>0.1673</v>
      </c>
      <c r="AB118" s="1"/>
      <c r="AC118" s="1"/>
    </row>
    <row r="119" spans="1:29" s="35" customFormat="1" x14ac:dyDescent="0.2">
      <c r="A119" s="34" t="s">
        <v>96</v>
      </c>
      <c r="B119" s="35">
        <v>48</v>
      </c>
      <c r="C119" s="35" t="s">
        <v>26</v>
      </c>
      <c r="D119" s="35" t="s">
        <v>15</v>
      </c>
      <c r="E119" s="35" t="s">
        <v>42</v>
      </c>
      <c r="F119" s="26">
        <f t="shared" si="7"/>
        <v>169.2199554595343</v>
      </c>
      <c r="G119" s="35">
        <f t="shared" si="8"/>
        <v>14.153682651630637</v>
      </c>
      <c r="H119">
        <f t="shared" si="9"/>
        <v>23.132312000000006</v>
      </c>
      <c r="I119">
        <f t="shared" si="10"/>
        <v>37.285994651630645</v>
      </c>
      <c r="J119" s="36"/>
      <c r="K119" s="26">
        <f t="shared" si="16"/>
        <v>-8.826591007216715E-2</v>
      </c>
      <c r="L119" s="13" t="e">
        <v>#VALUE!</v>
      </c>
      <c r="M119" s="36"/>
      <c r="N119" s="13">
        <f t="shared" si="13"/>
        <v>-12.537928630549969</v>
      </c>
      <c r="O119" s="13">
        <f t="shared" si="14"/>
        <v>-0.43347668350792468</v>
      </c>
      <c r="P119" s="13">
        <f t="shared" si="15"/>
        <v>2.9865659999999927</v>
      </c>
      <c r="Q119" s="13"/>
      <c r="R119" s="27"/>
      <c r="S119" s="35">
        <v>0.18971189784942902</v>
      </c>
      <c r="T119" s="26">
        <v>0.37039846291929024</v>
      </c>
      <c r="U119">
        <f t="shared" si="11"/>
        <v>0.16413333333333335</v>
      </c>
      <c r="V119" s="27"/>
      <c r="W119" s="25">
        <v>1.4249219229143332E-2</v>
      </c>
      <c r="X119" s="4" t="e">
        <v>#VALUE!</v>
      </c>
      <c r="Y119" s="38">
        <v>0.16420000000000001</v>
      </c>
      <c r="Z119" s="54">
        <v>0.1641</v>
      </c>
      <c r="AA119" s="54">
        <v>0.1641</v>
      </c>
      <c r="AB119" s="39"/>
      <c r="AC119" s="39"/>
    </row>
    <row r="120" spans="1:29" s="35" customFormat="1" x14ac:dyDescent="0.2">
      <c r="A120" s="34" t="s">
        <v>97</v>
      </c>
      <c r="B120" s="35">
        <v>48</v>
      </c>
      <c r="C120" s="35" t="s">
        <v>26</v>
      </c>
      <c r="D120" s="35" t="s">
        <v>15</v>
      </c>
      <c r="E120" s="35" t="s">
        <v>42</v>
      </c>
      <c r="F120" s="26">
        <f t="shared" si="7"/>
        <v>176.06742170148533</v>
      </c>
      <c r="G120" s="35">
        <f t="shared" si="8"/>
        <v>13.62382867088559</v>
      </c>
      <c r="H120">
        <f t="shared" si="9"/>
        <v>23.117635999999997</v>
      </c>
      <c r="I120">
        <f t="shared" si="10"/>
        <v>36.741464670885591</v>
      </c>
      <c r="J120" s="36"/>
      <c r="K120" s="26">
        <f t="shared" si="16"/>
        <v>-0.10401604243665741</v>
      </c>
      <c r="L120" s="13" t="e">
        <v>#VALUE!</v>
      </c>
      <c r="M120" s="36"/>
      <c r="N120" s="13">
        <f t="shared" si="13"/>
        <v>-4.492496910054526</v>
      </c>
      <c r="O120" s="13">
        <f t="shared" si="14"/>
        <v>1.7108531692498481</v>
      </c>
      <c r="P120" s="13">
        <f t="shared" si="15"/>
        <v>2.8471439999999966</v>
      </c>
      <c r="Q120" s="13"/>
      <c r="R120" s="27"/>
      <c r="S120" s="35">
        <v>0.19516704595551665</v>
      </c>
      <c r="T120" s="26">
        <v>0.35837709118081473</v>
      </c>
      <c r="U120">
        <f t="shared" si="11"/>
        <v>0.16406666666666667</v>
      </c>
      <c r="V120" s="27"/>
      <c r="W120" s="25">
        <v>5.5282157050623431E-3</v>
      </c>
      <c r="X120" s="4" t="e">
        <v>#VALUE!</v>
      </c>
      <c r="Y120" s="38">
        <v>0.1633</v>
      </c>
      <c r="Z120" s="54">
        <v>0.16389999999999999</v>
      </c>
      <c r="AA120" s="54">
        <v>0.16500000000000001</v>
      </c>
      <c r="AB120" s="39"/>
      <c r="AC120" s="39"/>
    </row>
    <row r="121" spans="1:29" s="35" customFormat="1" x14ac:dyDescent="0.2">
      <c r="A121" s="34" t="s">
        <v>98</v>
      </c>
      <c r="B121" s="35">
        <v>48</v>
      </c>
      <c r="C121" s="35" t="s">
        <v>26</v>
      </c>
      <c r="D121" s="35" t="s">
        <v>15</v>
      </c>
      <c r="E121" s="35" t="s">
        <v>42</v>
      </c>
      <c r="F121" s="26">
        <f t="shared" si="7"/>
        <v>160.86956505425007</v>
      </c>
      <c r="G121" s="35">
        <f t="shared" si="8"/>
        <v>13.688465198678886</v>
      </c>
      <c r="H121">
        <f t="shared" si="9"/>
        <v>23.675324</v>
      </c>
      <c r="I121">
        <f t="shared" si="10"/>
        <v>37.363789198678887</v>
      </c>
      <c r="J121" s="36"/>
      <c r="K121" s="26">
        <f t="shared" si="16"/>
        <v>-9.0833308901476617E-2</v>
      </c>
      <c r="L121" s="13" t="e">
        <v>#VALUE!</v>
      </c>
      <c r="M121" s="36"/>
      <c r="N121" s="13">
        <f t="shared" si="13"/>
        <v>-17.877728685440275</v>
      </c>
      <c r="O121" s="13">
        <f t="shared" si="14"/>
        <v>2.1372899351112675</v>
      </c>
      <c r="P121" s="13">
        <f t="shared" si="15"/>
        <v>2.201399999999996</v>
      </c>
      <c r="Q121" s="13"/>
      <c r="R121" s="27"/>
      <c r="S121" s="35">
        <v>0.18305942015988591</v>
      </c>
      <c r="T121" s="26">
        <v>0.359843570166959</v>
      </c>
      <c r="U121">
        <f t="shared" si="11"/>
        <v>0.1666</v>
      </c>
      <c r="V121" s="27"/>
      <c r="W121" s="25">
        <v>1.2827625192980837E-2</v>
      </c>
      <c r="X121" s="4" t="e">
        <v>#VALUE!</v>
      </c>
      <c r="Y121" s="38">
        <v>0.1661</v>
      </c>
      <c r="Z121" s="54">
        <v>0.1668</v>
      </c>
      <c r="AA121" s="54">
        <v>0.16689999999999999</v>
      </c>
      <c r="AB121" s="39"/>
      <c r="AC121" s="39"/>
    </row>
    <row r="122" spans="1:29" x14ac:dyDescent="0.2">
      <c r="A122" s="18" t="s">
        <v>99</v>
      </c>
      <c r="B122">
        <v>48</v>
      </c>
      <c r="C122" t="s">
        <v>19</v>
      </c>
      <c r="D122" t="s">
        <v>14</v>
      </c>
      <c r="E122" t="s">
        <v>69</v>
      </c>
      <c r="F122" s="4">
        <f t="shared" si="7"/>
        <v>166.79722183916479</v>
      </c>
      <c r="G122">
        <f t="shared" si="8"/>
        <v>14.523301415488973</v>
      </c>
      <c r="H122">
        <f t="shared" si="9"/>
        <v>26.80865</v>
      </c>
      <c r="I122">
        <f t="shared" si="10"/>
        <v>41.331951415488973</v>
      </c>
      <c r="J122" s="2"/>
      <c r="K122" s="4">
        <f t="shared" si="16"/>
        <v>-7.5812851610378096E-2</v>
      </c>
      <c r="L122" s="13">
        <f t="shared" ref="L122:L145" si="17">(0.2119*X122+0.0014)*30</f>
        <v>0.67018117389760945</v>
      </c>
      <c r="M122" s="2"/>
      <c r="N122" s="13">
        <f t="shared" si="13"/>
        <v>-13.790129059503487</v>
      </c>
      <c r="O122" s="13">
        <f t="shared" si="14"/>
        <v>-0.80309544736626037</v>
      </c>
      <c r="P122" s="13">
        <f t="shared" si="15"/>
        <v>-0.68977200000000138</v>
      </c>
      <c r="Q122" s="13">
        <f>(L50-L122)</f>
        <v>0.19353281417225743</v>
      </c>
      <c r="R122" s="3"/>
      <c r="S122">
        <v>0.18778178673186796</v>
      </c>
      <c r="T122" s="4">
        <v>0.3787844045623236</v>
      </c>
      <c r="U122">
        <f t="shared" si="11"/>
        <v>0.18083333333333332</v>
      </c>
      <c r="V122" s="3"/>
      <c r="W122" s="4">
        <v>2.1144600437221432E-2</v>
      </c>
      <c r="X122" s="4">
        <v>9.8817236730786448E-2</v>
      </c>
      <c r="Y122" s="7">
        <v>0.1782</v>
      </c>
      <c r="Z122" s="52">
        <v>0.18090000000000001</v>
      </c>
      <c r="AA122" s="52">
        <v>0.18340000000000001</v>
      </c>
      <c r="AB122" s="1"/>
      <c r="AC122" s="1"/>
    </row>
    <row r="123" spans="1:29" x14ac:dyDescent="0.2">
      <c r="A123" s="20" t="s">
        <v>100</v>
      </c>
      <c r="B123">
        <v>48</v>
      </c>
      <c r="C123" t="s">
        <v>19</v>
      </c>
      <c r="D123" t="s">
        <v>14</v>
      </c>
      <c r="E123" t="s">
        <v>69</v>
      </c>
      <c r="F123" s="4">
        <f t="shared" si="7"/>
        <v>168.55464491374678</v>
      </c>
      <c r="G123">
        <f t="shared" si="8"/>
        <v>14.553837968216396</v>
      </c>
      <c r="H123">
        <f t="shared" si="9"/>
        <v>23.543240000000001</v>
      </c>
      <c r="I123">
        <f t="shared" si="10"/>
        <v>38.097077968216396</v>
      </c>
      <c r="J123" s="2"/>
      <c r="K123" s="4">
        <f t="shared" si="16"/>
        <v>-0.10631787961784246</v>
      </c>
      <c r="L123" s="13">
        <f t="shared" si="17"/>
        <v>0.6620783013246061</v>
      </c>
      <c r="M123" s="2"/>
      <c r="N123" s="13">
        <f t="shared" si="13"/>
        <v>-8.5677911657149792</v>
      </c>
      <c r="O123" s="13">
        <f t="shared" si="14"/>
        <v>0.7808438719190427</v>
      </c>
      <c r="P123" s="13">
        <f t="shared" si="15"/>
        <v>2.4215399999999931</v>
      </c>
      <c r="Q123" s="13">
        <f t="shared" ref="Q123:Q145" si="18">(L51-L123)</f>
        <v>0.20680387795770427</v>
      </c>
      <c r="R123" s="3"/>
      <c r="S123">
        <v>0.18918186711461829</v>
      </c>
      <c r="T123" s="4">
        <v>0.37947722044233584</v>
      </c>
      <c r="U123">
        <f t="shared" si="11"/>
        <v>0.16600000000000001</v>
      </c>
      <c r="V123" s="3"/>
      <c r="W123" s="4">
        <v>4.2536657708513543E-3</v>
      </c>
      <c r="X123" s="4">
        <v>9.7542598918453072E-2</v>
      </c>
      <c r="Y123" s="7">
        <v>0.16669999999999999</v>
      </c>
      <c r="Z123" s="52">
        <v>0.16550000000000001</v>
      </c>
      <c r="AA123" s="52">
        <v>0.1658</v>
      </c>
      <c r="AB123" s="1"/>
      <c r="AC123" s="1"/>
    </row>
    <row r="124" spans="1:29" x14ac:dyDescent="0.2">
      <c r="A124" s="20" t="s">
        <v>101</v>
      </c>
      <c r="B124">
        <v>48</v>
      </c>
      <c r="C124" t="s">
        <v>19</v>
      </c>
      <c r="D124" t="s">
        <v>14</v>
      </c>
      <c r="E124" t="s">
        <v>69</v>
      </c>
      <c r="F124" s="4">
        <f t="shared" si="7"/>
        <v>171.80204117240115</v>
      </c>
      <c r="G124">
        <f t="shared" si="8"/>
        <v>14.623570011880897</v>
      </c>
      <c r="H124">
        <f t="shared" si="9"/>
        <v>24.453151999999996</v>
      </c>
      <c r="I124">
        <f t="shared" si="10"/>
        <v>39.076722011880889</v>
      </c>
      <c r="J124" s="2"/>
      <c r="K124" s="4">
        <f t="shared" si="16"/>
        <v>-0.10816439723208839</v>
      </c>
      <c r="L124" s="13">
        <f t="shared" si="17"/>
        <v>0.70697180918593794</v>
      </c>
      <c r="M124" s="2"/>
      <c r="N124" s="13">
        <f t="shared" si="13"/>
        <v>-12.296811191121311</v>
      </c>
      <c r="O124" s="13">
        <f t="shared" si="14"/>
        <v>1.2021851219092561</v>
      </c>
      <c r="P124" s="13">
        <f t="shared" si="15"/>
        <v>1.4235720000000001</v>
      </c>
      <c r="Q124" s="13">
        <f t="shared" si="18"/>
        <v>0.15932627449015058</v>
      </c>
      <c r="R124" s="3"/>
      <c r="S124">
        <v>0.19176895946734626</v>
      </c>
      <c r="T124" s="4">
        <v>0.38105930692170109</v>
      </c>
      <c r="U124">
        <f t="shared" si="11"/>
        <v>0.17013333333333333</v>
      </c>
      <c r="V124" s="3"/>
      <c r="W124" s="4">
        <v>3.2312307685003422E-3</v>
      </c>
      <c r="X124" s="4">
        <v>0.10460465772942236</v>
      </c>
      <c r="Y124" s="7">
        <v>0.1704</v>
      </c>
      <c r="Z124" s="52">
        <v>0.1701</v>
      </c>
      <c r="AA124" s="52">
        <v>0.1699</v>
      </c>
      <c r="AB124" s="1"/>
      <c r="AC124" s="1"/>
    </row>
    <row r="125" spans="1:29" x14ac:dyDescent="0.2">
      <c r="A125" s="20" t="s">
        <v>102</v>
      </c>
      <c r="B125">
        <v>48</v>
      </c>
      <c r="C125" t="s">
        <v>21</v>
      </c>
      <c r="D125" t="s">
        <v>14</v>
      </c>
      <c r="E125" t="s">
        <v>69</v>
      </c>
      <c r="F125" s="4">
        <f t="shared" si="7"/>
        <v>167.9378074718453</v>
      </c>
      <c r="G125">
        <f t="shared" si="8"/>
        <v>14.460836039712673</v>
      </c>
      <c r="H125">
        <f t="shared" si="9"/>
        <v>22.846129999999995</v>
      </c>
      <c r="I125">
        <f t="shared" si="10"/>
        <v>37.30696603971267</v>
      </c>
      <c r="J125" s="2"/>
      <c r="K125" s="4">
        <f t="shared" si="16"/>
        <v>-9.7090521648010131E-2</v>
      </c>
      <c r="L125" s="13">
        <f t="shared" si="17"/>
        <v>0.83291531002058461</v>
      </c>
      <c r="M125" s="2"/>
      <c r="N125" s="13">
        <f t="shared" si="13"/>
        <v>-13.200612405054732</v>
      </c>
      <c r="O125" s="13">
        <f t="shared" si="14"/>
        <v>-0.74063007158996008</v>
      </c>
      <c r="P125" s="13">
        <f t="shared" si="15"/>
        <v>3.2727480000000035</v>
      </c>
      <c r="Q125" s="13">
        <f t="shared" si="18"/>
        <v>3.0798678049282269E-2</v>
      </c>
      <c r="R125" s="3"/>
      <c r="S125">
        <v>0.18869045328590342</v>
      </c>
      <c r="T125" s="4">
        <v>0.3773671848559913</v>
      </c>
      <c r="U125">
        <f t="shared" si="11"/>
        <v>0.16283333333333333</v>
      </c>
      <c r="V125" s="3"/>
      <c r="W125" s="4">
        <v>9.3629448239146602E-3</v>
      </c>
      <c r="X125" s="4">
        <v>0.12441644014796045</v>
      </c>
      <c r="Y125" s="7">
        <v>0.1623</v>
      </c>
      <c r="Z125" s="52">
        <v>0.1628</v>
      </c>
      <c r="AA125" s="52">
        <v>0.16339999999999999</v>
      </c>
      <c r="AB125" s="1"/>
      <c r="AC125" s="1"/>
    </row>
    <row r="126" spans="1:29" x14ac:dyDescent="0.2">
      <c r="A126" s="20" t="s">
        <v>103</v>
      </c>
      <c r="B126">
        <v>48</v>
      </c>
      <c r="C126" t="s">
        <v>21</v>
      </c>
      <c r="D126" t="s">
        <v>14</v>
      </c>
      <c r="E126" t="s">
        <v>69</v>
      </c>
      <c r="F126" s="4">
        <f t="shared" si="7"/>
        <v>167.5405343894727</v>
      </c>
      <c r="G126">
        <f t="shared" si="8"/>
        <v>14.169037696032463</v>
      </c>
      <c r="H126">
        <f t="shared" si="9"/>
        <v>22.824115999999997</v>
      </c>
      <c r="I126">
        <f t="shared" si="10"/>
        <v>36.993153696032458</v>
      </c>
      <c r="J126" s="2"/>
      <c r="K126" s="4">
        <f t="shared" si="16"/>
        <v>-0.10805005424350148</v>
      </c>
      <c r="L126" s="13">
        <f t="shared" si="17"/>
        <v>0.86438560192048208</v>
      </c>
      <c r="M126" s="2"/>
      <c r="N126" s="13">
        <f t="shared" si="13"/>
        <v>-9.1178938655481581</v>
      </c>
      <c r="O126" s="13">
        <f t="shared" si="14"/>
        <v>1.1656441441029752</v>
      </c>
      <c r="P126" s="13">
        <f t="shared" si="15"/>
        <v>3.1406639999999975</v>
      </c>
      <c r="Q126" s="13">
        <f t="shared" si="18"/>
        <v>4.4965773618282912E-3</v>
      </c>
      <c r="R126" s="3"/>
      <c r="S126">
        <v>0.18837395906361326</v>
      </c>
      <c r="T126" s="4">
        <v>0.3707468394598526</v>
      </c>
      <c r="U126">
        <f t="shared" si="11"/>
        <v>0.16273333333333331</v>
      </c>
      <c r="V126" s="3"/>
      <c r="W126" s="4">
        <v>3.2945436082494617E-3</v>
      </c>
      <c r="X126" s="4">
        <v>0.12936693439051158</v>
      </c>
      <c r="Y126" s="7">
        <v>0.1603</v>
      </c>
      <c r="Z126" s="52">
        <v>0.16020000000000001</v>
      </c>
      <c r="AA126" s="52">
        <v>0.16769999999999999</v>
      </c>
      <c r="AB126" s="1"/>
      <c r="AC126" s="1"/>
    </row>
    <row r="127" spans="1:29" x14ac:dyDescent="0.2">
      <c r="A127" s="20" t="s">
        <v>104</v>
      </c>
      <c r="B127">
        <v>48</v>
      </c>
      <c r="C127" t="s">
        <v>21</v>
      </c>
      <c r="D127" t="s">
        <v>14</v>
      </c>
      <c r="E127" t="s">
        <v>69</v>
      </c>
      <c r="F127" s="4">
        <f t="shared" si="7"/>
        <v>168.49038217937752</v>
      </c>
      <c r="G127">
        <f t="shared" si="8"/>
        <v>14.609784293303932</v>
      </c>
      <c r="H127">
        <f t="shared" si="9"/>
        <v>23.264395999999998</v>
      </c>
      <c r="I127">
        <f t="shared" si="10"/>
        <v>37.87418029330393</v>
      </c>
      <c r="J127" s="2"/>
      <c r="K127" s="4">
        <f t="shared" si="16"/>
        <v>-0.10610168427203664</v>
      </c>
      <c r="L127" s="13">
        <f t="shared" si="17"/>
        <v>0.8763069032623868</v>
      </c>
      <c r="M127" s="2"/>
      <c r="N127" s="13">
        <f t="shared" si="13"/>
        <v>-13.987379312161947</v>
      </c>
      <c r="O127" s="13">
        <f t="shared" si="14"/>
        <v>1.2159708404862215</v>
      </c>
      <c r="P127" s="13">
        <f t="shared" si="15"/>
        <v>2.612327999999998</v>
      </c>
      <c r="Q127" s="13">
        <f t="shared" si="18"/>
        <v>-1.000881958629829E-2</v>
      </c>
      <c r="R127" s="3"/>
      <c r="S127">
        <v>0.18913067113623744</v>
      </c>
      <c r="T127" s="4">
        <v>0.38074653537761893</v>
      </c>
      <c r="U127">
        <f t="shared" si="11"/>
        <v>0.16473333333333331</v>
      </c>
      <c r="V127" s="3"/>
      <c r="W127" s="4">
        <v>4.3733752646530188E-3</v>
      </c>
      <c r="X127" s="4">
        <v>0.13124223741739607</v>
      </c>
      <c r="Y127" s="7">
        <v>0.16439999999999999</v>
      </c>
      <c r="Z127" s="52">
        <v>0.16470000000000001</v>
      </c>
      <c r="AA127" s="52">
        <v>0.1651</v>
      </c>
      <c r="AB127" s="1"/>
      <c r="AC127" s="1"/>
    </row>
    <row r="128" spans="1:29" x14ac:dyDescent="0.2">
      <c r="A128" s="20" t="s">
        <v>105</v>
      </c>
      <c r="B128">
        <v>48</v>
      </c>
      <c r="C128" t="s">
        <v>20</v>
      </c>
      <c r="D128" t="s">
        <v>14</v>
      </c>
      <c r="E128" t="s">
        <v>69</v>
      </c>
      <c r="F128" s="4">
        <f t="shared" si="7"/>
        <v>172.68927191408577</v>
      </c>
      <c r="G128">
        <f t="shared" si="8"/>
        <v>14.563001541187893</v>
      </c>
      <c r="H128">
        <f t="shared" si="9"/>
        <v>23.257057999999997</v>
      </c>
      <c r="I128">
        <f t="shared" si="10"/>
        <v>37.820059541187888</v>
      </c>
      <c r="J128" s="2"/>
      <c r="K128" s="4">
        <f t="shared" si="16"/>
        <v>-9.9271840727932853E-2</v>
      </c>
      <c r="L128" s="13">
        <f t="shared" si="17"/>
        <v>0.83939226836620973</v>
      </c>
      <c r="M128" s="2"/>
      <c r="N128" s="13">
        <f t="shared" si="13"/>
        <v>-10.744797303176776</v>
      </c>
      <c r="O128" s="13">
        <f t="shared" si="14"/>
        <v>-0.84279557306517994</v>
      </c>
      <c r="P128" s="13">
        <f t="shared" si="15"/>
        <v>2.8618200000000016</v>
      </c>
      <c r="Q128" s="13">
        <f t="shared" si="18"/>
        <v>2.4321719703657152E-2</v>
      </c>
      <c r="R128" s="3"/>
      <c r="S128">
        <v>0.19247578662488835</v>
      </c>
      <c r="T128" s="4">
        <v>0.3796851243576525</v>
      </c>
      <c r="U128">
        <f t="shared" si="11"/>
        <v>0.16469999999999999</v>
      </c>
      <c r="V128" s="3"/>
      <c r="W128" s="4">
        <v>8.1551269502032966E-3</v>
      </c>
      <c r="X128" s="4">
        <v>0.12543531042413242</v>
      </c>
      <c r="Y128" s="7">
        <v>0.16470000000000001</v>
      </c>
      <c r="Z128" s="52">
        <v>0.1648</v>
      </c>
      <c r="AA128" s="52">
        <v>0.1646</v>
      </c>
      <c r="AB128" s="1"/>
      <c r="AC128" s="1"/>
    </row>
    <row r="129" spans="1:29" x14ac:dyDescent="0.2">
      <c r="A129" s="20" t="s">
        <v>106</v>
      </c>
      <c r="B129">
        <v>48</v>
      </c>
      <c r="C129" t="s">
        <v>20</v>
      </c>
      <c r="D129" t="s">
        <v>14</v>
      </c>
      <c r="E129" t="s">
        <v>69</v>
      </c>
      <c r="F129" s="4">
        <f t="shared" si="7"/>
        <v>170.22512783409761</v>
      </c>
      <c r="G129">
        <f t="shared" si="8"/>
        <v>14.554876080376753</v>
      </c>
      <c r="H129">
        <f t="shared" si="9"/>
        <v>25.634569999999997</v>
      </c>
      <c r="I129">
        <f t="shared" si="10"/>
        <v>40.189446080376747</v>
      </c>
      <c r="J129" s="2"/>
      <c r="K129" s="4">
        <f t="shared" si="16"/>
        <v>-0.10697586803672464</v>
      </c>
      <c r="L129" s="13">
        <f t="shared" si="17"/>
        <v>0.87170419634331664</v>
      </c>
      <c r="M129" s="2"/>
      <c r="N129" s="13">
        <f t="shared" si="13"/>
        <v>-7.6616402654785549</v>
      </c>
      <c r="O129" s="13">
        <f t="shared" si="14"/>
        <v>0.77980575975868582</v>
      </c>
      <c r="P129" s="13">
        <f t="shared" si="15"/>
        <v>0.33020999999999745</v>
      </c>
      <c r="Q129" s="13">
        <f t="shared" si="18"/>
        <v>-2.8220170610062656E-3</v>
      </c>
      <c r="R129" s="3"/>
      <c r="S129">
        <v>0.19051268517449776</v>
      </c>
      <c r="T129" s="4">
        <v>0.37950077321845799</v>
      </c>
      <c r="U129">
        <f t="shared" si="11"/>
        <v>0.17549999999999999</v>
      </c>
      <c r="V129" s="3"/>
      <c r="W129" s="4">
        <v>3.88933109815911E-3</v>
      </c>
      <c r="X129" s="4">
        <v>0.13051819983377641</v>
      </c>
      <c r="Y129" s="7">
        <v>0.17580000000000001</v>
      </c>
      <c r="Z129" s="52">
        <v>0.17530000000000001</v>
      </c>
      <c r="AA129" s="52">
        <v>0.1754</v>
      </c>
      <c r="AB129" s="1"/>
      <c r="AC129" s="1"/>
    </row>
    <row r="130" spans="1:29" x14ac:dyDescent="0.2">
      <c r="A130" s="20" t="s">
        <v>107</v>
      </c>
      <c r="B130">
        <v>48</v>
      </c>
      <c r="C130" t="s">
        <v>20</v>
      </c>
      <c r="D130" t="s">
        <v>14</v>
      </c>
      <c r="E130" t="s">
        <v>69</v>
      </c>
      <c r="F130" s="4">
        <f t="shared" ref="F130:F145" si="19">30*(S130-0.0549)/0.0239</f>
        <v>168.38054297183527</v>
      </c>
      <c r="G130">
        <f t="shared" ref="G130:G145" si="20">(1.4692*T130-0.0724)*30</f>
        <v>14.567820886721895</v>
      </c>
      <c r="H130">
        <f t="shared" ref="H130:H145" si="21">(11.007*U130-0.65)*20</f>
        <v>22.398511999999997</v>
      </c>
      <c r="I130">
        <f t="shared" ref="I130:I145" si="22">G130+H130</f>
        <v>36.966332886721894</v>
      </c>
      <c r="J130" s="2"/>
      <c r="K130" s="4">
        <f t="shared" si="16"/>
        <v>-0.10938926425765493</v>
      </c>
      <c r="L130" s="13">
        <f t="shared" si="17"/>
        <v>0.8628635644174536</v>
      </c>
      <c r="M130" s="2"/>
      <c r="N130" s="13">
        <f t="shared" si="13"/>
        <v>-14.043451106722459</v>
      </c>
      <c r="O130" s="13">
        <f t="shared" si="14"/>
        <v>1.257934247068258</v>
      </c>
      <c r="P130" s="13">
        <f t="shared" si="15"/>
        <v>3.4782119999999992</v>
      </c>
      <c r="Q130" s="13">
        <f t="shared" si="18"/>
        <v>3.434519258634916E-3</v>
      </c>
      <c r="R130" s="3"/>
      <c r="S130">
        <v>0.18904316590089545</v>
      </c>
      <c r="T130" s="4">
        <v>0.37979446607500444</v>
      </c>
      <c r="U130">
        <f t="shared" ref="U130:U145" si="23">AVERAGE(Y130:AA130)</f>
        <v>0.1608</v>
      </c>
      <c r="V130" s="3"/>
      <c r="W130" s="4">
        <v>2.5530098241113379E-3</v>
      </c>
      <c r="X130" s="4">
        <v>0.12912750738043946</v>
      </c>
      <c r="Y130" s="7">
        <v>0.161</v>
      </c>
      <c r="Z130" s="52">
        <v>0.16070000000000001</v>
      </c>
      <c r="AA130" s="52">
        <v>0.16070000000000001</v>
      </c>
      <c r="AB130" s="1"/>
      <c r="AC130" s="1"/>
    </row>
    <row r="131" spans="1:29" s="14" customFormat="1" x14ac:dyDescent="0.2">
      <c r="A131" s="21" t="s">
        <v>108</v>
      </c>
      <c r="B131" s="14">
        <v>48</v>
      </c>
      <c r="C131" s="14" t="s">
        <v>26</v>
      </c>
      <c r="D131" s="14" t="s">
        <v>14</v>
      </c>
      <c r="E131" s="14" t="s">
        <v>69</v>
      </c>
      <c r="F131" s="22">
        <f t="shared" si="19"/>
        <v>183.21755436081438</v>
      </c>
      <c r="G131" s="14">
        <f t="shared" si="20"/>
        <v>12.193901382271367</v>
      </c>
      <c r="H131">
        <f t="shared" si="21"/>
        <v>25.018177999999995</v>
      </c>
      <c r="I131">
        <f t="shared" si="22"/>
        <v>37.212079382271362</v>
      </c>
      <c r="J131" s="30"/>
      <c r="K131" s="4">
        <f t="shared" si="16"/>
        <v>0.41585464719002935</v>
      </c>
      <c r="L131" s="31">
        <v>0.7</v>
      </c>
      <c r="M131" s="30"/>
      <c r="N131" s="13">
        <f t="shared" si="13"/>
        <v>-5.3032086427087526</v>
      </c>
      <c r="O131" s="13">
        <f t="shared" si="14"/>
        <v>1.5263045858513458</v>
      </c>
      <c r="P131" s="13">
        <f t="shared" si="15"/>
        <v>1.1007000000000033</v>
      </c>
      <c r="Q131" s="13">
        <f t="shared" si="18"/>
        <v>0.16371398806986692</v>
      </c>
      <c r="R131" s="23"/>
      <c r="S131" s="14">
        <v>0.2008633183074488</v>
      </c>
      <c r="T131" s="22">
        <v>0.32593478043087776</v>
      </c>
      <c r="U131">
        <f t="shared" si="23"/>
        <v>0.17269999999999999</v>
      </c>
      <c r="V131" s="23"/>
      <c r="W131" s="23">
        <v>0.29338574041529863</v>
      </c>
      <c r="X131" s="4" t="e">
        <v>#VALUE!</v>
      </c>
      <c r="Y131" s="32">
        <v>0.17249999999999999</v>
      </c>
      <c r="Z131" s="53">
        <v>0.1729</v>
      </c>
      <c r="AA131" s="53">
        <v>0.17269999999999999</v>
      </c>
      <c r="AB131" s="33"/>
      <c r="AC131" s="33"/>
    </row>
    <row r="132" spans="1:29" s="14" customFormat="1" x14ac:dyDescent="0.2">
      <c r="A132" s="21" t="s">
        <v>109</v>
      </c>
      <c r="B132" s="14">
        <v>48</v>
      </c>
      <c r="C132" s="14" t="s">
        <v>26</v>
      </c>
      <c r="D132" s="14" t="s">
        <v>14</v>
      </c>
      <c r="E132" s="14" t="s">
        <v>69</v>
      </c>
      <c r="F132" s="22">
        <f t="shared" si="19"/>
        <v>193.372550391478</v>
      </c>
      <c r="G132" s="14">
        <f t="shared" si="20"/>
        <v>14.281476777629106</v>
      </c>
      <c r="H132">
        <f t="shared" si="21"/>
        <v>23.998196</v>
      </c>
      <c r="I132">
        <f t="shared" si="22"/>
        <v>38.279672777629102</v>
      </c>
      <c r="J132" s="30"/>
      <c r="K132" s="4">
        <f t="shared" si="16"/>
        <v>0.42746665858423893</v>
      </c>
      <c r="L132" s="31">
        <v>0.7</v>
      </c>
      <c r="M132" s="30"/>
      <c r="N132" s="13">
        <f t="shared" si="13"/>
        <v>4.8946436288327764</v>
      </c>
      <c r="O132" s="13">
        <f t="shared" si="14"/>
        <v>1.0532050625063327</v>
      </c>
      <c r="P132" s="13">
        <f t="shared" si="15"/>
        <v>1.9665839999999939</v>
      </c>
      <c r="Q132" s="13">
        <f t="shared" si="18"/>
        <v>0.16888217928231042</v>
      </c>
      <c r="R132" s="23"/>
      <c r="S132" s="14">
        <v>0.20895346514521079</v>
      </c>
      <c r="T132" s="22">
        <v>0.37329786681253074</v>
      </c>
      <c r="U132">
        <f t="shared" si="23"/>
        <v>0.16806666666666667</v>
      </c>
      <c r="V132" s="23"/>
      <c r="W132" s="23">
        <v>0.29981542557266827</v>
      </c>
      <c r="X132" s="4" t="e">
        <v>#VALUE!</v>
      </c>
      <c r="Y132" s="32">
        <v>0.16789999999999999</v>
      </c>
      <c r="Z132" s="53">
        <v>0.1681</v>
      </c>
      <c r="AA132" s="53">
        <v>0.16819999999999999</v>
      </c>
      <c r="AB132" s="33"/>
      <c r="AC132" s="33"/>
    </row>
    <row r="133" spans="1:29" s="14" customFormat="1" x14ac:dyDescent="0.2">
      <c r="A133" s="21" t="s">
        <v>110</v>
      </c>
      <c r="B133" s="14">
        <v>48</v>
      </c>
      <c r="C133" s="14" t="s">
        <v>26</v>
      </c>
      <c r="D133" s="14" t="s">
        <v>14</v>
      </c>
      <c r="E133" s="14" t="s">
        <v>69</v>
      </c>
      <c r="F133" s="22">
        <f t="shared" si="19"/>
        <v>183.67841578330427</v>
      </c>
      <c r="G133" s="14">
        <f t="shared" si="20"/>
        <v>14.390937594962866</v>
      </c>
      <c r="H133">
        <f t="shared" si="21"/>
        <v>23.616619999999998</v>
      </c>
      <c r="I133">
        <f t="shared" si="22"/>
        <v>38.007557594962861</v>
      </c>
      <c r="J133" s="30"/>
      <c r="K133" s="4">
        <f t="shared" si="16"/>
        <v>0.43026033973346839</v>
      </c>
      <c r="L133" s="31">
        <v>0.7</v>
      </c>
      <c r="M133" s="30"/>
      <c r="N133" s="13">
        <f t="shared" si="13"/>
        <v>-6.2340431485706294</v>
      </c>
      <c r="O133" s="13">
        <f t="shared" si="14"/>
        <v>1.4348175388272875</v>
      </c>
      <c r="P133" s="13">
        <f t="shared" si="15"/>
        <v>2.2601039999999983</v>
      </c>
      <c r="Q133" s="13">
        <f t="shared" si="18"/>
        <v>0.16629808367608856</v>
      </c>
      <c r="R133" s="23"/>
      <c r="S133" s="14">
        <v>0.20123047124069909</v>
      </c>
      <c r="T133" s="22">
        <v>0.37578132305478867</v>
      </c>
      <c r="U133">
        <f t="shared" si="23"/>
        <v>0.16633333333333333</v>
      </c>
      <c r="V133" s="23"/>
      <c r="W133" s="23">
        <v>0.30136231435961708</v>
      </c>
      <c r="X133" s="4" t="e">
        <v>#VALUE!</v>
      </c>
      <c r="Y133" s="32">
        <v>0.16650000000000001</v>
      </c>
      <c r="Z133" s="53">
        <v>0.1661</v>
      </c>
      <c r="AA133" s="53">
        <v>0.16639999999999999</v>
      </c>
      <c r="AB133" s="33"/>
      <c r="AC133" s="33"/>
    </row>
    <row r="134" spans="1:29" x14ac:dyDescent="0.2">
      <c r="A134" s="18" t="s">
        <v>99</v>
      </c>
      <c r="B134">
        <v>48</v>
      </c>
      <c r="C134" t="s">
        <v>19</v>
      </c>
      <c r="D134" t="s">
        <v>15</v>
      </c>
      <c r="E134" t="s">
        <v>69</v>
      </c>
      <c r="F134" s="4">
        <f t="shared" si="19"/>
        <v>160.49431205863007</v>
      </c>
      <c r="G134">
        <f t="shared" si="20"/>
        <v>13.988014837535804</v>
      </c>
      <c r="H134">
        <f t="shared" si="21"/>
        <v>21.209756000000006</v>
      </c>
      <c r="I134">
        <f t="shared" si="22"/>
        <v>35.197770837535813</v>
      </c>
      <c r="J134" s="2"/>
      <c r="K134" s="4">
        <f t="shared" si="16"/>
        <v>-0.10937347305329588</v>
      </c>
      <c r="L134" s="13">
        <f t="shared" si="17"/>
        <v>0.70587349707428448</v>
      </c>
      <c r="M134" s="2"/>
      <c r="N134" s="13">
        <f t="shared" si="13"/>
        <v>-17.047815445032391</v>
      </c>
      <c r="O134" s="13">
        <f t="shared" si="14"/>
        <v>-0.26780886941309134</v>
      </c>
      <c r="P134" s="13">
        <f t="shared" si="15"/>
        <v>4.9091219999999929</v>
      </c>
      <c r="Q134" s="13">
        <f t="shared" si="18"/>
        <v>0.15784049099558239</v>
      </c>
      <c r="R134" s="3"/>
      <c r="S134">
        <v>0.18276046860670864</v>
      </c>
      <c r="T134" s="4">
        <v>0.3666397776008668</v>
      </c>
      <c r="U134">
        <f t="shared" si="23"/>
        <v>0.15540000000000001</v>
      </c>
      <c r="V134" s="3"/>
      <c r="W134" s="4">
        <v>2.5617535696036047E-3</v>
      </c>
      <c r="X134" s="4">
        <v>0.10443188564956496</v>
      </c>
      <c r="Y134" s="7">
        <v>0.15620000000000001</v>
      </c>
      <c r="Z134" s="52">
        <v>0.15509999999999999</v>
      </c>
      <c r="AA134" s="52">
        <v>0.15490000000000001</v>
      </c>
      <c r="AB134" s="1"/>
      <c r="AC134" s="1"/>
    </row>
    <row r="135" spans="1:29" x14ac:dyDescent="0.2">
      <c r="A135" s="18" t="s">
        <v>100</v>
      </c>
      <c r="B135">
        <v>48</v>
      </c>
      <c r="C135" t="s">
        <v>19</v>
      </c>
      <c r="D135" t="s">
        <v>15</v>
      </c>
      <c r="E135" t="s">
        <v>69</v>
      </c>
      <c r="F135" s="4">
        <f t="shared" si="19"/>
        <v>177.43338711407057</v>
      </c>
      <c r="G135">
        <f t="shared" si="20"/>
        <v>14.195784421416281</v>
      </c>
      <c r="H135">
        <f t="shared" si="21"/>
        <v>23.073608000000007</v>
      </c>
      <c r="I135">
        <f t="shared" si="22"/>
        <v>37.269392421416285</v>
      </c>
      <c r="J135" s="2"/>
      <c r="K135" s="4">
        <f t="shared" si="16"/>
        <v>-0.1082473304507561</v>
      </c>
      <c r="L135" s="13">
        <f t="shared" si="17"/>
        <v>0.68992399977475805</v>
      </c>
      <c r="M135" s="2"/>
      <c r="N135" s="13">
        <f t="shared" si="13"/>
        <v>-3.7515310652520015</v>
      </c>
      <c r="O135" s="13">
        <f t="shared" si="14"/>
        <v>1.1388974187191572</v>
      </c>
      <c r="P135" s="13">
        <f t="shared" si="15"/>
        <v>2.8911719999999868</v>
      </c>
      <c r="Q135" s="13">
        <f t="shared" si="18"/>
        <v>0.17895817950755233</v>
      </c>
      <c r="R135" s="3"/>
      <c r="S135">
        <v>0.1962552650675429</v>
      </c>
      <c r="T135" s="4">
        <v>0.37135367141792092</v>
      </c>
      <c r="U135">
        <f t="shared" si="23"/>
        <v>0.16386666666666669</v>
      </c>
      <c r="V135" s="3"/>
      <c r="W135" s="4">
        <v>3.1853098279312803E-3</v>
      </c>
      <c r="X135" s="4">
        <v>0.10192291958073904</v>
      </c>
      <c r="Y135" s="7">
        <v>0.16420000000000001</v>
      </c>
      <c r="Z135" s="52">
        <v>0.1638</v>
      </c>
      <c r="AA135" s="52">
        <v>0.1636</v>
      </c>
      <c r="AB135" s="1"/>
      <c r="AC135" s="1"/>
    </row>
    <row r="136" spans="1:29" x14ac:dyDescent="0.2">
      <c r="A136" s="18" t="s">
        <v>101</v>
      </c>
      <c r="B136">
        <v>48</v>
      </c>
      <c r="C136" t="s">
        <v>19</v>
      </c>
      <c r="D136" t="s">
        <v>15</v>
      </c>
      <c r="E136" t="s">
        <v>69</v>
      </c>
      <c r="F136" s="4">
        <f t="shared" si="19"/>
        <v>173.52111156742592</v>
      </c>
      <c r="G136">
        <f t="shared" si="20"/>
        <v>13.978249407539087</v>
      </c>
      <c r="H136">
        <f t="shared" si="21"/>
        <v>23.616619999999998</v>
      </c>
      <c r="I136">
        <f t="shared" si="22"/>
        <v>37.594869407539086</v>
      </c>
      <c r="J136" s="2"/>
      <c r="K136" s="4">
        <f t="shared" si="16"/>
        <v>-0.10872347320902528</v>
      </c>
      <c r="L136" s="13">
        <f t="shared" si="17"/>
        <v>0.70051467116616717</v>
      </c>
      <c r="M136" s="2"/>
      <c r="N136" s="13">
        <f t="shared" si="13"/>
        <v>-11.419243297272381</v>
      </c>
      <c r="O136" s="13">
        <f t="shared" si="14"/>
        <v>1.8475057262510663</v>
      </c>
      <c r="P136" s="13">
        <f t="shared" si="15"/>
        <v>2.2601039999999983</v>
      </c>
      <c r="Q136" s="13">
        <f t="shared" si="18"/>
        <v>0.16578341250992135</v>
      </c>
      <c r="R136" s="3"/>
      <c r="S136">
        <v>0.19313848554871602</v>
      </c>
      <c r="T136" s="4">
        <v>0.3664182187026746</v>
      </c>
      <c r="U136">
        <f t="shared" si="23"/>
        <v>0.16633333333333333</v>
      </c>
      <c r="V136" s="3"/>
      <c r="W136" s="4">
        <v>2.921664889797742E-3</v>
      </c>
      <c r="X136" s="4">
        <v>0.10358890532738196</v>
      </c>
      <c r="Y136" s="7">
        <v>0.16650000000000001</v>
      </c>
      <c r="Z136" s="52">
        <v>0.1663</v>
      </c>
      <c r="AA136" s="52">
        <v>0.16619999999999999</v>
      </c>
      <c r="AB136" s="1"/>
      <c r="AC136" s="1"/>
    </row>
    <row r="137" spans="1:29" x14ac:dyDescent="0.2">
      <c r="A137" s="18" t="s">
        <v>102</v>
      </c>
      <c r="B137">
        <v>48</v>
      </c>
      <c r="C137" t="s">
        <v>21</v>
      </c>
      <c r="D137" t="s">
        <v>15</v>
      </c>
      <c r="E137" t="s">
        <v>69</v>
      </c>
      <c r="F137" s="4">
        <f t="shared" si="19"/>
        <v>177.04534502923914</v>
      </c>
      <c r="G137">
        <f t="shared" si="20"/>
        <v>14.185532930110991</v>
      </c>
      <c r="H137">
        <f t="shared" si="21"/>
        <v>22.325131999999996</v>
      </c>
      <c r="I137">
        <f t="shared" si="22"/>
        <v>36.510664930110991</v>
      </c>
      <c r="J137" s="2"/>
      <c r="K137" s="4">
        <f t="shared" si="16"/>
        <v>-0.10856789172877589</v>
      </c>
      <c r="L137" s="13">
        <f t="shared" si="17"/>
        <v>0.85752286093934282</v>
      </c>
      <c r="M137" s="2"/>
      <c r="N137" s="13">
        <f t="shared" si="13"/>
        <v>-8.4933419316547436</v>
      </c>
      <c r="O137" s="13">
        <f t="shared" si="14"/>
        <v>-0.4653269619882785</v>
      </c>
      <c r="P137" s="13">
        <f t="shared" si="15"/>
        <v>3.7937460000000023</v>
      </c>
      <c r="Q137" s="13">
        <f t="shared" si="18"/>
        <v>6.1911271305240545E-3</v>
      </c>
      <c r="R137" s="3"/>
      <c r="S137">
        <v>0.19594612487329385</v>
      </c>
      <c r="T137" s="4">
        <v>0.37112108471982463</v>
      </c>
      <c r="U137">
        <f t="shared" si="23"/>
        <v>0.16046666666666665</v>
      </c>
      <c r="V137" s="3"/>
      <c r="W137" s="4">
        <v>3.0078118888284175E-3</v>
      </c>
      <c r="X137" s="4">
        <v>0.12828737784164587</v>
      </c>
      <c r="Y137" s="7">
        <v>0.16089999999999999</v>
      </c>
      <c r="Z137" s="52">
        <v>0.16109999999999999</v>
      </c>
      <c r="AA137" s="52">
        <v>0.15939999999999999</v>
      </c>
      <c r="AB137" s="1"/>
      <c r="AC137" s="1"/>
    </row>
    <row r="138" spans="1:29" x14ac:dyDescent="0.2">
      <c r="A138" s="18" t="s">
        <v>103</v>
      </c>
      <c r="B138">
        <v>48</v>
      </c>
      <c r="C138" t="s">
        <v>21</v>
      </c>
      <c r="D138" t="s">
        <v>15</v>
      </c>
      <c r="E138" t="s">
        <v>69</v>
      </c>
      <c r="F138" s="4">
        <f t="shared" si="19"/>
        <v>173.83370517443748</v>
      </c>
      <c r="G138">
        <f t="shared" si="20"/>
        <v>14.247322084185072</v>
      </c>
      <c r="H138">
        <f t="shared" si="21"/>
        <v>23.425832</v>
      </c>
      <c r="I138">
        <f t="shared" si="22"/>
        <v>37.673154084185072</v>
      </c>
      <c r="J138" s="2"/>
      <c r="K138" s="4">
        <f t="shared" si="16"/>
        <v>-9.6862523146359847E-2</v>
      </c>
      <c r="L138" s="13">
        <f t="shared" si="17"/>
        <v>0.86348977801903082</v>
      </c>
      <c r="M138" s="2"/>
      <c r="N138" s="13">
        <f t="shared" si="13"/>
        <v>-5.7041730171243943</v>
      </c>
      <c r="O138" s="13">
        <f t="shared" si="14"/>
        <v>1.0873597559503665</v>
      </c>
      <c r="P138" s="13">
        <f t="shared" si="15"/>
        <v>2.5389479999999942</v>
      </c>
      <c r="Q138" s="13">
        <f t="shared" si="18"/>
        <v>5.3924012632795559E-3</v>
      </c>
      <c r="R138" s="3"/>
      <c r="S138">
        <v>0.1933875184556352</v>
      </c>
      <c r="T138" s="4">
        <v>0.37252296225122677</v>
      </c>
      <c r="U138">
        <f t="shared" si="23"/>
        <v>0.16546666666666668</v>
      </c>
      <c r="V138" s="3"/>
      <c r="W138" s="4">
        <v>9.4891898414397324E-3</v>
      </c>
      <c r="X138" s="4">
        <v>0.12922601510445664</v>
      </c>
      <c r="Y138" s="7">
        <v>0.16520000000000001</v>
      </c>
      <c r="Z138" s="52">
        <v>0.16539999999999999</v>
      </c>
      <c r="AA138" s="52">
        <v>0.1658</v>
      </c>
      <c r="AB138" s="1"/>
      <c r="AC138" s="1"/>
    </row>
    <row r="139" spans="1:29" x14ac:dyDescent="0.2">
      <c r="A139" s="18" t="s">
        <v>104</v>
      </c>
      <c r="B139">
        <v>48</v>
      </c>
      <c r="C139" t="s">
        <v>21</v>
      </c>
      <c r="D139" t="s">
        <v>15</v>
      </c>
      <c r="E139" t="s">
        <v>69</v>
      </c>
      <c r="F139" s="4">
        <f t="shared" si="19"/>
        <v>175.8535461715249</v>
      </c>
      <c r="G139">
        <f t="shared" si="20"/>
        <v>14.208150582709603</v>
      </c>
      <c r="H139">
        <f t="shared" si="21"/>
        <v>21.855499999999999</v>
      </c>
      <c r="I139">
        <f t="shared" si="22"/>
        <v>36.063650582709599</v>
      </c>
      <c r="J139" s="2"/>
      <c r="K139" s="4">
        <f t="shared" si="16"/>
        <v>-9.4538267764843253E-2</v>
      </c>
      <c r="L139" s="13">
        <f t="shared" si="17"/>
        <v>0.88040853672497965</v>
      </c>
      <c r="M139" s="2"/>
      <c r="N139" s="13">
        <f t="shared" ref="N139:N145" si="24">-(F67-F139)/F67*100</f>
        <v>-10.22855923396501</v>
      </c>
      <c r="O139" s="13">
        <f t="shared" ref="O139:O145" si="25">G67-G139</f>
        <v>1.6176045510805501</v>
      </c>
      <c r="P139" s="13">
        <f t="shared" ref="P139:P145" si="26">H67-H139</f>
        <v>4.0212239999999966</v>
      </c>
      <c r="Q139" s="13">
        <f t="shared" si="18"/>
        <v>-1.4110453048891136E-2</v>
      </c>
      <c r="R139" s="3"/>
      <c r="S139">
        <v>0.19499665844998151</v>
      </c>
      <c r="T139" s="4">
        <v>0.37163423592679923</v>
      </c>
      <c r="U139">
        <f t="shared" si="23"/>
        <v>0.15833333333333333</v>
      </c>
      <c r="V139" s="3"/>
      <c r="W139" s="4">
        <v>1.0776152954128874E-2</v>
      </c>
      <c r="X139" s="4">
        <v>0.13188745268601221</v>
      </c>
      <c r="Y139" s="7">
        <v>0.15890000000000001</v>
      </c>
      <c r="Z139" s="52">
        <v>0.1585</v>
      </c>
      <c r="AA139" s="52">
        <v>0.15759999999999999</v>
      </c>
      <c r="AB139" s="1"/>
      <c r="AC139" s="1"/>
    </row>
    <row r="140" spans="1:29" x14ac:dyDescent="0.2">
      <c r="A140" s="18" t="s">
        <v>105</v>
      </c>
      <c r="B140">
        <v>48</v>
      </c>
      <c r="C140" t="s">
        <v>20</v>
      </c>
      <c r="D140" t="s">
        <v>15</v>
      </c>
      <c r="E140" t="s">
        <v>69</v>
      </c>
      <c r="F140" s="4">
        <f t="shared" si="19"/>
        <v>182.59778989120792</v>
      </c>
      <c r="G140">
        <f t="shared" si="20"/>
        <v>15.302605320155973</v>
      </c>
      <c r="H140">
        <f t="shared" si="21"/>
        <v>26.17758199999999</v>
      </c>
      <c r="I140">
        <f t="shared" si="22"/>
        <v>41.480187320155963</v>
      </c>
      <c r="J140" s="2"/>
      <c r="K140" s="4">
        <f t="shared" si="16"/>
        <v>-0.1003850952757155</v>
      </c>
      <c r="L140" s="13">
        <f t="shared" si="17"/>
        <v>0.83158449217809294</v>
      </c>
      <c r="M140" s="2"/>
      <c r="N140" s="13">
        <f t="shared" si="24"/>
        <v>-5.6235366095006549</v>
      </c>
      <c r="O140" s="13">
        <f t="shared" si="25"/>
        <v>-1.58239935203326</v>
      </c>
      <c r="P140" s="13">
        <f t="shared" si="26"/>
        <v>-5.8703999999991652E-2</v>
      </c>
      <c r="Q140" s="13">
        <f t="shared" si="18"/>
        <v>3.212949589177394E-2</v>
      </c>
      <c r="R140" s="3"/>
      <c r="S140">
        <v>0.20036957261332899</v>
      </c>
      <c r="T140" s="4">
        <v>0.39646531718295608</v>
      </c>
      <c r="U140">
        <f t="shared" si="23"/>
        <v>0.17796666666666663</v>
      </c>
      <c r="V140" s="3"/>
      <c r="W140" s="4">
        <v>7.5387069348197633E-3</v>
      </c>
      <c r="X140" s="4">
        <v>0.12420709331101037</v>
      </c>
      <c r="Y140" s="7">
        <v>0.17929999999999999</v>
      </c>
      <c r="Z140" s="52">
        <v>0.17699999999999999</v>
      </c>
      <c r="AA140" s="52">
        <v>0.17760000000000001</v>
      </c>
      <c r="AB140" s="1"/>
      <c r="AC140" s="1"/>
    </row>
    <row r="141" spans="1:29" x14ac:dyDescent="0.2">
      <c r="A141" s="18" t="s">
        <v>106</v>
      </c>
      <c r="B141">
        <v>48</v>
      </c>
      <c r="C141" t="s">
        <v>20</v>
      </c>
      <c r="D141" t="s">
        <v>15</v>
      </c>
      <c r="E141" t="s">
        <v>69</v>
      </c>
      <c r="F141" s="4">
        <f t="shared" si="19"/>
        <v>178.46688482366429</v>
      </c>
      <c r="G141">
        <f t="shared" si="20"/>
        <v>15.021592504209616</v>
      </c>
      <c r="H141">
        <f t="shared" si="21"/>
        <v>25.069543999999986</v>
      </c>
      <c r="I141">
        <f t="shared" si="22"/>
        <v>40.091136504209601</v>
      </c>
      <c r="J141" s="2"/>
      <c r="K141" s="4">
        <f t="shared" si="16"/>
        <v>-0.10776037181550162</v>
      </c>
      <c r="L141" s="13">
        <f t="shared" si="17"/>
        <v>0.85876212114928585</v>
      </c>
      <c r="M141" s="2"/>
      <c r="N141" s="13">
        <f t="shared" si="24"/>
        <v>-3.1909118164518082</v>
      </c>
      <c r="O141" s="13">
        <f t="shared" si="25"/>
        <v>0.313089335925822</v>
      </c>
      <c r="P141" s="13">
        <f t="shared" si="26"/>
        <v>0.89523600000000769</v>
      </c>
      <c r="Q141" s="13">
        <f t="shared" si="18"/>
        <v>1.0120058133024523E-2</v>
      </c>
      <c r="R141" s="3"/>
      <c r="S141">
        <v>0.19707861824285255</v>
      </c>
      <c r="T141" s="4">
        <v>0.39008967474838047</v>
      </c>
      <c r="U141">
        <f t="shared" si="23"/>
        <v>0.1729333333333333</v>
      </c>
      <c r="V141" s="3"/>
      <c r="W141" s="4">
        <v>3.454943623753255E-3</v>
      </c>
      <c r="X141" s="4">
        <v>0.12848232203071983</v>
      </c>
      <c r="Y141" s="7">
        <v>0.1736</v>
      </c>
      <c r="Z141" s="52">
        <v>0.1724</v>
      </c>
      <c r="AA141" s="52">
        <v>0.17280000000000001</v>
      </c>
      <c r="AB141" s="1"/>
      <c r="AC141" s="1"/>
    </row>
    <row r="142" spans="1:29" x14ac:dyDescent="0.2">
      <c r="A142" s="18" t="s">
        <v>107</v>
      </c>
      <c r="B142">
        <v>48</v>
      </c>
      <c r="C142" t="s">
        <v>20</v>
      </c>
      <c r="D142" t="s">
        <v>15</v>
      </c>
      <c r="E142" t="s">
        <v>69</v>
      </c>
      <c r="F142" s="4">
        <f t="shared" si="19"/>
        <v>194.5549153046012</v>
      </c>
      <c r="G142">
        <f t="shared" si="20"/>
        <v>15.287803155687515</v>
      </c>
      <c r="H142">
        <f t="shared" si="21"/>
        <v>21.598670000000002</v>
      </c>
      <c r="I142">
        <f t="shared" si="22"/>
        <v>36.886473155687518</v>
      </c>
      <c r="J142" s="2"/>
      <c r="K142" s="4">
        <f t="shared" si="16"/>
        <v>-0.10942084372442321</v>
      </c>
      <c r="L142" s="13">
        <f t="shared" si="17"/>
        <v>0.8613857613302276</v>
      </c>
      <c r="M142" s="2"/>
      <c r="N142" s="13">
        <f t="shared" si="24"/>
        <v>-0.6817011357143764</v>
      </c>
      <c r="O142" s="13">
        <f t="shared" si="25"/>
        <v>0.53795197810263851</v>
      </c>
      <c r="P142" s="13">
        <f t="shared" si="26"/>
        <v>4.2780539999999938</v>
      </c>
      <c r="Q142" s="13">
        <f t="shared" si="18"/>
        <v>4.91232234586092E-3</v>
      </c>
      <c r="R142" s="3"/>
      <c r="S142">
        <v>0.2098954158593323</v>
      </c>
      <c r="T142" s="4">
        <v>0.39612948442888452</v>
      </c>
      <c r="U142">
        <f t="shared" si="23"/>
        <v>0.15716666666666668</v>
      </c>
      <c r="V142" s="3"/>
      <c r="W142" s="4">
        <v>2.5355239621133925E-3</v>
      </c>
      <c r="X142" s="4">
        <v>0.12889503874944591</v>
      </c>
      <c r="Y142" s="7">
        <v>0.1573</v>
      </c>
      <c r="Z142" s="52">
        <v>0.15690000000000001</v>
      </c>
      <c r="AA142" s="52">
        <v>0.1573</v>
      </c>
      <c r="AB142" s="1"/>
      <c r="AC142" s="1"/>
    </row>
    <row r="143" spans="1:29" s="35" customFormat="1" x14ac:dyDescent="0.2">
      <c r="A143" s="40" t="s">
        <v>108</v>
      </c>
      <c r="B143" s="35">
        <v>48</v>
      </c>
      <c r="C143" s="35" t="s">
        <v>26</v>
      </c>
      <c r="D143" s="35" t="s">
        <v>15</v>
      </c>
      <c r="E143" s="35" t="s">
        <v>69</v>
      </c>
      <c r="F143" s="26">
        <f t="shared" si="19"/>
        <v>188.03395272049789</v>
      </c>
      <c r="G143" s="35">
        <f t="shared" si="20"/>
        <v>15.16817741597982</v>
      </c>
      <c r="H143">
        <f t="shared" si="21"/>
        <v>22.449877999999998</v>
      </c>
      <c r="I143">
        <f t="shared" si="22"/>
        <v>37.618055415979818</v>
      </c>
      <c r="J143" s="36"/>
      <c r="K143" s="4">
        <f t="shared" si="16"/>
        <v>-0.10411902777779936</v>
      </c>
      <c r="L143" s="37">
        <f t="shared" si="17"/>
        <v>0.7751496874380126</v>
      </c>
      <c r="M143" s="36"/>
      <c r="N143" s="13">
        <f t="shared" si="24"/>
        <v>-2.8138321626453462</v>
      </c>
      <c r="O143" s="13">
        <f t="shared" si="25"/>
        <v>-1.4479714478571069</v>
      </c>
      <c r="P143" s="13">
        <f t="shared" si="26"/>
        <v>3.6690000000000005</v>
      </c>
      <c r="Q143" s="13">
        <f t="shared" si="18"/>
        <v>8.8564300631854276E-2</v>
      </c>
      <c r="R143" s="27"/>
      <c r="S143" s="35">
        <v>0.20470038233399668</v>
      </c>
      <c r="T143" s="26">
        <v>0.3934154055717356</v>
      </c>
      <c r="U143">
        <f t="shared" si="23"/>
        <v>0.16103333333333333</v>
      </c>
      <c r="V143" s="27"/>
      <c r="W143" s="27">
        <v>5.47119170664488E-3</v>
      </c>
      <c r="X143" s="4">
        <v>0.11532950879943568</v>
      </c>
      <c r="Y143" s="38">
        <v>0.16200000000000001</v>
      </c>
      <c r="Z143" s="54">
        <v>0.16059999999999999</v>
      </c>
      <c r="AA143" s="54">
        <v>0.1605</v>
      </c>
      <c r="AB143" s="39"/>
      <c r="AC143" s="39"/>
    </row>
    <row r="144" spans="1:29" s="35" customFormat="1" x14ac:dyDescent="0.2">
      <c r="A144" s="40" t="s">
        <v>109</v>
      </c>
      <c r="B144" s="35">
        <v>48</v>
      </c>
      <c r="C144" s="35" t="s">
        <v>26</v>
      </c>
      <c r="D144" s="35" t="s">
        <v>15</v>
      </c>
      <c r="E144" s="35" t="s">
        <v>69</v>
      </c>
      <c r="F144" s="26">
        <f t="shared" si="19"/>
        <v>184.19620531000535</v>
      </c>
      <c r="G144" s="35">
        <f t="shared" si="20"/>
        <v>14.464178426623045</v>
      </c>
      <c r="H144">
        <f t="shared" si="21"/>
        <v>20.996953999999988</v>
      </c>
      <c r="I144">
        <f t="shared" si="22"/>
        <v>35.461132426623031</v>
      </c>
      <c r="J144" s="36"/>
      <c r="K144" s="4">
        <f t="shared" si="16"/>
        <v>-0.10908201170997392</v>
      </c>
      <c r="L144" s="37">
        <f t="shared" si="17"/>
        <v>0.79822030221512941</v>
      </c>
      <c r="M144" s="36"/>
      <c r="N144" s="13">
        <f t="shared" si="24"/>
        <v>-8.305069845208285E-2</v>
      </c>
      <c r="O144" s="13">
        <f t="shared" si="25"/>
        <v>0.87050341351239346</v>
      </c>
      <c r="P144" s="13">
        <f t="shared" si="26"/>
        <v>4.9678260000000058</v>
      </c>
      <c r="Q144" s="13">
        <f t="shared" si="18"/>
        <v>7.0661877067180967E-2</v>
      </c>
      <c r="R144" s="27"/>
      <c r="S144" s="35">
        <v>0.20164297689697094</v>
      </c>
      <c r="T144" s="26">
        <v>0.37744301721170354</v>
      </c>
      <c r="U144">
        <f t="shared" si="23"/>
        <v>0.15443333333333331</v>
      </c>
      <c r="V144" s="27"/>
      <c r="W144" s="27">
        <v>2.7231385880543057E-3</v>
      </c>
      <c r="X144" s="4">
        <v>0.11895867582430855</v>
      </c>
      <c r="Y144" s="38">
        <v>0.1542</v>
      </c>
      <c r="Z144" s="54">
        <v>0.15459999999999999</v>
      </c>
      <c r="AA144" s="54">
        <v>0.1545</v>
      </c>
      <c r="AB144" s="39"/>
      <c r="AC144" s="39"/>
    </row>
    <row r="145" spans="1:29" s="35" customFormat="1" x14ac:dyDescent="0.2">
      <c r="A145" s="40" t="s">
        <v>110</v>
      </c>
      <c r="B145" s="35">
        <v>48</v>
      </c>
      <c r="C145" s="35" t="s">
        <v>26</v>
      </c>
      <c r="D145" s="35" t="s">
        <v>15</v>
      </c>
      <c r="E145" s="35" t="s">
        <v>69</v>
      </c>
      <c r="F145" s="26">
        <f t="shared" si="19"/>
        <v>157.92881357118725</v>
      </c>
      <c r="G145" s="35">
        <f t="shared" si="20"/>
        <v>17.030263650166372</v>
      </c>
      <c r="H145">
        <f t="shared" si="21"/>
        <v>20.945587999999997</v>
      </c>
      <c r="I145">
        <f t="shared" si="22"/>
        <v>37.975851650166369</v>
      </c>
      <c r="J145" s="36"/>
      <c r="K145" s="4">
        <f t="shared" si="16"/>
        <v>-0.11002188745266889</v>
      </c>
      <c r="L145" s="37">
        <f t="shared" si="17"/>
        <v>0.78757158813949868</v>
      </c>
      <c r="M145" s="36"/>
      <c r="N145" s="13">
        <f t="shared" si="24"/>
        <v>-19.378952307691865</v>
      </c>
      <c r="O145" s="13">
        <f t="shared" si="25"/>
        <v>-1.2045085163762188</v>
      </c>
      <c r="P145" s="13">
        <f t="shared" si="26"/>
        <v>4.9311359999999986</v>
      </c>
      <c r="Q145" s="13">
        <f t="shared" si="18"/>
        <v>7.8726495536589836E-2</v>
      </c>
      <c r="R145" s="27"/>
      <c r="S145" s="35">
        <v>0.18071662147837919</v>
      </c>
      <c r="T145" s="26">
        <v>0.43566257487445254</v>
      </c>
      <c r="U145">
        <f t="shared" si="23"/>
        <v>0.1542</v>
      </c>
      <c r="V145" s="27"/>
      <c r="W145" s="27">
        <v>2.2027201258754785E-3</v>
      </c>
      <c r="X145" s="4">
        <v>0.11728355956260796</v>
      </c>
      <c r="Y145" s="38">
        <v>0.1547</v>
      </c>
      <c r="Z145" s="54">
        <v>0.154</v>
      </c>
      <c r="AA145" s="54">
        <v>0.15390000000000001</v>
      </c>
      <c r="AB145" s="39"/>
      <c r="AC145" s="39"/>
    </row>
    <row r="146" spans="1:29" x14ac:dyDescent="0.2">
      <c r="A146" s="6" t="s">
        <v>29</v>
      </c>
      <c r="B146">
        <f t="shared" ref="B146:B210" si="27">48+96</f>
        <v>144</v>
      </c>
      <c r="C146" t="s">
        <v>19</v>
      </c>
      <c r="D146" t="s">
        <v>14</v>
      </c>
      <c r="E146" t="s">
        <v>28</v>
      </c>
      <c r="F146" s="4">
        <f>30*(S146-0.0549)/0.0239</f>
        <v>157.71284556368619</v>
      </c>
      <c r="G146">
        <f>(1.4692*T146-0.0724)*30</f>
        <v>18.4006430080941</v>
      </c>
      <c r="H146">
        <f>(11.007*U146-0.65)*20</f>
        <v>24.078913999999997</v>
      </c>
      <c r="I146">
        <f>G146+H146</f>
        <v>42.479557008094098</v>
      </c>
      <c r="K146" s="4">
        <f t="shared" si="16"/>
        <v>-0.11056260238253514</v>
      </c>
      <c r="L146" t="e">
        <v>#VALUE!</v>
      </c>
      <c r="N146">
        <f>-(F2-F146)/F2*100</f>
        <v>-18.485428523418353</v>
      </c>
      <c r="O146">
        <f>(G2-G146)/G2*100</f>
        <v>-34.113460474615565</v>
      </c>
      <c r="P146">
        <f>(H2-H146)/H2*100</f>
        <v>7.8103048683791148</v>
      </c>
      <c r="S146">
        <v>0.18054456696573667</v>
      </c>
      <c r="T146" s="10">
        <v>0.4667538571579567</v>
      </c>
      <c r="U146">
        <f>AVERAGE(Y146:AA146)</f>
        <v>0.16843333333333332</v>
      </c>
      <c r="W146">
        <v>1.9033209399030276E-3</v>
      </c>
      <c r="X146" s="4" t="e">
        <v>#VALUE!</v>
      </c>
      <c r="Y146">
        <v>0.16869999999999999</v>
      </c>
      <c r="Z146">
        <v>0.16919999999999999</v>
      </c>
      <c r="AA146">
        <v>0.16739999999999999</v>
      </c>
    </row>
    <row r="147" spans="1:29" x14ac:dyDescent="0.2">
      <c r="A147" s="6" t="s">
        <v>30</v>
      </c>
      <c r="B147">
        <f t="shared" si="27"/>
        <v>144</v>
      </c>
      <c r="C147" t="s">
        <v>19</v>
      </c>
      <c r="D147" t="s">
        <v>14</v>
      </c>
      <c r="E147" t="s">
        <v>28</v>
      </c>
      <c r="F147" s="4">
        <f t="shared" ref="F147:F210" si="28">30*(S147-0.0549)/0.0239</f>
        <v>164.36306872577381</v>
      </c>
      <c r="G147">
        <f t="shared" ref="G147:G210" si="29">(1.4692*T147-0.0724)*30</f>
        <v>17.880465057215893</v>
      </c>
      <c r="H147">
        <f t="shared" ref="H147:H210" si="30">(11.007*U147-0.65)*20</f>
        <v>25.084220000000002</v>
      </c>
      <c r="I147">
        <f t="shared" ref="I147:I210" si="31">G147+H147</f>
        <v>42.964685057215895</v>
      </c>
      <c r="K147" s="4">
        <f t="shared" si="16"/>
        <v>-0.1090498475840338</v>
      </c>
      <c r="L147" t="e">
        <v>#VALUE!</v>
      </c>
      <c r="N147">
        <f t="shared" ref="N147:N210" si="32">-(F3-F147)/F3*100</f>
        <v>-10.841505245559388</v>
      </c>
      <c r="O147">
        <f t="shared" ref="O147:O210" si="33">(G3-G147)/G3*100</f>
        <v>-16.601473989616014</v>
      </c>
      <c r="P147">
        <f t="shared" ref="P147:P210" si="34">(H3-H147)/H3*100</f>
        <v>3.3913632235666631</v>
      </c>
      <c r="S147">
        <v>0.18584257808486648</v>
      </c>
      <c r="T147" s="10">
        <v>0.45495201599999757</v>
      </c>
      <c r="U147">
        <f t="shared" ref="U147:U210" si="35">AVERAGE(Y147:AA147)</f>
        <v>0.17300000000000001</v>
      </c>
      <c r="W147">
        <v>2.7409481815981137E-3</v>
      </c>
      <c r="X147" s="4" t="e">
        <v>#VALUE!</v>
      </c>
      <c r="Y147">
        <v>0.1724</v>
      </c>
      <c r="Z147">
        <v>0.17319999999999999</v>
      </c>
      <c r="AA147">
        <v>0.1734</v>
      </c>
    </row>
    <row r="148" spans="1:29" x14ac:dyDescent="0.2">
      <c r="A148" s="6" t="s">
        <v>31</v>
      </c>
      <c r="B148">
        <f t="shared" si="27"/>
        <v>144</v>
      </c>
      <c r="C148" t="s">
        <v>19</v>
      </c>
      <c r="D148" t="s">
        <v>14</v>
      </c>
      <c r="E148" t="s">
        <v>28</v>
      </c>
      <c r="F148" s="4">
        <f t="shared" si="28"/>
        <v>157.7923751651623</v>
      </c>
      <c r="G148">
        <f t="shared" si="29"/>
        <v>17.443930871661358</v>
      </c>
      <c r="H148">
        <f t="shared" si="30"/>
        <v>24.526531999999996</v>
      </c>
      <c r="I148">
        <f t="shared" si="31"/>
        <v>41.970462871661354</v>
      </c>
      <c r="K148" s="4">
        <f t="shared" si="16"/>
        <v>-0.10857071966123666</v>
      </c>
      <c r="L148" t="e">
        <v>#VALUE!</v>
      </c>
      <c r="N148">
        <f t="shared" si="32"/>
        <v>-19.448602721637652</v>
      </c>
      <c r="O148">
        <f t="shared" si="33"/>
        <v>-10.224951189950984</v>
      </c>
      <c r="P148">
        <f t="shared" si="34"/>
        <v>5.2177856826080466</v>
      </c>
      <c r="S148">
        <v>0.18060792554824598</v>
      </c>
      <c r="T148" s="10">
        <v>0.44504789163402658</v>
      </c>
      <c r="U148">
        <f t="shared" si="35"/>
        <v>0.17046666666666666</v>
      </c>
      <c r="W148">
        <v>3.0062460347526814E-3</v>
      </c>
      <c r="X148" s="4" t="e">
        <v>#VALUE!</v>
      </c>
      <c r="Y148">
        <v>0.17219999999999999</v>
      </c>
      <c r="Z148">
        <v>0.17119999999999999</v>
      </c>
      <c r="AA148">
        <v>0.16800000000000001</v>
      </c>
    </row>
    <row r="149" spans="1:29" x14ac:dyDescent="0.2">
      <c r="A149" s="6" t="s">
        <v>32</v>
      </c>
      <c r="B149">
        <f t="shared" si="27"/>
        <v>144</v>
      </c>
      <c r="C149" t="s">
        <v>21</v>
      </c>
      <c r="D149" t="s">
        <v>14</v>
      </c>
      <c r="E149" t="s">
        <v>28</v>
      </c>
      <c r="F149" s="4">
        <f t="shared" si="28"/>
        <v>169.23422156102671</v>
      </c>
      <c r="G149">
        <f t="shared" si="29"/>
        <v>16.514039931263397</v>
      </c>
      <c r="H149">
        <f t="shared" si="30"/>
        <v>22.692031999999998</v>
      </c>
      <c r="I149">
        <f t="shared" si="31"/>
        <v>39.206071931263395</v>
      </c>
      <c r="K149" s="4">
        <f t="shared" si="16"/>
        <v>-0.10861695211093651</v>
      </c>
      <c r="L149" t="e">
        <v>#VALUE!</v>
      </c>
      <c r="N149">
        <f t="shared" si="32"/>
        <v>-12.530555133827878</v>
      </c>
      <c r="O149">
        <f t="shared" si="33"/>
        <v>-20.362915612431983</v>
      </c>
      <c r="P149">
        <f t="shared" si="34"/>
        <v>13.12018839400376</v>
      </c>
      <c r="S149">
        <v>0.18972326317695129</v>
      </c>
      <c r="T149" s="10">
        <v>0.42395044766456574</v>
      </c>
      <c r="U149">
        <f t="shared" si="35"/>
        <v>0.16213333333333332</v>
      </c>
      <c r="W149">
        <v>2.9806466716852061E-3</v>
      </c>
      <c r="X149" s="4" t="e">
        <v>#VALUE!</v>
      </c>
      <c r="Y149">
        <v>0.16339999999999999</v>
      </c>
      <c r="Z149">
        <v>0.16250000000000001</v>
      </c>
      <c r="AA149">
        <v>0.1605</v>
      </c>
    </row>
    <row r="150" spans="1:29" x14ac:dyDescent="0.2">
      <c r="A150" s="6" t="s">
        <v>33</v>
      </c>
      <c r="B150">
        <f t="shared" si="27"/>
        <v>144</v>
      </c>
      <c r="C150" t="s">
        <v>21</v>
      </c>
      <c r="D150" t="s">
        <v>14</v>
      </c>
      <c r="E150" t="s">
        <v>28</v>
      </c>
      <c r="F150" s="4">
        <f t="shared" si="28"/>
        <v>166.95966880187902</v>
      </c>
      <c r="G150">
        <f t="shared" si="29"/>
        <v>17.173285393040519</v>
      </c>
      <c r="H150">
        <f t="shared" si="30"/>
        <v>25.128247999999999</v>
      </c>
      <c r="I150">
        <f t="shared" si="31"/>
        <v>42.301533393040515</v>
      </c>
      <c r="K150" s="4">
        <f t="shared" si="16"/>
        <v>-0.1088313751217496</v>
      </c>
      <c r="L150" t="e">
        <v>#VALUE!</v>
      </c>
      <c r="N150">
        <f t="shared" si="32"/>
        <v>-9.43298351339911</v>
      </c>
      <c r="O150">
        <f t="shared" si="33"/>
        <v>-11.989838276871886</v>
      </c>
      <c r="P150">
        <f t="shared" si="34"/>
        <v>3.2217950623883391</v>
      </c>
      <c r="S150">
        <v>0.18791120281216364</v>
      </c>
      <c r="T150" s="10">
        <v>0.43890746422181054</v>
      </c>
      <c r="U150">
        <f t="shared" si="35"/>
        <v>0.17319999999999999</v>
      </c>
      <c r="W150">
        <v>2.8619185372372063E-3</v>
      </c>
      <c r="X150" s="4" t="e">
        <v>#VALUE!</v>
      </c>
      <c r="Y150">
        <v>0.17369999999999999</v>
      </c>
      <c r="Z150">
        <v>0.17430000000000001</v>
      </c>
      <c r="AA150">
        <v>0.1716</v>
      </c>
    </row>
    <row r="151" spans="1:29" x14ac:dyDescent="0.2">
      <c r="A151" s="6" t="s">
        <v>34</v>
      </c>
      <c r="B151">
        <f t="shared" si="27"/>
        <v>144</v>
      </c>
      <c r="C151" t="s">
        <v>21</v>
      </c>
      <c r="D151" t="s">
        <v>14</v>
      </c>
      <c r="E151" t="s">
        <v>28</v>
      </c>
      <c r="F151" s="4">
        <f t="shared" si="28"/>
        <v>165.22786909877087</v>
      </c>
      <c r="G151">
        <f t="shared" si="29"/>
        <v>17.028945263417448</v>
      </c>
      <c r="H151">
        <f t="shared" si="30"/>
        <v>25.597880000000004</v>
      </c>
      <c r="I151">
        <f t="shared" si="31"/>
        <v>42.626825263417452</v>
      </c>
      <c r="K151" s="4">
        <f t="shared" si="16"/>
        <v>-0.10944606820039314</v>
      </c>
      <c r="L151" t="e">
        <v>#VALUE!</v>
      </c>
      <c r="N151">
        <f t="shared" si="32"/>
        <v>-15.652858946439116</v>
      </c>
      <c r="O151">
        <f t="shared" si="33"/>
        <v>-7.6027344000686528</v>
      </c>
      <c r="P151">
        <f t="shared" si="34"/>
        <v>1.0775861735820669</v>
      </c>
      <c r="S151">
        <v>0.18653153571535414</v>
      </c>
      <c r="T151" s="10">
        <v>0.43563266320486083</v>
      </c>
      <c r="U151">
        <f t="shared" si="35"/>
        <v>0.17533333333333334</v>
      </c>
      <c r="W151">
        <v>2.5215569211555159E-3</v>
      </c>
      <c r="X151" s="4" t="e">
        <v>#VALUE!</v>
      </c>
      <c r="Y151">
        <v>0.17760000000000001</v>
      </c>
      <c r="Z151">
        <v>0.17449999999999999</v>
      </c>
      <c r="AA151">
        <v>0.1739</v>
      </c>
    </row>
    <row r="152" spans="1:29" x14ac:dyDescent="0.2">
      <c r="A152" s="6" t="s">
        <v>35</v>
      </c>
      <c r="B152">
        <f t="shared" si="27"/>
        <v>144</v>
      </c>
      <c r="C152" t="s">
        <v>20</v>
      </c>
      <c r="D152" t="s">
        <v>14</v>
      </c>
      <c r="E152" t="s">
        <v>28</v>
      </c>
      <c r="F152" s="4">
        <f t="shared" si="28"/>
        <v>162.91228705169911</v>
      </c>
      <c r="G152">
        <f t="shared" si="29"/>
        <v>16.434698953457165</v>
      </c>
      <c r="H152">
        <f t="shared" si="30"/>
        <v>24.401785999999994</v>
      </c>
      <c r="I152">
        <f t="shared" si="31"/>
        <v>40.836484953457159</v>
      </c>
      <c r="K152" s="4">
        <f t="shared" si="16"/>
        <v>-0.10886086238719744</v>
      </c>
      <c r="L152" t="e">
        <v>#VALUE!</v>
      </c>
      <c r="N152">
        <f t="shared" si="32"/>
        <v>-15.798074533335241</v>
      </c>
      <c r="O152">
        <f t="shared" si="33"/>
        <v>-19.784637283443544</v>
      </c>
      <c r="P152">
        <f t="shared" si="34"/>
        <v>6.5741415079162451</v>
      </c>
      <c r="S152">
        <v>0.18468678868452029</v>
      </c>
      <c r="T152" s="10">
        <v>0.42215035287814601</v>
      </c>
      <c r="U152">
        <f t="shared" si="35"/>
        <v>0.16989999999999997</v>
      </c>
      <c r="W152">
        <v>2.8455911477311977E-3</v>
      </c>
      <c r="X152" s="4" t="e">
        <v>#VALUE!</v>
      </c>
      <c r="Y152">
        <v>0.1696</v>
      </c>
      <c r="Z152">
        <v>0.1704</v>
      </c>
      <c r="AA152">
        <v>0.16969999999999999</v>
      </c>
    </row>
    <row r="153" spans="1:29" x14ac:dyDescent="0.2">
      <c r="A153" s="6" t="s">
        <v>36</v>
      </c>
      <c r="B153">
        <f t="shared" si="27"/>
        <v>144</v>
      </c>
      <c r="C153" t="s">
        <v>20</v>
      </c>
      <c r="D153" t="s">
        <v>14</v>
      </c>
      <c r="E153" t="s">
        <v>28</v>
      </c>
      <c r="F153" s="4">
        <f t="shared" si="28"/>
        <v>163.7656698130387</v>
      </c>
      <c r="G153">
        <f t="shared" si="29"/>
        <v>16.607811456691302</v>
      </c>
      <c r="H153">
        <f t="shared" si="30"/>
        <v>25.267669999999995</v>
      </c>
      <c r="I153">
        <f t="shared" si="31"/>
        <v>41.875481456691297</v>
      </c>
      <c r="K153" s="4">
        <f t="shared" si="16"/>
        <v>-0.10888225818652268</v>
      </c>
      <c r="L153" t="e">
        <v>#VALUE!</v>
      </c>
      <c r="N153">
        <f t="shared" si="32"/>
        <v>-11.165563370297054</v>
      </c>
      <c r="O153">
        <f t="shared" si="33"/>
        <v>-8.3022890844967066</v>
      </c>
      <c r="P153">
        <f t="shared" si="34"/>
        <v>2.6848292186569602</v>
      </c>
      <c r="S153">
        <v>0.18536665028438751</v>
      </c>
      <c r="T153" s="10">
        <v>0.42607794393074006</v>
      </c>
      <c r="U153">
        <f t="shared" si="35"/>
        <v>0.17383333333333331</v>
      </c>
      <c r="W153">
        <v>2.8337440827670662E-3</v>
      </c>
      <c r="X153" s="4" t="e">
        <v>#VALUE!</v>
      </c>
      <c r="Y153">
        <v>0.1739</v>
      </c>
      <c r="Z153">
        <v>0.1749</v>
      </c>
      <c r="AA153">
        <v>0.17269999999999999</v>
      </c>
    </row>
    <row r="154" spans="1:29" x14ac:dyDescent="0.2">
      <c r="A154" s="6" t="s">
        <v>37</v>
      </c>
      <c r="B154">
        <f t="shared" si="27"/>
        <v>144</v>
      </c>
      <c r="C154" t="s">
        <v>20</v>
      </c>
      <c r="D154" t="s">
        <v>14</v>
      </c>
      <c r="E154" t="s">
        <v>28</v>
      </c>
      <c r="F154" s="4">
        <f t="shared" si="28"/>
        <v>163.91682290580502</v>
      </c>
      <c r="G154">
        <f t="shared" si="29"/>
        <v>16.41925107225368</v>
      </c>
      <c r="H154">
        <f t="shared" si="30"/>
        <v>24.365096000000001</v>
      </c>
      <c r="I154">
        <f t="shared" si="31"/>
        <v>40.784347072253681</v>
      </c>
      <c r="K154" s="4">
        <f t="shared" si="16"/>
        <v>-0.10807047801237266</v>
      </c>
      <c r="L154" t="e">
        <v>#VALUE!</v>
      </c>
      <c r="N154">
        <f t="shared" si="32"/>
        <v>-16.322134648952229</v>
      </c>
      <c r="O154">
        <f t="shared" si="33"/>
        <v>-3.7501903286518776</v>
      </c>
      <c r="P154">
        <f t="shared" si="34"/>
        <v>5.8416513620502926</v>
      </c>
      <c r="S154">
        <v>0.185487068914958</v>
      </c>
      <c r="T154" s="10">
        <v>0.42179987004840902</v>
      </c>
      <c r="U154">
        <f t="shared" si="35"/>
        <v>0.16973333333333332</v>
      </c>
      <c r="W154">
        <v>3.2832347661280966E-3</v>
      </c>
      <c r="X154" s="4" t="e">
        <v>#VALUE!</v>
      </c>
      <c r="Y154">
        <v>0.1701</v>
      </c>
      <c r="Z154">
        <v>0.1699</v>
      </c>
      <c r="AA154">
        <v>0.16919999999999999</v>
      </c>
    </row>
    <row r="155" spans="1:29" x14ac:dyDescent="0.2">
      <c r="A155" s="6" t="s">
        <v>38</v>
      </c>
      <c r="B155">
        <f t="shared" si="27"/>
        <v>144</v>
      </c>
      <c r="C155" t="s">
        <v>26</v>
      </c>
      <c r="D155" t="s">
        <v>14</v>
      </c>
      <c r="E155" t="s">
        <v>28</v>
      </c>
      <c r="F155" s="4">
        <f t="shared" si="28"/>
        <v>167.32922105771937</v>
      </c>
      <c r="G155">
        <f t="shared" si="29"/>
        <v>16.013473614574067</v>
      </c>
      <c r="H155">
        <f t="shared" si="30"/>
        <v>27.410366000000003</v>
      </c>
      <c r="I155">
        <f t="shared" si="31"/>
        <v>43.423839614574071</v>
      </c>
      <c r="K155" s="4">
        <f t="shared" si="16"/>
        <v>-0.10800603159327438</v>
      </c>
      <c r="L155" t="e">
        <v>#VALUE!</v>
      </c>
      <c r="N155">
        <f t="shared" si="32"/>
        <v>-13.515162945162212</v>
      </c>
      <c r="O155">
        <f t="shared" si="33"/>
        <v>-16.714527841487897</v>
      </c>
      <c r="P155">
        <f t="shared" si="34"/>
        <v>-4.94465344185154</v>
      </c>
      <c r="S155">
        <v>0.18820561277598311</v>
      </c>
      <c r="T155" s="15">
        <v>0.4125935569147397</v>
      </c>
      <c r="U155">
        <f t="shared" si="35"/>
        <v>0.18356666666666666</v>
      </c>
      <c r="W155">
        <v>3.3189193835690034E-3</v>
      </c>
      <c r="X155" s="4" t="e">
        <v>#VALUE!</v>
      </c>
      <c r="Y155">
        <v>0.18429999999999999</v>
      </c>
      <c r="Z155">
        <v>0.1835</v>
      </c>
      <c r="AA155">
        <v>0.18290000000000001</v>
      </c>
    </row>
    <row r="156" spans="1:29" x14ac:dyDescent="0.2">
      <c r="A156" s="6" t="s">
        <v>39</v>
      </c>
      <c r="B156">
        <f t="shared" si="27"/>
        <v>144</v>
      </c>
      <c r="C156" t="s">
        <v>26</v>
      </c>
      <c r="D156" t="s">
        <v>14</v>
      </c>
      <c r="E156" t="s">
        <v>28</v>
      </c>
      <c r="F156" s="4">
        <f t="shared" si="28"/>
        <v>171.40677021418261</v>
      </c>
      <c r="G156">
        <f t="shared" si="29"/>
        <v>16.310011725241857</v>
      </c>
      <c r="H156">
        <f t="shared" si="30"/>
        <v>26.874691999999996</v>
      </c>
      <c r="I156">
        <f t="shared" si="31"/>
        <v>43.184703725241853</v>
      </c>
      <c r="K156" s="4">
        <f t="shared" si="16"/>
        <v>-0.10903650998211785</v>
      </c>
      <c r="L156" t="e">
        <v>#VALUE!</v>
      </c>
      <c r="N156">
        <f t="shared" si="32"/>
        <v>-7.0206601671925606</v>
      </c>
      <c r="O156">
        <f t="shared" si="33"/>
        <v>-6.36028771430842</v>
      </c>
      <c r="P156">
        <f t="shared" si="34"/>
        <v>-3.5044086643522583</v>
      </c>
      <c r="S156">
        <v>0.19145406027063216</v>
      </c>
      <c r="T156" s="15">
        <v>0.4193214385434671</v>
      </c>
      <c r="U156">
        <f t="shared" si="35"/>
        <v>0.18113333333333334</v>
      </c>
      <c r="W156">
        <v>2.7483333432348602E-3</v>
      </c>
      <c r="X156" s="4" t="e">
        <v>#VALUE!</v>
      </c>
      <c r="Y156">
        <v>0.1832</v>
      </c>
      <c r="Z156">
        <v>0.18090000000000001</v>
      </c>
      <c r="AA156">
        <v>0.17929999999999999</v>
      </c>
    </row>
    <row r="157" spans="1:29" x14ac:dyDescent="0.2">
      <c r="A157" s="6" t="s">
        <v>40</v>
      </c>
      <c r="B157">
        <f t="shared" si="27"/>
        <v>144</v>
      </c>
      <c r="C157" t="s">
        <v>26</v>
      </c>
      <c r="D157" t="s">
        <v>14</v>
      </c>
      <c r="E157" t="s">
        <v>28</v>
      </c>
      <c r="F157" s="4">
        <f t="shared" si="28"/>
        <v>170.52552956386236</v>
      </c>
      <c r="G157">
        <f t="shared" si="29"/>
        <v>16.085415288850449</v>
      </c>
      <c r="H157">
        <f t="shared" si="30"/>
        <v>29.523710000000001</v>
      </c>
      <c r="I157">
        <f t="shared" si="31"/>
        <v>45.60912528885045</v>
      </c>
      <c r="K157" s="4">
        <f t="shared" si="16"/>
        <v>-0.10922447405900355</v>
      </c>
      <c r="L157" t="e">
        <v>#VALUE!</v>
      </c>
      <c r="N157">
        <f t="shared" si="32"/>
        <v>-12.94845734070377</v>
      </c>
      <c r="O157">
        <f t="shared" si="33"/>
        <v>-1.6407441721746696</v>
      </c>
      <c r="P157">
        <f t="shared" si="34"/>
        <v>-14.093692849218495</v>
      </c>
      <c r="S157">
        <v>0.19075200521921035</v>
      </c>
      <c r="T157" s="15">
        <v>0.41422577567951829</v>
      </c>
      <c r="U157">
        <f t="shared" si="35"/>
        <v>0.19316666666666668</v>
      </c>
      <c r="W157">
        <v>2.6442557812826422E-3</v>
      </c>
      <c r="X157" s="4" t="e">
        <v>#VALUE!</v>
      </c>
      <c r="Y157">
        <v>0.20699999999999999</v>
      </c>
      <c r="Z157">
        <v>0.18629999999999999</v>
      </c>
      <c r="AA157">
        <v>0.1862</v>
      </c>
    </row>
    <row r="158" spans="1:29" x14ac:dyDescent="0.2">
      <c r="A158" s="6" t="s">
        <v>41</v>
      </c>
      <c r="B158">
        <f t="shared" si="27"/>
        <v>144</v>
      </c>
      <c r="C158" t="s">
        <v>19</v>
      </c>
      <c r="D158" t="s">
        <v>15</v>
      </c>
      <c r="E158" t="s">
        <v>28</v>
      </c>
      <c r="F158" s="4">
        <f t="shared" si="28"/>
        <v>165.71860814443977</v>
      </c>
      <c r="G158">
        <f t="shared" si="29"/>
        <v>15.107455539403627</v>
      </c>
      <c r="H158">
        <f t="shared" si="30"/>
        <v>27.329648000000006</v>
      </c>
      <c r="I158">
        <f t="shared" si="31"/>
        <v>42.437103539403637</v>
      </c>
      <c r="K158" s="4">
        <f t="shared" si="16"/>
        <v>-0.10980657402378764</v>
      </c>
      <c r="L158" t="e">
        <v>#VALUE!</v>
      </c>
      <c r="N158">
        <f t="shared" si="32"/>
        <v>-14.347615247772016</v>
      </c>
      <c r="O158">
        <f t="shared" si="33"/>
        <v>-10.110996689874964</v>
      </c>
      <c r="P158">
        <f t="shared" si="34"/>
        <v>-4.6356126017358301</v>
      </c>
      <c r="S158">
        <v>0.18692249115507037</v>
      </c>
      <c r="T158">
        <v>0.39203774252208973</v>
      </c>
      <c r="U158">
        <f t="shared" si="35"/>
        <v>0.1832</v>
      </c>
      <c r="W158">
        <v>2.3219412935838067E-3</v>
      </c>
      <c r="X158" s="4" t="e">
        <v>#VALUE!</v>
      </c>
      <c r="Y158">
        <v>0.18459999999999999</v>
      </c>
      <c r="Z158">
        <v>0.183</v>
      </c>
      <c r="AA158">
        <v>0.182</v>
      </c>
    </row>
    <row r="159" spans="1:29" x14ac:dyDescent="0.2">
      <c r="A159" s="6" t="s">
        <v>30</v>
      </c>
      <c r="B159">
        <f t="shared" si="27"/>
        <v>144</v>
      </c>
      <c r="C159" t="s">
        <v>19</v>
      </c>
      <c r="D159" t="s">
        <v>15</v>
      </c>
      <c r="E159" t="s">
        <v>28</v>
      </c>
      <c r="F159" s="4">
        <f t="shared" si="28"/>
        <v>161.64927769705363</v>
      </c>
      <c r="G159">
        <f t="shared" si="29"/>
        <v>14.653096039251956</v>
      </c>
      <c r="H159">
        <f t="shared" si="30"/>
        <v>25.876723999999996</v>
      </c>
      <c r="I159">
        <f t="shared" si="31"/>
        <v>40.529820039251952</v>
      </c>
      <c r="K159" s="4">
        <f t="shared" si="16"/>
        <v>-0.1099550289562084</v>
      </c>
      <c r="L159" t="e">
        <v>#VALUE!</v>
      </c>
      <c r="N159">
        <f t="shared" si="32"/>
        <v>-12.313597030378046</v>
      </c>
      <c r="O159">
        <f t="shared" si="33"/>
        <v>4.4447338913779673</v>
      </c>
      <c r="P159">
        <f t="shared" si="34"/>
        <v>0.33913632235666219</v>
      </c>
      <c r="S159">
        <v>0.18368059123198607</v>
      </c>
      <c r="T159">
        <v>0.38172919591732363</v>
      </c>
      <c r="U159">
        <f t="shared" si="35"/>
        <v>0.17660000000000001</v>
      </c>
      <c r="W159">
        <v>2.2397403343253595E-3</v>
      </c>
      <c r="X159" s="4" t="e">
        <v>#VALUE!</v>
      </c>
      <c r="Y159">
        <v>0.1779</v>
      </c>
      <c r="Z159">
        <v>0.1779</v>
      </c>
      <c r="AA159">
        <v>0.17399999999999999</v>
      </c>
    </row>
    <row r="160" spans="1:29" x14ac:dyDescent="0.2">
      <c r="A160" s="6" t="s">
        <v>31</v>
      </c>
      <c r="B160">
        <f t="shared" si="27"/>
        <v>144</v>
      </c>
      <c r="C160" t="s">
        <v>19</v>
      </c>
      <c r="D160" t="s">
        <v>15</v>
      </c>
      <c r="E160" t="s">
        <v>28</v>
      </c>
      <c r="F160" s="4">
        <f t="shared" si="28"/>
        <v>164.28626886012907</v>
      </c>
      <c r="G160">
        <f t="shared" si="29"/>
        <v>14.789971518344043</v>
      </c>
      <c r="H160">
        <f t="shared" si="30"/>
        <v>27.491084000000008</v>
      </c>
      <c r="I160">
        <f t="shared" si="31"/>
        <v>42.281055518344047</v>
      </c>
      <c r="K160" s="4">
        <f t="shared" si="16"/>
        <v>-0.1100630687020559</v>
      </c>
      <c r="L160" t="e">
        <v>#VALUE!</v>
      </c>
      <c r="N160">
        <f t="shared" si="32"/>
        <v>-16.133536259400824</v>
      </c>
      <c r="O160">
        <f t="shared" si="33"/>
        <v>6.5449238073611458</v>
      </c>
      <c r="P160">
        <f t="shared" si="34"/>
        <v>-6.2386567944227114</v>
      </c>
      <c r="S160">
        <v>0.18578139419190284</v>
      </c>
      <c r="T160">
        <v>0.38483463831436709</v>
      </c>
      <c r="U160">
        <f t="shared" si="35"/>
        <v>0.18393333333333337</v>
      </c>
      <c r="W160">
        <v>2.1799176622060356E-3</v>
      </c>
      <c r="X160" s="4" t="e">
        <v>#VALUE!</v>
      </c>
      <c r="Y160">
        <v>0.18490000000000001</v>
      </c>
      <c r="Z160">
        <v>0.18379999999999999</v>
      </c>
      <c r="AA160">
        <v>0.18310000000000001</v>
      </c>
    </row>
    <row r="161" spans="1:27" x14ac:dyDescent="0.2">
      <c r="A161" s="6" t="s">
        <v>32</v>
      </c>
      <c r="B161">
        <f t="shared" si="27"/>
        <v>144</v>
      </c>
      <c r="C161" t="s">
        <v>21</v>
      </c>
      <c r="D161" t="s">
        <v>15</v>
      </c>
      <c r="E161" t="s">
        <v>28</v>
      </c>
      <c r="F161" s="4">
        <f t="shared" si="28"/>
        <v>149.73492083407095</v>
      </c>
      <c r="G161">
        <f t="shared" si="29"/>
        <v>14.327830029597857</v>
      </c>
      <c r="H161">
        <f t="shared" si="30"/>
        <v>24.731996000000002</v>
      </c>
      <c r="I161">
        <f t="shared" si="31"/>
        <v>39.059826029597858</v>
      </c>
      <c r="K161" s="4">
        <f t="shared" si="16"/>
        <v>-0.11042827298230191</v>
      </c>
      <c r="L161" t="e">
        <v>#VALUE!</v>
      </c>
      <c r="N161">
        <f t="shared" si="32"/>
        <v>-22.608853684398053</v>
      </c>
      <c r="O161">
        <f t="shared" si="33"/>
        <v>-4.4286803192815594</v>
      </c>
      <c r="P161">
        <f t="shared" si="34"/>
        <v>5.3098835256246328</v>
      </c>
      <c r="S161">
        <v>0.17418882026447652</v>
      </c>
      <c r="T161">
        <v>0.37434953329698378</v>
      </c>
      <c r="U161">
        <f t="shared" si="35"/>
        <v>0.1714</v>
      </c>
      <c r="W161">
        <v>1.9777004527674886E-3</v>
      </c>
      <c r="X161" s="4" t="e">
        <v>#VALUE!</v>
      </c>
      <c r="Y161">
        <v>0.17180000000000001</v>
      </c>
      <c r="Z161">
        <v>0.17230000000000001</v>
      </c>
      <c r="AA161">
        <v>0.1701</v>
      </c>
    </row>
    <row r="162" spans="1:27" x14ac:dyDescent="0.2">
      <c r="A162" s="6" t="s">
        <v>33</v>
      </c>
      <c r="B162">
        <f t="shared" si="27"/>
        <v>144</v>
      </c>
      <c r="C162" t="s">
        <v>21</v>
      </c>
      <c r="D162" t="s">
        <v>15</v>
      </c>
      <c r="E162" t="s">
        <v>28</v>
      </c>
      <c r="F162" s="4">
        <f t="shared" si="28"/>
        <v>149.45559170789289</v>
      </c>
      <c r="G162">
        <f t="shared" si="29"/>
        <v>14.108876620117405</v>
      </c>
      <c r="H162">
        <f t="shared" si="30"/>
        <v>24.592573999999992</v>
      </c>
      <c r="I162">
        <f t="shared" si="31"/>
        <v>38.701450620117399</v>
      </c>
      <c r="K162" s="4">
        <f t="shared" si="16"/>
        <v>-0.11048213429690962</v>
      </c>
      <c r="L162" t="e">
        <v>#VALUE!</v>
      </c>
      <c r="N162">
        <f t="shared" si="32"/>
        <v>-18.928043309157001</v>
      </c>
      <c r="O162">
        <f t="shared" si="33"/>
        <v>7.9936788568363726</v>
      </c>
      <c r="P162">
        <f t="shared" si="34"/>
        <v>5.2848743567247727</v>
      </c>
      <c r="S162">
        <v>0.17396628806062134</v>
      </c>
      <c r="T162">
        <v>0.3693818999028361</v>
      </c>
      <c r="U162">
        <f t="shared" si="35"/>
        <v>0.17076666666666665</v>
      </c>
      <c r="W162">
        <v>1.9478769120101801E-3</v>
      </c>
      <c r="X162" s="4" t="e">
        <v>#VALUE!</v>
      </c>
      <c r="Y162">
        <v>0.17169999999999999</v>
      </c>
      <c r="Z162">
        <v>0.17080000000000001</v>
      </c>
      <c r="AA162">
        <v>0.16980000000000001</v>
      </c>
    </row>
    <row r="163" spans="1:27" x14ac:dyDescent="0.2">
      <c r="A163" s="6" t="s">
        <v>34</v>
      </c>
      <c r="B163">
        <f t="shared" si="27"/>
        <v>144</v>
      </c>
      <c r="C163" t="s">
        <v>21</v>
      </c>
      <c r="D163" t="s">
        <v>15</v>
      </c>
      <c r="E163" t="s">
        <v>28</v>
      </c>
      <c r="F163" s="4">
        <f t="shared" si="28"/>
        <v>153.88497820620819</v>
      </c>
      <c r="G163">
        <f t="shared" si="29"/>
        <v>14.450005813506344</v>
      </c>
      <c r="H163">
        <f t="shared" si="30"/>
        <v>24.871417999999998</v>
      </c>
      <c r="I163">
        <f t="shared" si="31"/>
        <v>39.321423813506343</v>
      </c>
      <c r="K163" s="4">
        <f t="shared" ref="K163:K169" si="36">(W163*0.0602-0.0038)*30</f>
        <v>-0.11053182466401547</v>
      </c>
      <c r="L163" t="e">
        <v>#VALUE!</v>
      </c>
      <c r="N163">
        <f t="shared" si="32"/>
        <v>-21.443288994884572</v>
      </c>
      <c r="O163">
        <f t="shared" si="33"/>
        <v>8.6931037960166346</v>
      </c>
      <c r="P163">
        <f t="shared" si="34"/>
        <v>3.8849817310722852</v>
      </c>
      <c r="S163">
        <v>0.17749503263761254</v>
      </c>
      <c r="T163">
        <v>0.37712146777172029</v>
      </c>
      <c r="U163">
        <f t="shared" si="35"/>
        <v>0.17203333333333334</v>
      </c>
      <c r="W163">
        <v>1.9203628659936525E-3</v>
      </c>
      <c r="X163" s="4" t="e">
        <v>#VALUE!</v>
      </c>
      <c r="Y163">
        <v>0.1714</v>
      </c>
      <c r="Z163">
        <v>0.1714</v>
      </c>
      <c r="AA163">
        <v>0.17330000000000001</v>
      </c>
    </row>
    <row r="164" spans="1:27" x14ac:dyDescent="0.2">
      <c r="A164" s="6" t="s">
        <v>35</v>
      </c>
      <c r="B164">
        <f t="shared" si="27"/>
        <v>144</v>
      </c>
      <c r="C164" t="s">
        <v>20</v>
      </c>
      <c r="D164" t="s">
        <v>15</v>
      </c>
      <c r="E164" t="s">
        <v>28</v>
      </c>
      <c r="F164" s="4">
        <f t="shared" si="28"/>
        <v>153.73968238516701</v>
      </c>
      <c r="G164">
        <f t="shared" si="29"/>
        <v>14.169113041409219</v>
      </c>
      <c r="H164">
        <f t="shared" si="30"/>
        <v>24.966811999999994</v>
      </c>
      <c r="I164">
        <f t="shared" si="31"/>
        <v>39.135925041409209</v>
      </c>
      <c r="K164" s="4">
        <f t="shared" si="36"/>
        <v>-0.10978666535529277</v>
      </c>
      <c r="L164" t="e">
        <v>#VALUE!</v>
      </c>
      <c r="N164">
        <f t="shared" si="32"/>
        <v>-20.538975225628732</v>
      </c>
      <c r="O164">
        <f t="shared" si="33"/>
        <v>-3.2718683256613548</v>
      </c>
      <c r="P164">
        <f t="shared" si="34"/>
        <v>4.4108556271062058</v>
      </c>
      <c r="S164">
        <v>0.17737928030018307</v>
      </c>
      <c r="T164">
        <v>0.37074854890210585</v>
      </c>
      <c r="U164">
        <f t="shared" si="35"/>
        <v>0.17246666666666666</v>
      </c>
      <c r="W164">
        <v>2.3329649195499578E-3</v>
      </c>
      <c r="X164" s="4" t="e">
        <v>#VALUE!</v>
      </c>
      <c r="Y164">
        <v>0.17150000000000001</v>
      </c>
      <c r="Z164">
        <v>0.17269999999999999</v>
      </c>
      <c r="AA164">
        <v>0.17319999999999999</v>
      </c>
    </row>
    <row r="165" spans="1:27" x14ac:dyDescent="0.2">
      <c r="A165" s="6" t="s">
        <v>36</v>
      </c>
      <c r="B165">
        <f t="shared" si="27"/>
        <v>144</v>
      </c>
      <c r="C165" t="s">
        <v>20</v>
      </c>
      <c r="D165" t="s">
        <v>15</v>
      </c>
      <c r="E165" t="s">
        <v>28</v>
      </c>
      <c r="F165" s="4">
        <f t="shared" si="28"/>
        <v>153.53497309049612</v>
      </c>
      <c r="G165">
        <f t="shared" si="29"/>
        <v>14.021967478109135</v>
      </c>
      <c r="H165">
        <f t="shared" si="30"/>
        <v>24.798037999999998</v>
      </c>
      <c r="I165">
        <f t="shared" si="31"/>
        <v>38.820005478109131</v>
      </c>
      <c r="K165" s="4">
        <f t="shared" si="36"/>
        <v>-0.10995498630038378</v>
      </c>
      <c r="L165" t="e">
        <v>#VALUE!</v>
      </c>
      <c r="N165">
        <f t="shared" si="32"/>
        <v>-16.715189129554066</v>
      </c>
      <c r="O165">
        <f t="shared" si="33"/>
        <v>8.5604277657103953</v>
      </c>
      <c r="P165">
        <f t="shared" si="34"/>
        <v>4.4935562712258532</v>
      </c>
      <c r="S165">
        <v>0.17721619522876192</v>
      </c>
      <c r="T165">
        <v>0.36741009796962371</v>
      </c>
      <c r="U165">
        <f t="shared" si="35"/>
        <v>0.17169999999999999</v>
      </c>
      <c r="W165">
        <v>2.2397639532758772E-3</v>
      </c>
      <c r="X165" s="4" t="e">
        <v>#VALUE!</v>
      </c>
      <c r="Y165">
        <v>0.1726</v>
      </c>
      <c r="Z165">
        <v>0.1719</v>
      </c>
      <c r="AA165">
        <v>0.1706</v>
      </c>
    </row>
    <row r="166" spans="1:27" x14ac:dyDescent="0.2">
      <c r="A166" s="6" t="s">
        <v>37</v>
      </c>
      <c r="B166">
        <f t="shared" si="27"/>
        <v>144</v>
      </c>
      <c r="C166" t="s">
        <v>20</v>
      </c>
      <c r="D166" t="s">
        <v>15</v>
      </c>
      <c r="E166" t="s">
        <v>28</v>
      </c>
      <c r="F166" s="4">
        <f t="shared" si="28"/>
        <v>152.38658427523612</v>
      </c>
      <c r="G166">
        <f t="shared" si="29"/>
        <v>14.628747695796784</v>
      </c>
      <c r="H166">
        <f t="shared" si="30"/>
        <v>24.687968000000005</v>
      </c>
      <c r="I166">
        <f t="shared" si="31"/>
        <v>39.316715695796788</v>
      </c>
      <c r="K166" s="4">
        <f t="shared" si="36"/>
        <v>-0.11043381303669184</v>
      </c>
      <c r="L166" t="e">
        <v>#VALUE!</v>
      </c>
      <c r="N166">
        <f t="shared" si="32"/>
        <v>-22.208203805799126</v>
      </c>
      <c r="O166">
        <f t="shared" si="33"/>
        <v>7.5636671228255903</v>
      </c>
      <c r="P166">
        <f t="shared" si="34"/>
        <v>4.5939200031657448</v>
      </c>
      <c r="S166">
        <v>0.17630131213927144</v>
      </c>
      <c r="T166">
        <v>0.38117677865043981</v>
      </c>
      <c r="U166">
        <f t="shared" si="35"/>
        <v>0.17120000000000002</v>
      </c>
      <c r="W166">
        <v>1.9746328700488138E-3</v>
      </c>
      <c r="X166" s="4" t="e">
        <v>#VALUE!</v>
      </c>
      <c r="Y166">
        <v>0.17050000000000001</v>
      </c>
      <c r="Z166">
        <v>0.17130000000000001</v>
      </c>
      <c r="AA166">
        <v>0.17180000000000001</v>
      </c>
    </row>
    <row r="167" spans="1:27" x14ac:dyDescent="0.2">
      <c r="A167" s="6" t="s">
        <v>38</v>
      </c>
      <c r="B167">
        <f t="shared" si="27"/>
        <v>144</v>
      </c>
      <c r="C167" t="s">
        <v>26</v>
      </c>
      <c r="D167" t="s">
        <v>15</v>
      </c>
      <c r="E167" t="s">
        <v>28</v>
      </c>
      <c r="F167" s="4">
        <f t="shared" si="28"/>
        <v>229.10835816063613</v>
      </c>
      <c r="G167">
        <f t="shared" si="29"/>
        <v>10.742232902170731</v>
      </c>
      <c r="H167">
        <f t="shared" si="30"/>
        <v>26.757283999999999</v>
      </c>
      <c r="I167">
        <f t="shared" si="31"/>
        <v>37.499516902170726</v>
      </c>
      <c r="K167" s="4">
        <f t="shared" si="36"/>
        <v>-0.10972620597136451</v>
      </c>
      <c r="L167" t="e">
        <v>#VALUE!</v>
      </c>
      <c r="N167">
        <f t="shared" si="32"/>
        <v>18.415653274266749</v>
      </c>
      <c r="O167">
        <f t="shared" si="33"/>
        <v>21.705017205069318</v>
      </c>
      <c r="P167">
        <f t="shared" si="34"/>
        <v>-2.4442320990970585</v>
      </c>
      <c r="S167">
        <v>0.23742299200130682</v>
      </c>
      <c r="T167" s="15">
        <v>0.29299920369749366</v>
      </c>
      <c r="U167">
        <f t="shared" si="35"/>
        <v>0.18059999999999998</v>
      </c>
      <c r="W167">
        <v>2.3664418763208704E-3</v>
      </c>
      <c r="X167" s="4" t="e">
        <v>#VALUE!</v>
      </c>
      <c r="Y167">
        <v>0.18190000000000001</v>
      </c>
      <c r="Z167">
        <v>0.18029999999999999</v>
      </c>
      <c r="AA167">
        <v>0.17960000000000001</v>
      </c>
    </row>
    <row r="168" spans="1:27" x14ac:dyDescent="0.2">
      <c r="A168" s="6" t="s">
        <v>39</v>
      </c>
      <c r="B168">
        <f t="shared" si="27"/>
        <v>144</v>
      </c>
      <c r="C168" t="s">
        <v>26</v>
      </c>
      <c r="D168" t="s">
        <v>15</v>
      </c>
      <c r="E168" t="s">
        <v>28</v>
      </c>
      <c r="F168" s="4">
        <f t="shared" si="28"/>
        <v>232.5278697135733</v>
      </c>
      <c r="G168">
        <f t="shared" si="29"/>
        <v>10.90853301141521</v>
      </c>
      <c r="H168">
        <f t="shared" si="30"/>
        <v>26.632538000000004</v>
      </c>
      <c r="I168">
        <f t="shared" si="31"/>
        <v>37.541071011415212</v>
      </c>
      <c r="K168" s="4">
        <f t="shared" si="36"/>
        <v>-0.10994016131923434</v>
      </c>
      <c r="L168" t="e">
        <v>#VALUE!</v>
      </c>
      <c r="N168">
        <f t="shared" si="32"/>
        <v>26.134386592089164</v>
      </c>
      <c r="O168">
        <f t="shared" si="33"/>
        <v>28.863649568103039</v>
      </c>
      <c r="P168">
        <f t="shared" si="34"/>
        <v>-2.5717837778714476</v>
      </c>
      <c r="S168">
        <v>0.2401472028718134</v>
      </c>
      <c r="T168" s="15">
        <v>0.29677223458152308</v>
      </c>
      <c r="U168">
        <f t="shared" si="35"/>
        <v>0.18003333333333335</v>
      </c>
      <c r="W168">
        <v>2.2479726914538555E-3</v>
      </c>
      <c r="X168" s="4" t="e">
        <v>#VALUE!</v>
      </c>
      <c r="Y168">
        <v>0.18329999999999999</v>
      </c>
      <c r="Z168">
        <v>0.17929999999999999</v>
      </c>
      <c r="AA168">
        <v>0.17749999999999999</v>
      </c>
    </row>
    <row r="169" spans="1:27" x14ac:dyDescent="0.2">
      <c r="A169" s="6" t="s">
        <v>40</v>
      </c>
      <c r="B169">
        <f t="shared" si="27"/>
        <v>144</v>
      </c>
      <c r="C169" t="s">
        <v>26</v>
      </c>
      <c r="D169" t="s">
        <v>15</v>
      </c>
      <c r="E169" t="s">
        <v>28</v>
      </c>
      <c r="F169" s="4">
        <f t="shared" si="28"/>
        <v>230.06079669926115</v>
      </c>
      <c r="G169">
        <f t="shared" si="29"/>
        <v>10.927562470021392</v>
      </c>
      <c r="H169">
        <f t="shared" si="30"/>
        <v>33.772412000000003</v>
      </c>
      <c r="I169">
        <f t="shared" si="31"/>
        <v>44.699974470021395</v>
      </c>
      <c r="K169" s="4">
        <f t="shared" si="36"/>
        <v>-0.10964734688678132</v>
      </c>
      <c r="L169" t="e">
        <v>#VALUE!</v>
      </c>
      <c r="N169">
        <f t="shared" si="32"/>
        <v>17.443688984980852</v>
      </c>
      <c r="O169">
        <f t="shared" si="33"/>
        <v>30.950767419056351</v>
      </c>
      <c r="P169">
        <f t="shared" si="34"/>
        <v>-30.512703230903604</v>
      </c>
      <c r="S169">
        <v>0.23818176803707805</v>
      </c>
      <c r="T169" s="15">
        <v>0.29720397654100628</v>
      </c>
      <c r="U169">
        <f t="shared" si="35"/>
        <v>0.21246666666666669</v>
      </c>
      <c r="W169">
        <v>2.4101069286925144E-3</v>
      </c>
      <c r="X169" s="4" t="e">
        <v>#VALUE!</v>
      </c>
      <c r="Y169">
        <v>0.1918</v>
      </c>
      <c r="Z169">
        <v>0.21410000000000001</v>
      </c>
      <c r="AA169">
        <v>0.23150000000000001</v>
      </c>
    </row>
    <row r="170" spans="1:27" x14ac:dyDescent="0.2">
      <c r="A170" s="6" t="s">
        <v>43</v>
      </c>
      <c r="B170">
        <f t="shared" si="27"/>
        <v>144</v>
      </c>
      <c r="C170" t="s">
        <v>19</v>
      </c>
      <c r="D170" t="s">
        <v>14</v>
      </c>
      <c r="E170" t="s">
        <v>42</v>
      </c>
      <c r="F170" s="4">
        <f t="shared" si="28"/>
        <v>248.23527045639224</v>
      </c>
      <c r="G170">
        <f t="shared" si="29"/>
        <v>10.219606023447319</v>
      </c>
      <c r="H170">
        <f t="shared" si="30"/>
        <v>22.141681999999996</v>
      </c>
      <c r="I170">
        <f t="shared" si="31"/>
        <v>32.361288023447315</v>
      </c>
      <c r="K170" s="4">
        <f>(W170*0.0602-0.0038)*30</f>
        <v>-0.10974598857202367</v>
      </c>
      <c r="L170" t="e">
        <v>#VALUE!</v>
      </c>
      <c r="M170" s="14">
        <f t="shared" ref="M170:M180" si="37">N170/100*F26</f>
        <v>54.757168680447108</v>
      </c>
      <c r="N170">
        <f t="shared" si="32"/>
        <v>28.30148124145747</v>
      </c>
      <c r="O170" s="16">
        <f t="shared" si="33"/>
        <v>25.514193830680281</v>
      </c>
      <c r="P170" s="16">
        <f t="shared" si="34"/>
        <v>15.227285031156404</v>
      </c>
      <c r="Q170" s="16"/>
      <c r="S170">
        <v>0.25266076546359251</v>
      </c>
      <c r="T170" s="10">
        <v>0.2811418010583383</v>
      </c>
      <c r="U170">
        <f t="shared" si="35"/>
        <v>0.15963333333333332</v>
      </c>
      <c r="W170">
        <v>2.3554880553578782E-3</v>
      </c>
      <c r="X170" s="4" t="e">
        <v>#VALUE!</v>
      </c>
      <c r="Y170" s="8">
        <v>0.15720000000000001</v>
      </c>
      <c r="Z170" s="8">
        <v>0.1585</v>
      </c>
      <c r="AA170" s="9">
        <v>0.16320000000000001</v>
      </c>
    </row>
    <row r="171" spans="1:27" x14ac:dyDescent="0.2">
      <c r="A171" s="6" t="s">
        <v>44</v>
      </c>
      <c r="B171">
        <f t="shared" si="27"/>
        <v>144</v>
      </c>
      <c r="C171" t="s">
        <v>19</v>
      </c>
      <c r="D171" t="s">
        <v>14</v>
      </c>
      <c r="E171" t="s">
        <v>42</v>
      </c>
      <c r="F171" s="4">
        <f t="shared" si="28"/>
        <v>250.81955465799604</v>
      </c>
      <c r="G171">
        <f t="shared" si="29"/>
        <v>7.5386636341566904</v>
      </c>
      <c r="H171">
        <f t="shared" si="30"/>
        <v>17.445361999999999</v>
      </c>
      <c r="I171">
        <f t="shared" si="31"/>
        <v>24.984025634156691</v>
      </c>
      <c r="K171" s="4">
        <f t="shared" ref="K171:K234" si="38">(W171*0.0602-0.0038)*30</f>
        <v>-0.10880701068679935</v>
      </c>
      <c r="L171" t="e">
        <v>#VALUE!</v>
      </c>
      <c r="M171" s="14">
        <f t="shared" si="37"/>
        <v>66.470245959525016</v>
      </c>
      <c r="N171">
        <f t="shared" si="32"/>
        <v>36.056683059357908</v>
      </c>
      <c r="O171" s="16">
        <f t="shared" si="33"/>
        <v>50.839125892877945</v>
      </c>
      <c r="P171" s="16">
        <f t="shared" si="34"/>
        <v>32.811439188007739</v>
      </c>
      <c r="Q171" s="16"/>
      <c r="S171">
        <v>0.25471957854420352</v>
      </c>
      <c r="T171" s="10">
        <v>0.22031635434605434</v>
      </c>
      <c r="U171">
        <f t="shared" si="35"/>
        <v>0.13830000000000001</v>
      </c>
      <c r="W171">
        <v>2.8754093650058925E-3</v>
      </c>
      <c r="X171" s="4" t="e">
        <v>#VALUE!</v>
      </c>
      <c r="Y171" s="8">
        <v>0.1376</v>
      </c>
      <c r="Z171" s="8">
        <v>0.13819999999999999</v>
      </c>
      <c r="AA171" s="9">
        <v>0.1391</v>
      </c>
    </row>
    <row r="172" spans="1:27" x14ac:dyDescent="0.2">
      <c r="A172" s="6" t="s">
        <v>45</v>
      </c>
      <c r="B172">
        <f t="shared" si="27"/>
        <v>144</v>
      </c>
      <c r="C172" t="s">
        <v>19</v>
      </c>
      <c r="D172" t="s">
        <v>14</v>
      </c>
      <c r="E172" t="s">
        <v>42</v>
      </c>
      <c r="F172" s="4">
        <f t="shared" si="28"/>
        <v>246.30474550913053</v>
      </c>
      <c r="G172">
        <f t="shared" si="29"/>
        <v>12.096109085524617</v>
      </c>
      <c r="H172">
        <f t="shared" si="30"/>
        <v>12.499549999999997</v>
      </c>
      <c r="I172">
        <f t="shared" si="31"/>
        <v>24.595659085524616</v>
      </c>
      <c r="K172" s="4">
        <f t="shared" si="38"/>
        <v>-0.10895867503142789</v>
      </c>
      <c r="L172" t="e">
        <v>#VALUE!</v>
      </c>
      <c r="M172" s="14">
        <f t="shared" si="37"/>
        <v>50.414443792975995</v>
      </c>
      <c r="N172">
        <f t="shared" si="32"/>
        <v>25.736059085776809</v>
      </c>
      <c r="O172" s="16">
        <f t="shared" si="33"/>
        <v>23.566938934258065</v>
      </c>
      <c r="P172" s="16">
        <f t="shared" si="34"/>
        <v>51.695778801056889</v>
      </c>
      <c r="Q172" s="16"/>
      <c r="S172">
        <v>0.25112278058894066</v>
      </c>
      <c r="T172" s="10">
        <v>0.32371606056639934</v>
      </c>
      <c r="U172">
        <f t="shared" si="35"/>
        <v>0.11583333333333333</v>
      </c>
      <c r="W172">
        <v>2.7914313225759131E-3</v>
      </c>
      <c r="X172" s="4" t="e">
        <v>#VALUE!</v>
      </c>
      <c r="Y172" s="8">
        <v>0.11559999999999999</v>
      </c>
      <c r="Z172" s="8">
        <v>0.1158</v>
      </c>
      <c r="AA172" s="9">
        <v>0.11609999999999999</v>
      </c>
    </row>
    <row r="173" spans="1:27" x14ac:dyDescent="0.2">
      <c r="A173" s="6" t="s">
        <v>46</v>
      </c>
      <c r="B173">
        <f t="shared" si="27"/>
        <v>144</v>
      </c>
      <c r="C173" t="s">
        <v>21</v>
      </c>
      <c r="D173" t="s">
        <v>14</v>
      </c>
      <c r="E173" t="s">
        <v>42</v>
      </c>
      <c r="F173" s="4">
        <f t="shared" si="28"/>
        <v>248.47595571347023</v>
      </c>
      <c r="G173">
        <f t="shared" si="29"/>
        <v>5.2550984664314493</v>
      </c>
      <c r="H173">
        <f t="shared" si="30"/>
        <v>12.228043999999995</v>
      </c>
      <c r="I173">
        <f t="shared" si="31"/>
        <v>17.483142466431445</v>
      </c>
      <c r="K173" s="4">
        <f t="shared" si="38"/>
        <v>-0.10976113838635199</v>
      </c>
      <c r="L173" t="e">
        <v>#VALUE!</v>
      </c>
      <c r="M173" s="14">
        <f t="shared" si="37"/>
        <v>54.997853937525086</v>
      </c>
      <c r="N173">
        <f t="shared" si="32"/>
        <v>28.425880465384481</v>
      </c>
      <c r="O173" s="16">
        <f t="shared" si="33"/>
        <v>61.698108041227272</v>
      </c>
      <c r="P173" s="16">
        <f t="shared" si="34"/>
        <v>53.183119121732581</v>
      </c>
      <c r="Q173" s="16"/>
      <c r="S173">
        <v>0.25285251138506465</v>
      </c>
      <c r="T173" s="10">
        <v>0.16850663550302769</v>
      </c>
      <c r="U173">
        <f t="shared" si="35"/>
        <v>0.11459999999999999</v>
      </c>
      <c r="W173">
        <v>2.3470994538471826E-3</v>
      </c>
      <c r="X173" s="4" t="e">
        <v>#VALUE!</v>
      </c>
      <c r="Y173" s="8">
        <v>0.11509999999999999</v>
      </c>
      <c r="Z173" s="8">
        <v>0.1143</v>
      </c>
      <c r="AA173" s="9">
        <v>0.1144</v>
      </c>
    </row>
    <row r="174" spans="1:27" x14ac:dyDescent="0.2">
      <c r="A174" s="6" t="s">
        <v>47</v>
      </c>
      <c r="B174">
        <f t="shared" si="27"/>
        <v>144</v>
      </c>
      <c r="C174" t="s">
        <v>21</v>
      </c>
      <c r="D174" t="s">
        <v>14</v>
      </c>
      <c r="E174" t="s">
        <v>42</v>
      </c>
      <c r="F174" s="4">
        <f t="shared" si="28"/>
        <v>258.35816655023382</v>
      </c>
      <c r="G174">
        <f t="shared" si="29"/>
        <v>3.9983456440223146</v>
      </c>
      <c r="H174">
        <f t="shared" si="30"/>
        <v>13.497517999999998</v>
      </c>
      <c r="I174">
        <f t="shared" si="31"/>
        <v>17.495863644022311</v>
      </c>
      <c r="K174" s="4">
        <f t="shared" si="38"/>
        <v>-0.11014270631120106</v>
      </c>
      <c r="L174" t="e">
        <v>#VALUE!</v>
      </c>
      <c r="M174" s="14">
        <f t="shared" si="37"/>
        <v>74.008857851762784</v>
      </c>
      <c r="N174">
        <f t="shared" si="32"/>
        <v>40.14599152786333</v>
      </c>
      <c r="O174" s="16">
        <f t="shared" si="33"/>
        <v>73.926125851809644</v>
      </c>
      <c r="P174" s="16">
        <f t="shared" si="34"/>
        <v>48.016050973665095</v>
      </c>
      <c r="Q174" s="16"/>
      <c r="S174">
        <v>0.26072533935168629</v>
      </c>
      <c r="T174" s="10">
        <v>0.13999332162678815</v>
      </c>
      <c r="U174">
        <f t="shared" si="35"/>
        <v>0.12036666666666666</v>
      </c>
      <c r="W174">
        <v>2.1358215331112609E-3</v>
      </c>
      <c r="X174" s="4" t="e">
        <v>#VALUE!</v>
      </c>
      <c r="Y174" s="8">
        <v>0.12</v>
      </c>
      <c r="Z174" s="8">
        <v>0.1205</v>
      </c>
      <c r="AA174" s="9">
        <v>0.1206</v>
      </c>
    </row>
    <row r="175" spans="1:27" x14ac:dyDescent="0.2">
      <c r="A175" s="6" t="s">
        <v>48</v>
      </c>
      <c r="B175">
        <f t="shared" si="27"/>
        <v>144</v>
      </c>
      <c r="C175" t="s">
        <v>21</v>
      </c>
      <c r="D175" t="s">
        <v>14</v>
      </c>
      <c r="E175" t="s">
        <v>42</v>
      </c>
      <c r="F175" s="4">
        <f t="shared" si="28"/>
        <v>253.75221766117522</v>
      </c>
      <c r="G175">
        <f t="shared" si="29"/>
        <v>1.6410391483706648</v>
      </c>
      <c r="H175">
        <f t="shared" si="30"/>
        <v>11.663017999999996</v>
      </c>
      <c r="I175">
        <f t="shared" si="31"/>
        <v>13.30405714837066</v>
      </c>
      <c r="K175" s="4">
        <f t="shared" si="38"/>
        <v>-0.10965353487081013</v>
      </c>
      <c r="L175" t="e">
        <v>#VALUE!</v>
      </c>
      <c r="M175" s="14">
        <f t="shared" si="37"/>
        <v>57.861915945020677</v>
      </c>
      <c r="N175">
        <f t="shared" si="32"/>
        <v>29.53791761925137</v>
      </c>
      <c r="O175" s="16">
        <f t="shared" si="33"/>
        <v>89.6305791761758</v>
      </c>
      <c r="P175" s="16">
        <f t="shared" si="34"/>
        <v>54.928537321803184</v>
      </c>
      <c r="Q175" s="16"/>
      <c r="S175">
        <v>0.25705593340340294</v>
      </c>
      <c r="T175" s="10">
        <v>8.6510553325407594E-2</v>
      </c>
      <c r="U175">
        <f t="shared" si="35"/>
        <v>0.11203333333333332</v>
      </c>
      <c r="W175">
        <v>2.4066805809467712E-3</v>
      </c>
      <c r="X175" s="4" t="e">
        <v>#VALUE!</v>
      </c>
      <c r="Y175" s="8">
        <v>0.1119</v>
      </c>
      <c r="Z175" s="8">
        <v>0.112</v>
      </c>
      <c r="AA175" s="9">
        <v>0.11219999999999999</v>
      </c>
    </row>
    <row r="176" spans="1:27" x14ac:dyDescent="0.2">
      <c r="A176" s="6" t="s">
        <v>49</v>
      </c>
      <c r="B176">
        <f t="shared" si="27"/>
        <v>144</v>
      </c>
      <c r="C176" t="s">
        <v>20</v>
      </c>
      <c r="D176" t="s">
        <v>14</v>
      </c>
      <c r="E176" t="s">
        <v>42</v>
      </c>
      <c r="F176" s="4">
        <f t="shared" si="28"/>
        <v>261.69051091333785</v>
      </c>
      <c r="G176">
        <f t="shared" si="29"/>
        <v>-0.40896000000000016</v>
      </c>
      <c r="H176">
        <f t="shared" si="30"/>
        <v>9.4469419999999964</v>
      </c>
      <c r="I176">
        <f t="shared" si="31"/>
        <v>9.037981999999996</v>
      </c>
      <c r="K176" s="4">
        <f t="shared" si="38"/>
        <v>-0.10939900860890563</v>
      </c>
      <c r="L176" t="e">
        <v>#VALUE!</v>
      </c>
      <c r="M176" s="14">
        <f t="shared" si="37"/>
        <v>68.212409137392712</v>
      </c>
      <c r="N176">
        <f t="shared" si="32"/>
        <v>35.255880903971878</v>
      </c>
      <c r="O176" s="16">
        <f t="shared" si="33"/>
        <v>102.98071327026848</v>
      </c>
      <c r="P176" s="16">
        <f t="shared" si="34"/>
        <v>63.830980794810564</v>
      </c>
      <c r="Q176" s="16"/>
      <c r="S176">
        <v>0.26338010702762582</v>
      </c>
      <c r="T176" s="12">
        <v>0.04</v>
      </c>
      <c r="U176">
        <f t="shared" si="35"/>
        <v>0.10196666666666665</v>
      </c>
      <c r="W176">
        <v>2.5476142807831564E-3</v>
      </c>
      <c r="X176" s="4" t="e">
        <v>#VALUE!</v>
      </c>
      <c r="Y176" s="8">
        <v>0.1018</v>
      </c>
      <c r="Z176" s="8">
        <v>0.10199999999999999</v>
      </c>
      <c r="AA176" s="9">
        <v>0.1021</v>
      </c>
    </row>
    <row r="177" spans="1:27" x14ac:dyDescent="0.2">
      <c r="A177" s="6" t="s">
        <v>50</v>
      </c>
      <c r="B177">
        <f t="shared" si="27"/>
        <v>144</v>
      </c>
      <c r="C177" t="s">
        <v>20</v>
      </c>
      <c r="D177" t="s">
        <v>14</v>
      </c>
      <c r="E177" t="s">
        <v>42</v>
      </c>
      <c r="F177" s="4">
        <f t="shared" si="28"/>
        <v>246.56942822799653</v>
      </c>
      <c r="G177">
        <f t="shared" si="29"/>
        <v>2.3078664872794667</v>
      </c>
      <c r="H177">
        <f t="shared" si="30"/>
        <v>11.912509999999996</v>
      </c>
      <c r="I177">
        <f t="shared" si="31"/>
        <v>14.220376487279463</v>
      </c>
      <c r="K177" s="4">
        <f t="shared" si="38"/>
        <v>-0.1095013777237224</v>
      </c>
      <c r="L177" t="e">
        <v>#VALUE!</v>
      </c>
      <c r="M177" s="14">
        <f t="shared" si="37"/>
        <v>62.220119529525512</v>
      </c>
      <c r="N177">
        <f t="shared" si="32"/>
        <v>33.751208490450693</v>
      </c>
      <c r="O177" s="16">
        <f t="shared" si="33"/>
        <v>84.950020409037165</v>
      </c>
      <c r="P177" s="16">
        <f t="shared" si="34"/>
        <v>54.120504776085156</v>
      </c>
      <c r="Q177" s="16"/>
      <c r="S177">
        <v>0.25133364448830392</v>
      </c>
      <c r="T177" s="10">
        <v>0.10163958814954775</v>
      </c>
      <c r="U177">
        <f t="shared" si="35"/>
        <v>0.11316666666666665</v>
      </c>
      <c r="W177">
        <v>2.490931492955482E-3</v>
      </c>
      <c r="X177" s="4" t="e">
        <v>#VALUE!</v>
      </c>
      <c r="Y177" s="8">
        <v>0.1128</v>
      </c>
      <c r="Z177" s="8">
        <v>0.1132</v>
      </c>
      <c r="AA177" s="9">
        <v>0.1135</v>
      </c>
    </row>
    <row r="178" spans="1:27" x14ac:dyDescent="0.2">
      <c r="A178" s="6" t="s">
        <v>51</v>
      </c>
      <c r="B178">
        <f t="shared" si="27"/>
        <v>144</v>
      </c>
      <c r="C178" t="s">
        <v>20</v>
      </c>
      <c r="D178" t="s">
        <v>14</v>
      </c>
      <c r="E178" t="s">
        <v>42</v>
      </c>
      <c r="F178" s="4">
        <f t="shared" si="28"/>
        <v>243.87912134749925</v>
      </c>
      <c r="G178">
        <f t="shared" si="29"/>
        <v>2.5608337531356531</v>
      </c>
      <c r="H178">
        <f t="shared" si="30"/>
        <v>11.002597999999997</v>
      </c>
      <c r="I178">
        <f t="shared" si="31"/>
        <v>13.563431753135649</v>
      </c>
      <c r="K178" s="4">
        <f t="shared" si="38"/>
        <v>-0.10818050587652375</v>
      </c>
      <c r="L178" t="e">
        <v>#VALUE!</v>
      </c>
      <c r="M178" s="14">
        <f t="shared" si="37"/>
        <v>47.988819631344711</v>
      </c>
      <c r="N178">
        <f t="shared" si="32"/>
        <v>24.497802704332251</v>
      </c>
      <c r="O178" s="16">
        <f t="shared" si="33"/>
        <v>83.818568330632615</v>
      </c>
      <c r="P178" s="16">
        <f t="shared" si="34"/>
        <v>57.480715101339733</v>
      </c>
      <c r="Q178" s="16"/>
      <c r="S178">
        <v>0.24919036667350775</v>
      </c>
      <c r="T178" s="10">
        <v>0.10737893078173276</v>
      </c>
      <c r="U178">
        <f t="shared" si="35"/>
        <v>0.10903333333333333</v>
      </c>
      <c r="W178">
        <v>3.2223112533091075E-3</v>
      </c>
      <c r="X178" s="4" t="e">
        <v>#VALUE!</v>
      </c>
      <c r="Y178" s="8">
        <v>0.10920000000000001</v>
      </c>
      <c r="Z178" s="8">
        <v>0.1091</v>
      </c>
      <c r="AA178" s="9">
        <v>0.10879999999999999</v>
      </c>
    </row>
    <row r="179" spans="1:27" s="14" customFormat="1" x14ac:dyDescent="0.2">
      <c r="A179" s="41" t="s">
        <v>52</v>
      </c>
      <c r="B179" s="14">
        <f t="shared" si="27"/>
        <v>144</v>
      </c>
      <c r="C179" t="s">
        <v>26</v>
      </c>
      <c r="D179" s="14" t="s">
        <v>14</v>
      </c>
      <c r="E179" s="14" t="s">
        <v>42</v>
      </c>
      <c r="F179" s="22">
        <f t="shared" si="28"/>
        <v>167.69185947671141</v>
      </c>
      <c r="G179" s="14">
        <f t="shared" si="29"/>
        <v>15.240912380131435</v>
      </c>
      <c r="H179" s="14">
        <f t="shared" si="30"/>
        <v>15.398059999999997</v>
      </c>
      <c r="I179" s="14">
        <f t="shared" si="31"/>
        <v>30.638972380131435</v>
      </c>
      <c r="K179" s="22">
        <f t="shared" si="38"/>
        <v>-0.11005043409280123</v>
      </c>
      <c r="L179" t="e">
        <v>#VALUE!</v>
      </c>
      <c r="M179" s="14">
        <f t="shared" si="37"/>
        <v>-25.786242299233717</v>
      </c>
      <c r="N179">
        <f t="shared" si="32"/>
        <v>-13.327731698078757</v>
      </c>
      <c r="O179" s="43">
        <f t="shared" si="33"/>
        <v>-11.083699585428276</v>
      </c>
      <c r="P179" s="43">
        <f t="shared" si="34"/>
        <v>41.046242491733381</v>
      </c>
      <c r="Q179" s="43"/>
      <c r="S179" s="14">
        <v>0.18849451471644676</v>
      </c>
      <c r="T179" s="42">
        <v>0.39506562256401295</v>
      </c>
      <c r="U179" s="14">
        <f t="shared" si="35"/>
        <v>0.129</v>
      </c>
      <c r="W179" s="14">
        <v>2.186913569877505E-3</v>
      </c>
      <c r="X179" s="4" t="e">
        <v>#VALUE!</v>
      </c>
      <c r="Y179" s="44">
        <v>0.12889999999999999</v>
      </c>
      <c r="Z179" s="44">
        <v>0.12909999999999999</v>
      </c>
      <c r="AA179" s="45">
        <v>0.129</v>
      </c>
    </row>
    <row r="180" spans="1:27" s="14" customFormat="1" x14ac:dyDescent="0.2">
      <c r="A180" s="41" t="s">
        <v>53</v>
      </c>
      <c r="B180" s="14">
        <f t="shared" si="27"/>
        <v>144</v>
      </c>
      <c r="C180" t="s">
        <v>26</v>
      </c>
      <c r="D180" s="14" t="s">
        <v>14</v>
      </c>
      <c r="E180" s="14" t="s">
        <v>42</v>
      </c>
      <c r="F180" s="22">
        <f t="shared" si="28"/>
        <v>161.69179747728089</v>
      </c>
      <c r="G180" s="14">
        <f t="shared" si="29"/>
        <v>14.832104854293886</v>
      </c>
      <c r="H180" s="14">
        <f t="shared" si="30"/>
        <v>14.686273999999997</v>
      </c>
      <c r="I180" s="14">
        <f t="shared" si="31"/>
        <v>29.518378854293886</v>
      </c>
      <c r="K180" s="22">
        <f t="shared" si="38"/>
        <v>-0.10988133039015298</v>
      </c>
      <c r="L180" t="e">
        <v>#VALUE!</v>
      </c>
      <c r="M180" s="14">
        <f t="shared" si="37"/>
        <v>-22.657511221190134</v>
      </c>
      <c r="N180">
        <f t="shared" si="32"/>
        <v>-12.29053224075261</v>
      </c>
      <c r="O180" s="43">
        <f t="shared" si="33"/>
        <v>3.277387761160834</v>
      </c>
      <c r="P180" s="43">
        <f t="shared" si="34"/>
        <v>43.437710621850059</v>
      </c>
      <c r="Q180" s="43"/>
      <c r="S180" s="14">
        <v>0.18371446532356711</v>
      </c>
      <c r="T180" s="42">
        <v>0.3857905629887895</v>
      </c>
      <c r="U180" s="14">
        <f t="shared" si="35"/>
        <v>0.12576666666666667</v>
      </c>
      <c r="W180" s="14">
        <v>2.2805479567259319E-3</v>
      </c>
      <c r="X180" s="4" t="e">
        <v>#VALUE!</v>
      </c>
      <c r="Y180" s="44">
        <v>0.12520000000000001</v>
      </c>
      <c r="Z180" s="44">
        <v>0.12590000000000001</v>
      </c>
      <c r="AA180" s="45">
        <v>0.12620000000000001</v>
      </c>
    </row>
    <row r="181" spans="1:27" s="14" customFormat="1" x14ac:dyDescent="0.2">
      <c r="A181" s="41" t="s">
        <v>54</v>
      </c>
      <c r="B181" s="14">
        <f t="shared" si="27"/>
        <v>144</v>
      </c>
      <c r="C181" t="s">
        <v>26</v>
      </c>
      <c r="D181" s="14" t="s">
        <v>14</v>
      </c>
      <c r="E181" s="14" t="s">
        <v>42</v>
      </c>
      <c r="F181" s="22">
        <f t="shared" si="28"/>
        <v>165.52303232012534</v>
      </c>
      <c r="G181" s="14">
        <f t="shared" si="29"/>
        <v>14.854191603336689</v>
      </c>
      <c r="H181" s="14">
        <f t="shared" si="30"/>
        <v>9.703771999999999</v>
      </c>
      <c r="I181" s="14">
        <f t="shared" si="31"/>
        <v>24.557963603336688</v>
      </c>
      <c r="K181" s="22">
        <f t="shared" si="38"/>
        <v>-0.11053921820366786</v>
      </c>
      <c r="L181" t="e">
        <v>#VALUE!</v>
      </c>
      <c r="M181" s="14">
        <f>N181/100*F37</f>
        <v>-30.367269396029197</v>
      </c>
      <c r="N181">
        <f t="shared" si="32"/>
        <v>-15.502181134026449</v>
      </c>
      <c r="O181" s="43">
        <f t="shared" si="33"/>
        <v>6.1391290478079172</v>
      </c>
      <c r="P181" s="43">
        <f t="shared" si="34"/>
        <v>62.499998067761588</v>
      </c>
      <c r="Q181" s="43"/>
      <c r="S181" s="14">
        <v>0.18676668241503319</v>
      </c>
      <c r="T181" s="42">
        <v>0.38629166901117817</v>
      </c>
      <c r="U181" s="14">
        <f t="shared" si="35"/>
        <v>0.10313333333333334</v>
      </c>
      <c r="W181" s="14">
        <v>1.916268990217133E-3</v>
      </c>
      <c r="X181" s="4" t="e">
        <v>#VALUE!</v>
      </c>
      <c r="Y181" s="44">
        <v>0.1027</v>
      </c>
      <c r="Z181" s="44">
        <v>0.10299999999999999</v>
      </c>
      <c r="AA181" s="45">
        <v>0.1037</v>
      </c>
    </row>
    <row r="182" spans="1:27" x14ac:dyDescent="0.2">
      <c r="A182" s="6" t="s">
        <v>55</v>
      </c>
      <c r="B182">
        <f t="shared" si="27"/>
        <v>144</v>
      </c>
      <c r="C182" t="s">
        <v>19</v>
      </c>
      <c r="D182" t="s">
        <v>15</v>
      </c>
      <c r="E182" t="s">
        <v>42</v>
      </c>
      <c r="F182" s="4">
        <f t="shared" si="28"/>
        <v>219.31408231705612</v>
      </c>
      <c r="G182">
        <f t="shared" si="29"/>
        <v>13.139577626089531</v>
      </c>
      <c r="H182">
        <f t="shared" si="30"/>
        <v>14.025854000000002</v>
      </c>
      <c r="I182">
        <f t="shared" si="31"/>
        <v>27.165431626089536</v>
      </c>
      <c r="K182" s="4">
        <f t="shared" si="38"/>
        <v>-0.10938669962562063</v>
      </c>
      <c r="L182" t="e">
        <v>#VALUE!</v>
      </c>
      <c r="M182" s="14">
        <f t="shared" ref="M182:M193" si="39">N182/100*F38</f>
        <v>25.835980541110985</v>
      </c>
      <c r="N182">
        <f t="shared" si="32"/>
        <v>13.353439125131594</v>
      </c>
      <c r="O182" s="15">
        <f t="shared" si="33"/>
        <v>4.2319214695625051</v>
      </c>
      <c r="P182" s="15">
        <f t="shared" si="34"/>
        <v>46.299936773700608</v>
      </c>
      <c r="Q182" s="15"/>
      <c r="S182">
        <v>0.22962021891258808</v>
      </c>
      <c r="T182">
        <v>0.34739036269374557</v>
      </c>
      <c r="U182">
        <f t="shared" si="35"/>
        <v>0.12276666666666668</v>
      </c>
      <c r="W182">
        <v>2.5544298861458307E-3</v>
      </c>
      <c r="X182" s="4" t="e">
        <v>#VALUE!</v>
      </c>
      <c r="Y182" s="8">
        <v>0.12330000000000001</v>
      </c>
      <c r="Z182" s="8">
        <v>0.1226</v>
      </c>
      <c r="AA182" s="9">
        <v>0.12239999999999999</v>
      </c>
    </row>
    <row r="183" spans="1:27" x14ac:dyDescent="0.2">
      <c r="A183" s="6" t="s">
        <v>44</v>
      </c>
      <c r="B183">
        <f t="shared" si="27"/>
        <v>144</v>
      </c>
      <c r="C183" t="s">
        <v>19</v>
      </c>
      <c r="D183" t="s">
        <v>15</v>
      </c>
      <c r="E183" t="s">
        <v>42</v>
      </c>
      <c r="F183" s="4">
        <f t="shared" si="28"/>
        <v>232.07459398084228</v>
      </c>
      <c r="G183">
        <f t="shared" si="29"/>
        <v>11.336530316258612</v>
      </c>
      <c r="H183">
        <f t="shared" si="30"/>
        <v>14.92109</v>
      </c>
      <c r="I183">
        <f t="shared" si="31"/>
        <v>26.25762031625861</v>
      </c>
      <c r="K183" s="4">
        <f t="shared" si="38"/>
        <v>-0.10867702431660739</v>
      </c>
      <c r="L183" t="e">
        <v>#VALUE!</v>
      </c>
      <c r="M183" s="14">
        <f t="shared" si="39"/>
        <v>47.72528528237126</v>
      </c>
      <c r="N183">
        <f t="shared" si="32"/>
        <v>25.888507865485199</v>
      </c>
      <c r="O183" s="15">
        <f t="shared" si="33"/>
        <v>26.072608258571567</v>
      </c>
      <c r="P183" s="15">
        <f t="shared" si="34"/>
        <v>42.533347095565603</v>
      </c>
      <c r="Q183" s="15"/>
      <c r="S183">
        <v>0.2397860932047377</v>
      </c>
      <c r="T183">
        <v>0.30648267347895936</v>
      </c>
      <c r="U183">
        <f t="shared" si="35"/>
        <v>0.12683333333333333</v>
      </c>
      <c r="W183">
        <v>2.9473840993314592E-3</v>
      </c>
      <c r="X183" s="4" t="e">
        <v>#VALUE!</v>
      </c>
      <c r="Y183" s="8">
        <v>0.12570000000000001</v>
      </c>
      <c r="Z183" s="8">
        <v>0.1268</v>
      </c>
      <c r="AA183" s="9">
        <v>0.128</v>
      </c>
    </row>
    <row r="184" spans="1:27" x14ac:dyDescent="0.2">
      <c r="A184" s="6" t="s">
        <v>45</v>
      </c>
      <c r="B184">
        <f t="shared" si="27"/>
        <v>144</v>
      </c>
      <c r="C184" t="s">
        <v>19</v>
      </c>
      <c r="D184" t="s">
        <v>15</v>
      </c>
      <c r="E184" t="s">
        <v>42</v>
      </c>
      <c r="F184" s="4">
        <f t="shared" si="28"/>
        <v>223.2265566401133</v>
      </c>
      <c r="G184">
        <f t="shared" si="29"/>
        <v>12.049434114355012</v>
      </c>
      <c r="H184">
        <f t="shared" si="30"/>
        <v>14.590879999999997</v>
      </c>
      <c r="I184">
        <f t="shared" si="31"/>
        <v>26.640314114355007</v>
      </c>
      <c r="K184" s="4">
        <f t="shared" si="38"/>
        <v>-0.10612240185375713</v>
      </c>
      <c r="L184" t="e">
        <v>#VALUE!</v>
      </c>
      <c r="M184" s="14">
        <f t="shared" si="39"/>
        <v>27.336254923958759</v>
      </c>
      <c r="N184">
        <f t="shared" si="32"/>
        <v>13.954879177004409</v>
      </c>
      <c r="O184" s="15">
        <f t="shared" si="33"/>
        <v>23.861869386391419</v>
      </c>
      <c r="P184" s="15">
        <f t="shared" si="34"/>
        <v>43.61388249919117</v>
      </c>
      <c r="Q184" s="15"/>
      <c r="S184">
        <v>0.23273715678995693</v>
      </c>
      <c r="T184">
        <v>0.32265709488962274</v>
      </c>
      <c r="U184">
        <f t="shared" si="35"/>
        <v>0.12533333333333332</v>
      </c>
      <c r="W184">
        <v>4.3619037354611766E-3</v>
      </c>
      <c r="X184" s="4" t="e">
        <v>#VALUE!</v>
      </c>
      <c r="Y184" s="8">
        <v>0.12559999999999999</v>
      </c>
      <c r="Z184" s="8">
        <v>0.125</v>
      </c>
      <c r="AA184" s="9">
        <v>0.12540000000000001</v>
      </c>
    </row>
    <row r="185" spans="1:27" x14ac:dyDescent="0.2">
      <c r="A185" s="6" t="s">
        <v>46</v>
      </c>
      <c r="B185">
        <f t="shared" si="27"/>
        <v>144</v>
      </c>
      <c r="C185" t="s">
        <v>21</v>
      </c>
      <c r="D185" t="s">
        <v>15</v>
      </c>
      <c r="E185" t="s">
        <v>42</v>
      </c>
      <c r="F185" s="4">
        <f t="shared" si="28"/>
        <v>234.1817812652699</v>
      </c>
      <c r="G185">
        <f t="shared" si="29"/>
        <v>7.3193920083626507</v>
      </c>
      <c r="H185">
        <f t="shared" si="30"/>
        <v>13.328743999999999</v>
      </c>
      <c r="I185">
        <f t="shared" si="31"/>
        <v>20.648136008362648</v>
      </c>
      <c r="K185" s="4">
        <f t="shared" si="38"/>
        <v>-0.10875174374155679</v>
      </c>
      <c r="L185" t="e">
        <v>#VALUE!</v>
      </c>
      <c r="M185" s="14">
        <f t="shared" si="39"/>
        <v>40.70367948932477</v>
      </c>
      <c r="N185">
        <f t="shared" si="32"/>
        <v>21.037874113764644</v>
      </c>
      <c r="O185" s="15">
        <f t="shared" si="33"/>
        <v>46.652462613401006</v>
      </c>
      <c r="P185" s="15">
        <f t="shared" si="34"/>
        <v>48.968925847427293</v>
      </c>
      <c r="Q185" s="15"/>
      <c r="S185">
        <v>0.24146481907466505</v>
      </c>
      <c r="T185">
        <v>0.21534150123338439</v>
      </c>
      <c r="U185">
        <f t="shared" si="35"/>
        <v>0.1196</v>
      </c>
      <c r="W185">
        <v>2.9060112172996731E-3</v>
      </c>
      <c r="X185" s="4" t="e">
        <v>#VALUE!</v>
      </c>
      <c r="Y185" s="8">
        <v>0.1193</v>
      </c>
      <c r="Z185" s="8">
        <v>0.1195</v>
      </c>
      <c r="AA185" s="9">
        <v>0.12</v>
      </c>
    </row>
    <row r="186" spans="1:27" x14ac:dyDescent="0.2">
      <c r="A186" s="6" t="s">
        <v>47</v>
      </c>
      <c r="B186">
        <f t="shared" si="27"/>
        <v>144</v>
      </c>
      <c r="C186" t="s">
        <v>21</v>
      </c>
      <c r="D186" t="s">
        <v>15</v>
      </c>
      <c r="E186" t="s">
        <v>42</v>
      </c>
      <c r="F186" s="4">
        <f t="shared" si="28"/>
        <v>236.20280626996725</v>
      </c>
      <c r="G186">
        <f t="shared" si="29"/>
        <v>-1.8864066378383499</v>
      </c>
      <c r="H186">
        <f t="shared" si="30"/>
        <v>11.831792000000004</v>
      </c>
      <c r="I186">
        <f t="shared" si="31"/>
        <v>9.9453853621616535</v>
      </c>
      <c r="K186" s="4">
        <f t="shared" si="38"/>
        <v>-0.10968005137478089</v>
      </c>
      <c r="L186" t="e">
        <v>#VALUE!</v>
      </c>
      <c r="M186" s="14">
        <f t="shared" si="39"/>
        <v>51.853497571496234</v>
      </c>
      <c r="N186">
        <f t="shared" si="32"/>
        <v>28.127850295500622</v>
      </c>
      <c r="O186" s="15">
        <f t="shared" si="33"/>
        <v>112.30157011083894</v>
      </c>
      <c r="P186" s="15">
        <f t="shared" si="34"/>
        <v>54.431379738245397</v>
      </c>
      <c r="Q186" s="15"/>
      <c r="S186">
        <v>0.24307490232840726</v>
      </c>
      <c r="T186">
        <v>6.4795662528734504E-3</v>
      </c>
      <c r="U186">
        <f t="shared" si="35"/>
        <v>0.11280000000000001</v>
      </c>
      <c r="W186">
        <v>2.3919981313505582E-3</v>
      </c>
      <c r="X186" s="4" t="e">
        <v>#VALUE!</v>
      </c>
      <c r="Y186" s="8">
        <v>0.1125</v>
      </c>
      <c r="Z186" s="8">
        <v>0.11310000000000001</v>
      </c>
      <c r="AA186" s="9">
        <v>0.1128</v>
      </c>
    </row>
    <row r="187" spans="1:27" x14ac:dyDescent="0.2">
      <c r="A187" s="6" t="s">
        <v>48</v>
      </c>
      <c r="B187">
        <f t="shared" si="27"/>
        <v>144</v>
      </c>
      <c r="C187" t="s">
        <v>21</v>
      </c>
      <c r="D187" t="s">
        <v>15</v>
      </c>
      <c r="E187" t="s">
        <v>42</v>
      </c>
      <c r="F187" s="4">
        <f t="shared" si="28"/>
        <v>232.6113510169576</v>
      </c>
      <c r="G187">
        <f t="shared" si="29"/>
        <v>6.5302076520608114</v>
      </c>
      <c r="H187">
        <f t="shared" si="30"/>
        <v>11.369498000000002</v>
      </c>
      <c r="I187">
        <f t="shared" si="31"/>
        <v>17.899705652060813</v>
      </c>
      <c r="K187" s="4">
        <f t="shared" si="38"/>
        <v>-0.10966242222358238</v>
      </c>
      <c r="L187" t="e">
        <v>#VALUE!</v>
      </c>
      <c r="M187" s="14">
        <f t="shared" si="39"/>
        <v>36.72104930080306</v>
      </c>
      <c r="N187">
        <f t="shared" si="32"/>
        <v>18.745720936206396</v>
      </c>
      <c r="O187" s="15">
        <f t="shared" si="33"/>
        <v>58.736833744394765</v>
      </c>
      <c r="P187" s="15">
        <f t="shared" si="34"/>
        <v>56.062838557152737</v>
      </c>
      <c r="Q187" s="15"/>
      <c r="S187">
        <v>0.24021370964350958</v>
      </c>
      <c r="T187">
        <v>0.19743642009394707</v>
      </c>
      <c r="U187">
        <f t="shared" si="35"/>
        <v>0.11070000000000001</v>
      </c>
      <c r="W187">
        <v>2.4017595661227071E-3</v>
      </c>
      <c r="X187" s="4" t="e">
        <v>#VALUE!</v>
      </c>
      <c r="Y187" s="8">
        <v>0.1108</v>
      </c>
      <c r="Z187" s="8">
        <v>0.1109</v>
      </c>
      <c r="AA187" s="9">
        <v>0.1104</v>
      </c>
    </row>
    <row r="188" spans="1:27" x14ac:dyDescent="0.2">
      <c r="A188" s="6" t="s">
        <v>49</v>
      </c>
      <c r="B188">
        <f t="shared" si="27"/>
        <v>144</v>
      </c>
      <c r="C188" t="s">
        <v>20</v>
      </c>
      <c r="D188" t="s">
        <v>15</v>
      </c>
      <c r="E188" t="s">
        <v>42</v>
      </c>
      <c r="F188" s="4">
        <f t="shared" si="28"/>
        <v>232.87251164584237</v>
      </c>
      <c r="G188">
        <f t="shared" si="29"/>
        <v>-0.40896000000000016</v>
      </c>
      <c r="H188">
        <f t="shared" si="30"/>
        <v>12.455521999999998</v>
      </c>
      <c r="I188">
        <f t="shared" si="31"/>
        <v>12.046561999999998</v>
      </c>
      <c r="K188" s="4">
        <f t="shared" si="38"/>
        <v>-0.10965587744196142</v>
      </c>
      <c r="L188" t="e">
        <v>#VALUE!</v>
      </c>
      <c r="M188" s="14">
        <f t="shared" si="39"/>
        <v>39.394409869897231</v>
      </c>
      <c r="N188">
        <f t="shared" si="32"/>
        <v>20.361172405711024</v>
      </c>
      <c r="O188" s="15">
        <f t="shared" si="33"/>
        <v>102.98071327026848</v>
      </c>
      <c r="P188" s="15">
        <f t="shared" si="34"/>
        <v>52.312185845042812</v>
      </c>
      <c r="Q188" s="15"/>
      <c r="S188">
        <v>0.24042176761118775</v>
      </c>
      <c r="T188" s="11">
        <v>0.04</v>
      </c>
      <c r="U188">
        <f t="shared" si="35"/>
        <v>0.11563333333333332</v>
      </c>
      <c r="W188">
        <v>2.4053834762118352E-3</v>
      </c>
      <c r="X188" s="4" t="e">
        <v>#VALUE!</v>
      </c>
      <c r="Y188" s="8">
        <v>0.1153</v>
      </c>
      <c r="Z188" s="8">
        <v>0.11559999999999999</v>
      </c>
      <c r="AA188" s="9">
        <v>0.11600000000000001</v>
      </c>
    </row>
    <row r="189" spans="1:27" x14ac:dyDescent="0.2">
      <c r="A189" s="6" t="s">
        <v>50</v>
      </c>
      <c r="B189">
        <f t="shared" si="27"/>
        <v>144</v>
      </c>
      <c r="C189" t="s">
        <v>20</v>
      </c>
      <c r="D189" t="s">
        <v>15</v>
      </c>
      <c r="E189" t="s">
        <v>42</v>
      </c>
      <c r="F189" s="4">
        <f t="shared" si="28"/>
        <v>233.91382495949543</v>
      </c>
      <c r="G189">
        <f t="shared" si="29"/>
        <v>1.1796519514972497</v>
      </c>
      <c r="H189">
        <f t="shared" si="30"/>
        <v>10.378868000000001</v>
      </c>
      <c r="I189">
        <f t="shared" si="31"/>
        <v>11.558519951497249</v>
      </c>
      <c r="K189" s="4">
        <f t="shared" si="38"/>
        <v>-0.10305981374722341</v>
      </c>
      <c r="L189" t="e">
        <v>#VALUE!</v>
      </c>
      <c r="M189" s="14">
        <f t="shared" si="39"/>
        <v>49.564516261024409</v>
      </c>
      <c r="N189">
        <f t="shared" si="32"/>
        <v>26.886195891352148</v>
      </c>
      <c r="O189" s="15">
        <f t="shared" si="33"/>
        <v>92.307294251063311</v>
      </c>
      <c r="P189" s="15">
        <f t="shared" si="34"/>
        <v>60.027129057130459</v>
      </c>
      <c r="Q189" s="15"/>
      <c r="S189">
        <v>0.24125134721773137</v>
      </c>
      <c r="T189">
        <v>7.6042561745558804E-2</v>
      </c>
      <c r="U189">
        <f t="shared" si="35"/>
        <v>0.1062</v>
      </c>
      <c r="W189">
        <v>6.0576889550258009E-3</v>
      </c>
      <c r="X189" s="4" t="e">
        <v>#VALUE!</v>
      </c>
      <c r="Y189" s="8">
        <v>0.1061</v>
      </c>
      <c r="Z189" s="8">
        <v>0.1061</v>
      </c>
      <c r="AA189" s="9">
        <v>0.10639999999999999</v>
      </c>
    </row>
    <row r="190" spans="1:27" x14ac:dyDescent="0.2">
      <c r="A190" s="6" t="s">
        <v>51</v>
      </c>
      <c r="B190">
        <f t="shared" si="27"/>
        <v>144</v>
      </c>
      <c r="C190" t="s">
        <v>20</v>
      </c>
      <c r="D190" t="s">
        <v>15</v>
      </c>
      <c r="E190" t="s">
        <v>42</v>
      </c>
      <c r="F190" s="4">
        <f t="shared" si="28"/>
        <v>232.60920752537598</v>
      </c>
      <c r="G190">
        <f t="shared" si="29"/>
        <v>5.3015706643519539E-2</v>
      </c>
      <c r="H190">
        <f t="shared" si="30"/>
        <v>9.9899539999999991</v>
      </c>
      <c r="I190">
        <f t="shared" si="31"/>
        <v>10.042969706643518</v>
      </c>
      <c r="K190" s="4">
        <f t="shared" si="38"/>
        <v>-0.10760651680407538</v>
      </c>
      <c r="L190" t="e">
        <v>#VALUE!</v>
      </c>
      <c r="M190" s="14">
        <f t="shared" si="39"/>
        <v>36.71890580922144</v>
      </c>
      <c r="N190">
        <f t="shared" si="32"/>
        <v>18.744626705627933</v>
      </c>
      <c r="O190" s="15">
        <f t="shared" si="33"/>
        <v>99.665003621025804</v>
      </c>
      <c r="P190" s="15">
        <f t="shared" si="34"/>
        <v>61.394054363295758</v>
      </c>
      <c r="Q190" s="15"/>
      <c r="S190">
        <v>0.2402120019952162</v>
      </c>
      <c r="T190">
        <v>5.0481343739076132E-2</v>
      </c>
      <c r="U190">
        <f t="shared" si="35"/>
        <v>0.10443333333333332</v>
      </c>
      <c r="W190">
        <v>3.5401346599804131E-3</v>
      </c>
      <c r="X190" s="4" t="e">
        <v>#VALUE!</v>
      </c>
      <c r="Y190" s="8">
        <v>0.1045</v>
      </c>
      <c r="Z190" s="8">
        <v>0.1043</v>
      </c>
      <c r="AA190" s="9">
        <v>0.1045</v>
      </c>
    </row>
    <row r="191" spans="1:27" s="35" customFormat="1" x14ac:dyDescent="0.2">
      <c r="A191" s="46" t="s">
        <v>52</v>
      </c>
      <c r="B191" s="35">
        <f t="shared" si="27"/>
        <v>144</v>
      </c>
      <c r="C191" t="s">
        <v>26</v>
      </c>
      <c r="D191" s="35" t="s">
        <v>15</v>
      </c>
      <c r="E191" s="35" t="s">
        <v>42</v>
      </c>
      <c r="F191" s="26">
        <f t="shared" si="28"/>
        <v>173.31821747433028</v>
      </c>
      <c r="G191" s="35">
        <f t="shared" si="29"/>
        <v>14.254770610473185</v>
      </c>
      <c r="H191" s="35">
        <f t="shared" si="30"/>
        <v>19.037707999999995</v>
      </c>
      <c r="I191" s="35">
        <f t="shared" si="31"/>
        <v>33.292478610473182</v>
      </c>
      <c r="K191" s="26">
        <f t="shared" si="38"/>
        <v>-0.1097637897101416</v>
      </c>
      <c r="L191" t="e">
        <v>#VALUE!</v>
      </c>
      <c r="M191" s="14">
        <f t="shared" si="39"/>
        <v>-20.159884301614852</v>
      </c>
      <c r="N191">
        <f t="shared" si="32"/>
        <v>-10.419724049681214</v>
      </c>
      <c r="O191" s="24">
        <f t="shared" si="33"/>
        <v>-3.8961852583880372</v>
      </c>
      <c r="P191" s="24">
        <f t="shared" si="34"/>
        <v>27.111310064697282</v>
      </c>
      <c r="Q191" s="24"/>
      <c r="S191" s="35">
        <v>0.19297684658788314</v>
      </c>
      <c r="T191" s="35">
        <v>0.37269195504295277</v>
      </c>
      <c r="U191" s="35">
        <f t="shared" si="35"/>
        <v>0.14553333333333332</v>
      </c>
      <c r="W191" s="35">
        <v>2.3456313897333297E-3</v>
      </c>
      <c r="X191" s="4" t="e">
        <v>#VALUE!</v>
      </c>
      <c r="Y191" s="47">
        <v>0.13930000000000001</v>
      </c>
      <c r="Z191" s="47">
        <v>0.152</v>
      </c>
      <c r="AA191" s="48">
        <v>0.14530000000000001</v>
      </c>
    </row>
    <row r="192" spans="1:27" s="35" customFormat="1" x14ac:dyDescent="0.2">
      <c r="A192" s="46" t="s">
        <v>53</v>
      </c>
      <c r="B192" s="35">
        <f t="shared" si="27"/>
        <v>144</v>
      </c>
      <c r="C192" t="s">
        <v>26</v>
      </c>
      <c r="D192" s="35" t="s">
        <v>15</v>
      </c>
      <c r="E192" s="35" t="s">
        <v>42</v>
      </c>
      <c r="F192" s="26">
        <f t="shared" si="28"/>
        <v>168.35175460789193</v>
      </c>
      <c r="G192" s="35">
        <f t="shared" si="29"/>
        <v>14.722173392262725</v>
      </c>
      <c r="H192" s="35">
        <f t="shared" si="30"/>
        <v>17.841614</v>
      </c>
      <c r="I192" s="35">
        <f t="shared" si="31"/>
        <v>32.563787392262725</v>
      </c>
      <c r="K192" s="26">
        <f t="shared" si="38"/>
        <v>-0.10942313178595106</v>
      </c>
      <c r="L192" t="e">
        <v>#VALUE!</v>
      </c>
      <c r="M192" s="14">
        <f t="shared" si="39"/>
        <v>-15.997554090579088</v>
      </c>
      <c r="N192">
        <f t="shared" si="32"/>
        <v>-8.6778487012095695</v>
      </c>
      <c r="O192" s="24">
        <f t="shared" si="33"/>
        <v>3.9942690318464633</v>
      </c>
      <c r="P192" s="24">
        <f t="shared" si="34"/>
        <v>31.285325737402729</v>
      </c>
      <c r="Q192" s="24"/>
      <c r="S192" s="35">
        <v>0.1890202311709539</v>
      </c>
      <c r="T192" s="35">
        <v>0.38329642872000014</v>
      </c>
      <c r="U192" s="35">
        <f t="shared" si="35"/>
        <v>0.1401</v>
      </c>
      <c r="W192" s="35">
        <v>2.5342570398942045E-3</v>
      </c>
      <c r="X192" s="4" t="e">
        <v>#VALUE!</v>
      </c>
      <c r="Y192" s="47">
        <v>0.13719999999999999</v>
      </c>
      <c r="Z192" s="47">
        <v>0.13930000000000001</v>
      </c>
      <c r="AA192" s="48">
        <v>0.14380000000000001</v>
      </c>
    </row>
    <row r="193" spans="1:27" s="35" customFormat="1" x14ac:dyDescent="0.2">
      <c r="A193" s="46" t="s">
        <v>54</v>
      </c>
      <c r="B193" s="35">
        <f t="shared" si="27"/>
        <v>144</v>
      </c>
      <c r="C193" t="s">
        <v>26</v>
      </c>
      <c r="D193" s="35" t="s">
        <v>15</v>
      </c>
      <c r="E193" s="35" t="s">
        <v>42</v>
      </c>
      <c r="F193" s="26">
        <f t="shared" si="28"/>
        <v>160.77193900367027</v>
      </c>
      <c r="G193" s="35">
        <f t="shared" si="29"/>
        <v>14.178981684346967</v>
      </c>
      <c r="H193" s="35">
        <f t="shared" si="30"/>
        <v>13.578235999999995</v>
      </c>
      <c r="I193" s="35">
        <f t="shared" si="31"/>
        <v>27.757217684346962</v>
      </c>
      <c r="K193" s="26">
        <f t="shared" si="38"/>
        <v>-0.114</v>
      </c>
      <c r="L193" t="e">
        <v>#VALUE!</v>
      </c>
      <c r="M193" s="14">
        <f t="shared" si="39"/>
        <v>-35.11836271248427</v>
      </c>
      <c r="N193">
        <f t="shared" si="32"/>
        <v>-17.927565788004578</v>
      </c>
      <c r="O193" s="24">
        <f t="shared" si="33"/>
        <v>10.405654804598232</v>
      </c>
      <c r="P193" s="24">
        <f t="shared" si="34"/>
        <v>47.52722176114721</v>
      </c>
      <c r="Q193" s="24"/>
      <c r="S193" s="35">
        <v>0.18298164473959067</v>
      </c>
      <c r="T193" s="35">
        <v>0.3709724495041965</v>
      </c>
      <c r="U193" s="35">
        <f t="shared" si="35"/>
        <v>0.12073333333333332</v>
      </c>
      <c r="W193" s="35">
        <v>0</v>
      </c>
      <c r="X193" s="4" t="e">
        <v>#VALUE!</v>
      </c>
      <c r="Y193" s="47">
        <v>0.12039999999999999</v>
      </c>
      <c r="Z193" s="47">
        <v>0.12039999999999999</v>
      </c>
      <c r="AA193" s="48">
        <v>0.12139999999999999</v>
      </c>
    </row>
    <row r="194" spans="1:27" x14ac:dyDescent="0.2">
      <c r="A194" s="6" t="s">
        <v>56</v>
      </c>
      <c r="B194">
        <f t="shared" si="27"/>
        <v>144</v>
      </c>
      <c r="C194" t="s">
        <v>19</v>
      </c>
      <c r="D194" t="s">
        <v>14</v>
      </c>
      <c r="E194" t="s">
        <v>69</v>
      </c>
      <c r="F194" s="4">
        <f t="shared" si="28"/>
        <v>188.67962385219747</v>
      </c>
      <c r="G194">
        <f t="shared" si="29"/>
        <v>13.709251246264376</v>
      </c>
      <c r="H194">
        <f t="shared" si="30"/>
        <v>25.205296999999991</v>
      </c>
      <c r="I194">
        <f t="shared" si="31"/>
        <v>38.914548246264367</v>
      </c>
      <c r="K194" s="4">
        <f t="shared" si="38"/>
        <v>-0.10874023534899092</v>
      </c>
      <c r="L194" s="13">
        <f t="shared" ref="L194:L257" si="40">(0.2119*X194+0.0014)*30</f>
        <v>0.61715232969998279</v>
      </c>
      <c r="N194">
        <f t="shared" si="32"/>
        <v>-2.4801142246601557</v>
      </c>
      <c r="O194">
        <f t="shared" si="33"/>
        <v>7.984371286982557E-2</v>
      </c>
      <c r="P194">
        <f t="shared" si="34"/>
        <v>3.497780417673408</v>
      </c>
      <c r="Q194">
        <f>(L50-L194)</f>
        <v>0.24656165836988408</v>
      </c>
      <c r="S194">
        <v>0.20521476700225064</v>
      </c>
      <c r="T194" s="10">
        <v>0.3603151657651415</v>
      </c>
      <c r="U194" s="14">
        <f>AVERAGE(U195:U196)</f>
        <v>0.17354999999999998</v>
      </c>
      <c r="W194">
        <v>2.9123835276905199E-3</v>
      </c>
      <c r="X194" s="17">
        <v>9.0475433333330635E-2</v>
      </c>
      <c r="Y194" s="14">
        <v>0.27539999999999998</v>
      </c>
      <c r="Z194" s="14">
        <v>0.29420000000000002</v>
      </c>
      <c r="AA194" s="14">
        <v>0.31869999999999998</v>
      </c>
    </row>
    <row r="195" spans="1:27" x14ac:dyDescent="0.2">
      <c r="A195" s="6" t="s">
        <v>57</v>
      </c>
      <c r="B195">
        <f t="shared" si="27"/>
        <v>144</v>
      </c>
      <c r="C195" t="s">
        <v>19</v>
      </c>
      <c r="D195" t="s">
        <v>14</v>
      </c>
      <c r="E195" t="s">
        <v>69</v>
      </c>
      <c r="F195" s="4">
        <f t="shared" si="28"/>
        <v>193.48020637929849</v>
      </c>
      <c r="G195">
        <f t="shared" si="29"/>
        <v>14.991205116937046</v>
      </c>
      <c r="H195">
        <f t="shared" si="30"/>
        <v>25.186951999999998</v>
      </c>
      <c r="I195">
        <f t="shared" si="31"/>
        <v>40.178157116937044</v>
      </c>
      <c r="K195" s="4">
        <f t="shared" si="38"/>
        <v>-0.10942142091033606</v>
      </c>
      <c r="L195" s="13">
        <f t="shared" si="40"/>
        <v>0.64298293970000242</v>
      </c>
      <c r="N195">
        <f t="shared" si="32"/>
        <v>4.9530414544501102</v>
      </c>
      <c r="O195">
        <f t="shared" si="33"/>
        <v>2.2398685983781648</v>
      </c>
      <c r="P195">
        <f t="shared" si="34"/>
        <v>2.9957041808172309</v>
      </c>
      <c r="Q195">
        <f t="shared" ref="Q195:Q217" si="41">(L51-L195)</f>
        <v>0.22589923958230795</v>
      </c>
      <c r="S195">
        <v>0.20903923108217448</v>
      </c>
      <c r="T195" s="10">
        <v>0.38940024314677024</v>
      </c>
      <c r="U195">
        <f t="shared" si="35"/>
        <v>0.17346666666666666</v>
      </c>
      <c r="W195">
        <v>2.5352043685846789E-3</v>
      </c>
      <c r="X195" s="17">
        <v>9.4538766666667051E-2</v>
      </c>
      <c r="Y195">
        <v>0.1749</v>
      </c>
      <c r="Z195">
        <v>0.1731</v>
      </c>
      <c r="AA195">
        <v>0.1724</v>
      </c>
    </row>
    <row r="196" spans="1:27" x14ac:dyDescent="0.2">
      <c r="A196" s="6" t="s">
        <v>58</v>
      </c>
      <c r="B196">
        <f t="shared" si="27"/>
        <v>144</v>
      </c>
      <c r="C196" t="s">
        <v>19</v>
      </c>
      <c r="D196" t="s">
        <v>14</v>
      </c>
      <c r="E196" t="s">
        <v>69</v>
      </c>
      <c r="F196" s="4">
        <f t="shared" si="28"/>
        <v>201.62265019785224</v>
      </c>
      <c r="G196">
        <f t="shared" si="29"/>
        <v>15.217427298257913</v>
      </c>
      <c r="H196">
        <f t="shared" si="30"/>
        <v>25.223641999999991</v>
      </c>
      <c r="I196">
        <f t="shared" si="31"/>
        <v>40.441069298257901</v>
      </c>
      <c r="K196" s="4">
        <f t="shared" si="38"/>
        <v>-0.10843820333513027</v>
      </c>
      <c r="L196" s="13">
        <f t="shared" si="40"/>
        <v>0.57394189359999614</v>
      </c>
      <c r="N196">
        <f t="shared" si="32"/>
        <v>2.9263054022980084</v>
      </c>
      <c r="O196">
        <f t="shared" si="33"/>
        <v>3.8439103245909365</v>
      </c>
      <c r="P196">
        <f t="shared" si="34"/>
        <v>2.5238202486528238</v>
      </c>
      <c r="Q196">
        <f t="shared" si="41"/>
        <v>0.29235619007609237</v>
      </c>
      <c r="S196">
        <v>0.21552604465762229</v>
      </c>
      <c r="T196" s="10">
        <v>0.3945327910485959</v>
      </c>
      <c r="U196">
        <f t="shared" si="35"/>
        <v>0.17363333333333331</v>
      </c>
      <c r="W196">
        <v>3.0796216306033962E-3</v>
      </c>
      <c r="X196" s="17">
        <v>8.3678133333332738E-2</v>
      </c>
      <c r="Y196">
        <v>0.17460000000000001</v>
      </c>
      <c r="Z196">
        <v>0.17349999999999999</v>
      </c>
      <c r="AA196">
        <v>0.17280000000000001</v>
      </c>
    </row>
    <row r="197" spans="1:27" x14ac:dyDescent="0.2">
      <c r="A197" s="6" t="s">
        <v>59</v>
      </c>
      <c r="B197">
        <f t="shared" si="27"/>
        <v>144</v>
      </c>
      <c r="C197" t="s">
        <v>21</v>
      </c>
      <c r="D197" t="s">
        <v>14</v>
      </c>
      <c r="E197" t="s">
        <v>69</v>
      </c>
      <c r="F197" s="4">
        <f t="shared" si="28"/>
        <v>197.02875868954641</v>
      </c>
      <c r="G197">
        <f t="shared" si="29"/>
        <v>15.616377735865521</v>
      </c>
      <c r="H197">
        <f t="shared" si="30"/>
        <v>26.691241999999995</v>
      </c>
      <c r="I197">
        <f t="shared" si="31"/>
        <v>42.307619735865515</v>
      </c>
      <c r="K197" s="4">
        <f t="shared" si="38"/>
        <v>-0.10913222242467056</v>
      </c>
      <c r="L197" s="13">
        <f t="shared" si="40"/>
        <v>0.75970741899997618</v>
      </c>
      <c r="M197">
        <f>AVERAGE(M191:M193,M179:M181)</f>
        <v>-25.014470670188544</v>
      </c>
      <c r="N197">
        <f t="shared" si="32"/>
        <v>1.8351724980809798</v>
      </c>
      <c r="O197">
        <f t="shared" si="33"/>
        <v>-13.820286460336975</v>
      </c>
      <c r="P197">
        <f t="shared" si="34"/>
        <v>-2.1913805026387303</v>
      </c>
      <c r="Q197">
        <f t="shared" si="41"/>
        <v>0.1040065690698907</v>
      </c>
      <c r="S197">
        <v>0.21186624442267199</v>
      </c>
      <c r="T197" s="10">
        <v>0.40358421217591256</v>
      </c>
      <c r="U197">
        <f t="shared" si="35"/>
        <v>0.18029999999999999</v>
      </c>
      <c r="W197">
        <v>2.6953364204481967E-3</v>
      </c>
      <c r="X197" s="17">
        <v>0.11290033333332961</v>
      </c>
      <c r="Y197">
        <v>0.1812</v>
      </c>
      <c r="Z197">
        <v>0.1802</v>
      </c>
      <c r="AA197">
        <v>0.17949999999999999</v>
      </c>
    </row>
    <row r="198" spans="1:27" x14ac:dyDescent="0.2">
      <c r="A198" s="6" t="s">
        <v>60</v>
      </c>
      <c r="B198">
        <f t="shared" si="27"/>
        <v>144</v>
      </c>
      <c r="C198" t="s">
        <v>21</v>
      </c>
      <c r="D198" t="s">
        <v>14</v>
      </c>
      <c r="E198" t="s">
        <v>69</v>
      </c>
      <c r="F198" s="4">
        <f t="shared" si="28"/>
        <v>171.49915085201829</v>
      </c>
      <c r="G198">
        <f t="shared" si="29"/>
        <v>15.129685264367494</v>
      </c>
      <c r="H198">
        <f t="shared" si="30"/>
        <v>24.064237999999996</v>
      </c>
      <c r="I198">
        <f t="shared" si="31"/>
        <v>39.193923264367491</v>
      </c>
      <c r="K198" s="4">
        <f t="shared" si="38"/>
        <v>-0.10994725365893714</v>
      </c>
      <c r="L198" s="13">
        <f t="shared" si="40"/>
        <v>0.781626354999994</v>
      </c>
      <c r="M198">
        <f>AVERAGE(M182:M190,M170:M178)</f>
        <v>49.599189639707092</v>
      </c>
      <c r="N198">
        <f t="shared" si="32"/>
        <v>-6.970548431765998</v>
      </c>
      <c r="O198">
        <f t="shared" si="33"/>
        <v>1.3368166219882542</v>
      </c>
      <c r="P198">
        <f t="shared" si="34"/>
        <v>7.3196922908647721</v>
      </c>
      <c r="Q198">
        <f t="shared" si="41"/>
        <v>8.7255824282316374E-2</v>
      </c>
      <c r="S198">
        <v>0.19152765684544126</v>
      </c>
      <c r="T198" s="10">
        <v>0.39254209239421661</v>
      </c>
      <c r="U198">
        <f t="shared" si="35"/>
        <v>0.16836666666666666</v>
      </c>
      <c r="W198">
        <v>2.2440455930580663E-3</v>
      </c>
      <c r="X198" s="17">
        <v>0.11634833333333239</v>
      </c>
      <c r="Y198">
        <v>0.16930000000000001</v>
      </c>
      <c r="Z198">
        <v>0.16819999999999999</v>
      </c>
      <c r="AA198">
        <v>0.1676</v>
      </c>
    </row>
    <row r="199" spans="1:27" x14ac:dyDescent="0.2">
      <c r="A199" s="6" t="s">
        <v>61</v>
      </c>
      <c r="B199">
        <f t="shared" si="27"/>
        <v>144</v>
      </c>
      <c r="C199" t="s">
        <v>21</v>
      </c>
      <c r="D199" t="s">
        <v>14</v>
      </c>
      <c r="E199" t="s">
        <v>69</v>
      </c>
      <c r="F199" s="4">
        <f t="shared" si="28"/>
        <v>204.57399272956926</v>
      </c>
      <c r="G199">
        <f t="shared" si="29"/>
        <v>15.213642159668741</v>
      </c>
      <c r="H199">
        <f t="shared" si="30"/>
        <v>24.210998000000004</v>
      </c>
      <c r="I199">
        <f t="shared" si="31"/>
        <v>39.424640159668741</v>
      </c>
      <c r="K199" s="4">
        <f t="shared" si="38"/>
        <v>-0.10690424367191523</v>
      </c>
      <c r="L199" s="13">
        <f t="shared" si="40"/>
        <v>0.63436369530001391</v>
      </c>
      <c r="N199">
        <f t="shared" si="32"/>
        <v>4.4329356468077741</v>
      </c>
      <c r="O199">
        <f t="shared" si="33"/>
        <v>3.867827910558705</v>
      </c>
      <c r="P199">
        <f t="shared" si="34"/>
        <v>6.4371595106088098</v>
      </c>
      <c r="Q199">
        <f t="shared" si="41"/>
        <v>0.23193438837607461</v>
      </c>
      <c r="S199">
        <v>0.21787728087455685</v>
      </c>
      <c r="T199" s="10">
        <v>0.39444691350550731</v>
      </c>
      <c r="U199">
        <f t="shared" si="35"/>
        <v>0.16903333333333334</v>
      </c>
      <c r="W199">
        <v>3.9289902148863659E-3</v>
      </c>
      <c r="X199" s="17">
        <v>9.3182900000002178E-2</v>
      </c>
      <c r="Y199">
        <v>0.17050000000000001</v>
      </c>
      <c r="Z199">
        <v>0.16850000000000001</v>
      </c>
      <c r="AA199">
        <v>0.1681</v>
      </c>
    </row>
    <row r="200" spans="1:27" x14ac:dyDescent="0.2">
      <c r="A200" s="6" t="s">
        <v>62</v>
      </c>
      <c r="B200">
        <f t="shared" si="27"/>
        <v>144</v>
      </c>
      <c r="C200" t="s">
        <v>20</v>
      </c>
      <c r="D200" t="s">
        <v>14</v>
      </c>
      <c r="E200" t="s">
        <v>69</v>
      </c>
      <c r="F200" s="4">
        <f t="shared" si="28"/>
        <v>200.57473180838412</v>
      </c>
      <c r="G200">
        <f t="shared" si="29"/>
        <v>15.246997391735951</v>
      </c>
      <c r="H200">
        <f t="shared" si="30"/>
        <v>25.150262000000005</v>
      </c>
      <c r="I200">
        <f t="shared" si="31"/>
        <v>40.397259391735957</v>
      </c>
      <c r="K200" s="4">
        <f t="shared" si="38"/>
        <v>-0.1075803345894064</v>
      </c>
      <c r="L200" s="13">
        <f t="shared" si="40"/>
        <v>0.64679247789999184</v>
      </c>
      <c r="N200">
        <f t="shared" si="32"/>
        <v>3.6679241564283815</v>
      </c>
      <c r="O200">
        <f t="shared" si="33"/>
        <v>-11.128050316158216</v>
      </c>
      <c r="P200">
        <f t="shared" si="34"/>
        <v>3.7084900813886179</v>
      </c>
      <c r="Q200">
        <f t="shared" si="41"/>
        <v>0.21692151016987504</v>
      </c>
      <c r="S200">
        <v>0.21469120300734601</v>
      </c>
      <c r="T200" s="10">
        <v>0.39520367981976473</v>
      </c>
      <c r="U200">
        <f t="shared" si="35"/>
        <v>0.17330000000000001</v>
      </c>
      <c r="W200">
        <v>3.5546320102954601E-3</v>
      </c>
      <c r="X200" s="17">
        <v>9.5138033333332039E-2</v>
      </c>
      <c r="Y200">
        <v>0.17469999999999999</v>
      </c>
      <c r="Z200">
        <v>0.17319999999999999</v>
      </c>
      <c r="AA200">
        <v>0.17199999999999999</v>
      </c>
    </row>
    <row r="201" spans="1:27" x14ac:dyDescent="0.2">
      <c r="A201" s="6" t="s">
        <v>63</v>
      </c>
      <c r="B201">
        <f t="shared" si="27"/>
        <v>144</v>
      </c>
      <c r="C201" t="s">
        <v>20</v>
      </c>
      <c r="D201" t="s">
        <v>14</v>
      </c>
      <c r="E201" t="s">
        <v>69</v>
      </c>
      <c r="F201" s="4">
        <f t="shared" si="28"/>
        <v>200.39587675457028</v>
      </c>
      <c r="G201">
        <f t="shared" si="29"/>
        <v>15.06083545364174</v>
      </c>
      <c r="H201">
        <f t="shared" si="30"/>
        <v>25.766653999999996</v>
      </c>
      <c r="I201">
        <f t="shared" si="31"/>
        <v>40.827489453641732</v>
      </c>
      <c r="K201" s="4">
        <f t="shared" si="38"/>
        <v>-0.10765004545220749</v>
      </c>
      <c r="L201" s="13">
        <f t="shared" si="40"/>
        <v>0.61413021190001094</v>
      </c>
      <c r="N201">
        <f t="shared" si="32"/>
        <v>8.7044362516952312</v>
      </c>
      <c r="O201">
        <f t="shared" si="33"/>
        <v>1.7857976405937583</v>
      </c>
      <c r="P201">
        <f t="shared" si="34"/>
        <v>0.76305672530250024</v>
      </c>
      <c r="Q201">
        <f t="shared" si="41"/>
        <v>0.25475196738229944</v>
      </c>
      <c r="S201">
        <v>0.21454871514780768</v>
      </c>
      <c r="T201" s="10">
        <v>0.39098002209006583</v>
      </c>
      <c r="U201">
        <f t="shared" si="35"/>
        <v>0.17610000000000001</v>
      </c>
      <c r="W201">
        <v>3.5160324184897586E-3</v>
      </c>
      <c r="X201" s="17">
        <v>9.0000033333335061E-2</v>
      </c>
      <c r="Y201">
        <v>0.17730000000000001</v>
      </c>
      <c r="Z201">
        <v>0.17580000000000001</v>
      </c>
      <c r="AA201">
        <v>0.17519999999999999</v>
      </c>
    </row>
    <row r="202" spans="1:27" x14ac:dyDescent="0.2">
      <c r="A202" s="6" t="s">
        <v>64</v>
      </c>
      <c r="B202">
        <f t="shared" si="27"/>
        <v>144</v>
      </c>
      <c r="C202" t="s">
        <v>20</v>
      </c>
      <c r="D202" t="s">
        <v>14</v>
      </c>
      <c r="E202" t="s">
        <v>69</v>
      </c>
      <c r="F202" s="4">
        <f t="shared" si="28"/>
        <v>189.29779941451156</v>
      </c>
      <c r="G202">
        <f t="shared" si="29"/>
        <v>15.107716030428071</v>
      </c>
      <c r="H202">
        <f t="shared" si="30"/>
        <v>23.660647999999995</v>
      </c>
      <c r="I202">
        <f t="shared" si="31"/>
        <v>38.768364030428067</v>
      </c>
      <c r="K202" s="4">
        <f t="shared" si="38"/>
        <v>-0.10931477612959101</v>
      </c>
      <c r="L202" s="13">
        <f t="shared" si="40"/>
        <v>0.71075597619997877</v>
      </c>
      <c r="N202">
        <f t="shared" si="32"/>
        <v>-3.3654051496615338</v>
      </c>
      <c r="O202">
        <f t="shared" si="33"/>
        <v>4.5371553982215405</v>
      </c>
      <c r="P202">
        <f t="shared" si="34"/>
        <v>8.5639743268892978</v>
      </c>
      <c r="Q202">
        <f t="shared" si="41"/>
        <v>0.15554210747610975</v>
      </c>
      <c r="S202">
        <v>0.20570724686689423</v>
      </c>
      <c r="T202" s="10">
        <v>0.39204365256439039</v>
      </c>
      <c r="U202">
        <f t="shared" si="35"/>
        <v>0.16653333333333331</v>
      </c>
      <c r="W202">
        <v>2.594254634777954E-3</v>
      </c>
      <c r="X202" s="17">
        <v>0.10519993333333</v>
      </c>
      <c r="Y202">
        <v>0.16739999999999999</v>
      </c>
      <c r="Z202">
        <v>0.16650000000000001</v>
      </c>
      <c r="AA202">
        <v>0.16569999999999999</v>
      </c>
    </row>
    <row r="203" spans="1:27" s="14" customFormat="1" x14ac:dyDescent="0.2">
      <c r="A203" s="41" t="s">
        <v>65</v>
      </c>
      <c r="B203" s="14">
        <f t="shared" si="27"/>
        <v>144</v>
      </c>
      <c r="C203" t="s">
        <v>26</v>
      </c>
      <c r="D203" s="14" t="s">
        <v>14</v>
      </c>
      <c r="E203" s="14" t="s">
        <v>69</v>
      </c>
      <c r="F203" s="22">
        <f t="shared" si="28"/>
        <v>245.19232167547671</v>
      </c>
      <c r="G203" s="14">
        <f t="shared" si="29"/>
        <v>8.2798378640133095</v>
      </c>
      <c r="H203" s="14">
        <f t="shared" si="30"/>
        <v>23.169001999999999</v>
      </c>
      <c r="I203" s="14">
        <f t="shared" si="31"/>
        <v>31.448839864013308</v>
      </c>
      <c r="K203" s="4">
        <f t="shared" si="38"/>
        <v>-0.11054681457433747</v>
      </c>
      <c r="L203" s="31">
        <v>0.7</v>
      </c>
      <c r="N203">
        <f t="shared" si="32"/>
        <v>26.728719904136007</v>
      </c>
      <c r="O203" s="14">
        <f t="shared" si="33"/>
        <v>39.652233477758713</v>
      </c>
      <c r="P203" s="14">
        <f t="shared" si="34"/>
        <v>11.294037975138135</v>
      </c>
      <c r="Q203">
        <f t="shared" si="41"/>
        <v>0.16371398806986692</v>
      </c>
      <c r="S203" s="14">
        <v>0.25023654960146313</v>
      </c>
      <c r="T203" s="42">
        <v>0.23713217769337758</v>
      </c>
      <c r="U203" s="14">
        <f t="shared" si="35"/>
        <v>0.1643</v>
      </c>
      <c r="W203" s="14">
        <v>1.9120628049072684E-3</v>
      </c>
      <c r="X203" s="4" t="e">
        <v>#VALUE!</v>
      </c>
      <c r="Y203" s="14">
        <v>0.1653</v>
      </c>
      <c r="Z203" s="14">
        <v>0.1641</v>
      </c>
      <c r="AA203" s="14">
        <v>0.16350000000000001</v>
      </c>
    </row>
    <row r="204" spans="1:27" s="14" customFormat="1" x14ac:dyDescent="0.2">
      <c r="A204" s="41" t="s">
        <v>66</v>
      </c>
      <c r="B204" s="14">
        <f t="shared" si="27"/>
        <v>144</v>
      </c>
      <c r="C204" t="s">
        <v>26</v>
      </c>
      <c r="D204" s="14" t="s">
        <v>14</v>
      </c>
      <c r="E204" s="14" t="s">
        <v>69</v>
      </c>
      <c r="F204" s="22">
        <f t="shared" si="28"/>
        <v>253.93043998298026</v>
      </c>
      <c r="G204" s="14">
        <f t="shared" si="29"/>
        <v>1.2178185764225575</v>
      </c>
      <c r="H204" s="14">
        <f t="shared" si="30"/>
        <v>23.469859999999994</v>
      </c>
      <c r="I204" s="14">
        <f t="shared" si="31"/>
        <v>24.687678576422552</v>
      </c>
      <c r="K204" s="4">
        <f t="shared" si="38"/>
        <v>-0.11001159543729773</v>
      </c>
      <c r="L204" s="31">
        <v>0.7</v>
      </c>
      <c r="N204">
        <f t="shared" si="32"/>
        <v>37.74417803666347</v>
      </c>
      <c r="O204" s="14">
        <f t="shared" si="33"/>
        <v>92.058403368792668</v>
      </c>
      <c r="P204" s="14">
        <f t="shared" si="34"/>
        <v>9.608862466772301</v>
      </c>
      <c r="Q204">
        <f t="shared" si="41"/>
        <v>0.16888217928231042</v>
      </c>
      <c r="S204" s="14">
        <v>0.25719791718644097</v>
      </c>
      <c r="T204" s="42">
        <v>7.6908489346187436E-2</v>
      </c>
      <c r="U204" s="14">
        <f t="shared" si="35"/>
        <v>0.16566666666666666</v>
      </c>
      <c r="W204" s="14">
        <v>2.2084189162249529E-3</v>
      </c>
      <c r="X204" s="4" t="e">
        <v>#VALUE!</v>
      </c>
      <c r="Y204" s="14">
        <v>0.1666</v>
      </c>
      <c r="Z204" s="14">
        <v>0.16569999999999999</v>
      </c>
      <c r="AA204" s="14">
        <v>0.16470000000000001</v>
      </c>
    </row>
    <row r="205" spans="1:27" s="14" customFormat="1" x14ac:dyDescent="0.2">
      <c r="A205" s="41" t="s">
        <v>67</v>
      </c>
      <c r="B205" s="14">
        <f t="shared" si="27"/>
        <v>144</v>
      </c>
      <c r="C205" t="s">
        <v>26</v>
      </c>
      <c r="D205" s="14" t="s">
        <v>14</v>
      </c>
      <c r="E205" s="14" t="s">
        <v>69</v>
      </c>
      <c r="F205" s="22">
        <f t="shared" si="28"/>
        <v>250.67994407293659</v>
      </c>
      <c r="G205" s="14">
        <f t="shared" si="29"/>
        <v>7.5807464376718849</v>
      </c>
      <c r="H205" s="14">
        <f t="shared" si="30"/>
        <v>27.777266000000004</v>
      </c>
      <c r="I205" s="14">
        <f t="shared" si="31"/>
        <v>35.358012437671889</v>
      </c>
      <c r="K205" s="4">
        <f t="shared" si="38"/>
        <v>-0.10974851538474539</v>
      </c>
      <c r="L205" s="31">
        <v>0.7</v>
      </c>
      <c r="N205">
        <f t="shared" si="32"/>
        <v>27.9695533044675</v>
      </c>
      <c r="O205" s="14">
        <f t="shared" si="33"/>
        <v>52.098674764113127</v>
      </c>
      <c r="P205" s="14">
        <f t="shared" si="34"/>
        <v>-7.3446004988885329</v>
      </c>
      <c r="Q205">
        <f t="shared" si="41"/>
        <v>0.16629808367608856</v>
      </c>
      <c r="S205" s="14">
        <v>0.25460835544477284</v>
      </c>
      <c r="T205" s="42">
        <v>0.22127113253634373</v>
      </c>
      <c r="U205" s="14">
        <f t="shared" si="35"/>
        <v>0.18523333333333333</v>
      </c>
      <c r="W205" s="14">
        <v>2.3540889342495014E-3</v>
      </c>
      <c r="X205" s="4" t="e">
        <v>#VALUE!</v>
      </c>
      <c r="Y205" s="14">
        <v>0.1865</v>
      </c>
      <c r="Z205" s="14">
        <v>0.18479999999999999</v>
      </c>
      <c r="AA205" s="14">
        <v>0.18440000000000001</v>
      </c>
    </row>
    <row r="206" spans="1:27" x14ac:dyDescent="0.2">
      <c r="A206" s="6" t="s">
        <v>68</v>
      </c>
      <c r="B206">
        <f t="shared" si="27"/>
        <v>144</v>
      </c>
      <c r="C206" t="s">
        <v>19</v>
      </c>
      <c r="D206" t="s">
        <v>15</v>
      </c>
      <c r="E206" t="s">
        <v>69</v>
      </c>
      <c r="F206" s="4">
        <f t="shared" si="28"/>
        <v>171.39393037882402</v>
      </c>
      <c r="G206">
        <f t="shared" si="29"/>
        <v>14.11001443809106</v>
      </c>
      <c r="H206">
        <f t="shared" si="30"/>
        <v>24.475165999999994</v>
      </c>
      <c r="I206">
        <f t="shared" si="31"/>
        <v>38.585180438091058</v>
      </c>
      <c r="K206" s="4">
        <f t="shared" si="38"/>
        <v>-0.10815986020148059</v>
      </c>
      <c r="L206" s="13">
        <f t="shared" si="40"/>
        <v>0.61517424319998015</v>
      </c>
      <c r="N206">
        <f t="shared" si="32"/>
        <v>-11.414300220236504</v>
      </c>
      <c r="O206">
        <f t="shared" si="33"/>
        <v>-2.8411269544642517</v>
      </c>
      <c r="P206">
        <f t="shared" si="34"/>
        <v>6.2931952896292263</v>
      </c>
      <c r="Q206">
        <f t="shared" si="41"/>
        <v>0.24853974486988673</v>
      </c>
      <c r="S206">
        <v>0.19144383120179648</v>
      </c>
      <c r="T206">
        <v>0.3694077148128474</v>
      </c>
      <c r="U206">
        <f t="shared" si="35"/>
        <v>0.17023333333333332</v>
      </c>
      <c r="W206">
        <v>3.2337429670650109E-3</v>
      </c>
      <c r="X206" s="17">
        <v>9.0164266666663551E-2</v>
      </c>
      <c r="Y206">
        <v>0.17699999999999999</v>
      </c>
      <c r="Z206">
        <v>0.16719999999999999</v>
      </c>
      <c r="AA206">
        <v>0.16650000000000001</v>
      </c>
    </row>
    <row r="207" spans="1:27" x14ac:dyDescent="0.2">
      <c r="A207" s="6" t="s">
        <v>57</v>
      </c>
      <c r="B207">
        <f t="shared" si="27"/>
        <v>144</v>
      </c>
      <c r="C207" t="s">
        <v>19</v>
      </c>
      <c r="D207" t="s">
        <v>15</v>
      </c>
      <c r="E207" t="s">
        <v>69</v>
      </c>
      <c r="F207" s="4">
        <f t="shared" si="28"/>
        <v>201.91096192314032</v>
      </c>
      <c r="G207">
        <f t="shared" si="29"/>
        <v>14.539888103054917</v>
      </c>
      <c r="H207">
        <f t="shared" si="30"/>
        <v>22.970876000000004</v>
      </c>
      <c r="I207">
        <f t="shared" si="31"/>
        <v>37.510764103054925</v>
      </c>
      <c r="K207" s="4">
        <f t="shared" si="38"/>
        <v>-0.10639068403648354</v>
      </c>
      <c r="L207" s="13">
        <f t="shared" si="40"/>
        <v>0.5091721157999981</v>
      </c>
      <c r="N207">
        <f t="shared" si="32"/>
        <v>9.526291879615254</v>
      </c>
      <c r="O207">
        <f t="shared" si="33"/>
        <v>5.1829815927469003</v>
      </c>
      <c r="P207">
        <f t="shared" si="34"/>
        <v>11.53063496012672</v>
      </c>
      <c r="Q207">
        <f t="shared" si="41"/>
        <v>0.35971006348231227</v>
      </c>
      <c r="S207">
        <v>0.21575573299876846</v>
      </c>
      <c r="T207">
        <v>0.37916072472672019</v>
      </c>
      <c r="U207">
        <f t="shared" si="35"/>
        <v>0.16340000000000002</v>
      </c>
      <c r="W207">
        <v>4.2133532466868562E-3</v>
      </c>
      <c r="X207" s="17">
        <v>7.3489399999999705E-2</v>
      </c>
      <c r="Y207">
        <v>0.16420000000000001</v>
      </c>
      <c r="Z207">
        <v>0.16300000000000001</v>
      </c>
      <c r="AA207">
        <v>0.16300000000000001</v>
      </c>
    </row>
    <row r="208" spans="1:27" x14ac:dyDescent="0.2">
      <c r="A208" s="6" t="s">
        <v>58</v>
      </c>
      <c r="B208">
        <f t="shared" si="27"/>
        <v>144</v>
      </c>
      <c r="C208" t="s">
        <v>19</v>
      </c>
      <c r="D208" t="s">
        <v>15</v>
      </c>
      <c r="E208" t="s">
        <v>69</v>
      </c>
      <c r="F208" s="4">
        <f t="shared" si="28"/>
        <v>192.3451526830294</v>
      </c>
      <c r="G208">
        <f t="shared" si="29"/>
        <v>15.016011396566935</v>
      </c>
      <c r="H208">
        <f t="shared" si="30"/>
        <v>24.159631999999995</v>
      </c>
      <c r="I208">
        <f t="shared" si="31"/>
        <v>39.175643396566926</v>
      </c>
      <c r="K208" s="4">
        <f t="shared" si="38"/>
        <v>-0.10806575208614534</v>
      </c>
      <c r="L208" s="13">
        <f t="shared" si="40"/>
        <v>0.58983449954999334</v>
      </c>
      <c r="N208">
        <f t="shared" si="32"/>
        <v>-1.8097624037876416</v>
      </c>
      <c r="O208">
        <f t="shared" si="33"/>
        <v>5.1166199045649643</v>
      </c>
      <c r="P208">
        <f t="shared" si="34"/>
        <v>6.6356622267950192</v>
      </c>
      <c r="Q208">
        <f t="shared" si="41"/>
        <v>0.27646358412609517</v>
      </c>
      <c r="S208">
        <v>0.2081349716374801</v>
      </c>
      <c r="T208">
        <v>0.38996305010815263</v>
      </c>
      <c r="U208">
        <f t="shared" si="35"/>
        <v>0.16879999999999998</v>
      </c>
      <c r="W208">
        <v>3.2858515580590593E-3</v>
      </c>
      <c r="X208" s="17">
        <v>8.6178149999998954E-2</v>
      </c>
      <c r="Y208">
        <v>0.1706</v>
      </c>
      <c r="Z208">
        <v>0.16769999999999999</v>
      </c>
      <c r="AA208">
        <v>0.1681</v>
      </c>
    </row>
    <row r="209" spans="1:27" x14ac:dyDescent="0.2">
      <c r="A209" s="6" t="s">
        <v>59</v>
      </c>
      <c r="B209">
        <f t="shared" si="27"/>
        <v>144</v>
      </c>
      <c r="C209" t="s">
        <v>21</v>
      </c>
      <c r="D209" t="s">
        <v>15</v>
      </c>
      <c r="E209" t="s">
        <v>69</v>
      </c>
      <c r="F209" s="4">
        <f t="shared" si="28"/>
        <v>157.36014356716927</v>
      </c>
      <c r="G209">
        <f t="shared" si="29"/>
        <v>14.684102084794709</v>
      </c>
      <c r="H209">
        <f t="shared" si="30"/>
        <v>26.977423999999992</v>
      </c>
      <c r="I209">
        <f t="shared" si="31"/>
        <v>41.661526084794701</v>
      </c>
      <c r="K209" s="4">
        <f t="shared" si="38"/>
        <v>-0.10960681767880799</v>
      </c>
      <c r="L209" s="13">
        <f t="shared" si="40"/>
        <v>0.76821965390000069</v>
      </c>
      <c r="N209">
        <f t="shared" si="32"/>
        <v>-18.667724087246736</v>
      </c>
      <c r="O209">
        <f t="shared" si="33"/>
        <v>-7.0253764332073159</v>
      </c>
      <c r="P209">
        <f t="shared" si="34"/>
        <v>-3.2870707539580888</v>
      </c>
      <c r="Q209">
        <f t="shared" si="41"/>
        <v>9.5494334169866191E-2</v>
      </c>
      <c r="S209">
        <v>0.18026358104184487</v>
      </c>
      <c r="T209">
        <v>0.38243266368987</v>
      </c>
      <c r="U209">
        <f t="shared" si="35"/>
        <v>0.18159999999999998</v>
      </c>
      <c r="W209">
        <v>2.4325483506046582E-3</v>
      </c>
      <c r="X209" s="17">
        <v>0.11423936666666679</v>
      </c>
      <c r="Y209">
        <v>0.18310000000000001</v>
      </c>
      <c r="Z209">
        <v>0.18090000000000001</v>
      </c>
      <c r="AA209">
        <v>0.18079999999999999</v>
      </c>
    </row>
    <row r="210" spans="1:27" x14ac:dyDescent="0.2">
      <c r="A210" s="6" t="s">
        <v>60</v>
      </c>
      <c r="B210">
        <f t="shared" si="27"/>
        <v>144</v>
      </c>
      <c r="C210" t="s">
        <v>21</v>
      </c>
      <c r="D210" t="s">
        <v>15</v>
      </c>
      <c r="E210" t="s">
        <v>69</v>
      </c>
      <c r="F210" s="4">
        <f t="shared" si="28"/>
        <v>156.35824034479356</v>
      </c>
      <c r="G210">
        <f t="shared" si="29"/>
        <v>14.623673930798626</v>
      </c>
      <c r="H210">
        <f t="shared" si="30"/>
        <v>26.786636000000001</v>
      </c>
      <c r="I210">
        <f t="shared" si="31"/>
        <v>41.410309930798626</v>
      </c>
      <c r="K210" s="4">
        <f t="shared" si="38"/>
        <v>-0.10930824017938866</v>
      </c>
      <c r="L210" s="13">
        <f t="shared" si="40"/>
        <v>0.75420840209998063</v>
      </c>
      <c r="N210">
        <f t="shared" si="32"/>
        <v>-15.183712133936316</v>
      </c>
      <c r="O210">
        <f t="shared" si="33"/>
        <v>4.6366003334734511</v>
      </c>
      <c r="P210">
        <f t="shared" si="34"/>
        <v>-3.1652723419956099</v>
      </c>
      <c r="Q210">
        <f t="shared" si="41"/>
        <v>0.11467377718232974</v>
      </c>
      <c r="S210">
        <v>0.17946539814135221</v>
      </c>
      <c r="T210">
        <v>0.38106166464285834</v>
      </c>
      <c r="U210">
        <f t="shared" si="35"/>
        <v>0.18073333333333333</v>
      </c>
      <c r="W210">
        <v>2.5978736548235575E-3</v>
      </c>
      <c r="X210" s="17">
        <v>0.11203529999999695</v>
      </c>
      <c r="Y210">
        <v>0.18290000000000001</v>
      </c>
      <c r="Z210">
        <v>0.1794</v>
      </c>
      <c r="AA210">
        <v>0.1799</v>
      </c>
    </row>
    <row r="211" spans="1:27" x14ac:dyDescent="0.2">
      <c r="A211" s="6" t="s">
        <v>61</v>
      </c>
      <c r="B211">
        <f t="shared" ref="B211:B216" si="42">48+96</f>
        <v>144</v>
      </c>
      <c r="C211" t="s">
        <v>21</v>
      </c>
      <c r="D211" t="s">
        <v>15</v>
      </c>
      <c r="E211" t="s">
        <v>69</v>
      </c>
      <c r="F211" s="4">
        <f t="shared" ref="F211:F274" si="43">30*(S211-0.0549)/0.0239</f>
        <v>170.37370927780185</v>
      </c>
      <c r="G211">
        <f t="shared" ref="G211:G274" si="44">(1.4692*T211-0.0724)*30</f>
        <v>14.62919839554549</v>
      </c>
      <c r="H211">
        <f t="shared" ref="H211:H274" si="45">(11.007*U211-0.65)*20</f>
        <v>26.214272000000001</v>
      </c>
      <c r="I211">
        <f t="shared" ref="I211:I274" si="46">G211+H211</f>
        <v>40.843470395545495</v>
      </c>
      <c r="K211" s="4">
        <f t="shared" si="38"/>
        <v>-0.10956537691123337</v>
      </c>
      <c r="L211" s="13">
        <f t="shared" si="40"/>
        <v>0.74796750221200647</v>
      </c>
      <c r="N211">
        <f t="shared" ref="N211:N217" si="47">-(F67-F211)/F67*100</f>
        <v>-13.025960047438328</v>
      </c>
      <c r="O211">
        <f t="shared" ref="O211:O217" si="48">(G67-G211)/G67*100</f>
        <v>7.5608192350319543</v>
      </c>
      <c r="P211">
        <f t="shared" ref="P211:P217" si="49">(H67-H211)/H67*100</f>
        <v>-1.3044464206520321</v>
      </c>
      <c r="Q211">
        <f t="shared" si="41"/>
        <v>0.11833058146408204</v>
      </c>
      <c r="S211">
        <v>0.19063105505798214</v>
      </c>
      <c r="T211">
        <v>0.38118700416429552</v>
      </c>
      <c r="U211">
        <f t="shared" ref="U211:U274" si="50">AVERAGE(Y211:AA211)</f>
        <v>0.17813333333333334</v>
      </c>
      <c r="W211">
        <v>2.4554945120523961E-3</v>
      </c>
      <c r="X211" s="17">
        <v>0.11105356334937966</v>
      </c>
      <c r="Y211">
        <v>0.17899999999999999</v>
      </c>
      <c r="Z211">
        <v>0.17799999999999999</v>
      </c>
      <c r="AA211">
        <v>0.1774</v>
      </c>
    </row>
    <row r="212" spans="1:27" x14ac:dyDescent="0.2">
      <c r="A212" s="6" t="s">
        <v>62</v>
      </c>
      <c r="B212">
        <f t="shared" si="42"/>
        <v>144</v>
      </c>
      <c r="C212" t="s">
        <v>20</v>
      </c>
      <c r="D212" t="s">
        <v>15</v>
      </c>
      <c r="E212" t="s">
        <v>69</v>
      </c>
      <c r="F212" s="4">
        <f t="shared" si="43"/>
        <v>193.43540379336198</v>
      </c>
      <c r="G212">
        <f t="shared" si="44"/>
        <v>17.47930508677646</v>
      </c>
      <c r="H212">
        <f t="shared" si="45"/>
        <v>24.467827999999994</v>
      </c>
      <c r="I212">
        <f t="shared" si="46"/>
        <v>41.947133086776454</v>
      </c>
      <c r="K212" s="4">
        <f t="shared" si="38"/>
        <v>-0.1093206224228316</v>
      </c>
      <c r="L212" s="13">
        <f t="shared" si="40"/>
        <v>0.7374454169000072</v>
      </c>
      <c r="N212">
        <f t="shared" si="47"/>
        <v>-2.2068638358151434E-2</v>
      </c>
      <c r="O212">
        <f t="shared" si="48"/>
        <v>-27.398270313051952</v>
      </c>
      <c r="P212">
        <f t="shared" si="49"/>
        <v>6.3212899114579306</v>
      </c>
      <c r="Q212">
        <f t="shared" si="41"/>
        <v>0.12626857116985968</v>
      </c>
      <c r="S212">
        <v>0.20900353835537838</v>
      </c>
      <c r="T212">
        <v>0.44585046480570967</v>
      </c>
      <c r="U212">
        <f t="shared" si="50"/>
        <v>0.17019999999999999</v>
      </c>
      <c r="W212">
        <v>2.5910174845893679E-3</v>
      </c>
      <c r="X212" s="17">
        <v>0.1093983666666678</v>
      </c>
      <c r="Y212">
        <v>0.17130000000000001</v>
      </c>
      <c r="Z212">
        <v>0.1696</v>
      </c>
      <c r="AA212">
        <v>0.16969999999999999</v>
      </c>
    </row>
    <row r="213" spans="1:27" x14ac:dyDescent="0.2">
      <c r="A213" s="6" t="s">
        <v>63</v>
      </c>
      <c r="B213">
        <f t="shared" si="42"/>
        <v>144</v>
      </c>
      <c r="C213" t="s">
        <v>20</v>
      </c>
      <c r="D213" t="s">
        <v>15</v>
      </c>
      <c r="E213" t="s">
        <v>69</v>
      </c>
      <c r="F213" s="4">
        <f t="shared" si="43"/>
        <v>182.55506695806363</v>
      </c>
      <c r="G213">
        <f t="shared" si="44"/>
        <v>16.2837791972972</v>
      </c>
      <c r="H213">
        <f t="shared" si="45"/>
        <v>23.954168000000003</v>
      </c>
      <c r="I213">
        <f t="shared" si="46"/>
        <v>40.237947197297203</v>
      </c>
      <c r="K213" s="4">
        <f t="shared" si="38"/>
        <v>-0.10908718165238127</v>
      </c>
      <c r="L213" s="13">
        <f t="shared" si="40"/>
        <v>0.85208935604999736</v>
      </c>
      <c r="N213">
        <f t="shared" si="47"/>
        <v>-0.97328368252365893</v>
      </c>
      <c r="O213">
        <f t="shared" si="48"/>
        <v>-6.1892210549663353</v>
      </c>
      <c r="P213">
        <f t="shared" si="49"/>
        <v>7.7436126938105838</v>
      </c>
      <c r="Q213">
        <f t="shared" si="41"/>
        <v>1.6792823232313014E-2</v>
      </c>
      <c r="S213">
        <v>0.20033553667659071</v>
      </c>
      <c r="T213">
        <v>0.4187262727402033</v>
      </c>
      <c r="U213">
        <f t="shared" si="50"/>
        <v>0.16786666666666669</v>
      </c>
      <c r="W213">
        <v>2.7202759399882256E-3</v>
      </c>
      <c r="X213" s="17">
        <v>0.12743264999999959</v>
      </c>
      <c r="Y213">
        <v>0.16880000000000001</v>
      </c>
      <c r="Z213">
        <v>0.16700000000000001</v>
      </c>
      <c r="AA213">
        <v>0.1678</v>
      </c>
    </row>
    <row r="214" spans="1:27" x14ac:dyDescent="0.2">
      <c r="A214" s="6" t="s">
        <v>64</v>
      </c>
      <c r="B214">
        <f t="shared" si="42"/>
        <v>144</v>
      </c>
      <c r="C214" t="s">
        <v>20</v>
      </c>
      <c r="D214" t="s">
        <v>15</v>
      </c>
      <c r="E214" t="s">
        <v>69</v>
      </c>
      <c r="F214" s="4">
        <f t="shared" si="43"/>
        <v>179.42202462346265</v>
      </c>
      <c r="G214">
        <f t="shared" si="44"/>
        <v>16.350858607728032</v>
      </c>
      <c r="H214">
        <f t="shared" si="45"/>
        <v>24.827389999999994</v>
      </c>
      <c r="I214">
        <f t="shared" si="46"/>
        <v>41.178248607728023</v>
      </c>
      <c r="K214" s="4">
        <f t="shared" si="38"/>
        <v>-0.1109020530360299</v>
      </c>
      <c r="L214" s="13">
        <f t="shared" si="40"/>
        <v>0.85475685920000377</v>
      </c>
      <c r="N214">
        <f t="shared" si="47"/>
        <v>-8.4068873999461502</v>
      </c>
      <c r="O214">
        <f t="shared" si="48"/>
        <v>-3.3180310797094985</v>
      </c>
      <c r="P214">
        <f t="shared" si="49"/>
        <v>4.0551269163747383</v>
      </c>
      <c r="Q214">
        <f t="shared" si="41"/>
        <v>1.1541224476084744E-2</v>
      </c>
      <c r="S214">
        <v>0.19783954628335859</v>
      </c>
      <c r="T214">
        <v>0.42024817605336307</v>
      </c>
      <c r="U214">
        <f t="shared" si="50"/>
        <v>0.17183333333333331</v>
      </c>
      <c r="W214">
        <v>1.7153637674253042E-3</v>
      </c>
      <c r="X214" s="17">
        <v>0.12785226666666727</v>
      </c>
      <c r="Y214">
        <v>0.17319999999999999</v>
      </c>
      <c r="Z214">
        <v>0.17119999999999999</v>
      </c>
      <c r="AA214">
        <v>0.1711</v>
      </c>
    </row>
    <row r="215" spans="1:27" s="35" customFormat="1" x14ac:dyDescent="0.2">
      <c r="A215" s="46" t="s">
        <v>65</v>
      </c>
      <c r="B215" s="35">
        <f t="shared" si="42"/>
        <v>144</v>
      </c>
      <c r="C215" t="s">
        <v>26</v>
      </c>
      <c r="D215" s="35" t="s">
        <v>15</v>
      </c>
      <c r="E215" s="35" t="s">
        <v>69</v>
      </c>
      <c r="F215" s="26">
        <f t="shared" si="43"/>
        <v>177.18713041172319</v>
      </c>
      <c r="G215" s="35">
        <f t="shared" si="44"/>
        <v>16.229923639074187</v>
      </c>
      <c r="H215" s="35">
        <f t="shared" si="45"/>
        <v>26.515129999999996</v>
      </c>
      <c r="I215" s="35">
        <f t="shared" si="46"/>
        <v>42.745053639074186</v>
      </c>
      <c r="K215" s="4">
        <f t="shared" si="38"/>
        <v>-0.10749334035050075</v>
      </c>
      <c r="L215" s="37">
        <f t="shared" si="40"/>
        <v>0.74416497779998436</v>
      </c>
      <c r="N215">
        <f t="shared" si="47"/>
        <v>-8.4200595388761368</v>
      </c>
      <c r="O215" s="35">
        <f t="shared" si="48"/>
        <v>-18.292128243428039</v>
      </c>
      <c r="P215" s="35">
        <f t="shared" si="49"/>
        <v>-1.5171095787498872</v>
      </c>
      <c r="Q215">
        <f t="shared" si="41"/>
        <v>0.11954901026988252</v>
      </c>
      <c r="S215" s="35">
        <v>0.19605908056133947</v>
      </c>
      <c r="T215" s="35">
        <v>0.41750439329962313</v>
      </c>
      <c r="U215" s="35">
        <f t="shared" si="50"/>
        <v>0.17949999999999999</v>
      </c>
      <c r="W215" s="35">
        <v>3.6028015777958265E-3</v>
      </c>
      <c r="X215" s="49">
        <v>0.11045539999999754</v>
      </c>
      <c r="Y215" s="35">
        <v>0.1802</v>
      </c>
      <c r="Z215" s="35">
        <v>0.17910000000000001</v>
      </c>
      <c r="AA215" s="35">
        <v>0.1792</v>
      </c>
    </row>
    <row r="216" spans="1:27" s="35" customFormat="1" x14ac:dyDescent="0.2">
      <c r="A216" s="46" t="s">
        <v>66</v>
      </c>
      <c r="B216" s="35">
        <f t="shared" si="42"/>
        <v>144</v>
      </c>
      <c r="C216" t="s">
        <v>26</v>
      </c>
      <c r="D216" s="35" t="s">
        <v>15</v>
      </c>
      <c r="E216" s="35" t="s">
        <v>69</v>
      </c>
      <c r="F216" s="26">
        <f t="shared" si="43"/>
        <v>179.92354747991743</v>
      </c>
      <c r="G216" s="35">
        <f t="shared" si="44"/>
        <v>16.413087585097319</v>
      </c>
      <c r="H216" s="35">
        <f t="shared" si="45"/>
        <v>24.996164</v>
      </c>
      <c r="I216" s="35">
        <f t="shared" si="46"/>
        <v>41.409251585097323</v>
      </c>
      <c r="K216" s="4">
        <f t="shared" si="38"/>
        <v>-0.11061302578782309</v>
      </c>
      <c r="L216" s="37">
        <f t="shared" si="40"/>
        <v>0.79424531784997876</v>
      </c>
      <c r="N216">
        <f t="shared" si="47"/>
        <v>-2.4007473908093346</v>
      </c>
      <c r="O216" s="35">
        <f t="shared" si="48"/>
        <v>-7.0324624677857424</v>
      </c>
      <c r="P216" s="35">
        <f t="shared" si="49"/>
        <v>3.730499545923339</v>
      </c>
      <c r="Q216">
        <f t="shared" si="41"/>
        <v>7.4636861432331614E-2</v>
      </c>
      <c r="S216" s="35">
        <v>0.19823909282566757</v>
      </c>
      <c r="T216" s="35">
        <v>0.42166003233272797</v>
      </c>
      <c r="U216" s="35">
        <f t="shared" si="50"/>
        <v>0.1726</v>
      </c>
      <c r="W216" s="35">
        <v>1.8754010034202173E-3</v>
      </c>
      <c r="X216" s="49">
        <v>0.11833338333332999</v>
      </c>
      <c r="Y216" s="35">
        <v>0.1729</v>
      </c>
      <c r="Z216" s="35">
        <v>0.17249999999999999</v>
      </c>
      <c r="AA216" s="35">
        <v>0.1724</v>
      </c>
    </row>
    <row r="217" spans="1:27" s="35" customFormat="1" x14ac:dyDescent="0.2">
      <c r="A217" s="46" t="s">
        <v>67</v>
      </c>
      <c r="B217" s="35">
        <f>48+96</f>
        <v>144</v>
      </c>
      <c r="C217" t="s">
        <v>26</v>
      </c>
      <c r="D217" s="35" t="s">
        <v>15</v>
      </c>
      <c r="E217" s="35" t="s">
        <v>69</v>
      </c>
      <c r="F217" s="26">
        <f t="shared" si="43"/>
        <v>178.89428687667544</v>
      </c>
      <c r="G217" s="35">
        <f t="shared" si="44"/>
        <v>16.029116359377078</v>
      </c>
      <c r="H217" s="35">
        <f t="shared" si="45"/>
        <v>26.749945999999998</v>
      </c>
      <c r="I217" s="35">
        <f t="shared" si="46"/>
        <v>42.779062359377079</v>
      </c>
      <c r="K217" s="4">
        <f t="shared" si="38"/>
        <v>-0.10965053668138476</v>
      </c>
      <c r="L217" s="37">
        <f t="shared" si="40"/>
        <v>0.78930900139998716</v>
      </c>
      <c r="N217">
        <f t="shared" si="47"/>
        <v>-8.6762921342100761</v>
      </c>
      <c r="O217" s="35">
        <f t="shared" si="48"/>
        <v>-1.2850017194612113</v>
      </c>
      <c r="P217" s="35">
        <f t="shared" si="49"/>
        <v>-3.3745461751649941</v>
      </c>
      <c r="Q217">
        <f t="shared" si="41"/>
        <v>7.698908227610135E-2</v>
      </c>
      <c r="S217" s="35">
        <v>0.19741911521175143</v>
      </c>
      <c r="T217" s="35">
        <v>0.41294846082623371</v>
      </c>
      <c r="U217" s="35">
        <f t="shared" si="50"/>
        <v>0.18056666666666668</v>
      </c>
      <c r="W217" s="35">
        <v>2.4083407079818642E-3</v>
      </c>
      <c r="X217" s="49">
        <v>0.11755686666666465</v>
      </c>
      <c r="Y217" s="35">
        <v>0.18090000000000001</v>
      </c>
      <c r="Z217" s="35">
        <v>0.1807</v>
      </c>
      <c r="AA217" s="35">
        <v>0.18010000000000001</v>
      </c>
    </row>
    <row r="218" spans="1:27" x14ac:dyDescent="0.2">
      <c r="A218" s="6" t="s">
        <v>29</v>
      </c>
      <c r="B218" s="35">
        <v>192</v>
      </c>
      <c r="C218" t="s">
        <v>19</v>
      </c>
      <c r="D218" t="s">
        <v>14</v>
      </c>
      <c r="E218" t="s">
        <v>28</v>
      </c>
      <c r="F218" s="4">
        <f t="shared" si="43"/>
        <v>163.20129976495087</v>
      </c>
      <c r="G218">
        <f t="shared" si="44"/>
        <v>15.665923709264165</v>
      </c>
      <c r="H218">
        <f t="shared" si="45"/>
        <v>17.482052000000003</v>
      </c>
      <c r="I218">
        <f t="shared" si="46"/>
        <v>33.147975709264166</v>
      </c>
      <c r="K218" s="4">
        <f t="shared" si="38"/>
        <v>-5.7277716583150715E-2</v>
      </c>
      <c r="L218" s="13" t="e">
        <f t="shared" si="40"/>
        <v>#VALUE!</v>
      </c>
      <c r="N218">
        <f>-(F2-F218)/F2*100</f>
        <v>-15.648697053093857</v>
      </c>
      <c r="O218">
        <f t="shared" ref="O218:P218" si="51">(G2-G218)/G2*100</f>
        <v>-14.181403294251552</v>
      </c>
      <c r="P218">
        <f t="shared" si="51"/>
        <v>33.06736989238204</v>
      </c>
      <c r="S218">
        <v>0.18491703547941088</v>
      </c>
      <c r="T218">
        <v>0.40470831539305213</v>
      </c>
      <c r="U218">
        <f t="shared" si="50"/>
        <v>0.13846666666666668</v>
      </c>
      <c r="W218">
        <v>3.1407687384744899E-2</v>
      </c>
      <c r="X218" s="4" t="e">
        <v>#VALUE!</v>
      </c>
      <c r="Y218">
        <v>0.13950000000000001</v>
      </c>
      <c r="Z218">
        <v>0.13830000000000001</v>
      </c>
      <c r="AA218">
        <v>0.1376</v>
      </c>
    </row>
    <row r="219" spans="1:27" x14ac:dyDescent="0.2">
      <c r="A219" s="6" t="s">
        <v>30</v>
      </c>
      <c r="B219" s="35">
        <v>192</v>
      </c>
      <c r="C219" t="s">
        <v>19</v>
      </c>
      <c r="D219" t="s">
        <v>14</v>
      </c>
      <c r="E219" t="s">
        <v>28</v>
      </c>
      <c r="F219" s="4">
        <f t="shared" si="43"/>
        <v>157.12595635028691</v>
      </c>
      <c r="G219">
        <f t="shared" si="44"/>
        <v>15.601540657973413</v>
      </c>
      <c r="H219">
        <f t="shared" si="45"/>
        <v>19.500002000000002</v>
      </c>
      <c r="I219">
        <f t="shared" si="46"/>
        <v>35.101542657973411</v>
      </c>
      <c r="K219" s="4">
        <f t="shared" si="38"/>
        <v>-7.9176324564500855E-2</v>
      </c>
      <c r="L219" s="13" t="e">
        <f t="shared" si="40"/>
        <v>#VALUE!</v>
      </c>
      <c r="N219">
        <f t="shared" ref="N219:N282" si="52">-(F3-F219)/F3*100</f>
        <v>-14.767265763231959</v>
      </c>
      <c r="O219">
        <f t="shared" ref="O219:O282" si="53">(G3-G219)/G3*100</f>
        <v>-1.7402305481130043</v>
      </c>
      <c r="P219">
        <f t="shared" ref="P219:P282" si="54">(H3-H219)/H3*100</f>
        <v>24.898258333018781</v>
      </c>
      <c r="S219">
        <v>0.18007701189239525</v>
      </c>
      <c r="T219">
        <v>0.40324758730314481</v>
      </c>
      <c r="U219">
        <f t="shared" si="50"/>
        <v>0.14763333333333334</v>
      </c>
      <c r="W219">
        <v>1.9282212312015028E-2</v>
      </c>
      <c r="X219" s="4" t="e">
        <v>#VALUE!</v>
      </c>
      <c r="Y219">
        <v>0.1484</v>
      </c>
      <c r="Z219">
        <v>0.1479</v>
      </c>
      <c r="AA219">
        <v>0.14660000000000001</v>
      </c>
    </row>
    <row r="220" spans="1:27" x14ac:dyDescent="0.2">
      <c r="A220" s="6" t="s">
        <v>31</v>
      </c>
      <c r="B220" s="35">
        <v>192</v>
      </c>
      <c r="C220" t="s">
        <v>19</v>
      </c>
      <c r="D220" t="s">
        <v>14</v>
      </c>
      <c r="E220" t="s">
        <v>28</v>
      </c>
      <c r="F220" s="4">
        <f t="shared" si="43"/>
        <v>153.2205906337565</v>
      </c>
      <c r="G220">
        <f t="shared" si="44"/>
        <v>15.954531948378721</v>
      </c>
      <c r="H220">
        <f t="shared" si="45"/>
        <v>21.305149999999998</v>
      </c>
      <c r="I220">
        <f t="shared" si="46"/>
        <v>37.25968194837872</v>
      </c>
      <c r="K220" s="4">
        <f t="shared" si="38"/>
        <v>-0.10091559818027533</v>
      </c>
      <c r="L220" s="13" t="e">
        <f t="shared" si="40"/>
        <v>#VALUE!</v>
      </c>
      <c r="N220">
        <f t="shared" si="52"/>
        <v>-21.782452070662764</v>
      </c>
      <c r="O220">
        <f t="shared" si="53"/>
        <v>-0.81371671367271048</v>
      </c>
      <c r="P220">
        <f t="shared" si="54"/>
        <v>17.666741740569631</v>
      </c>
      <c r="S220">
        <v>0.1769657372048927</v>
      </c>
      <c r="T220">
        <v>0.41125628342814047</v>
      </c>
      <c r="U220">
        <f t="shared" si="50"/>
        <v>0.15583333333333335</v>
      </c>
      <c r="W220">
        <v>7.2449622479095624E-3</v>
      </c>
      <c r="X220" s="4" t="e">
        <v>#VALUE!</v>
      </c>
      <c r="Y220">
        <v>0.15709999999999999</v>
      </c>
      <c r="Z220">
        <v>0.156</v>
      </c>
      <c r="AA220">
        <v>0.15440000000000001</v>
      </c>
    </row>
    <row r="221" spans="1:27" x14ac:dyDescent="0.2">
      <c r="A221" s="6" t="s">
        <v>32</v>
      </c>
      <c r="B221" s="35">
        <v>192</v>
      </c>
      <c r="C221" t="s">
        <v>21</v>
      </c>
      <c r="D221" t="s">
        <v>14</v>
      </c>
      <c r="E221" t="s">
        <v>28</v>
      </c>
      <c r="F221" s="4">
        <f t="shared" si="43"/>
        <v>150.96314317409269</v>
      </c>
      <c r="G221">
        <f t="shared" si="44"/>
        <v>15.2413567046592</v>
      </c>
      <c r="H221">
        <f t="shared" si="45"/>
        <v>18.876272</v>
      </c>
      <c r="I221">
        <f t="shared" si="46"/>
        <v>34.117628704659197</v>
      </c>
      <c r="K221" s="4">
        <f t="shared" si="38"/>
        <v>-0.10953139755200067</v>
      </c>
      <c r="L221" s="13" t="e">
        <f t="shared" si="40"/>
        <v>#VALUE!</v>
      </c>
      <c r="N221">
        <f t="shared" si="52"/>
        <v>-21.974041615875656</v>
      </c>
      <c r="O221">
        <f t="shared" si="53"/>
        <v>-11.086938053777782</v>
      </c>
      <c r="P221">
        <f t="shared" si="54"/>
        <v>27.729391744928698</v>
      </c>
      <c r="S221">
        <v>0.17516730406202718</v>
      </c>
      <c r="T221">
        <v>0.39507570343631909</v>
      </c>
      <c r="U221">
        <f t="shared" si="50"/>
        <v>0.14480000000000001</v>
      </c>
      <c r="W221">
        <v>2.4743092181613163E-3</v>
      </c>
      <c r="X221" s="4" t="e">
        <v>#VALUE!</v>
      </c>
      <c r="Y221">
        <v>0.1452</v>
      </c>
      <c r="Z221">
        <v>0.14480000000000001</v>
      </c>
      <c r="AA221">
        <v>0.1444</v>
      </c>
    </row>
    <row r="222" spans="1:27" x14ac:dyDescent="0.2">
      <c r="A222" s="6" t="s">
        <v>33</v>
      </c>
      <c r="B222" s="35">
        <v>192</v>
      </c>
      <c r="C222" t="s">
        <v>21</v>
      </c>
      <c r="D222" t="s">
        <v>14</v>
      </c>
      <c r="E222" t="s">
        <v>28</v>
      </c>
      <c r="F222" s="4">
        <f t="shared" si="43"/>
        <v>150.15543070252113</v>
      </c>
      <c r="G222">
        <f t="shared" si="44"/>
        <v>15.408848764783279</v>
      </c>
      <c r="H222">
        <f t="shared" si="45"/>
        <v>20.109056000000002</v>
      </c>
      <c r="I222">
        <f t="shared" si="46"/>
        <v>35.517904764783282</v>
      </c>
      <c r="K222" s="4">
        <f t="shared" si="38"/>
        <v>-0.11030361200851313</v>
      </c>
      <c r="L222" s="13" t="e">
        <f t="shared" si="40"/>
        <v>#VALUE!</v>
      </c>
      <c r="N222">
        <f t="shared" si="52"/>
        <v>-18.548416718979261</v>
      </c>
      <c r="O222">
        <f t="shared" si="53"/>
        <v>-0.48365479910854065</v>
      </c>
      <c r="P222">
        <f t="shared" si="54"/>
        <v>22.552565436718481</v>
      </c>
      <c r="S222">
        <v>0.17452382645967518</v>
      </c>
      <c r="T222">
        <v>0.39887577740228874</v>
      </c>
      <c r="U222">
        <f t="shared" si="50"/>
        <v>0.15040000000000001</v>
      </c>
      <c r="W222">
        <v>2.0467264626173138E-3</v>
      </c>
      <c r="X222" s="4" t="e">
        <v>#VALUE!</v>
      </c>
      <c r="Y222">
        <v>0.1507</v>
      </c>
      <c r="Z222">
        <v>0.1512</v>
      </c>
      <c r="AA222">
        <v>0.14929999999999999</v>
      </c>
    </row>
    <row r="223" spans="1:27" x14ac:dyDescent="0.2">
      <c r="A223" s="6" t="s">
        <v>34</v>
      </c>
      <c r="B223" s="35">
        <v>192</v>
      </c>
      <c r="C223" t="s">
        <v>21</v>
      </c>
      <c r="D223" t="s">
        <v>14</v>
      </c>
      <c r="E223" t="s">
        <v>28</v>
      </c>
      <c r="F223" s="4">
        <f t="shared" si="43"/>
        <v>158.18303528233656</v>
      </c>
      <c r="G223">
        <f t="shared" si="44"/>
        <v>15.253963207269926</v>
      </c>
      <c r="H223">
        <f t="shared" si="45"/>
        <v>20.982278000000001</v>
      </c>
      <c r="I223">
        <f t="shared" si="46"/>
        <v>36.236241207269927</v>
      </c>
      <c r="K223" s="4">
        <f t="shared" si="38"/>
        <v>-0.11046347474158949</v>
      </c>
      <c r="L223" s="13" t="e">
        <f t="shared" si="40"/>
        <v>#VALUE!</v>
      </c>
      <c r="N223">
        <f t="shared" si="52"/>
        <v>-19.24917471843802</v>
      </c>
      <c r="O223">
        <f t="shared" si="53"/>
        <v>3.6130467183797941</v>
      </c>
      <c r="P223">
        <f t="shared" si="54"/>
        <v>18.914473099454149</v>
      </c>
      <c r="S223">
        <v>0.18091915144159479</v>
      </c>
      <c r="T223">
        <v>0.39536172082924781</v>
      </c>
      <c r="U223">
        <f t="shared" si="50"/>
        <v>0.15436666666666668</v>
      </c>
      <c r="W223">
        <v>1.9582088917001745E-3</v>
      </c>
      <c r="X223" s="4" t="e">
        <v>#VALUE!</v>
      </c>
      <c r="Y223">
        <v>0.15629999999999999</v>
      </c>
      <c r="Z223">
        <v>0.1552</v>
      </c>
      <c r="AA223">
        <v>0.15160000000000001</v>
      </c>
    </row>
    <row r="224" spans="1:27" x14ac:dyDescent="0.2">
      <c r="A224" s="6" t="s">
        <v>35</v>
      </c>
      <c r="B224" s="35">
        <v>192</v>
      </c>
      <c r="C224" t="s">
        <v>20</v>
      </c>
      <c r="D224" t="s">
        <v>14</v>
      </c>
      <c r="E224" t="s">
        <v>28</v>
      </c>
      <c r="F224" s="4">
        <f t="shared" si="43"/>
        <v>151.83884096823709</v>
      </c>
      <c r="G224">
        <f t="shared" si="44"/>
        <v>15.124286986378575</v>
      </c>
      <c r="H224">
        <f t="shared" si="45"/>
        <v>18.934975999999995</v>
      </c>
      <c r="I224">
        <f t="shared" si="46"/>
        <v>34.05926298637857</v>
      </c>
      <c r="K224" s="4">
        <f t="shared" si="38"/>
        <v>-0.10962585931162637</v>
      </c>
      <c r="L224" s="13" t="e">
        <f t="shared" si="40"/>
        <v>#VALUE!</v>
      </c>
      <c r="N224">
        <f t="shared" si="52"/>
        <v>-21.521433395045324</v>
      </c>
      <c r="O224">
        <f t="shared" si="53"/>
        <v>-10.233673033175156</v>
      </c>
      <c r="P224">
        <f t="shared" si="54"/>
        <v>27.504634770299109</v>
      </c>
      <c r="S224">
        <v>0.17586494330469557</v>
      </c>
      <c r="T224">
        <v>0.39241961580857099</v>
      </c>
      <c r="U224">
        <f t="shared" si="50"/>
        <v>0.14506666666666665</v>
      </c>
      <c r="W224">
        <v>2.4220048108381078E-3</v>
      </c>
      <c r="X224" s="4" t="e">
        <v>#VALUE!</v>
      </c>
      <c r="Y224">
        <v>0.14480000000000001</v>
      </c>
      <c r="Z224">
        <v>0.1457</v>
      </c>
      <c r="AA224">
        <v>0.1447</v>
      </c>
    </row>
    <row r="225" spans="1:27" x14ac:dyDescent="0.2">
      <c r="A225" s="6" t="s">
        <v>36</v>
      </c>
      <c r="B225" s="35">
        <v>192</v>
      </c>
      <c r="C225" t="s">
        <v>20</v>
      </c>
      <c r="D225" t="s">
        <v>14</v>
      </c>
      <c r="E225" t="s">
        <v>28</v>
      </c>
      <c r="F225" s="4">
        <f t="shared" si="43"/>
        <v>151.44883691140282</v>
      </c>
      <c r="G225">
        <f t="shared" si="44"/>
        <v>15.729819942428158</v>
      </c>
      <c r="H225">
        <f t="shared" si="45"/>
        <v>22.178371999999989</v>
      </c>
      <c r="I225">
        <f t="shared" si="46"/>
        <v>37.908191942428147</v>
      </c>
      <c r="K225" s="4">
        <f t="shared" si="38"/>
        <v>-0.10976422749458301</v>
      </c>
      <c r="L225" s="13" t="e">
        <f t="shared" si="40"/>
        <v>#VALUE!</v>
      </c>
      <c r="N225">
        <f t="shared" si="52"/>
        <v>-17.846810503033403</v>
      </c>
      <c r="O225">
        <f t="shared" si="53"/>
        <v>-2.5767610075777712</v>
      </c>
      <c r="P225">
        <f t="shared" si="54"/>
        <v>14.582861861336804</v>
      </c>
      <c r="S225">
        <v>0.17555424007275092</v>
      </c>
      <c r="T225">
        <v>0.4061579985123005</v>
      </c>
      <c r="U225">
        <f t="shared" si="50"/>
        <v>0.15979999999999997</v>
      </c>
      <c r="W225">
        <v>2.3453889841733044E-3</v>
      </c>
      <c r="X225" s="4" t="e">
        <v>#VALUE!</v>
      </c>
      <c r="Y225">
        <v>0.15920000000000001</v>
      </c>
      <c r="Z225">
        <v>0.16059999999999999</v>
      </c>
      <c r="AA225">
        <v>0.15959999999999999</v>
      </c>
    </row>
    <row r="226" spans="1:27" x14ac:dyDescent="0.2">
      <c r="A226" s="6" t="s">
        <v>37</v>
      </c>
      <c r="B226" s="35">
        <v>192</v>
      </c>
      <c r="C226" t="s">
        <v>20</v>
      </c>
      <c r="D226" t="s">
        <v>14</v>
      </c>
      <c r="E226" t="s">
        <v>28</v>
      </c>
      <c r="F226" s="4">
        <f t="shared" si="43"/>
        <v>151.69396887295753</v>
      </c>
      <c r="G226">
        <f t="shared" si="44"/>
        <v>15.424305966382544</v>
      </c>
      <c r="H226">
        <f t="shared" si="45"/>
        <v>21.018967999999994</v>
      </c>
      <c r="I226">
        <f t="shared" si="46"/>
        <v>36.443273966382534</v>
      </c>
      <c r="K226" s="4">
        <f t="shared" si="38"/>
        <v>-9.729720417816301E-2</v>
      </c>
      <c r="L226" s="13" t="e">
        <f t="shared" si="40"/>
        <v>#VALUE!</v>
      </c>
      <c r="N226">
        <f t="shared" si="52"/>
        <v>-22.56177690064391</v>
      </c>
      <c r="O226">
        <f t="shared" si="53"/>
        <v>2.5366825406672704</v>
      </c>
      <c r="P226">
        <f t="shared" si="54"/>
        <v>18.772685445035481</v>
      </c>
      <c r="S226">
        <v>0.17574952853545617</v>
      </c>
      <c r="T226">
        <v>0.39922647169395004</v>
      </c>
      <c r="U226">
        <f t="shared" si="50"/>
        <v>0.15453333333333333</v>
      </c>
      <c r="W226">
        <v>9.2485026698986665E-3</v>
      </c>
      <c r="X226" s="4" t="e">
        <v>#VALUE!</v>
      </c>
      <c r="Y226">
        <v>0.15559999999999999</v>
      </c>
      <c r="Z226">
        <v>0.15479999999999999</v>
      </c>
      <c r="AA226">
        <v>0.1532</v>
      </c>
    </row>
    <row r="227" spans="1:27" x14ac:dyDescent="0.2">
      <c r="A227" s="6" t="s">
        <v>38</v>
      </c>
      <c r="B227" s="35">
        <v>192</v>
      </c>
      <c r="C227" t="s">
        <v>26</v>
      </c>
      <c r="D227" t="s">
        <v>14</v>
      </c>
      <c r="E227" t="s">
        <v>28</v>
      </c>
      <c r="F227" s="4">
        <f t="shared" si="43"/>
        <v>152.7966370051758</v>
      </c>
      <c r="G227">
        <f t="shared" si="44"/>
        <v>15.395390372302437</v>
      </c>
      <c r="H227">
        <f t="shared" si="45"/>
        <v>20.446603999999997</v>
      </c>
      <c r="I227">
        <f t="shared" si="46"/>
        <v>35.841994372302437</v>
      </c>
      <c r="K227" s="4">
        <f t="shared" si="38"/>
        <v>-9.8750159623443454E-2</v>
      </c>
      <c r="L227" s="13" t="e">
        <f t="shared" si="40"/>
        <v>#VALUE!</v>
      </c>
      <c r="N227">
        <f t="shared" si="52"/>
        <v>-21.026392339676764</v>
      </c>
      <c r="O227">
        <f t="shared" si="53"/>
        <v>-12.209615570435446</v>
      </c>
      <c r="P227">
        <f t="shared" si="54"/>
        <v>21.717142673586523</v>
      </c>
      <c r="S227">
        <v>0.17662798748079006</v>
      </c>
      <c r="T227">
        <v>0.39857043226024225</v>
      </c>
      <c r="U227">
        <f t="shared" si="50"/>
        <v>0.15193333333333334</v>
      </c>
      <c r="W227">
        <v>8.4439869194665295E-3</v>
      </c>
      <c r="X227" s="4" t="e">
        <v>#VALUE!</v>
      </c>
      <c r="Y227">
        <v>0.15290000000000001</v>
      </c>
      <c r="Z227">
        <v>0.15210000000000001</v>
      </c>
      <c r="AA227">
        <v>0.15079999999999999</v>
      </c>
    </row>
    <row r="228" spans="1:27" x14ac:dyDescent="0.2">
      <c r="A228" s="6" t="s">
        <v>39</v>
      </c>
      <c r="B228" s="35">
        <v>192</v>
      </c>
      <c r="C228" t="s">
        <v>26</v>
      </c>
      <c r="D228" t="s">
        <v>14</v>
      </c>
      <c r="E228" t="s">
        <v>28</v>
      </c>
      <c r="F228" s="4">
        <f t="shared" si="43"/>
        <v>151.1650467021131</v>
      </c>
      <c r="G228">
        <f t="shared" si="44"/>
        <v>15.172424190332578</v>
      </c>
      <c r="H228">
        <f t="shared" si="45"/>
        <v>21.495937999999988</v>
      </c>
      <c r="I228">
        <f t="shared" si="46"/>
        <v>36.668362190332566</v>
      </c>
      <c r="K228" s="4">
        <f t="shared" si="38"/>
        <v>-0.10999800731804549</v>
      </c>
      <c r="L228" s="13" t="e">
        <f t="shared" si="40"/>
        <v>#VALUE!</v>
      </c>
      <c r="N228">
        <f t="shared" si="52"/>
        <v>-18.000752067172328</v>
      </c>
      <c r="O228">
        <f t="shared" si="53"/>
        <v>1.0581090073755821</v>
      </c>
      <c r="P228">
        <f t="shared" si="54"/>
        <v>17.211168359600993</v>
      </c>
      <c r="S228">
        <v>0.17532815387268344</v>
      </c>
      <c r="T228">
        <v>0.39351175674590655</v>
      </c>
      <c r="U228">
        <f t="shared" si="50"/>
        <v>0.15669999999999998</v>
      </c>
      <c r="W228">
        <v>2.2159427917799093E-3</v>
      </c>
      <c r="X228" s="4" t="e">
        <v>#VALUE!</v>
      </c>
      <c r="Y228">
        <v>0.157</v>
      </c>
      <c r="Z228">
        <v>0.1575</v>
      </c>
      <c r="AA228">
        <v>0.15559999999999999</v>
      </c>
    </row>
    <row r="229" spans="1:27" x14ac:dyDescent="0.2">
      <c r="A229" s="6" t="s">
        <v>40</v>
      </c>
      <c r="B229" s="35">
        <v>192</v>
      </c>
      <c r="C229" t="s">
        <v>26</v>
      </c>
      <c r="D229" t="s">
        <v>14</v>
      </c>
      <c r="E229" t="s">
        <v>28</v>
      </c>
      <c r="F229" s="4">
        <f t="shared" si="43"/>
        <v>150.5751199100107</v>
      </c>
      <c r="G229">
        <f t="shared" si="44"/>
        <v>14.77341094468121</v>
      </c>
      <c r="H229">
        <f t="shared" si="45"/>
        <v>21.826147999999996</v>
      </c>
      <c r="I229">
        <f t="shared" si="46"/>
        <v>36.599558944681206</v>
      </c>
      <c r="K229" s="4">
        <f t="shared" si="38"/>
        <v>-0.10930353206519389</v>
      </c>
      <c r="L229" s="13" t="e">
        <f t="shared" si="40"/>
        <v>#VALUE!</v>
      </c>
      <c r="N229">
        <f t="shared" si="52"/>
        <v>-23.132937878571262</v>
      </c>
      <c r="O229">
        <f t="shared" si="53"/>
        <v>6.649566988825983</v>
      </c>
      <c r="P229">
        <f t="shared" si="54"/>
        <v>15.653357047824137</v>
      </c>
      <c r="S229">
        <v>0.17485817886164187</v>
      </c>
      <c r="T229">
        <v>0.38445891062440352</v>
      </c>
      <c r="U229">
        <f t="shared" si="50"/>
        <v>0.15819999999999998</v>
      </c>
      <c r="W229">
        <v>2.6004805840565445E-3</v>
      </c>
      <c r="X229" s="4" t="e">
        <v>#VALUE!</v>
      </c>
      <c r="Y229">
        <v>0.1583</v>
      </c>
      <c r="Z229">
        <v>0.15859999999999999</v>
      </c>
      <c r="AA229">
        <v>0.15770000000000001</v>
      </c>
    </row>
    <row r="230" spans="1:27" x14ac:dyDescent="0.2">
      <c r="A230" s="6" t="s">
        <v>41</v>
      </c>
      <c r="B230" s="35">
        <v>192</v>
      </c>
      <c r="C230" t="s">
        <v>19</v>
      </c>
      <c r="D230" t="s">
        <v>15</v>
      </c>
      <c r="E230" t="s">
        <v>28</v>
      </c>
      <c r="F230" s="4">
        <f t="shared" si="43"/>
        <v>152.00529293327924</v>
      </c>
      <c r="G230">
        <f t="shared" si="44"/>
        <v>14.101697907701629</v>
      </c>
      <c r="H230">
        <f t="shared" si="45"/>
        <v>19.793521999999999</v>
      </c>
      <c r="I230">
        <f t="shared" si="46"/>
        <v>33.89521990770163</v>
      </c>
      <c r="K230" s="4">
        <f t="shared" si="38"/>
        <v>-0.10863802537684038</v>
      </c>
      <c r="L230" s="13" t="e">
        <f t="shared" si="40"/>
        <v>#VALUE!</v>
      </c>
      <c r="N230">
        <f t="shared" si="52"/>
        <v>-21.435401971584856</v>
      </c>
      <c r="O230">
        <f t="shared" si="53"/>
        <v>-2.7805117537248942</v>
      </c>
      <c r="P230">
        <f t="shared" si="54"/>
        <v>24.217564016340976</v>
      </c>
      <c r="S230">
        <v>0.17599755003684581</v>
      </c>
      <c r="T230">
        <v>0.36921902867096895</v>
      </c>
      <c r="U230">
        <f t="shared" si="50"/>
        <v>0.14896666666666666</v>
      </c>
      <c r="W230">
        <v>2.9689781966553861E-3</v>
      </c>
      <c r="X230" s="4" t="e">
        <v>#VALUE!</v>
      </c>
      <c r="Y230">
        <v>0.14979999999999999</v>
      </c>
      <c r="Z230">
        <v>0.14829999999999999</v>
      </c>
      <c r="AA230">
        <v>0.14879999999999999</v>
      </c>
    </row>
    <row r="231" spans="1:27" x14ac:dyDescent="0.2">
      <c r="A231" s="6" t="s">
        <v>30</v>
      </c>
      <c r="B231" s="35">
        <v>192</v>
      </c>
      <c r="C231" t="s">
        <v>19</v>
      </c>
      <c r="D231" t="s">
        <v>15</v>
      </c>
      <c r="E231" t="s">
        <v>28</v>
      </c>
      <c r="F231" s="4">
        <f t="shared" si="43"/>
        <v>151.36828896121219</v>
      </c>
      <c r="G231">
        <f t="shared" si="44"/>
        <v>14.418847289761882</v>
      </c>
      <c r="H231">
        <f t="shared" si="45"/>
        <v>23.022241999999995</v>
      </c>
      <c r="I231">
        <f t="shared" si="46"/>
        <v>37.441089289761877</v>
      </c>
      <c r="K231" s="4">
        <f t="shared" si="38"/>
        <v>-9.6303300778609019E-2</v>
      </c>
      <c r="L231" s="13" t="e">
        <f t="shared" si="40"/>
        <v>#VALUE!</v>
      </c>
      <c r="N231">
        <f t="shared" si="52"/>
        <v>-17.89050361517975</v>
      </c>
      <c r="O231">
        <f t="shared" si="53"/>
        <v>5.9723087829350616</v>
      </c>
      <c r="P231">
        <f t="shared" si="54"/>
        <v>11.332805438752033</v>
      </c>
      <c r="S231">
        <v>0.17549007020576571</v>
      </c>
      <c r="T231">
        <v>0.37641454056089213</v>
      </c>
      <c r="U231">
        <f t="shared" si="50"/>
        <v>0.16363333333333333</v>
      </c>
      <c r="W231">
        <v>9.7988367781788356E-3</v>
      </c>
      <c r="X231" s="4" t="e">
        <v>#VALUE!</v>
      </c>
      <c r="Y231">
        <v>0.1648</v>
      </c>
      <c r="Z231">
        <v>0.1641</v>
      </c>
      <c r="AA231">
        <v>0.16200000000000001</v>
      </c>
    </row>
    <row r="232" spans="1:27" x14ac:dyDescent="0.2">
      <c r="A232" s="6" t="s">
        <v>31</v>
      </c>
      <c r="B232" s="35">
        <v>192</v>
      </c>
      <c r="C232" t="s">
        <v>19</v>
      </c>
      <c r="D232" t="s">
        <v>15</v>
      </c>
      <c r="E232" t="s">
        <v>28</v>
      </c>
      <c r="F232" s="4">
        <f t="shared" si="43"/>
        <v>153.88124708616661</v>
      </c>
      <c r="G232">
        <f t="shared" si="44"/>
        <v>14.33386000549169</v>
      </c>
      <c r="H232">
        <f t="shared" si="45"/>
        <v>24.599911999999993</v>
      </c>
      <c r="I232">
        <f t="shared" si="46"/>
        <v>38.933772005491683</v>
      </c>
      <c r="K232" s="4">
        <f t="shared" si="38"/>
        <v>-0.1100938876799943</v>
      </c>
      <c r="L232" s="13" t="e">
        <f t="shared" si="40"/>
        <v>#VALUE!</v>
      </c>
      <c r="N232">
        <f t="shared" si="52"/>
        <v>-21.445193693590376</v>
      </c>
      <c r="O232">
        <f t="shared" si="53"/>
        <v>9.4270075309901813</v>
      </c>
      <c r="P232">
        <f t="shared" si="54"/>
        <v>4.9342103737706653</v>
      </c>
      <c r="S232">
        <v>0.17749206017864608</v>
      </c>
      <c r="T232">
        <v>0.37448634189789659</v>
      </c>
      <c r="U232">
        <f t="shared" si="50"/>
        <v>0.17079999999999998</v>
      </c>
      <c r="W232">
        <v>2.1628528903686064E-3</v>
      </c>
      <c r="X232" s="4" t="e">
        <v>#VALUE!</v>
      </c>
      <c r="Y232">
        <v>0.1701</v>
      </c>
      <c r="Z232">
        <v>0.17150000000000001</v>
      </c>
      <c r="AA232">
        <v>0.17080000000000001</v>
      </c>
    </row>
    <row r="233" spans="1:27" x14ac:dyDescent="0.2">
      <c r="A233" s="6" t="s">
        <v>32</v>
      </c>
      <c r="B233" s="35">
        <v>192</v>
      </c>
      <c r="C233" t="s">
        <v>21</v>
      </c>
      <c r="D233" t="s">
        <v>15</v>
      </c>
      <c r="E233" t="s">
        <v>28</v>
      </c>
      <c r="F233" s="4">
        <f t="shared" si="43"/>
        <v>150.84572691293869</v>
      </c>
      <c r="G233">
        <f t="shared" si="44"/>
        <v>14.175800936472688</v>
      </c>
      <c r="H233">
        <f t="shared" si="45"/>
        <v>24.372433999999998</v>
      </c>
      <c r="I233">
        <f t="shared" si="46"/>
        <v>38.548234936472689</v>
      </c>
      <c r="K233" s="4">
        <f t="shared" si="38"/>
        <v>-0.10947461933514696</v>
      </c>
      <c r="L233" s="13" t="e">
        <f t="shared" si="40"/>
        <v>#VALUE!</v>
      </c>
      <c r="N233">
        <f t="shared" si="52"/>
        <v>-22.034728722104337</v>
      </c>
      <c r="O233">
        <f t="shared" si="53"/>
        <v>-3.3206131847327742</v>
      </c>
      <c r="P233">
        <f t="shared" si="54"/>
        <v>6.6865199952310368</v>
      </c>
      <c r="S233">
        <v>0.17507376244064116</v>
      </c>
      <c r="T233">
        <v>0.37090028442854817</v>
      </c>
      <c r="U233">
        <f t="shared" si="50"/>
        <v>0.16976666666666665</v>
      </c>
      <c r="W233">
        <v>2.5057478764413323E-3</v>
      </c>
      <c r="X233" s="4" t="e">
        <v>#VALUE!</v>
      </c>
      <c r="Y233">
        <v>0.17080000000000001</v>
      </c>
      <c r="Z233">
        <v>0.1699</v>
      </c>
      <c r="AA233">
        <v>0.1686</v>
      </c>
    </row>
    <row r="234" spans="1:27" x14ac:dyDescent="0.2">
      <c r="A234" s="6" t="s">
        <v>33</v>
      </c>
      <c r="B234" s="35">
        <v>192</v>
      </c>
      <c r="C234" t="s">
        <v>21</v>
      </c>
      <c r="D234" t="s">
        <v>15</v>
      </c>
      <c r="E234" t="s">
        <v>28</v>
      </c>
      <c r="F234" s="4">
        <f t="shared" si="43"/>
        <v>156.97787341778431</v>
      </c>
      <c r="G234">
        <f t="shared" si="44"/>
        <v>13.739183158263678</v>
      </c>
      <c r="H234">
        <f t="shared" si="45"/>
        <v>19.316552000000001</v>
      </c>
      <c r="I234">
        <f t="shared" si="46"/>
        <v>33.05573515826368</v>
      </c>
      <c r="K234" s="4">
        <f t="shared" si="38"/>
        <v>-0.10964071019290456</v>
      </c>
      <c r="L234" s="13" t="e">
        <f t="shared" si="40"/>
        <v>#VALUE!</v>
      </c>
      <c r="N234">
        <f t="shared" si="52"/>
        <v>-14.847593123040406</v>
      </c>
      <c r="O234">
        <f t="shared" si="53"/>
        <v>10.404511149985934</v>
      </c>
      <c r="P234">
        <f t="shared" si="54"/>
        <v>25.604792337928512</v>
      </c>
      <c r="S234">
        <v>0.17995903915616818</v>
      </c>
      <c r="T234">
        <v>0.36099426350539249</v>
      </c>
      <c r="U234">
        <f t="shared" si="50"/>
        <v>0.14680000000000001</v>
      </c>
      <c r="W234">
        <v>2.4137817315035724E-3</v>
      </c>
      <c r="X234" s="4" t="e">
        <v>#VALUE!</v>
      </c>
      <c r="Y234">
        <v>0.14699999999999999</v>
      </c>
      <c r="Z234">
        <v>0.1469</v>
      </c>
      <c r="AA234">
        <v>0.14649999999999999</v>
      </c>
    </row>
    <row r="235" spans="1:27" x14ac:dyDescent="0.2">
      <c r="A235" s="6" t="s">
        <v>34</v>
      </c>
      <c r="B235" s="35">
        <v>192</v>
      </c>
      <c r="C235" t="s">
        <v>21</v>
      </c>
      <c r="D235" t="s">
        <v>15</v>
      </c>
      <c r="E235" t="s">
        <v>28</v>
      </c>
      <c r="F235" s="4">
        <f t="shared" si="43"/>
        <v>150.92793841995865</v>
      </c>
      <c r="G235">
        <f t="shared" si="44"/>
        <v>12.491578112916379</v>
      </c>
      <c r="H235">
        <f t="shared" si="45"/>
        <v>25.854710000000001</v>
      </c>
      <c r="I235">
        <f t="shared" si="46"/>
        <v>38.346288112916383</v>
      </c>
      <c r="K235" s="4">
        <f t="shared" ref="K235:K289" si="55">(W235*0.0602-0.0038)*30</f>
        <v>-0.10542501810064388</v>
      </c>
      <c r="L235" s="13" t="e">
        <f t="shared" si="40"/>
        <v>#VALUE!</v>
      </c>
      <c r="N235">
        <f t="shared" si="52"/>
        <v>-22.952827629693708</v>
      </c>
      <c r="O235">
        <f t="shared" si="53"/>
        <v>21.068043784873495</v>
      </c>
      <c r="P235">
        <f t="shared" si="54"/>
        <v>8.5072592651199194E-2</v>
      </c>
      <c r="S235">
        <v>0.17513925760790039</v>
      </c>
      <c r="T235">
        <v>0.33268849516554083</v>
      </c>
      <c r="U235">
        <f t="shared" si="50"/>
        <v>0.17650000000000002</v>
      </c>
      <c r="W235">
        <v>4.748051992998964E-3</v>
      </c>
      <c r="X235" s="4" t="e">
        <v>#VALUE!</v>
      </c>
      <c r="Y235">
        <v>0.1772</v>
      </c>
      <c r="Z235">
        <v>0.17649999999999999</v>
      </c>
      <c r="AA235">
        <v>0.17580000000000001</v>
      </c>
    </row>
    <row r="236" spans="1:27" x14ac:dyDescent="0.2">
      <c r="A236" s="6" t="s">
        <v>35</v>
      </c>
      <c r="B236" s="35">
        <v>192</v>
      </c>
      <c r="C236" t="s">
        <v>20</v>
      </c>
      <c r="D236" t="s">
        <v>15</v>
      </c>
      <c r="E236" t="s">
        <v>28</v>
      </c>
      <c r="F236" s="4">
        <f t="shared" si="43"/>
        <v>148.02358051423761</v>
      </c>
      <c r="G236">
        <f t="shared" si="44"/>
        <v>14.281991605316401</v>
      </c>
      <c r="H236">
        <f t="shared" si="45"/>
        <v>25.135586000000004</v>
      </c>
      <c r="I236">
        <f t="shared" si="46"/>
        <v>39.417577605316403</v>
      </c>
      <c r="K236" s="4">
        <f t="shared" si="55"/>
        <v>-0.11013717455006747</v>
      </c>
      <c r="L236" s="13" t="e">
        <f t="shared" si="40"/>
        <v>#VALUE!</v>
      </c>
      <c r="N236">
        <f t="shared" si="52"/>
        <v>-23.493367386013304</v>
      </c>
      <c r="O236">
        <f t="shared" si="53"/>
        <v>-4.0945860324468262</v>
      </c>
      <c r="P236">
        <f t="shared" si="54"/>
        <v>3.7646793250460266</v>
      </c>
      <c r="S236">
        <v>0.17282545247634265</v>
      </c>
      <c r="T236">
        <v>0.37330954726645793</v>
      </c>
      <c r="U236">
        <f t="shared" si="50"/>
        <v>0.17323333333333335</v>
      </c>
      <c r="W236">
        <v>2.1388845237721673E-3</v>
      </c>
      <c r="X236" s="4" t="e">
        <v>#VALUE!</v>
      </c>
      <c r="Y236">
        <v>0.17419999999999999</v>
      </c>
      <c r="Z236">
        <v>0.1731</v>
      </c>
      <c r="AA236">
        <v>0.1724</v>
      </c>
    </row>
    <row r="237" spans="1:27" x14ac:dyDescent="0.2">
      <c r="A237" s="6" t="s">
        <v>36</v>
      </c>
      <c r="B237" s="35">
        <v>192</v>
      </c>
      <c r="C237" t="s">
        <v>20</v>
      </c>
      <c r="D237" t="s">
        <v>15</v>
      </c>
      <c r="E237" t="s">
        <v>28</v>
      </c>
      <c r="F237" s="4">
        <f t="shared" si="43"/>
        <v>145.43525490422448</v>
      </c>
      <c r="G237">
        <f t="shared" si="44"/>
        <v>14.009605173553869</v>
      </c>
      <c r="H237">
        <f t="shared" si="45"/>
        <v>27.469070000000002</v>
      </c>
      <c r="I237">
        <f t="shared" si="46"/>
        <v>41.478675173553867</v>
      </c>
      <c r="K237" s="4">
        <f t="shared" si="55"/>
        <v>-0.11078683618506116</v>
      </c>
      <c r="L237" s="13" t="e">
        <f t="shared" si="40"/>
        <v>#VALUE!</v>
      </c>
      <c r="N237">
        <f t="shared" si="52"/>
        <v>-21.108868847398771</v>
      </c>
      <c r="O237">
        <f t="shared" si="53"/>
        <v>8.641044401152481</v>
      </c>
      <c r="P237">
        <f t="shared" si="54"/>
        <v>-5.7935788402597996</v>
      </c>
      <c r="S237">
        <v>0.17076341974036552</v>
      </c>
      <c r="T237">
        <v>0.36712962096274315</v>
      </c>
      <c r="U237">
        <f t="shared" si="50"/>
        <v>0.18383333333333332</v>
      </c>
      <c r="W237">
        <v>1.779160473388058E-3</v>
      </c>
      <c r="X237" s="4" t="e">
        <v>#VALUE!</v>
      </c>
      <c r="Y237">
        <v>0.18479999999999999</v>
      </c>
      <c r="Z237">
        <v>0.1832</v>
      </c>
      <c r="AA237">
        <v>0.1835</v>
      </c>
    </row>
    <row r="238" spans="1:27" x14ac:dyDescent="0.2">
      <c r="A238" s="6" t="s">
        <v>37</v>
      </c>
      <c r="B238" s="35">
        <v>192</v>
      </c>
      <c r="C238" t="s">
        <v>20</v>
      </c>
      <c r="D238" t="s">
        <v>15</v>
      </c>
      <c r="E238" t="s">
        <v>28</v>
      </c>
      <c r="F238" s="4">
        <f t="shared" si="43"/>
        <v>144.84396789724991</v>
      </c>
      <c r="G238">
        <f t="shared" si="44"/>
        <v>13.886490424519383</v>
      </c>
      <c r="H238">
        <f t="shared" si="45"/>
        <v>24.357758</v>
      </c>
      <c r="I238">
        <f t="shared" si="46"/>
        <v>38.244248424519384</v>
      </c>
      <c r="K238" s="4">
        <f t="shared" si="55"/>
        <v>-0.11062001597762265</v>
      </c>
      <c r="L238" s="13" t="e">
        <f t="shared" si="40"/>
        <v>#VALUE!</v>
      </c>
      <c r="N238">
        <f t="shared" si="52"/>
        <v>-26.05863249568673</v>
      </c>
      <c r="O238">
        <f t="shared" si="53"/>
        <v>12.253852614780916</v>
      </c>
      <c r="P238">
        <f t="shared" si="54"/>
        <v>5.8700088929340346</v>
      </c>
      <c r="S238">
        <v>0.17029236109147577</v>
      </c>
      <c r="T238">
        <v>0.36433638316815009</v>
      </c>
      <c r="U238">
        <f t="shared" si="50"/>
        <v>0.16969999999999999</v>
      </c>
      <c r="W238">
        <v>1.8715304664326446E-3</v>
      </c>
      <c r="X238" s="4" t="e">
        <v>#VALUE!</v>
      </c>
      <c r="Y238">
        <v>0.1704</v>
      </c>
      <c r="Z238">
        <v>0.1709</v>
      </c>
      <c r="AA238">
        <v>0.1678</v>
      </c>
    </row>
    <row r="239" spans="1:27" x14ac:dyDescent="0.2">
      <c r="A239" s="6" t="s">
        <v>38</v>
      </c>
      <c r="B239" s="35">
        <v>192</v>
      </c>
      <c r="C239" t="s">
        <v>26</v>
      </c>
      <c r="D239" t="s">
        <v>15</v>
      </c>
      <c r="E239" t="s">
        <v>28</v>
      </c>
      <c r="F239" s="4">
        <f t="shared" si="43"/>
        <v>212.6899483270422</v>
      </c>
      <c r="G239">
        <f t="shared" si="44"/>
        <v>10.435109524956644</v>
      </c>
      <c r="H239">
        <f t="shared" si="45"/>
        <v>24.328405999999994</v>
      </c>
      <c r="I239">
        <f t="shared" si="46"/>
        <v>34.763515524956638</v>
      </c>
      <c r="K239" s="4">
        <f t="shared" si="55"/>
        <v>-0.11052120359707</v>
      </c>
      <c r="L239" s="13" t="e">
        <f t="shared" si="40"/>
        <v>#VALUE!</v>
      </c>
      <c r="N239">
        <f t="shared" si="52"/>
        <v>9.9297266071718564</v>
      </c>
      <c r="O239">
        <f t="shared" si="53"/>
        <v>23.943492180792362</v>
      </c>
      <c r="P239">
        <f t="shared" si="54"/>
        <v>6.8550877262032657</v>
      </c>
      <c r="S239">
        <v>0.22434299216721029</v>
      </c>
      <c r="T239">
        <v>0.28603116264989209</v>
      </c>
      <c r="U239">
        <f t="shared" si="50"/>
        <v>0.16956666666666664</v>
      </c>
      <c r="W239">
        <v>1.926243855442968E-3</v>
      </c>
      <c r="X239" s="4" t="e">
        <v>#VALUE!</v>
      </c>
      <c r="Y239">
        <v>0.17069999999999999</v>
      </c>
      <c r="Z239">
        <v>0.16969999999999999</v>
      </c>
      <c r="AA239">
        <v>0.16830000000000001</v>
      </c>
    </row>
    <row r="240" spans="1:27" x14ac:dyDescent="0.2">
      <c r="A240" s="6" t="s">
        <v>39</v>
      </c>
      <c r="B240" s="35">
        <v>192</v>
      </c>
      <c r="C240" t="s">
        <v>26</v>
      </c>
      <c r="D240" t="s">
        <v>15</v>
      </c>
      <c r="E240" t="s">
        <v>28</v>
      </c>
      <c r="F240" s="4">
        <f t="shared" si="43"/>
        <v>207.28155361384759</v>
      </c>
      <c r="G240">
        <f t="shared" si="44"/>
        <v>10.49452718775691</v>
      </c>
      <c r="H240">
        <f t="shared" si="45"/>
        <v>24.489841999999999</v>
      </c>
      <c r="I240">
        <f t="shared" si="46"/>
        <v>34.984369187756911</v>
      </c>
      <c r="K240" s="4">
        <f t="shared" si="55"/>
        <v>-0.11030111976393139</v>
      </c>
      <c r="L240" s="13" t="e">
        <f t="shared" si="40"/>
        <v>#VALUE!</v>
      </c>
      <c r="N240">
        <f t="shared" si="52"/>
        <v>12.439561112152285</v>
      </c>
      <c r="O240">
        <f t="shared" si="53"/>
        <v>31.563450111566056</v>
      </c>
      <c r="P240">
        <f t="shared" si="54"/>
        <v>5.6805333994741911</v>
      </c>
      <c r="S240">
        <v>0.22003430437903193</v>
      </c>
      <c r="T240">
        <v>0.2873792355875513</v>
      </c>
      <c r="U240">
        <f t="shared" si="50"/>
        <v>0.17030000000000001</v>
      </c>
      <c r="W240">
        <v>2.0481064430058686E-3</v>
      </c>
      <c r="X240" s="4" t="e">
        <v>#VALUE!</v>
      </c>
      <c r="Y240">
        <v>0.17119999999999999</v>
      </c>
      <c r="Z240">
        <v>0.17030000000000001</v>
      </c>
      <c r="AA240">
        <v>0.1694</v>
      </c>
    </row>
    <row r="241" spans="1:27" x14ac:dyDescent="0.2">
      <c r="A241" s="6" t="s">
        <v>40</v>
      </c>
      <c r="B241" s="35">
        <v>192</v>
      </c>
      <c r="C241" t="s">
        <v>26</v>
      </c>
      <c r="D241" t="s">
        <v>15</v>
      </c>
      <c r="E241" t="s">
        <v>28</v>
      </c>
      <c r="F241" s="4">
        <f t="shared" si="43"/>
        <v>349.55310658855313</v>
      </c>
      <c r="G241">
        <f t="shared" si="44"/>
        <v>10.893448266309372</v>
      </c>
      <c r="H241">
        <f t="shared" si="45"/>
        <v>27.036127999999991</v>
      </c>
      <c r="I241">
        <f t="shared" si="46"/>
        <v>37.929576266309361</v>
      </c>
      <c r="K241" s="4">
        <f t="shared" si="55"/>
        <v>-0.10954525249343013</v>
      </c>
      <c r="L241" s="13" t="e">
        <f t="shared" si="40"/>
        <v>#VALUE!</v>
      </c>
      <c r="N241">
        <f t="shared" si="52"/>
        <v>78.443293785445448</v>
      </c>
      <c r="O241">
        <f t="shared" si="53"/>
        <v>31.166328720388393</v>
      </c>
      <c r="P241">
        <f t="shared" si="54"/>
        <v>-4.4804898796308033</v>
      </c>
      <c r="S241">
        <v>0.33337730824888068</v>
      </c>
      <c r="T241">
        <v>0.29642999061415221</v>
      </c>
      <c r="U241">
        <f t="shared" si="50"/>
        <v>0.18186666666666665</v>
      </c>
      <c r="W241">
        <v>2.4666376005370296E-3</v>
      </c>
      <c r="X241" s="4" t="e">
        <v>#VALUE!</v>
      </c>
      <c r="Y241">
        <v>0.18229999999999999</v>
      </c>
      <c r="Z241">
        <v>0.18229999999999999</v>
      </c>
      <c r="AA241">
        <v>0.18099999999999999</v>
      </c>
    </row>
    <row r="242" spans="1:27" x14ac:dyDescent="0.2">
      <c r="A242" s="6" t="s">
        <v>43</v>
      </c>
      <c r="B242" s="35">
        <v>192</v>
      </c>
      <c r="C242" t="s">
        <v>19</v>
      </c>
      <c r="D242" t="s">
        <v>14</v>
      </c>
      <c r="E242" t="s">
        <v>42</v>
      </c>
      <c r="F242" s="4">
        <f t="shared" si="43"/>
        <v>223.45966190398647</v>
      </c>
      <c r="G242">
        <f t="shared" si="44"/>
        <v>9.9846294281428687</v>
      </c>
      <c r="H242">
        <f t="shared" si="45"/>
        <v>18.149809999999999</v>
      </c>
      <c r="I242">
        <f t="shared" si="46"/>
        <v>28.134439428142869</v>
      </c>
      <c r="K242" s="4">
        <f t="shared" si="55"/>
        <v>-0.10973930509537379</v>
      </c>
      <c r="L242" s="13" t="e">
        <f t="shared" si="40"/>
        <v>#VALUE!</v>
      </c>
      <c r="N242">
        <f t="shared" si="52"/>
        <v>15.496099999348301</v>
      </c>
      <c r="O242">
        <f t="shared" si="53"/>
        <v>27.226825520396829</v>
      </c>
      <c r="P242">
        <f t="shared" si="54"/>
        <v>30.510759305970186</v>
      </c>
      <c r="S242">
        <v>0.23292286398350923</v>
      </c>
      <c r="T242">
        <v>0.27581063227477243</v>
      </c>
      <c r="U242">
        <f t="shared" si="50"/>
        <v>0.14149999999999999</v>
      </c>
      <c r="W242">
        <v>2.3591887622515023E-3</v>
      </c>
      <c r="X242" s="4" t="e">
        <v>#VALUE!</v>
      </c>
      <c r="Y242">
        <v>0.14169999999999999</v>
      </c>
      <c r="Z242">
        <v>0.14069999999999999</v>
      </c>
      <c r="AA242">
        <v>0.1421</v>
      </c>
    </row>
    <row r="243" spans="1:27" x14ac:dyDescent="0.2">
      <c r="A243" s="6" t="s">
        <v>44</v>
      </c>
      <c r="B243" s="35">
        <v>192</v>
      </c>
      <c r="C243" t="s">
        <v>19</v>
      </c>
      <c r="D243" t="s">
        <v>14</v>
      </c>
      <c r="E243" t="s">
        <v>42</v>
      </c>
      <c r="F243" s="4">
        <f t="shared" si="43"/>
        <v>226.56960819531866</v>
      </c>
      <c r="G243">
        <f t="shared" si="44"/>
        <v>6.9540477809071293</v>
      </c>
      <c r="H243">
        <f t="shared" si="45"/>
        <v>14.987131999999994</v>
      </c>
      <c r="I243">
        <f t="shared" si="46"/>
        <v>21.941179780907124</v>
      </c>
      <c r="K243" s="4">
        <f t="shared" si="55"/>
        <v>-0.10408147147350223</v>
      </c>
      <c r="L243" s="13" t="e">
        <f t="shared" si="40"/>
        <v>#VALUE!</v>
      </c>
      <c r="N243">
        <f t="shared" si="52"/>
        <v>22.902336762165369</v>
      </c>
      <c r="O243">
        <f t="shared" si="53"/>
        <v>54.651502695632651</v>
      </c>
      <c r="P243">
        <f t="shared" si="54"/>
        <v>42.278994853798118</v>
      </c>
      <c r="S243">
        <v>0.23540045452893721</v>
      </c>
      <c r="T243">
        <v>0.20705254063225179</v>
      </c>
      <c r="U243">
        <f t="shared" si="50"/>
        <v>0.12713333333333332</v>
      </c>
      <c r="W243">
        <v>5.4919870024904638E-3</v>
      </c>
      <c r="X243" s="4" t="e">
        <v>#VALUE!</v>
      </c>
      <c r="Y243">
        <v>0.1273</v>
      </c>
      <c r="Z243">
        <v>0.1273</v>
      </c>
      <c r="AA243">
        <v>0.1268</v>
      </c>
    </row>
    <row r="244" spans="1:27" x14ac:dyDescent="0.2">
      <c r="A244" s="6" t="s">
        <v>45</v>
      </c>
      <c r="B244" s="35">
        <v>192</v>
      </c>
      <c r="C244" t="s">
        <v>19</v>
      </c>
      <c r="D244" t="s">
        <v>14</v>
      </c>
      <c r="E244" t="s">
        <v>42</v>
      </c>
      <c r="F244" s="4">
        <f t="shared" si="43"/>
        <v>230.94332392648585</v>
      </c>
      <c r="G244">
        <f t="shared" si="44"/>
        <v>11.399603358942988</v>
      </c>
      <c r="H244">
        <f t="shared" si="45"/>
        <v>12.338113999999997</v>
      </c>
      <c r="I244">
        <f t="shared" si="46"/>
        <v>23.737717358942987</v>
      </c>
      <c r="K244" s="4">
        <f t="shared" si="55"/>
        <v>-0.10904926337176538</v>
      </c>
      <c r="L244" s="13" t="e">
        <f t="shared" si="40"/>
        <v>#VALUE!</v>
      </c>
      <c r="N244">
        <f t="shared" si="52"/>
        <v>17.894210128443831</v>
      </c>
      <c r="O244">
        <f t="shared" si="53"/>
        <v>27.968028934029981</v>
      </c>
      <c r="P244">
        <f t="shared" si="54"/>
        <v>52.319644480499164</v>
      </c>
      <c r="S244">
        <v>0.23888484806143373</v>
      </c>
      <c r="T244">
        <v>0.30791367998327862</v>
      </c>
      <c r="U244">
        <f t="shared" si="50"/>
        <v>0.11509999999999999</v>
      </c>
      <c r="W244">
        <v>2.7412716656891631E-3</v>
      </c>
      <c r="X244" s="4" t="e">
        <v>#VALUE!</v>
      </c>
      <c r="Y244">
        <v>0.115</v>
      </c>
      <c r="Z244">
        <v>0.1154</v>
      </c>
      <c r="AA244">
        <v>0.1149</v>
      </c>
    </row>
    <row r="245" spans="1:27" x14ac:dyDescent="0.2">
      <c r="A245" s="6" t="s">
        <v>46</v>
      </c>
      <c r="B245" s="35">
        <v>192</v>
      </c>
      <c r="C245" t="s">
        <v>21</v>
      </c>
      <c r="D245" t="s">
        <v>14</v>
      </c>
      <c r="E245" t="s">
        <v>42</v>
      </c>
      <c r="F245" s="4">
        <f t="shared" si="43"/>
        <v>232.22911761167396</v>
      </c>
      <c r="G245">
        <f t="shared" si="44"/>
        <v>2.3818379339771876</v>
      </c>
      <c r="H245">
        <f t="shared" si="45"/>
        <v>14.297359999999999</v>
      </c>
      <c r="I245">
        <f t="shared" si="46"/>
        <v>16.679197933977186</v>
      </c>
      <c r="K245" s="4">
        <f t="shared" si="55"/>
        <v>-0.10114747218693725</v>
      </c>
      <c r="L245" s="13" t="e">
        <f t="shared" si="40"/>
        <v>#VALUE!</v>
      </c>
      <c r="N245">
        <f t="shared" si="52"/>
        <v>20.02863139550746</v>
      </c>
      <c r="O245">
        <f t="shared" si="53"/>
        <v>82.63992581808823</v>
      </c>
      <c r="P245">
        <f t="shared" si="54"/>
        <v>45.260435766038647</v>
      </c>
      <c r="S245">
        <v>0.2399091970306336</v>
      </c>
      <c r="T245">
        <v>0.10331785856196542</v>
      </c>
      <c r="U245">
        <f t="shared" si="50"/>
        <v>0.124</v>
      </c>
      <c r="W245">
        <v>7.1165713250624365E-3</v>
      </c>
      <c r="X245" s="4" t="e">
        <v>#VALUE!</v>
      </c>
      <c r="Y245">
        <v>0.1239</v>
      </c>
      <c r="Z245">
        <v>0.1245</v>
      </c>
      <c r="AA245">
        <v>0.1236</v>
      </c>
    </row>
    <row r="246" spans="1:27" x14ac:dyDescent="0.2">
      <c r="A246" s="6" t="s">
        <v>47</v>
      </c>
      <c r="B246" s="35">
        <v>192</v>
      </c>
      <c r="C246" t="s">
        <v>21</v>
      </c>
      <c r="D246" t="s">
        <v>14</v>
      </c>
      <c r="E246" t="s">
        <v>42</v>
      </c>
      <c r="F246" s="4">
        <f t="shared" si="43"/>
        <v>228.22408097957316</v>
      </c>
      <c r="G246">
        <f t="shared" si="44"/>
        <v>3.9345894973747559</v>
      </c>
      <c r="H246">
        <f t="shared" si="45"/>
        <v>11.817116</v>
      </c>
      <c r="I246">
        <f t="shared" si="46"/>
        <v>15.751705497374756</v>
      </c>
      <c r="K246" s="4">
        <f t="shared" si="55"/>
        <v>-0.11029758224559627</v>
      </c>
      <c r="L246" s="13" t="e">
        <f t="shared" si="40"/>
        <v>#VALUE!</v>
      </c>
      <c r="N246">
        <f t="shared" si="52"/>
        <v>23.799802988610846</v>
      </c>
      <c r="O246">
        <f t="shared" si="53"/>
        <v>74.34189024335177</v>
      </c>
      <c r="P246">
        <f t="shared" si="54"/>
        <v>54.487902458638196</v>
      </c>
      <c r="S246">
        <v>0.23671851784705997</v>
      </c>
      <c r="T246">
        <v>0.13854681680222244</v>
      </c>
      <c r="U246">
        <f t="shared" si="50"/>
        <v>0.11273333333333335</v>
      </c>
      <c r="W246">
        <v>2.0500652017739376E-3</v>
      </c>
      <c r="X246" s="4" t="e">
        <v>#VALUE!</v>
      </c>
      <c r="Y246">
        <v>0.11310000000000001</v>
      </c>
      <c r="Z246">
        <v>0.1125</v>
      </c>
      <c r="AA246">
        <v>0.11260000000000001</v>
      </c>
    </row>
    <row r="247" spans="1:27" x14ac:dyDescent="0.2">
      <c r="A247" s="6" t="s">
        <v>48</v>
      </c>
      <c r="B247" s="35">
        <v>192</v>
      </c>
      <c r="C247" t="s">
        <v>21</v>
      </c>
      <c r="D247" t="s">
        <v>14</v>
      </c>
      <c r="E247" t="s">
        <v>42</v>
      </c>
      <c r="F247" s="4">
        <f t="shared" si="43"/>
        <v>216.73948254713224</v>
      </c>
      <c r="G247">
        <f t="shared" si="44"/>
        <v>5.3119851910697289</v>
      </c>
      <c r="H247">
        <f t="shared" si="45"/>
        <v>13.534207999999996</v>
      </c>
      <c r="I247">
        <f t="shared" si="46"/>
        <v>18.846193191069723</v>
      </c>
      <c r="K247" s="4">
        <f t="shared" si="55"/>
        <v>-0.10989069826881173</v>
      </c>
      <c r="L247" s="13" t="e">
        <f t="shared" si="40"/>
        <v>#VALUE!</v>
      </c>
      <c r="N247">
        <f t="shared" si="52"/>
        <v>10.643294051988448</v>
      </c>
      <c r="O247">
        <f t="shared" si="53"/>
        <v>66.434554647393014</v>
      </c>
      <c r="P247">
        <f t="shared" si="54"/>
        <v>47.697366946449641</v>
      </c>
      <c r="S247">
        <v>0.22756912109588204</v>
      </c>
      <c r="T247">
        <v>0.16979728630251675</v>
      </c>
      <c r="U247">
        <f t="shared" si="50"/>
        <v>0.12053333333333333</v>
      </c>
      <c r="W247">
        <v>2.2753608699824287E-3</v>
      </c>
      <c r="X247" s="4" t="e">
        <v>#VALUE!</v>
      </c>
      <c r="Y247">
        <v>0.1207</v>
      </c>
      <c r="Z247">
        <v>0.1203</v>
      </c>
      <c r="AA247">
        <v>0.1206</v>
      </c>
    </row>
    <row r="248" spans="1:27" x14ac:dyDescent="0.2">
      <c r="A248" s="6" t="s">
        <v>49</v>
      </c>
      <c r="B248" s="35">
        <v>192</v>
      </c>
      <c r="C248" t="s">
        <v>20</v>
      </c>
      <c r="D248" t="s">
        <v>14</v>
      </c>
      <c r="E248" t="s">
        <v>42</v>
      </c>
      <c r="F248" s="4">
        <f t="shared" si="43"/>
        <v>228.43225295254607</v>
      </c>
      <c r="G248">
        <f t="shared" si="44"/>
        <v>-0.18858</v>
      </c>
      <c r="H248">
        <f t="shared" si="45"/>
        <v>10.459585999999998</v>
      </c>
      <c r="I248">
        <f t="shared" si="46"/>
        <v>10.271005999999998</v>
      </c>
      <c r="K248" s="4">
        <f t="shared" si="55"/>
        <v>-0.10998526432836422</v>
      </c>
      <c r="L248" s="13" t="e">
        <f t="shared" si="40"/>
        <v>#VALUE!</v>
      </c>
      <c r="N248">
        <f t="shared" si="52"/>
        <v>18.066205351280086</v>
      </c>
      <c r="O248">
        <f t="shared" si="53"/>
        <v>101.37446916203841</v>
      </c>
      <c r="P248">
        <f t="shared" si="54"/>
        <v>59.953922982449711</v>
      </c>
      <c r="S248">
        <v>0.23688436151886172</v>
      </c>
      <c r="T248" s="15">
        <v>4.4999999999999998E-2</v>
      </c>
      <c r="U248">
        <f t="shared" si="50"/>
        <v>0.10656666666666666</v>
      </c>
      <c r="W248">
        <v>2.222998710761787E-3</v>
      </c>
      <c r="X248" s="4" t="e">
        <v>#VALUE!</v>
      </c>
      <c r="Y248">
        <v>0.1072</v>
      </c>
      <c r="Z248">
        <v>0.1066</v>
      </c>
      <c r="AA248">
        <v>0.10589999999999999</v>
      </c>
    </row>
    <row r="249" spans="1:27" x14ac:dyDescent="0.2">
      <c r="A249" s="6" t="s">
        <v>50</v>
      </c>
      <c r="B249" s="35">
        <v>192</v>
      </c>
      <c r="C249" t="s">
        <v>20</v>
      </c>
      <c r="D249" t="s">
        <v>14</v>
      </c>
      <c r="E249" t="s">
        <v>42</v>
      </c>
      <c r="F249" s="4">
        <f t="shared" si="43"/>
        <v>219.74722001311403</v>
      </c>
      <c r="G249">
        <f t="shared" si="44"/>
        <v>-0.18858</v>
      </c>
      <c r="H249">
        <f t="shared" si="45"/>
        <v>10.987921999999999</v>
      </c>
      <c r="I249">
        <f t="shared" si="46"/>
        <v>10.799341999999999</v>
      </c>
      <c r="K249" s="4">
        <f t="shared" si="55"/>
        <v>-0.10378414497641074</v>
      </c>
      <c r="L249" s="13" t="e">
        <f t="shared" si="40"/>
        <v>#VALUE!</v>
      </c>
      <c r="N249">
        <f t="shared" si="52"/>
        <v>19.201542747600548</v>
      </c>
      <c r="O249">
        <f t="shared" si="53"/>
        <v>101.22976141250241</v>
      </c>
      <c r="P249">
        <f t="shared" si="54"/>
        <v>57.681436160830167</v>
      </c>
      <c r="S249">
        <v>0.22996528527711421</v>
      </c>
      <c r="T249" s="15">
        <v>4.4999999999999998E-2</v>
      </c>
      <c r="U249">
        <f t="shared" si="50"/>
        <v>0.10896666666666667</v>
      </c>
      <c r="W249">
        <v>5.6566196143905088E-3</v>
      </c>
      <c r="X249" s="4" t="e">
        <v>#VALUE!</v>
      </c>
      <c r="Y249">
        <v>0.1087</v>
      </c>
      <c r="Z249">
        <v>0.109</v>
      </c>
      <c r="AA249">
        <v>0.10920000000000001</v>
      </c>
    </row>
    <row r="250" spans="1:27" x14ac:dyDescent="0.2">
      <c r="A250" s="6" t="s">
        <v>51</v>
      </c>
      <c r="B250" s="35">
        <v>192</v>
      </c>
      <c r="C250" t="s">
        <v>20</v>
      </c>
      <c r="D250" t="s">
        <v>14</v>
      </c>
      <c r="E250" t="s">
        <v>42</v>
      </c>
      <c r="F250" s="4">
        <f t="shared" si="43"/>
        <v>225.0849261416727</v>
      </c>
      <c r="G250">
        <f t="shared" si="44"/>
        <v>-0.18858</v>
      </c>
      <c r="H250">
        <f t="shared" si="45"/>
        <v>11.736397999999999</v>
      </c>
      <c r="I250">
        <f t="shared" si="46"/>
        <v>11.547817999999999</v>
      </c>
      <c r="K250" s="4">
        <f t="shared" si="55"/>
        <v>-0.10922560207149212</v>
      </c>
      <c r="L250" s="13" t="e">
        <f t="shared" si="40"/>
        <v>#VALUE!</v>
      </c>
      <c r="N250">
        <f t="shared" si="52"/>
        <v>14.903557843216367</v>
      </c>
      <c r="O250">
        <f t="shared" si="53"/>
        <v>101.19160190718077</v>
      </c>
      <c r="P250">
        <f t="shared" si="54"/>
        <v>54.644962012965777</v>
      </c>
      <c r="S250">
        <v>0.23421765782619927</v>
      </c>
      <c r="T250" s="15">
        <v>4.4999999999999998E-2</v>
      </c>
      <c r="U250">
        <f t="shared" si="50"/>
        <v>0.11236666666666667</v>
      </c>
      <c r="W250">
        <v>2.6436311896499841E-3</v>
      </c>
      <c r="X250" s="4" t="e">
        <v>#VALUE!</v>
      </c>
      <c r="Y250">
        <v>0.1119</v>
      </c>
      <c r="Z250">
        <v>0.11260000000000001</v>
      </c>
      <c r="AA250">
        <v>0.11260000000000001</v>
      </c>
    </row>
    <row r="251" spans="1:27" x14ac:dyDescent="0.2">
      <c r="A251" s="41" t="s">
        <v>52</v>
      </c>
      <c r="B251" s="35">
        <v>192</v>
      </c>
      <c r="C251" t="s">
        <v>26</v>
      </c>
      <c r="D251" s="14" t="s">
        <v>14</v>
      </c>
      <c r="E251" s="14" t="s">
        <v>42</v>
      </c>
      <c r="F251" s="4">
        <f t="shared" si="43"/>
        <v>150.95077726468119</v>
      </c>
      <c r="G251">
        <f t="shared" si="44"/>
        <v>15.172483701382419</v>
      </c>
      <c r="H251">
        <f t="shared" si="45"/>
        <v>13.137955999999999</v>
      </c>
      <c r="I251">
        <f t="shared" si="46"/>
        <v>28.310439701382418</v>
      </c>
      <c r="K251" s="4">
        <f t="shared" si="55"/>
        <v>-0.10810220401477325</v>
      </c>
      <c r="L251" s="13" t="e">
        <f t="shared" si="40"/>
        <v>#VALUE!</v>
      </c>
      <c r="N251">
        <f t="shared" si="52"/>
        <v>-21.98043299004048</v>
      </c>
      <c r="O251">
        <f t="shared" si="53"/>
        <v>-10.584955769861638</v>
      </c>
      <c r="P251">
        <f t="shared" si="54"/>
        <v>49.699386014973541</v>
      </c>
      <c r="S251">
        <v>0.17515745255419601</v>
      </c>
      <c r="T251">
        <v>0.39351310693761726</v>
      </c>
      <c r="U251">
        <f t="shared" si="50"/>
        <v>0.11873333333333334</v>
      </c>
      <c r="W251">
        <v>3.2656677659062862E-3</v>
      </c>
      <c r="X251" s="4" t="e">
        <v>#VALUE!</v>
      </c>
      <c r="Y251">
        <v>0.1181</v>
      </c>
      <c r="Z251">
        <v>0.1188</v>
      </c>
      <c r="AA251">
        <v>0.1193</v>
      </c>
    </row>
    <row r="252" spans="1:27" x14ac:dyDescent="0.2">
      <c r="A252" s="41" t="s">
        <v>53</v>
      </c>
      <c r="B252" s="35">
        <v>192</v>
      </c>
      <c r="C252" t="s">
        <v>26</v>
      </c>
      <c r="D252" s="14" t="s">
        <v>14</v>
      </c>
      <c r="E252" s="14" t="s">
        <v>42</v>
      </c>
      <c r="F252" s="4">
        <f t="shared" si="43"/>
        <v>149.22049691872579</v>
      </c>
      <c r="G252">
        <f t="shared" si="44"/>
        <v>13.069651610947325</v>
      </c>
      <c r="H252">
        <f t="shared" si="45"/>
        <v>14.209303999999998</v>
      </c>
      <c r="I252">
        <f t="shared" si="46"/>
        <v>27.278955610947321</v>
      </c>
      <c r="K252" s="4">
        <f t="shared" si="55"/>
        <v>-0.1099591043698655</v>
      </c>
      <c r="L252" s="13" t="e">
        <f t="shared" si="40"/>
        <v>#VALUE!</v>
      </c>
      <c r="N252">
        <f t="shared" si="52"/>
        <v>-19.055570117273017</v>
      </c>
      <c r="O252">
        <f t="shared" si="53"/>
        <v>14.770637257434668</v>
      </c>
      <c r="P252">
        <f t="shared" si="54"/>
        <v>45.274699034615345</v>
      </c>
      <c r="S252">
        <v>0.17377899587858489</v>
      </c>
      <c r="T252">
        <v>0.34580387537315832</v>
      </c>
      <c r="U252">
        <f t="shared" si="50"/>
        <v>0.1236</v>
      </c>
      <c r="W252">
        <v>2.2374837376160006E-3</v>
      </c>
      <c r="X252" s="4" t="e">
        <v>#VALUE!</v>
      </c>
      <c r="Y252">
        <v>0.12330000000000001</v>
      </c>
      <c r="Z252">
        <v>0.124</v>
      </c>
      <c r="AA252">
        <v>0.1235</v>
      </c>
    </row>
    <row r="253" spans="1:27" x14ac:dyDescent="0.2">
      <c r="A253" s="41" t="s">
        <v>54</v>
      </c>
      <c r="B253" s="35">
        <v>192</v>
      </c>
      <c r="C253" t="s">
        <v>26</v>
      </c>
      <c r="D253" s="14" t="s">
        <v>14</v>
      </c>
      <c r="E253" s="14" t="s">
        <v>42</v>
      </c>
      <c r="F253" s="4">
        <f t="shared" si="43"/>
        <v>156.16329616112364</v>
      </c>
      <c r="G253">
        <f t="shared" si="44"/>
        <v>14.29188011992551</v>
      </c>
      <c r="H253">
        <f t="shared" si="45"/>
        <v>13.174645999999999</v>
      </c>
      <c r="I253">
        <f t="shared" si="46"/>
        <v>27.466526119925511</v>
      </c>
      <c r="K253" s="4">
        <f t="shared" si="55"/>
        <v>-0.10978933083641908</v>
      </c>
      <c r="L253" s="13" t="e">
        <f t="shared" si="40"/>
        <v>#VALUE!</v>
      </c>
      <c r="N253">
        <f t="shared" si="52"/>
        <v>-20.2802309287345</v>
      </c>
      <c r="O253">
        <f t="shared" si="53"/>
        <v>9.6922706114010939</v>
      </c>
      <c r="P253">
        <f t="shared" si="54"/>
        <v>49.086885959752863</v>
      </c>
      <c r="S253">
        <v>0.17931009260836184</v>
      </c>
      <c r="T253">
        <v>0.37353389871870202</v>
      </c>
      <c r="U253">
        <f t="shared" si="50"/>
        <v>0.11890000000000001</v>
      </c>
      <c r="W253">
        <v>2.331489016379249E-3</v>
      </c>
      <c r="X253" s="4" t="e">
        <v>#VALUE!</v>
      </c>
      <c r="Y253">
        <v>0.1192</v>
      </c>
      <c r="Z253">
        <v>0.1187</v>
      </c>
      <c r="AA253">
        <v>0.1188</v>
      </c>
    </row>
    <row r="254" spans="1:27" x14ac:dyDescent="0.2">
      <c r="A254" s="6" t="s">
        <v>55</v>
      </c>
      <c r="B254" s="35">
        <v>192</v>
      </c>
      <c r="C254" t="s">
        <v>19</v>
      </c>
      <c r="D254" t="s">
        <v>15</v>
      </c>
      <c r="E254" t="s">
        <v>42</v>
      </c>
      <c r="F254" s="4">
        <f t="shared" si="43"/>
        <v>219.04709887610707</v>
      </c>
      <c r="G254">
        <f t="shared" si="44"/>
        <v>13.218014952973039</v>
      </c>
      <c r="H254">
        <f t="shared" si="45"/>
        <v>12.653647999999997</v>
      </c>
      <c r="I254">
        <f t="shared" si="46"/>
        <v>25.871662952973036</v>
      </c>
      <c r="K254" s="4">
        <f t="shared" si="55"/>
        <v>-0.10917392508391356</v>
      </c>
      <c r="L254" s="13" t="e">
        <f t="shared" si="40"/>
        <v>#VALUE!</v>
      </c>
      <c r="N254">
        <f t="shared" si="52"/>
        <v>13.215447570274277</v>
      </c>
      <c r="O254">
        <f t="shared" si="53"/>
        <v>3.6602294186869728</v>
      </c>
      <c r="P254">
        <f t="shared" si="54"/>
        <v>51.553631055667871</v>
      </c>
      <c r="S254">
        <v>0.229407522104632</v>
      </c>
      <c r="T254">
        <v>0.34916995537192669</v>
      </c>
      <c r="U254">
        <f t="shared" si="50"/>
        <v>0.11653333333333332</v>
      </c>
      <c r="W254">
        <v>2.6722452470024534E-3</v>
      </c>
      <c r="X254" s="4" t="e">
        <v>#VALUE!</v>
      </c>
      <c r="Y254">
        <v>0.1166</v>
      </c>
      <c r="Z254">
        <v>0.1164</v>
      </c>
      <c r="AA254">
        <v>0.1166</v>
      </c>
    </row>
    <row r="255" spans="1:27" x14ac:dyDescent="0.2">
      <c r="A255" s="6" t="s">
        <v>44</v>
      </c>
      <c r="B255" s="35">
        <v>192</v>
      </c>
      <c r="C255" t="s">
        <v>19</v>
      </c>
      <c r="D255" t="s">
        <v>15</v>
      </c>
      <c r="E255" t="s">
        <v>42</v>
      </c>
      <c r="F255" s="4">
        <f t="shared" si="43"/>
        <v>210.67939425547118</v>
      </c>
      <c r="G255">
        <f t="shared" si="44"/>
        <v>11.006812739063687</v>
      </c>
      <c r="H255">
        <f t="shared" si="45"/>
        <v>15.053173999999993</v>
      </c>
      <c r="I255">
        <f t="shared" si="46"/>
        <v>26.059986739063682</v>
      </c>
      <c r="K255" s="4">
        <f t="shared" si="55"/>
        <v>-0.11010238124468466</v>
      </c>
      <c r="L255" s="13" t="e">
        <f t="shared" si="40"/>
        <v>#VALUE!</v>
      </c>
      <c r="N255">
        <f t="shared" si="52"/>
        <v>14.282714561228262</v>
      </c>
      <c r="O255">
        <f t="shared" si="53"/>
        <v>28.222751187079908</v>
      </c>
      <c r="P255">
        <f t="shared" si="54"/>
        <v>42.024642612030618</v>
      </c>
      <c r="S255">
        <v>0.22274125075685872</v>
      </c>
      <c r="T255">
        <v>0.29900201331935033</v>
      </c>
      <c r="U255">
        <f t="shared" si="50"/>
        <v>0.12743333333333332</v>
      </c>
      <c r="W255">
        <v>2.1581499198866719E-3</v>
      </c>
      <c r="X255" s="4" t="e">
        <v>#VALUE!</v>
      </c>
      <c r="Y255">
        <v>0.12709999999999999</v>
      </c>
      <c r="Z255">
        <v>0.12740000000000001</v>
      </c>
      <c r="AA255">
        <v>0.1278</v>
      </c>
    </row>
    <row r="256" spans="1:27" x14ac:dyDescent="0.2">
      <c r="A256" s="6" t="s">
        <v>45</v>
      </c>
      <c r="B256" s="35">
        <v>192</v>
      </c>
      <c r="C256" t="s">
        <v>19</v>
      </c>
      <c r="D256" t="s">
        <v>15</v>
      </c>
      <c r="E256" t="s">
        <v>42</v>
      </c>
      <c r="F256" s="4">
        <f t="shared" si="43"/>
        <v>213.80556984487421</v>
      </c>
      <c r="G256">
        <f t="shared" si="44"/>
        <v>11.832562171291773</v>
      </c>
      <c r="H256">
        <f t="shared" si="45"/>
        <v>14.348725999999996</v>
      </c>
      <c r="I256">
        <f t="shared" si="46"/>
        <v>26.181288171291769</v>
      </c>
      <c r="K256" s="4">
        <f t="shared" si="55"/>
        <v>-0.10907449852377762</v>
      </c>
      <c r="L256" s="13" t="e">
        <f t="shared" si="40"/>
        <v>#VALUE!</v>
      </c>
      <c r="N256">
        <f t="shared" si="52"/>
        <v>9.1455615575491507</v>
      </c>
      <c r="O256">
        <f t="shared" si="53"/>
        <v>25.232242813945522</v>
      </c>
      <c r="P256">
        <f t="shared" si="54"/>
        <v>44.549681018354569</v>
      </c>
      <c r="S256">
        <v>0.22523177064308314</v>
      </c>
      <c r="T256">
        <v>0.31773668598084615</v>
      </c>
      <c r="U256">
        <f t="shared" si="50"/>
        <v>0.12423333333333332</v>
      </c>
      <c r="W256">
        <v>2.7272987133014331E-3</v>
      </c>
      <c r="X256" s="4" t="e">
        <v>#VALUE!</v>
      </c>
      <c r="Y256">
        <v>0.1245</v>
      </c>
      <c r="Z256">
        <v>0.1241</v>
      </c>
      <c r="AA256">
        <v>0.1241</v>
      </c>
    </row>
    <row r="257" spans="1:27" x14ac:dyDescent="0.2">
      <c r="A257" s="6" t="s">
        <v>46</v>
      </c>
      <c r="B257" s="35">
        <v>192</v>
      </c>
      <c r="C257" t="s">
        <v>21</v>
      </c>
      <c r="D257" t="s">
        <v>15</v>
      </c>
      <c r="E257" t="s">
        <v>42</v>
      </c>
      <c r="F257" s="4">
        <f t="shared" si="43"/>
        <v>215.17843054291225</v>
      </c>
      <c r="G257">
        <f t="shared" si="44"/>
        <v>7.3611901816392473</v>
      </c>
      <c r="H257">
        <f t="shared" si="45"/>
        <v>11.626328000000001</v>
      </c>
      <c r="I257">
        <f t="shared" si="46"/>
        <v>18.987518181639249</v>
      </c>
      <c r="K257" s="4">
        <f t="shared" si="55"/>
        <v>-0.10971448895058476</v>
      </c>
      <c r="L257" s="13" t="e">
        <f t="shared" si="40"/>
        <v>#VALUE!</v>
      </c>
      <c r="N257">
        <f t="shared" si="52"/>
        <v>11.215909484214864</v>
      </c>
      <c r="O257">
        <f t="shared" si="53"/>
        <v>46.347815778115084</v>
      </c>
      <c r="P257">
        <f t="shared" si="54"/>
        <v>55.48687811168611</v>
      </c>
      <c r="S257">
        <v>0.22632548299918676</v>
      </c>
      <c r="T257">
        <v>0.21628982170884942</v>
      </c>
      <c r="U257">
        <f t="shared" si="50"/>
        <v>0.11186666666666667</v>
      </c>
      <c r="W257">
        <v>2.3729297062099839E-3</v>
      </c>
      <c r="X257" s="4" t="e">
        <v>#VALUE!</v>
      </c>
      <c r="Y257">
        <v>0.1123</v>
      </c>
      <c r="Z257">
        <v>0.1119</v>
      </c>
      <c r="AA257">
        <v>0.1114</v>
      </c>
    </row>
    <row r="258" spans="1:27" x14ac:dyDescent="0.2">
      <c r="A258" s="6" t="s">
        <v>47</v>
      </c>
      <c r="B258" s="35">
        <v>192</v>
      </c>
      <c r="C258" t="s">
        <v>21</v>
      </c>
      <c r="D258" t="s">
        <v>15</v>
      </c>
      <c r="E258" t="s">
        <v>42</v>
      </c>
      <c r="F258" s="4">
        <f t="shared" si="43"/>
        <v>221.63991670544419</v>
      </c>
      <c r="G258">
        <f t="shared" si="44"/>
        <v>4.9475189009359823</v>
      </c>
      <c r="H258">
        <f t="shared" si="45"/>
        <v>12.60962</v>
      </c>
      <c r="I258">
        <f t="shared" si="46"/>
        <v>17.557138900935982</v>
      </c>
      <c r="K258" s="4">
        <f t="shared" si="55"/>
        <v>-0.11014852686748254</v>
      </c>
      <c r="L258" s="13" t="e">
        <f t="shared" ref="L258:L289" si="56">(0.2119*X258+0.0014)*30</f>
        <v>#VALUE!</v>
      </c>
      <c r="N258">
        <f t="shared" si="52"/>
        <v>20.228233167918823</v>
      </c>
      <c r="O258">
        <f t="shared" si="53"/>
        <v>67.736409841990664</v>
      </c>
      <c r="P258">
        <f t="shared" si="54"/>
        <v>51.435675557428176</v>
      </c>
      <c r="S258">
        <v>0.23147313364200389</v>
      </c>
      <c r="T258">
        <v>0.16152824441727887</v>
      </c>
      <c r="U258">
        <f t="shared" si="50"/>
        <v>0.11633333333333334</v>
      </c>
      <c r="W258">
        <v>2.1325986337305983E-3</v>
      </c>
      <c r="X258" s="4" t="e">
        <v>#VALUE!</v>
      </c>
      <c r="Y258">
        <v>0.1168</v>
      </c>
      <c r="Z258">
        <v>0.1164</v>
      </c>
      <c r="AA258">
        <v>0.1158</v>
      </c>
    </row>
    <row r="259" spans="1:27" x14ac:dyDescent="0.2">
      <c r="A259" s="6" t="s">
        <v>48</v>
      </c>
      <c r="B259" s="35">
        <v>192</v>
      </c>
      <c r="C259" t="s">
        <v>21</v>
      </c>
      <c r="D259" t="s">
        <v>15</v>
      </c>
      <c r="E259" t="s">
        <v>42</v>
      </c>
      <c r="F259" s="4">
        <f t="shared" si="43"/>
        <v>223.57769415723578</v>
      </c>
      <c r="G259">
        <f t="shared" si="44"/>
        <v>3.5354060457560519</v>
      </c>
      <c r="H259">
        <f t="shared" si="45"/>
        <v>12.932491999999998</v>
      </c>
      <c r="I259">
        <f t="shared" si="46"/>
        <v>16.467898045756051</v>
      </c>
      <c r="K259" s="4">
        <f t="shared" si="55"/>
        <v>-0.10993342351762311</v>
      </c>
      <c r="L259" s="13" t="e">
        <f t="shared" si="56"/>
        <v>#VALUE!</v>
      </c>
      <c r="N259">
        <f t="shared" si="52"/>
        <v>14.134131296198795</v>
      </c>
      <c r="O259">
        <f t="shared" si="53"/>
        <v>77.660427474910975</v>
      </c>
      <c r="P259">
        <f t="shared" si="54"/>
        <v>50.022684478916268</v>
      </c>
      <c r="S259">
        <v>0.23301689634526451</v>
      </c>
      <c r="T259">
        <v>0.12949010903339803</v>
      </c>
      <c r="U259">
        <f t="shared" si="50"/>
        <v>0.1178</v>
      </c>
      <c r="W259">
        <v>2.251703478613999E-3</v>
      </c>
      <c r="X259" s="4" t="e">
        <v>#VALUE!</v>
      </c>
      <c r="Y259">
        <v>0.1177</v>
      </c>
      <c r="Z259">
        <v>0.11799999999999999</v>
      </c>
      <c r="AA259">
        <v>0.1177</v>
      </c>
    </row>
    <row r="260" spans="1:27" x14ac:dyDescent="0.2">
      <c r="A260" s="6" t="s">
        <v>49</v>
      </c>
      <c r="B260" s="35">
        <v>192</v>
      </c>
      <c r="C260" t="s">
        <v>20</v>
      </c>
      <c r="D260" t="s">
        <v>15</v>
      </c>
      <c r="E260" t="s">
        <v>42</v>
      </c>
      <c r="F260" s="4">
        <f t="shared" si="43"/>
        <v>221.65944873729421</v>
      </c>
      <c r="G260">
        <f t="shared" si="44"/>
        <v>-1.6285839664932147</v>
      </c>
      <c r="H260">
        <f t="shared" si="45"/>
        <v>10.356853999999995</v>
      </c>
      <c r="I260">
        <f t="shared" si="46"/>
        <v>8.7282700335067798</v>
      </c>
      <c r="K260" s="4">
        <f t="shared" si="55"/>
        <v>-0.10958224175592114</v>
      </c>
      <c r="L260" s="13" t="e">
        <f t="shared" si="56"/>
        <v>#VALUE!</v>
      </c>
      <c r="N260">
        <f t="shared" si="52"/>
        <v>14.565651979563107</v>
      </c>
      <c r="O260">
        <f t="shared" si="53"/>
        <v>111.8699673334135</v>
      </c>
      <c r="P260">
        <f t="shared" si="54"/>
        <v>60.347247688051553</v>
      </c>
      <c r="S260">
        <v>0.23148869416071105</v>
      </c>
      <c r="T260">
        <v>1.232906873370509E-2</v>
      </c>
      <c r="U260">
        <f t="shared" si="50"/>
        <v>0.10609999999999999</v>
      </c>
      <c r="W260">
        <v>2.4461562813282772E-3</v>
      </c>
      <c r="X260" s="4" t="e">
        <v>#VALUE!</v>
      </c>
      <c r="Y260">
        <v>0.10630000000000001</v>
      </c>
      <c r="Z260">
        <v>0.1065</v>
      </c>
      <c r="AA260">
        <v>0.1055</v>
      </c>
    </row>
    <row r="261" spans="1:27" x14ac:dyDescent="0.2">
      <c r="A261" s="6" t="s">
        <v>50</v>
      </c>
      <c r="B261" s="35">
        <v>192</v>
      </c>
      <c r="C261" t="s">
        <v>20</v>
      </c>
      <c r="D261" t="s">
        <v>15</v>
      </c>
      <c r="E261" t="s">
        <v>42</v>
      </c>
      <c r="F261" s="4">
        <f t="shared" si="43"/>
        <v>223.27805515078202</v>
      </c>
      <c r="G261">
        <f t="shared" si="44"/>
        <v>0.95884062983556562</v>
      </c>
      <c r="H261">
        <f t="shared" si="45"/>
        <v>10.731092</v>
      </c>
      <c r="I261">
        <f t="shared" si="46"/>
        <v>11.689932629835566</v>
      </c>
      <c r="K261" s="4">
        <f t="shared" si="55"/>
        <v>-0.10852712921346655</v>
      </c>
      <c r="L261" s="13" t="e">
        <f t="shared" si="56"/>
        <v>#VALUE!</v>
      </c>
      <c r="N261">
        <f t="shared" si="52"/>
        <v>21.116838857250283</v>
      </c>
      <c r="O261">
        <f t="shared" si="53"/>
        <v>93.747241450253028</v>
      </c>
      <c r="P261">
        <f t="shared" si="54"/>
        <v>58.670583767703775</v>
      </c>
      <c r="S261">
        <v>0.23277818393678967</v>
      </c>
      <c r="T261">
        <v>7.1032775883373395E-2</v>
      </c>
      <c r="U261">
        <f t="shared" si="50"/>
        <v>0.10780000000000001</v>
      </c>
      <c r="W261">
        <v>3.0303824953119914E-3</v>
      </c>
      <c r="X261" s="4" t="e">
        <v>#VALUE!</v>
      </c>
      <c r="Y261">
        <v>0.1076</v>
      </c>
      <c r="Z261">
        <v>0.1081</v>
      </c>
      <c r="AA261">
        <v>0.1077</v>
      </c>
    </row>
    <row r="262" spans="1:27" x14ac:dyDescent="0.2">
      <c r="A262" s="6" t="s">
        <v>51</v>
      </c>
      <c r="B262" s="35">
        <v>192</v>
      </c>
      <c r="C262" t="s">
        <v>20</v>
      </c>
      <c r="D262" t="s">
        <v>15</v>
      </c>
      <c r="E262" t="s">
        <v>42</v>
      </c>
      <c r="F262" s="4">
        <f t="shared" si="43"/>
        <v>220.21644497598251</v>
      </c>
      <c r="G262">
        <f t="shared" si="44"/>
        <v>1.0489160929640498</v>
      </c>
      <c r="H262">
        <f t="shared" si="45"/>
        <v>10.591670000000002</v>
      </c>
      <c r="I262">
        <f t="shared" si="46"/>
        <v>11.640586092964051</v>
      </c>
      <c r="K262" s="4">
        <f t="shared" si="55"/>
        <v>-0.10982403727915982</v>
      </c>
      <c r="L262" s="13" t="e">
        <f t="shared" si="56"/>
        <v>#VALUE!</v>
      </c>
      <c r="N262">
        <f t="shared" si="52"/>
        <v>12.41824789012608</v>
      </c>
      <c r="O262">
        <f t="shared" si="53"/>
        <v>93.372094512416226</v>
      </c>
      <c r="P262">
        <f t="shared" si="54"/>
        <v>59.068736830829117</v>
      </c>
      <c r="S262">
        <v>0.23033910116419942</v>
      </c>
      <c r="T262">
        <v>7.3076415576822984E-2</v>
      </c>
      <c r="U262">
        <f t="shared" si="50"/>
        <v>0.10716666666666667</v>
      </c>
      <c r="W262">
        <v>2.3122717169657744E-3</v>
      </c>
      <c r="X262" s="4" t="e">
        <v>#VALUE!</v>
      </c>
      <c r="Y262">
        <v>0.1072</v>
      </c>
      <c r="Z262">
        <v>0.10730000000000001</v>
      </c>
      <c r="AA262">
        <v>0.107</v>
      </c>
    </row>
    <row r="263" spans="1:27" x14ac:dyDescent="0.2">
      <c r="A263" s="46" t="s">
        <v>52</v>
      </c>
      <c r="B263" s="35">
        <v>192</v>
      </c>
      <c r="C263" t="s">
        <v>26</v>
      </c>
      <c r="D263" s="35" t="s">
        <v>15</v>
      </c>
      <c r="E263" s="35" t="s">
        <v>42</v>
      </c>
      <c r="F263" s="4">
        <f t="shared" si="43"/>
        <v>169.2968994173572</v>
      </c>
      <c r="G263">
        <f t="shared" si="44"/>
        <v>14.047185314872555</v>
      </c>
      <c r="H263">
        <f t="shared" si="45"/>
        <v>10.987921999999999</v>
      </c>
      <c r="I263">
        <f t="shared" si="46"/>
        <v>25.035107314872555</v>
      </c>
      <c r="K263" s="4">
        <f t="shared" si="55"/>
        <v>-0.1101101476836491</v>
      </c>
      <c r="L263" s="13">
        <f t="shared" si="56"/>
        <v>0.70179237281523277</v>
      </c>
      <c r="N263">
        <f t="shared" si="52"/>
        <v>-12.498159810659438</v>
      </c>
      <c r="O263">
        <f t="shared" si="53"/>
        <v>-2.3831956131674761</v>
      </c>
      <c r="P263">
        <f t="shared" si="54"/>
        <v>57.931110210783174</v>
      </c>
      <c r="S263">
        <v>0.18977319653582791</v>
      </c>
      <c r="T263">
        <v>0.36798224237391225</v>
      </c>
      <c r="U263">
        <f t="shared" si="50"/>
        <v>0.10896666666666667</v>
      </c>
      <c r="W263">
        <v>2.1538495660857688E-3</v>
      </c>
      <c r="X263">
        <v>0.10378989662029775</v>
      </c>
      <c r="Y263">
        <v>0.10920000000000001</v>
      </c>
      <c r="Z263">
        <v>0.1089</v>
      </c>
      <c r="AA263">
        <v>0.10879999999999999</v>
      </c>
    </row>
    <row r="264" spans="1:27" x14ac:dyDescent="0.2">
      <c r="A264" s="46" t="s">
        <v>53</v>
      </c>
      <c r="B264" s="35">
        <v>192</v>
      </c>
      <c r="C264" t="s">
        <v>26</v>
      </c>
      <c r="D264" s="35" t="s">
        <v>15</v>
      </c>
      <c r="E264" s="35" t="s">
        <v>42</v>
      </c>
      <c r="F264" s="4">
        <f t="shared" si="43"/>
        <v>171.34626828042977</v>
      </c>
      <c r="G264">
        <f t="shared" si="44"/>
        <v>14.403061895389616</v>
      </c>
      <c r="H264">
        <f t="shared" si="45"/>
        <v>14.561528000000001</v>
      </c>
      <c r="I264">
        <f t="shared" si="46"/>
        <v>28.964589895389615</v>
      </c>
      <c r="K264" s="4">
        <f t="shared" si="55"/>
        <v>-0.10990897808076662</v>
      </c>
      <c r="L264" s="13">
        <f t="shared" si="56"/>
        <v>0.74869464424411869</v>
      </c>
      <c r="N264">
        <f t="shared" si="52"/>
        <v>-7.0534793484414617</v>
      </c>
      <c r="O264">
        <f t="shared" si="53"/>
        <v>6.0752479540038129</v>
      </c>
      <c r="P264">
        <f t="shared" si="54"/>
        <v>43.918153745188661</v>
      </c>
      <c r="S264">
        <v>0.1914058603967424</v>
      </c>
      <c r="T264">
        <v>0.3760564002039572</v>
      </c>
      <c r="U264">
        <f t="shared" si="50"/>
        <v>0.12520000000000001</v>
      </c>
      <c r="W264">
        <v>2.2652391579365346E-3</v>
      </c>
      <c r="X264">
        <v>0.11116794781250884</v>
      </c>
      <c r="Y264">
        <v>0.1285</v>
      </c>
      <c r="Z264">
        <v>0.1241</v>
      </c>
      <c r="AA264">
        <v>0.123</v>
      </c>
    </row>
    <row r="265" spans="1:27" x14ac:dyDescent="0.2">
      <c r="A265" s="46" t="s">
        <v>54</v>
      </c>
      <c r="B265" s="35">
        <v>192</v>
      </c>
      <c r="C265" t="s">
        <v>26</v>
      </c>
      <c r="D265" s="35" t="s">
        <v>15</v>
      </c>
      <c r="E265" s="35" t="s">
        <v>42</v>
      </c>
      <c r="F265" s="4">
        <f t="shared" si="43"/>
        <v>168.07434283774663</v>
      </c>
      <c r="G265">
        <f t="shared" si="44"/>
        <v>14.451494536095431</v>
      </c>
      <c r="H265">
        <f t="shared" si="45"/>
        <v>12.066608</v>
      </c>
      <c r="I265">
        <f t="shared" si="46"/>
        <v>26.518102536095434</v>
      </c>
      <c r="K265" s="4">
        <f t="shared" si="55"/>
        <v>-0.11025779117922904</v>
      </c>
      <c r="L265" s="13">
        <f t="shared" si="56"/>
        <v>0.7594899665039947</v>
      </c>
      <c r="N265">
        <f t="shared" si="52"/>
        <v>-14.199763150456166</v>
      </c>
      <c r="O265">
        <f t="shared" si="53"/>
        <v>8.6836968351702044</v>
      </c>
      <c r="P265">
        <f t="shared" si="54"/>
        <v>53.368873123197503</v>
      </c>
      <c r="S265">
        <v>0.18879922646073816</v>
      </c>
      <c r="T265">
        <v>0.37715524403519901</v>
      </c>
      <c r="U265">
        <f t="shared" si="50"/>
        <v>0.11386666666666667</v>
      </c>
      <c r="W265">
        <v>2.0720979074036329E-3</v>
      </c>
      <c r="X265">
        <v>0.11286612655403411</v>
      </c>
      <c r="Y265">
        <v>0.1139</v>
      </c>
      <c r="Z265">
        <v>0.1137</v>
      </c>
      <c r="AA265">
        <v>0.114</v>
      </c>
    </row>
    <row r="266" spans="1:27" x14ac:dyDescent="0.2">
      <c r="A266" s="6" t="s">
        <v>56</v>
      </c>
      <c r="B266" s="35">
        <v>192</v>
      </c>
      <c r="C266" t="s">
        <v>19</v>
      </c>
      <c r="D266" t="s">
        <v>14</v>
      </c>
      <c r="E266" t="s">
        <v>69</v>
      </c>
      <c r="F266" s="4">
        <f t="shared" si="43"/>
        <v>172.90326130579578</v>
      </c>
      <c r="G266">
        <f t="shared" si="44"/>
        <v>14.409598599723154</v>
      </c>
      <c r="H266">
        <f t="shared" si="45"/>
        <v>25.950104000000003</v>
      </c>
      <c r="I266">
        <f t="shared" si="46"/>
        <v>40.359702599723157</v>
      </c>
      <c r="K266" s="4">
        <f t="shared" si="55"/>
        <v>-0.1095656555661219</v>
      </c>
      <c r="L266" s="13">
        <f t="shared" si="56"/>
        <v>0.64109504616390645</v>
      </c>
      <c r="N266">
        <f t="shared" si="52"/>
        <v>-10.634195953594681</v>
      </c>
      <c r="O266">
        <f t="shared" si="53"/>
        <v>-5.0246522042173707</v>
      </c>
      <c r="P266">
        <f t="shared" si="54"/>
        <v>0.646176302060125</v>
      </c>
      <c r="Q266">
        <f>L50-L266</f>
        <v>0.22261894190596043</v>
      </c>
      <c r="S266">
        <v>0.19264626484028397</v>
      </c>
      <c r="T266">
        <v>0.37620470550238577</v>
      </c>
      <c r="U266">
        <f t="shared" si="50"/>
        <v>0.17693333333333336</v>
      </c>
      <c r="W266">
        <v>2.4553402180941845E-3</v>
      </c>
      <c r="X266">
        <v>9.4241787976074645E-2</v>
      </c>
      <c r="Y266">
        <v>0.18740000000000001</v>
      </c>
      <c r="Z266">
        <v>0.1701</v>
      </c>
      <c r="AA266">
        <v>0.17330000000000001</v>
      </c>
    </row>
    <row r="267" spans="1:27" x14ac:dyDescent="0.2">
      <c r="A267" s="6" t="s">
        <v>57</v>
      </c>
      <c r="B267" s="35">
        <v>192</v>
      </c>
      <c r="C267" t="s">
        <v>19</v>
      </c>
      <c r="D267" t="s">
        <v>14</v>
      </c>
      <c r="E267" t="s">
        <v>69</v>
      </c>
      <c r="F267" s="4">
        <f t="shared" si="43"/>
        <v>171.60128922679559</v>
      </c>
      <c r="G267">
        <f t="shared" si="44"/>
        <v>14.880285027119664</v>
      </c>
      <c r="H267">
        <f t="shared" si="45"/>
        <v>21.371192000000001</v>
      </c>
      <c r="I267">
        <f t="shared" si="46"/>
        <v>36.251477027119662</v>
      </c>
      <c r="K267" s="4">
        <f t="shared" si="55"/>
        <v>-9.9431496596956548E-2</v>
      </c>
      <c r="L267" s="13">
        <f t="shared" si="56"/>
        <v>0.69562216403971477</v>
      </c>
      <c r="N267">
        <f t="shared" si="52"/>
        <v>-6.9151436268885593</v>
      </c>
      <c r="O267">
        <f t="shared" si="53"/>
        <v>2.9631968745936592</v>
      </c>
      <c r="P267">
        <f t="shared" si="54"/>
        <v>17.69161148293956</v>
      </c>
      <c r="Q267">
        <f t="shared" ref="Q267:Q289" si="57">L51-L267</f>
        <v>0.1732600152425956</v>
      </c>
      <c r="S267">
        <v>0.19160902708401384</v>
      </c>
      <c r="T267">
        <v>0.38688367880750663</v>
      </c>
      <c r="U267">
        <f t="shared" si="50"/>
        <v>0.15613333333333335</v>
      </c>
      <c r="W267">
        <v>8.0667239219509666E-3</v>
      </c>
      <c r="X267">
        <v>0.10281928016984659</v>
      </c>
      <c r="Y267">
        <v>0.156</v>
      </c>
      <c r="Z267">
        <v>0.15629999999999999</v>
      </c>
      <c r="AA267">
        <v>0.15609999999999999</v>
      </c>
    </row>
    <row r="268" spans="1:27" x14ac:dyDescent="0.2">
      <c r="A268" s="6" t="s">
        <v>58</v>
      </c>
      <c r="B268" s="35">
        <v>192</v>
      </c>
      <c r="C268" t="s">
        <v>19</v>
      </c>
      <c r="D268" t="s">
        <v>14</v>
      </c>
      <c r="E268" t="s">
        <v>69</v>
      </c>
      <c r="F268" s="4">
        <f t="shared" si="43"/>
        <v>169.91477621037674</v>
      </c>
      <c r="G268">
        <f t="shared" si="44"/>
        <v>14.800731400049248</v>
      </c>
      <c r="H268">
        <f t="shared" si="45"/>
        <v>23.719351999999994</v>
      </c>
      <c r="I268">
        <f t="shared" si="46"/>
        <v>38.520083400049245</v>
      </c>
      <c r="K268" s="4">
        <f t="shared" si="55"/>
        <v>-0.10537352473752869</v>
      </c>
      <c r="L268" s="13">
        <f t="shared" si="56"/>
        <v>0.69155878226491885</v>
      </c>
      <c r="N268">
        <f t="shared" si="52"/>
        <v>-13.260240695027562</v>
      </c>
      <c r="O268">
        <f t="shared" si="53"/>
        <v>6.4769341183116085</v>
      </c>
      <c r="P268">
        <f t="shared" si="54"/>
        <v>8.3371140798193881</v>
      </c>
      <c r="Q268">
        <f t="shared" si="57"/>
        <v>0.17473930141116967</v>
      </c>
      <c r="S268">
        <v>0.19026543838093349</v>
      </c>
      <c r="T268">
        <v>0.3850787594166723</v>
      </c>
      <c r="U268">
        <f t="shared" si="50"/>
        <v>0.16679999999999998</v>
      </c>
      <c r="W268">
        <v>4.7765643756762528E-3</v>
      </c>
      <c r="X268">
        <v>0.10218008215587839</v>
      </c>
      <c r="Y268">
        <v>0.1668</v>
      </c>
      <c r="Z268">
        <v>0.16700000000000001</v>
      </c>
      <c r="AA268">
        <v>0.1666</v>
      </c>
    </row>
    <row r="269" spans="1:27" x14ac:dyDescent="0.2">
      <c r="A269" s="6" t="s">
        <v>59</v>
      </c>
      <c r="B269" s="35">
        <v>192</v>
      </c>
      <c r="C269" t="s">
        <v>21</v>
      </c>
      <c r="D269" t="s">
        <v>14</v>
      </c>
      <c r="E269" t="s">
        <v>69</v>
      </c>
      <c r="F269" s="4">
        <f t="shared" si="43"/>
        <v>167.53760218633923</v>
      </c>
      <c r="G269">
        <f t="shared" si="44"/>
        <v>14.672861122846943</v>
      </c>
      <c r="H269">
        <f t="shared" si="45"/>
        <v>20.219126000000003</v>
      </c>
      <c r="I269">
        <f t="shared" si="46"/>
        <v>34.891987122846942</v>
      </c>
      <c r="K269" s="4">
        <f t="shared" si="55"/>
        <v>-0.10089946893469912</v>
      </c>
      <c r="L269" s="13">
        <f t="shared" si="56"/>
        <v>0.78289948844114199</v>
      </c>
      <c r="N269">
        <f t="shared" si="52"/>
        <v>-13.40746025079674</v>
      </c>
      <c r="O269">
        <f t="shared" si="53"/>
        <v>-6.9434464536291385</v>
      </c>
      <c r="P269">
        <f t="shared" si="54"/>
        <v>22.588075950276256</v>
      </c>
      <c r="Q269">
        <f t="shared" si="57"/>
        <v>8.081449962872489E-2</v>
      </c>
      <c r="S269">
        <v>0.18837162307511693</v>
      </c>
      <c r="T269">
        <v>0.38217762779850578</v>
      </c>
      <c r="U269">
        <f t="shared" si="50"/>
        <v>0.15090000000000001</v>
      </c>
      <c r="W269">
        <v>7.2538931701555259E-3</v>
      </c>
      <c r="X269">
        <v>0.11654860601559572</v>
      </c>
      <c r="Y269">
        <v>0.15029999999999999</v>
      </c>
      <c r="Z269">
        <v>0.15110000000000001</v>
      </c>
      <c r="AA269">
        <v>0.15129999999999999</v>
      </c>
    </row>
    <row r="270" spans="1:27" x14ac:dyDescent="0.2">
      <c r="A270" s="6" t="s">
        <v>60</v>
      </c>
      <c r="B270" s="35">
        <v>192</v>
      </c>
      <c r="C270" t="s">
        <v>21</v>
      </c>
      <c r="D270" t="s">
        <v>14</v>
      </c>
      <c r="E270" t="s">
        <v>69</v>
      </c>
      <c r="F270" s="4">
        <f t="shared" si="43"/>
        <v>173.53226712861036</v>
      </c>
      <c r="G270">
        <f t="shared" si="44"/>
        <v>14.878136819763576</v>
      </c>
      <c r="H270">
        <f t="shared" si="45"/>
        <v>23.770718000000002</v>
      </c>
      <c r="I270">
        <f t="shared" si="46"/>
        <v>38.648854819763578</v>
      </c>
      <c r="K270" s="4">
        <f t="shared" si="55"/>
        <v>-0.10945509656736535</v>
      </c>
      <c r="L270" s="13">
        <f t="shared" si="56"/>
        <v>0.80538886708757862</v>
      </c>
      <c r="N270">
        <f t="shared" si="52"/>
        <v>-5.8676876231488571</v>
      </c>
      <c r="O270">
        <f t="shared" si="53"/>
        <v>2.9772056905474757</v>
      </c>
      <c r="P270">
        <f t="shared" si="54"/>
        <v>8.4501466987203138</v>
      </c>
      <c r="Q270">
        <f t="shared" si="57"/>
        <v>6.3493312194731755E-2</v>
      </c>
      <c r="S270">
        <v>0.19314737281245961</v>
      </c>
      <c r="T270">
        <v>0.3868349400980936</v>
      </c>
      <c r="U270">
        <f t="shared" si="50"/>
        <v>0.16703333333333334</v>
      </c>
      <c r="W270">
        <v>2.516557825379101E-3</v>
      </c>
      <c r="X270">
        <v>0.12008634058322773</v>
      </c>
      <c r="Y270">
        <v>0.1671</v>
      </c>
      <c r="Z270">
        <v>0.16750000000000001</v>
      </c>
      <c r="AA270">
        <v>0.16650000000000001</v>
      </c>
    </row>
    <row r="271" spans="1:27" x14ac:dyDescent="0.2">
      <c r="A271" s="6" t="s">
        <v>61</v>
      </c>
      <c r="B271" s="35">
        <v>192</v>
      </c>
      <c r="C271" t="s">
        <v>21</v>
      </c>
      <c r="D271" t="s">
        <v>14</v>
      </c>
      <c r="E271" t="s">
        <v>69</v>
      </c>
      <c r="F271" s="4">
        <f t="shared" si="43"/>
        <v>169.31955255147122</v>
      </c>
      <c r="G271">
        <f t="shared" si="44"/>
        <v>14.667920950499854</v>
      </c>
      <c r="H271">
        <f t="shared" si="45"/>
        <v>24.078914000000005</v>
      </c>
      <c r="I271">
        <f t="shared" si="46"/>
        <v>38.74683495049986</v>
      </c>
      <c r="K271" s="4">
        <f t="shared" si="55"/>
        <v>-0.10401529899210146</v>
      </c>
      <c r="L271" s="13">
        <f t="shared" si="56"/>
        <v>0.73847361441501069</v>
      </c>
      <c r="N271">
        <f t="shared" si="52"/>
        <v>-13.564096298746014</v>
      </c>
      <c r="O271">
        <f t="shared" si="53"/>
        <v>7.3161386202555674</v>
      </c>
      <c r="P271">
        <f t="shared" si="54"/>
        <v>6.9475950665161159</v>
      </c>
      <c r="Q271">
        <f t="shared" si="57"/>
        <v>0.12782446926107782</v>
      </c>
      <c r="S271">
        <v>0.18979124353267207</v>
      </c>
      <c r="T271">
        <v>0.3820655447522428</v>
      </c>
      <c r="U271">
        <f t="shared" si="50"/>
        <v>0.16843333333333335</v>
      </c>
      <c r="W271">
        <v>5.5286273576403821E-3</v>
      </c>
      <c r="X271">
        <v>0.10956010923627665</v>
      </c>
      <c r="Y271">
        <v>0.16850000000000001</v>
      </c>
      <c r="Z271">
        <v>0.16850000000000001</v>
      </c>
      <c r="AA271">
        <v>0.16830000000000001</v>
      </c>
    </row>
    <row r="272" spans="1:27" x14ac:dyDescent="0.2">
      <c r="A272" s="6" t="s">
        <v>62</v>
      </c>
      <c r="B272" s="35">
        <v>192</v>
      </c>
      <c r="C272" t="s">
        <v>20</v>
      </c>
      <c r="D272" t="s">
        <v>14</v>
      </c>
      <c r="E272" t="s">
        <v>69</v>
      </c>
      <c r="F272" s="4">
        <f t="shared" si="43"/>
        <v>167.2354816114883</v>
      </c>
      <c r="G272">
        <f t="shared" si="44"/>
        <v>14.435277305246832</v>
      </c>
      <c r="H272">
        <f t="shared" si="45"/>
        <v>22.589299999999994</v>
      </c>
      <c r="I272">
        <f t="shared" si="46"/>
        <v>37.024577305246822</v>
      </c>
      <c r="K272" s="4">
        <f t="shared" si="55"/>
        <v>-0.10728659840920929</v>
      </c>
      <c r="L272" s="13">
        <f t="shared" si="56"/>
        <v>0.64984464195273939</v>
      </c>
      <c r="N272">
        <f t="shared" si="52"/>
        <v>-13.563612586424261</v>
      </c>
      <c r="O272">
        <f t="shared" si="53"/>
        <v>-5.2118119712306292</v>
      </c>
      <c r="P272">
        <f t="shared" si="54"/>
        <v>13.513513099605598</v>
      </c>
      <c r="Q272">
        <f t="shared" si="57"/>
        <v>0.21386934611712749</v>
      </c>
      <c r="S272">
        <v>0.18813093368381903</v>
      </c>
      <c r="T272">
        <v>0.37678730613592049</v>
      </c>
      <c r="U272">
        <f t="shared" si="50"/>
        <v>0.16166666666666665</v>
      </c>
      <c r="W272">
        <v>3.717276628344804E-3</v>
      </c>
      <c r="X272">
        <v>9.5618159816381859E-2</v>
      </c>
      <c r="Y272">
        <v>0.16200000000000001</v>
      </c>
      <c r="Z272">
        <v>0.1618</v>
      </c>
      <c r="AA272">
        <v>0.16120000000000001</v>
      </c>
    </row>
    <row r="273" spans="1:27" x14ac:dyDescent="0.2">
      <c r="A273" s="6" t="s">
        <v>63</v>
      </c>
      <c r="B273" s="35">
        <v>192</v>
      </c>
      <c r="C273" t="s">
        <v>20</v>
      </c>
      <c r="D273" t="s">
        <v>14</v>
      </c>
      <c r="E273" t="s">
        <v>69</v>
      </c>
      <c r="F273" s="4">
        <f t="shared" si="43"/>
        <v>163.9366885726437</v>
      </c>
      <c r="G273">
        <f t="shared" si="44"/>
        <v>14.36551325211402</v>
      </c>
      <c r="H273">
        <f t="shared" si="45"/>
        <v>23.506549999999997</v>
      </c>
      <c r="I273">
        <f t="shared" si="46"/>
        <v>37.872063252114017</v>
      </c>
      <c r="K273" s="4">
        <f t="shared" si="55"/>
        <v>-0.10686117038393764</v>
      </c>
      <c r="L273" s="13">
        <f t="shared" si="56"/>
        <v>0.67425065763840664</v>
      </c>
      <c r="N273">
        <f t="shared" si="52"/>
        <v>-11.072794506224595</v>
      </c>
      <c r="O273">
        <f t="shared" si="53"/>
        <v>6.3201088755869366</v>
      </c>
      <c r="P273">
        <f t="shared" si="54"/>
        <v>9.467555665790341</v>
      </c>
      <c r="Q273">
        <f t="shared" si="57"/>
        <v>0.19463152164390374</v>
      </c>
      <c r="S273">
        <v>0.1855028952295395</v>
      </c>
      <c r="T273">
        <v>0.37520449342304246</v>
      </c>
      <c r="U273">
        <f t="shared" si="50"/>
        <v>0.16583333333333333</v>
      </c>
      <c r="W273">
        <v>3.9528403189714144E-3</v>
      </c>
      <c r="X273">
        <v>9.9457394626145446E-2</v>
      </c>
      <c r="Y273">
        <v>0.16550000000000001</v>
      </c>
      <c r="Z273">
        <v>0.16569999999999999</v>
      </c>
      <c r="AA273">
        <v>0.1663</v>
      </c>
    </row>
    <row r="274" spans="1:27" x14ac:dyDescent="0.2">
      <c r="A274" s="6" t="s">
        <v>64</v>
      </c>
      <c r="B274" s="35">
        <v>192</v>
      </c>
      <c r="C274" t="s">
        <v>20</v>
      </c>
      <c r="D274" t="s">
        <v>14</v>
      </c>
      <c r="E274" t="s">
        <v>69</v>
      </c>
      <c r="F274" s="4">
        <f t="shared" si="43"/>
        <v>166.78183196184511</v>
      </c>
      <c r="G274">
        <f t="shared" si="44"/>
        <v>14.567518123811855</v>
      </c>
      <c r="H274">
        <f t="shared" si="45"/>
        <v>22.251751999999996</v>
      </c>
      <c r="I274">
        <f t="shared" si="46"/>
        <v>36.819270123811847</v>
      </c>
      <c r="K274" s="4">
        <f t="shared" si="55"/>
        <v>-0.10775217360946537</v>
      </c>
      <c r="L274" s="13">
        <f t="shared" si="56"/>
        <v>0.64141000009348237</v>
      </c>
      <c r="N274">
        <f t="shared" si="52"/>
        <v>-14.859576762757587</v>
      </c>
      <c r="O274">
        <f t="shared" si="53"/>
        <v>7.9505653875042608</v>
      </c>
      <c r="P274">
        <f t="shared" si="54"/>
        <v>14.008620256567253</v>
      </c>
      <c r="Q274">
        <f t="shared" si="57"/>
        <v>0.22488808358260615</v>
      </c>
      <c r="S274">
        <v>0.18776952612960329</v>
      </c>
      <c r="T274">
        <v>0.37978759696460335</v>
      </c>
      <c r="U274">
        <f t="shared" si="50"/>
        <v>0.16013333333333332</v>
      </c>
      <c r="W274">
        <v>3.4594830512373383E-3</v>
      </c>
      <c r="X274">
        <v>9.429133240419732E-2</v>
      </c>
      <c r="Y274">
        <v>0.15989999999999999</v>
      </c>
      <c r="Z274">
        <v>0.15989999999999999</v>
      </c>
      <c r="AA274">
        <v>0.16059999999999999</v>
      </c>
    </row>
    <row r="275" spans="1:27" x14ac:dyDescent="0.2">
      <c r="A275" s="41" t="s">
        <v>65</v>
      </c>
      <c r="B275" s="35">
        <v>192</v>
      </c>
      <c r="C275" t="s">
        <v>26</v>
      </c>
      <c r="D275" s="14" t="s">
        <v>14</v>
      </c>
      <c r="E275" s="14" t="s">
        <v>69</v>
      </c>
      <c r="F275" s="4">
        <f t="shared" ref="F275:F289" si="58">30*(S275-0.0549)/0.0239</f>
        <v>231.01548833838928</v>
      </c>
      <c r="G275">
        <f t="shared" ref="G275:G289" si="59">(1.4692*T275-0.0724)*30</f>
        <v>7.7835077215895581</v>
      </c>
      <c r="H275">
        <f t="shared" ref="H275:H289" si="60">(11.007*U275-0.65)*20</f>
        <v>23.785394000000004</v>
      </c>
      <c r="I275">
        <f t="shared" ref="I275:I289" si="61">G275+H275</f>
        <v>31.568901721589562</v>
      </c>
      <c r="K275" s="4">
        <f t="shared" si="55"/>
        <v>-0.10817896263795665</v>
      </c>
      <c r="L275" s="31">
        <v>0.7</v>
      </c>
      <c r="N275">
        <f t="shared" si="52"/>
        <v>19.40136181711863</v>
      </c>
      <c r="O275">
        <f t="shared" si="53"/>
        <v>43.269745806486988</v>
      </c>
      <c r="P275">
        <f t="shared" si="54"/>
        <v>8.9340897415271634</v>
      </c>
      <c r="Q275">
        <f t="shared" si="57"/>
        <v>0.16371398806986692</v>
      </c>
      <c r="S275">
        <v>0.23894233904291678</v>
      </c>
      <c r="T275">
        <v>0.22587139762205188</v>
      </c>
      <c r="U275">
        <f t="shared" ref="U275:U289" si="62">AVERAGE(Y275:AA275)</f>
        <v>0.16710000000000003</v>
      </c>
      <c r="W275">
        <v>3.2231657597139303E-3</v>
      </c>
      <c r="X275" t="e">
        <v>#VALUE!</v>
      </c>
      <c r="Y275">
        <v>0.1666</v>
      </c>
      <c r="Z275">
        <v>0.1668</v>
      </c>
      <c r="AA275">
        <v>0.16789999999999999</v>
      </c>
    </row>
    <row r="276" spans="1:27" x14ac:dyDescent="0.2">
      <c r="A276" s="41" t="s">
        <v>66</v>
      </c>
      <c r="B276" s="35">
        <v>192</v>
      </c>
      <c r="C276" t="s">
        <v>26</v>
      </c>
      <c r="D276" s="14" t="s">
        <v>14</v>
      </c>
      <c r="E276" s="14" t="s">
        <v>69</v>
      </c>
      <c r="F276" s="4">
        <f t="shared" si="58"/>
        <v>233.55656262089846</v>
      </c>
      <c r="G276">
        <f t="shared" si="59"/>
        <v>0.65639190586751728</v>
      </c>
      <c r="H276">
        <f t="shared" si="60"/>
        <v>23.308423999999999</v>
      </c>
      <c r="I276">
        <f t="shared" si="61"/>
        <v>23.964815905867518</v>
      </c>
      <c r="K276" s="4">
        <f t="shared" si="55"/>
        <v>-0.10949739483449887</v>
      </c>
      <c r="L276" s="31">
        <v>0.7</v>
      </c>
      <c r="N276">
        <f t="shared" si="52"/>
        <v>26.692399483261838</v>
      </c>
      <c r="O276">
        <f t="shared" si="53"/>
        <v>95.719559670618381</v>
      </c>
      <c r="P276">
        <f t="shared" si="54"/>
        <v>10.230612391092841</v>
      </c>
      <c r="Q276">
        <f t="shared" si="57"/>
        <v>0.16888217928231042</v>
      </c>
      <c r="S276">
        <v>0.24096672822131579</v>
      </c>
      <c r="T276">
        <v>6.4170793762308678E-2</v>
      </c>
      <c r="U276">
        <f t="shared" si="62"/>
        <v>0.16493333333333335</v>
      </c>
      <c r="W276">
        <v>2.4931368579740481E-3</v>
      </c>
      <c r="X276" t="e">
        <v>#VALUE!</v>
      </c>
      <c r="Y276">
        <v>0.16439999999999999</v>
      </c>
      <c r="Z276">
        <v>0.16520000000000001</v>
      </c>
      <c r="AA276">
        <v>0.16520000000000001</v>
      </c>
    </row>
    <row r="277" spans="1:27" x14ac:dyDescent="0.2">
      <c r="A277" s="41" t="s">
        <v>67</v>
      </c>
      <c r="B277" s="35">
        <v>192</v>
      </c>
      <c r="C277" t="s">
        <v>26</v>
      </c>
      <c r="D277" s="14" t="s">
        <v>14</v>
      </c>
      <c r="E277" s="14" t="s">
        <v>69</v>
      </c>
      <c r="F277" s="4">
        <f t="shared" si="58"/>
        <v>228.74695965095117</v>
      </c>
      <c r="G277">
        <f t="shared" si="59"/>
        <v>7.6170822618178331</v>
      </c>
      <c r="H277">
        <f t="shared" si="60"/>
        <v>22.317793999999999</v>
      </c>
      <c r="I277">
        <f t="shared" si="61"/>
        <v>29.934876261817834</v>
      </c>
      <c r="K277" s="4">
        <f t="shared" si="55"/>
        <v>-0.10937869534191513</v>
      </c>
      <c r="L277" s="31">
        <v>0.7</v>
      </c>
      <c r="N277">
        <f t="shared" si="52"/>
        <v>16.772988579294751</v>
      </c>
      <c r="O277">
        <f t="shared" si="53"/>
        <v>51.869075456915667</v>
      </c>
      <c r="P277">
        <f t="shared" si="54"/>
        <v>13.753402478613589</v>
      </c>
      <c r="Q277">
        <f t="shared" si="57"/>
        <v>0.16629808367608856</v>
      </c>
      <c r="S277">
        <v>0.23713507785525778</v>
      </c>
      <c r="T277">
        <v>0.22209552277470354</v>
      </c>
      <c r="U277">
        <f t="shared" si="62"/>
        <v>0.16043333333333332</v>
      </c>
      <c r="W277">
        <v>2.5588619369240674E-3</v>
      </c>
      <c r="X277" t="e">
        <v>#VALUE!</v>
      </c>
      <c r="Y277">
        <v>0.16020000000000001</v>
      </c>
      <c r="Z277">
        <v>0.16059999999999999</v>
      </c>
      <c r="AA277">
        <v>0.1605</v>
      </c>
    </row>
    <row r="278" spans="1:27" x14ac:dyDescent="0.2">
      <c r="A278" s="6" t="s">
        <v>68</v>
      </c>
      <c r="B278" s="35">
        <v>192</v>
      </c>
      <c r="C278" t="s">
        <v>19</v>
      </c>
      <c r="D278" t="s">
        <v>15</v>
      </c>
      <c r="E278" t="s">
        <v>69</v>
      </c>
      <c r="F278" s="4">
        <f t="shared" si="58"/>
        <v>164.66327594654373</v>
      </c>
      <c r="G278">
        <f t="shared" si="59"/>
        <v>14.549378380274103</v>
      </c>
      <c r="H278">
        <f t="shared" si="60"/>
        <v>18.113119999999995</v>
      </c>
      <c r="I278">
        <f t="shared" si="61"/>
        <v>32.662498380274101</v>
      </c>
      <c r="K278" s="4">
        <f t="shared" si="55"/>
        <v>-0.11047914954303241</v>
      </c>
      <c r="L278" s="13">
        <f t="shared" si="56"/>
        <v>0.6902608441208784</v>
      </c>
      <c r="N278">
        <f t="shared" si="52"/>
        <v>-14.893068292953405</v>
      </c>
      <c r="O278">
        <f t="shared" si="53"/>
        <v>-6.043439975156895</v>
      </c>
      <c r="P278">
        <f t="shared" si="54"/>
        <v>30.651232415113711</v>
      </c>
      <c r="Q278">
        <f t="shared" si="57"/>
        <v>0.17345314394898848</v>
      </c>
      <c r="S278">
        <v>0.18608174317074652</v>
      </c>
      <c r="T278">
        <v>0.3793760409355228</v>
      </c>
      <c r="U278">
        <f t="shared" si="62"/>
        <v>0.14133333333333331</v>
      </c>
      <c r="W278">
        <v>1.9495295996498256E-3</v>
      </c>
      <c r="X278">
        <v>0.10197590752255442</v>
      </c>
      <c r="Y278">
        <v>0.14099999999999999</v>
      </c>
      <c r="Z278">
        <v>0.14149999999999999</v>
      </c>
      <c r="AA278">
        <v>0.14149999999999999</v>
      </c>
    </row>
    <row r="279" spans="1:27" x14ac:dyDescent="0.2">
      <c r="A279" s="6" t="s">
        <v>57</v>
      </c>
      <c r="B279" s="35">
        <v>192</v>
      </c>
      <c r="C279" t="s">
        <v>19</v>
      </c>
      <c r="D279" t="s">
        <v>15</v>
      </c>
      <c r="E279" t="s">
        <v>69</v>
      </c>
      <c r="F279" s="4">
        <f t="shared" si="58"/>
        <v>164.66327594654373</v>
      </c>
      <c r="G279">
        <f t="shared" si="59"/>
        <v>14.549378380274103</v>
      </c>
      <c r="H279">
        <f t="shared" si="60"/>
        <v>19.206482000000001</v>
      </c>
      <c r="I279">
        <f t="shared" si="61"/>
        <v>33.7558603802741</v>
      </c>
      <c r="K279" s="4">
        <f t="shared" si="55"/>
        <v>-0.11047914954303241</v>
      </c>
      <c r="L279" s="13">
        <f t="shared" si="56"/>
        <v>0.6902608441208784</v>
      </c>
      <c r="N279">
        <f t="shared" si="52"/>
        <v>-10.678658298701047</v>
      </c>
      <c r="O279">
        <f t="shared" si="53"/>
        <v>5.1210939232267734</v>
      </c>
      <c r="P279">
        <f t="shared" si="54"/>
        <v>26.028712740874347</v>
      </c>
      <c r="Q279">
        <f t="shared" si="57"/>
        <v>0.17862133516143197</v>
      </c>
      <c r="S279">
        <v>0.18608174317074652</v>
      </c>
      <c r="T279">
        <v>0.3793760409355228</v>
      </c>
      <c r="U279">
        <f t="shared" si="62"/>
        <v>0.14630000000000001</v>
      </c>
      <c r="W279">
        <v>1.9495295996498256E-3</v>
      </c>
      <c r="X279">
        <v>0.10197590752255442</v>
      </c>
      <c r="Y279">
        <v>0.14660000000000001</v>
      </c>
      <c r="Z279">
        <v>0.14649999999999999</v>
      </c>
      <c r="AA279">
        <v>0.14580000000000001</v>
      </c>
    </row>
    <row r="280" spans="1:27" x14ac:dyDescent="0.2">
      <c r="A280" s="6" t="s">
        <v>58</v>
      </c>
      <c r="B280" s="35">
        <v>192</v>
      </c>
      <c r="C280" t="s">
        <v>19</v>
      </c>
      <c r="D280" t="s">
        <v>15</v>
      </c>
      <c r="E280" t="s">
        <v>69</v>
      </c>
      <c r="F280" s="4">
        <f t="shared" si="58"/>
        <v>167.39140831038341</v>
      </c>
      <c r="G280">
        <f t="shared" si="59"/>
        <v>15.055134389240706</v>
      </c>
      <c r="H280">
        <f t="shared" si="60"/>
        <v>23.014903999999994</v>
      </c>
      <c r="I280">
        <f t="shared" si="61"/>
        <v>38.0700383892407</v>
      </c>
      <c r="K280" s="4">
        <f t="shared" si="55"/>
        <v>-0.10873518793773045</v>
      </c>
      <c r="L280" s="13">
        <f t="shared" si="56"/>
        <v>0.65930434317174091</v>
      </c>
      <c r="N280">
        <f t="shared" si="52"/>
        <v>-14.548394257448274</v>
      </c>
      <c r="O280">
        <f t="shared" si="53"/>
        <v>4.869408998399491</v>
      </c>
      <c r="P280">
        <f t="shared" si="54"/>
        <v>11.059437044658365</v>
      </c>
      <c r="Q280">
        <f t="shared" si="57"/>
        <v>0.2069937405043476</v>
      </c>
      <c r="S280">
        <v>0.18825515528727213</v>
      </c>
      <c r="T280">
        <v>0.39085067586080197</v>
      </c>
      <c r="U280">
        <f t="shared" si="62"/>
        <v>0.1636</v>
      </c>
      <c r="W280">
        <v>2.9151783290529108E-3</v>
      </c>
      <c r="X280">
        <v>9.7106236144681612E-2</v>
      </c>
      <c r="Y280">
        <v>0.16300000000000001</v>
      </c>
      <c r="Z280">
        <v>0.16350000000000001</v>
      </c>
      <c r="AA280">
        <v>0.1643</v>
      </c>
    </row>
    <row r="281" spans="1:27" x14ac:dyDescent="0.2">
      <c r="A281" s="6" t="s">
        <v>59</v>
      </c>
      <c r="B281" s="35">
        <v>192</v>
      </c>
      <c r="C281" t="s">
        <v>21</v>
      </c>
      <c r="D281" t="s">
        <v>15</v>
      </c>
      <c r="E281" t="s">
        <v>69</v>
      </c>
      <c r="F281" s="4">
        <f t="shared" si="58"/>
        <v>170.2499611997159</v>
      </c>
      <c r="G281">
        <f t="shared" si="59"/>
        <v>15.920226531017562</v>
      </c>
      <c r="H281">
        <f t="shared" si="60"/>
        <v>18.736849999999997</v>
      </c>
      <c r="I281">
        <f t="shared" si="61"/>
        <v>34.657076531017559</v>
      </c>
      <c r="K281" s="4">
        <f t="shared" si="55"/>
        <v>-0.10232435642182047</v>
      </c>
      <c r="L281" s="13">
        <f t="shared" si="56"/>
        <v>0.67252284298470022</v>
      </c>
      <c r="N281">
        <f t="shared" si="52"/>
        <v>-12.00556567540046</v>
      </c>
      <c r="O281">
        <f t="shared" si="53"/>
        <v>-16.03489457815968</v>
      </c>
      <c r="P281">
        <f t="shared" si="54"/>
        <v>28.26318955967405</v>
      </c>
      <c r="Q281">
        <f t="shared" si="57"/>
        <v>0.19119114508516666</v>
      </c>
      <c r="S281">
        <v>0.19053246908910701</v>
      </c>
      <c r="T281">
        <v>0.41047795922991109</v>
      </c>
      <c r="U281">
        <f t="shared" si="62"/>
        <v>0.14416666666666667</v>
      </c>
      <c r="W281">
        <v>6.4649189247948666E-3</v>
      </c>
      <c r="X281">
        <v>9.9185597449221369E-2</v>
      </c>
      <c r="Y281">
        <v>0.14419999999999999</v>
      </c>
      <c r="Z281">
        <v>0.1439</v>
      </c>
      <c r="AA281">
        <v>0.1444</v>
      </c>
    </row>
    <row r="282" spans="1:27" x14ac:dyDescent="0.2">
      <c r="A282" s="6" t="s">
        <v>60</v>
      </c>
      <c r="B282" s="35">
        <v>192</v>
      </c>
      <c r="C282" t="s">
        <v>21</v>
      </c>
      <c r="D282" t="s">
        <v>15</v>
      </c>
      <c r="E282" t="s">
        <v>69</v>
      </c>
      <c r="F282" s="4">
        <f t="shared" si="58"/>
        <v>167.48407411003097</v>
      </c>
      <c r="G282">
        <f t="shared" si="59"/>
        <v>15.783669163595139</v>
      </c>
      <c r="H282">
        <f t="shared" si="60"/>
        <v>20.534659999999995</v>
      </c>
      <c r="I282">
        <f t="shared" si="61"/>
        <v>36.318329163595138</v>
      </c>
      <c r="K282" s="4">
        <f t="shared" si="55"/>
        <v>-9.862299087850368E-2</v>
      </c>
      <c r="L282" s="13">
        <f t="shared" si="56"/>
        <v>0.7041149628012402</v>
      </c>
      <c r="N282">
        <f t="shared" si="52"/>
        <v>-9.1485206576095646</v>
      </c>
      <c r="O282">
        <f t="shared" si="53"/>
        <v>-2.9279206972822012</v>
      </c>
      <c r="P282">
        <f t="shared" si="54"/>
        <v>20.913406545327938</v>
      </c>
      <c r="Q282">
        <f t="shared" si="57"/>
        <v>0.16476721648107018</v>
      </c>
      <c r="S282">
        <v>0.18832897904099136</v>
      </c>
      <c r="T282">
        <v>0.40737973417721979</v>
      </c>
      <c r="U282">
        <f t="shared" si="62"/>
        <v>0.15233333333333332</v>
      </c>
      <c r="W282">
        <v>8.5144015069193342E-3</v>
      </c>
      <c r="X282">
        <v>0.10415525606437631</v>
      </c>
      <c r="Y282">
        <v>0.15179999999999999</v>
      </c>
      <c r="Z282">
        <v>0.1527</v>
      </c>
      <c r="AA282">
        <v>0.1525</v>
      </c>
    </row>
    <row r="283" spans="1:27" x14ac:dyDescent="0.2">
      <c r="A283" s="6" t="s">
        <v>61</v>
      </c>
      <c r="B283" s="35">
        <v>192</v>
      </c>
      <c r="C283" t="s">
        <v>21</v>
      </c>
      <c r="D283" t="s">
        <v>15</v>
      </c>
      <c r="E283" t="s">
        <v>69</v>
      </c>
      <c r="F283" s="4">
        <f t="shared" si="58"/>
        <v>214.36196052992224</v>
      </c>
      <c r="G283">
        <f t="shared" si="59"/>
        <v>16.341792728337047</v>
      </c>
      <c r="H283">
        <f t="shared" si="60"/>
        <v>22.383835999999995</v>
      </c>
      <c r="I283">
        <f t="shared" si="61"/>
        <v>38.725628728337043</v>
      </c>
      <c r="K283" s="4">
        <f t="shared" si="55"/>
        <v>-8.2624681273492248E-2</v>
      </c>
      <c r="L283" s="13">
        <f t="shared" si="56"/>
        <v>0.69235251235590145</v>
      </c>
      <c r="N283">
        <f t="shared" ref="N283:N289" si="63">-(F67-F283)/F67*100</f>
        <v>9.4295933243970271</v>
      </c>
      <c r="O283">
        <f t="shared" ref="O283:O289" si="64">(G67-G283)/G67*100</f>
        <v>-3.2607454758672674</v>
      </c>
      <c r="P283">
        <f t="shared" ref="P283:P289" si="65">(H67-H283)/H67*100</f>
        <v>13.498184700659948</v>
      </c>
      <c r="Q283">
        <f t="shared" si="57"/>
        <v>0.17394557132018706</v>
      </c>
      <c r="S283">
        <v>0.22567502855550473</v>
      </c>
      <c r="T283">
        <v>0.42004248861822863</v>
      </c>
      <c r="U283">
        <f t="shared" si="62"/>
        <v>0.16073333333333331</v>
      </c>
      <c r="W283">
        <v>1.737282321512058E-2</v>
      </c>
      <c r="X283">
        <v>0.1023049413805099</v>
      </c>
      <c r="Y283">
        <v>0.16020000000000001</v>
      </c>
      <c r="Z283">
        <v>0.16089999999999999</v>
      </c>
      <c r="AA283">
        <v>0.16109999999999999</v>
      </c>
    </row>
    <row r="284" spans="1:27" x14ac:dyDescent="0.2">
      <c r="A284" s="6" t="s">
        <v>62</v>
      </c>
      <c r="B284" s="35">
        <v>192</v>
      </c>
      <c r="C284" t="s">
        <v>20</v>
      </c>
      <c r="D284" t="s">
        <v>15</v>
      </c>
      <c r="E284" t="s">
        <v>69</v>
      </c>
      <c r="F284" s="4">
        <f t="shared" si="58"/>
        <v>157.96871417830124</v>
      </c>
      <c r="G284">
        <f t="shared" si="59"/>
        <v>16.346646049730939</v>
      </c>
      <c r="H284">
        <f t="shared" si="60"/>
        <v>22.310455999999999</v>
      </c>
      <c r="I284">
        <f t="shared" si="61"/>
        <v>38.657102049730938</v>
      </c>
      <c r="K284" s="4">
        <f t="shared" si="55"/>
        <v>-0.10957907354381022</v>
      </c>
      <c r="L284" s="13">
        <f t="shared" si="56"/>
        <v>0.65076426235683971</v>
      </c>
      <c r="N284">
        <f t="shared" si="63"/>
        <v>-18.353181714985549</v>
      </c>
      <c r="O284">
        <f t="shared" si="64"/>
        <v>-19.142861905356607</v>
      </c>
      <c r="P284">
        <f t="shared" si="65"/>
        <v>14.58110872909625</v>
      </c>
      <c r="Q284">
        <f t="shared" si="57"/>
        <v>0.21294972571302717</v>
      </c>
      <c r="S284">
        <v>0.18074840896204666</v>
      </c>
      <c r="T284">
        <v>0.42015260118275116</v>
      </c>
      <c r="U284">
        <f t="shared" si="62"/>
        <v>0.16039999999999999</v>
      </c>
      <c r="W284">
        <v>2.4479105516000987E-3</v>
      </c>
      <c r="X284">
        <v>9.5762822456636726E-2</v>
      </c>
      <c r="Y284">
        <v>0.16059999999999999</v>
      </c>
      <c r="Z284">
        <v>0.1603</v>
      </c>
      <c r="AA284">
        <v>0.1603</v>
      </c>
    </row>
    <row r="285" spans="1:27" x14ac:dyDescent="0.2">
      <c r="A285" s="6" t="s">
        <v>63</v>
      </c>
      <c r="B285" s="35">
        <v>192</v>
      </c>
      <c r="C285" t="s">
        <v>20</v>
      </c>
      <c r="D285" t="s">
        <v>15</v>
      </c>
      <c r="E285" t="s">
        <v>69</v>
      </c>
      <c r="F285" s="4">
        <f t="shared" si="58"/>
        <v>183.606558218457</v>
      </c>
      <c r="G285">
        <f t="shared" si="59"/>
        <v>16.212908477030901</v>
      </c>
      <c r="H285">
        <f t="shared" si="60"/>
        <v>21.884851999999995</v>
      </c>
      <c r="I285">
        <f t="shared" si="61"/>
        <v>38.097760477030896</v>
      </c>
      <c r="K285" s="4">
        <f t="shared" si="55"/>
        <v>-0.10799474404981493</v>
      </c>
      <c r="L285" s="13">
        <f t="shared" si="56"/>
        <v>0.70468541861907186</v>
      </c>
      <c r="N285">
        <f t="shared" si="63"/>
        <v>-0.40290385966616016</v>
      </c>
      <c r="O285">
        <f t="shared" si="64"/>
        <v>-5.7270613505451493</v>
      </c>
      <c r="P285">
        <f t="shared" si="65"/>
        <v>15.713316269192342</v>
      </c>
      <c r="Q285">
        <f t="shared" si="57"/>
        <v>0.16419676066323852</v>
      </c>
      <c r="S285">
        <v>0.20117322471403742</v>
      </c>
      <c r="T285">
        <v>0.41711835187019919</v>
      </c>
      <c r="U285">
        <f t="shared" si="62"/>
        <v>0.15846666666666667</v>
      </c>
      <c r="W285">
        <v>3.3251694076329272E-3</v>
      </c>
      <c r="X285">
        <v>0.10424499270395972</v>
      </c>
      <c r="Y285">
        <v>0.15820000000000001</v>
      </c>
      <c r="Z285">
        <v>0.15820000000000001</v>
      </c>
      <c r="AA285">
        <v>0.159</v>
      </c>
    </row>
    <row r="286" spans="1:27" x14ac:dyDescent="0.2">
      <c r="A286" s="6" t="s">
        <v>64</v>
      </c>
      <c r="B286" s="35">
        <v>192</v>
      </c>
      <c r="C286" t="s">
        <v>20</v>
      </c>
      <c r="D286" t="s">
        <v>15</v>
      </c>
      <c r="E286" t="s">
        <v>69</v>
      </c>
      <c r="F286" s="4">
        <f t="shared" si="58"/>
        <v>172.89407179618232</v>
      </c>
      <c r="G286">
        <f t="shared" si="59"/>
        <v>15.694374824775441</v>
      </c>
      <c r="H286">
        <f t="shared" si="60"/>
        <v>20.219126000000003</v>
      </c>
      <c r="I286">
        <f t="shared" si="61"/>
        <v>35.91350082477544</v>
      </c>
      <c r="K286" s="4">
        <f t="shared" si="55"/>
        <v>-0.10932548044851062</v>
      </c>
      <c r="L286" s="13">
        <f t="shared" si="56"/>
        <v>0.72402881277288433</v>
      </c>
      <c r="N286">
        <f t="shared" si="63"/>
        <v>-11.739340701661591</v>
      </c>
      <c r="O286">
        <f t="shared" si="64"/>
        <v>0.83016771019158253</v>
      </c>
      <c r="P286">
        <f t="shared" si="65"/>
        <v>21.863656311363037</v>
      </c>
      <c r="Q286">
        <f t="shared" si="57"/>
        <v>0.14226927090320418</v>
      </c>
      <c r="S286">
        <v>0.19263894386429192</v>
      </c>
      <c r="T286">
        <v>0.40535381669787279</v>
      </c>
      <c r="U286">
        <f t="shared" si="62"/>
        <v>0.15090000000000001</v>
      </c>
      <c r="W286">
        <v>2.5883275478900212E-3</v>
      </c>
      <c r="X286">
        <v>0.10728784218544665</v>
      </c>
      <c r="Y286">
        <v>0.15049999999999999</v>
      </c>
      <c r="Z286">
        <v>0.151</v>
      </c>
      <c r="AA286">
        <v>0.1512</v>
      </c>
    </row>
    <row r="287" spans="1:27" x14ac:dyDescent="0.2">
      <c r="A287" s="46" t="s">
        <v>65</v>
      </c>
      <c r="B287" s="35">
        <v>192</v>
      </c>
      <c r="C287" t="s">
        <v>26</v>
      </c>
      <c r="D287" s="35" t="s">
        <v>15</v>
      </c>
      <c r="E287" s="35" t="s">
        <v>69</v>
      </c>
      <c r="F287" s="4">
        <f t="shared" si="58"/>
        <v>181.08613180795007</v>
      </c>
      <c r="G287">
        <f t="shared" si="59"/>
        <v>16.06485946803674</v>
      </c>
      <c r="H287">
        <f t="shared" si="60"/>
        <v>22.383835999999995</v>
      </c>
      <c r="I287">
        <f t="shared" si="61"/>
        <v>38.448695468036732</v>
      </c>
      <c r="K287" s="4">
        <f t="shared" si="55"/>
        <v>-0.11031066149535548</v>
      </c>
      <c r="L287" s="13">
        <f t="shared" si="56"/>
        <v>0.7335834256748216</v>
      </c>
      <c r="N287">
        <f t="shared" si="63"/>
        <v>-6.4048436770097279</v>
      </c>
      <c r="O287">
        <f t="shared" si="64"/>
        <v>-17.089054678636419</v>
      </c>
      <c r="P287">
        <f t="shared" si="65"/>
        <v>14.300162510809244</v>
      </c>
      <c r="Q287">
        <f t="shared" si="57"/>
        <v>0.13013056239504528</v>
      </c>
      <c r="S287">
        <v>0.19916528500700023</v>
      </c>
      <c r="T287">
        <v>0.41375940348572332</v>
      </c>
      <c r="U287">
        <f t="shared" si="62"/>
        <v>0.16073333333333334</v>
      </c>
      <c r="W287">
        <v>2.0428230922727077E-3</v>
      </c>
      <c r="X287">
        <v>0.10879084877691074</v>
      </c>
      <c r="Y287">
        <v>0.1605</v>
      </c>
      <c r="Z287">
        <v>0.16089999999999999</v>
      </c>
      <c r="AA287">
        <v>0.1608</v>
      </c>
    </row>
    <row r="288" spans="1:27" x14ac:dyDescent="0.2">
      <c r="A288" s="46" t="s">
        <v>66</v>
      </c>
      <c r="B288" s="35">
        <v>192</v>
      </c>
      <c r="C288" t="s">
        <v>26</v>
      </c>
      <c r="D288" s="35" t="s">
        <v>15</v>
      </c>
      <c r="E288" s="35" t="s">
        <v>69</v>
      </c>
      <c r="F288" s="4">
        <f t="shared" si="58"/>
        <v>176.60979335156415</v>
      </c>
      <c r="G288">
        <f t="shared" si="59"/>
        <v>16.083492844661446</v>
      </c>
      <c r="H288">
        <f t="shared" si="60"/>
        <v>21.620683999999997</v>
      </c>
      <c r="I288">
        <f t="shared" si="61"/>
        <v>37.704176844661447</v>
      </c>
      <c r="K288" s="4">
        <f t="shared" si="55"/>
        <v>-0.11005005396862272</v>
      </c>
      <c r="L288" s="13">
        <f t="shared" si="56"/>
        <v>0.75884979662957464</v>
      </c>
      <c r="N288">
        <f t="shared" si="63"/>
        <v>-4.1982882396190195</v>
      </c>
      <c r="O288">
        <f t="shared" si="64"/>
        <v>-4.8831205781273272</v>
      </c>
      <c r="P288">
        <f t="shared" si="65"/>
        <v>16.730725236262344</v>
      </c>
      <c r="Q288">
        <f t="shared" si="57"/>
        <v>0.11003238265273574</v>
      </c>
      <c r="S288">
        <v>0.19559913537007945</v>
      </c>
      <c r="T288">
        <v>0.41418215910385348</v>
      </c>
      <c r="U288">
        <f t="shared" si="62"/>
        <v>0.15726666666666667</v>
      </c>
      <c r="W288">
        <v>2.1871240483816619E-3</v>
      </c>
      <c r="X288">
        <v>0.11276542341191988</v>
      </c>
      <c r="Y288">
        <v>0.1565</v>
      </c>
      <c r="Z288">
        <v>0.1573</v>
      </c>
      <c r="AA288">
        <v>0.158</v>
      </c>
    </row>
    <row r="289" spans="1:27" x14ac:dyDescent="0.2">
      <c r="A289" s="46" t="s">
        <v>67</v>
      </c>
      <c r="B289" s="35">
        <v>192</v>
      </c>
      <c r="C289" t="s">
        <v>26</v>
      </c>
      <c r="D289" s="35" t="s">
        <v>15</v>
      </c>
      <c r="E289" s="35" t="s">
        <v>69</v>
      </c>
      <c r="F289" s="4">
        <f t="shared" si="58"/>
        <v>172.39231687340674</v>
      </c>
      <c r="G289">
        <f t="shared" si="59"/>
        <v>15.883306154719286</v>
      </c>
      <c r="H289">
        <f t="shared" si="60"/>
        <v>20.541998</v>
      </c>
      <c r="I289">
        <f t="shared" si="61"/>
        <v>36.425304154719285</v>
      </c>
      <c r="K289" s="4">
        <f t="shared" si="55"/>
        <v>-0.10935158944304774</v>
      </c>
      <c r="L289" s="13">
        <f t="shared" si="56"/>
        <v>0.75648849558772935</v>
      </c>
      <c r="N289">
        <f t="shared" si="63"/>
        <v>-11.995481469417729</v>
      </c>
      <c r="O289">
        <f t="shared" si="64"/>
        <v>-0.3636541854881416</v>
      </c>
      <c r="P289">
        <f t="shared" si="65"/>
        <v>20.615924952478519</v>
      </c>
      <c r="Q289">
        <f t="shared" si="57"/>
        <v>0.10980958808835917</v>
      </c>
      <c r="S289">
        <v>0.19223921244248071</v>
      </c>
      <c r="T289">
        <v>0.40964030662308931</v>
      </c>
      <c r="U289">
        <f t="shared" si="62"/>
        <v>0.15236666666666668</v>
      </c>
      <c r="W289">
        <v>2.573870740283645E-3</v>
      </c>
      <c r="X289">
        <v>0.11239397445142824</v>
      </c>
      <c r="Y289">
        <v>0.1517</v>
      </c>
      <c r="Z289">
        <v>0.15240000000000001</v>
      </c>
      <c r="AA289">
        <v>0.153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2026-01-29T06:52:27Z</dcterms:created>
  <dcterms:modified xsi:type="dcterms:W3CDTF">2026-03-07T11:14:43Z</dcterms:modified>
</cp:coreProperties>
</file>