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Fig3/"/>
    </mc:Choice>
  </mc:AlternateContent>
  <xr:revisionPtr revIDLastSave="0" documentId="13_ncr:1_{52EB8E06-041C-974B-A803-E1B96F777EB0}" xr6:coauthVersionLast="47" xr6:coauthVersionMax="47" xr10:uidLastSave="{00000000-0000-0000-0000-000000000000}"/>
  <bookViews>
    <workbookView xWindow="6560" yWindow="740" windowWidth="22240" windowHeight="15900" activeTab="1" xr2:uid="{FCD1C787-D617-F941-A6E2-17432271DDD7}"/>
  </bookViews>
  <sheets>
    <sheet name="Sheet1" sheetId="1" r:id="rId1"/>
    <sheet name="All" sheetId="2" r:id="rId2"/>
  </sheets>
  <definedNames>
    <definedName name="_xlnm._FilterDatabase" localSheetId="0" hidden="1">Sheet1!$A$1:$P$91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1" i="2" l="1"/>
  <c r="N151" i="2" s="1"/>
  <c r="I151" i="2"/>
  <c r="C151" i="2"/>
  <c r="K150" i="2"/>
  <c r="N150" i="2" s="1"/>
  <c r="I150" i="2"/>
  <c r="C150" i="2"/>
  <c r="K149" i="2"/>
  <c r="N149" i="2" s="1"/>
  <c r="I149" i="2"/>
  <c r="C149" i="2"/>
  <c r="K148" i="2"/>
  <c r="N148" i="2" s="1"/>
  <c r="I148" i="2"/>
  <c r="C148" i="2"/>
  <c r="K147" i="2"/>
  <c r="N147" i="2" s="1"/>
  <c r="O147" i="2" s="1"/>
  <c r="I147" i="2"/>
  <c r="M147" i="2" s="1"/>
  <c r="C147" i="2"/>
  <c r="K146" i="2"/>
  <c r="N146" i="2" s="1"/>
  <c r="O146" i="2" s="1"/>
  <c r="I146" i="2"/>
  <c r="C146" i="2"/>
  <c r="K145" i="2"/>
  <c r="N145" i="2" s="1"/>
  <c r="I145" i="2"/>
  <c r="C145" i="2"/>
  <c r="K144" i="2"/>
  <c r="N144" i="2" s="1"/>
  <c r="I144" i="2"/>
  <c r="C144" i="2"/>
  <c r="K143" i="2"/>
  <c r="N143" i="2" s="1"/>
  <c r="I143" i="2"/>
  <c r="C143" i="2"/>
  <c r="K142" i="2"/>
  <c r="N142" i="2" s="1"/>
  <c r="O142" i="2" s="1"/>
  <c r="I142" i="2"/>
  <c r="C142" i="2"/>
  <c r="K141" i="2"/>
  <c r="N141" i="2" s="1"/>
  <c r="I141" i="2"/>
  <c r="C141" i="2"/>
  <c r="K140" i="2"/>
  <c r="N140" i="2" s="1"/>
  <c r="O140" i="2" s="1"/>
  <c r="I140" i="2"/>
  <c r="C140" i="2"/>
  <c r="K139" i="2"/>
  <c r="N139" i="2" s="1"/>
  <c r="O139" i="2" s="1"/>
  <c r="I139" i="2"/>
  <c r="C139" i="2"/>
  <c r="K138" i="2"/>
  <c r="N138" i="2" s="1"/>
  <c r="O138" i="2" s="1"/>
  <c r="I138" i="2"/>
  <c r="C138" i="2"/>
  <c r="K137" i="2"/>
  <c r="N137" i="2" s="1"/>
  <c r="I137" i="2"/>
  <c r="C137" i="2"/>
  <c r="K136" i="2"/>
  <c r="N136" i="2" s="1"/>
  <c r="I136" i="2"/>
  <c r="C136" i="2"/>
  <c r="K135" i="2"/>
  <c r="N135" i="2" s="1"/>
  <c r="I135" i="2"/>
  <c r="C135" i="2"/>
  <c r="K134" i="2"/>
  <c r="N134" i="2" s="1"/>
  <c r="O134" i="2" s="1"/>
  <c r="I134" i="2"/>
  <c r="C134" i="2"/>
  <c r="K133" i="2"/>
  <c r="N133" i="2" s="1"/>
  <c r="I133" i="2"/>
  <c r="C133" i="2"/>
  <c r="K132" i="2"/>
  <c r="N132" i="2" s="1"/>
  <c r="O132" i="2" s="1"/>
  <c r="I132" i="2"/>
  <c r="C132" i="2"/>
  <c r="K131" i="2"/>
  <c r="N131" i="2" s="1"/>
  <c r="O131" i="2" s="1"/>
  <c r="I131" i="2"/>
  <c r="C131" i="2"/>
  <c r="K130" i="2"/>
  <c r="N130" i="2" s="1"/>
  <c r="O130" i="2" s="1"/>
  <c r="I130" i="2"/>
  <c r="C130" i="2"/>
  <c r="K129" i="2"/>
  <c r="N129" i="2" s="1"/>
  <c r="I129" i="2"/>
  <c r="C129" i="2"/>
  <c r="K128" i="2"/>
  <c r="N128" i="2" s="1"/>
  <c r="I128" i="2"/>
  <c r="C128" i="2"/>
  <c r="K127" i="2"/>
  <c r="N127" i="2" s="1"/>
  <c r="I127" i="2"/>
  <c r="C127" i="2"/>
  <c r="K126" i="2"/>
  <c r="N126" i="2" s="1"/>
  <c r="O126" i="2" s="1"/>
  <c r="I126" i="2"/>
  <c r="C126" i="2"/>
  <c r="K125" i="2"/>
  <c r="N125" i="2" s="1"/>
  <c r="I125" i="2"/>
  <c r="C125" i="2"/>
  <c r="K124" i="2"/>
  <c r="N124" i="2" s="1"/>
  <c r="O124" i="2" s="1"/>
  <c r="I124" i="2"/>
  <c r="C124" i="2"/>
  <c r="K123" i="2"/>
  <c r="N123" i="2" s="1"/>
  <c r="O123" i="2" s="1"/>
  <c r="I123" i="2"/>
  <c r="C123" i="2"/>
  <c r="K122" i="2"/>
  <c r="N122" i="2" s="1"/>
  <c r="O122" i="2" s="1"/>
  <c r="I122" i="2"/>
  <c r="C122" i="2"/>
  <c r="K121" i="2"/>
  <c r="N121" i="2" s="1"/>
  <c r="O121" i="2" s="1"/>
  <c r="I121" i="2"/>
  <c r="C121" i="2"/>
  <c r="K120" i="2"/>
  <c r="N120" i="2" s="1"/>
  <c r="I120" i="2"/>
  <c r="C120" i="2"/>
  <c r="N119" i="2"/>
  <c r="K119" i="2"/>
  <c r="I119" i="2"/>
  <c r="D119" i="2"/>
  <c r="C119" i="2"/>
  <c r="N118" i="2"/>
  <c r="K118" i="2"/>
  <c r="I118" i="2"/>
  <c r="C118" i="2"/>
  <c r="D118" i="2" s="1"/>
  <c r="M117" i="2"/>
  <c r="K117" i="2"/>
  <c r="N117" i="2" s="1"/>
  <c r="O117" i="2" s="1"/>
  <c r="I117" i="2"/>
  <c r="C117" i="2"/>
  <c r="K116" i="2"/>
  <c r="N116" i="2" s="1"/>
  <c r="I116" i="2"/>
  <c r="C116" i="2"/>
  <c r="K115" i="2"/>
  <c r="I115" i="2"/>
  <c r="D115" i="2"/>
  <c r="C115" i="2"/>
  <c r="M114" i="2"/>
  <c r="K114" i="2"/>
  <c r="I114" i="2"/>
  <c r="D114" i="2"/>
  <c r="C114" i="2"/>
  <c r="K113" i="2"/>
  <c r="N113" i="2" s="1"/>
  <c r="I113" i="2"/>
  <c r="C113" i="2"/>
  <c r="K112" i="2"/>
  <c r="N112" i="2" s="1"/>
  <c r="O112" i="2" s="1"/>
  <c r="I112" i="2"/>
  <c r="M112" i="2" s="1"/>
  <c r="C112" i="2"/>
  <c r="K111" i="2"/>
  <c r="I111" i="2"/>
  <c r="D111" i="2"/>
  <c r="C111" i="2"/>
  <c r="N110" i="2"/>
  <c r="K110" i="2"/>
  <c r="I110" i="2"/>
  <c r="C110" i="2"/>
  <c r="K109" i="2"/>
  <c r="N109" i="2" s="1"/>
  <c r="I109" i="2"/>
  <c r="C109" i="2"/>
  <c r="K108" i="2"/>
  <c r="N108" i="2" s="1"/>
  <c r="I108" i="2"/>
  <c r="C108" i="2"/>
  <c r="K107" i="2"/>
  <c r="I107" i="2"/>
  <c r="D107" i="2"/>
  <c r="C107" i="2"/>
  <c r="M106" i="2"/>
  <c r="K106" i="2"/>
  <c r="I106" i="2"/>
  <c r="D106" i="2"/>
  <c r="C106" i="2"/>
  <c r="K105" i="2"/>
  <c r="N105" i="2" s="1"/>
  <c r="I105" i="2"/>
  <c r="C105" i="2"/>
  <c r="K104" i="2"/>
  <c r="N104" i="2" s="1"/>
  <c r="I104" i="2"/>
  <c r="M104" i="2" s="1"/>
  <c r="C104" i="2"/>
  <c r="K103" i="2"/>
  <c r="I103" i="2"/>
  <c r="D103" i="2"/>
  <c r="C103" i="2"/>
  <c r="N102" i="2"/>
  <c r="K102" i="2"/>
  <c r="I102" i="2"/>
  <c r="C102" i="2"/>
  <c r="K101" i="2"/>
  <c r="N101" i="2" s="1"/>
  <c r="I101" i="2"/>
  <c r="C101" i="2"/>
  <c r="K100" i="2"/>
  <c r="N100" i="2" s="1"/>
  <c r="I100" i="2"/>
  <c r="C100" i="2"/>
  <c r="K99" i="2"/>
  <c r="I99" i="2"/>
  <c r="D99" i="2"/>
  <c r="C99" i="2"/>
  <c r="M98" i="2"/>
  <c r="K98" i="2"/>
  <c r="I98" i="2"/>
  <c r="D98" i="2"/>
  <c r="C98" i="2"/>
  <c r="K97" i="2"/>
  <c r="N97" i="2" s="1"/>
  <c r="I97" i="2"/>
  <c r="C97" i="2"/>
  <c r="K96" i="2"/>
  <c r="N96" i="2" s="1"/>
  <c r="I96" i="2"/>
  <c r="M96" i="2" s="1"/>
  <c r="C96" i="2"/>
  <c r="K95" i="2"/>
  <c r="I95" i="2"/>
  <c r="D95" i="2"/>
  <c r="C95" i="2"/>
  <c r="N94" i="2"/>
  <c r="K94" i="2"/>
  <c r="I94" i="2"/>
  <c r="C94" i="2"/>
  <c r="K93" i="2"/>
  <c r="N93" i="2" s="1"/>
  <c r="I93" i="2"/>
  <c r="C93" i="2"/>
  <c r="K92" i="2"/>
  <c r="N92" i="2" s="1"/>
  <c r="I92" i="2"/>
  <c r="C92" i="2"/>
  <c r="K91" i="2"/>
  <c r="I91" i="2"/>
  <c r="M121" i="2" s="1"/>
  <c r="C91" i="2"/>
  <c r="D121" i="2" s="1"/>
  <c r="K90" i="2"/>
  <c r="I90" i="2"/>
  <c r="M120" i="2" s="1"/>
  <c r="C90" i="2"/>
  <c r="D120" i="2" s="1"/>
  <c r="K89" i="2"/>
  <c r="I89" i="2"/>
  <c r="M119" i="2" s="1"/>
  <c r="O119" i="2" s="1"/>
  <c r="C89" i="2"/>
  <c r="D149" i="2" s="1"/>
  <c r="K88" i="2"/>
  <c r="I88" i="2"/>
  <c r="M148" i="2" s="1"/>
  <c r="C88" i="2"/>
  <c r="D148" i="2" s="1"/>
  <c r="P148" i="2" s="1"/>
  <c r="K87" i="2"/>
  <c r="C87" i="2"/>
  <c r="D117" i="2" s="1"/>
  <c r="K86" i="2"/>
  <c r="I86" i="2"/>
  <c r="M146" i="2" s="1"/>
  <c r="C86" i="2"/>
  <c r="D116" i="2" s="1"/>
  <c r="K85" i="2"/>
  <c r="N115" i="2" s="1"/>
  <c r="I85" i="2"/>
  <c r="M145" i="2" s="1"/>
  <c r="C85" i="2"/>
  <c r="D145" i="2" s="1"/>
  <c r="P145" i="2" s="1"/>
  <c r="K84" i="2"/>
  <c r="N114" i="2" s="1"/>
  <c r="O114" i="2" s="1"/>
  <c r="I84" i="2"/>
  <c r="M144" i="2" s="1"/>
  <c r="C84" i="2"/>
  <c r="D144" i="2" s="1"/>
  <c r="K83" i="2"/>
  <c r="I83" i="2"/>
  <c r="M113" i="2" s="1"/>
  <c r="C83" i="2"/>
  <c r="D113" i="2" s="1"/>
  <c r="K82" i="2"/>
  <c r="I82" i="2"/>
  <c r="M142" i="2" s="1"/>
  <c r="C82" i="2"/>
  <c r="D112" i="2" s="1"/>
  <c r="K81" i="2"/>
  <c r="N111" i="2" s="1"/>
  <c r="O111" i="2" s="1"/>
  <c r="I81" i="2"/>
  <c r="M111" i="2" s="1"/>
  <c r="C81" i="2"/>
  <c r="D141" i="2" s="1"/>
  <c r="K80" i="2"/>
  <c r="I80" i="2"/>
  <c r="M140" i="2" s="1"/>
  <c r="C80" i="2"/>
  <c r="D110" i="2" s="1"/>
  <c r="K79" i="2"/>
  <c r="I79" i="2"/>
  <c r="M139" i="2" s="1"/>
  <c r="C79" i="2"/>
  <c r="D109" i="2" s="1"/>
  <c r="K78" i="2"/>
  <c r="I78" i="2"/>
  <c r="M138" i="2" s="1"/>
  <c r="C78" i="2"/>
  <c r="D108" i="2" s="1"/>
  <c r="K77" i="2"/>
  <c r="N107" i="2" s="1"/>
  <c r="I77" i="2"/>
  <c r="M137" i="2" s="1"/>
  <c r="C77" i="2"/>
  <c r="D137" i="2" s="1"/>
  <c r="P137" i="2" s="1"/>
  <c r="K76" i="2"/>
  <c r="N106" i="2" s="1"/>
  <c r="O106" i="2" s="1"/>
  <c r="I76" i="2"/>
  <c r="M136" i="2" s="1"/>
  <c r="C76" i="2"/>
  <c r="D136" i="2" s="1"/>
  <c r="K75" i="2"/>
  <c r="I75" i="2"/>
  <c r="M105" i="2" s="1"/>
  <c r="C75" i="2"/>
  <c r="D105" i="2" s="1"/>
  <c r="K74" i="2"/>
  <c r="I74" i="2"/>
  <c r="M134" i="2" s="1"/>
  <c r="C74" i="2"/>
  <c r="D104" i="2" s="1"/>
  <c r="K73" i="2"/>
  <c r="N103" i="2" s="1"/>
  <c r="O103" i="2" s="1"/>
  <c r="I73" i="2"/>
  <c r="M103" i="2" s="1"/>
  <c r="C73" i="2"/>
  <c r="D133" i="2" s="1"/>
  <c r="K72" i="2"/>
  <c r="I72" i="2"/>
  <c r="M132" i="2" s="1"/>
  <c r="C72" i="2"/>
  <c r="D102" i="2" s="1"/>
  <c r="K71" i="2"/>
  <c r="I71" i="2"/>
  <c r="M131" i="2" s="1"/>
  <c r="C71" i="2"/>
  <c r="D101" i="2" s="1"/>
  <c r="K70" i="2"/>
  <c r="I70" i="2"/>
  <c r="M130" i="2" s="1"/>
  <c r="C70" i="2"/>
  <c r="D100" i="2" s="1"/>
  <c r="K69" i="2"/>
  <c r="N99" i="2" s="1"/>
  <c r="I69" i="2"/>
  <c r="M129" i="2" s="1"/>
  <c r="C69" i="2"/>
  <c r="D129" i="2" s="1"/>
  <c r="P129" i="2" s="1"/>
  <c r="K68" i="2"/>
  <c r="N98" i="2" s="1"/>
  <c r="O98" i="2" s="1"/>
  <c r="I68" i="2"/>
  <c r="M128" i="2" s="1"/>
  <c r="C68" i="2"/>
  <c r="D128" i="2" s="1"/>
  <c r="K67" i="2"/>
  <c r="I67" i="2"/>
  <c r="M97" i="2" s="1"/>
  <c r="C67" i="2"/>
  <c r="D97" i="2" s="1"/>
  <c r="K66" i="2"/>
  <c r="I66" i="2"/>
  <c r="M126" i="2" s="1"/>
  <c r="C66" i="2"/>
  <c r="D96" i="2" s="1"/>
  <c r="K65" i="2"/>
  <c r="N95" i="2" s="1"/>
  <c r="O95" i="2" s="1"/>
  <c r="I65" i="2"/>
  <c r="M95" i="2" s="1"/>
  <c r="C65" i="2"/>
  <c r="D125" i="2" s="1"/>
  <c r="K64" i="2"/>
  <c r="I64" i="2"/>
  <c r="M124" i="2" s="1"/>
  <c r="C64" i="2"/>
  <c r="D94" i="2" s="1"/>
  <c r="K63" i="2"/>
  <c r="I63" i="2"/>
  <c r="M123" i="2" s="1"/>
  <c r="C63" i="2"/>
  <c r="D93" i="2" s="1"/>
  <c r="K62" i="2"/>
  <c r="I62" i="2"/>
  <c r="M122" i="2" s="1"/>
  <c r="C62" i="2"/>
  <c r="D92" i="2" s="1"/>
  <c r="K61" i="2"/>
  <c r="N61" i="2" s="1"/>
  <c r="I61" i="2"/>
  <c r="C61" i="2"/>
  <c r="M60" i="2"/>
  <c r="K60" i="2"/>
  <c r="N60" i="2" s="1"/>
  <c r="O60" i="2" s="1"/>
  <c r="I60" i="2"/>
  <c r="C60" i="2"/>
  <c r="M59" i="2"/>
  <c r="K59" i="2"/>
  <c r="N59" i="2" s="1"/>
  <c r="O59" i="2" s="1"/>
  <c r="I59" i="2"/>
  <c r="C59" i="2"/>
  <c r="M58" i="2"/>
  <c r="K58" i="2"/>
  <c r="N58" i="2" s="1"/>
  <c r="O58" i="2" s="1"/>
  <c r="I58" i="2"/>
  <c r="C58" i="2"/>
  <c r="M57" i="2"/>
  <c r="K57" i="2"/>
  <c r="N57" i="2" s="1"/>
  <c r="O57" i="2" s="1"/>
  <c r="I57" i="2"/>
  <c r="C57" i="2"/>
  <c r="M56" i="2"/>
  <c r="K56" i="2"/>
  <c r="N56" i="2" s="1"/>
  <c r="O56" i="2" s="1"/>
  <c r="I56" i="2"/>
  <c r="C56" i="2"/>
  <c r="K55" i="2"/>
  <c r="N55" i="2" s="1"/>
  <c r="I55" i="2"/>
  <c r="C55" i="2"/>
  <c r="M54" i="2"/>
  <c r="K54" i="2"/>
  <c r="N54" i="2" s="1"/>
  <c r="O54" i="2" s="1"/>
  <c r="I54" i="2"/>
  <c r="C54" i="2"/>
  <c r="M53" i="2"/>
  <c r="K53" i="2"/>
  <c r="N53" i="2" s="1"/>
  <c r="O53" i="2" s="1"/>
  <c r="I53" i="2"/>
  <c r="C53" i="2"/>
  <c r="M52" i="2"/>
  <c r="K52" i="2"/>
  <c r="N52" i="2" s="1"/>
  <c r="O52" i="2" s="1"/>
  <c r="I52" i="2"/>
  <c r="C52" i="2"/>
  <c r="M51" i="2"/>
  <c r="K51" i="2"/>
  <c r="N51" i="2" s="1"/>
  <c r="O51" i="2" s="1"/>
  <c r="I51" i="2"/>
  <c r="C51" i="2"/>
  <c r="M50" i="2"/>
  <c r="K50" i="2"/>
  <c r="N50" i="2" s="1"/>
  <c r="O50" i="2" s="1"/>
  <c r="I50" i="2"/>
  <c r="C50" i="2"/>
  <c r="M49" i="2"/>
  <c r="K49" i="2"/>
  <c r="N49" i="2" s="1"/>
  <c r="O49" i="2" s="1"/>
  <c r="I49" i="2"/>
  <c r="C49" i="2"/>
  <c r="M48" i="2"/>
  <c r="K48" i="2"/>
  <c r="N48" i="2" s="1"/>
  <c r="O48" i="2" s="1"/>
  <c r="I48" i="2"/>
  <c r="C48" i="2"/>
  <c r="K47" i="2"/>
  <c r="N47" i="2" s="1"/>
  <c r="I47" i="2"/>
  <c r="C47" i="2"/>
  <c r="M46" i="2"/>
  <c r="K46" i="2"/>
  <c r="N46" i="2" s="1"/>
  <c r="O46" i="2" s="1"/>
  <c r="I46" i="2"/>
  <c r="C46" i="2"/>
  <c r="M45" i="2"/>
  <c r="K45" i="2"/>
  <c r="N45" i="2" s="1"/>
  <c r="O45" i="2" s="1"/>
  <c r="I45" i="2"/>
  <c r="C45" i="2"/>
  <c r="M44" i="2"/>
  <c r="K44" i="2"/>
  <c r="N44" i="2" s="1"/>
  <c r="O44" i="2" s="1"/>
  <c r="I44" i="2"/>
  <c r="C44" i="2"/>
  <c r="M43" i="2"/>
  <c r="K43" i="2"/>
  <c r="N43" i="2" s="1"/>
  <c r="O43" i="2" s="1"/>
  <c r="I43" i="2"/>
  <c r="C43" i="2"/>
  <c r="M42" i="2"/>
  <c r="K42" i="2"/>
  <c r="N42" i="2" s="1"/>
  <c r="O42" i="2" s="1"/>
  <c r="I42" i="2"/>
  <c r="C42" i="2"/>
  <c r="M41" i="2"/>
  <c r="K41" i="2"/>
  <c r="N41" i="2" s="1"/>
  <c r="O41" i="2" s="1"/>
  <c r="I41" i="2"/>
  <c r="C41" i="2"/>
  <c r="M40" i="2"/>
  <c r="K40" i="2"/>
  <c r="N40" i="2" s="1"/>
  <c r="O40" i="2" s="1"/>
  <c r="I40" i="2"/>
  <c r="C40" i="2"/>
  <c r="K39" i="2"/>
  <c r="N39" i="2" s="1"/>
  <c r="I39" i="2"/>
  <c r="C39" i="2"/>
  <c r="M38" i="2"/>
  <c r="K38" i="2"/>
  <c r="N38" i="2" s="1"/>
  <c r="O38" i="2" s="1"/>
  <c r="I38" i="2"/>
  <c r="C38" i="2"/>
  <c r="M37" i="2"/>
  <c r="K37" i="2"/>
  <c r="N37" i="2" s="1"/>
  <c r="O37" i="2" s="1"/>
  <c r="I37" i="2"/>
  <c r="C37" i="2"/>
  <c r="M36" i="2"/>
  <c r="K36" i="2"/>
  <c r="N36" i="2" s="1"/>
  <c r="O36" i="2" s="1"/>
  <c r="I36" i="2"/>
  <c r="C36" i="2"/>
  <c r="M35" i="2"/>
  <c r="K35" i="2"/>
  <c r="N35" i="2" s="1"/>
  <c r="O35" i="2" s="1"/>
  <c r="I35" i="2"/>
  <c r="C35" i="2"/>
  <c r="M34" i="2"/>
  <c r="K34" i="2"/>
  <c r="N34" i="2" s="1"/>
  <c r="O34" i="2" s="1"/>
  <c r="I34" i="2"/>
  <c r="C34" i="2"/>
  <c r="M33" i="2"/>
  <c r="K33" i="2"/>
  <c r="N33" i="2" s="1"/>
  <c r="O33" i="2" s="1"/>
  <c r="I33" i="2"/>
  <c r="C33" i="2"/>
  <c r="M32" i="2"/>
  <c r="K32" i="2"/>
  <c r="N32" i="2" s="1"/>
  <c r="O32" i="2" s="1"/>
  <c r="I32" i="2"/>
  <c r="C32" i="2"/>
  <c r="K31" i="2"/>
  <c r="I31" i="2"/>
  <c r="M61" i="2" s="1"/>
  <c r="C31" i="2"/>
  <c r="D61" i="2" s="1"/>
  <c r="P61" i="2" s="1"/>
  <c r="K30" i="2"/>
  <c r="I30" i="2"/>
  <c r="C30" i="2"/>
  <c r="D60" i="2" s="1"/>
  <c r="P60" i="2" s="1"/>
  <c r="K29" i="2"/>
  <c r="I29" i="2"/>
  <c r="C29" i="2"/>
  <c r="D59" i="2" s="1"/>
  <c r="P59" i="2" s="1"/>
  <c r="K28" i="2"/>
  <c r="I28" i="2"/>
  <c r="C28" i="2"/>
  <c r="D58" i="2" s="1"/>
  <c r="P58" i="2" s="1"/>
  <c r="K27" i="2"/>
  <c r="I27" i="2"/>
  <c r="C27" i="2"/>
  <c r="D57" i="2" s="1"/>
  <c r="P57" i="2" s="1"/>
  <c r="K26" i="2"/>
  <c r="I26" i="2"/>
  <c r="C26" i="2"/>
  <c r="D56" i="2" s="1"/>
  <c r="P56" i="2" s="1"/>
  <c r="K25" i="2"/>
  <c r="I25" i="2"/>
  <c r="M55" i="2" s="1"/>
  <c r="C25" i="2"/>
  <c r="D55" i="2" s="1"/>
  <c r="K24" i="2"/>
  <c r="I24" i="2"/>
  <c r="C24" i="2"/>
  <c r="D54" i="2" s="1"/>
  <c r="P54" i="2" s="1"/>
  <c r="K23" i="2"/>
  <c r="I23" i="2"/>
  <c r="C23" i="2"/>
  <c r="D53" i="2" s="1"/>
  <c r="P53" i="2" s="1"/>
  <c r="K22" i="2"/>
  <c r="I22" i="2"/>
  <c r="C22" i="2"/>
  <c r="D52" i="2" s="1"/>
  <c r="P52" i="2" s="1"/>
  <c r="K21" i="2"/>
  <c r="I21" i="2"/>
  <c r="C21" i="2"/>
  <c r="D51" i="2" s="1"/>
  <c r="P51" i="2" s="1"/>
  <c r="K20" i="2"/>
  <c r="I20" i="2"/>
  <c r="C20" i="2"/>
  <c r="D50" i="2" s="1"/>
  <c r="P50" i="2" s="1"/>
  <c r="K19" i="2"/>
  <c r="I19" i="2"/>
  <c r="C19" i="2"/>
  <c r="D49" i="2" s="1"/>
  <c r="P49" i="2" s="1"/>
  <c r="K18" i="2"/>
  <c r="I18" i="2"/>
  <c r="C18" i="2"/>
  <c r="D48" i="2" s="1"/>
  <c r="P48" i="2" s="1"/>
  <c r="K17" i="2"/>
  <c r="I17" i="2"/>
  <c r="M47" i="2" s="1"/>
  <c r="C17" i="2"/>
  <c r="D47" i="2" s="1"/>
  <c r="K16" i="2"/>
  <c r="I16" i="2"/>
  <c r="C16" i="2"/>
  <c r="D46" i="2" s="1"/>
  <c r="P46" i="2" s="1"/>
  <c r="K15" i="2"/>
  <c r="I15" i="2"/>
  <c r="C15" i="2"/>
  <c r="D45" i="2" s="1"/>
  <c r="P45" i="2" s="1"/>
  <c r="K14" i="2"/>
  <c r="I14" i="2"/>
  <c r="C14" i="2"/>
  <c r="D44" i="2" s="1"/>
  <c r="P44" i="2" s="1"/>
  <c r="K13" i="2"/>
  <c r="I13" i="2"/>
  <c r="C13" i="2"/>
  <c r="D43" i="2" s="1"/>
  <c r="P43" i="2" s="1"/>
  <c r="K12" i="2"/>
  <c r="I12" i="2"/>
  <c r="C12" i="2"/>
  <c r="D42" i="2" s="1"/>
  <c r="P42" i="2" s="1"/>
  <c r="K11" i="2"/>
  <c r="I11" i="2"/>
  <c r="C11" i="2"/>
  <c r="D41" i="2" s="1"/>
  <c r="P41" i="2" s="1"/>
  <c r="K10" i="2"/>
  <c r="I10" i="2"/>
  <c r="C10" i="2"/>
  <c r="D40" i="2" s="1"/>
  <c r="P40" i="2" s="1"/>
  <c r="K9" i="2"/>
  <c r="I9" i="2"/>
  <c r="M39" i="2" s="1"/>
  <c r="C9" i="2"/>
  <c r="D39" i="2" s="1"/>
  <c r="K8" i="2"/>
  <c r="I8" i="2"/>
  <c r="C8" i="2"/>
  <c r="D38" i="2" s="1"/>
  <c r="P38" i="2" s="1"/>
  <c r="K7" i="2"/>
  <c r="I7" i="2"/>
  <c r="C7" i="2"/>
  <c r="D37" i="2" s="1"/>
  <c r="P37" i="2" s="1"/>
  <c r="K6" i="2"/>
  <c r="I6" i="2"/>
  <c r="C6" i="2"/>
  <c r="D36" i="2" s="1"/>
  <c r="P36" i="2" s="1"/>
  <c r="K5" i="2"/>
  <c r="I5" i="2"/>
  <c r="C5" i="2"/>
  <c r="D35" i="2" s="1"/>
  <c r="P35" i="2" s="1"/>
  <c r="K4" i="2"/>
  <c r="I4" i="2"/>
  <c r="C4" i="2"/>
  <c r="D34" i="2" s="1"/>
  <c r="P34" i="2" s="1"/>
  <c r="K3" i="2"/>
  <c r="I3" i="2"/>
  <c r="C3" i="2"/>
  <c r="D33" i="2" s="1"/>
  <c r="P33" i="2" s="1"/>
  <c r="K2" i="2"/>
  <c r="I2" i="2"/>
  <c r="C2" i="2"/>
  <c r="D32" i="2" s="1"/>
  <c r="P32" i="2" s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2" i="1"/>
  <c r="I53" i="1"/>
  <c r="I54" i="1"/>
  <c r="I55" i="1"/>
  <c r="I56" i="1"/>
  <c r="I57" i="1"/>
  <c r="I58" i="1"/>
  <c r="I59" i="1"/>
  <c r="I60" i="1"/>
  <c r="I61" i="1"/>
  <c r="M61" i="1" s="1"/>
  <c r="I62" i="1"/>
  <c r="I63" i="1"/>
  <c r="I64" i="1"/>
  <c r="I65" i="1"/>
  <c r="I66" i="1"/>
  <c r="I67" i="1"/>
  <c r="I68" i="1"/>
  <c r="I69" i="1"/>
  <c r="M69" i="1" s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M87" i="1" s="1"/>
  <c r="I88" i="1"/>
  <c r="I89" i="1"/>
  <c r="I90" i="1"/>
  <c r="I91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N62" i="1" s="1"/>
  <c r="K63" i="1"/>
  <c r="K64" i="1"/>
  <c r="K65" i="1"/>
  <c r="K66" i="1"/>
  <c r="K67" i="1"/>
  <c r="K68" i="1"/>
  <c r="K69" i="1"/>
  <c r="K70" i="1"/>
  <c r="N70" i="1" s="1"/>
  <c r="K71" i="1"/>
  <c r="N71" i="1" s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M63" i="1" l="1"/>
  <c r="M68" i="1"/>
  <c r="N57" i="1"/>
  <c r="M78" i="1"/>
  <c r="N77" i="1"/>
  <c r="N59" i="1"/>
  <c r="N61" i="1"/>
  <c r="O61" i="1" s="1"/>
  <c r="M89" i="1"/>
  <c r="M71" i="1"/>
  <c r="O71" i="1" s="1"/>
  <c r="N76" i="1"/>
  <c r="M72" i="1"/>
  <c r="M88" i="1"/>
  <c r="N87" i="1"/>
  <c r="O87" i="1" s="1"/>
  <c r="N69" i="1"/>
  <c r="O69" i="1" s="1"/>
  <c r="N63" i="1"/>
  <c r="O63" i="1" s="1"/>
  <c r="N60" i="1"/>
  <c r="M77" i="1"/>
  <c r="M58" i="1"/>
  <c r="M64" i="1"/>
  <c r="N79" i="1"/>
  <c r="O79" i="1" s="1"/>
  <c r="N85" i="1"/>
  <c r="N88" i="1"/>
  <c r="O88" i="1" s="1"/>
  <c r="N80" i="1"/>
  <c r="N78" i="1"/>
  <c r="O78" i="1" s="1"/>
  <c r="N68" i="1"/>
  <c r="O68" i="1" s="1"/>
  <c r="N58" i="1"/>
  <c r="O58" i="1" s="1"/>
  <c r="N84" i="1"/>
  <c r="N74" i="1"/>
  <c r="O74" i="1" s="1"/>
  <c r="M85" i="1"/>
  <c r="M75" i="1"/>
  <c r="N81" i="1"/>
  <c r="N91" i="1"/>
  <c r="N83" i="1"/>
  <c r="M84" i="1"/>
  <c r="M74" i="1"/>
  <c r="N89" i="1"/>
  <c r="O89" i="1" s="1"/>
  <c r="N86" i="1"/>
  <c r="M65" i="1"/>
  <c r="N73" i="1"/>
  <c r="M91" i="1"/>
  <c r="N72" i="1"/>
  <c r="N64" i="1"/>
  <c r="M90" i="1"/>
  <c r="M81" i="1"/>
  <c r="M79" i="1"/>
  <c r="M62" i="1"/>
  <c r="O62" i="1" s="1"/>
  <c r="M60" i="1"/>
  <c r="N66" i="1"/>
  <c r="N56" i="1"/>
  <c r="N65" i="1"/>
  <c r="M82" i="1"/>
  <c r="N90" i="1"/>
  <c r="O90" i="1" s="1"/>
  <c r="N82" i="1"/>
  <c r="M70" i="1"/>
  <c r="O70" i="1" s="1"/>
  <c r="M59" i="1"/>
  <c r="O59" i="1" s="1"/>
  <c r="M80" i="1"/>
  <c r="N67" i="1"/>
  <c r="N75" i="1"/>
  <c r="M67" i="1"/>
  <c r="M57" i="1"/>
  <c r="O57" i="1" s="1"/>
  <c r="M76" i="1"/>
  <c r="M66" i="1"/>
  <c r="M56" i="1"/>
  <c r="M73" i="1"/>
  <c r="M86" i="1"/>
  <c r="M83" i="1"/>
  <c r="O55" i="2"/>
  <c r="O47" i="2"/>
  <c r="P125" i="2"/>
  <c r="P133" i="2"/>
  <c r="O96" i="2"/>
  <c r="O105" i="2"/>
  <c r="O149" i="2"/>
  <c r="O39" i="2"/>
  <c r="P128" i="2"/>
  <c r="P136" i="2"/>
  <c r="P144" i="2"/>
  <c r="O120" i="2"/>
  <c r="O128" i="2"/>
  <c r="O136" i="2"/>
  <c r="O144" i="2"/>
  <c r="O129" i="2"/>
  <c r="O137" i="2"/>
  <c r="O145" i="2"/>
  <c r="O93" i="2"/>
  <c r="O104" i="2"/>
  <c r="O113" i="2"/>
  <c r="O148" i="2"/>
  <c r="O97" i="2"/>
  <c r="O150" i="2"/>
  <c r="P39" i="2"/>
  <c r="P47" i="2"/>
  <c r="P55" i="2"/>
  <c r="O61" i="2"/>
  <c r="O99" i="2"/>
  <c r="O107" i="2"/>
  <c r="O115" i="2"/>
  <c r="O102" i="2"/>
  <c r="O127" i="2"/>
  <c r="O135" i="2"/>
  <c r="M94" i="2"/>
  <c r="O94" i="2" s="1"/>
  <c r="M102" i="2"/>
  <c r="M110" i="2"/>
  <c r="O110" i="2" s="1"/>
  <c r="M118" i="2"/>
  <c r="O118" i="2" s="1"/>
  <c r="D122" i="2"/>
  <c r="P122" i="2" s="1"/>
  <c r="D123" i="2"/>
  <c r="P123" i="2" s="1"/>
  <c r="D124" i="2"/>
  <c r="P124" i="2" s="1"/>
  <c r="D126" i="2"/>
  <c r="P126" i="2" s="1"/>
  <c r="D127" i="2"/>
  <c r="D130" i="2"/>
  <c r="P130" i="2" s="1"/>
  <c r="D131" i="2"/>
  <c r="P131" i="2" s="1"/>
  <c r="D132" i="2"/>
  <c r="P132" i="2" s="1"/>
  <c r="D134" i="2"/>
  <c r="P134" i="2" s="1"/>
  <c r="D135" i="2"/>
  <c r="P135" i="2" s="1"/>
  <c r="D138" i="2"/>
  <c r="P138" i="2" s="1"/>
  <c r="D139" i="2"/>
  <c r="P139" i="2" s="1"/>
  <c r="D140" i="2"/>
  <c r="P140" i="2" s="1"/>
  <c r="D142" i="2"/>
  <c r="P142" i="2" s="1"/>
  <c r="D143" i="2"/>
  <c r="P143" i="2" s="1"/>
  <c r="D146" i="2"/>
  <c r="P146" i="2" s="1"/>
  <c r="D147" i="2"/>
  <c r="P147" i="2" s="1"/>
  <c r="D150" i="2"/>
  <c r="P150" i="2" s="1"/>
  <c r="D151" i="2"/>
  <c r="M93" i="2"/>
  <c r="M101" i="2"/>
  <c r="O101" i="2" s="1"/>
  <c r="M109" i="2"/>
  <c r="O109" i="2" s="1"/>
  <c r="M92" i="2"/>
  <c r="O92" i="2" s="1"/>
  <c r="M100" i="2"/>
  <c r="O100" i="2" s="1"/>
  <c r="M108" i="2"/>
  <c r="O108" i="2" s="1"/>
  <c r="M116" i="2"/>
  <c r="O116" i="2" s="1"/>
  <c r="M99" i="2"/>
  <c r="M107" i="2"/>
  <c r="M115" i="2"/>
  <c r="M125" i="2"/>
  <c r="O125" i="2" s="1"/>
  <c r="M127" i="2"/>
  <c r="M133" i="2"/>
  <c r="O133" i="2" s="1"/>
  <c r="M135" i="2"/>
  <c r="M141" i="2"/>
  <c r="O141" i="2" s="1"/>
  <c r="M143" i="2"/>
  <c r="O143" i="2" s="1"/>
  <c r="M149" i="2"/>
  <c r="P149" i="2" s="1"/>
  <c r="M150" i="2"/>
  <c r="M151" i="2"/>
  <c r="O151" i="2" s="1"/>
  <c r="O60" i="1" l="1"/>
  <c r="O86" i="1"/>
  <c r="O77" i="1"/>
  <c r="O76" i="1"/>
  <c r="O75" i="1"/>
  <c r="O84" i="1"/>
  <c r="O91" i="1"/>
  <c r="O67" i="1"/>
  <c r="O81" i="1"/>
  <c r="O64" i="1"/>
  <c r="O85" i="1"/>
  <c r="O66" i="1"/>
  <c r="O72" i="1"/>
  <c r="O83" i="1"/>
  <c r="O80" i="1"/>
  <c r="O82" i="1"/>
  <c r="O65" i="1"/>
  <c r="O73" i="1"/>
  <c r="O56" i="1"/>
  <c r="P141" i="2"/>
  <c r="P127" i="2"/>
  <c r="P151" i="2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20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N30" i="1" l="1"/>
  <c r="M30" i="1"/>
  <c r="M37" i="1"/>
  <c r="M29" i="1"/>
  <c r="M36" i="1"/>
  <c r="M28" i="1"/>
  <c r="M20" i="1"/>
  <c r="D73" i="1"/>
  <c r="D72" i="1"/>
  <c r="M31" i="1"/>
  <c r="M21" i="1"/>
  <c r="N37" i="1"/>
  <c r="O37" i="1" s="1"/>
  <c r="N29" i="1"/>
  <c r="O29" i="1" s="1"/>
  <c r="D32" i="1"/>
  <c r="D35" i="1"/>
  <c r="D25" i="1"/>
  <c r="D24" i="1"/>
  <c r="D26" i="1"/>
  <c r="D86" i="1"/>
  <c r="P86" i="1" s="1"/>
  <c r="N31" i="1"/>
  <c r="O31" i="1" s="1"/>
  <c r="N21" i="1"/>
  <c r="M32" i="1"/>
  <c r="P32" i="1" s="1"/>
  <c r="M22" i="1"/>
  <c r="O30" i="1"/>
  <c r="N20" i="1"/>
  <c r="D37" i="1"/>
  <c r="D29" i="1"/>
  <c r="D66" i="1"/>
  <c r="D84" i="1"/>
  <c r="P84" i="1" s="1"/>
  <c r="D56" i="1"/>
  <c r="D74" i="1"/>
  <c r="P74" i="1" s="1"/>
  <c r="M33" i="1"/>
  <c r="M23" i="1"/>
  <c r="D64" i="1"/>
  <c r="D82" i="1"/>
  <c r="P82" i="1" s="1"/>
  <c r="D71" i="1"/>
  <c r="N36" i="1"/>
  <c r="O36" i="1" s="1"/>
  <c r="D28" i="1"/>
  <c r="P28" i="1" s="1"/>
  <c r="D78" i="1"/>
  <c r="P78" i="1" s="1"/>
  <c r="D60" i="1"/>
  <c r="N27" i="1"/>
  <c r="N34" i="1"/>
  <c r="N26" i="1"/>
  <c r="N24" i="1"/>
  <c r="D63" i="1"/>
  <c r="D81" i="1"/>
  <c r="P81" i="1" s="1"/>
  <c r="D62" i="1"/>
  <c r="D80" i="1"/>
  <c r="P80" i="1" s="1"/>
  <c r="N25" i="1"/>
  <c r="D27" i="1"/>
  <c r="D22" i="1"/>
  <c r="D69" i="1"/>
  <c r="D59" i="1"/>
  <c r="D77" i="1"/>
  <c r="P77" i="1" s="1"/>
  <c r="D68" i="1"/>
  <c r="D76" i="1"/>
  <c r="P76" i="1" s="1"/>
  <c r="D58" i="1"/>
  <c r="M35" i="1"/>
  <c r="M27" i="1"/>
  <c r="M25" i="1"/>
  <c r="N33" i="1"/>
  <c r="N23" i="1"/>
  <c r="D65" i="1"/>
  <c r="D83" i="1"/>
  <c r="P83" i="1" s="1"/>
  <c r="D91" i="1"/>
  <c r="P91" i="1" s="1"/>
  <c r="D61" i="1"/>
  <c r="D79" i="1"/>
  <c r="P79" i="1" s="1"/>
  <c r="N28" i="1"/>
  <c r="D36" i="1"/>
  <c r="P36" i="1" s="1"/>
  <c r="D90" i="1"/>
  <c r="P90" i="1" s="1"/>
  <c r="D70" i="1"/>
  <c r="N35" i="1"/>
  <c r="O35" i="1" s="1"/>
  <c r="D89" i="1"/>
  <c r="P89" i="1" s="1"/>
  <c r="D34" i="1"/>
  <c r="D88" i="1"/>
  <c r="P88" i="1" s="1"/>
  <c r="D33" i="1"/>
  <c r="D23" i="1"/>
  <c r="D30" i="1"/>
  <c r="P30" i="1" s="1"/>
  <c r="D20" i="1"/>
  <c r="P20" i="1" s="1"/>
  <c r="D87" i="1"/>
  <c r="P87" i="1" s="1"/>
  <c r="D67" i="1"/>
  <c r="D85" i="1"/>
  <c r="P85" i="1" s="1"/>
  <c r="D57" i="1"/>
  <c r="D75" i="1"/>
  <c r="P75" i="1" s="1"/>
  <c r="M34" i="1"/>
  <c r="M26" i="1"/>
  <c r="P26" i="1" s="1"/>
  <c r="M24" i="1"/>
  <c r="N32" i="1"/>
  <c r="N22" i="1"/>
  <c r="D31" i="1"/>
  <c r="P31" i="1" s="1"/>
  <c r="D21" i="1"/>
  <c r="P21" i="1" s="1"/>
  <c r="O22" i="1" l="1"/>
  <c r="O20" i="1"/>
  <c r="P24" i="1"/>
  <c r="P22" i="1"/>
  <c r="O28" i="1"/>
  <c r="P25" i="1"/>
  <c r="P29" i="1"/>
  <c r="P37" i="1"/>
  <c r="O21" i="1"/>
  <c r="P35" i="1"/>
  <c r="O26" i="1"/>
  <c r="O34" i="1"/>
  <c r="O23" i="1"/>
  <c r="O32" i="1"/>
  <c r="P33" i="1"/>
  <c r="O24" i="1"/>
  <c r="O27" i="1"/>
  <c r="O33" i="1"/>
  <c r="P34" i="1"/>
  <c r="O25" i="1"/>
  <c r="P27" i="1"/>
  <c r="P23" i="1"/>
</calcChain>
</file>

<file path=xl/sharedStrings.xml><?xml version="1.0" encoding="utf-8"?>
<sst xmlns="http://schemas.openxmlformats.org/spreadsheetml/2006/main" count="1472" uniqueCount="61">
  <si>
    <t>Samples</t>
  </si>
  <si>
    <t>Strain</t>
  </si>
  <si>
    <t>Light</t>
  </si>
  <si>
    <t>Dark</t>
  </si>
  <si>
    <t>IR</t>
  </si>
  <si>
    <t>Deinococcus</t>
  </si>
  <si>
    <t>Aliidiomarina</t>
  </si>
  <si>
    <t>Paracoccus</t>
  </si>
  <si>
    <t>Halomonas</t>
  </si>
  <si>
    <t>Marinobacter</t>
  </si>
  <si>
    <t>Batch</t>
  </si>
  <si>
    <t>R2</t>
  </si>
  <si>
    <t>CCUS</t>
  </si>
  <si>
    <t>Time</t>
  </si>
  <si>
    <t>CO2</t>
  </si>
  <si>
    <t>CO2.Raw</t>
  </si>
  <si>
    <t>D1_D_0619</t>
  </si>
  <si>
    <t>D2_D</t>
  </si>
  <si>
    <t>D3_D</t>
  </si>
  <si>
    <t>D1_I</t>
  </si>
  <si>
    <t>D2_I</t>
  </si>
  <si>
    <t>D3_I</t>
  </si>
  <si>
    <t>A1_D</t>
  </si>
  <si>
    <t>A2_D</t>
  </si>
  <si>
    <t>A3_D</t>
  </si>
  <si>
    <t>A1_I</t>
  </si>
  <si>
    <t>A2_I</t>
  </si>
  <si>
    <t>A3_I</t>
  </si>
  <si>
    <t>P1_D</t>
  </si>
  <si>
    <t>P2_D</t>
  </si>
  <si>
    <t>P3_D</t>
  </si>
  <si>
    <t>P1_I</t>
  </si>
  <si>
    <t>P2_I</t>
  </si>
  <si>
    <t>P3_I</t>
  </si>
  <si>
    <t>H1_D</t>
  </si>
  <si>
    <t>H2_D</t>
  </si>
  <si>
    <t>H3_D</t>
  </si>
  <si>
    <t>H1_I</t>
  </si>
  <si>
    <t>H2_I</t>
  </si>
  <si>
    <t>H3_I</t>
  </si>
  <si>
    <t>M1_D</t>
  </si>
  <si>
    <t>M2_D</t>
  </si>
  <si>
    <t>M3_D</t>
  </si>
  <si>
    <t>M1_I</t>
  </si>
  <si>
    <t>M2_I</t>
  </si>
  <si>
    <t>M3_I</t>
  </si>
  <si>
    <t>D1_D_0625</t>
  </si>
  <si>
    <t>A1_D_0624</t>
  </si>
  <si>
    <t>NA</t>
  </si>
  <si>
    <t>R1</t>
  </si>
  <si>
    <t>D1_D_0608</t>
  </si>
  <si>
    <t>D1_D_0611</t>
  </si>
  <si>
    <t>D1_D_0604</t>
  </si>
  <si>
    <t>S2O3</t>
  </si>
  <si>
    <t>S2O3.raw</t>
  </si>
  <si>
    <t>SO4</t>
  </si>
  <si>
    <t>SO4.raw</t>
  </si>
  <si>
    <t>S2O3_Intake</t>
  </si>
  <si>
    <t>SO4_produce</t>
  </si>
  <si>
    <t>S_Efficiency</t>
  </si>
  <si>
    <t>e_Efficiency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</si>
</sst>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name val="Arial"/>
      <family val="2"/>
    </font>
    <font>
      <sz val="8"/>
      <color rgb="FFFF0000"/>
      <name val="Arial"/>
      <family val="2"/>
    </font>
    <font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0" borderId="0" xfId="0" applyFont="1"/>
    <xf numFmtId="164" fontId="0" fillId="0" borderId="0" xfId="0" applyNumberFormat="1"/>
    <xf numFmtId="0" fontId="5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165" fontId="2" fillId="0" borderId="0" xfId="0" applyNumberFormat="1" applyFont="1"/>
    <xf numFmtId="165" fontId="0" fillId="0" borderId="0" xfId="0" applyNumberFormat="1"/>
    <xf numFmtId="0" fontId="7" fillId="0" borderId="0" xfId="0" applyFont="1"/>
    <xf numFmtId="165" fontId="7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6484E-1E28-0745-9567-CAE277AA3B23}">
  <dimension ref="A1:P91"/>
  <sheetViews>
    <sheetView zoomScale="101" workbookViewId="0">
      <pane ySplit="1" topLeftCell="A2" activePane="bottomLeft" state="frozen"/>
      <selection pane="bottomLeft" activeCell="F10" sqref="F10"/>
    </sheetView>
  </sheetViews>
  <sheetFormatPr baseColWidth="10" defaultRowHeight="16" x14ac:dyDescent="0.2"/>
  <cols>
    <col min="1" max="1" width="11.33203125" customWidth="1"/>
    <col min="2" max="2" width="8.1640625" customWidth="1"/>
    <col min="3" max="3" width="10.5" customWidth="1"/>
    <col min="4" max="4" width="10" customWidth="1"/>
    <col min="5" max="5" width="13.6640625" customWidth="1"/>
    <col min="13" max="14" width="12" customWidth="1"/>
  </cols>
  <sheetData>
    <row r="1" spans="1:16" x14ac:dyDescent="0.2">
      <c r="A1" s="1" t="s">
        <v>0</v>
      </c>
      <c r="B1" s="1" t="s">
        <v>13</v>
      </c>
      <c r="C1" s="1" t="s">
        <v>14</v>
      </c>
      <c r="D1" s="1" t="s">
        <v>12</v>
      </c>
      <c r="E1" s="1" t="s">
        <v>1</v>
      </c>
      <c r="F1" s="1" t="s">
        <v>2</v>
      </c>
      <c r="G1" s="1" t="s">
        <v>10</v>
      </c>
      <c r="H1" s="1" t="s">
        <v>15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</row>
    <row r="2" spans="1:16" x14ac:dyDescent="0.2">
      <c r="A2" t="s">
        <v>22</v>
      </c>
      <c r="B2" s="2">
        <v>0</v>
      </c>
      <c r="C2" s="7">
        <f t="shared" ref="C2:C37" si="0">30*(H2-0.0549)/0.0239</f>
        <v>128.99374919171987</v>
      </c>
      <c r="D2" s="3" t="s">
        <v>48</v>
      </c>
      <c r="E2" t="s">
        <v>6</v>
      </c>
      <c r="F2" t="s">
        <v>3</v>
      </c>
      <c r="G2" t="s">
        <v>11</v>
      </c>
      <c r="H2">
        <v>0.15766502018940351</v>
      </c>
      <c r="I2">
        <f t="shared" ref="I2:I37" si="1">(0.3548*J2 + 0.0099)*30</f>
        <v>5.8829712000000001</v>
      </c>
      <c r="J2">
        <v>0.52480000000000004</v>
      </c>
      <c r="K2">
        <f t="shared" ref="K2:K37" si="2">(0.1094*L2 - 0.0017)*30</f>
        <v>0.80822759999999993</v>
      </c>
      <c r="L2">
        <v>0.26179999999999998</v>
      </c>
      <c r="M2" s="3" t="s">
        <v>48</v>
      </c>
      <c r="N2" s="3" t="s">
        <v>48</v>
      </c>
      <c r="O2" s="3" t="s">
        <v>48</v>
      </c>
      <c r="P2" s="3" t="s">
        <v>48</v>
      </c>
    </row>
    <row r="3" spans="1:16" x14ac:dyDescent="0.2">
      <c r="A3" t="s">
        <v>23</v>
      </c>
      <c r="B3" s="2">
        <v>0</v>
      </c>
      <c r="C3" s="7">
        <f t="shared" si="0"/>
        <v>132.22972796057937</v>
      </c>
      <c r="D3" s="3" t="s">
        <v>48</v>
      </c>
      <c r="E3" t="s">
        <v>6</v>
      </c>
      <c r="F3" t="s">
        <v>3</v>
      </c>
      <c r="G3" t="s">
        <v>11</v>
      </c>
      <c r="H3">
        <v>0.16024301660859491</v>
      </c>
      <c r="I3">
        <f t="shared" si="1"/>
        <v>6.3087311999999995</v>
      </c>
      <c r="J3">
        <v>0.56479999999999997</v>
      </c>
      <c r="K3">
        <f t="shared" si="2"/>
        <v>0.93163079999999987</v>
      </c>
      <c r="L3">
        <v>0.2994</v>
      </c>
      <c r="M3" s="3" t="s">
        <v>48</v>
      </c>
      <c r="N3" s="3" t="s">
        <v>48</v>
      </c>
      <c r="O3" s="3" t="s">
        <v>48</v>
      </c>
      <c r="P3" s="3" t="s">
        <v>48</v>
      </c>
    </row>
    <row r="4" spans="1:16" x14ac:dyDescent="0.2">
      <c r="A4" t="s">
        <v>24</v>
      </c>
      <c r="B4" s="2">
        <v>0</v>
      </c>
      <c r="C4" s="7">
        <f t="shared" si="0"/>
        <v>131.94559312692979</v>
      </c>
      <c r="D4" s="3" t="s">
        <v>48</v>
      </c>
      <c r="E4" t="s">
        <v>6</v>
      </c>
      <c r="F4" t="s">
        <v>3</v>
      </c>
      <c r="G4" t="s">
        <v>11</v>
      </c>
      <c r="H4">
        <v>0.1600166558577874</v>
      </c>
      <c r="I4">
        <f t="shared" si="1"/>
        <v>6.3438564000000008</v>
      </c>
      <c r="J4">
        <v>0.56810000000000005</v>
      </c>
      <c r="K4">
        <f t="shared" si="2"/>
        <v>0.82365299999999997</v>
      </c>
      <c r="L4">
        <v>0.26650000000000001</v>
      </c>
      <c r="M4" s="3" t="s">
        <v>48</v>
      </c>
      <c r="N4" s="3" t="s">
        <v>48</v>
      </c>
      <c r="O4" s="3" t="s">
        <v>48</v>
      </c>
      <c r="P4" s="3" t="s">
        <v>48</v>
      </c>
    </row>
    <row r="5" spans="1:16" x14ac:dyDescent="0.2">
      <c r="A5" t="s">
        <v>25</v>
      </c>
      <c r="B5" s="2">
        <v>0</v>
      </c>
      <c r="C5" s="7">
        <f t="shared" si="0"/>
        <v>130.6554462887639</v>
      </c>
      <c r="D5" s="3" t="s">
        <v>48</v>
      </c>
      <c r="E5" t="s">
        <v>6</v>
      </c>
      <c r="F5" t="s">
        <v>4</v>
      </c>
      <c r="G5" t="s">
        <v>11</v>
      </c>
      <c r="H5">
        <v>0.15898883887671525</v>
      </c>
      <c r="I5">
        <f t="shared" si="1"/>
        <v>6.2384807999999996</v>
      </c>
      <c r="J5">
        <v>0.55820000000000003</v>
      </c>
      <c r="K5">
        <f t="shared" si="2"/>
        <v>0.79706880000000013</v>
      </c>
      <c r="L5">
        <v>0.25840000000000002</v>
      </c>
      <c r="M5" s="3" t="s">
        <v>48</v>
      </c>
      <c r="N5" s="3" t="s">
        <v>48</v>
      </c>
      <c r="O5" s="3" t="s">
        <v>48</v>
      </c>
      <c r="P5" s="3" t="s">
        <v>48</v>
      </c>
    </row>
    <row r="6" spans="1:16" x14ac:dyDescent="0.2">
      <c r="A6" t="s">
        <v>26</v>
      </c>
      <c r="B6" s="2">
        <v>0</v>
      </c>
      <c r="C6" s="7">
        <f t="shared" si="0"/>
        <v>127.53170625138257</v>
      </c>
      <c r="D6" s="3" t="s">
        <v>48</v>
      </c>
      <c r="E6" t="s">
        <v>6</v>
      </c>
      <c r="F6" t="s">
        <v>4</v>
      </c>
      <c r="G6" t="s">
        <v>11</v>
      </c>
      <c r="H6">
        <v>0.15650025931360145</v>
      </c>
      <c r="I6">
        <f t="shared" si="1"/>
        <v>5.7765312</v>
      </c>
      <c r="J6">
        <v>0.51480000000000004</v>
      </c>
      <c r="K6">
        <f t="shared" si="2"/>
        <v>0.75309000000000004</v>
      </c>
      <c r="L6">
        <v>0.245</v>
      </c>
      <c r="M6" s="3" t="s">
        <v>48</v>
      </c>
      <c r="N6" s="3" t="s">
        <v>48</v>
      </c>
      <c r="O6" s="3" t="s">
        <v>48</v>
      </c>
      <c r="P6" s="3" t="s">
        <v>48</v>
      </c>
    </row>
    <row r="7" spans="1:16" x14ac:dyDescent="0.2">
      <c r="A7" t="s">
        <v>27</v>
      </c>
      <c r="B7" s="2">
        <v>0</v>
      </c>
      <c r="C7" s="7">
        <f t="shared" si="0"/>
        <v>129.41512125977752</v>
      </c>
      <c r="D7" s="3" t="s">
        <v>48</v>
      </c>
      <c r="E7" t="s">
        <v>6</v>
      </c>
      <c r="F7" t="s">
        <v>4</v>
      </c>
      <c r="G7" t="s">
        <v>11</v>
      </c>
      <c r="H7">
        <v>0.15800071327028944</v>
      </c>
      <c r="I7">
        <f t="shared" si="1"/>
        <v>5.9436419999999996</v>
      </c>
      <c r="J7">
        <v>0.53049999999999997</v>
      </c>
      <c r="K7">
        <f t="shared" si="2"/>
        <v>0.82398119999999997</v>
      </c>
      <c r="L7">
        <v>0.2666</v>
      </c>
      <c r="M7" s="3" t="s">
        <v>48</v>
      </c>
      <c r="N7" s="3" t="s">
        <v>48</v>
      </c>
      <c r="O7" s="3" t="s">
        <v>48</v>
      </c>
      <c r="P7" s="3" t="s">
        <v>48</v>
      </c>
    </row>
    <row r="8" spans="1:16" x14ac:dyDescent="0.2">
      <c r="A8" t="s">
        <v>34</v>
      </c>
      <c r="B8" s="2">
        <v>0</v>
      </c>
      <c r="C8" s="7">
        <f t="shared" si="0"/>
        <v>135.29880299357652</v>
      </c>
      <c r="D8" s="3" t="s">
        <v>48</v>
      </c>
      <c r="E8" t="s">
        <v>8</v>
      </c>
      <c r="F8" t="s">
        <v>3</v>
      </c>
      <c r="G8" t="s">
        <v>11</v>
      </c>
      <c r="H8">
        <v>0.16268804638488263</v>
      </c>
      <c r="I8">
        <f t="shared" si="1"/>
        <v>6.277863599999999</v>
      </c>
      <c r="J8">
        <v>0.56189999999999996</v>
      </c>
      <c r="K8">
        <f t="shared" si="2"/>
        <v>0.90635939999999993</v>
      </c>
      <c r="L8">
        <v>0.29170000000000001</v>
      </c>
      <c r="M8" s="3" t="s">
        <v>48</v>
      </c>
      <c r="N8" s="3" t="s">
        <v>48</v>
      </c>
      <c r="O8" s="3" t="s">
        <v>48</v>
      </c>
      <c r="P8" s="3" t="s">
        <v>48</v>
      </c>
    </row>
    <row r="9" spans="1:16" x14ac:dyDescent="0.2">
      <c r="A9" t="s">
        <v>35</v>
      </c>
      <c r="B9" s="2">
        <v>0</v>
      </c>
      <c r="C9" s="7">
        <f t="shared" si="0"/>
        <v>134.15564210789381</v>
      </c>
      <c r="D9" s="3" t="s">
        <v>48</v>
      </c>
      <c r="E9" t="s">
        <v>8</v>
      </c>
      <c r="F9" t="s">
        <v>3</v>
      </c>
      <c r="G9" t="s">
        <v>11</v>
      </c>
      <c r="H9">
        <v>0.16177732821262208</v>
      </c>
      <c r="I9">
        <f t="shared" si="1"/>
        <v>6.0490176</v>
      </c>
      <c r="J9">
        <v>0.54039999999999999</v>
      </c>
      <c r="K9">
        <f t="shared" si="2"/>
        <v>0.78098699999999999</v>
      </c>
      <c r="L9">
        <v>0.2535</v>
      </c>
      <c r="M9" s="3" t="s">
        <v>48</v>
      </c>
      <c r="N9" s="3" t="s">
        <v>48</v>
      </c>
      <c r="O9" s="3" t="s">
        <v>48</v>
      </c>
      <c r="P9" s="3" t="s">
        <v>48</v>
      </c>
    </row>
    <row r="10" spans="1:16" x14ac:dyDescent="0.2">
      <c r="A10" t="s">
        <v>36</v>
      </c>
      <c r="B10" s="2">
        <v>0</v>
      </c>
      <c r="C10" s="7">
        <f t="shared" si="0"/>
        <v>132.3634791371523</v>
      </c>
      <c r="D10" s="3" t="s">
        <v>48</v>
      </c>
      <c r="E10" t="s">
        <v>8</v>
      </c>
      <c r="F10" t="s">
        <v>3</v>
      </c>
      <c r="G10" t="s">
        <v>11</v>
      </c>
      <c r="H10">
        <v>0.160349571712598</v>
      </c>
      <c r="I10">
        <f t="shared" si="1"/>
        <v>6.4598759999999995</v>
      </c>
      <c r="J10">
        <v>0.57899999999999996</v>
      </c>
      <c r="K10">
        <f t="shared" si="2"/>
        <v>0.84203220000000001</v>
      </c>
      <c r="L10">
        <v>0.27210000000000001</v>
      </c>
      <c r="M10" s="3" t="s">
        <v>48</v>
      </c>
      <c r="N10" s="3" t="s">
        <v>48</v>
      </c>
      <c r="O10" s="3" t="s">
        <v>48</v>
      </c>
      <c r="P10" s="3" t="s">
        <v>48</v>
      </c>
    </row>
    <row r="11" spans="1:16" x14ac:dyDescent="0.2">
      <c r="A11" t="s">
        <v>37</v>
      </c>
      <c r="B11" s="2">
        <v>0</v>
      </c>
      <c r="C11" s="7">
        <f t="shared" si="0"/>
        <v>132.55452660245098</v>
      </c>
      <c r="D11" s="3" t="s">
        <v>48</v>
      </c>
      <c r="E11" t="s">
        <v>8</v>
      </c>
      <c r="F11" t="s">
        <v>4</v>
      </c>
      <c r="G11" t="s">
        <v>11</v>
      </c>
      <c r="H11">
        <v>0.16050177285995262</v>
      </c>
      <c r="I11">
        <f t="shared" si="1"/>
        <v>6.0490176</v>
      </c>
      <c r="J11">
        <v>0.54039999999999999</v>
      </c>
      <c r="K11">
        <f t="shared" si="2"/>
        <v>0.76359239999999995</v>
      </c>
      <c r="L11">
        <v>0.2482</v>
      </c>
      <c r="M11" s="3" t="s">
        <v>48</v>
      </c>
      <c r="N11" s="3" t="s">
        <v>48</v>
      </c>
      <c r="O11" s="3" t="s">
        <v>48</v>
      </c>
      <c r="P11" s="3" t="s">
        <v>48</v>
      </c>
    </row>
    <row r="12" spans="1:16" x14ac:dyDescent="0.2">
      <c r="A12" t="s">
        <v>38</v>
      </c>
      <c r="B12" s="2">
        <v>0</v>
      </c>
      <c r="C12" s="7">
        <f t="shared" si="0"/>
        <v>133.41824973853073</v>
      </c>
      <c r="D12" s="3" t="s">
        <v>48</v>
      </c>
      <c r="E12" t="s">
        <v>8</v>
      </c>
      <c r="F12" t="s">
        <v>4</v>
      </c>
      <c r="G12" t="s">
        <v>11</v>
      </c>
      <c r="H12">
        <v>0.16118987229169615</v>
      </c>
      <c r="I12">
        <f t="shared" si="1"/>
        <v>6.5088384000000001</v>
      </c>
      <c r="J12">
        <v>0.58360000000000001</v>
      </c>
      <c r="K12">
        <f t="shared" si="2"/>
        <v>0.84564239999999991</v>
      </c>
      <c r="L12">
        <v>0.2732</v>
      </c>
      <c r="M12" s="3" t="s">
        <v>48</v>
      </c>
      <c r="N12" s="3" t="s">
        <v>48</v>
      </c>
      <c r="O12" s="3" t="s">
        <v>48</v>
      </c>
      <c r="P12" s="3" t="s">
        <v>48</v>
      </c>
    </row>
    <row r="13" spans="1:16" x14ac:dyDescent="0.2">
      <c r="A13" t="s">
        <v>39</v>
      </c>
      <c r="B13" s="2">
        <v>0</v>
      </c>
      <c r="C13" s="7">
        <f t="shared" si="0"/>
        <v>132.99754539094192</v>
      </c>
      <c r="D13" s="3" t="s">
        <v>48</v>
      </c>
      <c r="E13" t="s">
        <v>8</v>
      </c>
      <c r="F13" t="s">
        <v>4</v>
      </c>
      <c r="G13" t="s">
        <v>11</v>
      </c>
      <c r="H13">
        <v>0.16085471116145039</v>
      </c>
      <c r="I13">
        <f t="shared" si="1"/>
        <v>6.4045271999999995</v>
      </c>
      <c r="J13">
        <v>0.57379999999999998</v>
      </c>
      <c r="K13">
        <f t="shared" si="2"/>
        <v>0.82956059999999987</v>
      </c>
      <c r="L13">
        <v>0.26829999999999998</v>
      </c>
      <c r="M13" s="3" t="s">
        <v>48</v>
      </c>
      <c r="N13" s="3" t="s">
        <v>48</v>
      </c>
      <c r="O13" s="3" t="s">
        <v>48</v>
      </c>
      <c r="P13" s="3" t="s">
        <v>48</v>
      </c>
    </row>
    <row r="14" spans="1:16" x14ac:dyDescent="0.2">
      <c r="A14" t="s">
        <v>40</v>
      </c>
      <c r="B14" s="2">
        <v>0</v>
      </c>
      <c r="C14" s="7">
        <f t="shared" si="0"/>
        <v>135.06282544174309</v>
      </c>
      <c r="D14" s="3" t="s">
        <v>48</v>
      </c>
      <c r="E14" t="s">
        <v>9</v>
      </c>
      <c r="F14" t="s">
        <v>3</v>
      </c>
      <c r="G14" t="s">
        <v>11</v>
      </c>
      <c r="H14">
        <v>0.16250005093525532</v>
      </c>
      <c r="I14">
        <f t="shared" si="1"/>
        <v>5.2688123999999998</v>
      </c>
      <c r="J14">
        <v>0.46710000000000002</v>
      </c>
      <c r="K14">
        <f t="shared" si="2"/>
        <v>0.90635939999999993</v>
      </c>
      <c r="L14">
        <v>0.29170000000000001</v>
      </c>
      <c r="M14" s="3" t="s">
        <v>48</v>
      </c>
      <c r="N14" s="3" t="s">
        <v>48</v>
      </c>
      <c r="O14" s="3" t="s">
        <v>48</v>
      </c>
      <c r="P14" s="3" t="s">
        <v>48</v>
      </c>
    </row>
    <row r="15" spans="1:16" x14ac:dyDescent="0.2">
      <c r="A15" t="s">
        <v>41</v>
      </c>
      <c r="B15" s="2">
        <v>0</v>
      </c>
      <c r="C15" s="7">
        <f t="shared" si="0"/>
        <v>144.13043795894893</v>
      </c>
      <c r="D15" s="3" t="s">
        <v>48</v>
      </c>
      <c r="E15" t="s">
        <v>9</v>
      </c>
      <c r="F15" t="s">
        <v>3</v>
      </c>
      <c r="G15" t="s">
        <v>11</v>
      </c>
      <c r="H15">
        <v>0.16972391557396266</v>
      </c>
      <c r="I15">
        <f t="shared" si="1"/>
        <v>6.4343304000000003</v>
      </c>
      <c r="J15">
        <v>0.5766</v>
      </c>
      <c r="K15">
        <f t="shared" si="2"/>
        <v>0.82726319999999998</v>
      </c>
      <c r="L15">
        <v>0.2676</v>
      </c>
      <c r="M15" s="3" t="s">
        <v>48</v>
      </c>
      <c r="N15" s="3" t="s">
        <v>48</v>
      </c>
      <c r="O15" s="3" t="s">
        <v>48</v>
      </c>
      <c r="P15" s="3" t="s">
        <v>48</v>
      </c>
    </row>
    <row r="16" spans="1:16" x14ac:dyDescent="0.2">
      <c r="A16" t="s">
        <v>42</v>
      </c>
      <c r="B16" s="2">
        <v>0</v>
      </c>
      <c r="C16" s="7">
        <f t="shared" si="0"/>
        <v>147.08979927204038</v>
      </c>
      <c r="D16" s="3" t="s">
        <v>48</v>
      </c>
      <c r="E16" t="s">
        <v>9</v>
      </c>
      <c r="F16" t="s">
        <v>3</v>
      </c>
      <c r="G16" t="s">
        <v>11</v>
      </c>
      <c r="H16">
        <v>0.17208154008672552</v>
      </c>
      <c r="I16">
        <f t="shared" si="1"/>
        <v>6.5631228000000004</v>
      </c>
      <c r="J16">
        <v>0.5887</v>
      </c>
      <c r="K16">
        <f t="shared" si="2"/>
        <v>0.85155000000000003</v>
      </c>
      <c r="L16">
        <v>0.27500000000000002</v>
      </c>
      <c r="M16" s="3" t="s">
        <v>48</v>
      </c>
      <c r="N16" s="3" t="s">
        <v>48</v>
      </c>
      <c r="O16" s="3" t="s">
        <v>48</v>
      </c>
      <c r="P16" s="3" t="s">
        <v>48</v>
      </c>
    </row>
    <row r="17" spans="1:16" x14ac:dyDescent="0.2">
      <c r="A17" t="s">
        <v>43</v>
      </c>
      <c r="B17" s="2">
        <v>0</v>
      </c>
      <c r="C17" s="7">
        <f t="shared" si="0"/>
        <v>145.50657479991801</v>
      </c>
      <c r="D17" s="3" t="s">
        <v>48</v>
      </c>
      <c r="E17" t="s">
        <v>9</v>
      </c>
      <c r="F17" t="s">
        <v>4</v>
      </c>
      <c r="G17" t="s">
        <v>11</v>
      </c>
      <c r="H17">
        <v>0.17082023792393469</v>
      </c>
      <c r="I17">
        <f t="shared" si="1"/>
        <v>5.9862179999999992</v>
      </c>
      <c r="J17">
        <v>0.53449999999999998</v>
      </c>
      <c r="K17">
        <f t="shared" si="2"/>
        <v>0.86763179999999995</v>
      </c>
      <c r="L17">
        <v>0.27989999999999998</v>
      </c>
      <c r="M17" s="3" t="s">
        <v>48</v>
      </c>
      <c r="N17" s="3" t="s">
        <v>48</v>
      </c>
      <c r="O17" s="3" t="s">
        <v>48</v>
      </c>
      <c r="P17" s="3" t="s">
        <v>48</v>
      </c>
    </row>
    <row r="18" spans="1:16" x14ac:dyDescent="0.2">
      <c r="A18" t="s">
        <v>44</v>
      </c>
      <c r="B18" s="2">
        <v>0</v>
      </c>
      <c r="C18" s="7">
        <f t="shared" si="0"/>
        <v>130.80646523538491</v>
      </c>
      <c r="D18" s="3" t="s">
        <v>48</v>
      </c>
      <c r="E18" t="s">
        <v>9</v>
      </c>
      <c r="F18" t="s">
        <v>4</v>
      </c>
      <c r="G18" t="s">
        <v>11</v>
      </c>
      <c r="H18">
        <v>0.15910915063752332</v>
      </c>
      <c r="I18">
        <f t="shared" si="1"/>
        <v>6.4662623999999997</v>
      </c>
      <c r="J18">
        <v>0.5796</v>
      </c>
      <c r="K18">
        <f t="shared" si="2"/>
        <v>0.90635939999999993</v>
      </c>
      <c r="L18">
        <v>0.29170000000000001</v>
      </c>
      <c r="M18" s="3" t="s">
        <v>48</v>
      </c>
      <c r="N18" s="3" t="s">
        <v>48</v>
      </c>
      <c r="O18" s="3" t="s">
        <v>48</v>
      </c>
      <c r="P18" s="3" t="s">
        <v>48</v>
      </c>
    </row>
    <row r="19" spans="1:16" x14ac:dyDescent="0.2">
      <c r="A19" t="s">
        <v>45</v>
      </c>
      <c r="B19" s="2">
        <v>0</v>
      </c>
      <c r="C19" s="7">
        <f t="shared" si="0"/>
        <v>135.81960927642589</v>
      </c>
      <c r="D19" s="3" t="s">
        <v>48</v>
      </c>
      <c r="E19" t="s">
        <v>9</v>
      </c>
      <c r="F19" t="s">
        <v>4</v>
      </c>
      <c r="G19" t="s">
        <v>11</v>
      </c>
      <c r="H19">
        <v>0.1631029553902193</v>
      </c>
      <c r="I19">
        <f t="shared" si="1"/>
        <v>6.1331052000000001</v>
      </c>
      <c r="J19">
        <v>0.54830000000000001</v>
      </c>
      <c r="K19">
        <f t="shared" si="2"/>
        <v>0.96412260000000005</v>
      </c>
      <c r="L19">
        <v>0.30930000000000002</v>
      </c>
      <c r="M19" s="3" t="s">
        <v>48</v>
      </c>
      <c r="N19" s="3" t="s">
        <v>48</v>
      </c>
      <c r="O19" s="3" t="s">
        <v>48</v>
      </c>
      <c r="P19" s="3" t="s">
        <v>48</v>
      </c>
    </row>
    <row r="20" spans="1:16" x14ac:dyDescent="0.2">
      <c r="A20" s="4" t="s">
        <v>47</v>
      </c>
      <c r="B20" s="2">
        <v>6</v>
      </c>
      <c r="C20" s="7">
        <f t="shared" si="0"/>
        <v>93.167637381306051</v>
      </c>
      <c r="D20" s="3">
        <f t="shared" ref="D20:D37" si="3">(C2-C20)/(B20-B2)</f>
        <v>5.9710186350689698</v>
      </c>
      <c r="E20" t="s">
        <v>6</v>
      </c>
      <c r="F20" t="s">
        <v>3</v>
      </c>
      <c r="G20" t="s">
        <v>11</v>
      </c>
      <c r="H20">
        <v>0.12912355111377383</v>
      </c>
      <c r="I20">
        <f t="shared" si="1"/>
        <v>3.1134024000000005</v>
      </c>
      <c r="J20" s="3">
        <v>0.2646</v>
      </c>
      <c r="K20">
        <f t="shared" si="2"/>
        <v>0.72033099754410068</v>
      </c>
      <c r="L20" s="3">
        <v>0.23501858547961629</v>
      </c>
      <c r="M20">
        <f t="shared" ref="M20:M37" si="4">I2-I20</f>
        <v>2.7695687999999996</v>
      </c>
      <c r="N20">
        <f t="shared" ref="N20:N37" si="5">K20-K2</f>
        <v>-8.7896602455899253E-2</v>
      </c>
      <c r="O20">
        <f t="shared" ref="O20:O37" si="6">2*N20/M20*100</f>
        <v>-6.3473131597885759</v>
      </c>
      <c r="P20">
        <f t="shared" ref="P20:P37" si="7">4*(D20/12)*(B20-B2)/(8*M20)*100</f>
        <v>53.898450140225542</v>
      </c>
    </row>
    <row r="21" spans="1:16" x14ac:dyDescent="0.2">
      <c r="A21" s="4" t="s">
        <v>23</v>
      </c>
      <c r="B21" s="2">
        <v>5</v>
      </c>
      <c r="C21" s="7">
        <f t="shared" si="0"/>
        <v>78.240844112810734</v>
      </c>
      <c r="D21" s="3">
        <f t="shared" si="3"/>
        <v>10.797776769553726</v>
      </c>
      <c r="E21" t="s">
        <v>6</v>
      </c>
      <c r="F21" t="s">
        <v>3</v>
      </c>
      <c r="G21" t="s">
        <v>11</v>
      </c>
      <c r="H21">
        <v>0.11723187247653923</v>
      </c>
      <c r="I21">
        <f t="shared" si="1"/>
        <v>0.29700000000000004</v>
      </c>
      <c r="J21" s="3">
        <v>0</v>
      </c>
      <c r="K21">
        <f t="shared" si="2"/>
        <v>4.4032320423835847</v>
      </c>
      <c r="L21" s="3">
        <v>1.3571700311954862</v>
      </c>
      <c r="M21">
        <f t="shared" si="4"/>
        <v>6.0117311999999998</v>
      </c>
      <c r="N21">
        <f t="shared" si="5"/>
        <v>3.4716012423835849</v>
      </c>
      <c r="O21">
        <f t="shared" si="6"/>
        <v>115.49422709996034</v>
      </c>
      <c r="P21">
        <f t="shared" si="7"/>
        <v>37.419118589173777</v>
      </c>
    </row>
    <row r="22" spans="1:16" x14ac:dyDescent="0.2">
      <c r="A22" s="4" t="s">
        <v>24</v>
      </c>
      <c r="B22" s="2">
        <v>5</v>
      </c>
      <c r="C22" s="7">
        <f t="shared" si="0"/>
        <v>65.00983212048429</v>
      </c>
      <c r="D22" s="3">
        <f t="shared" si="3"/>
        <v>13.387152201289101</v>
      </c>
      <c r="E22" t="s">
        <v>6</v>
      </c>
      <c r="F22" t="s">
        <v>3</v>
      </c>
      <c r="G22" t="s">
        <v>11</v>
      </c>
      <c r="H22">
        <v>0.10669116625598582</v>
      </c>
      <c r="I22">
        <f t="shared" si="1"/>
        <v>0.29700000000000004</v>
      </c>
      <c r="J22" s="3">
        <v>0</v>
      </c>
      <c r="K22">
        <f t="shared" si="2"/>
        <v>4.3407669045208088</v>
      </c>
      <c r="L22" s="3">
        <v>1.3381373871178577</v>
      </c>
      <c r="M22">
        <f t="shared" si="4"/>
        <v>6.0468564000000011</v>
      </c>
      <c r="N22">
        <f t="shared" si="5"/>
        <v>3.5171139045208086</v>
      </c>
      <c r="O22">
        <f t="shared" si="6"/>
        <v>116.32867301167622</v>
      </c>
      <c r="P22">
        <f t="shared" si="7"/>
        <v>46.122974607685876</v>
      </c>
    </row>
    <row r="23" spans="1:16" x14ac:dyDescent="0.2">
      <c r="A23" s="4" t="s">
        <v>25</v>
      </c>
      <c r="B23" s="2">
        <v>5</v>
      </c>
      <c r="C23" s="7">
        <f t="shared" si="0"/>
        <v>47.775878174070741</v>
      </c>
      <c r="D23" s="3">
        <f t="shared" si="3"/>
        <v>16.575913622938632</v>
      </c>
      <c r="E23" t="s">
        <v>6</v>
      </c>
      <c r="F23" t="s">
        <v>4</v>
      </c>
      <c r="G23" t="s">
        <v>11</v>
      </c>
      <c r="H23">
        <v>9.2961449612009694E-2</v>
      </c>
      <c r="I23">
        <f t="shared" si="1"/>
        <v>0.29700000000000004</v>
      </c>
      <c r="J23" s="3">
        <v>0</v>
      </c>
      <c r="K23">
        <f t="shared" si="2"/>
        <v>4.57699893659872</v>
      </c>
      <c r="L23" s="3">
        <v>1.4101154590489702</v>
      </c>
      <c r="M23">
        <f t="shared" si="4"/>
        <v>5.9414807999999999</v>
      </c>
      <c r="N23">
        <f t="shared" si="5"/>
        <v>3.7799301365987201</v>
      </c>
      <c r="O23">
        <f t="shared" si="6"/>
        <v>127.23865527256169</v>
      </c>
      <c r="P23">
        <f t="shared" si="7"/>
        <v>58.122132417093987</v>
      </c>
    </row>
    <row r="24" spans="1:16" x14ac:dyDescent="0.2">
      <c r="A24" s="4" t="s">
        <v>26</v>
      </c>
      <c r="B24" s="2">
        <v>5</v>
      </c>
      <c r="C24" s="7">
        <f t="shared" si="0"/>
        <v>55.630936864844344</v>
      </c>
      <c r="D24" s="3">
        <f t="shared" si="3"/>
        <v>14.380153877307645</v>
      </c>
      <c r="E24" t="s">
        <v>6</v>
      </c>
      <c r="F24" t="s">
        <v>4</v>
      </c>
      <c r="G24" t="s">
        <v>11</v>
      </c>
      <c r="H24">
        <v>9.9219313035659326E-2</v>
      </c>
      <c r="I24">
        <f t="shared" si="1"/>
        <v>0.29700000000000004</v>
      </c>
      <c r="J24" s="3">
        <v>0</v>
      </c>
      <c r="K24">
        <f t="shared" si="2"/>
        <v>4.4929932914819917</v>
      </c>
      <c r="L24" s="3">
        <v>1.3845195891169995</v>
      </c>
      <c r="M24">
        <f t="shared" si="4"/>
        <v>5.4795312000000003</v>
      </c>
      <c r="N24">
        <f t="shared" si="5"/>
        <v>3.7399032914819914</v>
      </c>
      <c r="O24">
        <f t="shared" si="6"/>
        <v>136.50449846811682</v>
      </c>
      <c r="P24">
        <f t="shared" si="7"/>
        <v>54.673753679981949</v>
      </c>
    </row>
    <row r="25" spans="1:16" x14ac:dyDescent="0.2">
      <c r="A25" s="4" t="s">
        <v>27</v>
      </c>
      <c r="B25" s="2">
        <v>5</v>
      </c>
      <c r="C25" s="7">
        <f t="shared" si="0"/>
        <v>57.048327107706378</v>
      </c>
      <c r="D25" s="3">
        <f t="shared" si="3"/>
        <v>14.473358830414231</v>
      </c>
      <c r="E25" t="s">
        <v>6</v>
      </c>
      <c r="F25" t="s">
        <v>4</v>
      </c>
      <c r="G25" t="s">
        <v>11</v>
      </c>
      <c r="H25">
        <v>0.10034850059580608</v>
      </c>
      <c r="I25">
        <f t="shared" si="1"/>
        <v>0.29700000000000004</v>
      </c>
      <c r="J25" s="3">
        <v>0</v>
      </c>
      <c r="K25">
        <f t="shared" si="2"/>
        <v>4.6040183169307713</v>
      </c>
      <c r="L25" s="3">
        <v>1.4183480551282059</v>
      </c>
      <c r="M25">
        <f t="shared" si="4"/>
        <v>5.6466419999999999</v>
      </c>
      <c r="N25">
        <f t="shared" si="5"/>
        <v>3.7800371169307714</v>
      </c>
      <c r="O25">
        <f t="shared" si="6"/>
        <v>133.8861970328833</v>
      </c>
      <c r="P25">
        <f t="shared" si="7"/>
        <v>53.399579602702488</v>
      </c>
    </row>
    <row r="26" spans="1:16" x14ac:dyDescent="0.2">
      <c r="A26" s="4" t="s">
        <v>34</v>
      </c>
      <c r="B26" s="2">
        <v>5</v>
      </c>
      <c r="C26" s="7">
        <f t="shared" si="0"/>
        <v>87.66901529206396</v>
      </c>
      <c r="D26" s="3">
        <f t="shared" si="3"/>
        <v>9.5259575403025103</v>
      </c>
      <c r="E26" t="s">
        <v>8</v>
      </c>
      <c r="F26" t="s">
        <v>3</v>
      </c>
      <c r="G26" t="s">
        <v>11</v>
      </c>
      <c r="H26">
        <v>0.12474298218267761</v>
      </c>
      <c r="I26">
        <f t="shared" si="1"/>
        <v>1.8579385197999985</v>
      </c>
      <c r="J26" s="3">
        <v>0.14664961666666651</v>
      </c>
      <c r="K26">
        <f t="shared" si="2"/>
        <v>2.1916268618717951</v>
      </c>
      <c r="L26" s="3">
        <v>0.68331104871169868</v>
      </c>
      <c r="M26">
        <f t="shared" si="4"/>
        <v>4.4199250802000005</v>
      </c>
      <c r="N26">
        <f t="shared" si="5"/>
        <v>1.2852674618717952</v>
      </c>
      <c r="O26">
        <f t="shared" si="6"/>
        <v>58.157884513899369</v>
      </c>
      <c r="P26">
        <f t="shared" si="7"/>
        <v>44.900636358144368</v>
      </c>
    </row>
    <row r="27" spans="1:16" x14ac:dyDescent="0.2">
      <c r="A27" s="4" t="s">
        <v>35</v>
      </c>
      <c r="B27" s="2">
        <v>5</v>
      </c>
      <c r="C27" s="7">
        <f t="shared" si="0"/>
        <v>102.46085074028332</v>
      </c>
      <c r="D27" s="3">
        <f t="shared" si="3"/>
        <v>6.3389582735220982</v>
      </c>
      <c r="E27" t="s">
        <v>8</v>
      </c>
      <c r="F27" t="s">
        <v>3</v>
      </c>
      <c r="G27" t="s">
        <v>11</v>
      </c>
      <c r="H27">
        <v>0.13652714442309238</v>
      </c>
      <c r="I27">
        <f t="shared" si="1"/>
        <v>2.9811844059999948</v>
      </c>
      <c r="J27" s="3">
        <v>0.25217816666666615</v>
      </c>
      <c r="K27">
        <f t="shared" si="2"/>
        <v>1.7686099308021692</v>
      </c>
      <c r="L27" s="3">
        <v>0.554421063620405</v>
      </c>
      <c r="M27">
        <f t="shared" si="4"/>
        <v>3.0678331940000052</v>
      </c>
      <c r="N27">
        <f t="shared" si="5"/>
        <v>0.98762293080216923</v>
      </c>
      <c r="O27">
        <f t="shared" si="6"/>
        <v>64.385699505027745</v>
      </c>
      <c r="P27">
        <f t="shared" si="7"/>
        <v>43.04720053119577</v>
      </c>
    </row>
    <row r="28" spans="1:16" x14ac:dyDescent="0.2">
      <c r="A28" s="4" t="s">
        <v>36</v>
      </c>
      <c r="B28" s="2">
        <v>5</v>
      </c>
      <c r="C28" s="7">
        <f t="shared" si="0"/>
        <v>102.58323542383653</v>
      </c>
      <c r="D28" s="3">
        <f t="shared" si="3"/>
        <v>5.9560487426631541</v>
      </c>
      <c r="E28" t="s">
        <v>8</v>
      </c>
      <c r="F28" t="s">
        <v>3</v>
      </c>
      <c r="G28" t="s">
        <v>11</v>
      </c>
      <c r="H28">
        <v>0.13662464422098977</v>
      </c>
      <c r="I28">
        <f t="shared" si="1"/>
        <v>3.2432592000000002</v>
      </c>
      <c r="J28" s="3">
        <v>0.27679999999999999</v>
      </c>
      <c r="K28">
        <f t="shared" si="2"/>
        <v>1.4665152659013299</v>
      </c>
      <c r="L28" s="3">
        <v>0.46237515719114258</v>
      </c>
      <c r="M28">
        <f t="shared" si="4"/>
        <v>3.2166167999999993</v>
      </c>
      <c r="N28">
        <f t="shared" si="5"/>
        <v>0.62448306590132985</v>
      </c>
      <c r="O28">
        <f t="shared" si="6"/>
        <v>38.8285645900581</v>
      </c>
      <c r="P28">
        <f t="shared" si="7"/>
        <v>38.576043253110662</v>
      </c>
    </row>
    <row r="29" spans="1:16" x14ac:dyDescent="0.2">
      <c r="A29" s="4" t="s">
        <v>37</v>
      </c>
      <c r="B29" s="2">
        <v>5</v>
      </c>
      <c r="C29" s="7">
        <f t="shared" si="0"/>
        <v>85.159644809073953</v>
      </c>
      <c r="D29" s="3">
        <f t="shared" si="3"/>
        <v>9.4789763586754052</v>
      </c>
      <c r="E29" t="s">
        <v>8</v>
      </c>
      <c r="F29" t="s">
        <v>4</v>
      </c>
      <c r="G29" t="s">
        <v>11</v>
      </c>
      <c r="H29">
        <v>0.12274385036456226</v>
      </c>
      <c r="I29">
        <f t="shared" si="1"/>
        <v>0.87491083540000103</v>
      </c>
      <c r="J29" s="3">
        <v>5.4294516666666764E-2</v>
      </c>
      <c r="K29">
        <f t="shared" si="2"/>
        <v>3.8772819421790818</v>
      </c>
      <c r="L29" s="3">
        <v>1.1969171060874717</v>
      </c>
      <c r="M29">
        <f t="shared" si="4"/>
        <v>5.1741067645999994</v>
      </c>
      <c r="N29">
        <f t="shared" si="5"/>
        <v>3.113689542179082</v>
      </c>
      <c r="O29">
        <f t="shared" si="6"/>
        <v>120.35660197358899</v>
      </c>
      <c r="P29">
        <f t="shared" si="7"/>
        <v>38.166718068164499</v>
      </c>
    </row>
    <row r="30" spans="1:16" x14ac:dyDescent="0.2">
      <c r="A30" s="4" t="s">
        <v>38</v>
      </c>
      <c r="B30" s="2">
        <v>5</v>
      </c>
      <c r="C30" s="7">
        <f t="shared" si="0"/>
        <v>55.799205108383632</v>
      </c>
      <c r="D30" s="3">
        <f t="shared" si="3"/>
        <v>15.523808926029421</v>
      </c>
      <c r="E30" t="s">
        <v>8</v>
      </c>
      <c r="F30" t="s">
        <v>4</v>
      </c>
      <c r="G30" t="s">
        <v>11</v>
      </c>
      <c r="H30">
        <v>9.9353366736345622E-2</v>
      </c>
      <c r="I30">
        <f t="shared" si="1"/>
        <v>0.29700000000000004</v>
      </c>
      <c r="J30" s="3">
        <v>0</v>
      </c>
      <c r="K30">
        <f t="shared" si="2"/>
        <v>4.9547387485943011</v>
      </c>
      <c r="L30" s="3">
        <v>1.5252098563663319</v>
      </c>
      <c r="M30">
        <f t="shared" si="4"/>
        <v>6.2118384000000004</v>
      </c>
      <c r="N30">
        <f t="shared" si="5"/>
        <v>4.1090963485943011</v>
      </c>
      <c r="O30">
        <f t="shared" si="6"/>
        <v>132.29888107180318</v>
      </c>
      <c r="P30">
        <f t="shared" si="7"/>
        <v>52.063924579709976</v>
      </c>
    </row>
    <row r="31" spans="1:16" x14ac:dyDescent="0.2">
      <c r="A31" s="4" t="s">
        <v>39</v>
      </c>
      <c r="B31" s="2">
        <v>5</v>
      </c>
      <c r="C31" s="7">
        <f t="shared" si="0"/>
        <v>63.753248916707406</v>
      </c>
      <c r="D31" s="3">
        <f t="shared" si="3"/>
        <v>13.848859294846903</v>
      </c>
      <c r="E31" t="s">
        <v>8</v>
      </c>
      <c r="F31" t="s">
        <v>4</v>
      </c>
      <c r="G31" t="s">
        <v>11</v>
      </c>
      <c r="H31">
        <v>0.10569008830364357</v>
      </c>
      <c r="I31">
        <f t="shared" si="1"/>
        <v>0.86070411119999979</v>
      </c>
      <c r="J31" s="3">
        <v>5.2959799999999981E-2</v>
      </c>
      <c r="K31">
        <f t="shared" si="2"/>
        <v>4.1032055526209437</v>
      </c>
      <c r="L31" s="3">
        <v>1.2657542817248459</v>
      </c>
      <c r="M31">
        <f t="shared" si="4"/>
        <v>5.5438230888</v>
      </c>
      <c r="N31">
        <f t="shared" si="5"/>
        <v>3.2736449526209439</v>
      </c>
      <c r="O31">
        <f t="shared" si="6"/>
        <v>118.10062839972576</v>
      </c>
      <c r="P31">
        <f t="shared" si="7"/>
        <v>52.043129326918859</v>
      </c>
    </row>
    <row r="32" spans="1:16" x14ac:dyDescent="0.2">
      <c r="A32" s="4" t="s">
        <v>40</v>
      </c>
      <c r="B32" s="2">
        <v>5</v>
      </c>
      <c r="C32" s="7">
        <f t="shared" si="0"/>
        <v>56.50379222185456</v>
      </c>
      <c r="D32" s="3">
        <f t="shared" si="3"/>
        <v>15.711806643977706</v>
      </c>
      <c r="E32" t="s">
        <v>9</v>
      </c>
      <c r="F32" t="s">
        <v>3</v>
      </c>
      <c r="G32" t="s">
        <v>11</v>
      </c>
      <c r="H32">
        <v>9.9914687803410798E-2</v>
      </c>
      <c r="I32">
        <f t="shared" si="1"/>
        <v>0.29700000000000004</v>
      </c>
      <c r="J32" s="3">
        <v>0</v>
      </c>
      <c r="K32">
        <f t="shared" si="2"/>
        <v>4.5776225151649141</v>
      </c>
      <c r="L32" s="3">
        <v>1.4103054586121007</v>
      </c>
      <c r="M32">
        <f t="shared" si="4"/>
        <v>4.9718124000000001</v>
      </c>
      <c r="N32">
        <f t="shared" si="5"/>
        <v>3.6712631151649142</v>
      </c>
      <c r="O32">
        <f t="shared" si="6"/>
        <v>147.6830909856902</v>
      </c>
      <c r="P32">
        <f t="shared" si="7"/>
        <v>65.837018525250244</v>
      </c>
    </row>
    <row r="33" spans="1:16" x14ac:dyDescent="0.2">
      <c r="A33" s="4" t="s">
        <v>41</v>
      </c>
      <c r="B33" s="2">
        <v>5</v>
      </c>
      <c r="C33" s="7">
        <f t="shared" si="0"/>
        <v>98.100580169653199</v>
      </c>
      <c r="D33" s="3">
        <f t="shared" si="3"/>
        <v>9.2059715578591472</v>
      </c>
      <c r="E33" t="s">
        <v>9</v>
      </c>
      <c r="F33" t="s">
        <v>3</v>
      </c>
      <c r="G33" t="s">
        <v>11</v>
      </c>
      <c r="H33">
        <v>0.13305346220182374</v>
      </c>
      <c r="I33">
        <f t="shared" si="1"/>
        <v>0.29700000000000004</v>
      </c>
      <c r="J33" s="3">
        <v>0</v>
      </c>
      <c r="K33">
        <f t="shared" si="2"/>
        <v>5.3326264030905817</v>
      </c>
      <c r="L33" s="3">
        <v>1.6403493001494767</v>
      </c>
      <c r="M33">
        <f t="shared" si="4"/>
        <v>6.1373304000000006</v>
      </c>
      <c r="N33">
        <f t="shared" si="5"/>
        <v>4.5053632030905817</v>
      </c>
      <c r="O33">
        <f t="shared" si="6"/>
        <v>146.8183366204492</v>
      </c>
      <c r="P33">
        <f t="shared" si="7"/>
        <v>31.249918388305364</v>
      </c>
    </row>
    <row r="34" spans="1:16" x14ac:dyDescent="0.2">
      <c r="A34" s="4" t="s">
        <v>42</v>
      </c>
      <c r="B34" s="2">
        <v>5</v>
      </c>
      <c r="C34" s="7">
        <f t="shared" si="0"/>
        <v>48.349382549489796</v>
      </c>
      <c r="D34" s="3">
        <f t="shared" si="3"/>
        <v>19.748083344510114</v>
      </c>
      <c r="E34" t="s">
        <v>9</v>
      </c>
      <c r="F34" t="s">
        <v>3</v>
      </c>
      <c r="G34" t="s">
        <v>11</v>
      </c>
      <c r="H34">
        <v>9.3418341431093538E-2</v>
      </c>
      <c r="I34">
        <f t="shared" si="1"/>
        <v>0.29700000000000004</v>
      </c>
      <c r="J34" s="3">
        <v>0</v>
      </c>
      <c r="K34">
        <f t="shared" si="2"/>
        <v>5.1246449948560047</v>
      </c>
      <c r="L34" s="3">
        <v>1.576978974666668</v>
      </c>
      <c r="M34">
        <f t="shared" si="4"/>
        <v>6.2661228000000007</v>
      </c>
      <c r="N34">
        <f t="shared" si="5"/>
        <v>4.2730949948560042</v>
      </c>
      <c r="O34">
        <f t="shared" si="6"/>
        <v>136.38720884486989</v>
      </c>
      <c r="P34">
        <f t="shared" si="7"/>
        <v>65.657571059831028</v>
      </c>
    </row>
    <row r="35" spans="1:16" x14ac:dyDescent="0.2">
      <c r="A35" s="4" t="s">
        <v>43</v>
      </c>
      <c r="B35" s="2">
        <v>5</v>
      </c>
      <c r="C35" s="7">
        <f t="shared" si="0"/>
        <v>75.229857117306267</v>
      </c>
      <c r="D35" s="3">
        <f t="shared" si="3"/>
        <v>14.055343536522349</v>
      </c>
      <c r="E35" t="s">
        <v>9</v>
      </c>
      <c r="F35" t="s">
        <v>4</v>
      </c>
      <c r="G35" t="s">
        <v>11</v>
      </c>
      <c r="H35">
        <v>0.114833119503454</v>
      </c>
      <c r="I35">
        <f t="shared" si="1"/>
        <v>1.5780868265999972</v>
      </c>
      <c r="J35" s="3">
        <v>0.12035764999999973</v>
      </c>
      <c r="K35">
        <f t="shared" si="2"/>
        <v>3.3430357119095491</v>
      </c>
      <c r="L35" s="3">
        <v>1.0341364143539149</v>
      </c>
      <c r="M35">
        <f t="shared" si="4"/>
        <v>4.4081311734000019</v>
      </c>
      <c r="N35">
        <f t="shared" si="5"/>
        <v>2.4754039119095492</v>
      </c>
      <c r="O35">
        <f t="shared" si="6"/>
        <v>112.31080993446321</v>
      </c>
      <c r="P35">
        <f t="shared" si="7"/>
        <v>66.427165048500541</v>
      </c>
    </row>
    <row r="36" spans="1:16" x14ac:dyDescent="0.2">
      <c r="A36" s="4" t="s">
        <v>44</v>
      </c>
      <c r="B36" s="2">
        <v>5</v>
      </c>
      <c r="C36" s="7">
        <f t="shared" si="0"/>
        <v>25.833048053923473</v>
      </c>
      <c r="D36" s="3">
        <f t="shared" si="3"/>
        <v>20.994683436292284</v>
      </c>
      <c r="E36" t="s">
        <v>9</v>
      </c>
      <c r="F36" t="s">
        <v>4</v>
      </c>
      <c r="G36" t="s">
        <v>11</v>
      </c>
      <c r="H36">
        <v>7.5480328282959031E-2</v>
      </c>
      <c r="I36">
        <f t="shared" si="1"/>
        <v>0.93244680000000002</v>
      </c>
      <c r="J36" s="3">
        <v>5.9700000000000003E-2</v>
      </c>
      <c r="K36">
        <f t="shared" si="2"/>
        <v>4.1284811698000015</v>
      </c>
      <c r="L36" s="3">
        <v>1.2734555666666671</v>
      </c>
      <c r="M36">
        <f t="shared" si="4"/>
        <v>5.5338155999999996</v>
      </c>
      <c r="N36">
        <f t="shared" si="5"/>
        <v>3.2221217698000015</v>
      </c>
      <c r="O36">
        <f t="shared" si="6"/>
        <v>116.45208307266334</v>
      </c>
      <c r="P36">
        <f t="shared" si="7"/>
        <v>79.039359073708439</v>
      </c>
    </row>
    <row r="37" spans="1:16" x14ac:dyDescent="0.2">
      <c r="A37" s="4" t="s">
        <v>45</v>
      </c>
      <c r="B37" s="2">
        <v>5</v>
      </c>
      <c r="C37" s="7">
        <f t="shared" si="0"/>
        <v>75.57697541293436</v>
      </c>
      <c r="D37" s="3">
        <f t="shared" si="3"/>
        <v>12.048526772698306</v>
      </c>
      <c r="E37" t="s">
        <v>9</v>
      </c>
      <c r="F37" t="s">
        <v>4</v>
      </c>
      <c r="G37" t="s">
        <v>11</v>
      </c>
      <c r="H37">
        <v>0.11510965707897104</v>
      </c>
      <c r="I37">
        <f t="shared" si="1"/>
        <v>1.8393155999999999</v>
      </c>
      <c r="J37" s="3">
        <v>0.1449</v>
      </c>
      <c r="K37">
        <f t="shared" si="2"/>
        <v>3.1578990901541779</v>
      </c>
      <c r="L37" s="3">
        <v>0.97772671851132775</v>
      </c>
      <c r="M37">
        <f t="shared" si="4"/>
        <v>4.2937896000000002</v>
      </c>
      <c r="N37">
        <f t="shared" si="5"/>
        <v>2.1937764901541779</v>
      </c>
      <c r="O37">
        <f t="shared" si="6"/>
        <v>102.1836975968351</v>
      </c>
      <c r="P37">
        <f t="shared" si="7"/>
        <v>58.4590764370976</v>
      </c>
    </row>
    <row r="38" spans="1:16" x14ac:dyDescent="0.2">
      <c r="A38" s="5" t="s">
        <v>22</v>
      </c>
      <c r="B38" s="2">
        <v>0</v>
      </c>
      <c r="C38" s="7">
        <f t="shared" ref="C38:C91" si="8">30*(H38-0.0549)/0.0239</f>
        <v>114.64973969711593</v>
      </c>
      <c r="D38" t="s">
        <v>48</v>
      </c>
      <c r="E38" t="s">
        <v>6</v>
      </c>
      <c r="F38" t="s">
        <v>3</v>
      </c>
      <c r="G38" t="s">
        <v>49</v>
      </c>
      <c r="H38">
        <v>0.14623762595870238</v>
      </c>
      <c r="I38">
        <f t="shared" ref="I38:I76" si="9">(0.3548*J38 + 0.0099)*30</f>
        <v>4.6102926012000589</v>
      </c>
      <c r="J38">
        <v>0.40523230000000554</v>
      </c>
      <c r="K38">
        <f t="shared" ref="K38:K76" si="10">(0.1094*L38 - 0.0017)*30</f>
        <v>0.81630766771716434</v>
      </c>
      <c r="L38">
        <v>0.26426193410029386</v>
      </c>
      <c r="M38" s="3" t="s">
        <v>48</v>
      </c>
      <c r="N38" s="3" t="s">
        <v>48</v>
      </c>
      <c r="O38" s="3" t="s">
        <v>48</v>
      </c>
      <c r="P38" s="3" t="s">
        <v>48</v>
      </c>
    </row>
    <row r="39" spans="1:16" x14ac:dyDescent="0.2">
      <c r="A39" s="5" t="s">
        <v>23</v>
      </c>
      <c r="B39" s="2">
        <v>0</v>
      </c>
      <c r="C39" s="7">
        <f t="shared" si="8"/>
        <v>101.38809059616084</v>
      </c>
      <c r="D39" t="s">
        <v>48</v>
      </c>
      <c r="E39" t="s">
        <v>6</v>
      </c>
      <c r="F39" t="s">
        <v>3</v>
      </c>
      <c r="G39" t="s">
        <v>49</v>
      </c>
      <c r="H39">
        <v>0.13567251217494147</v>
      </c>
      <c r="I39">
        <f t="shared" si="9"/>
        <v>4.3853603999999997</v>
      </c>
      <c r="J39">
        <v>0.3841</v>
      </c>
      <c r="K39">
        <f t="shared" si="10"/>
        <v>1.5131888401535161</v>
      </c>
      <c r="L39">
        <v>0.4765962340504315</v>
      </c>
      <c r="M39" s="3" t="s">
        <v>48</v>
      </c>
      <c r="N39" s="3" t="s">
        <v>48</v>
      </c>
      <c r="O39" s="3" t="s">
        <v>48</v>
      </c>
      <c r="P39" s="3" t="s">
        <v>48</v>
      </c>
    </row>
    <row r="40" spans="1:16" x14ac:dyDescent="0.2">
      <c r="A40" s="5" t="s">
        <v>24</v>
      </c>
      <c r="B40" s="2">
        <v>0</v>
      </c>
      <c r="C40" s="7">
        <f t="shared" si="8"/>
        <v>117.27242715336892</v>
      </c>
      <c r="D40" t="s">
        <v>48</v>
      </c>
      <c r="E40" t="s">
        <v>6</v>
      </c>
      <c r="F40" t="s">
        <v>3</v>
      </c>
      <c r="G40" t="s">
        <v>49</v>
      </c>
      <c r="H40">
        <v>0.14832703363218391</v>
      </c>
      <c r="I40">
        <f t="shared" si="9"/>
        <v>3.8818992000000003</v>
      </c>
      <c r="J40">
        <v>0.33679999999999999</v>
      </c>
      <c r="K40">
        <f t="shared" si="10"/>
        <v>0.87400107071614075</v>
      </c>
      <c r="L40">
        <v>0.28184066749425374</v>
      </c>
      <c r="M40" s="3" t="s">
        <v>48</v>
      </c>
      <c r="N40" s="3" t="s">
        <v>48</v>
      </c>
      <c r="O40" s="3" t="s">
        <v>48</v>
      </c>
      <c r="P40" s="3" t="s">
        <v>48</v>
      </c>
    </row>
    <row r="41" spans="1:16" x14ac:dyDescent="0.2">
      <c r="A41" s="5" t="s">
        <v>25</v>
      </c>
      <c r="B41" s="2">
        <v>0</v>
      </c>
      <c r="C41" s="7">
        <f t="shared" si="8"/>
        <v>78.415145203381996</v>
      </c>
      <c r="D41" t="s">
        <v>48</v>
      </c>
      <c r="E41" t="s">
        <v>6</v>
      </c>
      <c r="F41" t="s">
        <v>4</v>
      </c>
      <c r="G41" t="s">
        <v>49</v>
      </c>
      <c r="H41">
        <v>0.117370732345361</v>
      </c>
      <c r="I41">
        <f t="shared" si="9"/>
        <v>3.956414650799994</v>
      </c>
      <c r="J41">
        <v>0.3438006999999994</v>
      </c>
      <c r="K41">
        <f t="shared" si="10"/>
        <v>2.1287361732515544</v>
      </c>
      <c r="L41">
        <v>0.66414874261168633</v>
      </c>
      <c r="M41" s="3" t="s">
        <v>48</v>
      </c>
      <c r="N41" s="3" t="s">
        <v>48</v>
      </c>
      <c r="O41" s="3" t="s">
        <v>48</v>
      </c>
      <c r="P41" s="3" t="s">
        <v>48</v>
      </c>
    </row>
    <row r="42" spans="1:16" x14ac:dyDescent="0.2">
      <c r="A42" s="5" t="s">
        <v>26</v>
      </c>
      <c r="B42" s="2">
        <v>0</v>
      </c>
      <c r="C42" s="7">
        <f t="shared" si="8"/>
        <v>107.26136074411077</v>
      </c>
      <c r="D42" t="s">
        <v>48</v>
      </c>
      <c r="E42" t="s">
        <v>6</v>
      </c>
      <c r="F42" t="s">
        <v>4</v>
      </c>
      <c r="G42" t="s">
        <v>49</v>
      </c>
      <c r="H42">
        <v>0.14035155072614158</v>
      </c>
      <c r="I42">
        <f t="shared" si="9"/>
        <v>4.0095564173999261</v>
      </c>
      <c r="J42">
        <v>0.34879334999999312</v>
      </c>
      <c r="K42">
        <f t="shared" si="10"/>
        <v>0.90493126251549405</v>
      </c>
      <c r="L42">
        <v>0.291264857561089</v>
      </c>
      <c r="M42" s="3" t="s">
        <v>48</v>
      </c>
      <c r="N42" s="3" t="s">
        <v>48</v>
      </c>
      <c r="O42" s="3" t="s">
        <v>48</v>
      </c>
      <c r="P42" s="3" t="s">
        <v>48</v>
      </c>
    </row>
    <row r="43" spans="1:16" x14ac:dyDescent="0.2">
      <c r="A43" s="5" t="s">
        <v>27</v>
      </c>
      <c r="B43" s="2">
        <v>0</v>
      </c>
      <c r="C43" s="7">
        <f t="shared" si="8"/>
        <v>102.13677490243019</v>
      </c>
      <c r="D43" t="s">
        <v>48</v>
      </c>
      <c r="E43" t="s">
        <v>6</v>
      </c>
      <c r="F43" t="s">
        <v>4</v>
      </c>
      <c r="G43" t="s">
        <v>49</v>
      </c>
      <c r="H43">
        <v>0.13626896400560273</v>
      </c>
      <c r="I43">
        <f t="shared" si="9"/>
        <v>4.3432377256466337</v>
      </c>
      <c r="J43">
        <v>0.38014258978266002</v>
      </c>
      <c r="K43">
        <f t="shared" si="10"/>
        <v>1.2936206634829126</v>
      </c>
      <c r="L43">
        <v>0.40969550989729209</v>
      </c>
      <c r="M43" s="3" t="s">
        <v>48</v>
      </c>
      <c r="N43" s="3" t="s">
        <v>48</v>
      </c>
      <c r="O43" s="3" t="s">
        <v>48</v>
      </c>
      <c r="P43" s="3" t="s">
        <v>48</v>
      </c>
    </row>
    <row r="44" spans="1:16" s="11" customFormat="1" x14ac:dyDescent="0.2">
      <c r="A44" s="6" t="s">
        <v>34</v>
      </c>
      <c r="B44" s="9">
        <v>0</v>
      </c>
      <c r="C44" s="10">
        <f t="shared" si="8"/>
        <v>106.80097602551831</v>
      </c>
      <c r="D44" s="11" t="s">
        <v>48</v>
      </c>
      <c r="E44" s="11" t="s">
        <v>8</v>
      </c>
      <c r="F44" s="11" t="s">
        <v>3</v>
      </c>
      <c r="G44" s="11" t="s">
        <v>49</v>
      </c>
      <c r="H44" s="11">
        <v>0.13998477756699626</v>
      </c>
      <c r="I44">
        <f t="shared" si="9"/>
        <v>6.3715307999999995</v>
      </c>
      <c r="J44" s="11">
        <v>0.57069999999999999</v>
      </c>
      <c r="K44">
        <f t="shared" si="10"/>
        <v>0.80636146242074536</v>
      </c>
      <c r="L44" s="11">
        <v>0.26123140232198216</v>
      </c>
      <c r="M44" s="3" t="s">
        <v>48</v>
      </c>
      <c r="N44" s="3" t="s">
        <v>48</v>
      </c>
      <c r="O44" s="3" t="s">
        <v>48</v>
      </c>
      <c r="P44" s="3" t="s">
        <v>48</v>
      </c>
    </row>
    <row r="45" spans="1:16" s="11" customFormat="1" x14ac:dyDescent="0.2">
      <c r="A45" s="6" t="s">
        <v>35</v>
      </c>
      <c r="B45" s="9">
        <v>0</v>
      </c>
      <c r="C45" s="10">
        <f t="shared" si="8"/>
        <v>105.57606278947721</v>
      </c>
      <c r="D45" s="11" t="s">
        <v>48</v>
      </c>
      <c r="E45" s="11" t="s">
        <v>8</v>
      </c>
      <c r="F45" s="11" t="s">
        <v>3</v>
      </c>
      <c r="G45" s="11" t="s">
        <v>49</v>
      </c>
      <c r="H45" s="11">
        <v>0.13900893002228351</v>
      </c>
      <c r="I45">
        <f t="shared" si="9"/>
        <v>6.2975535808000025</v>
      </c>
      <c r="J45" s="11">
        <v>0.56374986666666693</v>
      </c>
      <c r="K45">
        <f t="shared" si="10"/>
        <v>0.78406933593075778</v>
      </c>
      <c r="L45" s="11">
        <v>0.25443916390333876</v>
      </c>
      <c r="M45" s="3" t="s">
        <v>48</v>
      </c>
      <c r="N45" s="3" t="s">
        <v>48</v>
      </c>
      <c r="O45" s="3" t="s">
        <v>48</v>
      </c>
      <c r="P45" s="3" t="s">
        <v>48</v>
      </c>
    </row>
    <row r="46" spans="1:16" s="11" customFormat="1" x14ac:dyDescent="0.2">
      <c r="A46" s="6" t="s">
        <v>36</v>
      </c>
      <c r="B46" s="9">
        <v>0</v>
      </c>
      <c r="C46" s="10">
        <f t="shared" si="8"/>
        <v>114.90767598026237</v>
      </c>
      <c r="D46" s="11" t="s">
        <v>48</v>
      </c>
      <c r="E46" s="11" t="s">
        <v>8</v>
      </c>
      <c r="F46" s="11" t="s">
        <v>3</v>
      </c>
      <c r="G46" s="11" t="s">
        <v>49</v>
      </c>
      <c r="H46" s="11">
        <v>0.14644311519760903</v>
      </c>
      <c r="I46">
        <f t="shared" si="9"/>
        <v>6.2427383999999995</v>
      </c>
      <c r="J46" s="11">
        <v>0.55859999999999999</v>
      </c>
      <c r="K46">
        <f t="shared" si="10"/>
        <v>0.81686959534324211</v>
      </c>
      <c r="L46" s="11">
        <v>0.26443314909909876</v>
      </c>
      <c r="M46" s="3" t="s">
        <v>48</v>
      </c>
      <c r="N46" s="3" t="s">
        <v>48</v>
      </c>
      <c r="O46" s="3" t="s">
        <v>48</v>
      </c>
      <c r="P46" s="3" t="s">
        <v>48</v>
      </c>
    </row>
    <row r="47" spans="1:16" x14ac:dyDescent="0.2">
      <c r="A47" s="5" t="s">
        <v>37</v>
      </c>
      <c r="B47" s="2">
        <v>0</v>
      </c>
      <c r="C47" s="7">
        <f t="shared" si="8"/>
        <v>111.80852532907073</v>
      </c>
      <c r="D47" t="s">
        <v>48</v>
      </c>
      <c r="E47" t="s">
        <v>8</v>
      </c>
      <c r="F47" t="s">
        <v>4</v>
      </c>
      <c r="G47" t="s">
        <v>49</v>
      </c>
      <c r="H47">
        <v>0.14397412517882635</v>
      </c>
      <c r="I47">
        <f t="shared" si="9"/>
        <v>6.1394916000000004</v>
      </c>
      <c r="J47">
        <v>0.54890000000000005</v>
      </c>
      <c r="K47">
        <f t="shared" si="10"/>
        <v>0.79337477625774799</v>
      </c>
      <c r="L47">
        <v>0.25727445955446315</v>
      </c>
      <c r="M47" s="3" t="s">
        <v>48</v>
      </c>
      <c r="N47" s="3" t="s">
        <v>48</v>
      </c>
      <c r="O47" s="3" t="s">
        <v>48</v>
      </c>
      <c r="P47" s="3" t="s">
        <v>48</v>
      </c>
    </row>
    <row r="48" spans="1:16" x14ac:dyDescent="0.2">
      <c r="A48" s="5" t="s">
        <v>38</v>
      </c>
      <c r="B48" s="2">
        <v>0</v>
      </c>
      <c r="C48" s="7">
        <f t="shared" si="8"/>
        <v>106.90592627237314</v>
      </c>
      <c r="D48" t="s">
        <v>48</v>
      </c>
      <c r="E48" t="s">
        <v>8</v>
      </c>
      <c r="F48" t="s">
        <v>4</v>
      </c>
      <c r="G48" t="s">
        <v>49</v>
      </c>
      <c r="H48">
        <v>0.14006838793032395</v>
      </c>
      <c r="I48">
        <f t="shared" si="9"/>
        <v>6.0213431999999987</v>
      </c>
      <c r="J48">
        <v>0.53779999999999994</v>
      </c>
      <c r="K48">
        <f t="shared" si="10"/>
        <v>0.77751618371874154</v>
      </c>
      <c r="L48">
        <v>0.25244246914038437</v>
      </c>
      <c r="M48" s="3" t="s">
        <v>48</v>
      </c>
      <c r="N48" s="3" t="s">
        <v>48</v>
      </c>
      <c r="O48" s="3" t="s">
        <v>48</v>
      </c>
      <c r="P48" s="3" t="s">
        <v>48</v>
      </c>
    </row>
    <row r="49" spans="1:16" x14ac:dyDescent="0.2">
      <c r="A49" s="5" t="s">
        <v>39</v>
      </c>
      <c r="B49" s="2">
        <v>0</v>
      </c>
      <c r="C49" s="7">
        <f t="shared" si="8"/>
        <v>121.94103460819971</v>
      </c>
      <c r="D49" t="s">
        <v>48</v>
      </c>
      <c r="E49" t="s">
        <v>8</v>
      </c>
      <c r="F49" t="s">
        <v>4</v>
      </c>
      <c r="G49" t="s">
        <v>49</v>
      </c>
      <c r="H49">
        <v>0.15204635757119911</v>
      </c>
      <c r="I49">
        <f t="shared" si="9"/>
        <v>5.4518892000000001</v>
      </c>
      <c r="J49">
        <v>0.48430000000000001</v>
      </c>
      <c r="K49">
        <f t="shared" si="10"/>
        <v>0.83931596634567407</v>
      </c>
      <c r="L49">
        <v>0.27127238462695735</v>
      </c>
      <c r="M49" s="3" t="s">
        <v>48</v>
      </c>
      <c r="N49" s="3" t="s">
        <v>48</v>
      </c>
      <c r="O49" s="3" t="s">
        <v>48</v>
      </c>
      <c r="P49" s="3" t="s">
        <v>48</v>
      </c>
    </row>
    <row r="50" spans="1:16" s="11" customFormat="1" x14ac:dyDescent="0.2">
      <c r="A50" s="6" t="s">
        <v>40</v>
      </c>
      <c r="B50" s="9">
        <v>0</v>
      </c>
      <c r="C50" s="10">
        <f t="shared" si="8"/>
        <v>114.21657466836906</v>
      </c>
      <c r="D50" s="11" t="s">
        <v>48</v>
      </c>
      <c r="E50" s="11" t="s">
        <v>9</v>
      </c>
      <c r="F50" s="11" t="s">
        <v>3</v>
      </c>
      <c r="G50" s="11" t="s">
        <v>49</v>
      </c>
      <c r="H50" s="11">
        <v>0.14589253781913403</v>
      </c>
      <c r="I50">
        <f t="shared" si="9"/>
        <v>7.2070848000000005</v>
      </c>
      <c r="J50" s="11">
        <v>0.6492</v>
      </c>
      <c r="K50">
        <f t="shared" si="10"/>
        <v>0.87591525779054458</v>
      </c>
      <c r="L50" s="11">
        <v>0.2824239054815797</v>
      </c>
      <c r="M50" s="3" t="s">
        <v>48</v>
      </c>
      <c r="N50" s="3" t="s">
        <v>48</v>
      </c>
      <c r="O50" s="3" t="s">
        <v>48</v>
      </c>
      <c r="P50" s="3" t="s">
        <v>48</v>
      </c>
    </row>
    <row r="51" spans="1:16" s="11" customFormat="1" x14ac:dyDescent="0.2">
      <c r="A51" s="6" t="s">
        <v>41</v>
      </c>
      <c r="B51" s="9">
        <v>0</v>
      </c>
      <c r="C51" s="10">
        <f t="shared" si="8"/>
        <v>124.75467320873629</v>
      </c>
      <c r="D51" s="11" t="s">
        <v>48</v>
      </c>
      <c r="E51" s="11" t="s">
        <v>9</v>
      </c>
      <c r="F51" s="11" t="s">
        <v>3</v>
      </c>
      <c r="G51" s="11" t="s">
        <v>49</v>
      </c>
      <c r="H51" s="11">
        <v>0.15428788965629325</v>
      </c>
      <c r="I51">
        <v>0.52530741666666803</v>
      </c>
      <c r="J51" s="11">
        <v>0.42384445007080795</v>
      </c>
      <c r="K51">
        <f t="shared" si="10"/>
        <v>0.89642214730770808</v>
      </c>
      <c r="L51" s="11">
        <v>0.28867219601088001</v>
      </c>
      <c r="M51" s="3" t="s">
        <v>48</v>
      </c>
      <c r="N51" s="3" t="s">
        <v>48</v>
      </c>
      <c r="O51" s="3" t="s">
        <v>48</v>
      </c>
      <c r="P51" s="3" t="s">
        <v>48</v>
      </c>
    </row>
    <row r="52" spans="1:16" s="11" customFormat="1" x14ac:dyDescent="0.2">
      <c r="A52" s="6" t="s">
        <v>42</v>
      </c>
      <c r="B52" s="9">
        <v>0</v>
      </c>
      <c r="C52" s="10">
        <f t="shared" si="8"/>
        <v>105.54720718503026</v>
      </c>
      <c r="D52" s="11" t="s">
        <v>48</v>
      </c>
      <c r="E52" s="11" t="s">
        <v>9</v>
      </c>
      <c r="F52" s="11" t="s">
        <v>3</v>
      </c>
      <c r="G52" s="11" t="s">
        <v>49</v>
      </c>
      <c r="H52" s="11">
        <v>0.13898594172407411</v>
      </c>
      <c r="I52">
        <f t="shared" si="9"/>
        <v>5.6197025297634822</v>
      </c>
      <c r="J52" s="11">
        <v>0.50006600242046995</v>
      </c>
      <c r="K52">
        <f t="shared" si="10"/>
        <v>0.8441956610455823</v>
      </c>
      <c r="L52" s="11">
        <v>0.27275918983716707</v>
      </c>
      <c r="M52" s="3" t="s">
        <v>48</v>
      </c>
      <c r="N52" s="3" t="s">
        <v>48</v>
      </c>
      <c r="O52" s="3" t="s">
        <v>48</v>
      </c>
      <c r="P52" s="3" t="s">
        <v>48</v>
      </c>
    </row>
    <row r="53" spans="1:16" x14ac:dyDescent="0.2">
      <c r="A53" s="5" t="s">
        <v>43</v>
      </c>
      <c r="B53" s="2">
        <v>0</v>
      </c>
      <c r="C53" s="7">
        <f t="shared" si="8"/>
        <v>108.23129653694222</v>
      </c>
      <c r="D53" t="s">
        <v>48</v>
      </c>
      <c r="E53" t="s">
        <v>9</v>
      </c>
      <c r="F53" t="s">
        <v>4</v>
      </c>
      <c r="G53" t="s">
        <v>49</v>
      </c>
      <c r="H53">
        <v>0.14112426624109731</v>
      </c>
      <c r="I53">
        <f t="shared" si="9"/>
        <v>6.1353847899999661</v>
      </c>
      <c r="J53">
        <v>0.54851416666666353</v>
      </c>
      <c r="K53">
        <f t="shared" si="10"/>
        <v>0.77409513908868488</v>
      </c>
      <c r="L53">
        <v>0.25140010331769802</v>
      </c>
      <c r="M53" s="3" t="s">
        <v>48</v>
      </c>
      <c r="N53" s="3" t="s">
        <v>48</v>
      </c>
      <c r="O53" s="3" t="s">
        <v>48</v>
      </c>
      <c r="P53" s="3" t="s">
        <v>48</v>
      </c>
    </row>
    <row r="54" spans="1:16" x14ac:dyDescent="0.2">
      <c r="A54" s="5" t="s">
        <v>44</v>
      </c>
      <c r="B54" s="2">
        <v>0</v>
      </c>
      <c r="C54" s="7">
        <f t="shared" si="8"/>
        <v>102.90645509220596</v>
      </c>
      <c r="D54" t="s">
        <v>48</v>
      </c>
      <c r="E54" t="s">
        <v>9</v>
      </c>
      <c r="F54" t="s">
        <v>4</v>
      </c>
      <c r="G54" t="s">
        <v>49</v>
      </c>
      <c r="H54">
        <v>0.13688214255679076</v>
      </c>
      <c r="I54">
        <f t="shared" si="9"/>
        <v>5.9170319999999998</v>
      </c>
      <c r="J54">
        <v>0.52800000000000002</v>
      </c>
      <c r="K54">
        <f t="shared" si="10"/>
        <v>0.73566804952411713</v>
      </c>
      <c r="L54">
        <v>0.23969166652166884</v>
      </c>
      <c r="M54" s="3" t="s">
        <v>48</v>
      </c>
      <c r="N54" s="3" t="s">
        <v>48</v>
      </c>
      <c r="O54" s="3" t="s">
        <v>48</v>
      </c>
      <c r="P54" s="3" t="s">
        <v>48</v>
      </c>
    </row>
    <row r="55" spans="1:16" x14ac:dyDescent="0.2">
      <c r="A55" s="5" t="s">
        <v>45</v>
      </c>
      <c r="B55" s="2">
        <v>0</v>
      </c>
      <c r="C55" s="7">
        <f>30*(H55-0.0549)/0.0239</f>
        <v>111.39124661371595</v>
      </c>
      <c r="D55" t="s">
        <v>48</v>
      </c>
      <c r="E55" t="s">
        <v>9</v>
      </c>
      <c r="F55" t="s">
        <v>4</v>
      </c>
      <c r="G55" t="s">
        <v>49</v>
      </c>
      <c r="H55">
        <v>0.14364169313559372</v>
      </c>
      <c r="I55">
        <f t="shared" si="9"/>
        <v>6.4939378644000385</v>
      </c>
      <c r="J55">
        <v>0.58220010000000366</v>
      </c>
      <c r="K55">
        <f t="shared" si="10"/>
        <v>0.82025118836492572</v>
      </c>
      <c r="L55">
        <v>0.26546349432203709</v>
      </c>
      <c r="M55" s="3" t="s">
        <v>48</v>
      </c>
      <c r="N55" s="3" t="s">
        <v>48</v>
      </c>
      <c r="O55" s="3" t="s">
        <v>48</v>
      </c>
      <c r="P55" s="3" t="s">
        <v>48</v>
      </c>
    </row>
    <row r="56" spans="1:16" x14ac:dyDescent="0.2">
      <c r="A56" s="5" t="s">
        <v>22</v>
      </c>
      <c r="B56" s="2">
        <v>4</v>
      </c>
      <c r="C56" s="7">
        <f t="shared" ref="C56:C73" si="11">30*(H56-0.0549)/0.0239</f>
        <v>116.06688660485165</v>
      </c>
      <c r="D56" s="3">
        <f t="shared" ref="D56:D73" si="12">(C38-C56)/(B56-B38)</f>
        <v>-0.35428672693392826</v>
      </c>
      <c r="E56" t="s">
        <v>6</v>
      </c>
      <c r="F56" t="s">
        <v>3</v>
      </c>
      <c r="G56" t="s">
        <v>49</v>
      </c>
      <c r="H56">
        <v>0.14736661966186515</v>
      </c>
      <c r="I56">
        <f t="shared" si="9"/>
        <v>3.2011960633999794</v>
      </c>
      <c r="J56">
        <v>0.27284818333333138</v>
      </c>
      <c r="K56">
        <f t="shared" si="10"/>
        <v>1.1016302483641833</v>
      </c>
      <c r="L56">
        <v>0.35119751625965367</v>
      </c>
      <c r="M56">
        <f t="shared" ref="M56:M73" si="13">I38-I56</f>
        <v>1.4090965378000795</v>
      </c>
      <c r="N56">
        <f t="shared" ref="N56:N73" si="14">K56-K38</f>
        <v>0.28532258064701899</v>
      </c>
      <c r="O56">
        <f t="shared" ref="O56:O91" si="15">2*N56/M56*100</f>
        <v>40.497236774489913</v>
      </c>
    </row>
    <row r="57" spans="1:16" x14ac:dyDescent="0.2">
      <c r="A57" s="5" t="s">
        <v>23</v>
      </c>
      <c r="B57" s="2">
        <v>4</v>
      </c>
      <c r="C57" s="7">
        <f t="shared" si="11"/>
        <v>100.5167102275927</v>
      </c>
      <c r="D57" s="3">
        <f t="shared" si="12"/>
        <v>0.21784509214203496</v>
      </c>
      <c r="E57" t="s">
        <v>6</v>
      </c>
      <c r="F57" t="s">
        <v>3</v>
      </c>
      <c r="G57" t="s">
        <v>49</v>
      </c>
      <c r="H57">
        <v>0.13497831248131553</v>
      </c>
      <c r="I57">
        <f t="shared" si="9"/>
        <v>3.3633664508000178</v>
      </c>
      <c r="J57">
        <v>0.28808403333333499</v>
      </c>
      <c r="K57">
        <f t="shared" si="10"/>
        <v>2.6725868731472047</v>
      </c>
      <c r="L57">
        <v>0.82985584190956874</v>
      </c>
      <c r="M57">
        <f t="shared" si="13"/>
        <v>1.0219939491999819</v>
      </c>
      <c r="N57">
        <f t="shared" si="14"/>
        <v>1.1593980329936886</v>
      </c>
      <c r="O57">
        <f t="shared" si="15"/>
        <v>226.88941238864805</v>
      </c>
    </row>
    <row r="58" spans="1:16" x14ac:dyDescent="0.2">
      <c r="A58" s="5" t="s">
        <v>24</v>
      </c>
      <c r="B58" s="2">
        <v>4</v>
      </c>
      <c r="C58" s="7">
        <f t="shared" si="11"/>
        <v>106.67984887169865</v>
      </c>
      <c r="D58" s="3">
        <f t="shared" si="12"/>
        <v>2.6481445704175677</v>
      </c>
      <c r="E58" t="s">
        <v>6</v>
      </c>
      <c r="F58" t="s">
        <v>3</v>
      </c>
      <c r="G58" t="s">
        <v>49</v>
      </c>
      <c r="H58">
        <v>0.13988827960111994</v>
      </c>
      <c r="I58">
        <f t="shared" si="9"/>
        <v>2.427032501603875</v>
      </c>
      <c r="J58">
        <v>0.20011579308567029</v>
      </c>
      <c r="K58">
        <f t="shared" si="10"/>
        <v>1.8890337116152203</v>
      </c>
      <c r="L58">
        <v>0.59111325765241318</v>
      </c>
      <c r="M58">
        <f t="shared" si="13"/>
        <v>1.4548666983961254</v>
      </c>
      <c r="N58">
        <f t="shared" si="14"/>
        <v>1.0150326408990795</v>
      </c>
      <c r="O58">
        <f t="shared" si="15"/>
        <v>139.53617084205339</v>
      </c>
    </row>
    <row r="59" spans="1:16" x14ac:dyDescent="0.2">
      <c r="A59" s="5" t="s">
        <v>25</v>
      </c>
      <c r="B59" s="2">
        <v>4</v>
      </c>
      <c r="C59" s="7">
        <f t="shared" si="11"/>
        <v>79.482516745997074</v>
      </c>
      <c r="D59" s="3">
        <f t="shared" si="12"/>
        <v>-0.26684288565376946</v>
      </c>
      <c r="E59" t="s">
        <v>6</v>
      </c>
      <c r="F59" t="s">
        <v>4</v>
      </c>
      <c r="G59" t="s">
        <v>49</v>
      </c>
      <c r="H59">
        <v>0.11822107167431101</v>
      </c>
      <c r="I59">
        <f t="shared" si="9"/>
        <v>1.5187697660000177</v>
      </c>
      <c r="J59">
        <v>0.114784833333335</v>
      </c>
      <c r="K59">
        <f t="shared" si="10"/>
        <v>3.846073689641774</v>
      </c>
      <c r="L59">
        <v>1.1874081930657447</v>
      </c>
      <c r="M59">
        <f t="shared" si="13"/>
        <v>2.4376448847999761</v>
      </c>
      <c r="N59">
        <f t="shared" si="14"/>
        <v>1.7173375163902196</v>
      </c>
      <c r="O59">
        <f t="shared" si="15"/>
        <v>140.90136976872557</v>
      </c>
    </row>
    <row r="60" spans="1:16" x14ac:dyDescent="0.2">
      <c r="A60" s="5" t="s">
        <v>26</v>
      </c>
      <c r="B60" s="2">
        <v>4</v>
      </c>
      <c r="C60" s="7">
        <f t="shared" si="11"/>
        <v>89.951299065646154</v>
      </c>
      <c r="D60" s="3">
        <f t="shared" si="12"/>
        <v>4.3275154196161552</v>
      </c>
      <c r="E60" t="s">
        <v>6</v>
      </c>
      <c r="F60" t="s">
        <v>4</v>
      </c>
      <c r="G60" t="s">
        <v>49</v>
      </c>
      <c r="H60">
        <v>0.12656120158896478</v>
      </c>
      <c r="I60">
        <f t="shared" si="9"/>
        <v>1.3615394364000328</v>
      </c>
      <c r="J60">
        <v>0.10001310000000307</v>
      </c>
      <c r="K60">
        <f t="shared" si="10"/>
        <v>2.6361884271326694</v>
      </c>
      <c r="L60">
        <v>0.81876551710319001</v>
      </c>
      <c r="M60">
        <f t="shared" si="13"/>
        <v>2.648016980999893</v>
      </c>
      <c r="N60">
        <f t="shared" si="14"/>
        <v>1.7312571646171753</v>
      </c>
      <c r="O60">
        <f t="shared" si="15"/>
        <v>130.75876605318831</v>
      </c>
    </row>
    <row r="61" spans="1:16" x14ac:dyDescent="0.2">
      <c r="A61" s="5" t="s">
        <v>27</v>
      </c>
      <c r="B61" s="2">
        <v>4</v>
      </c>
      <c r="C61" s="7">
        <f t="shared" si="11"/>
        <v>82.705952882080766</v>
      </c>
      <c r="D61" s="3">
        <f t="shared" si="12"/>
        <v>4.8577055050873561</v>
      </c>
      <c r="E61" t="s">
        <v>6</v>
      </c>
      <c r="F61" t="s">
        <v>4</v>
      </c>
      <c r="G61" t="s">
        <v>49</v>
      </c>
      <c r="H61">
        <v>0.12078907579605769</v>
      </c>
      <c r="I61">
        <f t="shared" si="9"/>
        <v>3.6156531998000125</v>
      </c>
      <c r="J61">
        <v>0.31178628333333447</v>
      </c>
      <c r="K61">
        <f t="shared" si="10"/>
        <v>2.7173659106032586</v>
      </c>
      <c r="L61">
        <v>0.84349966806924392</v>
      </c>
      <c r="M61">
        <f t="shared" si="13"/>
        <v>0.72758452584662114</v>
      </c>
      <c r="N61">
        <f t="shared" si="14"/>
        <v>1.423745247120346</v>
      </c>
      <c r="O61">
        <f t="shared" si="15"/>
        <v>391.36215698476235</v>
      </c>
    </row>
    <row r="62" spans="1:16" x14ac:dyDescent="0.2">
      <c r="A62" s="5" t="s">
        <v>34</v>
      </c>
      <c r="B62" s="2">
        <v>4</v>
      </c>
      <c r="C62" s="7">
        <f t="shared" si="11"/>
        <v>88.128248467145312</v>
      </c>
      <c r="D62" s="3">
        <f t="shared" si="12"/>
        <v>4.6681818895932494</v>
      </c>
      <c r="E62" t="s">
        <v>8</v>
      </c>
      <c r="F62" t="s">
        <v>3</v>
      </c>
      <c r="G62" t="s">
        <v>49</v>
      </c>
      <c r="H62">
        <v>0.12510883794549243</v>
      </c>
      <c r="I62">
        <f t="shared" si="9"/>
        <v>6.2416445515999923</v>
      </c>
      <c r="J62">
        <v>0.55849723333333268</v>
      </c>
      <c r="K62">
        <f t="shared" si="10"/>
        <v>0.88979802484074688</v>
      </c>
      <c r="L62">
        <v>0.28665387716049573</v>
      </c>
      <c r="M62">
        <f t="shared" si="13"/>
        <v>0.12988624840000718</v>
      </c>
      <c r="N62">
        <f t="shared" si="14"/>
        <v>8.3436562420001525E-2</v>
      </c>
      <c r="O62">
        <f t="shared" si="15"/>
        <v>128.47636058136683</v>
      </c>
    </row>
    <row r="63" spans="1:16" x14ac:dyDescent="0.2">
      <c r="A63" s="5" t="s">
        <v>35</v>
      </c>
      <c r="B63" s="2">
        <v>4</v>
      </c>
      <c r="C63" s="7">
        <f t="shared" si="11"/>
        <v>72.251984341599538</v>
      </c>
      <c r="D63" s="3">
        <f t="shared" si="12"/>
        <v>8.3310196119694169</v>
      </c>
      <c r="E63" t="s">
        <v>8</v>
      </c>
      <c r="F63" t="s">
        <v>3</v>
      </c>
      <c r="G63" t="s">
        <v>49</v>
      </c>
      <c r="H63">
        <v>0.1124607475254743</v>
      </c>
      <c r="I63">
        <f t="shared" si="9"/>
        <v>4.0785282956000275</v>
      </c>
      <c r="J63">
        <v>0.35527323333333594</v>
      </c>
      <c r="K63">
        <f t="shared" si="10"/>
        <v>2.5844283063414974</v>
      </c>
      <c r="L63">
        <v>0.80299460887918861</v>
      </c>
      <c r="M63">
        <f t="shared" si="13"/>
        <v>2.219025285199975</v>
      </c>
      <c r="N63">
        <f t="shared" si="14"/>
        <v>1.8003589704107397</v>
      </c>
      <c r="O63">
        <f t="shared" si="15"/>
        <v>162.26574635434983</v>
      </c>
    </row>
    <row r="64" spans="1:16" x14ac:dyDescent="0.2">
      <c r="A64" s="5" t="s">
        <v>36</v>
      </c>
      <c r="B64" s="2">
        <v>4</v>
      </c>
      <c r="C64" s="7">
        <f t="shared" si="11"/>
        <v>98.039670895479006</v>
      </c>
      <c r="D64" s="3">
        <f t="shared" si="12"/>
        <v>4.2170012711958407</v>
      </c>
      <c r="E64" t="s">
        <v>8</v>
      </c>
      <c r="F64" t="s">
        <v>3</v>
      </c>
      <c r="G64" t="s">
        <v>49</v>
      </c>
      <c r="H64">
        <v>0.13300493781339828</v>
      </c>
      <c r="I64">
        <f t="shared" si="9"/>
        <v>5.996426128200012</v>
      </c>
      <c r="J64">
        <v>0.53545905000000116</v>
      </c>
      <c r="K64">
        <f t="shared" si="10"/>
        <v>1.1232008673430931</v>
      </c>
      <c r="L64">
        <v>0.35776991692355065</v>
      </c>
      <c r="M64">
        <f t="shared" si="13"/>
        <v>0.24631227179998749</v>
      </c>
      <c r="N64">
        <f t="shared" si="14"/>
        <v>0.306331271999851</v>
      </c>
      <c r="O64">
        <f t="shared" si="15"/>
        <v>248.73407220944364</v>
      </c>
    </row>
    <row r="65" spans="1:16" x14ac:dyDescent="0.2">
      <c r="A65" s="5" t="s">
        <v>37</v>
      </c>
      <c r="B65" s="2">
        <v>4</v>
      </c>
      <c r="C65" s="7">
        <f t="shared" si="11"/>
        <v>64.896371456436313</v>
      </c>
      <c r="D65" s="3">
        <f t="shared" si="12"/>
        <v>11.728038468158605</v>
      </c>
      <c r="E65" t="s">
        <v>8</v>
      </c>
      <c r="F65" t="s">
        <v>4</v>
      </c>
      <c r="G65" t="s">
        <v>49</v>
      </c>
      <c r="H65">
        <v>0.10660077592696093</v>
      </c>
      <c r="I65">
        <f t="shared" si="9"/>
        <v>3.1230898592000198</v>
      </c>
      <c r="J65">
        <v>0.26551013333333517</v>
      </c>
      <c r="K65">
        <f t="shared" si="10"/>
        <v>3.2154093102673582</v>
      </c>
      <c r="L65">
        <v>0.99524963749767159</v>
      </c>
      <c r="M65">
        <f t="shared" si="13"/>
        <v>3.0164017407999806</v>
      </c>
      <c r="N65">
        <f t="shared" si="14"/>
        <v>2.4220345340096103</v>
      </c>
      <c r="O65">
        <f t="shared" si="15"/>
        <v>160.59097839979776</v>
      </c>
    </row>
    <row r="66" spans="1:16" x14ac:dyDescent="0.2">
      <c r="A66" s="5" t="s">
        <v>38</v>
      </c>
      <c r="B66" s="2">
        <v>4</v>
      </c>
      <c r="C66" s="7">
        <f t="shared" si="11"/>
        <v>92.831426485326716</v>
      </c>
      <c r="D66" s="3">
        <f t="shared" si="12"/>
        <v>3.5186249467616051</v>
      </c>
      <c r="E66" t="s">
        <v>8</v>
      </c>
      <c r="F66" t="s">
        <v>4</v>
      </c>
      <c r="G66" t="s">
        <v>49</v>
      </c>
      <c r="H66">
        <v>0.12885570309997696</v>
      </c>
      <c r="I66">
        <f t="shared" si="9"/>
        <v>6.0504910843999582</v>
      </c>
      <c r="J66">
        <v>0.5405384333333294</v>
      </c>
      <c r="K66">
        <f t="shared" si="10"/>
        <v>1.0237109307495569</v>
      </c>
      <c r="L66">
        <v>0.32745610321436835</v>
      </c>
      <c r="M66">
        <f t="shared" si="13"/>
        <v>-2.9147884399959523E-2</v>
      </c>
      <c r="N66">
        <f t="shared" si="14"/>
        <v>0.24619474703081534</v>
      </c>
      <c r="O66">
        <f t="shared" si="15"/>
        <v>-1689.2803858598893</v>
      </c>
    </row>
    <row r="67" spans="1:16" x14ac:dyDescent="0.2">
      <c r="A67" s="5" t="s">
        <v>39</v>
      </c>
      <c r="B67" s="2">
        <v>4</v>
      </c>
      <c r="C67" s="7">
        <f t="shared" si="11"/>
        <v>93.882604137922542</v>
      </c>
      <c r="D67" s="3">
        <f t="shared" si="12"/>
        <v>7.0146076175692933</v>
      </c>
      <c r="E67" t="s">
        <v>8</v>
      </c>
      <c r="F67" t="s">
        <v>4</v>
      </c>
      <c r="G67" t="s">
        <v>49</v>
      </c>
      <c r="H67">
        <v>0.12969314129654497</v>
      </c>
      <c r="I67">
        <f t="shared" si="9"/>
        <v>6.2192525913999628</v>
      </c>
      <c r="J67">
        <v>0.55639351666666315</v>
      </c>
      <c r="K67">
        <f t="shared" si="10"/>
        <v>1.007022289958418</v>
      </c>
      <c r="L67">
        <v>0.32237120352176052</v>
      </c>
      <c r="M67">
        <f t="shared" si="13"/>
        <v>-0.76736339139996268</v>
      </c>
      <c r="N67">
        <f t="shared" si="14"/>
        <v>0.16770632361274396</v>
      </c>
      <c r="O67">
        <f t="shared" si="15"/>
        <v>-43.709753551517188</v>
      </c>
    </row>
    <row r="68" spans="1:16" x14ac:dyDescent="0.2">
      <c r="A68" s="5" t="s">
        <v>40</v>
      </c>
      <c r="B68" s="2">
        <v>4</v>
      </c>
      <c r="C68" s="7">
        <f t="shared" si="11"/>
        <v>97.141946775510618</v>
      </c>
      <c r="D68" s="3">
        <f t="shared" si="12"/>
        <v>4.2686569732146111</v>
      </c>
      <c r="E68" t="s">
        <v>9</v>
      </c>
      <c r="F68" t="s">
        <v>3</v>
      </c>
      <c r="G68" t="s">
        <v>49</v>
      </c>
      <c r="H68">
        <v>0.1322897509311568</v>
      </c>
      <c r="I68">
        <f t="shared" si="9"/>
        <v>6.4023178603999948</v>
      </c>
      <c r="J68">
        <v>0.57359243333333287</v>
      </c>
      <c r="K68">
        <f t="shared" si="10"/>
        <v>0.82570831047062332</v>
      </c>
      <c r="L68">
        <v>0.26712623719397421</v>
      </c>
      <c r="M68">
        <f t="shared" si="13"/>
        <v>0.80476693960000567</v>
      </c>
      <c r="N68">
        <f t="shared" si="14"/>
        <v>-5.0206947319921258E-2</v>
      </c>
      <c r="O68">
        <f t="shared" si="15"/>
        <v>-12.477388135470793</v>
      </c>
    </row>
    <row r="69" spans="1:16" x14ac:dyDescent="0.2">
      <c r="A69" s="5" t="s">
        <v>41</v>
      </c>
      <c r="B69" s="2">
        <v>4</v>
      </c>
      <c r="C69" s="7">
        <f t="shared" si="11"/>
        <v>97.788790610810878</v>
      </c>
      <c r="D69" s="3">
        <f t="shared" si="12"/>
        <v>6.7414706494813537</v>
      </c>
      <c r="E69" t="s">
        <v>9</v>
      </c>
      <c r="F69" t="s">
        <v>3</v>
      </c>
      <c r="G69" t="s">
        <v>49</v>
      </c>
      <c r="H69">
        <v>0.13280506985327933</v>
      </c>
      <c r="I69">
        <f t="shared" si="9"/>
        <v>5.7995396251999978</v>
      </c>
      <c r="J69">
        <v>0.51696163333333311</v>
      </c>
      <c r="K69">
        <f t="shared" si="10"/>
        <v>0.85967269418156556</v>
      </c>
      <c r="L69">
        <v>0.27747492205410285</v>
      </c>
      <c r="M69">
        <f t="shared" si="13"/>
        <v>-5.2742322085333297</v>
      </c>
      <c r="N69">
        <f t="shared" si="14"/>
        <v>-3.6749453126142528E-2</v>
      </c>
      <c r="O69">
        <f t="shared" si="15"/>
        <v>1.3935470291461398</v>
      </c>
    </row>
    <row r="70" spans="1:16" x14ac:dyDescent="0.2">
      <c r="A70" s="5" t="s">
        <v>42</v>
      </c>
      <c r="B70" s="2">
        <v>4</v>
      </c>
      <c r="C70" s="7">
        <f t="shared" si="11"/>
        <v>99.271068091613841</v>
      </c>
      <c r="D70" s="3">
        <f t="shared" si="12"/>
        <v>1.5690347733541046</v>
      </c>
      <c r="E70" t="s">
        <v>9</v>
      </c>
      <c r="F70" t="s">
        <v>3</v>
      </c>
      <c r="G70" t="s">
        <v>49</v>
      </c>
      <c r="H70">
        <v>0.13398595091298571</v>
      </c>
      <c r="I70">
        <f t="shared" si="9"/>
        <v>6.2568555372000603</v>
      </c>
      <c r="J70">
        <v>0.55992630000000565</v>
      </c>
      <c r="K70">
        <f t="shared" si="10"/>
        <v>0.8405841859417621</v>
      </c>
      <c r="L70">
        <v>0.27165880132290132</v>
      </c>
      <c r="M70">
        <f t="shared" si="13"/>
        <v>-0.6371530074365781</v>
      </c>
      <c r="N70">
        <f t="shared" si="14"/>
        <v>-3.6114751038202053E-3</v>
      </c>
      <c r="O70">
        <f t="shared" si="15"/>
        <v>1.1336288337867384</v>
      </c>
    </row>
    <row r="71" spans="1:16" x14ac:dyDescent="0.2">
      <c r="A71" s="5" t="s">
        <v>43</v>
      </c>
      <c r="B71" s="2">
        <v>4</v>
      </c>
      <c r="C71" s="7">
        <f t="shared" si="11"/>
        <v>94.77190562278858</v>
      </c>
      <c r="D71" s="3">
        <f t="shared" si="12"/>
        <v>3.3648477285384111</v>
      </c>
      <c r="E71" t="s">
        <v>9</v>
      </c>
      <c r="F71" t="s">
        <v>4</v>
      </c>
      <c r="G71" t="s">
        <v>49</v>
      </c>
      <c r="H71">
        <v>0.13040161814615492</v>
      </c>
      <c r="I71">
        <f t="shared" si="9"/>
        <v>6.3618389057999529</v>
      </c>
      <c r="J71">
        <v>0.56978944999999559</v>
      </c>
      <c r="K71">
        <f t="shared" si="10"/>
        <v>0.81462467355131329</v>
      </c>
      <c r="L71">
        <v>0.26374913880295958</v>
      </c>
      <c r="M71">
        <f t="shared" si="13"/>
        <v>-0.22645411579998687</v>
      </c>
      <c r="N71">
        <f t="shared" si="14"/>
        <v>4.0529534462628414E-2</v>
      </c>
      <c r="O71">
        <f t="shared" si="15"/>
        <v>-35.794919707642393</v>
      </c>
    </row>
    <row r="72" spans="1:16" x14ac:dyDescent="0.2">
      <c r="A72" s="5" t="s">
        <v>44</v>
      </c>
      <c r="B72" s="2">
        <v>4</v>
      </c>
      <c r="C72" s="7">
        <f t="shared" si="11"/>
        <v>95.832985960129292</v>
      </c>
      <c r="D72" s="3">
        <f t="shared" si="12"/>
        <v>1.7683672830191668</v>
      </c>
      <c r="E72" t="s">
        <v>9</v>
      </c>
      <c r="F72" t="s">
        <v>4</v>
      </c>
      <c r="G72" t="s">
        <v>49</v>
      </c>
      <c r="H72">
        <v>0.13124694548156968</v>
      </c>
      <c r="I72">
        <f t="shared" si="9"/>
        <v>6.3132749462000008</v>
      </c>
      <c r="J72">
        <v>0.56522688333333337</v>
      </c>
      <c r="K72">
        <f t="shared" si="10"/>
        <v>0.82632190418835139</v>
      </c>
      <c r="L72">
        <v>0.26731319445105162</v>
      </c>
      <c r="M72">
        <f t="shared" si="13"/>
        <v>-0.396242946200001</v>
      </c>
      <c r="N72">
        <f t="shared" si="14"/>
        <v>9.0653854664234257E-2</v>
      </c>
      <c r="O72">
        <f t="shared" si="15"/>
        <v>-45.756703322348777</v>
      </c>
    </row>
    <row r="73" spans="1:16" x14ac:dyDescent="0.2">
      <c r="A73" s="5" t="s">
        <v>45</v>
      </c>
      <c r="B73" s="2">
        <v>4</v>
      </c>
      <c r="C73" s="7">
        <f t="shared" si="11"/>
        <v>99.152284494672784</v>
      </c>
      <c r="D73" s="3">
        <f t="shared" si="12"/>
        <v>3.0597405297607914</v>
      </c>
      <c r="E73" t="s">
        <v>9</v>
      </c>
      <c r="F73" t="s">
        <v>4</v>
      </c>
      <c r="G73" t="s">
        <v>49</v>
      </c>
      <c r="H73">
        <v>0.13389131998075599</v>
      </c>
      <c r="I73">
        <f t="shared" si="9"/>
        <v>6.4761872204000728</v>
      </c>
      <c r="J73">
        <v>0.58053243333334015</v>
      </c>
      <c r="K73">
        <f t="shared" si="10"/>
        <v>0.8760161571948667</v>
      </c>
      <c r="L73">
        <v>0.28245464874919768</v>
      </c>
      <c r="M73">
        <f t="shared" si="13"/>
        <v>1.7750643999965732E-2</v>
      </c>
      <c r="N73">
        <f t="shared" si="14"/>
        <v>5.5764968829940975E-2</v>
      </c>
      <c r="O73">
        <f t="shared" si="15"/>
        <v>628.31488063248446</v>
      </c>
    </row>
    <row r="74" spans="1:16" x14ac:dyDescent="0.2">
      <c r="A74" s="5" t="s">
        <v>22</v>
      </c>
      <c r="B74" s="2">
        <v>7</v>
      </c>
      <c r="C74" s="7">
        <f t="shared" si="8"/>
        <v>101.40954753818552</v>
      </c>
      <c r="D74" s="8">
        <f t="shared" ref="D74:D91" si="16">(C38-C74)/(B74-B38)</f>
        <v>1.8914560227043447</v>
      </c>
      <c r="E74" t="s">
        <v>6</v>
      </c>
      <c r="F74" t="s">
        <v>3</v>
      </c>
      <c r="G74" t="s">
        <v>49</v>
      </c>
      <c r="H74">
        <v>0.13568960620542114</v>
      </c>
      <c r="I74">
        <f t="shared" si="9"/>
        <v>1.7275869511999882</v>
      </c>
      <c r="J74">
        <v>0.1344031333333322</v>
      </c>
      <c r="K74">
        <f t="shared" si="10"/>
        <v>0.85810696874807035</v>
      </c>
      <c r="L74">
        <v>0.27699785763195317</v>
      </c>
      <c r="M74">
        <f t="shared" ref="M74:M91" si="17">I38-I74</f>
        <v>2.8827056500000707</v>
      </c>
      <c r="N74">
        <f t="shared" ref="N74:N91" si="18">K74-K38</f>
        <v>4.1799301030906011E-2</v>
      </c>
      <c r="O74">
        <f t="shared" si="15"/>
        <v>2.9000047945169141</v>
      </c>
      <c r="P74">
        <f t="shared" ref="P74:P91" si="19">4*(D74/12)*(B74-B38)/(8*M74)*100</f>
        <v>19.137391751695272</v>
      </c>
    </row>
    <row r="75" spans="1:16" x14ac:dyDescent="0.2">
      <c r="A75" s="5" t="s">
        <v>23</v>
      </c>
      <c r="B75" s="2">
        <v>7</v>
      </c>
      <c r="C75" s="7">
        <f t="shared" si="8"/>
        <v>47.819882545903184</v>
      </c>
      <c r="D75" s="8">
        <f t="shared" si="16"/>
        <v>7.6526011500368076</v>
      </c>
      <c r="E75" t="s">
        <v>6</v>
      </c>
      <c r="F75" t="s">
        <v>3</v>
      </c>
      <c r="G75" t="s">
        <v>49</v>
      </c>
      <c r="H75">
        <v>9.2996506428236203E-2</v>
      </c>
      <c r="I75">
        <f t="shared" si="9"/>
        <v>1.4541651210000064</v>
      </c>
      <c r="J75">
        <v>0.1087152500000006</v>
      </c>
      <c r="K75">
        <f t="shared" si="10"/>
        <v>2.7080814130844297</v>
      </c>
      <c r="L75">
        <v>0.84067075352968601</v>
      </c>
      <c r="M75">
        <f t="shared" si="17"/>
        <v>2.9311952789999935</v>
      </c>
      <c r="N75">
        <f t="shared" si="18"/>
        <v>1.1948925729309137</v>
      </c>
      <c r="O75">
        <f t="shared" si="15"/>
        <v>81.529373460137606</v>
      </c>
      <c r="P75">
        <f t="shared" si="19"/>
        <v>76.146706592752409</v>
      </c>
    </row>
    <row r="76" spans="1:16" x14ac:dyDescent="0.2">
      <c r="A76" s="5" t="s">
        <v>24</v>
      </c>
      <c r="B76" s="2">
        <v>7</v>
      </c>
      <c r="C76" s="7">
        <f t="shared" si="8"/>
        <v>96.454886371459438</v>
      </c>
      <c r="D76" s="8">
        <f t="shared" si="16"/>
        <v>2.9739343974156407</v>
      </c>
      <c r="E76" t="s">
        <v>6</v>
      </c>
      <c r="F76" t="s">
        <v>3</v>
      </c>
      <c r="G76" t="s">
        <v>49</v>
      </c>
      <c r="H76">
        <v>0.1317423928092627</v>
      </c>
      <c r="I76">
        <f t="shared" si="9"/>
        <v>0.29700000000000004</v>
      </c>
      <c r="J76">
        <v>0</v>
      </c>
      <c r="K76">
        <f t="shared" si="10"/>
        <v>1.6454369768666672</v>
      </c>
      <c r="L76">
        <v>0.516891217814341</v>
      </c>
      <c r="M76">
        <f t="shared" si="17"/>
        <v>3.5848992000000002</v>
      </c>
      <c r="N76">
        <f t="shared" si="18"/>
        <v>0.77143590615052648</v>
      </c>
      <c r="O76">
        <f t="shared" si="15"/>
        <v>43.038080744391721</v>
      </c>
      <c r="P76">
        <f t="shared" si="19"/>
        <v>24.195869512302099</v>
      </c>
    </row>
    <row r="77" spans="1:16" x14ac:dyDescent="0.2">
      <c r="A77" s="5" t="s">
        <v>25</v>
      </c>
      <c r="B77" s="2">
        <v>7</v>
      </c>
      <c r="C77" s="7">
        <f t="shared" si="8"/>
        <v>32.351411121608258</v>
      </c>
      <c r="D77" s="8">
        <f t="shared" si="16"/>
        <v>6.580533440253391</v>
      </c>
      <c r="E77" t="s">
        <v>6</v>
      </c>
      <c r="F77" t="s">
        <v>4</v>
      </c>
      <c r="G77" t="s">
        <v>49</v>
      </c>
      <c r="H77">
        <v>8.0673290860214575E-2</v>
      </c>
      <c r="I77">
        <f t="shared" ref="I77:I91" si="20">(0.3548*J77 + 0.0099)*30</f>
        <v>0.29700000000000004</v>
      </c>
      <c r="J77">
        <v>0</v>
      </c>
      <c r="K77">
        <f t="shared" ref="K77:K91" si="21">(0.1094*L77 - 0.0017)*30</f>
        <v>3.5455534574744814</v>
      </c>
      <c r="L77">
        <v>1.0958420041055701</v>
      </c>
      <c r="M77">
        <f t="shared" si="17"/>
        <v>3.6594146507999938</v>
      </c>
      <c r="N77">
        <f t="shared" si="18"/>
        <v>1.416817284222927</v>
      </c>
      <c r="O77">
        <f t="shared" si="15"/>
        <v>77.434093669226201</v>
      </c>
      <c r="P77">
        <f t="shared" si="19"/>
        <v>52.44888695484812</v>
      </c>
    </row>
    <row r="78" spans="1:16" x14ac:dyDescent="0.2">
      <c r="A78" s="5" t="s">
        <v>26</v>
      </c>
      <c r="B78" s="2">
        <v>7</v>
      </c>
      <c r="C78" s="7">
        <f t="shared" si="8"/>
        <v>67.777650969585068</v>
      </c>
      <c r="D78" s="8">
        <f t="shared" si="16"/>
        <v>5.6405299677893863</v>
      </c>
      <c r="E78" t="s">
        <v>6</v>
      </c>
      <c r="F78" t="s">
        <v>4</v>
      </c>
      <c r="G78" t="s">
        <v>49</v>
      </c>
      <c r="H78">
        <v>0.1088961952724361</v>
      </c>
      <c r="I78">
        <f t="shared" si="20"/>
        <v>0.29700000000000004</v>
      </c>
      <c r="J78">
        <v>0</v>
      </c>
      <c r="K78">
        <f t="shared" si="21"/>
        <v>2.6482745356024093</v>
      </c>
      <c r="L78">
        <v>0.82244806081730926</v>
      </c>
      <c r="M78">
        <f t="shared" si="17"/>
        <v>3.7125564173999259</v>
      </c>
      <c r="N78">
        <f t="shared" si="18"/>
        <v>1.7433432730869152</v>
      </c>
      <c r="O78">
        <f t="shared" si="15"/>
        <v>93.916055519924384</v>
      </c>
      <c r="P78">
        <f t="shared" si="19"/>
        <v>44.313254506466151</v>
      </c>
    </row>
    <row r="79" spans="1:16" x14ac:dyDescent="0.2">
      <c r="A79" s="5" t="s">
        <v>27</v>
      </c>
      <c r="B79" s="2">
        <v>7</v>
      </c>
      <c r="C79" s="7">
        <f t="shared" si="8"/>
        <v>46.38910725382231</v>
      </c>
      <c r="D79" s="8">
        <f t="shared" si="16"/>
        <v>7.9639525212296975</v>
      </c>
      <c r="E79" t="s">
        <v>6</v>
      </c>
      <c r="F79" t="s">
        <v>4</v>
      </c>
      <c r="G79" t="s">
        <v>49</v>
      </c>
      <c r="H79">
        <v>9.185665544554511E-2</v>
      </c>
      <c r="I79">
        <f t="shared" si="20"/>
        <v>2.015206458199998</v>
      </c>
      <c r="J79">
        <v>0.16142488333333316</v>
      </c>
      <c r="K79">
        <f t="shared" si="21"/>
        <v>2.901445053379212</v>
      </c>
      <c r="L79">
        <v>0.89958715825082625</v>
      </c>
      <c r="M79">
        <f t="shared" si="17"/>
        <v>2.3280312674466357</v>
      </c>
      <c r="N79">
        <f t="shared" si="18"/>
        <v>1.6078243898962994</v>
      </c>
      <c r="O79">
        <f t="shared" si="15"/>
        <v>138.12738792462588</v>
      </c>
      <c r="P79">
        <f t="shared" si="19"/>
        <v>99.77612920578639</v>
      </c>
    </row>
    <row r="80" spans="1:16" x14ac:dyDescent="0.2">
      <c r="A80" s="5" t="s">
        <v>34</v>
      </c>
      <c r="B80" s="2">
        <v>7</v>
      </c>
      <c r="C80" s="7">
        <f t="shared" si="8"/>
        <v>85.728618459930075</v>
      </c>
      <c r="D80" s="8">
        <f t="shared" si="16"/>
        <v>3.0103367950840334</v>
      </c>
      <c r="E80" t="s">
        <v>8</v>
      </c>
      <c r="F80" t="s">
        <v>3</v>
      </c>
      <c r="G80" t="s">
        <v>49</v>
      </c>
      <c r="H80">
        <v>0.12319713270641097</v>
      </c>
      <c r="I80">
        <f t="shared" si="20"/>
        <v>4.9770775678000021</v>
      </c>
      <c r="J80">
        <v>0.4396916166666669</v>
      </c>
      <c r="K80">
        <f t="shared" si="21"/>
        <v>1.2305907687192326</v>
      </c>
      <c r="L80">
        <v>0.39049078876271559</v>
      </c>
      <c r="M80">
        <f t="shared" si="17"/>
        <v>1.3944532321999974</v>
      </c>
      <c r="N80">
        <f t="shared" si="18"/>
        <v>0.42422930629848721</v>
      </c>
      <c r="O80">
        <f t="shared" si="15"/>
        <v>60.845254111418313</v>
      </c>
      <c r="P80">
        <f t="shared" si="19"/>
        <v>62.964815046608059</v>
      </c>
    </row>
    <row r="81" spans="1:16" x14ac:dyDescent="0.2">
      <c r="A81" s="5" t="s">
        <v>35</v>
      </c>
      <c r="B81" s="2">
        <v>7</v>
      </c>
      <c r="C81" s="7">
        <f t="shared" si="8"/>
        <v>54.360086384799914</v>
      </c>
      <c r="D81" s="8">
        <f t="shared" si="16"/>
        <v>7.3165680578110415</v>
      </c>
      <c r="E81" t="s">
        <v>8</v>
      </c>
      <c r="F81" t="s">
        <v>3</v>
      </c>
      <c r="G81" t="s">
        <v>49</v>
      </c>
      <c r="H81">
        <v>9.8206868819890603E-2</v>
      </c>
      <c r="I81">
        <f t="shared" si="20"/>
        <v>2.8925589140000114</v>
      </c>
      <c r="J81">
        <v>0.24385183333333438</v>
      </c>
      <c r="K81">
        <f t="shared" si="21"/>
        <v>2.7339929298312553</v>
      </c>
      <c r="L81">
        <v>0.84856579214846284</v>
      </c>
      <c r="M81">
        <f t="shared" si="17"/>
        <v>3.4049946667999911</v>
      </c>
      <c r="N81">
        <f t="shared" si="18"/>
        <v>1.9499235939004975</v>
      </c>
      <c r="O81">
        <f t="shared" si="15"/>
        <v>114.53313644881757</v>
      </c>
      <c r="P81">
        <f t="shared" si="19"/>
        <v>62.672609671576453</v>
      </c>
    </row>
    <row r="82" spans="1:16" x14ac:dyDescent="0.2">
      <c r="A82" s="5" t="s">
        <v>36</v>
      </c>
      <c r="B82" s="2">
        <v>7</v>
      </c>
      <c r="C82" s="7">
        <f t="shared" si="8"/>
        <v>50.428688768196515</v>
      </c>
      <c r="D82" s="8">
        <f t="shared" si="16"/>
        <v>9.2112838874379772</v>
      </c>
      <c r="E82" t="s">
        <v>8</v>
      </c>
      <c r="F82" t="s">
        <v>3</v>
      </c>
      <c r="G82" t="s">
        <v>49</v>
      </c>
      <c r="H82">
        <v>9.5074855385329893E-2</v>
      </c>
      <c r="I82">
        <f t="shared" si="20"/>
        <v>1.9843681291999915</v>
      </c>
      <c r="J82">
        <v>0.15852763333333253</v>
      </c>
      <c r="K82">
        <f t="shared" si="21"/>
        <v>3.5555867419804996</v>
      </c>
      <c r="L82">
        <v>1.0988990682451247</v>
      </c>
      <c r="M82">
        <f t="shared" si="17"/>
        <v>4.2583702708000075</v>
      </c>
      <c r="N82">
        <f t="shared" si="18"/>
        <v>2.7387171466372573</v>
      </c>
      <c r="O82">
        <f t="shared" si="15"/>
        <v>128.62747823583422</v>
      </c>
      <c r="P82">
        <f t="shared" si="19"/>
        <v>63.090438273811301</v>
      </c>
    </row>
    <row r="83" spans="1:16" x14ac:dyDescent="0.2">
      <c r="A83" s="5" t="s">
        <v>37</v>
      </c>
      <c r="B83" s="2">
        <v>7</v>
      </c>
      <c r="C83" s="7">
        <f t="shared" si="8"/>
        <v>33.933674297449599</v>
      </c>
      <c r="D83" s="8">
        <f t="shared" si="16"/>
        <v>11.124978718803019</v>
      </c>
      <c r="E83" t="s">
        <v>8</v>
      </c>
      <c r="F83" t="s">
        <v>4</v>
      </c>
      <c r="G83" t="s">
        <v>49</v>
      </c>
      <c r="H83">
        <v>8.1933827190301511E-2</v>
      </c>
      <c r="I83">
        <f t="shared" si="20"/>
        <v>0.29700000000000004</v>
      </c>
      <c r="J83">
        <v>0</v>
      </c>
      <c r="K83">
        <f t="shared" si="21"/>
        <v>4.745499289324691</v>
      </c>
      <c r="L83">
        <v>1.4614562124694368</v>
      </c>
      <c r="M83">
        <f t="shared" si="17"/>
        <v>5.8424916000000007</v>
      </c>
      <c r="N83">
        <f t="shared" si="18"/>
        <v>3.9521245130669431</v>
      </c>
      <c r="O83">
        <f t="shared" si="15"/>
        <v>135.28900967754726</v>
      </c>
      <c r="P83">
        <f t="shared" si="19"/>
        <v>55.537700039669382</v>
      </c>
    </row>
    <row r="84" spans="1:16" x14ac:dyDescent="0.2">
      <c r="A84" s="5" t="s">
        <v>38</v>
      </c>
      <c r="B84" s="2">
        <v>7</v>
      </c>
      <c r="C84" s="7">
        <f t="shared" si="8"/>
        <v>26.503683854294877</v>
      </c>
      <c r="D84" s="8">
        <f t="shared" si="16"/>
        <v>11.486034631154038</v>
      </c>
      <c r="E84" t="s">
        <v>8</v>
      </c>
      <c r="F84" t="s">
        <v>4</v>
      </c>
      <c r="G84" t="s">
        <v>49</v>
      </c>
      <c r="H84">
        <v>7.601460147058825E-2</v>
      </c>
      <c r="I84">
        <f t="shared" si="20"/>
        <v>0.29700000000000004</v>
      </c>
      <c r="J84">
        <v>0</v>
      </c>
      <c r="K84">
        <f t="shared" si="21"/>
        <v>4.657047063119804</v>
      </c>
      <c r="L84">
        <v>1.4345055036928105</v>
      </c>
      <c r="M84">
        <f t="shared" si="17"/>
        <v>5.724343199999999</v>
      </c>
      <c r="N84">
        <f t="shared" si="18"/>
        <v>3.8795308794010626</v>
      </c>
      <c r="O84">
        <f t="shared" si="15"/>
        <v>135.54501342271243</v>
      </c>
      <c r="P84">
        <f t="shared" si="19"/>
        <v>58.523629996304102</v>
      </c>
    </row>
    <row r="85" spans="1:16" x14ac:dyDescent="0.2">
      <c r="A85" s="5" t="s">
        <v>39</v>
      </c>
      <c r="B85" s="2">
        <v>7</v>
      </c>
      <c r="C85" s="7">
        <f t="shared" si="8"/>
        <v>45.442307272903427</v>
      </c>
      <c r="D85" s="8">
        <f t="shared" si="16"/>
        <v>10.928389619328041</v>
      </c>
      <c r="E85" t="s">
        <v>8</v>
      </c>
      <c r="F85" t="s">
        <v>4</v>
      </c>
      <c r="G85" t="s">
        <v>49</v>
      </c>
      <c r="H85">
        <v>9.1102371460746401E-2</v>
      </c>
      <c r="I85">
        <f t="shared" si="20"/>
        <v>1.9486995530000195</v>
      </c>
      <c r="J85">
        <v>0.15517658333333517</v>
      </c>
      <c r="K85">
        <f t="shared" si="21"/>
        <v>3.4638638467418246</v>
      </c>
      <c r="L85">
        <v>1.0709518119262109</v>
      </c>
      <c r="M85">
        <f t="shared" si="17"/>
        <v>3.5031896469999806</v>
      </c>
      <c r="N85">
        <f t="shared" si="18"/>
        <v>2.6245478803961504</v>
      </c>
      <c r="O85">
        <f t="shared" si="15"/>
        <v>149.83761342431058</v>
      </c>
      <c r="P85">
        <f t="shared" si="19"/>
        <v>90.986994524650953</v>
      </c>
    </row>
    <row r="86" spans="1:16" x14ac:dyDescent="0.2">
      <c r="A86" s="5" t="s">
        <v>40</v>
      </c>
      <c r="B86" s="2">
        <v>8</v>
      </c>
      <c r="C86" s="7">
        <f t="shared" si="8"/>
        <v>102.40808513099526</v>
      </c>
      <c r="D86" s="8">
        <f t="shared" si="16"/>
        <v>1.4760611921717253</v>
      </c>
      <c r="E86" t="s">
        <v>9</v>
      </c>
      <c r="F86" t="s">
        <v>3</v>
      </c>
      <c r="G86" t="s">
        <v>49</v>
      </c>
      <c r="H86">
        <v>0.13648510782102624</v>
      </c>
      <c r="I86">
        <f t="shared" si="20"/>
        <v>4.775530411999978</v>
      </c>
      <c r="J86">
        <v>0.42075633333333129</v>
      </c>
      <c r="K86">
        <f t="shared" si="21"/>
        <v>0.95962335501827523</v>
      </c>
      <c r="L86">
        <v>0.30792911487455066</v>
      </c>
      <c r="M86">
        <f t="shared" si="17"/>
        <v>2.4315543880000225</v>
      </c>
      <c r="N86">
        <f t="shared" si="18"/>
        <v>8.3708097227730649E-2</v>
      </c>
      <c r="O86">
        <f t="shared" si="15"/>
        <v>6.8851511313782598</v>
      </c>
      <c r="P86">
        <f t="shared" si="19"/>
        <v>20.234809462570428</v>
      </c>
    </row>
    <row r="87" spans="1:16" x14ac:dyDescent="0.2">
      <c r="A87" s="5" t="s">
        <v>41</v>
      </c>
      <c r="B87" s="2">
        <v>8</v>
      </c>
      <c r="C87" s="7">
        <f t="shared" si="8"/>
        <v>103.91649367264836</v>
      </c>
      <c r="D87" s="8">
        <f t="shared" si="16"/>
        <v>2.6047724420109919</v>
      </c>
      <c r="E87" t="s">
        <v>9</v>
      </c>
      <c r="F87" t="s">
        <v>3</v>
      </c>
      <c r="G87" t="s">
        <v>49</v>
      </c>
      <c r="H87">
        <v>0.13768680662587654</v>
      </c>
      <c r="I87">
        <f t="shared" si="20"/>
        <v>5.5989720721999889</v>
      </c>
      <c r="J87">
        <v>0.49811838333333225</v>
      </c>
      <c r="K87">
        <f t="shared" si="21"/>
        <v>0.75776660509949545</v>
      </c>
      <c r="L87">
        <v>0.24642492538071159</v>
      </c>
      <c r="M87">
        <f t="shared" si="17"/>
        <v>-5.0736646555333209</v>
      </c>
      <c r="N87">
        <f t="shared" si="18"/>
        <v>-0.13865554220821263</v>
      </c>
      <c r="O87">
        <f t="shared" si="15"/>
        <v>5.4656959662083855</v>
      </c>
      <c r="P87">
        <f t="shared" si="19"/>
        <v>-17.113024600934395</v>
      </c>
    </row>
    <row r="88" spans="1:16" x14ac:dyDescent="0.2">
      <c r="A88" s="5" t="s">
        <v>42</v>
      </c>
      <c r="B88" s="2">
        <v>8</v>
      </c>
      <c r="C88" s="7">
        <f t="shared" si="8"/>
        <v>106.67747257838656</v>
      </c>
      <c r="D88" s="8">
        <f t="shared" si="16"/>
        <v>-0.14128317416953706</v>
      </c>
      <c r="E88" t="s">
        <v>9</v>
      </c>
      <c r="F88" t="s">
        <v>3</v>
      </c>
      <c r="G88" t="s">
        <v>49</v>
      </c>
      <c r="H88">
        <v>0.13988638648744797</v>
      </c>
      <c r="I88">
        <f t="shared" si="20"/>
        <v>4.7951235324000088</v>
      </c>
      <c r="J88">
        <v>0.42259710000000084</v>
      </c>
      <c r="K88">
        <f t="shared" si="21"/>
        <v>0.67826403902465837</v>
      </c>
      <c r="L88">
        <v>0.22220110878265031</v>
      </c>
      <c r="M88">
        <f t="shared" si="17"/>
        <v>0.8245789973634734</v>
      </c>
      <c r="N88">
        <f t="shared" si="18"/>
        <v>-0.16593162202092393</v>
      </c>
      <c r="O88">
        <f t="shared" si="15"/>
        <v>-40.246385743871052</v>
      </c>
      <c r="P88">
        <f t="shared" si="19"/>
        <v>-5.7113256025712893</v>
      </c>
    </row>
    <row r="89" spans="1:16" x14ac:dyDescent="0.2">
      <c r="A89" s="5" t="s">
        <v>43</v>
      </c>
      <c r="B89" s="2">
        <v>8</v>
      </c>
      <c r="C89" s="7">
        <f t="shared" si="8"/>
        <v>101.35825338272252</v>
      </c>
      <c r="D89" s="8">
        <f t="shared" si="16"/>
        <v>0.85913039427746263</v>
      </c>
      <c r="E89" t="s">
        <v>9</v>
      </c>
      <c r="F89" t="s">
        <v>4</v>
      </c>
      <c r="G89" t="s">
        <v>49</v>
      </c>
      <c r="H89">
        <v>0.13564874186156894</v>
      </c>
      <c r="I89">
        <f t="shared" si="20"/>
        <v>5.2042189311999945</v>
      </c>
      <c r="J89">
        <v>0.46103146666666617</v>
      </c>
      <c r="K89">
        <f t="shared" si="21"/>
        <v>0.68068141613928634</v>
      </c>
      <c r="L89">
        <v>0.22293766488095257</v>
      </c>
      <c r="M89">
        <f t="shared" si="17"/>
        <v>0.9311658587999716</v>
      </c>
      <c r="N89">
        <f t="shared" si="18"/>
        <v>-9.3413722949398537E-2</v>
      </c>
      <c r="O89">
        <f t="shared" si="15"/>
        <v>-20.063820438989101</v>
      </c>
      <c r="P89">
        <f t="shared" si="19"/>
        <v>30.754649709940189</v>
      </c>
    </row>
    <row r="90" spans="1:16" x14ac:dyDescent="0.2">
      <c r="A90" s="5" t="s">
        <v>44</v>
      </c>
      <c r="B90" s="2">
        <v>8</v>
      </c>
      <c r="C90" s="7">
        <f t="shared" si="8"/>
        <v>100.40035849872601</v>
      </c>
      <c r="D90" s="8">
        <f t="shared" si="16"/>
        <v>0.31326207418499408</v>
      </c>
      <c r="E90" t="s">
        <v>9</v>
      </c>
      <c r="F90" t="s">
        <v>4</v>
      </c>
      <c r="G90" t="s">
        <v>49</v>
      </c>
      <c r="H90">
        <v>0.1348856189373184</v>
      </c>
      <c r="I90">
        <f t="shared" si="20"/>
        <v>5.5901036688000172</v>
      </c>
      <c r="J90">
        <v>0.49728520000000165</v>
      </c>
      <c r="K90">
        <f t="shared" si="21"/>
        <v>0.78735539346665395</v>
      </c>
      <c r="L90">
        <v>0.25544040020312431</v>
      </c>
      <c r="M90">
        <f t="shared" si="17"/>
        <v>0.32692833119998266</v>
      </c>
      <c r="N90">
        <f t="shared" si="18"/>
        <v>5.1687343942536823E-2</v>
      </c>
      <c r="O90">
        <f t="shared" si="15"/>
        <v>31.619984571431704</v>
      </c>
      <c r="P90">
        <f t="shared" si="19"/>
        <v>31.939933444043948</v>
      </c>
    </row>
    <row r="91" spans="1:16" x14ac:dyDescent="0.2">
      <c r="A91" s="5" t="s">
        <v>45</v>
      </c>
      <c r="B91" s="2">
        <v>8</v>
      </c>
      <c r="C91" s="7">
        <f t="shared" si="8"/>
        <v>106.00465027404624</v>
      </c>
      <c r="D91" s="8">
        <f t="shared" si="16"/>
        <v>0.67332454245871354</v>
      </c>
      <c r="E91" t="s">
        <v>9</v>
      </c>
      <c r="F91" t="s">
        <v>4</v>
      </c>
      <c r="G91" t="s">
        <v>49</v>
      </c>
      <c r="H91">
        <v>0.13935037138499018</v>
      </c>
      <c r="I91">
        <f t="shared" si="20"/>
        <v>4.8566576238518344</v>
      </c>
      <c r="J91">
        <v>0.42837820592369735</v>
      </c>
      <c r="K91">
        <f t="shared" si="21"/>
        <v>0.75841637361955128</v>
      </c>
      <c r="L91">
        <v>0.24662290482009486</v>
      </c>
      <c r="M91">
        <f t="shared" si="17"/>
        <v>1.6372802405482041</v>
      </c>
      <c r="N91">
        <f t="shared" si="18"/>
        <v>-6.1834814745374445E-2</v>
      </c>
      <c r="O91">
        <f t="shared" si="15"/>
        <v>-7.5533574783349904</v>
      </c>
      <c r="P91">
        <f t="shared" si="19"/>
        <v>13.708191706861109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4A54B-035B-D847-9933-32E883A23122}">
  <dimension ref="A1:P151"/>
  <sheetViews>
    <sheetView tabSelected="1" workbookViewId="0">
      <selection activeCell="E10" sqref="E10"/>
    </sheetView>
  </sheetViews>
  <sheetFormatPr baseColWidth="10" defaultRowHeight="16" x14ac:dyDescent="0.2"/>
  <sheetData>
    <row r="1" spans="1:16" x14ac:dyDescent="0.2">
      <c r="A1" s="1" t="s">
        <v>0</v>
      </c>
      <c r="B1" s="1" t="s">
        <v>13</v>
      </c>
      <c r="C1" s="1" t="s">
        <v>14</v>
      </c>
      <c r="D1" s="1" t="s">
        <v>12</v>
      </c>
      <c r="E1" s="1" t="s">
        <v>1</v>
      </c>
      <c r="F1" s="1" t="s">
        <v>2</v>
      </c>
      <c r="G1" s="1" t="s">
        <v>10</v>
      </c>
      <c r="H1" s="1" t="s">
        <v>15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</row>
    <row r="2" spans="1:16" x14ac:dyDescent="0.2">
      <c r="A2" t="s">
        <v>16</v>
      </c>
      <c r="B2" s="2">
        <v>0</v>
      </c>
      <c r="C2" s="7">
        <f>30*(H2-0.0549)/0.0239</f>
        <v>141.51928571346173</v>
      </c>
      <c r="D2" s="3" t="s">
        <v>48</v>
      </c>
      <c r="E2" t="s">
        <v>5</v>
      </c>
      <c r="F2" t="s">
        <v>3</v>
      </c>
      <c r="G2" t="s">
        <v>11</v>
      </c>
      <c r="H2">
        <v>0.16764369761839118</v>
      </c>
      <c r="I2">
        <f>(0.3548*J2 + 0.0099)*30</f>
        <v>5.9957975999999995</v>
      </c>
      <c r="J2">
        <v>0.53539999999999999</v>
      </c>
      <c r="K2">
        <f>(0.1094*L2 - 0.0017)*30</f>
        <v>0.86238059999999994</v>
      </c>
      <c r="L2">
        <v>0.27829999999999999</v>
      </c>
      <c r="M2" s="3" t="s">
        <v>48</v>
      </c>
      <c r="N2" s="3" t="s">
        <v>48</v>
      </c>
      <c r="O2" s="3" t="s">
        <v>48</v>
      </c>
      <c r="P2" s="3" t="s">
        <v>48</v>
      </c>
    </row>
    <row r="3" spans="1:16" x14ac:dyDescent="0.2">
      <c r="A3" t="s">
        <v>17</v>
      </c>
      <c r="B3" s="2">
        <v>0</v>
      </c>
      <c r="C3" s="7">
        <f t="shared" ref="C3:C66" si="0">30*(H3-0.0549)/0.0239</f>
        <v>133.22689843201493</v>
      </c>
      <c r="D3" s="3" t="s">
        <v>48</v>
      </c>
      <c r="E3" t="s">
        <v>5</v>
      </c>
      <c r="F3" t="s">
        <v>3</v>
      </c>
      <c r="G3" t="s">
        <v>11</v>
      </c>
      <c r="H3">
        <v>0.1610374290841719</v>
      </c>
      <c r="I3">
        <f t="shared" ref="I3:I66" si="1">(0.3548*J3 + 0.0099)*30</f>
        <v>6.6067631999999996</v>
      </c>
      <c r="J3">
        <v>0.59279999999999999</v>
      </c>
      <c r="K3">
        <f t="shared" ref="K3:K66" si="2">(0.1094*L3 - 0.0017)*30</f>
        <v>0.85187820000000003</v>
      </c>
      <c r="L3">
        <v>0.27510000000000001</v>
      </c>
      <c r="M3" s="3" t="s">
        <v>48</v>
      </c>
      <c r="N3" s="3" t="s">
        <v>48</v>
      </c>
      <c r="O3" s="3" t="s">
        <v>48</v>
      </c>
      <c r="P3" s="3" t="s">
        <v>48</v>
      </c>
    </row>
    <row r="4" spans="1:16" x14ac:dyDescent="0.2">
      <c r="A4" t="s">
        <v>18</v>
      </c>
      <c r="B4" s="2">
        <v>0</v>
      </c>
      <c r="C4" s="7">
        <f t="shared" si="0"/>
        <v>130.67969485867494</v>
      </c>
      <c r="D4" s="3" t="s">
        <v>48</v>
      </c>
      <c r="E4" t="s">
        <v>5</v>
      </c>
      <c r="F4" t="s">
        <v>3</v>
      </c>
      <c r="G4" t="s">
        <v>11</v>
      </c>
      <c r="H4">
        <v>0.15900815690407771</v>
      </c>
      <c r="I4">
        <f t="shared" si="1"/>
        <v>5.8127207999999992</v>
      </c>
      <c r="J4">
        <v>0.51819999999999999</v>
      </c>
      <c r="K4">
        <f t="shared" si="2"/>
        <v>0.73306979999999999</v>
      </c>
      <c r="L4">
        <v>0.2389</v>
      </c>
      <c r="M4" s="3" t="s">
        <v>48</v>
      </c>
      <c r="N4" s="3" t="s">
        <v>48</v>
      </c>
      <c r="O4" s="3" t="s">
        <v>48</v>
      </c>
      <c r="P4" s="3" t="s">
        <v>48</v>
      </c>
    </row>
    <row r="5" spans="1:16" x14ac:dyDescent="0.2">
      <c r="A5" t="s">
        <v>19</v>
      </c>
      <c r="B5" s="2">
        <v>0</v>
      </c>
      <c r="C5" s="7">
        <f t="shared" si="0"/>
        <v>134.06646772846997</v>
      </c>
      <c r="D5" s="3" t="s">
        <v>48</v>
      </c>
      <c r="E5" t="s">
        <v>5</v>
      </c>
      <c r="F5" t="s">
        <v>4</v>
      </c>
      <c r="G5" t="s">
        <v>11</v>
      </c>
      <c r="H5">
        <v>0.16170628595701442</v>
      </c>
      <c r="I5">
        <f t="shared" si="1"/>
        <v>5.3135171999999997</v>
      </c>
      <c r="J5">
        <v>0.4713</v>
      </c>
      <c r="K5">
        <f t="shared" si="2"/>
        <v>0.66250680000000006</v>
      </c>
      <c r="L5">
        <v>0.21740000000000001</v>
      </c>
      <c r="M5" s="3" t="s">
        <v>48</v>
      </c>
      <c r="N5" s="3" t="s">
        <v>48</v>
      </c>
      <c r="O5" s="3" t="s">
        <v>48</v>
      </c>
      <c r="P5" s="3" t="s">
        <v>48</v>
      </c>
    </row>
    <row r="6" spans="1:16" x14ac:dyDescent="0.2">
      <c r="A6" t="s">
        <v>20</v>
      </c>
      <c r="B6" s="2">
        <v>0</v>
      </c>
      <c r="C6" s="7">
        <f t="shared" si="0"/>
        <v>124.33718268179898</v>
      </c>
      <c r="D6" s="3" t="s">
        <v>48</v>
      </c>
      <c r="E6" t="s">
        <v>5</v>
      </c>
      <c r="F6" t="s">
        <v>4</v>
      </c>
      <c r="G6" t="s">
        <v>11</v>
      </c>
      <c r="H6">
        <v>0.1539552888698332</v>
      </c>
      <c r="I6">
        <f t="shared" si="1"/>
        <v>6.1703591999999992</v>
      </c>
      <c r="J6">
        <v>0.55179999999999996</v>
      </c>
      <c r="K6">
        <f t="shared" si="2"/>
        <v>0.77376660000000008</v>
      </c>
      <c r="L6">
        <v>0.25130000000000002</v>
      </c>
      <c r="M6" s="3" t="s">
        <v>48</v>
      </c>
      <c r="N6" s="3" t="s">
        <v>48</v>
      </c>
      <c r="O6" s="3" t="s">
        <v>48</v>
      </c>
      <c r="P6" s="3" t="s">
        <v>48</v>
      </c>
    </row>
    <row r="7" spans="1:16" x14ac:dyDescent="0.2">
      <c r="A7" t="s">
        <v>21</v>
      </c>
      <c r="B7" s="2">
        <v>0</v>
      </c>
      <c r="C7" s="7">
        <f t="shared" si="0"/>
        <v>127.89270237233514</v>
      </c>
      <c r="D7" s="3" t="s">
        <v>48</v>
      </c>
      <c r="E7" t="s">
        <v>5</v>
      </c>
      <c r="F7" t="s">
        <v>4</v>
      </c>
      <c r="G7" t="s">
        <v>11</v>
      </c>
      <c r="H7">
        <v>0.15678785288996033</v>
      </c>
      <c r="I7">
        <f t="shared" si="1"/>
        <v>6.0703056000000002</v>
      </c>
      <c r="J7">
        <v>0.54239999999999999</v>
      </c>
      <c r="K7">
        <f t="shared" si="2"/>
        <v>0.77015639999999996</v>
      </c>
      <c r="L7">
        <v>0.25019999999999998</v>
      </c>
      <c r="M7" s="3" t="s">
        <v>48</v>
      </c>
      <c r="N7" s="3" t="s">
        <v>48</v>
      </c>
      <c r="O7" s="3" t="s">
        <v>48</v>
      </c>
      <c r="P7" s="3" t="s">
        <v>48</v>
      </c>
    </row>
    <row r="8" spans="1:16" x14ac:dyDescent="0.2">
      <c r="A8" t="s">
        <v>22</v>
      </c>
      <c r="B8" s="2">
        <v>0</v>
      </c>
      <c r="C8" s="7">
        <f t="shared" si="0"/>
        <v>128.99374919171987</v>
      </c>
      <c r="D8" s="3" t="s">
        <v>48</v>
      </c>
      <c r="E8" t="s">
        <v>6</v>
      </c>
      <c r="F8" t="s">
        <v>3</v>
      </c>
      <c r="G8" t="s">
        <v>11</v>
      </c>
      <c r="H8">
        <v>0.15766502018940351</v>
      </c>
      <c r="I8">
        <f t="shared" si="1"/>
        <v>5.8829712000000001</v>
      </c>
      <c r="J8">
        <v>0.52480000000000004</v>
      </c>
      <c r="K8">
        <f t="shared" si="2"/>
        <v>0.80822759999999993</v>
      </c>
      <c r="L8">
        <v>0.26179999999999998</v>
      </c>
      <c r="M8" s="3" t="s">
        <v>48</v>
      </c>
      <c r="N8" s="3" t="s">
        <v>48</v>
      </c>
      <c r="O8" s="3" t="s">
        <v>48</v>
      </c>
      <c r="P8" s="3" t="s">
        <v>48</v>
      </c>
    </row>
    <row r="9" spans="1:16" x14ac:dyDescent="0.2">
      <c r="A9" t="s">
        <v>23</v>
      </c>
      <c r="B9" s="2">
        <v>0</v>
      </c>
      <c r="C9" s="7">
        <f t="shared" si="0"/>
        <v>132.22972796057937</v>
      </c>
      <c r="D9" s="3" t="s">
        <v>48</v>
      </c>
      <c r="E9" t="s">
        <v>6</v>
      </c>
      <c r="F9" t="s">
        <v>3</v>
      </c>
      <c r="G9" t="s">
        <v>11</v>
      </c>
      <c r="H9">
        <v>0.16024301660859491</v>
      </c>
      <c r="I9">
        <f t="shared" si="1"/>
        <v>6.3087311999999995</v>
      </c>
      <c r="J9">
        <v>0.56479999999999997</v>
      </c>
      <c r="K9">
        <f t="shared" si="2"/>
        <v>0.93163079999999987</v>
      </c>
      <c r="L9">
        <v>0.2994</v>
      </c>
      <c r="M9" s="3" t="s">
        <v>48</v>
      </c>
      <c r="N9" s="3" t="s">
        <v>48</v>
      </c>
      <c r="O9" s="3" t="s">
        <v>48</v>
      </c>
      <c r="P9" s="3" t="s">
        <v>48</v>
      </c>
    </row>
    <row r="10" spans="1:16" x14ac:dyDescent="0.2">
      <c r="A10" t="s">
        <v>24</v>
      </c>
      <c r="B10" s="2">
        <v>0</v>
      </c>
      <c r="C10" s="7">
        <f t="shared" si="0"/>
        <v>131.94559312692979</v>
      </c>
      <c r="D10" s="3" t="s">
        <v>48</v>
      </c>
      <c r="E10" t="s">
        <v>6</v>
      </c>
      <c r="F10" t="s">
        <v>3</v>
      </c>
      <c r="G10" t="s">
        <v>11</v>
      </c>
      <c r="H10">
        <v>0.1600166558577874</v>
      </c>
      <c r="I10">
        <f t="shared" si="1"/>
        <v>6.3438564000000008</v>
      </c>
      <c r="J10">
        <v>0.56810000000000005</v>
      </c>
      <c r="K10">
        <f t="shared" si="2"/>
        <v>0.82365299999999997</v>
      </c>
      <c r="L10">
        <v>0.26650000000000001</v>
      </c>
      <c r="M10" s="3" t="s">
        <v>48</v>
      </c>
      <c r="N10" s="3" t="s">
        <v>48</v>
      </c>
      <c r="O10" s="3" t="s">
        <v>48</v>
      </c>
      <c r="P10" s="3" t="s">
        <v>48</v>
      </c>
    </row>
    <row r="11" spans="1:16" x14ac:dyDescent="0.2">
      <c r="A11" t="s">
        <v>25</v>
      </c>
      <c r="B11" s="2">
        <v>0</v>
      </c>
      <c r="C11" s="7">
        <f t="shared" si="0"/>
        <v>130.6554462887639</v>
      </c>
      <c r="D11" s="3" t="s">
        <v>48</v>
      </c>
      <c r="E11" t="s">
        <v>6</v>
      </c>
      <c r="F11" t="s">
        <v>4</v>
      </c>
      <c r="G11" t="s">
        <v>11</v>
      </c>
      <c r="H11">
        <v>0.15898883887671525</v>
      </c>
      <c r="I11">
        <f t="shared" si="1"/>
        <v>6.2384807999999996</v>
      </c>
      <c r="J11">
        <v>0.55820000000000003</v>
      </c>
      <c r="K11">
        <f t="shared" si="2"/>
        <v>0.79706880000000013</v>
      </c>
      <c r="L11">
        <v>0.25840000000000002</v>
      </c>
      <c r="M11" s="3" t="s">
        <v>48</v>
      </c>
      <c r="N11" s="3" t="s">
        <v>48</v>
      </c>
      <c r="O11" s="3" t="s">
        <v>48</v>
      </c>
      <c r="P11" s="3" t="s">
        <v>48</v>
      </c>
    </row>
    <row r="12" spans="1:16" x14ac:dyDescent="0.2">
      <c r="A12" t="s">
        <v>26</v>
      </c>
      <c r="B12" s="2">
        <v>0</v>
      </c>
      <c r="C12" s="7">
        <f t="shared" si="0"/>
        <v>127.53170625138257</v>
      </c>
      <c r="D12" s="3" t="s">
        <v>48</v>
      </c>
      <c r="E12" t="s">
        <v>6</v>
      </c>
      <c r="F12" t="s">
        <v>4</v>
      </c>
      <c r="G12" t="s">
        <v>11</v>
      </c>
      <c r="H12">
        <v>0.15650025931360145</v>
      </c>
      <c r="I12">
        <f t="shared" si="1"/>
        <v>5.7765312</v>
      </c>
      <c r="J12">
        <v>0.51480000000000004</v>
      </c>
      <c r="K12">
        <f t="shared" si="2"/>
        <v>0.75309000000000004</v>
      </c>
      <c r="L12">
        <v>0.245</v>
      </c>
      <c r="M12" s="3" t="s">
        <v>48</v>
      </c>
      <c r="N12" s="3" t="s">
        <v>48</v>
      </c>
      <c r="O12" s="3" t="s">
        <v>48</v>
      </c>
      <c r="P12" s="3" t="s">
        <v>48</v>
      </c>
    </row>
    <row r="13" spans="1:16" x14ac:dyDescent="0.2">
      <c r="A13" t="s">
        <v>27</v>
      </c>
      <c r="B13" s="2">
        <v>0</v>
      </c>
      <c r="C13" s="7">
        <f t="shared" si="0"/>
        <v>129.41512125977752</v>
      </c>
      <c r="D13" s="3" t="s">
        <v>48</v>
      </c>
      <c r="E13" t="s">
        <v>6</v>
      </c>
      <c r="F13" t="s">
        <v>4</v>
      </c>
      <c r="G13" t="s">
        <v>11</v>
      </c>
      <c r="H13">
        <v>0.15800071327028944</v>
      </c>
      <c r="I13">
        <f t="shared" si="1"/>
        <v>5.9436419999999996</v>
      </c>
      <c r="J13">
        <v>0.53049999999999997</v>
      </c>
      <c r="K13">
        <f t="shared" si="2"/>
        <v>0.82398119999999997</v>
      </c>
      <c r="L13">
        <v>0.2666</v>
      </c>
      <c r="M13" s="3" t="s">
        <v>48</v>
      </c>
      <c r="N13" s="3" t="s">
        <v>48</v>
      </c>
      <c r="O13" s="3" t="s">
        <v>48</v>
      </c>
      <c r="P13" s="3" t="s">
        <v>48</v>
      </c>
    </row>
    <row r="14" spans="1:16" x14ac:dyDescent="0.2">
      <c r="A14" t="s">
        <v>28</v>
      </c>
      <c r="B14" s="2">
        <v>0</v>
      </c>
      <c r="C14" s="7">
        <f t="shared" si="0"/>
        <v>141.79500296077126</v>
      </c>
      <c r="D14" s="3" t="s">
        <v>48</v>
      </c>
      <c r="E14" t="s">
        <v>7</v>
      </c>
      <c r="F14" t="s">
        <v>3</v>
      </c>
      <c r="G14" t="s">
        <v>11</v>
      </c>
      <c r="H14">
        <v>0.16786335235874777</v>
      </c>
      <c r="I14">
        <f t="shared" si="1"/>
        <v>4.6908431999999998</v>
      </c>
      <c r="J14">
        <v>0.4128</v>
      </c>
      <c r="K14">
        <f t="shared" si="2"/>
        <v>0.81347880000000006</v>
      </c>
      <c r="L14">
        <v>0.26340000000000002</v>
      </c>
      <c r="M14" s="3" t="s">
        <v>48</v>
      </c>
      <c r="N14" s="3" t="s">
        <v>48</v>
      </c>
      <c r="O14" s="3" t="s">
        <v>48</v>
      </c>
      <c r="P14" s="3" t="s">
        <v>48</v>
      </c>
    </row>
    <row r="15" spans="1:16" x14ac:dyDescent="0.2">
      <c r="A15" t="s">
        <v>29</v>
      </c>
      <c r="B15" s="2">
        <v>0</v>
      </c>
      <c r="C15" s="7">
        <f t="shared" si="0"/>
        <v>126.9319962546984</v>
      </c>
      <c r="D15" s="3" t="s">
        <v>48</v>
      </c>
      <c r="E15" t="s">
        <v>7</v>
      </c>
      <c r="F15" t="s">
        <v>3</v>
      </c>
      <c r="G15" t="s">
        <v>11</v>
      </c>
      <c r="H15">
        <v>0.15602249034957641</v>
      </c>
      <c r="I15">
        <f t="shared" si="1"/>
        <v>4.7547072000000004</v>
      </c>
      <c r="J15">
        <v>0.41880000000000001</v>
      </c>
      <c r="K15">
        <f t="shared" si="2"/>
        <v>0.7862382</v>
      </c>
      <c r="L15">
        <v>0.25509999999999999</v>
      </c>
      <c r="M15" s="3" t="s">
        <v>48</v>
      </c>
      <c r="N15" s="3" t="s">
        <v>48</v>
      </c>
      <c r="O15" s="3" t="s">
        <v>48</v>
      </c>
      <c r="P15" s="3" t="s">
        <v>48</v>
      </c>
    </row>
    <row r="16" spans="1:16" x14ac:dyDescent="0.2">
      <c r="A16" t="s">
        <v>30</v>
      </c>
      <c r="B16" s="2">
        <v>0</v>
      </c>
      <c r="C16" s="7">
        <f t="shared" si="0"/>
        <v>129.94259559771243</v>
      </c>
      <c r="D16" s="3" t="s">
        <v>48</v>
      </c>
      <c r="E16" t="s">
        <v>7</v>
      </c>
      <c r="F16" t="s">
        <v>3</v>
      </c>
      <c r="G16" t="s">
        <v>11</v>
      </c>
      <c r="H16">
        <v>0.15842093449284425</v>
      </c>
      <c r="I16">
        <f t="shared" si="1"/>
        <v>5.2038840000000004</v>
      </c>
      <c r="J16">
        <v>0.46100000000000002</v>
      </c>
      <c r="K16">
        <f t="shared" si="2"/>
        <v>0.82923239999999998</v>
      </c>
      <c r="L16">
        <v>0.26819999999999999</v>
      </c>
      <c r="M16" s="3" t="s">
        <v>48</v>
      </c>
      <c r="N16" s="3" t="s">
        <v>48</v>
      </c>
      <c r="O16" s="3" t="s">
        <v>48</v>
      </c>
      <c r="P16" s="3" t="s">
        <v>48</v>
      </c>
    </row>
    <row r="17" spans="1:16" x14ac:dyDescent="0.2">
      <c r="A17" t="s">
        <v>31</v>
      </c>
      <c r="B17" s="2">
        <v>0</v>
      </c>
      <c r="C17" s="7">
        <f t="shared" si="0"/>
        <v>127.11839747631977</v>
      </c>
      <c r="D17" s="3" t="s">
        <v>48</v>
      </c>
      <c r="E17" t="s">
        <v>7</v>
      </c>
      <c r="F17" t="s">
        <v>4</v>
      </c>
      <c r="G17" t="s">
        <v>11</v>
      </c>
      <c r="H17">
        <v>0.1561709899894681</v>
      </c>
      <c r="I17">
        <f t="shared" si="1"/>
        <v>5.1283116</v>
      </c>
      <c r="J17">
        <v>0.45390000000000003</v>
      </c>
      <c r="K17">
        <f t="shared" si="2"/>
        <v>0.84892440000000002</v>
      </c>
      <c r="L17">
        <v>0.2742</v>
      </c>
      <c r="M17" s="3" t="s">
        <v>48</v>
      </c>
      <c r="N17" s="3" t="s">
        <v>48</v>
      </c>
      <c r="O17" s="3" t="s">
        <v>48</v>
      </c>
      <c r="P17" s="3" t="s">
        <v>48</v>
      </c>
    </row>
    <row r="18" spans="1:16" x14ac:dyDescent="0.2">
      <c r="A18" t="s">
        <v>32</v>
      </c>
      <c r="B18" s="2">
        <v>0</v>
      </c>
      <c r="C18" s="7">
        <f t="shared" si="0"/>
        <v>137.49918331463547</v>
      </c>
      <c r="D18" s="3" t="s">
        <v>48</v>
      </c>
      <c r="E18" t="s">
        <v>7</v>
      </c>
      <c r="F18" t="s">
        <v>4</v>
      </c>
      <c r="G18" t="s">
        <v>11</v>
      </c>
      <c r="H18">
        <v>0.16444101604065961</v>
      </c>
      <c r="I18">
        <f t="shared" si="1"/>
        <v>5.2177211999999997</v>
      </c>
      <c r="J18">
        <v>0.46229999999999999</v>
      </c>
      <c r="K18">
        <f t="shared" si="2"/>
        <v>0.85712939999999993</v>
      </c>
      <c r="L18">
        <v>0.2767</v>
      </c>
      <c r="M18" s="3" t="s">
        <v>48</v>
      </c>
      <c r="N18" s="3" t="s">
        <v>48</v>
      </c>
      <c r="O18" s="3" t="s">
        <v>48</v>
      </c>
      <c r="P18" s="3" t="s">
        <v>48</v>
      </c>
    </row>
    <row r="19" spans="1:16" x14ac:dyDescent="0.2">
      <c r="A19" t="s">
        <v>33</v>
      </c>
      <c r="B19" s="2">
        <v>0</v>
      </c>
      <c r="C19" s="7">
        <f t="shared" si="0"/>
        <v>134.3557814956325</v>
      </c>
      <c r="D19" s="3" t="s">
        <v>48</v>
      </c>
      <c r="E19" t="s">
        <v>7</v>
      </c>
      <c r="F19" t="s">
        <v>4</v>
      </c>
      <c r="G19" t="s">
        <v>11</v>
      </c>
      <c r="H19">
        <v>0.16193677259152056</v>
      </c>
      <c r="I19">
        <f t="shared" si="1"/>
        <v>4.3427844000000002</v>
      </c>
      <c r="J19">
        <v>0.38009999999999999</v>
      </c>
      <c r="K19">
        <f t="shared" si="2"/>
        <v>0.8371092</v>
      </c>
      <c r="L19">
        <v>0.27060000000000001</v>
      </c>
      <c r="M19" s="3" t="s">
        <v>48</v>
      </c>
      <c r="N19" s="3" t="s">
        <v>48</v>
      </c>
      <c r="O19" s="3" t="s">
        <v>48</v>
      </c>
      <c r="P19" s="3" t="s">
        <v>48</v>
      </c>
    </row>
    <row r="20" spans="1:16" x14ac:dyDescent="0.2">
      <c r="A20" t="s">
        <v>34</v>
      </c>
      <c r="B20" s="2">
        <v>0</v>
      </c>
      <c r="C20" s="7">
        <f t="shared" si="0"/>
        <v>135.29880299357652</v>
      </c>
      <c r="D20" s="3" t="s">
        <v>48</v>
      </c>
      <c r="E20" t="s">
        <v>8</v>
      </c>
      <c r="F20" t="s">
        <v>3</v>
      </c>
      <c r="G20" t="s">
        <v>11</v>
      </c>
      <c r="H20">
        <v>0.16268804638488263</v>
      </c>
      <c r="I20">
        <f t="shared" si="1"/>
        <v>6.277863599999999</v>
      </c>
      <c r="J20">
        <v>0.56189999999999996</v>
      </c>
      <c r="K20">
        <f t="shared" si="2"/>
        <v>0.90635939999999993</v>
      </c>
      <c r="L20">
        <v>0.29170000000000001</v>
      </c>
      <c r="M20" s="3" t="s">
        <v>48</v>
      </c>
      <c r="N20" s="3" t="s">
        <v>48</v>
      </c>
      <c r="O20" s="3" t="s">
        <v>48</v>
      </c>
      <c r="P20" s="3" t="s">
        <v>48</v>
      </c>
    </row>
    <row r="21" spans="1:16" x14ac:dyDescent="0.2">
      <c r="A21" t="s">
        <v>35</v>
      </c>
      <c r="B21" s="2">
        <v>0</v>
      </c>
      <c r="C21" s="7">
        <f t="shared" si="0"/>
        <v>134.15564210789381</v>
      </c>
      <c r="D21" s="3" t="s">
        <v>48</v>
      </c>
      <c r="E21" t="s">
        <v>8</v>
      </c>
      <c r="F21" t="s">
        <v>3</v>
      </c>
      <c r="G21" t="s">
        <v>11</v>
      </c>
      <c r="H21">
        <v>0.16177732821262208</v>
      </c>
      <c r="I21">
        <f t="shared" si="1"/>
        <v>6.0490176</v>
      </c>
      <c r="J21">
        <v>0.54039999999999999</v>
      </c>
      <c r="K21">
        <f t="shared" si="2"/>
        <v>0.78098699999999999</v>
      </c>
      <c r="L21">
        <v>0.2535</v>
      </c>
      <c r="M21" s="3" t="s">
        <v>48</v>
      </c>
      <c r="N21" s="3" t="s">
        <v>48</v>
      </c>
      <c r="O21" s="3" t="s">
        <v>48</v>
      </c>
      <c r="P21" s="3" t="s">
        <v>48</v>
      </c>
    </row>
    <row r="22" spans="1:16" x14ac:dyDescent="0.2">
      <c r="A22" t="s">
        <v>36</v>
      </c>
      <c r="B22" s="2">
        <v>0</v>
      </c>
      <c r="C22" s="7">
        <f t="shared" si="0"/>
        <v>132.3634791371523</v>
      </c>
      <c r="D22" s="3" t="s">
        <v>48</v>
      </c>
      <c r="E22" t="s">
        <v>8</v>
      </c>
      <c r="F22" t="s">
        <v>3</v>
      </c>
      <c r="G22" t="s">
        <v>11</v>
      </c>
      <c r="H22">
        <v>0.160349571712598</v>
      </c>
      <c r="I22">
        <f t="shared" si="1"/>
        <v>6.4598759999999995</v>
      </c>
      <c r="J22">
        <v>0.57899999999999996</v>
      </c>
      <c r="K22">
        <f t="shared" si="2"/>
        <v>0.84203220000000001</v>
      </c>
      <c r="L22">
        <v>0.27210000000000001</v>
      </c>
      <c r="M22" s="3" t="s">
        <v>48</v>
      </c>
      <c r="N22" s="3" t="s">
        <v>48</v>
      </c>
      <c r="O22" s="3" t="s">
        <v>48</v>
      </c>
      <c r="P22" s="3" t="s">
        <v>48</v>
      </c>
    </row>
    <row r="23" spans="1:16" x14ac:dyDescent="0.2">
      <c r="A23" t="s">
        <v>37</v>
      </c>
      <c r="B23" s="2">
        <v>0</v>
      </c>
      <c r="C23" s="7">
        <f t="shared" si="0"/>
        <v>132.55452660245098</v>
      </c>
      <c r="D23" s="3" t="s">
        <v>48</v>
      </c>
      <c r="E23" t="s">
        <v>8</v>
      </c>
      <c r="F23" t="s">
        <v>4</v>
      </c>
      <c r="G23" t="s">
        <v>11</v>
      </c>
      <c r="H23">
        <v>0.16050177285995262</v>
      </c>
      <c r="I23">
        <f t="shared" si="1"/>
        <v>6.0490176</v>
      </c>
      <c r="J23">
        <v>0.54039999999999999</v>
      </c>
      <c r="K23">
        <f t="shared" si="2"/>
        <v>0.76359239999999995</v>
      </c>
      <c r="L23">
        <v>0.2482</v>
      </c>
      <c r="M23" s="3" t="s">
        <v>48</v>
      </c>
      <c r="N23" s="3" t="s">
        <v>48</v>
      </c>
      <c r="O23" s="3" t="s">
        <v>48</v>
      </c>
      <c r="P23" s="3" t="s">
        <v>48</v>
      </c>
    </row>
    <row r="24" spans="1:16" x14ac:dyDescent="0.2">
      <c r="A24" t="s">
        <v>38</v>
      </c>
      <c r="B24" s="2">
        <v>0</v>
      </c>
      <c r="C24" s="7">
        <f t="shared" si="0"/>
        <v>133.41824973853073</v>
      </c>
      <c r="D24" s="3" t="s">
        <v>48</v>
      </c>
      <c r="E24" t="s">
        <v>8</v>
      </c>
      <c r="F24" t="s">
        <v>4</v>
      </c>
      <c r="G24" t="s">
        <v>11</v>
      </c>
      <c r="H24">
        <v>0.16118987229169615</v>
      </c>
      <c r="I24">
        <f t="shared" si="1"/>
        <v>6.5088384000000001</v>
      </c>
      <c r="J24">
        <v>0.58360000000000001</v>
      </c>
      <c r="K24">
        <f t="shared" si="2"/>
        <v>0.84564239999999991</v>
      </c>
      <c r="L24">
        <v>0.2732</v>
      </c>
      <c r="M24" s="3" t="s">
        <v>48</v>
      </c>
      <c r="N24" s="3" t="s">
        <v>48</v>
      </c>
      <c r="O24" s="3" t="s">
        <v>48</v>
      </c>
      <c r="P24" s="3" t="s">
        <v>48</v>
      </c>
    </row>
    <row r="25" spans="1:16" x14ac:dyDescent="0.2">
      <c r="A25" t="s">
        <v>39</v>
      </c>
      <c r="B25" s="2">
        <v>0</v>
      </c>
      <c r="C25" s="7">
        <f t="shared" si="0"/>
        <v>132.99754539094192</v>
      </c>
      <c r="D25" s="3" t="s">
        <v>48</v>
      </c>
      <c r="E25" t="s">
        <v>8</v>
      </c>
      <c r="F25" t="s">
        <v>4</v>
      </c>
      <c r="G25" t="s">
        <v>11</v>
      </c>
      <c r="H25">
        <v>0.16085471116145039</v>
      </c>
      <c r="I25">
        <f t="shared" si="1"/>
        <v>6.4045271999999995</v>
      </c>
      <c r="J25">
        <v>0.57379999999999998</v>
      </c>
      <c r="K25">
        <f t="shared" si="2"/>
        <v>0.82956059999999987</v>
      </c>
      <c r="L25">
        <v>0.26829999999999998</v>
      </c>
      <c r="M25" s="3" t="s">
        <v>48</v>
      </c>
      <c r="N25" s="3" t="s">
        <v>48</v>
      </c>
      <c r="O25" s="3" t="s">
        <v>48</v>
      </c>
      <c r="P25" s="3" t="s">
        <v>48</v>
      </c>
    </row>
    <row r="26" spans="1:16" x14ac:dyDescent="0.2">
      <c r="A26" t="s">
        <v>40</v>
      </c>
      <c r="B26" s="2">
        <v>0</v>
      </c>
      <c r="C26" s="7">
        <f t="shared" si="0"/>
        <v>135.06282544174309</v>
      </c>
      <c r="D26" s="3" t="s">
        <v>48</v>
      </c>
      <c r="E26" t="s">
        <v>9</v>
      </c>
      <c r="F26" t="s">
        <v>3</v>
      </c>
      <c r="G26" t="s">
        <v>11</v>
      </c>
      <c r="H26">
        <v>0.16250005093525532</v>
      </c>
      <c r="I26">
        <f t="shared" si="1"/>
        <v>5.2688123999999998</v>
      </c>
      <c r="J26">
        <v>0.46710000000000002</v>
      </c>
      <c r="K26">
        <f t="shared" si="2"/>
        <v>0.90635939999999993</v>
      </c>
      <c r="L26">
        <v>0.29170000000000001</v>
      </c>
      <c r="M26" s="3" t="s">
        <v>48</v>
      </c>
      <c r="N26" s="3" t="s">
        <v>48</v>
      </c>
      <c r="O26" s="3" t="s">
        <v>48</v>
      </c>
      <c r="P26" s="3" t="s">
        <v>48</v>
      </c>
    </row>
    <row r="27" spans="1:16" x14ac:dyDescent="0.2">
      <c r="A27" t="s">
        <v>41</v>
      </c>
      <c r="B27" s="2">
        <v>0</v>
      </c>
      <c r="C27" s="7">
        <f t="shared" si="0"/>
        <v>144.13043795894893</v>
      </c>
      <c r="D27" s="3" t="s">
        <v>48</v>
      </c>
      <c r="E27" t="s">
        <v>9</v>
      </c>
      <c r="F27" t="s">
        <v>3</v>
      </c>
      <c r="G27" t="s">
        <v>11</v>
      </c>
      <c r="H27">
        <v>0.16972391557396266</v>
      </c>
      <c r="I27">
        <f t="shared" si="1"/>
        <v>6.4343304000000003</v>
      </c>
      <c r="J27">
        <v>0.5766</v>
      </c>
      <c r="K27">
        <f t="shared" si="2"/>
        <v>0.82726319999999998</v>
      </c>
      <c r="L27">
        <v>0.2676</v>
      </c>
      <c r="M27" s="3" t="s">
        <v>48</v>
      </c>
      <c r="N27" s="3" t="s">
        <v>48</v>
      </c>
      <c r="O27" s="3" t="s">
        <v>48</v>
      </c>
      <c r="P27" s="3" t="s">
        <v>48</v>
      </c>
    </row>
    <row r="28" spans="1:16" x14ac:dyDescent="0.2">
      <c r="A28" t="s">
        <v>42</v>
      </c>
      <c r="B28" s="2">
        <v>0</v>
      </c>
      <c r="C28" s="7">
        <f t="shared" si="0"/>
        <v>147.08979927204038</v>
      </c>
      <c r="D28" s="3" t="s">
        <v>48</v>
      </c>
      <c r="E28" t="s">
        <v>9</v>
      </c>
      <c r="F28" t="s">
        <v>3</v>
      </c>
      <c r="G28" t="s">
        <v>11</v>
      </c>
      <c r="H28">
        <v>0.17208154008672552</v>
      </c>
      <c r="I28">
        <f t="shared" si="1"/>
        <v>6.5631228000000004</v>
      </c>
      <c r="J28">
        <v>0.5887</v>
      </c>
      <c r="K28">
        <f t="shared" si="2"/>
        <v>0.85155000000000003</v>
      </c>
      <c r="L28">
        <v>0.27500000000000002</v>
      </c>
      <c r="M28" s="3" t="s">
        <v>48</v>
      </c>
      <c r="N28" s="3" t="s">
        <v>48</v>
      </c>
      <c r="O28" s="3" t="s">
        <v>48</v>
      </c>
      <c r="P28" s="3" t="s">
        <v>48</v>
      </c>
    </row>
    <row r="29" spans="1:16" x14ac:dyDescent="0.2">
      <c r="A29" t="s">
        <v>43</v>
      </c>
      <c r="B29" s="2">
        <v>0</v>
      </c>
      <c r="C29" s="7">
        <f t="shared" si="0"/>
        <v>145.50657479991801</v>
      </c>
      <c r="D29" s="3" t="s">
        <v>48</v>
      </c>
      <c r="E29" t="s">
        <v>9</v>
      </c>
      <c r="F29" t="s">
        <v>4</v>
      </c>
      <c r="G29" t="s">
        <v>11</v>
      </c>
      <c r="H29">
        <v>0.17082023792393469</v>
      </c>
      <c r="I29">
        <f t="shared" si="1"/>
        <v>5.9862179999999992</v>
      </c>
      <c r="J29">
        <v>0.53449999999999998</v>
      </c>
      <c r="K29">
        <f t="shared" si="2"/>
        <v>0.86763179999999995</v>
      </c>
      <c r="L29">
        <v>0.27989999999999998</v>
      </c>
      <c r="M29" s="3" t="s">
        <v>48</v>
      </c>
      <c r="N29" s="3" t="s">
        <v>48</v>
      </c>
      <c r="O29" s="3" t="s">
        <v>48</v>
      </c>
      <c r="P29" s="3" t="s">
        <v>48</v>
      </c>
    </row>
    <row r="30" spans="1:16" x14ac:dyDescent="0.2">
      <c r="A30" t="s">
        <v>44</v>
      </c>
      <c r="B30" s="2">
        <v>0</v>
      </c>
      <c r="C30" s="7">
        <f t="shared" si="0"/>
        <v>130.80646523538491</v>
      </c>
      <c r="D30" s="3" t="s">
        <v>48</v>
      </c>
      <c r="E30" t="s">
        <v>9</v>
      </c>
      <c r="F30" t="s">
        <v>4</v>
      </c>
      <c r="G30" t="s">
        <v>11</v>
      </c>
      <c r="H30">
        <v>0.15910915063752332</v>
      </c>
      <c r="I30">
        <f t="shared" si="1"/>
        <v>6.4662623999999997</v>
      </c>
      <c r="J30">
        <v>0.5796</v>
      </c>
      <c r="K30">
        <f t="shared" si="2"/>
        <v>0.90635939999999993</v>
      </c>
      <c r="L30">
        <v>0.29170000000000001</v>
      </c>
      <c r="M30" s="3" t="s">
        <v>48</v>
      </c>
      <c r="N30" s="3" t="s">
        <v>48</v>
      </c>
      <c r="O30" s="3" t="s">
        <v>48</v>
      </c>
      <c r="P30" s="3" t="s">
        <v>48</v>
      </c>
    </row>
    <row r="31" spans="1:16" x14ac:dyDescent="0.2">
      <c r="A31" t="s">
        <v>45</v>
      </c>
      <c r="B31" s="2">
        <v>0</v>
      </c>
      <c r="C31" s="7">
        <f t="shared" si="0"/>
        <v>135.81960927642589</v>
      </c>
      <c r="D31" s="3" t="s">
        <v>48</v>
      </c>
      <c r="E31" t="s">
        <v>9</v>
      </c>
      <c r="F31" t="s">
        <v>4</v>
      </c>
      <c r="G31" t="s">
        <v>11</v>
      </c>
      <c r="H31">
        <v>0.1631029553902193</v>
      </c>
      <c r="I31">
        <f t="shared" si="1"/>
        <v>6.1331052000000001</v>
      </c>
      <c r="J31">
        <v>0.54830000000000001</v>
      </c>
      <c r="K31">
        <f t="shared" si="2"/>
        <v>0.96412260000000005</v>
      </c>
      <c r="L31">
        <v>0.30930000000000002</v>
      </c>
      <c r="M31" s="3" t="s">
        <v>48</v>
      </c>
      <c r="N31" s="3" t="s">
        <v>48</v>
      </c>
      <c r="O31" s="3" t="s">
        <v>48</v>
      </c>
      <c r="P31" s="3" t="s">
        <v>48</v>
      </c>
    </row>
    <row r="32" spans="1:16" x14ac:dyDescent="0.2">
      <c r="A32" s="4" t="s">
        <v>46</v>
      </c>
      <c r="B32" s="2">
        <v>6</v>
      </c>
      <c r="C32" s="7">
        <f t="shared" si="0"/>
        <v>115.16827052172023</v>
      </c>
      <c r="D32" s="3">
        <f>(C2-C32)/(B32-B2)</f>
        <v>4.3918358652902496</v>
      </c>
      <c r="E32" t="s">
        <v>5</v>
      </c>
      <c r="F32" t="s">
        <v>3</v>
      </c>
      <c r="G32" t="s">
        <v>11</v>
      </c>
      <c r="H32">
        <v>0.14665072218230379</v>
      </c>
      <c r="I32">
        <f t="shared" si="1"/>
        <v>2.645552475999998</v>
      </c>
      <c r="J32" s="3">
        <v>0.22064566666666646</v>
      </c>
      <c r="K32">
        <f t="shared" si="2"/>
        <v>1.0888110089260381</v>
      </c>
      <c r="L32" s="3">
        <v>0.34729159321329622</v>
      </c>
      <c r="M32">
        <f>I2-I32</f>
        <v>3.3502451240000015</v>
      </c>
      <c r="N32">
        <f>K32-K2</f>
        <v>0.22643040892603816</v>
      </c>
      <c r="O32">
        <f>2*N32/M32*100</f>
        <v>13.517244293796221</v>
      </c>
      <c r="P32">
        <f>4*(D32/12)*(B32-B2)/(8*M32)*100</f>
        <v>32.772496509499042</v>
      </c>
    </row>
    <row r="33" spans="1:16" x14ac:dyDescent="0.2">
      <c r="A33" s="4" t="s">
        <v>17</v>
      </c>
      <c r="B33" s="2">
        <v>6</v>
      </c>
      <c r="C33" s="7">
        <f t="shared" si="0"/>
        <v>108.01627567070041</v>
      </c>
      <c r="D33" s="3">
        <f t="shared" ref="D33:D61" si="3">(C3-C33)/(B33-B3)</f>
        <v>4.2017704602190875</v>
      </c>
      <c r="E33" t="s">
        <v>5</v>
      </c>
      <c r="F33" t="s">
        <v>3</v>
      </c>
      <c r="G33" t="s">
        <v>11</v>
      </c>
      <c r="H33">
        <v>0.14095296628432466</v>
      </c>
      <c r="I33">
        <f t="shared" si="1"/>
        <v>2.8760412</v>
      </c>
      <c r="J33" s="3">
        <v>0.24229999999999999</v>
      </c>
      <c r="K33">
        <f t="shared" si="2"/>
        <v>0.811850652704596</v>
      </c>
      <c r="L33" s="3">
        <v>0.262903916119621</v>
      </c>
      <c r="M33">
        <f t="shared" ref="M33:M61" si="4">I3-I33</f>
        <v>3.7307219999999996</v>
      </c>
      <c r="N33">
        <f t="shared" ref="N33:N61" si="5">K33-K3</f>
        <v>-4.0027547295404031E-2</v>
      </c>
      <c r="O33">
        <f t="shared" ref="O33:O61" si="6">2*N33/M33*100</f>
        <v>-2.1458338249488453</v>
      </c>
      <c r="P33">
        <f t="shared" ref="P33:P61" si="7">4*(D33/12)*(B33-B3)/(8*M33)*100</f>
        <v>28.156550261712667</v>
      </c>
    </row>
    <row r="34" spans="1:16" x14ac:dyDescent="0.2">
      <c r="A34" s="4" t="s">
        <v>17</v>
      </c>
      <c r="B34" s="2">
        <v>6</v>
      </c>
      <c r="C34" s="7">
        <f t="shared" si="0"/>
        <v>113.06374824438366</v>
      </c>
      <c r="D34" s="3">
        <f t="shared" si="3"/>
        <v>2.935991102381879</v>
      </c>
      <c r="E34" t="s">
        <v>5</v>
      </c>
      <c r="F34" t="s">
        <v>3</v>
      </c>
      <c r="G34" t="s">
        <v>11</v>
      </c>
      <c r="H34">
        <v>0.14497411943469232</v>
      </c>
      <c r="I34">
        <f t="shared" si="1"/>
        <v>2.6201134934000043</v>
      </c>
      <c r="J34" s="3">
        <v>0.21825568333333373</v>
      </c>
      <c r="K34">
        <f t="shared" si="2"/>
        <v>0.93270827347860674</v>
      </c>
      <c r="L34" s="3">
        <v>0.29972829783016663</v>
      </c>
      <c r="M34">
        <f t="shared" si="4"/>
        <v>3.1926073065999949</v>
      </c>
      <c r="N34">
        <f t="shared" si="5"/>
        <v>0.19963847347860675</v>
      </c>
      <c r="O34">
        <f t="shared" si="6"/>
        <v>12.506296848090228</v>
      </c>
      <c r="P34">
        <f t="shared" si="7"/>
        <v>22.990543624895395</v>
      </c>
    </row>
    <row r="35" spans="1:16" x14ac:dyDescent="0.2">
      <c r="A35" s="4" t="s">
        <v>19</v>
      </c>
      <c r="B35" s="2">
        <v>6</v>
      </c>
      <c r="C35" s="7">
        <f t="shared" si="0"/>
        <v>111.58603739348169</v>
      </c>
      <c r="D35" s="3">
        <f t="shared" si="3"/>
        <v>3.7467383891647139</v>
      </c>
      <c r="E35" t="s">
        <v>5</v>
      </c>
      <c r="F35" t="s">
        <v>4</v>
      </c>
      <c r="G35" t="s">
        <v>11</v>
      </c>
      <c r="H35">
        <v>0.14379687645680708</v>
      </c>
      <c r="I35">
        <f t="shared" si="1"/>
        <v>2.9878032000000005</v>
      </c>
      <c r="J35" s="3">
        <v>0.25280000000000002</v>
      </c>
      <c r="K35">
        <f t="shared" si="2"/>
        <v>0.70418207084201734</v>
      </c>
      <c r="L35" s="3">
        <v>0.23009813249299738</v>
      </c>
      <c r="M35">
        <f t="shared" si="4"/>
        <v>2.3257139999999992</v>
      </c>
      <c r="N35">
        <f t="shared" si="5"/>
        <v>4.1675270842017276E-2</v>
      </c>
      <c r="O35">
        <f t="shared" si="6"/>
        <v>3.5838689402065165</v>
      </c>
      <c r="P35">
        <f t="shared" si="7"/>
        <v>40.275141194969756</v>
      </c>
    </row>
    <row r="36" spans="1:16" x14ac:dyDescent="0.2">
      <c r="A36" s="4" t="s">
        <v>20</v>
      </c>
      <c r="B36" s="2">
        <v>6</v>
      </c>
      <c r="C36" s="7">
        <f t="shared" si="0"/>
        <v>106.45228507645479</v>
      </c>
      <c r="D36" s="3">
        <f t="shared" si="3"/>
        <v>2.9808162675573655</v>
      </c>
      <c r="E36" t="s">
        <v>5</v>
      </c>
      <c r="F36" t="s">
        <v>4</v>
      </c>
      <c r="G36" t="s">
        <v>11</v>
      </c>
      <c r="H36">
        <v>0.13970698711090898</v>
      </c>
      <c r="I36">
        <f t="shared" si="1"/>
        <v>3.9074447999999999</v>
      </c>
      <c r="J36" s="3">
        <v>0.3392</v>
      </c>
      <c r="K36">
        <f t="shared" si="2"/>
        <v>0.89104220753224628</v>
      </c>
      <c r="L36" s="3">
        <v>0.2870329699976375</v>
      </c>
      <c r="M36">
        <f t="shared" si="4"/>
        <v>2.2629143999999992</v>
      </c>
      <c r="N36">
        <f t="shared" si="5"/>
        <v>0.1172756075322462</v>
      </c>
      <c r="O36">
        <f t="shared" si="6"/>
        <v>10.365006076433668</v>
      </c>
      <c r="P36">
        <f t="shared" si="7"/>
        <v>32.931164647206344</v>
      </c>
    </row>
    <row r="37" spans="1:16" x14ac:dyDescent="0.2">
      <c r="A37" s="4" t="s">
        <v>21</v>
      </c>
      <c r="B37" s="2">
        <v>6</v>
      </c>
      <c r="C37" s="7">
        <f t="shared" si="0"/>
        <v>103.45699679382602</v>
      </c>
      <c r="D37" s="3">
        <f t="shared" si="3"/>
        <v>4.0726175964181861</v>
      </c>
      <c r="E37" t="s">
        <v>5</v>
      </c>
      <c r="F37" t="s">
        <v>4</v>
      </c>
      <c r="G37" t="s">
        <v>11</v>
      </c>
      <c r="H37">
        <v>0.13732074077908141</v>
      </c>
      <c r="I37">
        <f t="shared" si="1"/>
        <v>4.7579003999999996</v>
      </c>
      <c r="J37" s="3">
        <v>0.41909999999999997</v>
      </c>
      <c r="K37">
        <f t="shared" si="2"/>
        <v>1.1012856168289202</v>
      </c>
      <c r="L37" s="3">
        <v>0.35109250969802569</v>
      </c>
      <c r="M37">
        <f t="shared" si="4"/>
        <v>1.3124052000000006</v>
      </c>
      <c r="N37">
        <f t="shared" si="5"/>
        <v>0.33112921682892027</v>
      </c>
      <c r="O37">
        <f t="shared" si="6"/>
        <v>50.461430178563774</v>
      </c>
      <c r="P37">
        <f t="shared" si="7"/>
        <v>77.579271943188431</v>
      </c>
    </row>
    <row r="38" spans="1:16" x14ac:dyDescent="0.2">
      <c r="A38" s="4" t="s">
        <v>47</v>
      </c>
      <c r="B38" s="2">
        <v>6</v>
      </c>
      <c r="C38" s="7">
        <f t="shared" si="0"/>
        <v>93.167637381306051</v>
      </c>
      <c r="D38" s="3">
        <f t="shared" si="3"/>
        <v>5.9710186350689698</v>
      </c>
      <c r="E38" t="s">
        <v>6</v>
      </c>
      <c r="F38" t="s">
        <v>3</v>
      </c>
      <c r="G38" t="s">
        <v>11</v>
      </c>
      <c r="H38">
        <v>0.12912355111377383</v>
      </c>
      <c r="I38">
        <f t="shared" si="1"/>
        <v>3.1134024000000005</v>
      </c>
      <c r="J38" s="3">
        <v>0.2646</v>
      </c>
      <c r="K38">
        <f t="shared" si="2"/>
        <v>0.72033099754410068</v>
      </c>
      <c r="L38" s="3">
        <v>0.23501858547961629</v>
      </c>
      <c r="M38">
        <f t="shared" si="4"/>
        <v>2.7695687999999996</v>
      </c>
      <c r="N38">
        <f t="shared" si="5"/>
        <v>-8.7896602455899253E-2</v>
      </c>
      <c r="O38">
        <f t="shared" si="6"/>
        <v>-6.3473131597885759</v>
      </c>
      <c r="P38">
        <f t="shared" si="7"/>
        <v>53.898450140225542</v>
      </c>
    </row>
    <row r="39" spans="1:16" x14ac:dyDescent="0.2">
      <c r="A39" s="4" t="s">
        <v>23</v>
      </c>
      <c r="B39" s="2">
        <v>5</v>
      </c>
      <c r="C39" s="7">
        <f t="shared" si="0"/>
        <v>78.240844112810734</v>
      </c>
      <c r="D39" s="3">
        <f t="shared" si="3"/>
        <v>10.797776769553726</v>
      </c>
      <c r="E39" t="s">
        <v>6</v>
      </c>
      <c r="F39" t="s">
        <v>3</v>
      </c>
      <c r="G39" t="s">
        <v>11</v>
      </c>
      <c r="H39">
        <v>0.11723187247653923</v>
      </c>
      <c r="I39">
        <f t="shared" si="1"/>
        <v>0.29700000000000004</v>
      </c>
      <c r="J39" s="3">
        <v>0</v>
      </c>
      <c r="K39">
        <f t="shared" si="2"/>
        <v>4.4032320423835847</v>
      </c>
      <c r="L39" s="3">
        <v>1.3571700311954862</v>
      </c>
      <c r="M39">
        <f t="shared" si="4"/>
        <v>6.0117311999999998</v>
      </c>
      <c r="N39">
        <f t="shared" si="5"/>
        <v>3.4716012423835849</v>
      </c>
      <c r="O39">
        <f t="shared" si="6"/>
        <v>115.49422709996034</v>
      </c>
      <c r="P39">
        <f t="shared" si="7"/>
        <v>37.419118589173777</v>
      </c>
    </row>
    <row r="40" spans="1:16" x14ac:dyDescent="0.2">
      <c r="A40" s="4" t="s">
        <v>24</v>
      </c>
      <c r="B40" s="2">
        <v>5</v>
      </c>
      <c r="C40" s="7">
        <f t="shared" si="0"/>
        <v>65.00983212048429</v>
      </c>
      <c r="D40" s="3">
        <f t="shared" si="3"/>
        <v>13.387152201289101</v>
      </c>
      <c r="E40" t="s">
        <v>6</v>
      </c>
      <c r="F40" t="s">
        <v>3</v>
      </c>
      <c r="G40" t="s">
        <v>11</v>
      </c>
      <c r="H40">
        <v>0.10669116625598582</v>
      </c>
      <c r="I40">
        <f t="shared" si="1"/>
        <v>0.29700000000000004</v>
      </c>
      <c r="J40" s="3">
        <v>0</v>
      </c>
      <c r="K40">
        <f t="shared" si="2"/>
        <v>4.3407669045208088</v>
      </c>
      <c r="L40" s="3">
        <v>1.3381373871178577</v>
      </c>
      <c r="M40">
        <f t="shared" si="4"/>
        <v>6.0468564000000011</v>
      </c>
      <c r="N40">
        <f t="shared" si="5"/>
        <v>3.5171139045208086</v>
      </c>
      <c r="O40">
        <f t="shared" si="6"/>
        <v>116.32867301167622</v>
      </c>
      <c r="P40">
        <f t="shared" si="7"/>
        <v>46.122974607685876</v>
      </c>
    </row>
    <row r="41" spans="1:16" x14ac:dyDescent="0.2">
      <c r="A41" s="4" t="s">
        <v>25</v>
      </c>
      <c r="B41" s="2">
        <v>5</v>
      </c>
      <c r="C41" s="7">
        <f t="shared" si="0"/>
        <v>47.775878174070741</v>
      </c>
      <c r="D41" s="3">
        <f t="shared" si="3"/>
        <v>16.575913622938632</v>
      </c>
      <c r="E41" t="s">
        <v>6</v>
      </c>
      <c r="F41" t="s">
        <v>4</v>
      </c>
      <c r="G41" t="s">
        <v>11</v>
      </c>
      <c r="H41">
        <v>9.2961449612009694E-2</v>
      </c>
      <c r="I41">
        <f t="shared" si="1"/>
        <v>0.29700000000000004</v>
      </c>
      <c r="J41" s="3">
        <v>0</v>
      </c>
      <c r="K41">
        <f t="shared" si="2"/>
        <v>4.57699893659872</v>
      </c>
      <c r="L41" s="3">
        <v>1.4101154590489702</v>
      </c>
      <c r="M41">
        <f t="shared" si="4"/>
        <v>5.9414807999999999</v>
      </c>
      <c r="N41">
        <f t="shared" si="5"/>
        <v>3.7799301365987201</v>
      </c>
      <c r="O41">
        <f t="shared" si="6"/>
        <v>127.23865527256169</v>
      </c>
      <c r="P41">
        <f t="shared" si="7"/>
        <v>58.122132417093987</v>
      </c>
    </row>
    <row r="42" spans="1:16" x14ac:dyDescent="0.2">
      <c r="A42" s="4" t="s">
        <v>26</v>
      </c>
      <c r="B42" s="2">
        <v>5</v>
      </c>
      <c r="C42" s="7">
        <f t="shared" si="0"/>
        <v>55.630936864844344</v>
      </c>
      <c r="D42" s="3">
        <f t="shared" si="3"/>
        <v>14.380153877307645</v>
      </c>
      <c r="E42" t="s">
        <v>6</v>
      </c>
      <c r="F42" t="s">
        <v>4</v>
      </c>
      <c r="G42" t="s">
        <v>11</v>
      </c>
      <c r="H42">
        <v>9.9219313035659326E-2</v>
      </c>
      <c r="I42">
        <f t="shared" si="1"/>
        <v>0.29700000000000004</v>
      </c>
      <c r="J42" s="3">
        <v>0</v>
      </c>
      <c r="K42">
        <f t="shared" si="2"/>
        <v>4.4929932914819917</v>
      </c>
      <c r="L42" s="3">
        <v>1.3845195891169995</v>
      </c>
      <c r="M42">
        <f t="shared" si="4"/>
        <v>5.4795312000000003</v>
      </c>
      <c r="N42">
        <f t="shared" si="5"/>
        <v>3.7399032914819914</v>
      </c>
      <c r="O42">
        <f t="shared" si="6"/>
        <v>136.50449846811682</v>
      </c>
      <c r="P42">
        <f t="shared" si="7"/>
        <v>54.673753679981949</v>
      </c>
    </row>
    <row r="43" spans="1:16" x14ac:dyDescent="0.2">
      <c r="A43" s="4" t="s">
        <v>27</v>
      </c>
      <c r="B43" s="2">
        <v>5</v>
      </c>
      <c r="C43" s="7">
        <f t="shared" si="0"/>
        <v>57.048327107706378</v>
      </c>
      <c r="D43" s="3">
        <f t="shared" si="3"/>
        <v>14.473358830414231</v>
      </c>
      <c r="E43" t="s">
        <v>6</v>
      </c>
      <c r="F43" t="s">
        <v>4</v>
      </c>
      <c r="G43" t="s">
        <v>11</v>
      </c>
      <c r="H43">
        <v>0.10034850059580608</v>
      </c>
      <c r="I43">
        <f t="shared" si="1"/>
        <v>0.29700000000000004</v>
      </c>
      <c r="J43" s="3">
        <v>0</v>
      </c>
      <c r="K43">
        <f t="shared" si="2"/>
        <v>4.6040183169307713</v>
      </c>
      <c r="L43" s="3">
        <v>1.4183480551282059</v>
      </c>
      <c r="M43">
        <f t="shared" si="4"/>
        <v>5.6466419999999999</v>
      </c>
      <c r="N43">
        <f t="shared" si="5"/>
        <v>3.7800371169307714</v>
      </c>
      <c r="O43">
        <f t="shared" si="6"/>
        <v>133.8861970328833</v>
      </c>
      <c r="P43">
        <f t="shared" si="7"/>
        <v>53.399579602702488</v>
      </c>
    </row>
    <row r="44" spans="1:16" x14ac:dyDescent="0.2">
      <c r="A44" s="4" t="s">
        <v>28</v>
      </c>
      <c r="B44" s="2">
        <v>5</v>
      </c>
      <c r="C44" s="7">
        <f t="shared" si="0"/>
        <v>76.33798506935031</v>
      </c>
      <c r="D44" s="3">
        <f t="shared" si="3"/>
        <v>13.09140357828419</v>
      </c>
      <c r="E44" t="s">
        <v>7</v>
      </c>
      <c r="F44" t="s">
        <v>3</v>
      </c>
      <c r="G44" t="s">
        <v>11</v>
      </c>
      <c r="H44">
        <v>0.11571592810524908</v>
      </c>
      <c r="I44">
        <f t="shared" si="1"/>
        <v>0.29700000000000004</v>
      </c>
      <c r="J44" s="3">
        <v>0</v>
      </c>
      <c r="K44">
        <f t="shared" si="2"/>
        <v>4.1195620948554597</v>
      </c>
      <c r="L44" s="3">
        <v>1.2707379935574221</v>
      </c>
      <c r="M44">
        <f t="shared" si="4"/>
        <v>4.3938432000000001</v>
      </c>
      <c r="N44">
        <f t="shared" si="5"/>
        <v>3.3060832948554597</v>
      </c>
      <c r="O44">
        <f t="shared" si="6"/>
        <v>150.48708587759617</v>
      </c>
      <c r="P44">
        <f t="shared" si="7"/>
        <v>62.072668990005674</v>
      </c>
    </row>
    <row r="45" spans="1:16" x14ac:dyDescent="0.2">
      <c r="A45" s="4" t="s">
        <v>29</v>
      </c>
      <c r="B45" s="2">
        <v>5</v>
      </c>
      <c r="C45" s="7">
        <f t="shared" si="0"/>
        <v>105.53496748956717</v>
      </c>
      <c r="D45" s="3">
        <f t="shared" si="3"/>
        <v>4.2794057530262481</v>
      </c>
      <c r="E45" t="s">
        <v>7</v>
      </c>
      <c r="F45" t="s">
        <v>3</v>
      </c>
      <c r="G45" t="s">
        <v>11</v>
      </c>
      <c r="H45">
        <v>0.13897619076668852</v>
      </c>
      <c r="I45">
        <f t="shared" si="1"/>
        <v>2.9819986720000036</v>
      </c>
      <c r="J45" s="3">
        <v>0.25225466666666696</v>
      </c>
      <c r="K45">
        <f t="shared" si="2"/>
        <v>1.3606732439234555</v>
      </c>
      <c r="L45" s="3">
        <v>0.43012591222530633</v>
      </c>
      <c r="M45">
        <f t="shared" si="4"/>
        <v>1.7727085279999968</v>
      </c>
      <c r="N45">
        <f t="shared" si="5"/>
        <v>0.57443504392345546</v>
      </c>
      <c r="O45">
        <f t="shared" si="6"/>
        <v>64.8087415218275</v>
      </c>
      <c r="P45">
        <f t="shared" si="7"/>
        <v>50.292693419806426</v>
      </c>
    </row>
    <row r="46" spans="1:16" x14ac:dyDescent="0.2">
      <c r="A46" s="4" t="s">
        <v>30</v>
      </c>
      <c r="B46" s="2">
        <v>5</v>
      </c>
      <c r="C46" s="7">
        <f t="shared" si="0"/>
        <v>68.521871318716393</v>
      </c>
      <c r="D46" s="3">
        <f t="shared" si="3"/>
        <v>12.284144855799207</v>
      </c>
      <c r="E46" t="s">
        <v>7</v>
      </c>
      <c r="F46" t="s">
        <v>3</v>
      </c>
      <c r="G46" t="s">
        <v>11</v>
      </c>
      <c r="H46">
        <v>0.10948909081724406</v>
      </c>
      <c r="I46">
        <f t="shared" si="1"/>
        <v>0.29700000000000004</v>
      </c>
      <c r="J46" s="3">
        <v>0</v>
      </c>
      <c r="K46">
        <f t="shared" si="2"/>
        <v>5.1777712930382354</v>
      </c>
      <c r="L46" s="3">
        <v>1.5931661465686275</v>
      </c>
      <c r="M46">
        <f t="shared" si="4"/>
        <v>4.9068840000000007</v>
      </c>
      <c r="N46">
        <f t="shared" si="5"/>
        <v>4.3485388930382349</v>
      </c>
      <c r="O46">
        <f t="shared" si="6"/>
        <v>177.24237593708082</v>
      </c>
      <c r="P46">
        <f t="shared" si="7"/>
        <v>52.15523425779309</v>
      </c>
    </row>
    <row r="47" spans="1:16" x14ac:dyDescent="0.2">
      <c r="A47" s="4" t="s">
        <v>31</v>
      </c>
      <c r="B47" s="2">
        <v>5</v>
      </c>
      <c r="C47" s="7">
        <f t="shared" si="0"/>
        <v>106.32008998011985</v>
      </c>
      <c r="D47" s="3">
        <f t="shared" si="3"/>
        <v>4.1596614992399852</v>
      </c>
      <c r="E47" t="s">
        <v>7</v>
      </c>
      <c r="F47" t="s">
        <v>4</v>
      </c>
      <c r="G47" t="s">
        <v>11</v>
      </c>
      <c r="H47">
        <v>0.13960167168416215</v>
      </c>
      <c r="I47">
        <f t="shared" si="1"/>
        <v>3.3688584000000001</v>
      </c>
      <c r="J47" s="3">
        <v>0.28860000000000002</v>
      </c>
      <c r="K47">
        <f t="shared" si="2"/>
        <v>1.4588158727427667</v>
      </c>
      <c r="L47" s="3">
        <v>0.4600292116827443</v>
      </c>
      <c r="M47">
        <f t="shared" si="4"/>
        <v>1.7594531999999998</v>
      </c>
      <c r="N47">
        <f t="shared" si="5"/>
        <v>0.60989147274276667</v>
      </c>
      <c r="O47">
        <f t="shared" si="6"/>
        <v>69.327387934247611</v>
      </c>
      <c r="P47">
        <f t="shared" si="7"/>
        <v>49.253719603056055</v>
      </c>
    </row>
    <row r="48" spans="1:16" x14ac:dyDescent="0.2">
      <c r="A48" s="4" t="s">
        <v>32</v>
      </c>
      <c r="B48" s="2">
        <v>5</v>
      </c>
      <c r="C48" s="7">
        <f t="shared" si="0"/>
        <v>79.949823687266843</v>
      </c>
      <c r="D48" s="3">
        <f t="shared" si="3"/>
        <v>11.509871925473727</v>
      </c>
      <c r="E48" t="s">
        <v>7</v>
      </c>
      <c r="F48" t="s">
        <v>4</v>
      </c>
      <c r="G48" t="s">
        <v>11</v>
      </c>
      <c r="H48">
        <v>0.11859335953752258</v>
      </c>
      <c r="I48">
        <f t="shared" si="1"/>
        <v>0.29700000000000004</v>
      </c>
      <c r="J48" s="3">
        <v>0</v>
      </c>
      <c r="K48">
        <f t="shared" si="2"/>
        <v>4.1350642186253346</v>
      </c>
      <c r="L48" s="3">
        <v>1.2754613706963238</v>
      </c>
      <c r="M48">
        <f t="shared" si="4"/>
        <v>4.9207212</v>
      </c>
      <c r="N48">
        <f t="shared" si="5"/>
        <v>3.2779348186253348</v>
      </c>
      <c r="O48">
        <f t="shared" si="6"/>
        <v>133.22985332415641</v>
      </c>
      <c r="P48">
        <f t="shared" si="7"/>
        <v>48.730458138406476</v>
      </c>
    </row>
    <row r="49" spans="1:16" x14ac:dyDescent="0.2">
      <c r="A49" s="4" t="s">
        <v>33</v>
      </c>
      <c r="B49" s="2">
        <v>5</v>
      </c>
      <c r="C49" s="7">
        <f t="shared" si="0"/>
        <v>73.815740507134109</v>
      </c>
      <c r="D49" s="3">
        <f t="shared" si="3"/>
        <v>12.108008197699679</v>
      </c>
      <c r="E49" t="s">
        <v>7</v>
      </c>
      <c r="F49" t="s">
        <v>4</v>
      </c>
      <c r="G49" t="s">
        <v>11</v>
      </c>
      <c r="H49">
        <v>0.11370653993735018</v>
      </c>
      <c r="I49">
        <f t="shared" si="1"/>
        <v>0.29700000000000004</v>
      </c>
      <c r="J49" s="3">
        <v>0</v>
      </c>
      <c r="K49">
        <f t="shared" si="2"/>
        <v>4.0635548424150709</v>
      </c>
      <c r="L49" s="3">
        <v>1.2536730171892354</v>
      </c>
      <c r="M49">
        <f t="shared" si="4"/>
        <v>4.0457844000000005</v>
      </c>
      <c r="N49">
        <f t="shared" si="5"/>
        <v>3.2264456424150709</v>
      </c>
      <c r="O49">
        <f t="shared" si="6"/>
        <v>159.49666731697667</v>
      </c>
      <c r="P49">
        <f t="shared" si="7"/>
        <v>62.348891054454093</v>
      </c>
    </row>
    <row r="50" spans="1:16" x14ac:dyDescent="0.2">
      <c r="A50" s="4" t="s">
        <v>34</v>
      </c>
      <c r="B50" s="2">
        <v>5</v>
      </c>
      <c r="C50" s="7">
        <f t="shared" si="0"/>
        <v>87.66901529206396</v>
      </c>
      <c r="D50" s="3">
        <f t="shared" si="3"/>
        <v>9.5259575403025103</v>
      </c>
      <c r="E50" t="s">
        <v>8</v>
      </c>
      <c r="F50" t="s">
        <v>3</v>
      </c>
      <c r="G50" t="s">
        <v>11</v>
      </c>
      <c r="H50">
        <v>0.12474298218267761</v>
      </c>
      <c r="I50">
        <f t="shared" si="1"/>
        <v>1.8579385197999985</v>
      </c>
      <c r="J50" s="3">
        <v>0.14664961666666651</v>
      </c>
      <c r="K50">
        <f t="shared" si="2"/>
        <v>2.1916268618717951</v>
      </c>
      <c r="L50" s="3">
        <v>0.68331104871169868</v>
      </c>
      <c r="M50">
        <f t="shared" si="4"/>
        <v>4.4199250802000005</v>
      </c>
      <c r="N50">
        <f t="shared" si="5"/>
        <v>1.2852674618717952</v>
      </c>
      <c r="O50">
        <f t="shared" si="6"/>
        <v>58.157884513899369</v>
      </c>
      <c r="P50">
        <f t="shared" si="7"/>
        <v>44.900636358144368</v>
      </c>
    </row>
    <row r="51" spans="1:16" x14ac:dyDescent="0.2">
      <c r="A51" s="4" t="s">
        <v>35</v>
      </c>
      <c r="B51" s="2">
        <v>5</v>
      </c>
      <c r="C51" s="7">
        <f t="shared" si="0"/>
        <v>102.46085074028332</v>
      </c>
      <c r="D51" s="3">
        <f t="shared" si="3"/>
        <v>6.3389582735220982</v>
      </c>
      <c r="E51" t="s">
        <v>8</v>
      </c>
      <c r="F51" t="s">
        <v>3</v>
      </c>
      <c r="G51" t="s">
        <v>11</v>
      </c>
      <c r="H51">
        <v>0.13652714442309238</v>
      </c>
      <c r="I51">
        <f t="shared" si="1"/>
        <v>2.9811844059999948</v>
      </c>
      <c r="J51" s="3">
        <v>0.25217816666666615</v>
      </c>
      <c r="K51">
        <f t="shared" si="2"/>
        <v>1.7686099308021692</v>
      </c>
      <c r="L51" s="3">
        <v>0.554421063620405</v>
      </c>
      <c r="M51">
        <f t="shared" si="4"/>
        <v>3.0678331940000052</v>
      </c>
      <c r="N51">
        <f t="shared" si="5"/>
        <v>0.98762293080216923</v>
      </c>
      <c r="O51">
        <f t="shared" si="6"/>
        <v>64.385699505027745</v>
      </c>
      <c r="P51">
        <f t="shared" si="7"/>
        <v>43.04720053119577</v>
      </c>
    </row>
    <row r="52" spans="1:16" x14ac:dyDescent="0.2">
      <c r="A52" s="4" t="s">
        <v>36</v>
      </c>
      <c r="B52" s="2">
        <v>5</v>
      </c>
      <c r="C52" s="7">
        <f t="shared" si="0"/>
        <v>102.58323542383653</v>
      </c>
      <c r="D52" s="3">
        <f t="shared" si="3"/>
        <v>5.9560487426631541</v>
      </c>
      <c r="E52" t="s">
        <v>8</v>
      </c>
      <c r="F52" t="s">
        <v>3</v>
      </c>
      <c r="G52" t="s">
        <v>11</v>
      </c>
      <c r="H52">
        <v>0.13662464422098977</v>
      </c>
      <c r="I52">
        <f t="shared" si="1"/>
        <v>3.2432592000000002</v>
      </c>
      <c r="J52" s="3">
        <v>0.27679999999999999</v>
      </c>
      <c r="K52">
        <f t="shared" si="2"/>
        <v>1.4665152659013299</v>
      </c>
      <c r="L52" s="3">
        <v>0.46237515719114258</v>
      </c>
      <c r="M52">
        <f t="shared" si="4"/>
        <v>3.2166167999999993</v>
      </c>
      <c r="N52">
        <f t="shared" si="5"/>
        <v>0.62448306590132985</v>
      </c>
      <c r="O52">
        <f t="shared" si="6"/>
        <v>38.8285645900581</v>
      </c>
      <c r="P52">
        <f t="shared" si="7"/>
        <v>38.576043253110662</v>
      </c>
    </row>
    <row r="53" spans="1:16" x14ac:dyDescent="0.2">
      <c r="A53" s="4" t="s">
        <v>37</v>
      </c>
      <c r="B53" s="2">
        <v>5</v>
      </c>
      <c r="C53" s="7">
        <f t="shared" si="0"/>
        <v>85.159644809073953</v>
      </c>
      <c r="D53" s="3">
        <f t="shared" si="3"/>
        <v>9.4789763586754052</v>
      </c>
      <c r="E53" t="s">
        <v>8</v>
      </c>
      <c r="F53" t="s">
        <v>4</v>
      </c>
      <c r="G53" t="s">
        <v>11</v>
      </c>
      <c r="H53">
        <v>0.12274385036456226</v>
      </c>
      <c r="I53">
        <f t="shared" si="1"/>
        <v>0.87491083540000103</v>
      </c>
      <c r="J53" s="3">
        <v>5.4294516666666764E-2</v>
      </c>
      <c r="K53">
        <f t="shared" si="2"/>
        <v>3.8772819421790818</v>
      </c>
      <c r="L53" s="3">
        <v>1.1969171060874717</v>
      </c>
      <c r="M53">
        <f t="shared" si="4"/>
        <v>5.1741067645999994</v>
      </c>
      <c r="N53">
        <f t="shared" si="5"/>
        <v>3.113689542179082</v>
      </c>
      <c r="O53">
        <f t="shared" si="6"/>
        <v>120.35660197358899</v>
      </c>
      <c r="P53">
        <f t="shared" si="7"/>
        <v>38.166718068164499</v>
      </c>
    </row>
    <row r="54" spans="1:16" x14ac:dyDescent="0.2">
      <c r="A54" s="4" t="s">
        <v>38</v>
      </c>
      <c r="B54" s="2">
        <v>5</v>
      </c>
      <c r="C54" s="7">
        <f t="shared" si="0"/>
        <v>55.799205108383632</v>
      </c>
      <c r="D54" s="3">
        <f t="shared" si="3"/>
        <v>15.523808926029421</v>
      </c>
      <c r="E54" t="s">
        <v>8</v>
      </c>
      <c r="F54" t="s">
        <v>4</v>
      </c>
      <c r="G54" t="s">
        <v>11</v>
      </c>
      <c r="H54">
        <v>9.9353366736345622E-2</v>
      </c>
      <c r="I54">
        <f t="shared" si="1"/>
        <v>0.29700000000000004</v>
      </c>
      <c r="J54" s="3">
        <v>0</v>
      </c>
      <c r="K54">
        <f t="shared" si="2"/>
        <v>4.9547387485943011</v>
      </c>
      <c r="L54" s="3">
        <v>1.5252098563663319</v>
      </c>
      <c r="M54">
        <f t="shared" si="4"/>
        <v>6.2118384000000004</v>
      </c>
      <c r="N54">
        <f t="shared" si="5"/>
        <v>4.1090963485943011</v>
      </c>
      <c r="O54">
        <f t="shared" si="6"/>
        <v>132.29888107180318</v>
      </c>
      <c r="P54">
        <f t="shared" si="7"/>
        <v>52.063924579709976</v>
      </c>
    </row>
    <row r="55" spans="1:16" x14ac:dyDescent="0.2">
      <c r="A55" s="4" t="s">
        <v>39</v>
      </c>
      <c r="B55" s="2">
        <v>5</v>
      </c>
      <c r="C55" s="7">
        <f t="shared" si="0"/>
        <v>63.753248916707406</v>
      </c>
      <c r="D55" s="3">
        <f t="shared" si="3"/>
        <v>13.848859294846903</v>
      </c>
      <c r="E55" t="s">
        <v>8</v>
      </c>
      <c r="F55" t="s">
        <v>4</v>
      </c>
      <c r="G55" t="s">
        <v>11</v>
      </c>
      <c r="H55">
        <v>0.10569008830364357</v>
      </c>
      <c r="I55">
        <f t="shared" si="1"/>
        <v>0.86070411119999979</v>
      </c>
      <c r="J55" s="3">
        <v>5.2959799999999981E-2</v>
      </c>
      <c r="K55">
        <f t="shared" si="2"/>
        <v>4.1032055526209437</v>
      </c>
      <c r="L55" s="3">
        <v>1.2657542817248459</v>
      </c>
      <c r="M55">
        <f t="shared" si="4"/>
        <v>5.5438230888</v>
      </c>
      <c r="N55">
        <f t="shared" si="5"/>
        <v>3.2736449526209439</v>
      </c>
      <c r="O55">
        <f t="shared" si="6"/>
        <v>118.10062839972576</v>
      </c>
      <c r="P55">
        <f t="shared" si="7"/>
        <v>52.043129326918859</v>
      </c>
    </row>
    <row r="56" spans="1:16" x14ac:dyDescent="0.2">
      <c r="A56" s="4" t="s">
        <v>40</v>
      </c>
      <c r="B56" s="2">
        <v>5</v>
      </c>
      <c r="C56" s="7">
        <f t="shared" si="0"/>
        <v>56.50379222185456</v>
      </c>
      <c r="D56" s="3">
        <f t="shared" si="3"/>
        <v>15.711806643977706</v>
      </c>
      <c r="E56" t="s">
        <v>9</v>
      </c>
      <c r="F56" t="s">
        <v>3</v>
      </c>
      <c r="G56" t="s">
        <v>11</v>
      </c>
      <c r="H56">
        <v>9.9914687803410798E-2</v>
      </c>
      <c r="I56">
        <f t="shared" si="1"/>
        <v>0.29700000000000004</v>
      </c>
      <c r="J56" s="3">
        <v>0</v>
      </c>
      <c r="K56">
        <f t="shared" si="2"/>
        <v>4.5776225151649141</v>
      </c>
      <c r="L56" s="3">
        <v>1.4103054586121007</v>
      </c>
      <c r="M56">
        <f t="shared" si="4"/>
        <v>4.9718124000000001</v>
      </c>
      <c r="N56">
        <f t="shared" si="5"/>
        <v>3.6712631151649142</v>
      </c>
      <c r="O56">
        <f t="shared" si="6"/>
        <v>147.6830909856902</v>
      </c>
      <c r="P56">
        <f t="shared" si="7"/>
        <v>65.837018525250244</v>
      </c>
    </row>
    <row r="57" spans="1:16" x14ac:dyDescent="0.2">
      <c r="A57" s="4" t="s">
        <v>41</v>
      </c>
      <c r="B57" s="2">
        <v>5</v>
      </c>
      <c r="C57" s="7">
        <f t="shared" si="0"/>
        <v>98.100580169653199</v>
      </c>
      <c r="D57" s="3">
        <f t="shared" si="3"/>
        <v>9.2059715578591472</v>
      </c>
      <c r="E57" t="s">
        <v>9</v>
      </c>
      <c r="F57" t="s">
        <v>3</v>
      </c>
      <c r="G57" t="s">
        <v>11</v>
      </c>
      <c r="H57">
        <v>0.13305346220182374</v>
      </c>
      <c r="I57">
        <f t="shared" si="1"/>
        <v>0.29700000000000004</v>
      </c>
      <c r="J57" s="3">
        <v>0</v>
      </c>
      <c r="K57">
        <f t="shared" si="2"/>
        <v>5.3326264030905817</v>
      </c>
      <c r="L57" s="3">
        <v>1.6403493001494767</v>
      </c>
      <c r="M57">
        <f t="shared" si="4"/>
        <v>6.1373304000000006</v>
      </c>
      <c r="N57">
        <f t="shared" si="5"/>
        <v>4.5053632030905817</v>
      </c>
      <c r="O57">
        <f t="shared" si="6"/>
        <v>146.8183366204492</v>
      </c>
      <c r="P57">
        <f t="shared" si="7"/>
        <v>31.249918388305364</v>
      </c>
    </row>
    <row r="58" spans="1:16" x14ac:dyDescent="0.2">
      <c r="A58" s="4" t="s">
        <v>42</v>
      </c>
      <c r="B58" s="2">
        <v>5</v>
      </c>
      <c r="C58" s="7">
        <f t="shared" si="0"/>
        <v>48.349382549489796</v>
      </c>
      <c r="D58" s="3">
        <f t="shared" si="3"/>
        <v>19.748083344510114</v>
      </c>
      <c r="E58" t="s">
        <v>9</v>
      </c>
      <c r="F58" t="s">
        <v>3</v>
      </c>
      <c r="G58" t="s">
        <v>11</v>
      </c>
      <c r="H58">
        <v>9.3418341431093538E-2</v>
      </c>
      <c r="I58">
        <f t="shared" si="1"/>
        <v>0.29700000000000004</v>
      </c>
      <c r="J58" s="3">
        <v>0</v>
      </c>
      <c r="K58">
        <f t="shared" si="2"/>
        <v>5.1246449948560047</v>
      </c>
      <c r="L58" s="3">
        <v>1.576978974666668</v>
      </c>
      <c r="M58">
        <f t="shared" si="4"/>
        <v>6.2661228000000007</v>
      </c>
      <c r="N58">
        <f t="shared" si="5"/>
        <v>4.2730949948560042</v>
      </c>
      <c r="O58">
        <f t="shared" si="6"/>
        <v>136.38720884486989</v>
      </c>
      <c r="P58">
        <f t="shared" si="7"/>
        <v>65.657571059831028</v>
      </c>
    </row>
    <row r="59" spans="1:16" x14ac:dyDescent="0.2">
      <c r="A59" s="4" t="s">
        <v>43</v>
      </c>
      <c r="B59" s="2">
        <v>5</v>
      </c>
      <c r="C59" s="7">
        <f t="shared" si="0"/>
        <v>75.229857117306267</v>
      </c>
      <c r="D59" s="3">
        <f t="shared" si="3"/>
        <v>14.055343536522349</v>
      </c>
      <c r="E59" t="s">
        <v>9</v>
      </c>
      <c r="F59" t="s">
        <v>4</v>
      </c>
      <c r="G59" t="s">
        <v>11</v>
      </c>
      <c r="H59">
        <v>0.114833119503454</v>
      </c>
      <c r="I59">
        <f t="shared" si="1"/>
        <v>1.5780868265999972</v>
      </c>
      <c r="J59" s="3">
        <v>0.12035764999999973</v>
      </c>
      <c r="K59">
        <f t="shared" si="2"/>
        <v>3.3430357119095491</v>
      </c>
      <c r="L59" s="3">
        <v>1.0341364143539149</v>
      </c>
      <c r="M59">
        <f t="shared" si="4"/>
        <v>4.4081311734000019</v>
      </c>
      <c r="N59">
        <f t="shared" si="5"/>
        <v>2.4754039119095492</v>
      </c>
      <c r="O59">
        <f t="shared" si="6"/>
        <v>112.31080993446321</v>
      </c>
      <c r="P59">
        <f t="shared" si="7"/>
        <v>66.427165048500541</v>
      </c>
    </row>
    <row r="60" spans="1:16" x14ac:dyDescent="0.2">
      <c r="A60" s="4" t="s">
        <v>44</v>
      </c>
      <c r="B60" s="2">
        <v>5</v>
      </c>
      <c r="C60" s="7">
        <f t="shared" si="0"/>
        <v>25.833048053923473</v>
      </c>
      <c r="D60" s="3">
        <f t="shared" si="3"/>
        <v>20.994683436292284</v>
      </c>
      <c r="E60" t="s">
        <v>9</v>
      </c>
      <c r="F60" t="s">
        <v>4</v>
      </c>
      <c r="G60" t="s">
        <v>11</v>
      </c>
      <c r="H60">
        <v>7.5480328282959031E-2</v>
      </c>
      <c r="I60">
        <f t="shared" si="1"/>
        <v>0.93244680000000002</v>
      </c>
      <c r="J60" s="3">
        <v>5.9700000000000003E-2</v>
      </c>
      <c r="K60">
        <f t="shared" si="2"/>
        <v>4.1284811698000015</v>
      </c>
      <c r="L60" s="3">
        <v>1.2734555666666671</v>
      </c>
      <c r="M60">
        <f t="shared" si="4"/>
        <v>5.5338155999999996</v>
      </c>
      <c r="N60">
        <f t="shared" si="5"/>
        <v>3.2221217698000015</v>
      </c>
      <c r="O60">
        <f t="shared" si="6"/>
        <v>116.45208307266334</v>
      </c>
      <c r="P60">
        <f t="shared" si="7"/>
        <v>79.039359073708439</v>
      </c>
    </row>
    <row r="61" spans="1:16" x14ac:dyDescent="0.2">
      <c r="A61" s="4" t="s">
        <v>45</v>
      </c>
      <c r="B61" s="2">
        <v>5</v>
      </c>
      <c r="C61" s="7">
        <f t="shared" si="0"/>
        <v>75.57697541293436</v>
      </c>
      <c r="D61" s="3">
        <f t="shared" si="3"/>
        <v>12.048526772698306</v>
      </c>
      <c r="E61" t="s">
        <v>9</v>
      </c>
      <c r="F61" t="s">
        <v>4</v>
      </c>
      <c r="G61" t="s">
        <v>11</v>
      </c>
      <c r="H61">
        <v>0.11510965707897104</v>
      </c>
      <c r="I61">
        <f t="shared" si="1"/>
        <v>1.8393155999999999</v>
      </c>
      <c r="J61" s="3">
        <v>0.1449</v>
      </c>
      <c r="K61">
        <f t="shared" si="2"/>
        <v>3.1578990901541779</v>
      </c>
      <c r="L61" s="3">
        <v>0.97772671851132775</v>
      </c>
      <c r="M61">
        <f t="shared" si="4"/>
        <v>4.2937896000000002</v>
      </c>
      <c r="N61">
        <f t="shared" si="5"/>
        <v>2.1937764901541779</v>
      </c>
      <c r="O61">
        <f t="shared" si="6"/>
        <v>102.1836975968351</v>
      </c>
      <c r="P61">
        <f t="shared" si="7"/>
        <v>58.4590764370976</v>
      </c>
    </row>
    <row r="62" spans="1:16" x14ac:dyDescent="0.2">
      <c r="A62" s="5" t="s">
        <v>52</v>
      </c>
      <c r="B62" s="2">
        <v>0</v>
      </c>
      <c r="C62" s="7">
        <f t="shared" si="0"/>
        <v>111.99986701325838</v>
      </c>
      <c r="D62" t="s">
        <v>48</v>
      </c>
      <c r="E62" t="s">
        <v>5</v>
      </c>
      <c r="F62" t="s">
        <v>3</v>
      </c>
      <c r="G62" t="s">
        <v>49</v>
      </c>
      <c r="H62">
        <v>0.14412656072056251</v>
      </c>
      <c r="I62">
        <f t="shared" si="1"/>
        <v>6.3437190923999722</v>
      </c>
      <c r="J62">
        <v>0.5680870999999974</v>
      </c>
      <c r="K62">
        <f t="shared" si="2"/>
        <v>0.85372136790742348</v>
      </c>
      <c r="L62">
        <v>0.27566159899677745</v>
      </c>
      <c r="M62" s="3" t="s">
        <v>48</v>
      </c>
      <c r="N62" s="3" t="s">
        <v>48</v>
      </c>
      <c r="O62" s="3" t="s">
        <v>48</v>
      </c>
      <c r="P62" s="3" t="s">
        <v>48</v>
      </c>
    </row>
    <row r="63" spans="1:16" x14ac:dyDescent="0.2">
      <c r="A63" s="5" t="s">
        <v>17</v>
      </c>
      <c r="B63" s="2">
        <v>0</v>
      </c>
      <c r="C63" s="7">
        <f t="shared" si="0"/>
        <v>110.79331866391895</v>
      </c>
      <c r="D63" t="s">
        <v>48</v>
      </c>
      <c r="E63" t="s">
        <v>5</v>
      </c>
      <c r="F63" t="s">
        <v>3</v>
      </c>
      <c r="G63" t="s">
        <v>49</v>
      </c>
      <c r="H63">
        <v>0.1431653438689221</v>
      </c>
      <c r="I63">
        <f t="shared" si="1"/>
        <v>6.5012935779999435</v>
      </c>
      <c r="J63">
        <v>0.58289116666666141</v>
      </c>
      <c r="K63">
        <f t="shared" si="2"/>
        <v>0.80170488624165026</v>
      </c>
      <c r="L63">
        <v>0.25981257959830906</v>
      </c>
      <c r="M63" s="3" t="s">
        <v>48</v>
      </c>
      <c r="N63" s="3" t="s">
        <v>48</v>
      </c>
      <c r="O63" s="3" t="s">
        <v>48</v>
      </c>
      <c r="P63" s="3" t="s">
        <v>48</v>
      </c>
    </row>
    <row r="64" spans="1:16" x14ac:dyDescent="0.2">
      <c r="A64" s="5" t="s">
        <v>18</v>
      </c>
      <c r="B64" s="2">
        <v>0</v>
      </c>
      <c r="C64" s="7">
        <f t="shared" si="0"/>
        <v>138.01381766773758</v>
      </c>
      <c r="D64" t="s">
        <v>48</v>
      </c>
      <c r="E64" t="s">
        <v>5</v>
      </c>
      <c r="F64" t="s">
        <v>3</v>
      </c>
      <c r="G64" t="s">
        <v>49</v>
      </c>
      <c r="H64">
        <v>0.16485100807529762</v>
      </c>
      <c r="I64">
        <f t="shared" si="1"/>
        <v>6.6631763999999993</v>
      </c>
      <c r="J64">
        <v>0.59809999999999997</v>
      </c>
      <c r="K64">
        <f t="shared" si="2"/>
        <v>1.0950220668759616</v>
      </c>
      <c r="L64">
        <v>0.3491840545021212</v>
      </c>
      <c r="M64" s="3" t="s">
        <v>48</v>
      </c>
      <c r="N64" s="3" t="s">
        <v>48</v>
      </c>
      <c r="O64" s="3" t="s">
        <v>48</v>
      </c>
      <c r="P64" s="3" t="s">
        <v>48</v>
      </c>
    </row>
    <row r="65" spans="1:16" x14ac:dyDescent="0.2">
      <c r="A65" s="5" t="s">
        <v>19</v>
      </c>
      <c r="B65" s="2">
        <v>0</v>
      </c>
      <c r="C65" s="7">
        <f t="shared" si="0"/>
        <v>106.16733175063383</v>
      </c>
      <c r="D65" t="s">
        <v>48</v>
      </c>
      <c r="E65" t="s">
        <v>5</v>
      </c>
      <c r="F65" t="s">
        <v>4</v>
      </c>
      <c r="G65" t="s">
        <v>49</v>
      </c>
      <c r="H65">
        <v>0.13947997429467163</v>
      </c>
      <c r="I65">
        <f t="shared" si="1"/>
        <v>5.6024964350902504</v>
      </c>
      <c r="J65">
        <v>0.4984494959686443</v>
      </c>
      <c r="K65">
        <f t="shared" si="2"/>
        <v>0.81365228919498578</v>
      </c>
      <c r="L65">
        <v>0.26345286081504748</v>
      </c>
      <c r="M65" s="3" t="s">
        <v>48</v>
      </c>
      <c r="N65" s="3" t="s">
        <v>48</v>
      </c>
      <c r="O65" s="3" t="s">
        <v>48</v>
      </c>
      <c r="P65" s="3" t="s">
        <v>48</v>
      </c>
    </row>
    <row r="66" spans="1:16" x14ac:dyDescent="0.2">
      <c r="A66" s="5" t="s">
        <v>20</v>
      </c>
      <c r="B66" s="2">
        <v>0</v>
      </c>
      <c r="C66" s="7">
        <f t="shared" si="0"/>
        <v>88.305239597065039</v>
      </c>
      <c r="D66" t="s">
        <v>48</v>
      </c>
      <c r="E66" t="s">
        <v>5</v>
      </c>
      <c r="F66" t="s">
        <v>4</v>
      </c>
      <c r="G66" t="s">
        <v>49</v>
      </c>
      <c r="H66">
        <v>0.12524984087899516</v>
      </c>
      <c r="I66">
        <f t="shared" si="1"/>
        <v>6.2661551999999991</v>
      </c>
      <c r="J66">
        <v>0.56079999999999997</v>
      </c>
      <c r="K66">
        <f t="shared" si="2"/>
        <v>0.7509806650441091</v>
      </c>
      <c r="L66">
        <v>0.24435730196347016</v>
      </c>
      <c r="M66" s="3" t="s">
        <v>48</v>
      </c>
      <c r="N66" s="3" t="s">
        <v>48</v>
      </c>
      <c r="O66" s="3" t="s">
        <v>48</v>
      </c>
      <c r="P66" s="3" t="s">
        <v>48</v>
      </c>
    </row>
    <row r="67" spans="1:16" x14ac:dyDescent="0.2">
      <c r="A67" s="5" t="s">
        <v>21</v>
      </c>
      <c r="B67" s="2">
        <v>0</v>
      </c>
      <c r="C67" s="7">
        <f t="shared" ref="C67:C151" si="8">30*(H67-0.0549)/0.0239</f>
        <v>100.14128939809368</v>
      </c>
      <c r="D67" t="s">
        <v>48</v>
      </c>
      <c r="E67" t="s">
        <v>5</v>
      </c>
      <c r="F67" t="s">
        <v>4</v>
      </c>
      <c r="G67" t="s">
        <v>49</v>
      </c>
      <c r="H67">
        <v>0.13467922722048131</v>
      </c>
      <c r="I67">
        <f t="shared" ref="I67:I130" si="9">(0.3548*J67 + 0.0099)*30</f>
        <v>6.5727023999999998</v>
      </c>
      <c r="J67">
        <v>0.58960000000000001</v>
      </c>
      <c r="K67">
        <f t="shared" ref="K67:K130" si="10">(0.1094*L67 - 0.0017)*30</f>
        <v>0.79395356921139093</v>
      </c>
      <c r="L67">
        <v>0.2574508132880533</v>
      </c>
      <c r="M67" s="3" t="s">
        <v>48</v>
      </c>
      <c r="N67" s="3" t="s">
        <v>48</v>
      </c>
      <c r="O67" s="3" t="s">
        <v>48</v>
      </c>
      <c r="P67" s="3" t="s">
        <v>48</v>
      </c>
    </row>
    <row r="68" spans="1:16" x14ac:dyDescent="0.2">
      <c r="A68" s="5" t="s">
        <v>22</v>
      </c>
      <c r="B68" s="2">
        <v>0</v>
      </c>
      <c r="C68" s="7">
        <f t="shared" si="8"/>
        <v>114.64973969711593</v>
      </c>
      <c r="D68" t="s">
        <v>48</v>
      </c>
      <c r="E68" t="s">
        <v>6</v>
      </c>
      <c r="F68" t="s">
        <v>3</v>
      </c>
      <c r="G68" t="s">
        <v>49</v>
      </c>
      <c r="H68">
        <v>0.14623762595870238</v>
      </c>
      <c r="I68">
        <f t="shared" si="9"/>
        <v>4.6102926012000589</v>
      </c>
      <c r="J68">
        <v>0.40523230000000554</v>
      </c>
      <c r="K68">
        <f t="shared" si="10"/>
        <v>0.81630766771716434</v>
      </c>
      <c r="L68">
        <v>0.26426193410029386</v>
      </c>
      <c r="M68" s="3" t="s">
        <v>48</v>
      </c>
      <c r="N68" s="3" t="s">
        <v>48</v>
      </c>
      <c r="O68" s="3" t="s">
        <v>48</v>
      </c>
      <c r="P68" s="3" t="s">
        <v>48</v>
      </c>
    </row>
    <row r="69" spans="1:16" x14ac:dyDescent="0.2">
      <c r="A69" s="5" t="s">
        <v>23</v>
      </c>
      <c r="B69" s="2">
        <v>0</v>
      </c>
      <c r="C69" s="7">
        <f t="shared" si="8"/>
        <v>101.38809059616084</v>
      </c>
      <c r="D69" t="s">
        <v>48</v>
      </c>
      <c r="E69" t="s">
        <v>6</v>
      </c>
      <c r="F69" t="s">
        <v>3</v>
      </c>
      <c r="G69" t="s">
        <v>49</v>
      </c>
      <c r="H69">
        <v>0.13567251217494147</v>
      </c>
      <c r="I69">
        <f t="shared" si="9"/>
        <v>4.3853603999999997</v>
      </c>
      <c r="J69">
        <v>0.3841</v>
      </c>
      <c r="K69">
        <f t="shared" si="10"/>
        <v>1.5131888401535161</v>
      </c>
      <c r="L69">
        <v>0.4765962340504315</v>
      </c>
      <c r="M69" s="3" t="s">
        <v>48</v>
      </c>
      <c r="N69" s="3" t="s">
        <v>48</v>
      </c>
      <c r="O69" s="3" t="s">
        <v>48</v>
      </c>
      <c r="P69" s="3" t="s">
        <v>48</v>
      </c>
    </row>
    <row r="70" spans="1:16" x14ac:dyDescent="0.2">
      <c r="A70" s="5" t="s">
        <v>24</v>
      </c>
      <c r="B70" s="2">
        <v>0</v>
      </c>
      <c r="C70" s="7">
        <f t="shared" si="8"/>
        <v>117.27242715336892</v>
      </c>
      <c r="D70" t="s">
        <v>48</v>
      </c>
      <c r="E70" t="s">
        <v>6</v>
      </c>
      <c r="F70" t="s">
        <v>3</v>
      </c>
      <c r="G70" t="s">
        <v>49</v>
      </c>
      <c r="H70">
        <v>0.14832703363218391</v>
      </c>
      <c r="I70">
        <f t="shared" si="9"/>
        <v>3.8818992000000003</v>
      </c>
      <c r="J70">
        <v>0.33679999999999999</v>
      </c>
      <c r="K70">
        <f t="shared" si="10"/>
        <v>0.87400107071614075</v>
      </c>
      <c r="L70">
        <v>0.28184066749425374</v>
      </c>
      <c r="M70" s="3" t="s">
        <v>48</v>
      </c>
      <c r="N70" s="3" t="s">
        <v>48</v>
      </c>
      <c r="O70" s="3" t="s">
        <v>48</v>
      </c>
      <c r="P70" s="3" t="s">
        <v>48</v>
      </c>
    </row>
    <row r="71" spans="1:16" x14ac:dyDescent="0.2">
      <c r="A71" s="5" t="s">
        <v>25</v>
      </c>
      <c r="B71" s="2">
        <v>0</v>
      </c>
      <c r="C71" s="7">
        <f t="shared" si="8"/>
        <v>78.415145203381996</v>
      </c>
      <c r="D71" t="s">
        <v>48</v>
      </c>
      <c r="E71" t="s">
        <v>6</v>
      </c>
      <c r="F71" t="s">
        <v>4</v>
      </c>
      <c r="G71" t="s">
        <v>49</v>
      </c>
      <c r="H71">
        <v>0.117370732345361</v>
      </c>
      <c r="I71">
        <f t="shared" si="9"/>
        <v>3.956414650799994</v>
      </c>
      <c r="J71">
        <v>0.3438006999999994</v>
      </c>
      <c r="K71">
        <f t="shared" si="10"/>
        <v>2.1287361732515544</v>
      </c>
      <c r="L71">
        <v>0.66414874261168633</v>
      </c>
      <c r="M71" s="3" t="s">
        <v>48</v>
      </c>
      <c r="N71" s="3" t="s">
        <v>48</v>
      </c>
      <c r="O71" s="3" t="s">
        <v>48</v>
      </c>
      <c r="P71" s="3" t="s">
        <v>48</v>
      </c>
    </row>
    <row r="72" spans="1:16" x14ac:dyDescent="0.2">
      <c r="A72" s="5" t="s">
        <v>26</v>
      </c>
      <c r="B72" s="2">
        <v>0</v>
      </c>
      <c r="C72" s="7">
        <f t="shared" si="8"/>
        <v>107.26136074411077</v>
      </c>
      <c r="D72" t="s">
        <v>48</v>
      </c>
      <c r="E72" t="s">
        <v>6</v>
      </c>
      <c r="F72" t="s">
        <v>4</v>
      </c>
      <c r="G72" t="s">
        <v>49</v>
      </c>
      <c r="H72">
        <v>0.14035155072614158</v>
      </c>
      <c r="I72">
        <f t="shared" si="9"/>
        <v>4.0095564173999261</v>
      </c>
      <c r="J72">
        <v>0.34879334999999312</v>
      </c>
      <c r="K72">
        <f t="shared" si="10"/>
        <v>0.90493126251549405</v>
      </c>
      <c r="L72">
        <v>0.291264857561089</v>
      </c>
      <c r="M72" s="3" t="s">
        <v>48</v>
      </c>
      <c r="N72" s="3" t="s">
        <v>48</v>
      </c>
      <c r="O72" s="3" t="s">
        <v>48</v>
      </c>
      <c r="P72" s="3" t="s">
        <v>48</v>
      </c>
    </row>
    <row r="73" spans="1:16" x14ac:dyDescent="0.2">
      <c r="A73" s="5" t="s">
        <v>27</v>
      </c>
      <c r="B73" s="2">
        <v>0</v>
      </c>
      <c r="C73" s="7">
        <f t="shared" si="8"/>
        <v>102.13677490243019</v>
      </c>
      <c r="D73" t="s">
        <v>48</v>
      </c>
      <c r="E73" t="s">
        <v>6</v>
      </c>
      <c r="F73" t="s">
        <v>4</v>
      </c>
      <c r="G73" t="s">
        <v>49</v>
      </c>
      <c r="H73">
        <v>0.13626896400560273</v>
      </c>
      <c r="I73">
        <f t="shared" si="9"/>
        <v>4.3432377256466337</v>
      </c>
      <c r="J73">
        <v>0.38014258978266002</v>
      </c>
      <c r="K73">
        <f t="shared" si="10"/>
        <v>1.2936206634829126</v>
      </c>
      <c r="L73">
        <v>0.40969550989729209</v>
      </c>
      <c r="M73" s="3" t="s">
        <v>48</v>
      </c>
      <c r="N73" s="3" t="s">
        <v>48</v>
      </c>
      <c r="O73" s="3" t="s">
        <v>48</v>
      </c>
      <c r="P73" s="3" t="s">
        <v>48</v>
      </c>
    </row>
    <row r="74" spans="1:16" x14ac:dyDescent="0.2">
      <c r="A74" s="5" t="s">
        <v>28</v>
      </c>
      <c r="B74" s="2">
        <v>0</v>
      </c>
      <c r="C74" s="7">
        <f t="shared" si="8"/>
        <v>107.38656246301765</v>
      </c>
      <c r="D74" t="s">
        <v>48</v>
      </c>
      <c r="E74" t="s">
        <v>7</v>
      </c>
      <c r="F74" t="s">
        <v>3</v>
      </c>
      <c r="G74" t="s">
        <v>49</v>
      </c>
      <c r="H74">
        <v>0.14045129476220408</v>
      </c>
      <c r="I74">
        <f t="shared" si="9"/>
        <v>6.3949475999999992</v>
      </c>
      <c r="J74">
        <v>0.57289999999999996</v>
      </c>
      <c r="K74">
        <f t="shared" si="10"/>
        <v>0.80598241388327263</v>
      </c>
      <c r="L74">
        <v>0.26111590916614036</v>
      </c>
      <c r="M74" s="3" t="s">
        <v>48</v>
      </c>
      <c r="N74" s="3" t="s">
        <v>48</v>
      </c>
      <c r="O74" s="3" t="s">
        <v>48</v>
      </c>
      <c r="P74" s="3" t="s">
        <v>48</v>
      </c>
    </row>
    <row r="75" spans="1:16" x14ac:dyDescent="0.2">
      <c r="A75" s="5" t="s">
        <v>29</v>
      </c>
      <c r="B75" s="2">
        <v>0</v>
      </c>
      <c r="C75" s="7">
        <f t="shared" si="8"/>
        <v>114.0043311686843</v>
      </c>
      <c r="D75" t="s">
        <v>48</v>
      </c>
      <c r="E75" t="s">
        <v>7</v>
      </c>
      <c r="F75" t="s">
        <v>3</v>
      </c>
      <c r="G75" t="s">
        <v>49</v>
      </c>
      <c r="H75">
        <v>0.14572345049771851</v>
      </c>
      <c r="I75">
        <f t="shared" si="9"/>
        <v>4.9175603999999993</v>
      </c>
      <c r="J75">
        <v>0.43409999999999999</v>
      </c>
      <c r="K75">
        <f t="shared" si="10"/>
        <v>1.1295439263709934</v>
      </c>
      <c r="L75">
        <v>0.35970259791925452</v>
      </c>
      <c r="M75" s="3" t="s">
        <v>48</v>
      </c>
      <c r="N75" s="3" t="s">
        <v>48</v>
      </c>
      <c r="O75" s="3" t="s">
        <v>48</v>
      </c>
      <c r="P75" s="3" t="s">
        <v>48</v>
      </c>
    </row>
    <row r="76" spans="1:16" x14ac:dyDescent="0.2">
      <c r="A76" s="5" t="s">
        <v>30</v>
      </c>
      <c r="B76" s="2">
        <v>0</v>
      </c>
      <c r="C76" s="7">
        <f t="shared" si="8"/>
        <v>109.19984402129056</v>
      </c>
      <c r="D76" t="s">
        <v>48</v>
      </c>
      <c r="E76" t="s">
        <v>7</v>
      </c>
      <c r="F76" t="s">
        <v>3</v>
      </c>
      <c r="G76" t="s">
        <v>49</v>
      </c>
      <c r="H76">
        <v>0.1418958757369615</v>
      </c>
      <c r="I76">
        <f t="shared" si="9"/>
        <v>6.4098492</v>
      </c>
      <c r="J76">
        <v>0.57430000000000003</v>
      </c>
      <c r="K76">
        <f t="shared" si="10"/>
        <v>0.83637571396298382</v>
      </c>
      <c r="L76">
        <v>0.27037651248110417</v>
      </c>
      <c r="M76" s="3" t="s">
        <v>48</v>
      </c>
      <c r="N76" s="3" t="s">
        <v>48</v>
      </c>
      <c r="O76" s="3" t="s">
        <v>48</v>
      </c>
      <c r="P76" s="3" t="s">
        <v>48</v>
      </c>
    </row>
    <row r="77" spans="1:16" x14ac:dyDescent="0.2">
      <c r="A77" s="5" t="s">
        <v>31</v>
      </c>
      <c r="B77" s="2">
        <v>0</v>
      </c>
      <c r="C77" s="7">
        <f t="shared" si="8"/>
        <v>107.91246381065416</v>
      </c>
      <c r="D77" t="s">
        <v>48</v>
      </c>
      <c r="E77" t="s">
        <v>7</v>
      </c>
      <c r="F77" t="s">
        <v>4</v>
      </c>
      <c r="G77" t="s">
        <v>49</v>
      </c>
      <c r="H77">
        <v>0.14087026283582116</v>
      </c>
      <c r="I77">
        <f t="shared" si="9"/>
        <v>6.3566292000000004</v>
      </c>
      <c r="J77">
        <v>0.56930000000000003</v>
      </c>
      <c r="K77">
        <f t="shared" si="10"/>
        <v>0.80413957789803336</v>
      </c>
      <c r="L77">
        <v>0.26055441130348367</v>
      </c>
      <c r="M77" s="3" t="s">
        <v>48</v>
      </c>
      <c r="N77" s="3" t="s">
        <v>48</v>
      </c>
      <c r="O77" s="3" t="s">
        <v>48</v>
      </c>
      <c r="P77" s="3" t="s">
        <v>48</v>
      </c>
    </row>
    <row r="78" spans="1:16" x14ac:dyDescent="0.2">
      <c r="A78" s="5" t="s">
        <v>32</v>
      </c>
      <c r="B78" s="2">
        <v>0</v>
      </c>
      <c r="C78" s="7">
        <f t="shared" si="8"/>
        <v>119.54980895948665</v>
      </c>
      <c r="D78" t="s">
        <v>48</v>
      </c>
      <c r="E78" t="s">
        <v>7</v>
      </c>
      <c r="F78" t="s">
        <v>4</v>
      </c>
      <c r="G78" t="s">
        <v>49</v>
      </c>
      <c r="H78">
        <v>0.15014134780439103</v>
      </c>
      <c r="I78">
        <f t="shared" si="9"/>
        <v>5.7424704000000002</v>
      </c>
      <c r="J78">
        <v>0.51160000000000005</v>
      </c>
      <c r="K78">
        <f t="shared" si="10"/>
        <v>0.80964135390354752</v>
      </c>
      <c r="L78">
        <v>0.26223075987311018</v>
      </c>
      <c r="M78" s="3" t="s">
        <v>48</v>
      </c>
      <c r="N78" s="3" t="s">
        <v>48</v>
      </c>
      <c r="O78" s="3" t="s">
        <v>48</v>
      </c>
      <c r="P78" s="3" t="s">
        <v>48</v>
      </c>
    </row>
    <row r="79" spans="1:16" x14ac:dyDescent="0.2">
      <c r="A79" s="5" t="s">
        <v>33</v>
      </c>
      <c r="B79" s="2">
        <v>0</v>
      </c>
      <c r="C79" s="7">
        <f t="shared" si="8"/>
        <v>115.87458380935045</v>
      </c>
      <c r="D79" t="s">
        <v>48</v>
      </c>
      <c r="E79" t="s">
        <v>7</v>
      </c>
      <c r="F79" t="s">
        <v>4</v>
      </c>
      <c r="G79" t="s">
        <v>49</v>
      </c>
      <c r="H79">
        <v>0.14721341843478253</v>
      </c>
      <c r="I79">
        <f t="shared" si="9"/>
        <v>6.348222923599991</v>
      </c>
      <c r="J79">
        <v>0.5685102333333325</v>
      </c>
      <c r="K79">
        <f t="shared" si="10"/>
        <v>0.81447389830939332</v>
      </c>
      <c r="L79">
        <v>0.2637031987536238</v>
      </c>
      <c r="M79" s="3" t="s">
        <v>48</v>
      </c>
      <c r="N79" s="3" t="s">
        <v>48</v>
      </c>
      <c r="O79" s="3" t="s">
        <v>48</v>
      </c>
      <c r="P79" s="3" t="s">
        <v>48</v>
      </c>
    </row>
    <row r="80" spans="1:16" x14ac:dyDescent="0.2">
      <c r="A80" s="6" t="s">
        <v>34</v>
      </c>
      <c r="B80" s="9">
        <v>0</v>
      </c>
      <c r="C80" s="10">
        <f t="shared" si="8"/>
        <v>106.80097602551831</v>
      </c>
      <c r="D80" s="11" t="s">
        <v>48</v>
      </c>
      <c r="E80" s="11" t="s">
        <v>8</v>
      </c>
      <c r="F80" s="11" t="s">
        <v>3</v>
      </c>
      <c r="G80" s="11" t="s">
        <v>49</v>
      </c>
      <c r="H80" s="11">
        <v>0.13998477756699626</v>
      </c>
      <c r="I80">
        <f t="shared" si="9"/>
        <v>6.3715307999999995</v>
      </c>
      <c r="J80" s="11">
        <v>0.57069999999999999</v>
      </c>
      <c r="K80">
        <f t="shared" si="10"/>
        <v>0.80636146242074536</v>
      </c>
      <c r="L80" s="11">
        <v>0.26123140232198216</v>
      </c>
      <c r="M80" s="3" t="s">
        <v>48</v>
      </c>
      <c r="N80" s="3" t="s">
        <v>48</v>
      </c>
      <c r="O80" s="3" t="s">
        <v>48</v>
      </c>
      <c r="P80" s="3" t="s">
        <v>48</v>
      </c>
    </row>
    <row r="81" spans="1:16" x14ac:dyDescent="0.2">
      <c r="A81" s="6" t="s">
        <v>35</v>
      </c>
      <c r="B81" s="9">
        <v>0</v>
      </c>
      <c r="C81" s="10">
        <f t="shared" si="8"/>
        <v>105.57606278947721</v>
      </c>
      <c r="D81" s="11" t="s">
        <v>48</v>
      </c>
      <c r="E81" s="11" t="s">
        <v>8</v>
      </c>
      <c r="F81" s="11" t="s">
        <v>3</v>
      </c>
      <c r="G81" s="11" t="s">
        <v>49</v>
      </c>
      <c r="H81" s="11">
        <v>0.13900893002228351</v>
      </c>
      <c r="I81">
        <f t="shared" si="9"/>
        <v>6.2975535808000025</v>
      </c>
      <c r="J81" s="11">
        <v>0.56374986666666693</v>
      </c>
      <c r="K81">
        <f t="shared" si="10"/>
        <v>0.78406933593075778</v>
      </c>
      <c r="L81" s="11">
        <v>0.25443916390333876</v>
      </c>
      <c r="M81" s="3" t="s">
        <v>48</v>
      </c>
      <c r="N81" s="3" t="s">
        <v>48</v>
      </c>
      <c r="O81" s="3" t="s">
        <v>48</v>
      </c>
      <c r="P81" s="3" t="s">
        <v>48</v>
      </c>
    </row>
    <row r="82" spans="1:16" x14ac:dyDescent="0.2">
      <c r="A82" s="6" t="s">
        <v>36</v>
      </c>
      <c r="B82" s="9">
        <v>0</v>
      </c>
      <c r="C82" s="10">
        <f t="shared" si="8"/>
        <v>114.90767598026237</v>
      </c>
      <c r="D82" s="11" t="s">
        <v>48</v>
      </c>
      <c r="E82" s="11" t="s">
        <v>8</v>
      </c>
      <c r="F82" s="11" t="s">
        <v>3</v>
      </c>
      <c r="G82" s="11" t="s">
        <v>49</v>
      </c>
      <c r="H82" s="11">
        <v>0.14644311519760903</v>
      </c>
      <c r="I82">
        <f t="shared" si="9"/>
        <v>6.2427383999999995</v>
      </c>
      <c r="J82" s="11">
        <v>0.55859999999999999</v>
      </c>
      <c r="K82">
        <f t="shared" si="10"/>
        <v>0.81686959534324211</v>
      </c>
      <c r="L82" s="11">
        <v>0.26443314909909876</v>
      </c>
      <c r="M82" s="3" t="s">
        <v>48</v>
      </c>
      <c r="N82" s="3" t="s">
        <v>48</v>
      </c>
      <c r="O82" s="3" t="s">
        <v>48</v>
      </c>
      <c r="P82" s="3" t="s">
        <v>48</v>
      </c>
    </row>
    <row r="83" spans="1:16" x14ac:dyDescent="0.2">
      <c r="A83" s="5" t="s">
        <v>37</v>
      </c>
      <c r="B83" s="2">
        <v>0</v>
      </c>
      <c r="C83" s="7">
        <f t="shared" si="8"/>
        <v>111.80852532907073</v>
      </c>
      <c r="D83" t="s">
        <v>48</v>
      </c>
      <c r="E83" t="s">
        <v>8</v>
      </c>
      <c r="F83" t="s">
        <v>4</v>
      </c>
      <c r="G83" t="s">
        <v>49</v>
      </c>
      <c r="H83">
        <v>0.14397412517882635</v>
      </c>
      <c r="I83">
        <f t="shared" si="9"/>
        <v>6.1394916000000004</v>
      </c>
      <c r="J83">
        <v>0.54890000000000005</v>
      </c>
      <c r="K83">
        <f t="shared" si="10"/>
        <v>0.79337477625774799</v>
      </c>
      <c r="L83">
        <v>0.25727445955446315</v>
      </c>
      <c r="M83" s="3" t="s">
        <v>48</v>
      </c>
      <c r="N83" s="3" t="s">
        <v>48</v>
      </c>
      <c r="O83" s="3" t="s">
        <v>48</v>
      </c>
      <c r="P83" s="3" t="s">
        <v>48</v>
      </c>
    </row>
    <row r="84" spans="1:16" x14ac:dyDescent="0.2">
      <c r="A84" s="5" t="s">
        <v>38</v>
      </c>
      <c r="B84" s="2">
        <v>0</v>
      </c>
      <c r="C84" s="7">
        <f t="shared" si="8"/>
        <v>106.90592627237314</v>
      </c>
      <c r="D84" t="s">
        <v>48</v>
      </c>
      <c r="E84" t="s">
        <v>8</v>
      </c>
      <c r="F84" t="s">
        <v>4</v>
      </c>
      <c r="G84" t="s">
        <v>49</v>
      </c>
      <c r="H84">
        <v>0.14006838793032395</v>
      </c>
      <c r="I84">
        <f t="shared" si="9"/>
        <v>6.0213431999999987</v>
      </c>
      <c r="J84">
        <v>0.53779999999999994</v>
      </c>
      <c r="K84">
        <f t="shared" si="10"/>
        <v>0.77751618371874154</v>
      </c>
      <c r="L84">
        <v>0.25244246914038437</v>
      </c>
      <c r="M84" s="3" t="s">
        <v>48</v>
      </c>
      <c r="N84" s="3" t="s">
        <v>48</v>
      </c>
      <c r="O84" s="3" t="s">
        <v>48</v>
      </c>
      <c r="P84" s="3" t="s">
        <v>48</v>
      </c>
    </row>
    <row r="85" spans="1:16" x14ac:dyDescent="0.2">
      <c r="A85" s="5" t="s">
        <v>39</v>
      </c>
      <c r="B85" s="2">
        <v>0</v>
      </c>
      <c r="C85" s="7">
        <f t="shared" si="8"/>
        <v>121.94103460819971</v>
      </c>
      <c r="D85" t="s">
        <v>48</v>
      </c>
      <c r="E85" t="s">
        <v>8</v>
      </c>
      <c r="F85" t="s">
        <v>4</v>
      </c>
      <c r="G85" t="s">
        <v>49</v>
      </c>
      <c r="H85">
        <v>0.15204635757119911</v>
      </c>
      <c r="I85">
        <f t="shared" si="9"/>
        <v>5.4518892000000001</v>
      </c>
      <c r="J85">
        <v>0.48430000000000001</v>
      </c>
      <c r="K85">
        <f t="shared" si="10"/>
        <v>0.83931596634567407</v>
      </c>
      <c r="L85">
        <v>0.27127238462695735</v>
      </c>
      <c r="M85" s="3" t="s">
        <v>48</v>
      </c>
      <c r="N85" s="3" t="s">
        <v>48</v>
      </c>
      <c r="O85" s="3" t="s">
        <v>48</v>
      </c>
      <c r="P85" s="3" t="s">
        <v>48</v>
      </c>
    </row>
    <row r="86" spans="1:16" x14ac:dyDescent="0.2">
      <c r="A86" s="6" t="s">
        <v>40</v>
      </c>
      <c r="B86" s="9">
        <v>0</v>
      </c>
      <c r="C86" s="10">
        <f t="shared" si="8"/>
        <v>114.21657466836906</v>
      </c>
      <c r="D86" s="11" t="s">
        <v>48</v>
      </c>
      <c r="E86" s="11" t="s">
        <v>9</v>
      </c>
      <c r="F86" s="11" t="s">
        <v>3</v>
      </c>
      <c r="G86" s="11" t="s">
        <v>49</v>
      </c>
      <c r="H86" s="11">
        <v>0.14589253781913403</v>
      </c>
      <c r="I86">
        <f t="shared" si="9"/>
        <v>7.2070848000000005</v>
      </c>
      <c r="J86" s="11">
        <v>0.6492</v>
      </c>
      <c r="K86">
        <f t="shared" si="10"/>
        <v>0.87591525779054458</v>
      </c>
      <c r="L86" s="11">
        <v>0.2824239054815797</v>
      </c>
      <c r="M86" s="3" t="s">
        <v>48</v>
      </c>
      <c r="N86" s="3" t="s">
        <v>48</v>
      </c>
      <c r="O86" s="3" t="s">
        <v>48</v>
      </c>
      <c r="P86" s="3" t="s">
        <v>48</v>
      </c>
    </row>
    <row r="87" spans="1:16" x14ac:dyDescent="0.2">
      <c r="A87" s="6" t="s">
        <v>41</v>
      </c>
      <c r="B87" s="9">
        <v>0</v>
      </c>
      <c r="C87" s="10">
        <f t="shared" si="8"/>
        <v>124.75467320873629</v>
      </c>
      <c r="D87" s="11" t="s">
        <v>48</v>
      </c>
      <c r="E87" s="11" t="s">
        <v>9</v>
      </c>
      <c r="F87" s="11" t="s">
        <v>3</v>
      </c>
      <c r="G87" s="11" t="s">
        <v>49</v>
      </c>
      <c r="H87" s="11">
        <v>0.15428788965629325</v>
      </c>
      <c r="I87">
        <v>0.52530741666666803</v>
      </c>
      <c r="J87" s="11">
        <v>0.42384445007080795</v>
      </c>
      <c r="K87">
        <f t="shared" si="10"/>
        <v>0.89642214730770808</v>
      </c>
      <c r="L87" s="11">
        <v>0.28867219601088001</v>
      </c>
      <c r="M87" s="3" t="s">
        <v>48</v>
      </c>
      <c r="N87" s="3" t="s">
        <v>48</v>
      </c>
      <c r="O87" s="3" t="s">
        <v>48</v>
      </c>
      <c r="P87" s="3" t="s">
        <v>48</v>
      </c>
    </row>
    <row r="88" spans="1:16" x14ac:dyDescent="0.2">
      <c r="A88" s="6" t="s">
        <v>42</v>
      </c>
      <c r="B88" s="9">
        <v>0</v>
      </c>
      <c r="C88" s="10">
        <f t="shared" si="8"/>
        <v>105.54720718503026</v>
      </c>
      <c r="D88" s="11" t="s">
        <v>48</v>
      </c>
      <c r="E88" s="11" t="s">
        <v>9</v>
      </c>
      <c r="F88" s="11" t="s">
        <v>3</v>
      </c>
      <c r="G88" s="11" t="s">
        <v>49</v>
      </c>
      <c r="H88" s="11">
        <v>0.13898594172407411</v>
      </c>
      <c r="I88">
        <f t="shared" si="9"/>
        <v>5.6197025297634822</v>
      </c>
      <c r="J88" s="11">
        <v>0.50006600242046995</v>
      </c>
      <c r="K88">
        <f t="shared" si="10"/>
        <v>0.8441956610455823</v>
      </c>
      <c r="L88" s="11">
        <v>0.27275918983716707</v>
      </c>
      <c r="M88" s="3" t="s">
        <v>48</v>
      </c>
      <c r="N88" s="3" t="s">
        <v>48</v>
      </c>
      <c r="O88" s="3" t="s">
        <v>48</v>
      </c>
      <c r="P88" s="3" t="s">
        <v>48</v>
      </c>
    </row>
    <row r="89" spans="1:16" x14ac:dyDescent="0.2">
      <c r="A89" s="5" t="s">
        <v>43</v>
      </c>
      <c r="B89" s="2">
        <v>0</v>
      </c>
      <c r="C89" s="7">
        <f t="shared" si="8"/>
        <v>108.23129653694222</v>
      </c>
      <c r="D89" t="s">
        <v>48</v>
      </c>
      <c r="E89" t="s">
        <v>9</v>
      </c>
      <c r="F89" t="s">
        <v>4</v>
      </c>
      <c r="G89" t="s">
        <v>49</v>
      </c>
      <c r="H89">
        <v>0.14112426624109731</v>
      </c>
      <c r="I89">
        <f t="shared" si="9"/>
        <v>6.1353847899999661</v>
      </c>
      <c r="J89">
        <v>0.54851416666666353</v>
      </c>
      <c r="K89">
        <f t="shared" si="10"/>
        <v>0.77409513908868488</v>
      </c>
      <c r="L89">
        <v>0.25140010331769802</v>
      </c>
      <c r="M89" s="3" t="s">
        <v>48</v>
      </c>
      <c r="N89" s="3" t="s">
        <v>48</v>
      </c>
      <c r="O89" s="3" t="s">
        <v>48</v>
      </c>
      <c r="P89" s="3" t="s">
        <v>48</v>
      </c>
    </row>
    <row r="90" spans="1:16" x14ac:dyDescent="0.2">
      <c r="A90" s="5" t="s">
        <v>44</v>
      </c>
      <c r="B90" s="2">
        <v>0</v>
      </c>
      <c r="C90" s="7">
        <f t="shared" si="8"/>
        <v>102.90645509220596</v>
      </c>
      <c r="D90" t="s">
        <v>48</v>
      </c>
      <c r="E90" t="s">
        <v>9</v>
      </c>
      <c r="F90" t="s">
        <v>4</v>
      </c>
      <c r="G90" t="s">
        <v>49</v>
      </c>
      <c r="H90">
        <v>0.13688214255679076</v>
      </c>
      <c r="I90">
        <f t="shared" si="9"/>
        <v>5.9170319999999998</v>
      </c>
      <c r="J90">
        <v>0.52800000000000002</v>
      </c>
      <c r="K90">
        <f t="shared" si="10"/>
        <v>0.73566804952411713</v>
      </c>
      <c r="L90">
        <v>0.23969166652166884</v>
      </c>
      <c r="M90" s="3" t="s">
        <v>48</v>
      </c>
      <c r="N90" s="3" t="s">
        <v>48</v>
      </c>
      <c r="O90" s="3" t="s">
        <v>48</v>
      </c>
      <c r="P90" s="3" t="s">
        <v>48</v>
      </c>
    </row>
    <row r="91" spans="1:16" x14ac:dyDescent="0.2">
      <c r="A91" s="5" t="s">
        <v>45</v>
      </c>
      <c r="B91" s="2">
        <v>0</v>
      </c>
      <c r="C91" s="7">
        <f>30*(H91-0.0549)/0.0239</f>
        <v>111.39124661371595</v>
      </c>
      <c r="D91" t="s">
        <v>48</v>
      </c>
      <c r="E91" t="s">
        <v>9</v>
      </c>
      <c r="F91" t="s">
        <v>4</v>
      </c>
      <c r="G91" t="s">
        <v>49</v>
      </c>
      <c r="H91">
        <v>0.14364169313559372</v>
      </c>
      <c r="I91">
        <f t="shared" si="9"/>
        <v>6.4939378644000385</v>
      </c>
      <c r="J91">
        <v>0.58220010000000366</v>
      </c>
      <c r="K91">
        <f t="shared" si="10"/>
        <v>0.82025118836492572</v>
      </c>
      <c r="L91">
        <v>0.26546349432203709</v>
      </c>
      <c r="M91" s="3" t="s">
        <v>48</v>
      </c>
      <c r="N91" s="3" t="s">
        <v>48</v>
      </c>
      <c r="O91" s="3" t="s">
        <v>48</v>
      </c>
      <c r="P91" s="3" t="s">
        <v>48</v>
      </c>
    </row>
    <row r="92" spans="1:16" x14ac:dyDescent="0.2">
      <c r="A92" s="5" t="s">
        <v>50</v>
      </c>
      <c r="B92" s="2">
        <v>4</v>
      </c>
      <c r="C92" s="7">
        <f t="shared" ref="C92:C121" si="11">30*(H92-0.0549)/0.0239</f>
        <v>94.21757991274896</v>
      </c>
      <c r="D92" s="3">
        <f>(C62-C92)/(B92-B62)</f>
        <v>4.4455717751273554</v>
      </c>
      <c r="E92" t="s">
        <v>5</v>
      </c>
      <c r="F92" t="s">
        <v>3</v>
      </c>
      <c r="G92" t="s">
        <v>49</v>
      </c>
      <c r="H92">
        <v>0.12996000533049001</v>
      </c>
      <c r="I92">
        <f t="shared" si="9"/>
        <v>6.011241334399986</v>
      </c>
      <c r="J92">
        <v>0.536850933333332</v>
      </c>
      <c r="K92">
        <f t="shared" si="10"/>
        <v>0.91231761231215347</v>
      </c>
      <c r="L92">
        <v>0.29351542117981522</v>
      </c>
      <c r="M92">
        <f t="shared" ref="M92:M121" si="12">I62-I92</f>
        <v>0.33247775799998625</v>
      </c>
      <c r="N92">
        <f t="shared" ref="N92:N121" si="13">K92-K62</f>
        <v>5.8596244404729991E-2</v>
      </c>
      <c r="O92">
        <f t="shared" ref="O92:O151" si="14">2*N92/M92*100</f>
        <v>35.248219163419897</v>
      </c>
    </row>
    <row r="93" spans="1:16" x14ac:dyDescent="0.2">
      <c r="A93" s="5" t="s">
        <v>17</v>
      </c>
      <c r="B93" s="2">
        <v>4</v>
      </c>
      <c r="C93" s="7">
        <f t="shared" si="11"/>
        <v>93.332646840181752</v>
      </c>
      <c r="D93" s="3">
        <f t="shared" ref="D93:D121" si="15">(C63-C93)/(B93-B63)</f>
        <v>4.3651679559343002</v>
      </c>
      <c r="E93" t="s">
        <v>5</v>
      </c>
      <c r="F93" t="s">
        <v>3</v>
      </c>
      <c r="G93" t="s">
        <v>49</v>
      </c>
      <c r="H93">
        <v>0.1292550086493448</v>
      </c>
      <c r="I93">
        <f t="shared" si="9"/>
        <v>6.4196200372000041</v>
      </c>
      <c r="J93">
        <v>0.57521796666666702</v>
      </c>
      <c r="K93">
        <f t="shared" si="10"/>
        <v>0.8872406756674166</v>
      </c>
      <c r="L93">
        <v>0.28587467265917632</v>
      </c>
      <c r="M93">
        <f t="shared" si="12"/>
        <v>8.1673540799939381E-2</v>
      </c>
      <c r="N93">
        <f t="shared" si="13"/>
        <v>8.553578942576634E-2</v>
      </c>
      <c r="O93">
        <f t="shared" si="14"/>
        <v>209.45777197363734</v>
      </c>
    </row>
    <row r="94" spans="1:16" x14ac:dyDescent="0.2">
      <c r="A94" s="5" t="s">
        <v>18</v>
      </c>
      <c r="B94" s="2">
        <v>4</v>
      </c>
      <c r="C94" s="7">
        <f t="shared" si="11"/>
        <v>97.428853672959491</v>
      </c>
      <c r="D94" s="3">
        <f t="shared" si="15"/>
        <v>10.146240998694523</v>
      </c>
      <c r="E94" t="s">
        <v>5</v>
      </c>
      <c r="F94" t="s">
        <v>3</v>
      </c>
      <c r="G94" t="s">
        <v>49</v>
      </c>
      <c r="H94">
        <v>0.13251832009279108</v>
      </c>
      <c r="I94">
        <f t="shared" si="9"/>
        <v>6.2189682192000015</v>
      </c>
      <c r="J94">
        <v>0.55636680000000016</v>
      </c>
      <c r="K94">
        <f t="shared" si="10"/>
        <v>0.86661912531284768</v>
      </c>
      <c r="L94">
        <v>0.27959144586009987</v>
      </c>
      <c r="M94">
        <f t="shared" si="12"/>
        <v>0.4442081807999978</v>
      </c>
      <c r="N94">
        <f t="shared" si="13"/>
        <v>-0.22840294156311391</v>
      </c>
      <c r="O94">
        <f t="shared" si="14"/>
        <v>-102.83599061672888</v>
      </c>
    </row>
    <row r="95" spans="1:16" x14ac:dyDescent="0.2">
      <c r="A95" s="5" t="s">
        <v>19</v>
      </c>
      <c r="B95" s="2">
        <v>4</v>
      </c>
      <c r="C95" s="7">
        <f t="shared" si="11"/>
        <v>101.35344019591135</v>
      </c>
      <c r="D95" s="3">
        <f t="shared" si="15"/>
        <v>1.2034728886806221</v>
      </c>
      <c r="E95" t="s">
        <v>5</v>
      </c>
      <c r="F95" t="s">
        <v>4</v>
      </c>
      <c r="G95" t="s">
        <v>49</v>
      </c>
      <c r="H95">
        <v>0.13564490735607604</v>
      </c>
      <c r="I95">
        <f t="shared" si="9"/>
        <v>6.9106380463999972</v>
      </c>
      <c r="J95">
        <v>0.62134893333333308</v>
      </c>
      <c r="K95">
        <f t="shared" si="10"/>
        <v>0.84681164888891403</v>
      </c>
      <c r="L95">
        <v>0.27355626108742048</v>
      </c>
      <c r="M95">
        <f t="shared" si="12"/>
        <v>-1.3081416113097468</v>
      </c>
      <c r="N95">
        <f t="shared" si="13"/>
        <v>3.3159359693928248E-2</v>
      </c>
      <c r="O95">
        <f t="shared" si="14"/>
        <v>-5.0696896126908157</v>
      </c>
    </row>
    <row r="96" spans="1:16" x14ac:dyDescent="0.2">
      <c r="A96" s="5" t="s">
        <v>20</v>
      </c>
      <c r="B96" s="2">
        <v>4</v>
      </c>
      <c r="C96" s="7">
        <f t="shared" si="11"/>
        <v>102.45952072764041</v>
      </c>
      <c r="D96" s="3">
        <f t="shared" si="15"/>
        <v>-3.5385702826438425</v>
      </c>
      <c r="E96" t="s">
        <v>5</v>
      </c>
      <c r="F96" t="s">
        <v>4</v>
      </c>
      <c r="G96" t="s">
        <v>49</v>
      </c>
      <c r="H96">
        <v>0.13652608484635353</v>
      </c>
      <c r="I96">
        <f t="shared" si="9"/>
        <v>7.0652045376000068</v>
      </c>
      <c r="J96">
        <v>0.63587040000000061</v>
      </c>
      <c r="K96">
        <f t="shared" si="10"/>
        <v>0.84943773232322639</v>
      </c>
      <c r="L96">
        <v>0.27435640838611408</v>
      </c>
      <c r="M96">
        <f t="shared" si="12"/>
        <v>-0.79904933760000763</v>
      </c>
      <c r="N96">
        <f t="shared" si="13"/>
        <v>9.8457067279117294E-2</v>
      </c>
      <c r="O96">
        <f t="shared" si="14"/>
        <v>-24.643551441977031</v>
      </c>
    </row>
    <row r="97" spans="1:15" x14ac:dyDescent="0.2">
      <c r="A97" s="5" t="s">
        <v>21</v>
      </c>
      <c r="B97" s="2">
        <v>4</v>
      </c>
      <c r="C97" s="7">
        <f t="shared" si="11"/>
        <v>103.54052408924368</v>
      </c>
      <c r="D97" s="3">
        <f t="shared" si="15"/>
        <v>-0.84980867278749983</v>
      </c>
      <c r="E97" t="s">
        <v>5</v>
      </c>
      <c r="F97" t="s">
        <v>4</v>
      </c>
      <c r="G97" t="s">
        <v>49</v>
      </c>
      <c r="H97">
        <v>0.13738728419109747</v>
      </c>
      <c r="I97">
        <f t="shared" si="9"/>
        <v>6.9330012678000186</v>
      </c>
      <c r="J97">
        <v>0.6234499500000017</v>
      </c>
      <c r="K97">
        <f t="shared" si="10"/>
        <v>0.85055623473882336</v>
      </c>
      <c r="L97">
        <v>0.27469720741585113</v>
      </c>
      <c r="M97">
        <f t="shared" si="12"/>
        <v>-0.36029886780001874</v>
      </c>
      <c r="N97">
        <f t="shared" si="13"/>
        <v>5.6602665527432428E-2</v>
      </c>
      <c r="O97">
        <f t="shared" si="14"/>
        <v>-31.419840907659651</v>
      </c>
    </row>
    <row r="98" spans="1:15" x14ac:dyDescent="0.2">
      <c r="A98" s="5" t="s">
        <v>22</v>
      </c>
      <c r="B98" s="2">
        <v>4</v>
      </c>
      <c r="C98" s="7">
        <f t="shared" si="11"/>
        <v>116.06688660485165</v>
      </c>
      <c r="D98" s="3">
        <f t="shared" si="15"/>
        <v>-0.35428672693392826</v>
      </c>
      <c r="E98" t="s">
        <v>6</v>
      </c>
      <c r="F98" t="s">
        <v>3</v>
      </c>
      <c r="G98" t="s">
        <v>49</v>
      </c>
      <c r="H98">
        <v>0.14736661966186515</v>
      </c>
      <c r="I98">
        <f t="shared" si="9"/>
        <v>3.2011960633999794</v>
      </c>
      <c r="J98">
        <v>0.27284818333333138</v>
      </c>
      <c r="K98">
        <f t="shared" si="10"/>
        <v>1.1016302483641833</v>
      </c>
      <c r="L98">
        <v>0.35119751625965367</v>
      </c>
      <c r="M98">
        <f t="shared" si="12"/>
        <v>1.4090965378000795</v>
      </c>
      <c r="N98">
        <f t="shared" si="13"/>
        <v>0.28532258064701899</v>
      </c>
      <c r="O98">
        <f t="shared" si="14"/>
        <v>40.497236774489913</v>
      </c>
    </row>
    <row r="99" spans="1:15" x14ac:dyDescent="0.2">
      <c r="A99" s="5" t="s">
        <v>23</v>
      </c>
      <c r="B99" s="2">
        <v>4</v>
      </c>
      <c r="C99" s="7">
        <f t="shared" si="11"/>
        <v>100.5167102275927</v>
      </c>
      <c r="D99" s="3">
        <f t="shared" si="15"/>
        <v>0.21784509214203496</v>
      </c>
      <c r="E99" t="s">
        <v>6</v>
      </c>
      <c r="F99" t="s">
        <v>3</v>
      </c>
      <c r="G99" t="s">
        <v>49</v>
      </c>
      <c r="H99">
        <v>0.13497831248131553</v>
      </c>
      <c r="I99">
        <f t="shared" si="9"/>
        <v>3.3633664508000178</v>
      </c>
      <c r="J99">
        <v>0.28808403333333499</v>
      </c>
      <c r="K99">
        <f t="shared" si="10"/>
        <v>2.6725868731472047</v>
      </c>
      <c r="L99">
        <v>0.82985584190956874</v>
      </c>
      <c r="M99">
        <f t="shared" si="12"/>
        <v>1.0219939491999819</v>
      </c>
      <c r="N99">
        <f t="shared" si="13"/>
        <v>1.1593980329936886</v>
      </c>
      <c r="O99">
        <f t="shared" si="14"/>
        <v>226.88941238864805</v>
      </c>
    </row>
    <row r="100" spans="1:15" x14ac:dyDescent="0.2">
      <c r="A100" s="5" t="s">
        <v>24</v>
      </c>
      <c r="B100" s="2">
        <v>4</v>
      </c>
      <c r="C100" s="7">
        <f t="shared" si="11"/>
        <v>106.67984887169865</v>
      </c>
      <c r="D100" s="3">
        <f t="shared" si="15"/>
        <v>2.6481445704175677</v>
      </c>
      <c r="E100" t="s">
        <v>6</v>
      </c>
      <c r="F100" t="s">
        <v>3</v>
      </c>
      <c r="G100" t="s">
        <v>49</v>
      </c>
      <c r="H100">
        <v>0.13988827960111994</v>
      </c>
      <c r="I100">
        <f t="shared" si="9"/>
        <v>2.427032501603875</v>
      </c>
      <c r="J100">
        <v>0.20011579308567029</v>
      </c>
      <c r="K100">
        <f t="shared" si="10"/>
        <v>1.8890337116152203</v>
      </c>
      <c r="L100">
        <v>0.59111325765241318</v>
      </c>
      <c r="M100">
        <f t="shared" si="12"/>
        <v>1.4548666983961254</v>
      </c>
      <c r="N100">
        <f t="shared" si="13"/>
        <v>1.0150326408990795</v>
      </c>
      <c r="O100">
        <f t="shared" si="14"/>
        <v>139.53617084205339</v>
      </c>
    </row>
    <row r="101" spans="1:15" x14ac:dyDescent="0.2">
      <c r="A101" s="5" t="s">
        <v>25</v>
      </c>
      <c r="B101" s="2">
        <v>4</v>
      </c>
      <c r="C101" s="7">
        <f t="shared" si="11"/>
        <v>79.482516745997074</v>
      </c>
      <c r="D101" s="3">
        <f t="shared" si="15"/>
        <v>-0.26684288565376946</v>
      </c>
      <c r="E101" t="s">
        <v>6</v>
      </c>
      <c r="F101" t="s">
        <v>4</v>
      </c>
      <c r="G101" t="s">
        <v>49</v>
      </c>
      <c r="H101">
        <v>0.11822107167431101</v>
      </c>
      <c r="I101">
        <f t="shared" si="9"/>
        <v>1.5187697660000177</v>
      </c>
      <c r="J101">
        <v>0.114784833333335</v>
      </c>
      <c r="K101">
        <f t="shared" si="10"/>
        <v>3.846073689641774</v>
      </c>
      <c r="L101">
        <v>1.1874081930657447</v>
      </c>
      <c r="M101">
        <f t="shared" si="12"/>
        <v>2.4376448847999761</v>
      </c>
      <c r="N101">
        <f t="shared" si="13"/>
        <v>1.7173375163902196</v>
      </c>
      <c r="O101">
        <f t="shared" si="14"/>
        <v>140.90136976872557</v>
      </c>
    </row>
    <row r="102" spans="1:15" x14ac:dyDescent="0.2">
      <c r="A102" s="5" t="s">
        <v>26</v>
      </c>
      <c r="B102" s="2">
        <v>4</v>
      </c>
      <c r="C102" s="7">
        <f t="shared" si="11"/>
        <v>89.951299065646154</v>
      </c>
      <c r="D102" s="3">
        <f t="shared" si="15"/>
        <v>4.3275154196161552</v>
      </c>
      <c r="E102" t="s">
        <v>6</v>
      </c>
      <c r="F102" t="s">
        <v>4</v>
      </c>
      <c r="G102" t="s">
        <v>49</v>
      </c>
      <c r="H102">
        <v>0.12656120158896478</v>
      </c>
      <c r="I102">
        <f t="shared" si="9"/>
        <v>1.3615394364000328</v>
      </c>
      <c r="J102">
        <v>0.10001310000000307</v>
      </c>
      <c r="K102">
        <f t="shared" si="10"/>
        <v>2.6361884271326694</v>
      </c>
      <c r="L102">
        <v>0.81876551710319001</v>
      </c>
      <c r="M102">
        <f t="shared" si="12"/>
        <v>2.648016980999893</v>
      </c>
      <c r="N102">
        <f t="shared" si="13"/>
        <v>1.7312571646171753</v>
      </c>
      <c r="O102">
        <f t="shared" si="14"/>
        <v>130.75876605318831</v>
      </c>
    </row>
    <row r="103" spans="1:15" x14ac:dyDescent="0.2">
      <c r="A103" s="5" t="s">
        <v>27</v>
      </c>
      <c r="B103" s="2">
        <v>4</v>
      </c>
      <c r="C103" s="7">
        <f t="shared" si="11"/>
        <v>82.705952882080766</v>
      </c>
      <c r="D103" s="3">
        <f t="shared" si="15"/>
        <v>4.8577055050873561</v>
      </c>
      <c r="E103" t="s">
        <v>6</v>
      </c>
      <c r="F103" t="s">
        <v>4</v>
      </c>
      <c r="G103" t="s">
        <v>49</v>
      </c>
      <c r="H103">
        <v>0.12078907579605769</v>
      </c>
      <c r="I103">
        <f t="shared" si="9"/>
        <v>3.6156531998000125</v>
      </c>
      <c r="J103">
        <v>0.31178628333333447</v>
      </c>
      <c r="K103">
        <f t="shared" si="10"/>
        <v>2.7173659106032586</v>
      </c>
      <c r="L103">
        <v>0.84349966806924392</v>
      </c>
      <c r="M103">
        <f t="shared" si="12"/>
        <v>0.72758452584662114</v>
      </c>
      <c r="N103">
        <f t="shared" si="13"/>
        <v>1.423745247120346</v>
      </c>
      <c r="O103">
        <f t="shared" si="14"/>
        <v>391.36215698476235</v>
      </c>
    </row>
    <row r="104" spans="1:15" x14ac:dyDescent="0.2">
      <c r="A104" s="5" t="s">
        <v>28</v>
      </c>
      <c r="B104" s="2">
        <v>4</v>
      </c>
      <c r="C104" s="7">
        <f t="shared" si="11"/>
        <v>97.135828358685131</v>
      </c>
      <c r="D104" s="3">
        <f t="shared" si="15"/>
        <v>2.5626835260831307</v>
      </c>
      <c r="E104" t="s">
        <v>7</v>
      </c>
      <c r="F104" t="s">
        <v>3</v>
      </c>
      <c r="G104" t="s">
        <v>49</v>
      </c>
      <c r="H104">
        <v>0.13228487659241916</v>
      </c>
      <c r="I104">
        <f t="shared" si="9"/>
        <v>5.5011088300000202</v>
      </c>
      <c r="J104">
        <v>0.4889241666666686</v>
      </c>
      <c r="K104">
        <f t="shared" si="10"/>
        <v>1.5457162739201635</v>
      </c>
      <c r="L104">
        <v>0.48650709138335269</v>
      </c>
      <c r="M104">
        <f t="shared" si="12"/>
        <v>0.89383876999997902</v>
      </c>
      <c r="N104">
        <f t="shared" si="13"/>
        <v>0.7397338600368909</v>
      </c>
      <c r="O104">
        <f t="shared" si="14"/>
        <v>165.5184100007003</v>
      </c>
    </row>
    <row r="105" spans="1:15" x14ac:dyDescent="0.2">
      <c r="A105" s="5" t="s">
        <v>29</v>
      </c>
      <c r="B105" s="2">
        <v>4</v>
      </c>
      <c r="C105" s="7">
        <f t="shared" si="11"/>
        <v>75.866312528482084</v>
      </c>
      <c r="D105" s="3">
        <f t="shared" si="15"/>
        <v>9.5345046600505547</v>
      </c>
      <c r="E105" t="s">
        <v>7</v>
      </c>
      <c r="F105" t="s">
        <v>3</v>
      </c>
      <c r="G105" t="s">
        <v>49</v>
      </c>
      <c r="H105">
        <v>0.1153401623143574</v>
      </c>
      <c r="I105">
        <f t="shared" si="9"/>
        <v>3.2368728000000004</v>
      </c>
      <c r="J105">
        <v>0.2762</v>
      </c>
      <c r="K105">
        <f t="shared" si="10"/>
        <v>2.980922654725584</v>
      </c>
      <c r="L105">
        <v>0.92380336828933096</v>
      </c>
      <c r="M105">
        <f t="shared" si="12"/>
        <v>1.6806875999999988</v>
      </c>
      <c r="N105">
        <f t="shared" si="13"/>
        <v>1.8513787283545906</v>
      </c>
      <c r="O105">
        <f t="shared" si="14"/>
        <v>220.31205898759433</v>
      </c>
    </row>
    <row r="106" spans="1:15" x14ac:dyDescent="0.2">
      <c r="A106" s="5" t="s">
        <v>30</v>
      </c>
      <c r="B106" s="2">
        <v>4</v>
      </c>
      <c r="C106" s="7">
        <f t="shared" si="11"/>
        <v>43.811404500735044</v>
      </c>
      <c r="D106" s="3">
        <f t="shared" si="15"/>
        <v>16.347109880138881</v>
      </c>
      <c r="E106" t="s">
        <v>7</v>
      </c>
      <c r="F106" t="s">
        <v>3</v>
      </c>
      <c r="G106" t="s">
        <v>49</v>
      </c>
      <c r="H106">
        <v>8.9803085585585585E-2</v>
      </c>
      <c r="I106">
        <f t="shared" si="9"/>
        <v>2.329385938400014</v>
      </c>
      <c r="J106">
        <v>0.19094193333333465</v>
      </c>
      <c r="K106">
        <f t="shared" si="10"/>
        <v>3.7570762367131652</v>
      </c>
      <c r="L106">
        <v>1.1602913579260101</v>
      </c>
      <c r="M106">
        <f t="shared" si="12"/>
        <v>4.0804632615999861</v>
      </c>
      <c r="N106">
        <f t="shared" si="13"/>
        <v>2.9207005227501814</v>
      </c>
      <c r="O106">
        <f t="shared" si="14"/>
        <v>143.15533974958268</v>
      </c>
    </row>
    <row r="107" spans="1:15" x14ac:dyDescent="0.2">
      <c r="A107" s="5" t="s">
        <v>31</v>
      </c>
      <c r="B107" s="2">
        <v>4</v>
      </c>
      <c r="C107" s="7">
        <f t="shared" si="11"/>
        <v>72.475600717275313</v>
      </c>
      <c r="D107" s="3">
        <f t="shared" si="15"/>
        <v>8.8592157733447117</v>
      </c>
      <c r="E107" t="s">
        <v>7</v>
      </c>
      <c r="F107" t="s">
        <v>4</v>
      </c>
      <c r="G107" t="s">
        <v>49</v>
      </c>
      <c r="H107">
        <v>0.112638895238096</v>
      </c>
      <c r="I107">
        <f t="shared" si="9"/>
        <v>4.0887603728000173</v>
      </c>
      <c r="J107">
        <v>0.35623453333333499</v>
      </c>
      <c r="K107">
        <f t="shared" si="10"/>
        <v>2.4706406573571558</v>
      </c>
      <c r="L107">
        <v>0.76832439285714682</v>
      </c>
      <c r="M107">
        <f t="shared" si="12"/>
        <v>2.2678688271999832</v>
      </c>
      <c r="N107">
        <f t="shared" si="13"/>
        <v>1.6665010794591224</v>
      </c>
      <c r="O107">
        <f t="shared" si="14"/>
        <v>146.9662671378276</v>
      </c>
    </row>
    <row r="108" spans="1:15" x14ac:dyDescent="0.2">
      <c r="A108" s="5" t="s">
        <v>32</v>
      </c>
      <c r="B108" s="2">
        <v>4</v>
      </c>
      <c r="C108" s="7">
        <f t="shared" si="11"/>
        <v>91.717810127610434</v>
      </c>
      <c r="D108" s="3">
        <f t="shared" si="15"/>
        <v>6.957999707969055</v>
      </c>
      <c r="E108" t="s">
        <v>7</v>
      </c>
      <c r="F108" t="s">
        <v>4</v>
      </c>
      <c r="G108" t="s">
        <v>49</v>
      </c>
      <c r="H108">
        <v>0.12796852206832965</v>
      </c>
      <c r="I108">
        <f t="shared" si="9"/>
        <v>5.5649557995999777</v>
      </c>
      <c r="J108">
        <v>0.49492256666666457</v>
      </c>
      <c r="K108">
        <f t="shared" si="10"/>
        <v>1.2439619678587273</v>
      </c>
      <c r="L108">
        <v>0.3945648896583569</v>
      </c>
      <c r="M108">
        <f t="shared" si="12"/>
        <v>0.17751460040002254</v>
      </c>
      <c r="N108">
        <f t="shared" si="13"/>
        <v>0.43432061395517974</v>
      </c>
      <c r="O108">
        <f t="shared" si="14"/>
        <v>489.33508903093542</v>
      </c>
    </row>
    <row r="109" spans="1:15" x14ac:dyDescent="0.2">
      <c r="A109" s="5" t="s">
        <v>33</v>
      </c>
      <c r="B109" s="2">
        <v>4</v>
      </c>
      <c r="C109" s="7">
        <f t="shared" si="11"/>
        <v>79.165623132098304</v>
      </c>
      <c r="D109" s="3">
        <f t="shared" si="15"/>
        <v>9.1772401693130377</v>
      </c>
      <c r="E109" t="s">
        <v>7</v>
      </c>
      <c r="F109" t="s">
        <v>4</v>
      </c>
      <c r="G109" t="s">
        <v>49</v>
      </c>
      <c r="H109">
        <v>0.11796861309523832</v>
      </c>
      <c r="I109">
        <f t="shared" si="9"/>
        <v>3.9430319496000004</v>
      </c>
      <c r="J109">
        <v>0.34254340000000005</v>
      </c>
      <c r="K109">
        <f t="shared" si="10"/>
        <v>2.4646843967581051</v>
      </c>
      <c r="L109">
        <v>0.76650956634920941</v>
      </c>
      <c r="M109">
        <f t="shared" si="12"/>
        <v>2.4051909739999906</v>
      </c>
      <c r="N109">
        <f t="shared" si="13"/>
        <v>1.6502104984487118</v>
      </c>
      <c r="O109">
        <f t="shared" si="14"/>
        <v>137.22074598544691</v>
      </c>
    </row>
    <row r="110" spans="1:15" x14ac:dyDescent="0.2">
      <c r="A110" s="5" t="s">
        <v>34</v>
      </c>
      <c r="B110" s="2">
        <v>4</v>
      </c>
      <c r="C110" s="7">
        <f t="shared" si="11"/>
        <v>88.128248467145312</v>
      </c>
      <c r="D110" s="3">
        <f t="shared" si="15"/>
        <v>4.6681818895932494</v>
      </c>
      <c r="E110" t="s">
        <v>8</v>
      </c>
      <c r="F110" t="s">
        <v>3</v>
      </c>
      <c r="G110" t="s">
        <v>49</v>
      </c>
      <c r="H110">
        <v>0.12510883794549243</v>
      </c>
      <c r="I110">
        <f t="shared" si="9"/>
        <v>6.2416445515999923</v>
      </c>
      <c r="J110">
        <v>0.55849723333333268</v>
      </c>
      <c r="K110">
        <f t="shared" si="10"/>
        <v>0.88979802484074688</v>
      </c>
      <c r="L110">
        <v>0.28665387716049573</v>
      </c>
      <c r="M110">
        <f t="shared" si="12"/>
        <v>0.12988624840000718</v>
      </c>
      <c r="N110">
        <f t="shared" si="13"/>
        <v>8.3436562420001525E-2</v>
      </c>
      <c r="O110">
        <f t="shared" si="14"/>
        <v>128.47636058136683</v>
      </c>
    </row>
    <row r="111" spans="1:15" x14ac:dyDescent="0.2">
      <c r="A111" s="5" t="s">
        <v>35</v>
      </c>
      <c r="B111" s="2">
        <v>4</v>
      </c>
      <c r="C111" s="7">
        <f t="shared" si="11"/>
        <v>72.251984341599538</v>
      </c>
      <c r="D111" s="3">
        <f t="shared" si="15"/>
        <v>8.3310196119694169</v>
      </c>
      <c r="E111" t="s">
        <v>8</v>
      </c>
      <c r="F111" t="s">
        <v>3</v>
      </c>
      <c r="G111" t="s">
        <v>49</v>
      </c>
      <c r="H111">
        <v>0.1124607475254743</v>
      </c>
      <c r="I111">
        <f t="shared" si="9"/>
        <v>4.0785282956000275</v>
      </c>
      <c r="J111">
        <v>0.35527323333333594</v>
      </c>
      <c r="K111">
        <f t="shared" si="10"/>
        <v>2.5844283063414974</v>
      </c>
      <c r="L111">
        <v>0.80299460887918861</v>
      </c>
      <c r="M111">
        <f t="shared" si="12"/>
        <v>2.219025285199975</v>
      </c>
      <c r="N111">
        <f t="shared" si="13"/>
        <v>1.8003589704107397</v>
      </c>
      <c r="O111">
        <f t="shared" si="14"/>
        <v>162.26574635434983</v>
      </c>
    </row>
    <row r="112" spans="1:15" x14ac:dyDescent="0.2">
      <c r="A112" s="5" t="s">
        <v>36</v>
      </c>
      <c r="B112" s="2">
        <v>4</v>
      </c>
      <c r="C112" s="7">
        <f t="shared" si="11"/>
        <v>98.039670895479006</v>
      </c>
      <c r="D112" s="3">
        <f t="shared" si="15"/>
        <v>4.2170012711958407</v>
      </c>
      <c r="E112" t="s">
        <v>8</v>
      </c>
      <c r="F112" t="s">
        <v>3</v>
      </c>
      <c r="G112" t="s">
        <v>49</v>
      </c>
      <c r="H112">
        <v>0.13300493781339828</v>
      </c>
      <c r="I112">
        <f t="shared" si="9"/>
        <v>5.996426128200012</v>
      </c>
      <c r="J112">
        <v>0.53545905000000116</v>
      </c>
      <c r="K112">
        <f t="shared" si="10"/>
        <v>1.1232008673430931</v>
      </c>
      <c r="L112">
        <v>0.35776991692355065</v>
      </c>
      <c r="M112">
        <f t="shared" si="12"/>
        <v>0.24631227179998749</v>
      </c>
      <c r="N112">
        <f t="shared" si="13"/>
        <v>0.306331271999851</v>
      </c>
      <c r="O112">
        <f t="shared" si="14"/>
        <v>248.73407220944364</v>
      </c>
    </row>
    <row r="113" spans="1:16" x14ac:dyDescent="0.2">
      <c r="A113" s="5" t="s">
        <v>37</v>
      </c>
      <c r="B113" s="2">
        <v>4</v>
      </c>
      <c r="C113" s="7">
        <f t="shared" si="11"/>
        <v>64.896371456436313</v>
      </c>
      <c r="D113" s="3">
        <f t="shared" si="15"/>
        <v>11.728038468158605</v>
      </c>
      <c r="E113" t="s">
        <v>8</v>
      </c>
      <c r="F113" t="s">
        <v>4</v>
      </c>
      <c r="G113" t="s">
        <v>49</v>
      </c>
      <c r="H113">
        <v>0.10660077592696093</v>
      </c>
      <c r="I113">
        <f t="shared" si="9"/>
        <v>3.1230898592000198</v>
      </c>
      <c r="J113">
        <v>0.26551013333333517</v>
      </c>
      <c r="K113">
        <f t="shared" si="10"/>
        <v>3.2154093102673582</v>
      </c>
      <c r="L113">
        <v>0.99524963749767159</v>
      </c>
      <c r="M113">
        <f t="shared" si="12"/>
        <v>3.0164017407999806</v>
      </c>
      <c r="N113">
        <f t="shared" si="13"/>
        <v>2.4220345340096103</v>
      </c>
      <c r="O113">
        <f t="shared" si="14"/>
        <v>160.59097839979776</v>
      </c>
    </row>
    <row r="114" spans="1:16" x14ac:dyDescent="0.2">
      <c r="A114" s="5" t="s">
        <v>38</v>
      </c>
      <c r="B114" s="2">
        <v>4</v>
      </c>
      <c r="C114" s="7">
        <f t="shared" si="11"/>
        <v>92.831426485326716</v>
      </c>
      <c r="D114" s="3">
        <f t="shared" si="15"/>
        <v>3.5186249467616051</v>
      </c>
      <c r="E114" t="s">
        <v>8</v>
      </c>
      <c r="F114" t="s">
        <v>4</v>
      </c>
      <c r="G114" t="s">
        <v>49</v>
      </c>
      <c r="H114">
        <v>0.12885570309997696</v>
      </c>
      <c r="I114">
        <f t="shared" si="9"/>
        <v>6.0504910843999582</v>
      </c>
      <c r="J114">
        <v>0.5405384333333294</v>
      </c>
      <c r="K114">
        <f t="shared" si="10"/>
        <v>1.0237109307495569</v>
      </c>
      <c r="L114">
        <v>0.32745610321436835</v>
      </c>
      <c r="M114">
        <f t="shared" si="12"/>
        <v>-2.9147884399959523E-2</v>
      </c>
      <c r="N114">
        <f t="shared" si="13"/>
        <v>0.24619474703081534</v>
      </c>
      <c r="O114">
        <f t="shared" si="14"/>
        <v>-1689.2803858598893</v>
      </c>
    </row>
    <row r="115" spans="1:16" x14ac:dyDescent="0.2">
      <c r="A115" s="5" t="s">
        <v>39</v>
      </c>
      <c r="B115" s="2">
        <v>4</v>
      </c>
      <c r="C115" s="7">
        <f t="shared" si="11"/>
        <v>93.882604137922542</v>
      </c>
      <c r="D115" s="3">
        <f t="shared" si="15"/>
        <v>7.0146076175692933</v>
      </c>
      <c r="E115" t="s">
        <v>8</v>
      </c>
      <c r="F115" t="s">
        <v>4</v>
      </c>
      <c r="G115" t="s">
        <v>49</v>
      </c>
      <c r="H115">
        <v>0.12969314129654497</v>
      </c>
      <c r="I115">
        <f t="shared" si="9"/>
        <v>6.2192525913999628</v>
      </c>
      <c r="J115">
        <v>0.55639351666666315</v>
      </c>
      <c r="K115">
        <f t="shared" si="10"/>
        <v>1.007022289958418</v>
      </c>
      <c r="L115">
        <v>0.32237120352176052</v>
      </c>
      <c r="M115">
        <f t="shared" si="12"/>
        <v>-0.76736339139996268</v>
      </c>
      <c r="N115">
        <f t="shared" si="13"/>
        <v>0.16770632361274396</v>
      </c>
      <c r="O115">
        <f t="shared" si="14"/>
        <v>-43.709753551517188</v>
      </c>
    </row>
    <row r="116" spans="1:16" x14ac:dyDescent="0.2">
      <c r="A116" s="5" t="s">
        <v>40</v>
      </c>
      <c r="B116" s="2">
        <v>4</v>
      </c>
      <c r="C116" s="7">
        <f t="shared" si="11"/>
        <v>97.141946775510618</v>
      </c>
      <c r="D116" s="3">
        <f t="shared" si="15"/>
        <v>4.2686569732146111</v>
      </c>
      <c r="E116" t="s">
        <v>9</v>
      </c>
      <c r="F116" t="s">
        <v>3</v>
      </c>
      <c r="G116" t="s">
        <v>49</v>
      </c>
      <c r="H116">
        <v>0.1322897509311568</v>
      </c>
      <c r="I116">
        <f t="shared" si="9"/>
        <v>6.4023178603999948</v>
      </c>
      <c r="J116">
        <v>0.57359243333333287</v>
      </c>
      <c r="K116">
        <f t="shared" si="10"/>
        <v>0.82570831047062332</v>
      </c>
      <c r="L116">
        <v>0.26712623719397421</v>
      </c>
      <c r="M116">
        <f t="shared" si="12"/>
        <v>0.80476693960000567</v>
      </c>
      <c r="N116">
        <f t="shared" si="13"/>
        <v>-5.0206947319921258E-2</v>
      </c>
      <c r="O116">
        <f t="shared" si="14"/>
        <v>-12.477388135470793</v>
      </c>
    </row>
    <row r="117" spans="1:16" x14ac:dyDescent="0.2">
      <c r="A117" s="5" t="s">
        <v>41</v>
      </c>
      <c r="B117" s="2">
        <v>4</v>
      </c>
      <c r="C117" s="7">
        <f t="shared" si="11"/>
        <v>97.788790610810878</v>
      </c>
      <c r="D117" s="3">
        <f t="shared" si="15"/>
        <v>6.7414706494813537</v>
      </c>
      <c r="E117" t="s">
        <v>9</v>
      </c>
      <c r="F117" t="s">
        <v>3</v>
      </c>
      <c r="G117" t="s">
        <v>49</v>
      </c>
      <c r="H117">
        <v>0.13280506985327933</v>
      </c>
      <c r="I117">
        <f t="shared" si="9"/>
        <v>5.7995396251999978</v>
      </c>
      <c r="J117">
        <v>0.51696163333333311</v>
      </c>
      <c r="K117">
        <f t="shared" si="10"/>
        <v>0.85967269418156556</v>
      </c>
      <c r="L117">
        <v>0.27747492205410285</v>
      </c>
      <c r="M117">
        <f t="shared" si="12"/>
        <v>-5.2742322085333297</v>
      </c>
      <c r="N117">
        <f t="shared" si="13"/>
        <v>-3.6749453126142528E-2</v>
      </c>
      <c r="O117">
        <f t="shared" si="14"/>
        <v>1.3935470291461398</v>
      </c>
    </row>
    <row r="118" spans="1:16" x14ac:dyDescent="0.2">
      <c r="A118" s="5" t="s">
        <v>42</v>
      </c>
      <c r="B118" s="2">
        <v>4</v>
      </c>
      <c r="C118" s="7">
        <f t="shared" si="11"/>
        <v>99.271068091613841</v>
      </c>
      <c r="D118" s="3">
        <f t="shared" si="15"/>
        <v>1.5690347733541046</v>
      </c>
      <c r="E118" t="s">
        <v>9</v>
      </c>
      <c r="F118" t="s">
        <v>3</v>
      </c>
      <c r="G118" t="s">
        <v>49</v>
      </c>
      <c r="H118">
        <v>0.13398595091298571</v>
      </c>
      <c r="I118">
        <f t="shared" si="9"/>
        <v>6.2568555372000603</v>
      </c>
      <c r="J118">
        <v>0.55992630000000565</v>
      </c>
      <c r="K118">
        <f t="shared" si="10"/>
        <v>0.8405841859417621</v>
      </c>
      <c r="L118">
        <v>0.27165880132290132</v>
      </c>
      <c r="M118">
        <f t="shared" si="12"/>
        <v>-0.6371530074365781</v>
      </c>
      <c r="N118">
        <f t="shared" si="13"/>
        <v>-3.6114751038202053E-3</v>
      </c>
      <c r="O118">
        <f t="shared" si="14"/>
        <v>1.1336288337867384</v>
      </c>
    </row>
    <row r="119" spans="1:16" x14ac:dyDescent="0.2">
      <c r="A119" s="5" t="s">
        <v>43</v>
      </c>
      <c r="B119" s="2">
        <v>4</v>
      </c>
      <c r="C119" s="7">
        <f t="shared" si="11"/>
        <v>94.77190562278858</v>
      </c>
      <c r="D119" s="3">
        <f t="shared" si="15"/>
        <v>3.3648477285384111</v>
      </c>
      <c r="E119" t="s">
        <v>9</v>
      </c>
      <c r="F119" t="s">
        <v>4</v>
      </c>
      <c r="G119" t="s">
        <v>49</v>
      </c>
      <c r="H119">
        <v>0.13040161814615492</v>
      </c>
      <c r="I119">
        <f t="shared" si="9"/>
        <v>6.3618389057999529</v>
      </c>
      <c r="J119">
        <v>0.56978944999999559</v>
      </c>
      <c r="K119">
        <f t="shared" si="10"/>
        <v>0.81462467355131329</v>
      </c>
      <c r="L119">
        <v>0.26374913880295958</v>
      </c>
      <c r="M119">
        <f t="shared" si="12"/>
        <v>-0.22645411579998687</v>
      </c>
      <c r="N119">
        <f t="shared" si="13"/>
        <v>4.0529534462628414E-2</v>
      </c>
      <c r="O119">
        <f t="shared" si="14"/>
        <v>-35.794919707642393</v>
      </c>
    </row>
    <row r="120" spans="1:16" x14ac:dyDescent="0.2">
      <c r="A120" s="5" t="s">
        <v>44</v>
      </c>
      <c r="B120" s="2">
        <v>4</v>
      </c>
      <c r="C120" s="7">
        <f t="shared" si="11"/>
        <v>95.832985960129292</v>
      </c>
      <c r="D120" s="3">
        <f t="shared" si="15"/>
        <v>1.7683672830191668</v>
      </c>
      <c r="E120" t="s">
        <v>9</v>
      </c>
      <c r="F120" t="s">
        <v>4</v>
      </c>
      <c r="G120" t="s">
        <v>49</v>
      </c>
      <c r="H120">
        <v>0.13124694548156968</v>
      </c>
      <c r="I120">
        <f t="shared" si="9"/>
        <v>6.3132749462000008</v>
      </c>
      <c r="J120">
        <v>0.56522688333333337</v>
      </c>
      <c r="K120">
        <f t="shared" si="10"/>
        <v>0.82632190418835139</v>
      </c>
      <c r="L120">
        <v>0.26731319445105162</v>
      </c>
      <c r="M120">
        <f t="shared" si="12"/>
        <v>-0.396242946200001</v>
      </c>
      <c r="N120">
        <f t="shared" si="13"/>
        <v>9.0653854664234257E-2</v>
      </c>
      <c r="O120">
        <f t="shared" si="14"/>
        <v>-45.756703322348777</v>
      </c>
    </row>
    <row r="121" spans="1:16" x14ac:dyDescent="0.2">
      <c r="A121" s="5" t="s">
        <v>45</v>
      </c>
      <c r="B121" s="2">
        <v>4</v>
      </c>
      <c r="C121" s="7">
        <f t="shared" si="11"/>
        <v>99.152284494672784</v>
      </c>
      <c r="D121" s="3">
        <f t="shared" si="15"/>
        <v>3.0597405297607914</v>
      </c>
      <c r="E121" t="s">
        <v>9</v>
      </c>
      <c r="F121" t="s">
        <v>4</v>
      </c>
      <c r="G121" t="s">
        <v>49</v>
      </c>
      <c r="H121">
        <v>0.13389131998075599</v>
      </c>
      <c r="I121">
        <f t="shared" si="9"/>
        <v>6.4761872204000728</v>
      </c>
      <c r="J121">
        <v>0.58053243333334015</v>
      </c>
      <c r="K121">
        <f t="shared" si="10"/>
        <v>0.8760161571948667</v>
      </c>
      <c r="L121">
        <v>0.28245464874919768</v>
      </c>
      <c r="M121">
        <f t="shared" si="12"/>
        <v>1.7750643999965732E-2</v>
      </c>
      <c r="N121">
        <f t="shared" si="13"/>
        <v>5.5764968829940975E-2</v>
      </c>
      <c r="O121">
        <f t="shared" si="14"/>
        <v>628.31488063248446</v>
      </c>
    </row>
    <row r="122" spans="1:16" x14ac:dyDescent="0.2">
      <c r="A122" s="5" t="s">
        <v>51</v>
      </c>
      <c r="B122" s="2">
        <v>7</v>
      </c>
      <c r="C122" s="7">
        <f t="shared" si="8"/>
        <v>101.68820544539498</v>
      </c>
      <c r="D122" s="8">
        <f>(C62-C122)/(B122-B62)</f>
        <v>1.473094509694771</v>
      </c>
      <c r="E122" t="s">
        <v>5</v>
      </c>
      <c r="F122" t="s">
        <v>3</v>
      </c>
      <c r="G122" t="s">
        <v>49</v>
      </c>
      <c r="H122">
        <v>0.13591160367149802</v>
      </c>
      <c r="I122">
        <f t="shared" si="9"/>
        <v>3.7343353964000028</v>
      </c>
      <c r="J122">
        <v>0.32293643333333355</v>
      </c>
      <c r="K122">
        <f t="shared" si="10"/>
        <v>0.48845132231014615</v>
      </c>
      <c r="L122">
        <v>0.16436664299516945</v>
      </c>
      <c r="M122">
        <f>I62-I122</f>
        <v>2.6093836959999694</v>
      </c>
      <c r="N122">
        <f>K122-K62</f>
        <v>-0.36527004559727733</v>
      </c>
      <c r="O122">
        <f t="shared" si="14"/>
        <v>-27.996652708240237</v>
      </c>
      <c r="P122">
        <f>4*(D122/12)*(B122-B62)/(8*M122)*100</f>
        <v>16.465672180993295</v>
      </c>
    </row>
    <row r="123" spans="1:16" x14ac:dyDescent="0.2">
      <c r="A123" s="5" t="s">
        <v>17</v>
      </c>
      <c r="B123" s="2">
        <v>7</v>
      </c>
      <c r="C123" s="7">
        <f t="shared" si="8"/>
        <v>86.340249268079418</v>
      </c>
      <c r="D123" s="8">
        <f t="shared" ref="D123:D151" si="16">(C63-C123)/(B123-B63)</f>
        <v>3.4932956279770764</v>
      </c>
      <c r="E123" t="s">
        <v>5</v>
      </c>
      <c r="F123" t="s">
        <v>3</v>
      </c>
      <c r="G123" t="s">
        <v>49</v>
      </c>
      <c r="H123">
        <v>0.12368439858356994</v>
      </c>
      <c r="I123">
        <f t="shared" si="9"/>
        <v>4.3709544555999988</v>
      </c>
      <c r="J123">
        <v>0.38274656666666651</v>
      </c>
      <c r="K123">
        <f t="shared" si="10"/>
        <v>0.52368849227762315</v>
      </c>
      <c r="L123">
        <v>0.17510313597733795</v>
      </c>
      <c r="M123">
        <f t="shared" ref="M123:M151" si="17">I63-I123</f>
        <v>2.1303391223999446</v>
      </c>
      <c r="N123">
        <f t="shared" ref="N123:N151" si="18">K123-K63</f>
        <v>-0.27801639396402711</v>
      </c>
      <c r="O123">
        <f t="shared" si="14"/>
        <v>-26.100670174129487</v>
      </c>
      <c r="P123">
        <f t="shared" ref="P123:P151" si="19">4*(D123/12)*(B123-B63)/(8*M123)*100</f>
        <v>47.827028137449403</v>
      </c>
    </row>
    <row r="124" spans="1:16" x14ac:dyDescent="0.2">
      <c r="A124" s="5" t="s">
        <v>18</v>
      </c>
      <c r="B124" s="2">
        <v>7</v>
      </c>
      <c r="C124" s="7">
        <f t="shared" si="8"/>
        <v>82.411887547502772</v>
      </c>
      <c r="D124" s="8">
        <f t="shared" si="16"/>
        <v>7.9431328743192591</v>
      </c>
      <c r="E124" t="s">
        <v>5</v>
      </c>
      <c r="F124" t="s">
        <v>3</v>
      </c>
      <c r="G124" t="s">
        <v>49</v>
      </c>
      <c r="H124">
        <v>0.12055480374617722</v>
      </c>
      <c r="I124">
        <f t="shared" si="9"/>
        <v>4.3927414820163317</v>
      </c>
      <c r="J124">
        <v>0.38479345002032428</v>
      </c>
      <c r="K124">
        <f t="shared" si="10"/>
        <v>0.63575329647431222</v>
      </c>
      <c r="L124">
        <v>0.20924841452599396</v>
      </c>
      <c r="M124">
        <f t="shared" si="17"/>
        <v>2.2704349179836676</v>
      </c>
      <c r="N124">
        <f t="shared" si="18"/>
        <v>-0.45926877040164937</v>
      </c>
      <c r="O124">
        <f t="shared" si="14"/>
        <v>-40.456457638479037</v>
      </c>
      <c r="P124">
        <f t="shared" si="19"/>
        <v>102.0397929045497</v>
      </c>
    </row>
    <row r="125" spans="1:16" x14ac:dyDescent="0.2">
      <c r="A125" s="5" t="s">
        <v>19</v>
      </c>
      <c r="B125" s="2">
        <v>7</v>
      </c>
      <c r="C125" s="7">
        <f t="shared" si="8"/>
        <v>77.723333520542695</v>
      </c>
      <c r="D125" s="8">
        <f t="shared" si="16"/>
        <v>4.0634283185844486</v>
      </c>
      <c r="E125" t="s">
        <v>5</v>
      </c>
      <c r="F125" t="s">
        <v>4</v>
      </c>
      <c r="G125" t="s">
        <v>49</v>
      </c>
      <c r="H125">
        <v>0.11681958903803236</v>
      </c>
      <c r="I125">
        <f t="shared" si="9"/>
        <v>4.5834468366000225</v>
      </c>
      <c r="J125">
        <v>0.4027101500000021</v>
      </c>
      <c r="K125">
        <f t="shared" si="10"/>
        <v>0.57072137476509943</v>
      </c>
      <c r="L125">
        <v>0.1894336912751674</v>
      </c>
      <c r="M125">
        <f t="shared" si="17"/>
        <v>1.0190495984902279</v>
      </c>
      <c r="N125">
        <f t="shared" si="18"/>
        <v>-0.24293091442988635</v>
      </c>
      <c r="O125">
        <f t="shared" si="14"/>
        <v>-47.677937323129406</v>
      </c>
      <c r="P125">
        <f t="shared" si="19"/>
        <v>116.30116872391166</v>
      </c>
    </row>
    <row r="126" spans="1:16" x14ac:dyDescent="0.2">
      <c r="A126" s="5" t="s">
        <v>20</v>
      </c>
      <c r="B126" s="2">
        <v>7</v>
      </c>
      <c r="C126" s="7">
        <f t="shared" si="8"/>
        <v>81.282683801554441</v>
      </c>
      <c r="D126" s="8">
        <f t="shared" si="16"/>
        <v>1.0032222565015141</v>
      </c>
      <c r="E126" t="s">
        <v>5</v>
      </c>
      <c r="F126" t="s">
        <v>4</v>
      </c>
      <c r="G126" t="s">
        <v>49</v>
      </c>
      <c r="H126">
        <v>0.11965520476190505</v>
      </c>
      <c r="I126">
        <f t="shared" si="9"/>
        <v>5.0044817876000236</v>
      </c>
      <c r="J126">
        <v>0.44226623333333559</v>
      </c>
      <c r="K126">
        <f t="shared" si="10"/>
        <v>0.59006422232194122</v>
      </c>
      <c r="L126">
        <v>0.19532730722789193</v>
      </c>
      <c r="M126">
        <f t="shared" si="17"/>
        <v>1.2616734123999755</v>
      </c>
      <c r="N126">
        <f t="shared" si="18"/>
        <v>-0.16091644272216787</v>
      </c>
      <c r="O126">
        <f t="shared" si="14"/>
        <v>-25.508414640532056</v>
      </c>
      <c r="P126">
        <f t="shared" si="19"/>
        <v>23.191936090894352</v>
      </c>
    </row>
    <row r="127" spans="1:16" x14ac:dyDescent="0.2">
      <c r="A127" s="5" t="s">
        <v>21</v>
      </c>
      <c r="B127" s="2">
        <v>7</v>
      </c>
      <c r="C127" s="7">
        <f t="shared" si="8"/>
        <v>82.373566443823506</v>
      </c>
      <c r="D127" s="8">
        <f t="shared" si="16"/>
        <v>2.5382461363243101</v>
      </c>
      <c r="E127" t="s">
        <v>5</v>
      </c>
      <c r="F127" t="s">
        <v>4</v>
      </c>
      <c r="G127" t="s">
        <v>49</v>
      </c>
      <c r="H127">
        <v>0.12052427460024606</v>
      </c>
      <c r="I127">
        <f t="shared" si="9"/>
        <v>4.9944450278000243</v>
      </c>
      <c r="J127">
        <v>0.44132328333333559</v>
      </c>
      <c r="K127">
        <f t="shared" si="10"/>
        <v>0.61665067307040755</v>
      </c>
      <c r="L127">
        <v>0.20342799301353065</v>
      </c>
      <c r="M127">
        <f t="shared" si="17"/>
        <v>1.5782573721999755</v>
      </c>
      <c r="N127">
        <f t="shared" si="18"/>
        <v>-0.17730289614098338</v>
      </c>
      <c r="O127">
        <f t="shared" si="14"/>
        <v>-22.468185387765509</v>
      </c>
      <c r="P127">
        <f t="shared" si="19"/>
        <v>46.907545169854181</v>
      </c>
    </row>
    <row r="128" spans="1:16" x14ac:dyDescent="0.2">
      <c r="A128" s="5" t="s">
        <v>22</v>
      </c>
      <c r="B128" s="2">
        <v>7</v>
      </c>
      <c r="C128" s="7">
        <f t="shared" si="8"/>
        <v>101.40954753818552</v>
      </c>
      <c r="D128" s="8">
        <f t="shared" si="16"/>
        <v>1.8914560227043447</v>
      </c>
      <c r="E128" t="s">
        <v>6</v>
      </c>
      <c r="F128" t="s">
        <v>3</v>
      </c>
      <c r="G128" t="s">
        <v>49</v>
      </c>
      <c r="H128">
        <v>0.13568960620542114</v>
      </c>
      <c r="I128">
        <f t="shared" si="9"/>
        <v>1.7275869511999882</v>
      </c>
      <c r="J128">
        <v>0.1344031333333322</v>
      </c>
      <c r="K128">
        <f t="shared" si="10"/>
        <v>0.85810696874807035</v>
      </c>
      <c r="L128">
        <v>0.27699785763195317</v>
      </c>
      <c r="M128">
        <f t="shared" si="17"/>
        <v>2.8827056500000707</v>
      </c>
      <c r="N128">
        <f t="shared" si="18"/>
        <v>4.1799301030906011E-2</v>
      </c>
      <c r="O128">
        <f t="shared" si="14"/>
        <v>2.9000047945169141</v>
      </c>
      <c r="P128">
        <f t="shared" si="19"/>
        <v>19.137391751695272</v>
      </c>
    </row>
    <row r="129" spans="1:16" x14ac:dyDescent="0.2">
      <c r="A129" s="5" t="s">
        <v>23</v>
      </c>
      <c r="B129" s="2">
        <v>7</v>
      </c>
      <c r="C129" s="7">
        <f t="shared" si="8"/>
        <v>47.819882545903184</v>
      </c>
      <c r="D129" s="8">
        <f t="shared" si="16"/>
        <v>7.6526011500368076</v>
      </c>
      <c r="E129" t="s">
        <v>6</v>
      </c>
      <c r="F129" t="s">
        <v>3</v>
      </c>
      <c r="G129" t="s">
        <v>49</v>
      </c>
      <c r="H129">
        <v>9.2996506428236203E-2</v>
      </c>
      <c r="I129">
        <f t="shared" si="9"/>
        <v>1.4541651210000064</v>
      </c>
      <c r="J129">
        <v>0.1087152500000006</v>
      </c>
      <c r="K129">
        <f t="shared" si="10"/>
        <v>2.7080814130844297</v>
      </c>
      <c r="L129">
        <v>0.84067075352968601</v>
      </c>
      <c r="M129">
        <f t="shared" si="17"/>
        <v>2.9311952789999935</v>
      </c>
      <c r="N129">
        <f t="shared" si="18"/>
        <v>1.1948925729309137</v>
      </c>
      <c r="O129">
        <f t="shared" si="14"/>
        <v>81.529373460137606</v>
      </c>
      <c r="P129">
        <f t="shared" si="19"/>
        <v>76.146706592752409</v>
      </c>
    </row>
    <row r="130" spans="1:16" x14ac:dyDescent="0.2">
      <c r="A130" s="5" t="s">
        <v>24</v>
      </c>
      <c r="B130" s="2">
        <v>7</v>
      </c>
      <c r="C130" s="7">
        <f t="shared" si="8"/>
        <v>96.454886371459438</v>
      </c>
      <c r="D130" s="8">
        <f t="shared" si="16"/>
        <v>2.9739343974156407</v>
      </c>
      <c r="E130" t="s">
        <v>6</v>
      </c>
      <c r="F130" t="s">
        <v>3</v>
      </c>
      <c r="G130" t="s">
        <v>49</v>
      </c>
      <c r="H130">
        <v>0.1317423928092627</v>
      </c>
      <c r="I130">
        <f t="shared" si="9"/>
        <v>0.29700000000000004</v>
      </c>
      <c r="J130">
        <v>0</v>
      </c>
      <c r="K130">
        <f t="shared" si="10"/>
        <v>1.6454369768666672</v>
      </c>
      <c r="L130">
        <v>0.516891217814341</v>
      </c>
      <c r="M130">
        <f t="shared" si="17"/>
        <v>3.5848992000000002</v>
      </c>
      <c r="N130">
        <f t="shared" si="18"/>
        <v>0.77143590615052648</v>
      </c>
      <c r="O130">
        <f t="shared" si="14"/>
        <v>43.038080744391721</v>
      </c>
      <c r="P130">
        <f t="shared" si="19"/>
        <v>24.195869512302099</v>
      </c>
    </row>
    <row r="131" spans="1:16" x14ac:dyDescent="0.2">
      <c r="A131" s="5" t="s">
        <v>25</v>
      </c>
      <c r="B131" s="2">
        <v>7</v>
      </c>
      <c r="C131" s="7">
        <f t="shared" si="8"/>
        <v>32.351411121608258</v>
      </c>
      <c r="D131" s="8">
        <f t="shared" si="16"/>
        <v>6.580533440253391</v>
      </c>
      <c r="E131" t="s">
        <v>6</v>
      </c>
      <c r="F131" t="s">
        <v>4</v>
      </c>
      <c r="G131" t="s">
        <v>49</v>
      </c>
      <c r="H131">
        <v>8.0673290860214575E-2</v>
      </c>
      <c r="I131">
        <f t="shared" ref="I131:I151" si="20">(0.3548*J131 + 0.0099)*30</f>
        <v>0.29700000000000004</v>
      </c>
      <c r="J131">
        <v>0</v>
      </c>
      <c r="K131">
        <f t="shared" ref="K131:K151" si="21">(0.1094*L131 - 0.0017)*30</f>
        <v>3.5455534574744814</v>
      </c>
      <c r="L131">
        <v>1.0958420041055701</v>
      </c>
      <c r="M131">
        <f t="shared" si="17"/>
        <v>3.6594146507999938</v>
      </c>
      <c r="N131">
        <f t="shared" si="18"/>
        <v>1.416817284222927</v>
      </c>
      <c r="O131">
        <f t="shared" si="14"/>
        <v>77.434093669226201</v>
      </c>
      <c r="P131">
        <f t="shared" si="19"/>
        <v>52.44888695484812</v>
      </c>
    </row>
    <row r="132" spans="1:16" x14ac:dyDescent="0.2">
      <c r="A132" s="5" t="s">
        <v>26</v>
      </c>
      <c r="B132" s="2">
        <v>7</v>
      </c>
      <c r="C132" s="7">
        <f t="shared" si="8"/>
        <v>67.777650969585068</v>
      </c>
      <c r="D132" s="8">
        <f t="shared" si="16"/>
        <v>5.6405299677893863</v>
      </c>
      <c r="E132" t="s">
        <v>6</v>
      </c>
      <c r="F132" t="s">
        <v>4</v>
      </c>
      <c r="G132" t="s">
        <v>49</v>
      </c>
      <c r="H132">
        <v>0.1088961952724361</v>
      </c>
      <c r="I132">
        <f t="shared" si="20"/>
        <v>0.29700000000000004</v>
      </c>
      <c r="J132">
        <v>0</v>
      </c>
      <c r="K132">
        <f t="shared" si="21"/>
        <v>2.6482745356024093</v>
      </c>
      <c r="L132">
        <v>0.82244806081730926</v>
      </c>
      <c r="M132">
        <f t="shared" si="17"/>
        <v>3.7125564173999259</v>
      </c>
      <c r="N132">
        <f t="shared" si="18"/>
        <v>1.7433432730869152</v>
      </c>
      <c r="O132">
        <f t="shared" si="14"/>
        <v>93.916055519924384</v>
      </c>
      <c r="P132">
        <f t="shared" si="19"/>
        <v>44.313254506466151</v>
      </c>
    </row>
    <row r="133" spans="1:16" x14ac:dyDescent="0.2">
      <c r="A133" s="5" t="s">
        <v>27</v>
      </c>
      <c r="B133" s="2">
        <v>7</v>
      </c>
      <c r="C133" s="7">
        <f t="shared" si="8"/>
        <v>46.38910725382231</v>
      </c>
      <c r="D133" s="8">
        <f t="shared" si="16"/>
        <v>7.9639525212296975</v>
      </c>
      <c r="E133" t="s">
        <v>6</v>
      </c>
      <c r="F133" t="s">
        <v>4</v>
      </c>
      <c r="G133" t="s">
        <v>49</v>
      </c>
      <c r="H133">
        <v>9.185665544554511E-2</v>
      </c>
      <c r="I133">
        <f t="shared" si="20"/>
        <v>2.015206458199998</v>
      </c>
      <c r="J133">
        <v>0.16142488333333316</v>
      </c>
      <c r="K133">
        <f t="shared" si="21"/>
        <v>2.901445053379212</v>
      </c>
      <c r="L133">
        <v>0.89958715825082625</v>
      </c>
      <c r="M133">
        <f t="shared" si="17"/>
        <v>2.3280312674466357</v>
      </c>
      <c r="N133">
        <f t="shared" si="18"/>
        <v>1.6078243898962994</v>
      </c>
      <c r="O133">
        <f t="shared" si="14"/>
        <v>138.12738792462588</v>
      </c>
      <c r="P133">
        <f t="shared" si="19"/>
        <v>99.77612920578639</v>
      </c>
    </row>
    <row r="134" spans="1:16" x14ac:dyDescent="0.2">
      <c r="A134" s="5" t="s">
        <v>28</v>
      </c>
      <c r="B134" s="2">
        <v>7</v>
      </c>
      <c r="C134" s="7">
        <f t="shared" si="8"/>
        <v>54.611084362944496</v>
      </c>
      <c r="D134" s="8">
        <f t="shared" si="16"/>
        <v>7.5393540142961655</v>
      </c>
      <c r="E134" t="s">
        <v>7</v>
      </c>
      <c r="F134" t="s">
        <v>3</v>
      </c>
      <c r="G134" t="s">
        <v>49</v>
      </c>
      <c r="H134">
        <v>9.8406830542479118E-2</v>
      </c>
      <c r="I134">
        <f t="shared" si="20"/>
        <v>2.2348689924000023</v>
      </c>
      <c r="J134">
        <v>0.18206210000000023</v>
      </c>
      <c r="K134">
        <f t="shared" si="21"/>
        <v>3.0231838841877607</v>
      </c>
      <c r="L134">
        <v>0.93668003783904963</v>
      </c>
      <c r="M134">
        <f t="shared" si="17"/>
        <v>4.1600786075999974</v>
      </c>
      <c r="N134">
        <f t="shared" si="18"/>
        <v>2.217201470304488</v>
      </c>
      <c r="O134">
        <f t="shared" si="14"/>
        <v>106.59421032352174</v>
      </c>
      <c r="P134">
        <f t="shared" si="19"/>
        <v>52.859055359012395</v>
      </c>
    </row>
    <row r="135" spans="1:16" x14ac:dyDescent="0.2">
      <c r="A135" s="5" t="s">
        <v>29</v>
      </c>
      <c r="B135" s="2">
        <v>7</v>
      </c>
      <c r="C135" s="7">
        <f t="shared" si="8"/>
        <v>39.873649279975687</v>
      </c>
      <c r="D135" s="8">
        <f t="shared" si="16"/>
        <v>10.590097412672659</v>
      </c>
      <c r="E135" t="s">
        <v>7</v>
      </c>
      <c r="F135" t="s">
        <v>3</v>
      </c>
      <c r="G135" t="s">
        <v>49</v>
      </c>
      <c r="H135">
        <v>8.6666007259713962E-2</v>
      </c>
      <c r="I135">
        <f t="shared" si="20"/>
        <v>1.1987192327999872</v>
      </c>
      <c r="J135">
        <v>8.4716199999998798E-2</v>
      </c>
      <c r="K135">
        <f t="shared" si="21"/>
        <v>3.4019126131779092</v>
      </c>
      <c r="L135">
        <v>1.0520757505112459</v>
      </c>
      <c r="M135">
        <f t="shared" si="17"/>
        <v>3.7188411672000123</v>
      </c>
      <c r="N135">
        <f t="shared" si="18"/>
        <v>2.2723686868069155</v>
      </c>
      <c r="O135">
        <f t="shared" si="14"/>
        <v>122.20842916600421</v>
      </c>
      <c r="P135">
        <f t="shared" si="19"/>
        <v>83.057551348855441</v>
      </c>
    </row>
    <row r="136" spans="1:16" x14ac:dyDescent="0.2">
      <c r="A136" s="5" t="s">
        <v>30</v>
      </c>
      <c r="B136" s="2">
        <v>7</v>
      </c>
      <c r="C136" s="7">
        <f t="shared" si="8"/>
        <v>26.099826322378778</v>
      </c>
      <c r="D136" s="8">
        <f t="shared" si="16"/>
        <v>11.871431099844541</v>
      </c>
      <c r="E136" t="s">
        <v>7</v>
      </c>
      <c r="F136" t="s">
        <v>3</v>
      </c>
      <c r="G136" t="s">
        <v>49</v>
      </c>
      <c r="H136">
        <v>7.5692861636828423E-2</v>
      </c>
      <c r="I136">
        <f t="shared" si="20"/>
        <v>0.29700000000000004</v>
      </c>
      <c r="J136">
        <v>0</v>
      </c>
      <c r="K136">
        <f t="shared" si="21"/>
        <v>4.4436661100511587</v>
      </c>
      <c r="L136">
        <v>1.3694899786871295</v>
      </c>
      <c r="M136">
        <f t="shared" si="17"/>
        <v>6.1128492000000003</v>
      </c>
      <c r="N136">
        <f t="shared" si="18"/>
        <v>3.607290396088175</v>
      </c>
      <c r="O136">
        <f t="shared" si="14"/>
        <v>118.02320908188524</v>
      </c>
      <c r="P136">
        <f t="shared" si="19"/>
        <v>56.642992885456053</v>
      </c>
    </row>
    <row r="137" spans="1:16" x14ac:dyDescent="0.2">
      <c r="A137" s="5" t="s">
        <v>31</v>
      </c>
      <c r="B137" s="2">
        <v>7</v>
      </c>
      <c r="C137" s="7">
        <f t="shared" si="8"/>
        <v>48.300158257757232</v>
      </c>
      <c r="D137" s="8">
        <f t="shared" si="16"/>
        <v>8.516043650413847</v>
      </c>
      <c r="E137" t="s">
        <v>7</v>
      </c>
      <c r="F137" t="s">
        <v>4</v>
      </c>
      <c r="G137" t="s">
        <v>49</v>
      </c>
      <c r="H137">
        <v>9.337912607867993E-2</v>
      </c>
      <c r="I137">
        <f t="shared" si="20"/>
        <v>1.6105260131999877</v>
      </c>
      <c r="J137">
        <v>0.12340529999999883</v>
      </c>
      <c r="K137">
        <f t="shared" si="21"/>
        <v>3.8277385269493696</v>
      </c>
      <c r="L137">
        <v>1.1818216108925563</v>
      </c>
      <c r="M137">
        <f t="shared" si="17"/>
        <v>4.7461031868000125</v>
      </c>
      <c r="N137">
        <f t="shared" si="18"/>
        <v>3.023598949051336</v>
      </c>
      <c r="O137">
        <f t="shared" si="14"/>
        <v>127.41395751616396</v>
      </c>
      <c r="P137">
        <f t="shared" si="19"/>
        <v>52.334430309315174</v>
      </c>
    </row>
    <row r="138" spans="1:16" x14ac:dyDescent="0.2">
      <c r="A138" s="6" t="s">
        <v>32</v>
      </c>
      <c r="B138" s="2">
        <v>7</v>
      </c>
      <c r="C138" s="7">
        <f t="shared" si="8"/>
        <v>27.560225316349968</v>
      </c>
      <c r="D138" s="8">
        <f t="shared" si="16"/>
        <v>13.141369091876669</v>
      </c>
      <c r="E138" t="s">
        <v>7</v>
      </c>
      <c r="F138" t="s">
        <v>4</v>
      </c>
      <c r="G138" t="s">
        <v>49</v>
      </c>
      <c r="H138">
        <v>7.6856312835358806E-2</v>
      </c>
      <c r="I138">
        <f t="shared" si="20"/>
        <v>1.718257793376706</v>
      </c>
      <c r="J138">
        <v>0.13352666228642485</v>
      </c>
      <c r="K138">
        <f t="shared" si="21"/>
        <v>3.8513219634933722</v>
      </c>
      <c r="L138">
        <v>1.1890073014909728</v>
      </c>
      <c r="M138">
        <f t="shared" si="17"/>
        <v>4.0242126066232942</v>
      </c>
      <c r="N138">
        <f t="shared" si="18"/>
        <v>3.0416806095898248</v>
      </c>
      <c r="O138">
        <f t="shared" si="14"/>
        <v>151.16898170755897</v>
      </c>
      <c r="P138">
        <f t="shared" si="19"/>
        <v>95.245944813045142</v>
      </c>
    </row>
    <row r="139" spans="1:16" x14ac:dyDescent="0.2">
      <c r="A139" s="5" t="s">
        <v>33</v>
      </c>
      <c r="B139" s="2">
        <v>7</v>
      </c>
      <c r="C139" s="7">
        <f t="shared" si="8"/>
        <v>48.318344845068943</v>
      </c>
      <c r="D139" s="8">
        <f t="shared" si="16"/>
        <v>9.6508912806116438</v>
      </c>
      <c r="E139" t="s">
        <v>7</v>
      </c>
      <c r="F139" t="s">
        <v>4</v>
      </c>
      <c r="G139" t="s">
        <v>49</v>
      </c>
      <c r="H139">
        <v>9.3393614726571594E-2</v>
      </c>
      <c r="I139">
        <f t="shared" si="20"/>
        <v>1.7976368892000019</v>
      </c>
      <c r="J139">
        <v>0.14098430000000017</v>
      </c>
      <c r="K139">
        <f t="shared" si="21"/>
        <v>3.5516841832478567</v>
      </c>
      <c r="L139">
        <v>1.0977099888019064</v>
      </c>
      <c r="M139">
        <f t="shared" si="17"/>
        <v>4.5505860343999895</v>
      </c>
      <c r="N139">
        <f t="shared" si="18"/>
        <v>2.7372102849384632</v>
      </c>
      <c r="O139">
        <f t="shared" si="14"/>
        <v>120.30144092416324</v>
      </c>
      <c r="P139">
        <f t="shared" si="19"/>
        <v>61.856720626743254</v>
      </c>
    </row>
    <row r="140" spans="1:16" x14ac:dyDescent="0.2">
      <c r="A140" s="5" t="s">
        <v>34</v>
      </c>
      <c r="B140" s="2">
        <v>7</v>
      </c>
      <c r="C140" s="7">
        <f t="shared" si="8"/>
        <v>85.728618459930075</v>
      </c>
      <c r="D140" s="8">
        <f t="shared" si="16"/>
        <v>3.0103367950840334</v>
      </c>
      <c r="E140" t="s">
        <v>8</v>
      </c>
      <c r="F140" t="s">
        <v>3</v>
      </c>
      <c r="G140" t="s">
        <v>49</v>
      </c>
      <c r="H140">
        <v>0.12319713270641097</v>
      </c>
      <c r="I140">
        <f t="shared" si="20"/>
        <v>4.9770775678000021</v>
      </c>
      <c r="J140">
        <v>0.4396916166666669</v>
      </c>
      <c r="K140">
        <f t="shared" si="21"/>
        <v>1.2305907687192326</v>
      </c>
      <c r="L140">
        <v>0.39049078876271559</v>
      </c>
      <c r="M140">
        <f t="shared" si="17"/>
        <v>1.3944532321999974</v>
      </c>
      <c r="N140">
        <f t="shared" si="18"/>
        <v>0.42422930629848721</v>
      </c>
      <c r="O140">
        <f t="shared" si="14"/>
        <v>60.845254111418313</v>
      </c>
      <c r="P140">
        <f t="shared" si="19"/>
        <v>62.964815046608059</v>
      </c>
    </row>
    <row r="141" spans="1:16" x14ac:dyDescent="0.2">
      <c r="A141" s="5" t="s">
        <v>35</v>
      </c>
      <c r="B141" s="2">
        <v>7</v>
      </c>
      <c r="C141" s="7">
        <f t="shared" si="8"/>
        <v>54.360086384799914</v>
      </c>
      <c r="D141" s="8">
        <f t="shared" si="16"/>
        <v>7.3165680578110415</v>
      </c>
      <c r="E141" t="s">
        <v>8</v>
      </c>
      <c r="F141" t="s">
        <v>3</v>
      </c>
      <c r="G141" t="s">
        <v>49</v>
      </c>
      <c r="H141">
        <v>9.8206868819890603E-2</v>
      </c>
      <c r="I141">
        <f t="shared" si="20"/>
        <v>2.8925589140000114</v>
      </c>
      <c r="J141">
        <v>0.24385183333333438</v>
      </c>
      <c r="K141">
        <f t="shared" si="21"/>
        <v>2.7339929298312553</v>
      </c>
      <c r="L141">
        <v>0.84856579214846284</v>
      </c>
      <c r="M141">
        <f t="shared" si="17"/>
        <v>3.4049946667999911</v>
      </c>
      <c r="N141">
        <f t="shared" si="18"/>
        <v>1.9499235939004975</v>
      </c>
      <c r="O141">
        <f t="shared" si="14"/>
        <v>114.53313644881757</v>
      </c>
      <c r="P141">
        <f t="shared" si="19"/>
        <v>62.672609671576453</v>
      </c>
    </row>
    <row r="142" spans="1:16" x14ac:dyDescent="0.2">
      <c r="A142" s="5" t="s">
        <v>36</v>
      </c>
      <c r="B142" s="2">
        <v>7</v>
      </c>
      <c r="C142" s="7">
        <f t="shared" si="8"/>
        <v>50.428688768196515</v>
      </c>
      <c r="D142" s="8">
        <f t="shared" si="16"/>
        <v>9.2112838874379772</v>
      </c>
      <c r="E142" t="s">
        <v>8</v>
      </c>
      <c r="F142" t="s">
        <v>3</v>
      </c>
      <c r="G142" t="s">
        <v>49</v>
      </c>
      <c r="H142">
        <v>9.5074855385329893E-2</v>
      </c>
      <c r="I142">
        <f t="shared" si="20"/>
        <v>1.9843681291999915</v>
      </c>
      <c r="J142">
        <v>0.15852763333333253</v>
      </c>
      <c r="K142">
        <f t="shared" si="21"/>
        <v>3.5555867419804996</v>
      </c>
      <c r="L142">
        <v>1.0988990682451247</v>
      </c>
      <c r="M142">
        <f t="shared" si="17"/>
        <v>4.2583702708000075</v>
      </c>
      <c r="N142">
        <f t="shared" si="18"/>
        <v>2.7387171466372573</v>
      </c>
      <c r="O142">
        <f t="shared" si="14"/>
        <v>128.62747823583422</v>
      </c>
      <c r="P142">
        <f t="shared" si="19"/>
        <v>63.090438273811301</v>
      </c>
    </row>
    <row r="143" spans="1:16" x14ac:dyDescent="0.2">
      <c r="A143" s="5" t="s">
        <v>37</v>
      </c>
      <c r="B143" s="2">
        <v>7</v>
      </c>
      <c r="C143" s="7">
        <f t="shared" si="8"/>
        <v>33.933674297449599</v>
      </c>
      <c r="D143" s="8">
        <f t="shared" si="16"/>
        <v>11.124978718803019</v>
      </c>
      <c r="E143" t="s">
        <v>8</v>
      </c>
      <c r="F143" t="s">
        <v>4</v>
      </c>
      <c r="G143" t="s">
        <v>49</v>
      </c>
      <c r="H143">
        <v>8.1933827190301511E-2</v>
      </c>
      <c r="I143">
        <f t="shared" si="20"/>
        <v>0.29700000000000004</v>
      </c>
      <c r="J143">
        <v>0</v>
      </c>
      <c r="K143">
        <f t="shared" si="21"/>
        <v>4.745499289324691</v>
      </c>
      <c r="L143">
        <v>1.4614562124694368</v>
      </c>
      <c r="M143">
        <f t="shared" si="17"/>
        <v>5.8424916000000007</v>
      </c>
      <c r="N143">
        <f t="shared" si="18"/>
        <v>3.9521245130669431</v>
      </c>
      <c r="O143">
        <f t="shared" si="14"/>
        <v>135.28900967754726</v>
      </c>
      <c r="P143">
        <f t="shared" si="19"/>
        <v>55.537700039669382</v>
      </c>
    </row>
    <row r="144" spans="1:16" x14ac:dyDescent="0.2">
      <c r="A144" s="5" t="s">
        <v>38</v>
      </c>
      <c r="B144" s="2">
        <v>7</v>
      </c>
      <c r="C144" s="7">
        <f t="shared" si="8"/>
        <v>26.503683854294877</v>
      </c>
      <c r="D144" s="8">
        <f t="shared" si="16"/>
        <v>11.486034631154038</v>
      </c>
      <c r="E144" t="s">
        <v>8</v>
      </c>
      <c r="F144" t="s">
        <v>4</v>
      </c>
      <c r="G144" t="s">
        <v>49</v>
      </c>
      <c r="H144">
        <v>7.601460147058825E-2</v>
      </c>
      <c r="I144">
        <f t="shared" si="20"/>
        <v>0.29700000000000004</v>
      </c>
      <c r="J144">
        <v>0</v>
      </c>
      <c r="K144">
        <f t="shared" si="21"/>
        <v>4.657047063119804</v>
      </c>
      <c r="L144">
        <v>1.4345055036928105</v>
      </c>
      <c r="M144">
        <f t="shared" si="17"/>
        <v>5.724343199999999</v>
      </c>
      <c r="N144">
        <f t="shared" si="18"/>
        <v>3.8795308794010626</v>
      </c>
      <c r="O144">
        <f t="shared" si="14"/>
        <v>135.54501342271243</v>
      </c>
      <c r="P144">
        <f t="shared" si="19"/>
        <v>58.523629996304102</v>
      </c>
    </row>
    <row r="145" spans="1:16" x14ac:dyDescent="0.2">
      <c r="A145" s="5" t="s">
        <v>39</v>
      </c>
      <c r="B145" s="2">
        <v>7</v>
      </c>
      <c r="C145" s="7">
        <f t="shared" si="8"/>
        <v>45.442307272903427</v>
      </c>
      <c r="D145" s="8">
        <f t="shared" si="16"/>
        <v>10.928389619328041</v>
      </c>
      <c r="E145" t="s">
        <v>8</v>
      </c>
      <c r="F145" t="s">
        <v>4</v>
      </c>
      <c r="G145" t="s">
        <v>49</v>
      </c>
      <c r="H145">
        <v>9.1102371460746401E-2</v>
      </c>
      <c r="I145">
        <f t="shared" si="20"/>
        <v>1.9486995530000195</v>
      </c>
      <c r="J145">
        <v>0.15517658333333517</v>
      </c>
      <c r="K145">
        <f t="shared" si="21"/>
        <v>3.4638638467418246</v>
      </c>
      <c r="L145">
        <v>1.0709518119262109</v>
      </c>
      <c r="M145">
        <f t="shared" si="17"/>
        <v>3.5031896469999806</v>
      </c>
      <c r="N145">
        <f t="shared" si="18"/>
        <v>2.6245478803961504</v>
      </c>
      <c r="O145">
        <f t="shared" si="14"/>
        <v>149.83761342431058</v>
      </c>
      <c r="P145">
        <f t="shared" si="19"/>
        <v>90.986994524650953</v>
      </c>
    </row>
    <row r="146" spans="1:16" x14ac:dyDescent="0.2">
      <c r="A146" s="5" t="s">
        <v>40</v>
      </c>
      <c r="B146" s="2">
        <v>8</v>
      </c>
      <c r="C146" s="7">
        <f t="shared" si="8"/>
        <v>102.40808513099526</v>
      </c>
      <c r="D146" s="8">
        <f t="shared" si="16"/>
        <v>1.4760611921717253</v>
      </c>
      <c r="E146" t="s">
        <v>9</v>
      </c>
      <c r="F146" t="s">
        <v>3</v>
      </c>
      <c r="G146" t="s">
        <v>49</v>
      </c>
      <c r="H146">
        <v>0.13648510782102624</v>
      </c>
      <c r="I146">
        <f t="shared" si="20"/>
        <v>4.775530411999978</v>
      </c>
      <c r="J146">
        <v>0.42075633333333129</v>
      </c>
      <c r="K146">
        <f t="shared" si="21"/>
        <v>0.95962335501827523</v>
      </c>
      <c r="L146">
        <v>0.30792911487455066</v>
      </c>
      <c r="M146">
        <f t="shared" si="17"/>
        <v>2.4315543880000225</v>
      </c>
      <c r="N146">
        <f t="shared" si="18"/>
        <v>8.3708097227730649E-2</v>
      </c>
      <c r="O146">
        <f t="shared" si="14"/>
        <v>6.8851511313782598</v>
      </c>
      <c r="P146">
        <f t="shared" si="19"/>
        <v>20.234809462570428</v>
      </c>
    </row>
    <row r="147" spans="1:16" x14ac:dyDescent="0.2">
      <c r="A147" s="5" t="s">
        <v>41</v>
      </c>
      <c r="B147" s="2">
        <v>8</v>
      </c>
      <c r="C147" s="7">
        <f t="shared" si="8"/>
        <v>103.91649367264836</v>
      </c>
      <c r="D147" s="8">
        <f t="shared" si="16"/>
        <v>2.6047724420109919</v>
      </c>
      <c r="E147" t="s">
        <v>9</v>
      </c>
      <c r="F147" t="s">
        <v>3</v>
      </c>
      <c r="G147" t="s">
        <v>49</v>
      </c>
      <c r="H147">
        <v>0.13768680662587654</v>
      </c>
      <c r="I147">
        <f t="shared" si="20"/>
        <v>5.5989720721999889</v>
      </c>
      <c r="J147">
        <v>0.49811838333333225</v>
      </c>
      <c r="K147">
        <f t="shared" si="21"/>
        <v>0.75776660509949545</v>
      </c>
      <c r="L147">
        <v>0.24642492538071159</v>
      </c>
      <c r="M147">
        <f>I87-I147</f>
        <v>-5.0736646555333209</v>
      </c>
      <c r="N147">
        <f t="shared" si="18"/>
        <v>-0.13865554220821263</v>
      </c>
      <c r="O147">
        <f t="shared" si="14"/>
        <v>5.4656959662083855</v>
      </c>
      <c r="P147">
        <f t="shared" si="19"/>
        <v>-17.113024600934395</v>
      </c>
    </row>
    <row r="148" spans="1:16" x14ac:dyDescent="0.2">
      <c r="A148" s="5" t="s">
        <v>42</v>
      </c>
      <c r="B148" s="2">
        <v>8</v>
      </c>
      <c r="C148" s="7">
        <f t="shared" si="8"/>
        <v>106.67747257838656</v>
      </c>
      <c r="D148" s="8">
        <f t="shared" si="16"/>
        <v>-0.14128317416953706</v>
      </c>
      <c r="E148" t="s">
        <v>9</v>
      </c>
      <c r="F148" t="s">
        <v>3</v>
      </c>
      <c r="G148" t="s">
        <v>49</v>
      </c>
      <c r="H148">
        <v>0.13988638648744797</v>
      </c>
      <c r="I148">
        <f t="shared" si="20"/>
        <v>4.7951235324000088</v>
      </c>
      <c r="J148">
        <v>0.42259710000000084</v>
      </c>
      <c r="K148">
        <f t="shared" si="21"/>
        <v>0.67826403902465837</v>
      </c>
      <c r="L148">
        <v>0.22220110878265031</v>
      </c>
      <c r="M148">
        <f t="shared" si="17"/>
        <v>0.8245789973634734</v>
      </c>
      <c r="N148">
        <f t="shared" si="18"/>
        <v>-0.16593162202092393</v>
      </c>
      <c r="O148">
        <f t="shared" si="14"/>
        <v>-40.246385743871052</v>
      </c>
      <c r="P148">
        <f t="shared" si="19"/>
        <v>-5.7113256025712893</v>
      </c>
    </row>
    <row r="149" spans="1:16" x14ac:dyDescent="0.2">
      <c r="A149" s="5" t="s">
        <v>43</v>
      </c>
      <c r="B149" s="2">
        <v>8</v>
      </c>
      <c r="C149" s="7">
        <f t="shared" si="8"/>
        <v>101.35825338272252</v>
      </c>
      <c r="D149" s="8">
        <f t="shared" si="16"/>
        <v>0.85913039427746263</v>
      </c>
      <c r="E149" t="s">
        <v>9</v>
      </c>
      <c r="F149" t="s">
        <v>4</v>
      </c>
      <c r="G149" t="s">
        <v>49</v>
      </c>
      <c r="H149">
        <v>0.13564874186156894</v>
      </c>
      <c r="I149">
        <f t="shared" si="20"/>
        <v>5.2042189311999945</v>
      </c>
      <c r="J149">
        <v>0.46103146666666617</v>
      </c>
      <c r="K149">
        <f t="shared" si="21"/>
        <v>0.68068141613928634</v>
      </c>
      <c r="L149">
        <v>0.22293766488095257</v>
      </c>
      <c r="M149">
        <f t="shared" si="17"/>
        <v>0.9311658587999716</v>
      </c>
      <c r="N149">
        <f t="shared" si="18"/>
        <v>-9.3413722949398537E-2</v>
      </c>
      <c r="O149">
        <f t="shared" si="14"/>
        <v>-20.063820438989101</v>
      </c>
      <c r="P149">
        <f t="shared" si="19"/>
        <v>30.754649709940189</v>
      </c>
    </row>
    <row r="150" spans="1:16" x14ac:dyDescent="0.2">
      <c r="A150" s="5" t="s">
        <v>44</v>
      </c>
      <c r="B150" s="2">
        <v>8</v>
      </c>
      <c r="C150" s="7">
        <f t="shared" si="8"/>
        <v>100.40035849872601</v>
      </c>
      <c r="D150" s="8">
        <f>(C90-C150)/(B150-B90)</f>
        <v>0.31326207418499408</v>
      </c>
      <c r="E150" t="s">
        <v>9</v>
      </c>
      <c r="F150" t="s">
        <v>4</v>
      </c>
      <c r="G150" t="s">
        <v>49</v>
      </c>
      <c r="H150">
        <v>0.1348856189373184</v>
      </c>
      <c r="I150">
        <f t="shared" si="20"/>
        <v>5.5901036688000172</v>
      </c>
      <c r="J150">
        <v>0.49728520000000165</v>
      </c>
      <c r="K150">
        <f t="shared" si="21"/>
        <v>0.78735539346665395</v>
      </c>
      <c r="L150">
        <v>0.25544040020312431</v>
      </c>
      <c r="M150">
        <f t="shared" si="17"/>
        <v>0.32692833119998266</v>
      </c>
      <c r="N150">
        <f t="shared" si="18"/>
        <v>5.1687343942536823E-2</v>
      </c>
      <c r="O150">
        <f t="shared" si="14"/>
        <v>31.619984571431704</v>
      </c>
      <c r="P150">
        <f>4*(D150/12)*(B150-B90)/(8*M150)*100</f>
        <v>31.939933444043948</v>
      </c>
    </row>
    <row r="151" spans="1:16" x14ac:dyDescent="0.2">
      <c r="A151" s="5" t="s">
        <v>45</v>
      </c>
      <c r="B151" s="2">
        <v>8</v>
      </c>
      <c r="C151" s="7">
        <f t="shared" si="8"/>
        <v>106.00465027404624</v>
      </c>
      <c r="D151" s="8">
        <f t="shared" si="16"/>
        <v>0.67332454245871354</v>
      </c>
      <c r="E151" t="s">
        <v>9</v>
      </c>
      <c r="F151" t="s">
        <v>4</v>
      </c>
      <c r="G151" t="s">
        <v>49</v>
      </c>
      <c r="H151">
        <v>0.13935037138499018</v>
      </c>
      <c r="I151">
        <f t="shared" si="20"/>
        <v>4.8566576238518344</v>
      </c>
      <c r="J151">
        <v>0.42837820592369735</v>
      </c>
      <c r="K151">
        <f t="shared" si="21"/>
        <v>0.75841637361955128</v>
      </c>
      <c r="L151">
        <v>0.24662290482009486</v>
      </c>
      <c r="M151">
        <f t="shared" si="17"/>
        <v>1.6372802405482041</v>
      </c>
      <c r="N151">
        <f t="shared" si="18"/>
        <v>-6.1834814745374445E-2</v>
      </c>
      <c r="O151">
        <f t="shared" si="14"/>
        <v>-7.5533574783349904</v>
      </c>
      <c r="P151">
        <f t="shared" si="19"/>
        <v>13.708191706861109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2026-06-24T13:57:11Z</dcterms:created>
  <dcterms:modified xsi:type="dcterms:W3CDTF">2026-09-28T05:39:31Z</dcterms:modified>
</cp:coreProperties>
</file>