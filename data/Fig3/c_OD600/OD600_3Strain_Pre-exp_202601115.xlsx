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8DBC2333-3391-E146-AFF5-FA8EEF71FE85}" xr6:coauthVersionLast="47" xr6:coauthVersionMax="47" xr10:uidLastSave="{00000000-0000-0000-0000-000000000000}"/>
  <bookViews>
    <workbookView xWindow="17380" yWindow="600" windowWidth="15360" windowHeight="16080" activeTab="1" xr2:uid="{840892BE-5955-AB42-8649-90581DC0BD0C}"/>
  </bookViews>
  <sheets>
    <sheet name="r2" sheetId="4" r:id="rId1"/>
    <sheet name="Round2.raw" sheetId="2" r:id="rId2"/>
    <sheet name="r1" sheetId="3" r:id="rId3"/>
    <sheet name="Round1.raw" sheetId="1" r:id="rId4"/>
  </sheets>
  <definedNames>
    <definedName name="_xlnm._FilterDatabase" localSheetId="3" hidden="1">'Round1.raw'!$A$2:$O$50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0" i="2" l="1"/>
  <c r="O60" i="2"/>
  <c r="M60" i="2"/>
  <c r="M58" i="2"/>
  <c r="Y58" i="2"/>
  <c r="M35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N58" i="2" s="1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O58" i="2" s="1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  <c r="O4" i="2"/>
  <c r="N4" i="2"/>
  <c r="M4" i="2"/>
  <c r="O3" i="2"/>
  <c r="N3" i="2"/>
  <c r="M3" i="2"/>
  <c r="Z58" i="2"/>
  <c r="AA58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AA3" i="2"/>
  <c r="Z3" i="2"/>
  <c r="Y3" i="2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37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882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27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772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17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662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07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552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497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42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387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32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277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22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167" i="4"/>
  <c r="B113" i="4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58" i="4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31" i="2" s="1"/>
  <c r="C7" i="1"/>
  <c r="C8" i="1" s="1"/>
  <c r="C9" i="1" s="1"/>
  <c r="C10" i="1" s="1"/>
  <c r="C11" i="1" s="1"/>
  <c r="C13" i="1" s="1"/>
  <c r="C14" i="1" s="1"/>
  <c r="C19" i="1"/>
  <c r="C20" i="1" s="1"/>
  <c r="C21" i="1" s="1"/>
  <c r="C22" i="1" s="1"/>
  <c r="B140" i="4" l="1"/>
  <c r="B138" i="4"/>
  <c r="B139" i="4" s="1"/>
  <c r="B85" i="4"/>
  <c r="B83" i="4"/>
  <c r="B84" i="4" s="1"/>
  <c r="B30" i="4"/>
  <c r="B28" i="4"/>
  <c r="B29" i="4" s="1"/>
  <c r="C34" i="2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32" i="2"/>
  <c r="C33" i="2" s="1"/>
  <c r="C29" i="2"/>
  <c r="C30" i="2" s="1"/>
  <c r="C24" i="1"/>
  <c r="B141" i="4" l="1"/>
  <c r="B142" i="4" s="1"/>
  <c r="B143" i="4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88" i="4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86" i="4"/>
  <c r="B87" i="4" s="1"/>
  <c r="B31" i="4"/>
  <c r="B32" i="4" s="1"/>
  <c r="B33" i="4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C26" i="1"/>
  <c r="C27" i="1" s="1"/>
  <c r="C28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</calcChain>
</file>

<file path=xl/sharedStrings.xml><?xml version="1.0" encoding="utf-8"?>
<sst xmlns="http://schemas.openxmlformats.org/spreadsheetml/2006/main" count="4235" uniqueCount="61">
  <si>
    <t>CN</t>
  </si>
  <si>
    <t>TSB</t>
  </si>
  <si>
    <t>Time</t>
  </si>
  <si>
    <t>pd.1_TSB</t>
  </si>
  <si>
    <t>pd.2_TSB</t>
  </si>
  <si>
    <t>pd.3_TSB</t>
  </si>
  <si>
    <t>so.1_TSB</t>
  </si>
  <si>
    <t>so.2_TSB</t>
  </si>
  <si>
    <t>so.3_TSB</t>
  </si>
  <si>
    <t>pd.1_CN</t>
  </si>
  <si>
    <t>pd.2_CN</t>
  </si>
  <si>
    <t>pd.3_CN</t>
  </si>
  <si>
    <t>so.1_CN</t>
  </si>
  <si>
    <t>so.2_CN</t>
  </si>
  <si>
    <t>so.3_CN</t>
  </si>
  <si>
    <t>Data-Time</t>
  </si>
  <si>
    <t>Time 2</t>
  </si>
  <si>
    <t>Time 1</t>
  </si>
  <si>
    <t>Group</t>
  </si>
  <si>
    <t>Sample</t>
  </si>
  <si>
    <t>pd_CN</t>
  </si>
  <si>
    <t>so_CN</t>
  </si>
  <si>
    <t>pd_TSB</t>
  </si>
  <si>
    <t>OD600</t>
  </si>
  <si>
    <t>so_TSB</t>
  </si>
  <si>
    <t>Substrate</t>
  </si>
  <si>
    <t>Inorganic</t>
  </si>
  <si>
    <t>Organic</t>
  </si>
  <si>
    <t>am.1_CN</t>
  </si>
  <si>
    <t>mz.1_CN</t>
  </si>
  <si>
    <t>am.1_TSB</t>
  </si>
  <si>
    <t>am.2_TSB</t>
  </si>
  <si>
    <t>am.3_TSB</t>
  </si>
  <si>
    <t>am.2_CN</t>
  </si>
  <si>
    <t>am.3_CN</t>
  </si>
  <si>
    <t>mz.2_CN</t>
  </si>
  <si>
    <t>mz.3_CN</t>
  </si>
  <si>
    <t>mz.1_TSB</t>
  </si>
  <si>
    <t>mz.2_TSB</t>
  </si>
  <si>
    <t>mz.3_TSB</t>
  </si>
  <si>
    <t>Tips</t>
  </si>
  <si>
    <t>am_CN</t>
  </si>
  <si>
    <t>mz_CN</t>
  </si>
  <si>
    <t>pd3_TSB</t>
  </si>
  <si>
    <t>am_TSB</t>
  </si>
  <si>
    <t>am1_TSB</t>
  </si>
  <si>
    <t>am2_TSB</t>
  </si>
  <si>
    <t>am3_TSB</t>
  </si>
  <si>
    <t>mz1_TSB</t>
  </si>
  <si>
    <t>mz_TSB</t>
  </si>
  <si>
    <t>mz2_TSB</t>
  </si>
  <si>
    <t>mz3_TSB</t>
  </si>
  <si>
    <t>pd_cn有个菌液（pd1）没加进去，加到Am中了（Am3）</t>
  </si>
  <si>
    <t>pd_CN_Control</t>
  </si>
  <si>
    <t>am_pd_CN</t>
  </si>
  <si>
    <t>Mean_CN</t>
  </si>
  <si>
    <t>Mean_TSB</t>
  </si>
  <si>
    <t>pd</t>
  </si>
  <si>
    <t>am</t>
  </si>
  <si>
    <t>mz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</si>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</sst>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0000"/>
      <name val="Calibri (Body)"/>
    </font>
    <font>
      <sz val="11"/>
      <color rgb="FFFF0000"/>
      <name val="Calibri (Body)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4" fillId="2" borderId="0" xfId="0" applyFont="1" applyFill="1"/>
    <xf numFmtId="22" fontId="0" fillId="0" borderId="0" xfId="0" applyNumberFormat="1"/>
    <xf numFmtId="1" fontId="0" fillId="0" borderId="0" xfId="0" applyNumberFormat="1"/>
    <xf numFmtId="0" fontId="5" fillId="0" borderId="0" xfId="0" applyFont="1"/>
    <xf numFmtId="0" fontId="4" fillId="2" borderId="1" xfId="0" applyFont="1" applyFill="1" applyBorder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3" borderId="0" xfId="0" applyFont="1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'Round2.raw'!$D$2</c:f>
              <c:strCache>
                <c:ptCount val="1"/>
                <c:pt idx="0">
                  <c:v>pd.1_CN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'Round2.raw'!$D$3:$D$57</c:f>
              <c:numCache>
                <c:formatCode>General</c:formatCode>
                <c:ptCount val="55"/>
                <c:pt idx="0">
                  <c:v>9.3899999999999997E-2</c:v>
                </c:pt>
                <c:pt idx="1">
                  <c:v>9.3100000000000002E-2</c:v>
                </c:pt>
                <c:pt idx="2">
                  <c:v>9.3600000000000003E-2</c:v>
                </c:pt>
                <c:pt idx="3">
                  <c:v>9.3799999999999994E-2</c:v>
                </c:pt>
                <c:pt idx="4">
                  <c:v>9.4100000000000003E-2</c:v>
                </c:pt>
                <c:pt idx="5">
                  <c:v>9.4500000000000001E-2</c:v>
                </c:pt>
                <c:pt idx="6">
                  <c:v>9.4700000000000006E-2</c:v>
                </c:pt>
                <c:pt idx="7">
                  <c:v>9.4700000000000006E-2</c:v>
                </c:pt>
                <c:pt idx="8">
                  <c:v>9.5100000000000004E-2</c:v>
                </c:pt>
                <c:pt idx="9">
                  <c:v>9.5000000000000001E-2</c:v>
                </c:pt>
                <c:pt idx="10">
                  <c:v>9.5100000000000004E-2</c:v>
                </c:pt>
                <c:pt idx="11">
                  <c:v>9.5100000000000004E-2</c:v>
                </c:pt>
                <c:pt idx="12">
                  <c:v>9.5100000000000004E-2</c:v>
                </c:pt>
                <c:pt idx="13">
                  <c:v>9.5100000000000004E-2</c:v>
                </c:pt>
                <c:pt idx="14">
                  <c:v>9.5299999999999996E-2</c:v>
                </c:pt>
                <c:pt idx="15">
                  <c:v>9.5299999999999996E-2</c:v>
                </c:pt>
                <c:pt idx="16">
                  <c:v>9.8000000000000004E-2</c:v>
                </c:pt>
                <c:pt idx="17">
                  <c:v>0.2485</c:v>
                </c:pt>
                <c:pt idx="18">
                  <c:v>0.14410000000000001</c:v>
                </c:pt>
                <c:pt idx="19">
                  <c:v>0.13850000000000001</c:v>
                </c:pt>
                <c:pt idx="20">
                  <c:v>0.1459</c:v>
                </c:pt>
                <c:pt idx="21">
                  <c:v>0.159</c:v>
                </c:pt>
                <c:pt idx="22">
                  <c:v>0.1547</c:v>
                </c:pt>
                <c:pt idx="23">
                  <c:v>0.14710000000000001</c:v>
                </c:pt>
                <c:pt idx="24">
                  <c:v>0.16120000000000001</c:v>
                </c:pt>
                <c:pt idx="25">
                  <c:v>0.15340000000000001</c:v>
                </c:pt>
                <c:pt idx="26">
                  <c:v>0.2467</c:v>
                </c:pt>
                <c:pt idx="27">
                  <c:v>0.13900000000000001</c:v>
                </c:pt>
                <c:pt idx="28">
                  <c:v>0.1792</c:v>
                </c:pt>
                <c:pt idx="29">
                  <c:v>0.2707</c:v>
                </c:pt>
                <c:pt idx="30">
                  <c:v>0.15620000000000001</c:v>
                </c:pt>
                <c:pt idx="31">
                  <c:v>0.21510000000000001</c:v>
                </c:pt>
                <c:pt idx="32">
                  <c:v>0.1283</c:v>
                </c:pt>
                <c:pt idx="33">
                  <c:v>0.14510000000000001</c:v>
                </c:pt>
                <c:pt idx="34">
                  <c:v>0.15670000000000001</c:v>
                </c:pt>
                <c:pt idx="35">
                  <c:v>0.1371</c:v>
                </c:pt>
                <c:pt idx="36">
                  <c:v>0.14729999999999999</c:v>
                </c:pt>
                <c:pt idx="37">
                  <c:v>0.1328</c:v>
                </c:pt>
                <c:pt idx="38">
                  <c:v>0.13420000000000001</c:v>
                </c:pt>
                <c:pt idx="39">
                  <c:v>0.1648</c:v>
                </c:pt>
                <c:pt idx="40">
                  <c:v>0.14380000000000001</c:v>
                </c:pt>
                <c:pt idx="41">
                  <c:v>0.1439</c:v>
                </c:pt>
                <c:pt idx="42">
                  <c:v>0.14499999999999999</c:v>
                </c:pt>
                <c:pt idx="43">
                  <c:v>0.15279999999999999</c:v>
                </c:pt>
                <c:pt idx="44">
                  <c:v>0.14000000000000001</c:v>
                </c:pt>
                <c:pt idx="45">
                  <c:v>0.14649999999999999</c:v>
                </c:pt>
                <c:pt idx="46">
                  <c:v>0.14660000000000001</c:v>
                </c:pt>
                <c:pt idx="47">
                  <c:v>0.1643</c:v>
                </c:pt>
                <c:pt idx="48">
                  <c:v>0.1396</c:v>
                </c:pt>
                <c:pt idx="49">
                  <c:v>0.14580000000000001</c:v>
                </c:pt>
                <c:pt idx="50">
                  <c:v>0.13980000000000001</c:v>
                </c:pt>
                <c:pt idx="51">
                  <c:v>0.15840000000000001</c:v>
                </c:pt>
                <c:pt idx="52">
                  <c:v>0.14560000000000001</c:v>
                </c:pt>
                <c:pt idx="53">
                  <c:v>0.14080000000000001</c:v>
                </c:pt>
                <c:pt idx="54">
                  <c:v>0.14879999999999999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B-3840-8692-8DA2081D9E97}"/>
            </c:ext>
          </c:extLst>
        </c:ser>
        <c:ser>
          <c:idx val="1"/>
          <c:order val="1"/>
          <c:tx>
            <c:strRef>
              <c:f>'Round2.raw'!$E$2</c:f>
              <c:strCache>
                <c:ptCount val="1"/>
                <c:pt idx="0">
                  <c:v>pd.2_CN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'Round2.raw'!$E$3:$E$57</c:f>
              <c:numCache>
                <c:formatCode>General</c:formatCode>
                <c:ptCount val="55"/>
                <c:pt idx="0">
                  <c:v>0.1968</c:v>
                </c:pt>
                <c:pt idx="1">
                  <c:v>0.20930000000000001</c:v>
                </c:pt>
                <c:pt idx="2">
                  <c:v>0.23089999999999999</c:v>
                </c:pt>
                <c:pt idx="3">
                  <c:v>0.25409999999999999</c:v>
                </c:pt>
                <c:pt idx="4">
                  <c:v>0.27629999999999999</c:v>
                </c:pt>
                <c:pt idx="5">
                  <c:v>0.31030000000000002</c:v>
                </c:pt>
                <c:pt idx="6">
                  <c:v>0.33200000000000002</c:v>
                </c:pt>
                <c:pt idx="7">
                  <c:v>0.34339999999999998</c:v>
                </c:pt>
                <c:pt idx="8">
                  <c:v>0.35680000000000001</c:v>
                </c:pt>
                <c:pt idx="9">
                  <c:v>0.36520000000000002</c:v>
                </c:pt>
                <c:pt idx="10">
                  <c:v>0.36809999999999998</c:v>
                </c:pt>
                <c:pt idx="11">
                  <c:v>0.37409999999999999</c:v>
                </c:pt>
                <c:pt idx="12">
                  <c:v>0.37409999999999999</c:v>
                </c:pt>
                <c:pt idx="13">
                  <c:v>0.3755</c:v>
                </c:pt>
                <c:pt idx="14">
                  <c:v>0.3775</c:v>
                </c:pt>
                <c:pt idx="15">
                  <c:v>0.37959999999999999</c:v>
                </c:pt>
                <c:pt idx="16">
                  <c:v>0.38190000000000002</c:v>
                </c:pt>
                <c:pt idx="17">
                  <c:v>0.47139999999999999</c:v>
                </c:pt>
                <c:pt idx="18">
                  <c:v>0.38969999999999999</c:v>
                </c:pt>
                <c:pt idx="19">
                  <c:v>0.39539999999999997</c:v>
                </c:pt>
                <c:pt idx="20">
                  <c:v>0.40510000000000002</c:v>
                </c:pt>
                <c:pt idx="21">
                  <c:v>0.41489999999999999</c:v>
                </c:pt>
                <c:pt idx="22">
                  <c:v>0.42530000000000001</c:v>
                </c:pt>
                <c:pt idx="23">
                  <c:v>0.43930000000000002</c:v>
                </c:pt>
                <c:pt idx="24">
                  <c:v>0.44409999999999999</c:v>
                </c:pt>
                <c:pt idx="25">
                  <c:v>0.45150000000000001</c:v>
                </c:pt>
                <c:pt idx="26">
                  <c:v>0.53459999999999996</c:v>
                </c:pt>
                <c:pt idx="27">
                  <c:v>0.436</c:v>
                </c:pt>
                <c:pt idx="28">
                  <c:v>0.4622</c:v>
                </c:pt>
                <c:pt idx="29">
                  <c:v>0.55359999999999998</c:v>
                </c:pt>
                <c:pt idx="30">
                  <c:v>0.44069999999999998</c:v>
                </c:pt>
                <c:pt idx="31">
                  <c:v>0.4491</c:v>
                </c:pt>
                <c:pt idx="32">
                  <c:v>0.43109999999999998</c:v>
                </c:pt>
                <c:pt idx="33">
                  <c:v>0.44779999999999998</c:v>
                </c:pt>
                <c:pt idx="34">
                  <c:v>0.4556</c:v>
                </c:pt>
                <c:pt idx="35">
                  <c:v>0.46010000000000001</c:v>
                </c:pt>
                <c:pt idx="36">
                  <c:v>0.46760000000000002</c:v>
                </c:pt>
                <c:pt idx="37">
                  <c:v>0.47389999999999999</c:v>
                </c:pt>
                <c:pt idx="38">
                  <c:v>0.4753</c:v>
                </c:pt>
                <c:pt idx="39">
                  <c:v>0.47610000000000002</c:v>
                </c:pt>
                <c:pt idx="40">
                  <c:v>0.4768</c:v>
                </c:pt>
                <c:pt idx="41">
                  <c:v>0.47739999999999999</c:v>
                </c:pt>
                <c:pt idx="42">
                  <c:v>0.47760000000000002</c:v>
                </c:pt>
                <c:pt idx="43">
                  <c:v>0.47760000000000002</c:v>
                </c:pt>
                <c:pt idx="44">
                  <c:v>0.47699999999999998</c:v>
                </c:pt>
                <c:pt idx="45">
                  <c:v>0.47510000000000002</c:v>
                </c:pt>
                <c:pt idx="46">
                  <c:v>0.47339999999999999</c:v>
                </c:pt>
                <c:pt idx="47">
                  <c:v>0.47270000000000001</c:v>
                </c:pt>
                <c:pt idx="48">
                  <c:v>0.46970000000000001</c:v>
                </c:pt>
                <c:pt idx="49">
                  <c:v>0.47089999999999999</c:v>
                </c:pt>
                <c:pt idx="50">
                  <c:v>0.47139999999999999</c:v>
                </c:pt>
                <c:pt idx="51">
                  <c:v>0.47110000000000002</c:v>
                </c:pt>
                <c:pt idx="52">
                  <c:v>0.47099999999999997</c:v>
                </c:pt>
                <c:pt idx="53">
                  <c:v>0.47270000000000001</c:v>
                </c:pt>
                <c:pt idx="54">
                  <c:v>0.47210000000000002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B-3840-8692-8DA2081D9E97}"/>
            </c:ext>
          </c:extLst>
        </c:ser>
        <c:ser>
          <c:idx val="2"/>
          <c:order val="2"/>
          <c:tx>
            <c:strRef>
              <c:f>'Round2.raw'!$F$2</c:f>
              <c:strCache>
                <c:ptCount val="1"/>
                <c:pt idx="0">
                  <c:v>pd.3_CN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'Round2.raw'!$F$3:$F$57</c:f>
              <c:numCache>
                <c:formatCode>General</c:formatCode>
                <c:ptCount val="55"/>
                <c:pt idx="0">
                  <c:v>0.1719</c:v>
                </c:pt>
                <c:pt idx="1">
                  <c:v>0.19070000000000001</c:v>
                </c:pt>
                <c:pt idx="2">
                  <c:v>0.21310000000000001</c:v>
                </c:pt>
                <c:pt idx="3">
                  <c:v>0.23480000000000001</c:v>
                </c:pt>
                <c:pt idx="4">
                  <c:v>0.25829999999999997</c:v>
                </c:pt>
                <c:pt idx="5">
                  <c:v>0.28610000000000002</c:v>
                </c:pt>
                <c:pt idx="6">
                  <c:v>0.30940000000000001</c:v>
                </c:pt>
                <c:pt idx="7">
                  <c:v>0.32579999999999998</c:v>
                </c:pt>
                <c:pt idx="8">
                  <c:v>0.34460000000000002</c:v>
                </c:pt>
                <c:pt idx="9">
                  <c:v>0.3468</c:v>
                </c:pt>
                <c:pt idx="10">
                  <c:v>0.34539999999999998</c:v>
                </c:pt>
                <c:pt idx="11">
                  <c:v>0.3412</c:v>
                </c:pt>
                <c:pt idx="12">
                  <c:v>0.33829999999999999</c:v>
                </c:pt>
                <c:pt idx="13">
                  <c:v>0.3372</c:v>
                </c:pt>
                <c:pt idx="14">
                  <c:v>0.33260000000000001</c:v>
                </c:pt>
                <c:pt idx="15">
                  <c:v>0.33139999999999997</c:v>
                </c:pt>
                <c:pt idx="16">
                  <c:v>0.33360000000000001</c:v>
                </c:pt>
                <c:pt idx="17">
                  <c:v>0.35460000000000003</c:v>
                </c:pt>
                <c:pt idx="18">
                  <c:v>0.32079999999999997</c:v>
                </c:pt>
                <c:pt idx="19">
                  <c:v>0.34439999999999998</c:v>
                </c:pt>
                <c:pt idx="20">
                  <c:v>0.36969999999999997</c:v>
                </c:pt>
                <c:pt idx="21">
                  <c:v>0.38690000000000002</c:v>
                </c:pt>
                <c:pt idx="22">
                  <c:v>0.39129999999999998</c:v>
                </c:pt>
                <c:pt idx="23">
                  <c:v>0.38600000000000001</c:v>
                </c:pt>
                <c:pt idx="24">
                  <c:v>0.37940000000000002</c:v>
                </c:pt>
                <c:pt idx="25">
                  <c:v>0.37519999999999998</c:v>
                </c:pt>
                <c:pt idx="26">
                  <c:v>0.4118</c:v>
                </c:pt>
                <c:pt idx="27">
                  <c:v>0.38600000000000001</c:v>
                </c:pt>
                <c:pt idx="28">
                  <c:v>0.40889999999999999</c:v>
                </c:pt>
                <c:pt idx="29">
                  <c:v>0.48770000000000002</c:v>
                </c:pt>
                <c:pt idx="30">
                  <c:v>0.41039999999999999</c:v>
                </c:pt>
                <c:pt idx="31">
                  <c:v>0.42059999999999997</c:v>
                </c:pt>
                <c:pt idx="32">
                  <c:v>0.39989999999999998</c:v>
                </c:pt>
                <c:pt idx="33">
                  <c:v>0.4133</c:v>
                </c:pt>
                <c:pt idx="34">
                  <c:v>0.42170000000000002</c:v>
                </c:pt>
                <c:pt idx="35">
                  <c:v>0.40329999999999999</c:v>
                </c:pt>
                <c:pt idx="36">
                  <c:v>0.39929999999999999</c:v>
                </c:pt>
                <c:pt idx="37">
                  <c:v>0.42809999999999998</c:v>
                </c:pt>
                <c:pt idx="38">
                  <c:v>0.43130000000000002</c:v>
                </c:pt>
                <c:pt idx="39">
                  <c:v>0.43240000000000001</c:v>
                </c:pt>
                <c:pt idx="40">
                  <c:v>0.43480000000000002</c:v>
                </c:pt>
                <c:pt idx="41">
                  <c:v>0.4395</c:v>
                </c:pt>
                <c:pt idx="42">
                  <c:v>0.44450000000000001</c:v>
                </c:pt>
                <c:pt idx="43">
                  <c:v>0.44800000000000001</c:v>
                </c:pt>
                <c:pt idx="44">
                  <c:v>0.4506</c:v>
                </c:pt>
                <c:pt idx="45">
                  <c:v>0.45300000000000001</c:v>
                </c:pt>
                <c:pt idx="46">
                  <c:v>0.45419999999999999</c:v>
                </c:pt>
                <c:pt idx="47">
                  <c:v>0.45469999999999999</c:v>
                </c:pt>
                <c:pt idx="48">
                  <c:v>0.45450000000000002</c:v>
                </c:pt>
                <c:pt idx="49">
                  <c:v>0.4536</c:v>
                </c:pt>
                <c:pt idx="50">
                  <c:v>0.45169999999999999</c:v>
                </c:pt>
                <c:pt idx="51">
                  <c:v>0.45319999999999999</c:v>
                </c:pt>
                <c:pt idx="52">
                  <c:v>0.45140000000000002</c:v>
                </c:pt>
                <c:pt idx="53">
                  <c:v>0.45179999999999998</c:v>
                </c:pt>
                <c:pt idx="54">
                  <c:v>0.45100000000000001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B-3840-8692-8DA2081D9E97}"/>
            </c:ext>
          </c:extLst>
        </c:ser>
        <c:ser>
          <c:idx val="3"/>
          <c:order val="3"/>
          <c:tx>
            <c:strRef>
              <c:f>'Round2.raw'!$G$2</c:f>
              <c:strCache>
                <c:ptCount val="1"/>
                <c:pt idx="0">
                  <c:v>am.1_CN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'Round2.raw'!$G$3:$G$57</c:f>
              <c:numCache>
                <c:formatCode>General</c:formatCode>
                <c:ptCount val="55"/>
                <c:pt idx="0">
                  <c:v>0.1234</c:v>
                </c:pt>
                <c:pt idx="1">
                  <c:v>0.12870000000000001</c:v>
                </c:pt>
                <c:pt idx="2">
                  <c:v>0.1469</c:v>
                </c:pt>
                <c:pt idx="3">
                  <c:v>0.156</c:v>
                </c:pt>
                <c:pt idx="4">
                  <c:v>0.16450000000000001</c:v>
                </c:pt>
                <c:pt idx="5">
                  <c:v>0.16470000000000001</c:v>
                </c:pt>
                <c:pt idx="6">
                  <c:v>0.182</c:v>
                </c:pt>
                <c:pt idx="7">
                  <c:v>0.17480000000000001</c:v>
                </c:pt>
                <c:pt idx="8">
                  <c:v>0.185</c:v>
                </c:pt>
                <c:pt idx="9">
                  <c:v>0.1905</c:v>
                </c:pt>
                <c:pt idx="10">
                  <c:v>0.19950000000000001</c:v>
                </c:pt>
                <c:pt idx="11">
                  <c:v>0.20699999999999999</c:v>
                </c:pt>
                <c:pt idx="12">
                  <c:v>0.20660000000000001</c:v>
                </c:pt>
                <c:pt idx="13">
                  <c:v>0.2132</c:v>
                </c:pt>
                <c:pt idx="14">
                  <c:v>0.21360000000000001</c:v>
                </c:pt>
                <c:pt idx="15">
                  <c:v>0.2215</c:v>
                </c:pt>
                <c:pt idx="16">
                  <c:v>0.23250000000000001</c:v>
                </c:pt>
                <c:pt idx="17">
                  <c:v>0.32669999999999999</c:v>
                </c:pt>
                <c:pt idx="18">
                  <c:v>0.24590000000000001</c:v>
                </c:pt>
                <c:pt idx="19">
                  <c:v>0.2616</c:v>
                </c:pt>
                <c:pt idx="20">
                  <c:v>0.26579999999999998</c:v>
                </c:pt>
                <c:pt idx="21">
                  <c:v>0.27150000000000002</c:v>
                </c:pt>
                <c:pt idx="22">
                  <c:v>0.28370000000000001</c:v>
                </c:pt>
                <c:pt idx="23">
                  <c:v>0.29189999999999999</c:v>
                </c:pt>
                <c:pt idx="24">
                  <c:v>0.30459999999999998</c:v>
                </c:pt>
                <c:pt idx="25">
                  <c:v>0.30969999999999998</c:v>
                </c:pt>
                <c:pt idx="26">
                  <c:v>0.3977</c:v>
                </c:pt>
                <c:pt idx="27">
                  <c:v>0.3271</c:v>
                </c:pt>
                <c:pt idx="28">
                  <c:v>0.35470000000000002</c:v>
                </c:pt>
                <c:pt idx="29">
                  <c:v>0.4335</c:v>
                </c:pt>
                <c:pt idx="30">
                  <c:v>0.35270000000000001</c:v>
                </c:pt>
                <c:pt idx="31">
                  <c:v>0.37319999999999998</c:v>
                </c:pt>
                <c:pt idx="32">
                  <c:v>0.32900000000000001</c:v>
                </c:pt>
                <c:pt idx="33">
                  <c:v>0.33400000000000002</c:v>
                </c:pt>
                <c:pt idx="34">
                  <c:v>0.3291</c:v>
                </c:pt>
                <c:pt idx="35">
                  <c:v>0.33650000000000002</c:v>
                </c:pt>
                <c:pt idx="36">
                  <c:v>0.34160000000000001</c:v>
                </c:pt>
                <c:pt idx="37">
                  <c:v>0.3463</c:v>
                </c:pt>
                <c:pt idx="38">
                  <c:v>0.34960000000000002</c:v>
                </c:pt>
                <c:pt idx="39">
                  <c:v>0.3533</c:v>
                </c:pt>
                <c:pt idx="40">
                  <c:v>0.3553</c:v>
                </c:pt>
                <c:pt idx="41">
                  <c:v>0.35780000000000001</c:v>
                </c:pt>
                <c:pt idx="42">
                  <c:v>0.36070000000000002</c:v>
                </c:pt>
                <c:pt idx="43">
                  <c:v>0.3619</c:v>
                </c:pt>
                <c:pt idx="44">
                  <c:v>0.36199999999999999</c:v>
                </c:pt>
                <c:pt idx="45">
                  <c:v>0.36249999999999999</c:v>
                </c:pt>
                <c:pt idx="46">
                  <c:v>0.36170000000000002</c:v>
                </c:pt>
                <c:pt idx="47">
                  <c:v>0.36130000000000001</c:v>
                </c:pt>
                <c:pt idx="48">
                  <c:v>0.35920000000000002</c:v>
                </c:pt>
                <c:pt idx="49">
                  <c:v>0.35780000000000001</c:v>
                </c:pt>
                <c:pt idx="50">
                  <c:v>0.35730000000000001</c:v>
                </c:pt>
                <c:pt idx="51">
                  <c:v>0.35510000000000003</c:v>
                </c:pt>
                <c:pt idx="52">
                  <c:v>0.3548</c:v>
                </c:pt>
                <c:pt idx="53">
                  <c:v>0.35410000000000003</c:v>
                </c:pt>
                <c:pt idx="54">
                  <c:v>0.35389999999999999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B-3840-8692-8DA2081D9E97}"/>
            </c:ext>
          </c:extLst>
        </c:ser>
        <c:ser>
          <c:idx val="4"/>
          <c:order val="4"/>
          <c:tx>
            <c:strRef>
              <c:f>'Round2.raw'!$H$2</c:f>
              <c:strCache>
                <c:ptCount val="1"/>
                <c:pt idx="0">
                  <c:v>am.2_CN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'Round2.raw'!$H$3:$H$57</c:f>
              <c:numCache>
                <c:formatCode>General</c:formatCode>
                <c:ptCount val="55"/>
                <c:pt idx="0">
                  <c:v>0.1298</c:v>
                </c:pt>
                <c:pt idx="1">
                  <c:v>0.15629999999999999</c:v>
                </c:pt>
                <c:pt idx="2">
                  <c:v>0.1487</c:v>
                </c:pt>
                <c:pt idx="3">
                  <c:v>0.154</c:v>
                </c:pt>
                <c:pt idx="4">
                  <c:v>0.1605</c:v>
                </c:pt>
                <c:pt idx="5">
                  <c:v>0.16189999999999999</c:v>
                </c:pt>
                <c:pt idx="6">
                  <c:v>0.1865</c:v>
                </c:pt>
                <c:pt idx="7">
                  <c:v>0.18809999999999999</c:v>
                </c:pt>
                <c:pt idx="8">
                  <c:v>0.18609999999999999</c:v>
                </c:pt>
                <c:pt idx="9">
                  <c:v>0.19939999999999999</c:v>
                </c:pt>
                <c:pt idx="10">
                  <c:v>0.20680000000000001</c:v>
                </c:pt>
                <c:pt idx="11">
                  <c:v>0.21190000000000001</c:v>
                </c:pt>
                <c:pt idx="12">
                  <c:v>0.20880000000000001</c:v>
                </c:pt>
                <c:pt idx="13">
                  <c:v>0.20830000000000001</c:v>
                </c:pt>
                <c:pt idx="14">
                  <c:v>0.2077</c:v>
                </c:pt>
                <c:pt idx="15">
                  <c:v>0.2072</c:v>
                </c:pt>
                <c:pt idx="16">
                  <c:v>0.20760000000000001</c:v>
                </c:pt>
                <c:pt idx="17">
                  <c:v>0.27639999999999998</c:v>
                </c:pt>
                <c:pt idx="18">
                  <c:v>0.21160000000000001</c:v>
                </c:pt>
                <c:pt idx="19">
                  <c:v>0.21210000000000001</c:v>
                </c:pt>
                <c:pt idx="20">
                  <c:v>0.21440000000000001</c:v>
                </c:pt>
                <c:pt idx="21">
                  <c:v>0.2165</c:v>
                </c:pt>
                <c:pt idx="22">
                  <c:v>0.2198</c:v>
                </c:pt>
                <c:pt idx="23">
                  <c:v>0.2223</c:v>
                </c:pt>
                <c:pt idx="24">
                  <c:v>0.22489999999999999</c:v>
                </c:pt>
                <c:pt idx="25">
                  <c:v>0.2296</c:v>
                </c:pt>
                <c:pt idx="26">
                  <c:v>0.30149999999999999</c:v>
                </c:pt>
                <c:pt idx="27">
                  <c:v>0.24049999999999999</c:v>
                </c:pt>
                <c:pt idx="28">
                  <c:v>0.25009999999999999</c:v>
                </c:pt>
                <c:pt idx="29">
                  <c:v>0.34570000000000001</c:v>
                </c:pt>
                <c:pt idx="30">
                  <c:v>0.28710000000000002</c:v>
                </c:pt>
                <c:pt idx="31">
                  <c:v>0.29859999999999998</c:v>
                </c:pt>
                <c:pt idx="32">
                  <c:v>0.27200000000000002</c:v>
                </c:pt>
                <c:pt idx="33">
                  <c:v>0.28179999999999999</c:v>
                </c:pt>
                <c:pt idx="34">
                  <c:v>0.29220000000000002</c:v>
                </c:pt>
                <c:pt idx="35">
                  <c:v>0.29720000000000002</c:v>
                </c:pt>
                <c:pt idx="36">
                  <c:v>0.30659999999999998</c:v>
                </c:pt>
                <c:pt idx="37">
                  <c:v>0.31890000000000002</c:v>
                </c:pt>
                <c:pt idx="38">
                  <c:v>0.33700000000000002</c:v>
                </c:pt>
                <c:pt idx="39">
                  <c:v>0.3468</c:v>
                </c:pt>
                <c:pt idx="40">
                  <c:v>0.34899999999999998</c:v>
                </c:pt>
                <c:pt idx="41">
                  <c:v>0.35849999999999999</c:v>
                </c:pt>
                <c:pt idx="42">
                  <c:v>0.36330000000000001</c:v>
                </c:pt>
                <c:pt idx="43">
                  <c:v>0.3624</c:v>
                </c:pt>
                <c:pt idx="44">
                  <c:v>0.3654</c:v>
                </c:pt>
                <c:pt idx="45">
                  <c:v>0.36830000000000002</c:v>
                </c:pt>
                <c:pt idx="46">
                  <c:v>0.37009999999999998</c:v>
                </c:pt>
                <c:pt idx="47">
                  <c:v>0.3725</c:v>
                </c:pt>
                <c:pt idx="48">
                  <c:v>0.3745</c:v>
                </c:pt>
                <c:pt idx="49">
                  <c:v>0.37380000000000002</c:v>
                </c:pt>
                <c:pt idx="50">
                  <c:v>0.37519999999999998</c:v>
                </c:pt>
                <c:pt idx="51">
                  <c:v>0.37709999999999999</c:v>
                </c:pt>
                <c:pt idx="52">
                  <c:v>0.3775</c:v>
                </c:pt>
                <c:pt idx="53">
                  <c:v>0.3785</c:v>
                </c:pt>
                <c:pt idx="54">
                  <c:v>0.37819999999999998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9B-3840-8692-8DA2081D9E97}"/>
            </c:ext>
          </c:extLst>
        </c:ser>
        <c:ser>
          <c:idx val="5"/>
          <c:order val="5"/>
          <c:tx>
            <c:strRef>
              <c:f>'Round2.raw'!$I$2</c:f>
              <c:strCache>
                <c:ptCount val="1"/>
                <c:pt idx="0">
                  <c:v>am.3_CN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'Round2.raw'!$I$3:$I$57</c:f>
              <c:numCache>
                <c:formatCode>General</c:formatCode>
                <c:ptCount val="55"/>
                <c:pt idx="0">
                  <c:v>0.2215</c:v>
                </c:pt>
                <c:pt idx="1">
                  <c:v>0.24340000000000001</c:v>
                </c:pt>
                <c:pt idx="2">
                  <c:v>0.26329999999999998</c:v>
                </c:pt>
                <c:pt idx="3">
                  <c:v>0.30959999999999999</c:v>
                </c:pt>
                <c:pt idx="4">
                  <c:v>0.35389999999999999</c:v>
                </c:pt>
                <c:pt idx="5">
                  <c:v>0.40450000000000003</c:v>
                </c:pt>
                <c:pt idx="6">
                  <c:v>0.42959999999999998</c:v>
                </c:pt>
                <c:pt idx="7">
                  <c:v>0.4632</c:v>
                </c:pt>
                <c:pt idx="8">
                  <c:v>0.4758</c:v>
                </c:pt>
                <c:pt idx="9">
                  <c:v>0.5262</c:v>
                </c:pt>
                <c:pt idx="10">
                  <c:v>0.5524</c:v>
                </c:pt>
                <c:pt idx="11">
                  <c:v>0.5806</c:v>
                </c:pt>
                <c:pt idx="12">
                  <c:v>0.58650000000000002</c:v>
                </c:pt>
                <c:pt idx="13">
                  <c:v>0.61109999999999998</c:v>
                </c:pt>
                <c:pt idx="14">
                  <c:v>0.60329999999999995</c:v>
                </c:pt>
                <c:pt idx="15">
                  <c:v>0.60919999999999996</c:v>
                </c:pt>
                <c:pt idx="16">
                  <c:v>0.60880000000000001</c:v>
                </c:pt>
                <c:pt idx="17">
                  <c:v>0.65820000000000001</c:v>
                </c:pt>
                <c:pt idx="18">
                  <c:v>0.60509999999999997</c:v>
                </c:pt>
                <c:pt idx="19">
                  <c:v>0.61419999999999997</c:v>
                </c:pt>
                <c:pt idx="20">
                  <c:v>0.63219999999999998</c:v>
                </c:pt>
                <c:pt idx="21">
                  <c:v>0.64119999999999999</c:v>
                </c:pt>
                <c:pt idx="22">
                  <c:v>0.65839999999999999</c:v>
                </c:pt>
                <c:pt idx="23">
                  <c:v>0.66010000000000002</c:v>
                </c:pt>
                <c:pt idx="24">
                  <c:v>0.65949999999999998</c:v>
                </c:pt>
                <c:pt idx="25">
                  <c:v>0.66790000000000005</c:v>
                </c:pt>
                <c:pt idx="26">
                  <c:v>0.69359999999999999</c:v>
                </c:pt>
                <c:pt idx="27">
                  <c:v>0.65510000000000002</c:v>
                </c:pt>
                <c:pt idx="28">
                  <c:v>0.67989999999999995</c:v>
                </c:pt>
                <c:pt idx="29">
                  <c:v>0.69689999999999996</c:v>
                </c:pt>
                <c:pt idx="30">
                  <c:v>0.68600000000000005</c:v>
                </c:pt>
                <c:pt idx="31">
                  <c:v>0.67610000000000003</c:v>
                </c:pt>
                <c:pt idx="32">
                  <c:v>0.67020000000000002</c:v>
                </c:pt>
                <c:pt idx="33">
                  <c:v>0.67190000000000005</c:v>
                </c:pt>
                <c:pt idx="34">
                  <c:v>0.6875</c:v>
                </c:pt>
                <c:pt idx="35">
                  <c:v>0.69420000000000004</c:v>
                </c:pt>
                <c:pt idx="36">
                  <c:v>0.70720000000000005</c:v>
                </c:pt>
                <c:pt idx="37">
                  <c:v>0.7046</c:v>
                </c:pt>
                <c:pt idx="38">
                  <c:v>0.7036</c:v>
                </c:pt>
                <c:pt idx="39">
                  <c:v>0.70799999999999996</c:v>
                </c:pt>
                <c:pt idx="40">
                  <c:v>0.70420000000000005</c:v>
                </c:pt>
                <c:pt idx="41">
                  <c:v>0.70620000000000005</c:v>
                </c:pt>
                <c:pt idx="42">
                  <c:v>0.70250000000000001</c:v>
                </c:pt>
                <c:pt idx="43">
                  <c:v>0.70509999999999995</c:v>
                </c:pt>
                <c:pt idx="44">
                  <c:v>0.70330000000000004</c:v>
                </c:pt>
                <c:pt idx="45">
                  <c:v>0.70609999999999995</c:v>
                </c:pt>
                <c:pt idx="46">
                  <c:v>0.70730000000000004</c:v>
                </c:pt>
                <c:pt idx="47">
                  <c:v>0.70579999999999998</c:v>
                </c:pt>
                <c:pt idx="48">
                  <c:v>0.69279999999999997</c:v>
                </c:pt>
                <c:pt idx="49">
                  <c:v>0.70250000000000001</c:v>
                </c:pt>
                <c:pt idx="50">
                  <c:v>0.7107</c:v>
                </c:pt>
                <c:pt idx="51">
                  <c:v>0.70299999999999996</c:v>
                </c:pt>
                <c:pt idx="52">
                  <c:v>0.70650000000000002</c:v>
                </c:pt>
                <c:pt idx="53">
                  <c:v>0.70050000000000001</c:v>
                </c:pt>
                <c:pt idx="54">
                  <c:v>0.70399999999999996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9B-3840-8692-8DA2081D9E97}"/>
            </c:ext>
          </c:extLst>
        </c:ser>
        <c:ser>
          <c:idx val="6"/>
          <c:order val="6"/>
          <c:tx>
            <c:strRef>
              <c:f>'Round2.raw'!$J$2</c:f>
              <c:strCache>
                <c:ptCount val="1"/>
                <c:pt idx="0">
                  <c:v>mz.1_CN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'Round2.raw'!$J$3:$J$57</c:f>
              <c:numCache>
                <c:formatCode>General</c:formatCode>
                <c:ptCount val="55"/>
                <c:pt idx="0">
                  <c:v>0.1613</c:v>
                </c:pt>
                <c:pt idx="1">
                  <c:v>0.15890000000000001</c:v>
                </c:pt>
                <c:pt idx="2">
                  <c:v>0.15129999999999999</c:v>
                </c:pt>
                <c:pt idx="3">
                  <c:v>0.15160000000000001</c:v>
                </c:pt>
                <c:pt idx="4">
                  <c:v>0.16189999999999999</c:v>
                </c:pt>
                <c:pt idx="5">
                  <c:v>0.14779999999999999</c:v>
                </c:pt>
                <c:pt idx="6">
                  <c:v>0.1477</c:v>
                </c:pt>
                <c:pt idx="7">
                  <c:v>0.15890000000000001</c:v>
                </c:pt>
                <c:pt idx="8">
                  <c:v>0.16320000000000001</c:v>
                </c:pt>
                <c:pt idx="9">
                  <c:v>0.16039999999999999</c:v>
                </c:pt>
                <c:pt idx="10">
                  <c:v>0.1656</c:v>
                </c:pt>
                <c:pt idx="11">
                  <c:v>0.16819999999999999</c:v>
                </c:pt>
                <c:pt idx="12">
                  <c:v>0.18110000000000001</c:v>
                </c:pt>
                <c:pt idx="13">
                  <c:v>0.1825</c:v>
                </c:pt>
                <c:pt idx="14">
                  <c:v>0.1865</c:v>
                </c:pt>
                <c:pt idx="15">
                  <c:v>0.19370000000000001</c:v>
                </c:pt>
                <c:pt idx="16">
                  <c:v>0.2009</c:v>
                </c:pt>
                <c:pt idx="17">
                  <c:v>0.2888</c:v>
                </c:pt>
                <c:pt idx="18">
                  <c:v>0.2001</c:v>
                </c:pt>
                <c:pt idx="19">
                  <c:v>0.20100000000000001</c:v>
                </c:pt>
                <c:pt idx="20">
                  <c:v>0.20499999999999999</c:v>
                </c:pt>
                <c:pt idx="21">
                  <c:v>0.2072</c:v>
                </c:pt>
                <c:pt idx="22">
                  <c:v>0.2094</c:v>
                </c:pt>
                <c:pt idx="23">
                  <c:v>0.21099999999999999</c:v>
                </c:pt>
                <c:pt idx="24">
                  <c:v>0.2114</c:v>
                </c:pt>
                <c:pt idx="25">
                  <c:v>0.21240000000000001</c:v>
                </c:pt>
                <c:pt idx="26">
                  <c:v>0.27410000000000001</c:v>
                </c:pt>
                <c:pt idx="27">
                  <c:v>0.22009999999999999</c:v>
                </c:pt>
                <c:pt idx="28">
                  <c:v>0.22700000000000001</c:v>
                </c:pt>
                <c:pt idx="29">
                  <c:v>0.28039999999999998</c:v>
                </c:pt>
                <c:pt idx="30">
                  <c:v>0.24199999999999999</c:v>
                </c:pt>
                <c:pt idx="31">
                  <c:v>0.24149999999999999</c:v>
                </c:pt>
                <c:pt idx="32">
                  <c:v>0.2379</c:v>
                </c:pt>
                <c:pt idx="33">
                  <c:v>0.23880000000000001</c:v>
                </c:pt>
                <c:pt idx="34">
                  <c:v>0.23730000000000001</c:v>
                </c:pt>
                <c:pt idx="35">
                  <c:v>0.23599999999999999</c:v>
                </c:pt>
                <c:pt idx="36">
                  <c:v>0.23580000000000001</c:v>
                </c:pt>
                <c:pt idx="37">
                  <c:v>0.2356</c:v>
                </c:pt>
                <c:pt idx="38">
                  <c:v>0.23480000000000001</c:v>
                </c:pt>
                <c:pt idx="39">
                  <c:v>0.2336</c:v>
                </c:pt>
                <c:pt idx="40">
                  <c:v>0.23350000000000001</c:v>
                </c:pt>
                <c:pt idx="41">
                  <c:v>0.23280000000000001</c:v>
                </c:pt>
                <c:pt idx="42">
                  <c:v>0.23269999999999999</c:v>
                </c:pt>
                <c:pt idx="43">
                  <c:v>0.2319</c:v>
                </c:pt>
                <c:pt idx="44">
                  <c:v>0.23319999999999999</c:v>
                </c:pt>
                <c:pt idx="45">
                  <c:v>0.2331</c:v>
                </c:pt>
                <c:pt idx="46">
                  <c:v>0.23350000000000001</c:v>
                </c:pt>
                <c:pt idx="47">
                  <c:v>0.2344</c:v>
                </c:pt>
                <c:pt idx="48">
                  <c:v>0.23569999999999999</c:v>
                </c:pt>
                <c:pt idx="49">
                  <c:v>0.23760000000000001</c:v>
                </c:pt>
                <c:pt idx="50">
                  <c:v>0.23749999999999999</c:v>
                </c:pt>
                <c:pt idx="51">
                  <c:v>0.2384</c:v>
                </c:pt>
                <c:pt idx="52">
                  <c:v>0.2387</c:v>
                </c:pt>
                <c:pt idx="53">
                  <c:v>0.23980000000000001</c:v>
                </c:pt>
                <c:pt idx="54">
                  <c:v>0.24060000000000001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9B-3840-8692-8DA2081D9E97}"/>
            </c:ext>
          </c:extLst>
        </c:ser>
        <c:ser>
          <c:idx val="7"/>
          <c:order val="7"/>
          <c:tx>
            <c:strRef>
              <c:f>'Round2.raw'!$K$2</c:f>
              <c:strCache>
                <c:ptCount val="1"/>
                <c:pt idx="0">
                  <c:v>mz.2_CN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'Round2.raw'!$K$3:$K$57</c:f>
              <c:numCache>
                <c:formatCode>General</c:formatCode>
                <c:ptCount val="55"/>
                <c:pt idx="0">
                  <c:v>0.22600000000000001</c:v>
                </c:pt>
                <c:pt idx="1">
                  <c:v>0.24840000000000001</c:v>
                </c:pt>
                <c:pt idx="2">
                  <c:v>0.26829999999999998</c:v>
                </c:pt>
                <c:pt idx="3">
                  <c:v>0.28489999999999999</c:v>
                </c:pt>
                <c:pt idx="4">
                  <c:v>0.30449999999999999</c:v>
                </c:pt>
                <c:pt idx="5">
                  <c:v>0.317</c:v>
                </c:pt>
                <c:pt idx="6">
                  <c:v>0.32940000000000003</c:v>
                </c:pt>
                <c:pt idx="7">
                  <c:v>0.33739999999999998</c:v>
                </c:pt>
                <c:pt idx="8">
                  <c:v>0.34489999999999998</c:v>
                </c:pt>
                <c:pt idx="9">
                  <c:v>0.34939999999999999</c:v>
                </c:pt>
                <c:pt idx="10">
                  <c:v>0.35310000000000002</c:v>
                </c:pt>
                <c:pt idx="11">
                  <c:v>0.35680000000000001</c:v>
                </c:pt>
                <c:pt idx="12">
                  <c:v>0.35930000000000001</c:v>
                </c:pt>
                <c:pt idx="13">
                  <c:v>0.36049999999999999</c:v>
                </c:pt>
                <c:pt idx="14">
                  <c:v>0.36470000000000002</c:v>
                </c:pt>
                <c:pt idx="15">
                  <c:v>0.37280000000000002</c:v>
                </c:pt>
                <c:pt idx="16">
                  <c:v>0.3755</c:v>
                </c:pt>
                <c:pt idx="17">
                  <c:v>0.48970000000000002</c:v>
                </c:pt>
                <c:pt idx="18">
                  <c:v>0.38790000000000002</c:v>
                </c:pt>
                <c:pt idx="19">
                  <c:v>0.3921</c:v>
                </c:pt>
                <c:pt idx="20">
                  <c:v>0.39610000000000001</c:v>
                </c:pt>
                <c:pt idx="21">
                  <c:v>0.40150000000000002</c:v>
                </c:pt>
                <c:pt idx="22">
                  <c:v>0.40749999999999997</c:v>
                </c:pt>
                <c:pt idx="23">
                  <c:v>0.4128</c:v>
                </c:pt>
                <c:pt idx="24">
                  <c:v>0.41949999999999998</c:v>
                </c:pt>
                <c:pt idx="25">
                  <c:v>0.42549999999999999</c:v>
                </c:pt>
                <c:pt idx="26">
                  <c:v>0.52259999999999995</c:v>
                </c:pt>
                <c:pt idx="27">
                  <c:v>0.42980000000000002</c:v>
                </c:pt>
                <c:pt idx="28">
                  <c:v>0.4375</c:v>
                </c:pt>
                <c:pt idx="29">
                  <c:v>0.50819999999999999</c:v>
                </c:pt>
                <c:pt idx="30">
                  <c:v>0.44629999999999997</c:v>
                </c:pt>
                <c:pt idx="31">
                  <c:v>0.45190000000000002</c:v>
                </c:pt>
                <c:pt idx="32">
                  <c:v>0.43809999999999999</c:v>
                </c:pt>
                <c:pt idx="33">
                  <c:v>0.44550000000000001</c:v>
                </c:pt>
                <c:pt idx="34">
                  <c:v>0.45190000000000002</c:v>
                </c:pt>
                <c:pt idx="35">
                  <c:v>0.4531</c:v>
                </c:pt>
                <c:pt idx="36">
                  <c:v>0.45639999999999997</c:v>
                </c:pt>
                <c:pt idx="37">
                  <c:v>0.4582</c:v>
                </c:pt>
                <c:pt idx="38">
                  <c:v>0.45800000000000002</c:v>
                </c:pt>
                <c:pt idx="39">
                  <c:v>0.45739999999999997</c:v>
                </c:pt>
                <c:pt idx="40">
                  <c:v>0.45650000000000002</c:v>
                </c:pt>
                <c:pt idx="41">
                  <c:v>0.45679999999999998</c:v>
                </c:pt>
                <c:pt idx="42">
                  <c:v>0.45729999999999998</c:v>
                </c:pt>
                <c:pt idx="43">
                  <c:v>0.45829999999999999</c:v>
                </c:pt>
                <c:pt idx="44">
                  <c:v>0.4602</c:v>
                </c:pt>
                <c:pt idx="45">
                  <c:v>0.4637</c:v>
                </c:pt>
                <c:pt idx="46">
                  <c:v>0.46700000000000003</c:v>
                </c:pt>
                <c:pt idx="47">
                  <c:v>0.46889999999999998</c:v>
                </c:pt>
                <c:pt idx="48">
                  <c:v>0.47060000000000002</c:v>
                </c:pt>
                <c:pt idx="49">
                  <c:v>0.47170000000000001</c:v>
                </c:pt>
                <c:pt idx="50">
                  <c:v>0.47189999999999999</c:v>
                </c:pt>
                <c:pt idx="51">
                  <c:v>0.4713</c:v>
                </c:pt>
                <c:pt idx="52">
                  <c:v>0.47160000000000002</c:v>
                </c:pt>
                <c:pt idx="53">
                  <c:v>0.4718</c:v>
                </c:pt>
                <c:pt idx="54">
                  <c:v>0.47189999999999999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9B-3840-8692-8DA2081D9E97}"/>
            </c:ext>
          </c:extLst>
        </c:ser>
        <c:ser>
          <c:idx val="8"/>
          <c:order val="8"/>
          <c:tx>
            <c:strRef>
              <c:f>'Round2.raw'!$L$2</c:f>
              <c:strCache>
                <c:ptCount val="1"/>
                <c:pt idx="0">
                  <c:v>mz.3_CN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'Round2.raw'!$L$3:$L$57</c:f>
              <c:numCache>
                <c:formatCode>General</c:formatCode>
                <c:ptCount val="55"/>
                <c:pt idx="0">
                  <c:v>0.22409999999999999</c:v>
                </c:pt>
                <c:pt idx="1">
                  <c:v>0.2409</c:v>
                </c:pt>
                <c:pt idx="2">
                  <c:v>0.26590000000000003</c:v>
                </c:pt>
                <c:pt idx="3">
                  <c:v>0.2823</c:v>
                </c:pt>
                <c:pt idx="4">
                  <c:v>0.29970000000000002</c:v>
                </c:pt>
                <c:pt idx="5">
                  <c:v>0.30709999999999998</c:v>
                </c:pt>
                <c:pt idx="6">
                  <c:v>0.32190000000000002</c:v>
                </c:pt>
                <c:pt idx="7">
                  <c:v>0.34410000000000002</c:v>
                </c:pt>
                <c:pt idx="8">
                  <c:v>0.35670000000000002</c:v>
                </c:pt>
                <c:pt idx="9">
                  <c:v>0.36780000000000002</c:v>
                </c:pt>
                <c:pt idx="10">
                  <c:v>0.3841</c:v>
                </c:pt>
                <c:pt idx="11">
                  <c:v>0.39450000000000002</c:v>
                </c:pt>
                <c:pt idx="12">
                  <c:v>0.4027</c:v>
                </c:pt>
                <c:pt idx="13">
                  <c:v>0.40839999999999999</c:v>
                </c:pt>
                <c:pt idx="14">
                  <c:v>0.41370000000000001</c:v>
                </c:pt>
                <c:pt idx="15">
                  <c:v>0.41849999999999998</c:v>
                </c:pt>
                <c:pt idx="16">
                  <c:v>0.42330000000000001</c:v>
                </c:pt>
                <c:pt idx="17">
                  <c:v>0.53469999999999995</c:v>
                </c:pt>
                <c:pt idx="18">
                  <c:v>0.43559999999999999</c:v>
                </c:pt>
                <c:pt idx="19">
                  <c:v>0.43230000000000002</c:v>
                </c:pt>
                <c:pt idx="20">
                  <c:v>0.43369999999999997</c:v>
                </c:pt>
                <c:pt idx="21">
                  <c:v>0.43730000000000002</c:v>
                </c:pt>
                <c:pt idx="22">
                  <c:v>0.43890000000000001</c:v>
                </c:pt>
                <c:pt idx="23">
                  <c:v>0.44090000000000001</c:v>
                </c:pt>
                <c:pt idx="24">
                  <c:v>0.44309999999999999</c:v>
                </c:pt>
                <c:pt idx="25">
                  <c:v>0.4446</c:v>
                </c:pt>
                <c:pt idx="26">
                  <c:v>0.52310000000000001</c:v>
                </c:pt>
                <c:pt idx="27">
                  <c:v>0.44929999999999998</c:v>
                </c:pt>
                <c:pt idx="28">
                  <c:v>0.47639999999999999</c:v>
                </c:pt>
                <c:pt idx="29">
                  <c:v>0.57489999999999997</c:v>
                </c:pt>
                <c:pt idx="30">
                  <c:v>0.48099999999999998</c:v>
                </c:pt>
                <c:pt idx="31">
                  <c:v>0.50139999999999996</c:v>
                </c:pt>
                <c:pt idx="32">
                  <c:v>0.45950000000000002</c:v>
                </c:pt>
                <c:pt idx="33">
                  <c:v>0.4647</c:v>
                </c:pt>
                <c:pt idx="34">
                  <c:v>0.46939999999999998</c:v>
                </c:pt>
                <c:pt idx="35">
                  <c:v>0.46860000000000002</c:v>
                </c:pt>
                <c:pt idx="36">
                  <c:v>0.46810000000000002</c:v>
                </c:pt>
                <c:pt idx="37">
                  <c:v>0.46879999999999999</c:v>
                </c:pt>
                <c:pt idx="38">
                  <c:v>0.47049999999999997</c:v>
                </c:pt>
                <c:pt idx="39">
                  <c:v>0.47320000000000001</c:v>
                </c:pt>
                <c:pt idx="40">
                  <c:v>0.4763</c:v>
                </c:pt>
                <c:pt idx="41">
                  <c:v>0.48170000000000002</c:v>
                </c:pt>
                <c:pt idx="42">
                  <c:v>0.4879</c:v>
                </c:pt>
                <c:pt idx="43">
                  <c:v>0.49509999999999998</c:v>
                </c:pt>
                <c:pt idx="44">
                  <c:v>0.50280000000000002</c:v>
                </c:pt>
                <c:pt idx="45">
                  <c:v>0.50949999999999995</c:v>
                </c:pt>
                <c:pt idx="46">
                  <c:v>0.51670000000000005</c:v>
                </c:pt>
                <c:pt idx="47">
                  <c:v>0.52180000000000004</c:v>
                </c:pt>
                <c:pt idx="48">
                  <c:v>0.52890000000000004</c:v>
                </c:pt>
                <c:pt idx="49">
                  <c:v>0.53539999999999999</c:v>
                </c:pt>
                <c:pt idx="50">
                  <c:v>0.53800000000000003</c:v>
                </c:pt>
                <c:pt idx="51">
                  <c:v>0.53720000000000001</c:v>
                </c:pt>
                <c:pt idx="52">
                  <c:v>0.53339999999999999</c:v>
                </c:pt>
                <c:pt idx="53">
                  <c:v>0.53080000000000005</c:v>
                </c:pt>
                <c:pt idx="54">
                  <c:v>0.52810000000000001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9B-3840-8692-8DA2081D9E97}"/>
            </c:ext>
          </c:extLst>
        </c:ser>
        <c:ser>
          <c:idx val="9"/>
          <c:order val="9"/>
          <c:tx>
            <c:strRef>
              <c:f>'Round2.raw'!$P$2</c:f>
              <c:strCache>
                <c:ptCount val="1"/>
                <c:pt idx="0">
                  <c:v>pd.1_TSB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'Round2.raw'!$P$3:$P$57</c:f>
              <c:numCache>
                <c:formatCode>General</c:formatCode>
                <c:ptCount val="55"/>
                <c:pt idx="0">
                  <c:v>0.19889999999999999</c:v>
                </c:pt>
                <c:pt idx="1">
                  <c:v>0.2152</c:v>
                </c:pt>
                <c:pt idx="2">
                  <c:v>0.22750000000000001</c:v>
                </c:pt>
                <c:pt idx="3">
                  <c:v>0.25240000000000001</c:v>
                </c:pt>
                <c:pt idx="4">
                  <c:v>0.26379999999999998</c:v>
                </c:pt>
                <c:pt idx="5">
                  <c:v>0.28299999999999997</c:v>
                </c:pt>
                <c:pt idx="6">
                  <c:v>0.2989</c:v>
                </c:pt>
                <c:pt idx="7">
                  <c:v>0.31709999999999999</c:v>
                </c:pt>
                <c:pt idx="8">
                  <c:v>0.3362</c:v>
                </c:pt>
                <c:pt idx="9">
                  <c:v>0.34899999999999998</c:v>
                </c:pt>
                <c:pt idx="10">
                  <c:v>0.36849999999999999</c:v>
                </c:pt>
                <c:pt idx="11">
                  <c:v>0.38769999999999999</c:v>
                </c:pt>
                <c:pt idx="12">
                  <c:v>0.40679999999999999</c:v>
                </c:pt>
                <c:pt idx="13">
                  <c:v>0.41949999999999998</c:v>
                </c:pt>
                <c:pt idx="14">
                  <c:v>0.44519999999999998</c:v>
                </c:pt>
                <c:pt idx="15">
                  <c:v>0.4718</c:v>
                </c:pt>
                <c:pt idx="16">
                  <c:v>0.49859999999999999</c:v>
                </c:pt>
                <c:pt idx="17">
                  <c:v>0.52039999999999997</c:v>
                </c:pt>
                <c:pt idx="18">
                  <c:v>0.53700000000000003</c:v>
                </c:pt>
                <c:pt idx="19">
                  <c:v>0.55859999999999999</c:v>
                </c:pt>
                <c:pt idx="20">
                  <c:v>0.59130000000000005</c:v>
                </c:pt>
                <c:pt idx="21">
                  <c:v>0.61140000000000005</c:v>
                </c:pt>
                <c:pt idx="22">
                  <c:v>0.64449999999999996</c:v>
                </c:pt>
                <c:pt idx="23">
                  <c:v>0.66800000000000004</c:v>
                </c:pt>
                <c:pt idx="24">
                  <c:v>0.69630000000000003</c:v>
                </c:pt>
                <c:pt idx="25">
                  <c:v>0.72560000000000002</c:v>
                </c:pt>
                <c:pt idx="26">
                  <c:v>0.76600000000000001</c:v>
                </c:pt>
                <c:pt idx="27">
                  <c:v>0.78069999999999995</c:v>
                </c:pt>
                <c:pt idx="28">
                  <c:v>0.81889999999999996</c:v>
                </c:pt>
                <c:pt idx="29">
                  <c:v>0.83919999999999995</c:v>
                </c:pt>
                <c:pt idx="30">
                  <c:v>0.879</c:v>
                </c:pt>
                <c:pt idx="31">
                  <c:v>0.89980000000000004</c:v>
                </c:pt>
                <c:pt idx="32">
                  <c:v>0.8962</c:v>
                </c:pt>
                <c:pt idx="33">
                  <c:v>0.93159999999999998</c:v>
                </c:pt>
                <c:pt idx="34">
                  <c:v>0.9778</c:v>
                </c:pt>
                <c:pt idx="35">
                  <c:v>1.0165</c:v>
                </c:pt>
                <c:pt idx="36">
                  <c:v>1.0452999999999999</c:v>
                </c:pt>
                <c:pt idx="37">
                  <c:v>1.0857000000000001</c:v>
                </c:pt>
                <c:pt idx="38">
                  <c:v>1.1178999999999999</c:v>
                </c:pt>
                <c:pt idx="39">
                  <c:v>1.1549</c:v>
                </c:pt>
                <c:pt idx="40">
                  <c:v>1.1773</c:v>
                </c:pt>
                <c:pt idx="41">
                  <c:v>1.2119</c:v>
                </c:pt>
                <c:pt idx="42">
                  <c:v>1.2379</c:v>
                </c:pt>
                <c:pt idx="43">
                  <c:v>1.2639</c:v>
                </c:pt>
                <c:pt idx="44">
                  <c:v>1.2869999999999999</c:v>
                </c:pt>
                <c:pt idx="45">
                  <c:v>1.3099000000000001</c:v>
                </c:pt>
                <c:pt idx="46">
                  <c:v>1.3351999999999999</c:v>
                </c:pt>
                <c:pt idx="47">
                  <c:v>1.3595999999999999</c:v>
                </c:pt>
                <c:pt idx="48">
                  <c:v>1.3784000000000001</c:v>
                </c:pt>
                <c:pt idx="49">
                  <c:v>1.3992</c:v>
                </c:pt>
                <c:pt idx="50">
                  <c:v>1.4173</c:v>
                </c:pt>
                <c:pt idx="51">
                  <c:v>1.4354</c:v>
                </c:pt>
                <c:pt idx="52">
                  <c:v>1.4547000000000001</c:v>
                </c:pt>
                <c:pt idx="53">
                  <c:v>1.4614</c:v>
                </c:pt>
                <c:pt idx="54">
                  <c:v>1.4872000000000001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9B-3840-8692-8DA2081D9E97}"/>
            </c:ext>
          </c:extLst>
        </c:ser>
        <c:ser>
          <c:idx val="10"/>
          <c:order val="10"/>
          <c:tx>
            <c:strRef>
              <c:f>'Round2.raw'!$Q$2</c:f>
              <c:strCache>
                <c:ptCount val="1"/>
                <c:pt idx="0">
                  <c:v>pd.2_TSB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'Round2.raw'!$Q$3:$Q$57</c:f>
              <c:numCache>
                <c:formatCode>General</c:formatCode>
                <c:ptCount val="55"/>
                <c:pt idx="0">
                  <c:v>0.20899999999999999</c:v>
                </c:pt>
                <c:pt idx="1">
                  <c:v>0.23</c:v>
                </c:pt>
                <c:pt idx="2">
                  <c:v>0.2442</c:v>
                </c:pt>
                <c:pt idx="3">
                  <c:v>0.25740000000000002</c:v>
                </c:pt>
                <c:pt idx="4">
                  <c:v>0.27060000000000001</c:v>
                </c:pt>
                <c:pt idx="5">
                  <c:v>0.28570000000000001</c:v>
                </c:pt>
                <c:pt idx="6">
                  <c:v>0.30170000000000002</c:v>
                </c:pt>
                <c:pt idx="7">
                  <c:v>0.31719999999999998</c:v>
                </c:pt>
                <c:pt idx="8">
                  <c:v>0.33289999999999997</c:v>
                </c:pt>
                <c:pt idx="9">
                  <c:v>0.35170000000000001</c:v>
                </c:pt>
                <c:pt idx="10">
                  <c:v>0.37340000000000001</c:v>
                </c:pt>
                <c:pt idx="11">
                  <c:v>0.38900000000000001</c:v>
                </c:pt>
                <c:pt idx="12">
                  <c:v>0.4113</c:v>
                </c:pt>
                <c:pt idx="13">
                  <c:v>0.43440000000000001</c:v>
                </c:pt>
                <c:pt idx="14">
                  <c:v>0.4617</c:v>
                </c:pt>
                <c:pt idx="15">
                  <c:v>0.49440000000000001</c:v>
                </c:pt>
                <c:pt idx="16">
                  <c:v>0.53090000000000004</c:v>
                </c:pt>
                <c:pt idx="17">
                  <c:v>0.64570000000000005</c:v>
                </c:pt>
                <c:pt idx="18">
                  <c:v>0.56059999999999999</c:v>
                </c:pt>
                <c:pt idx="19">
                  <c:v>0.58350000000000002</c:v>
                </c:pt>
                <c:pt idx="20">
                  <c:v>0.59989999999999999</c:v>
                </c:pt>
                <c:pt idx="21">
                  <c:v>0.6169</c:v>
                </c:pt>
                <c:pt idx="22">
                  <c:v>0.6381</c:v>
                </c:pt>
                <c:pt idx="23">
                  <c:v>0.65449999999999997</c:v>
                </c:pt>
                <c:pt idx="24">
                  <c:v>0.67300000000000004</c:v>
                </c:pt>
                <c:pt idx="25">
                  <c:v>0.69120000000000004</c:v>
                </c:pt>
                <c:pt idx="26">
                  <c:v>0.83199999999999996</c:v>
                </c:pt>
                <c:pt idx="27">
                  <c:v>0.73839999999999995</c:v>
                </c:pt>
                <c:pt idx="28">
                  <c:v>0.80049999999999999</c:v>
                </c:pt>
                <c:pt idx="29">
                  <c:v>0.91830000000000001</c:v>
                </c:pt>
                <c:pt idx="30">
                  <c:v>0.81210000000000004</c:v>
                </c:pt>
                <c:pt idx="31">
                  <c:v>0.87309999999999999</c:v>
                </c:pt>
                <c:pt idx="32">
                  <c:v>0.82410000000000005</c:v>
                </c:pt>
                <c:pt idx="33">
                  <c:v>0.84119999999999995</c:v>
                </c:pt>
                <c:pt idx="34">
                  <c:v>0.86160000000000003</c:v>
                </c:pt>
                <c:pt idx="35">
                  <c:v>0.87939999999999996</c:v>
                </c:pt>
                <c:pt idx="36">
                  <c:v>0.89680000000000004</c:v>
                </c:pt>
                <c:pt idx="37">
                  <c:v>0.91749999999999998</c:v>
                </c:pt>
                <c:pt idx="38">
                  <c:v>0.93779999999999997</c:v>
                </c:pt>
                <c:pt idx="39">
                  <c:v>0.95750000000000002</c:v>
                </c:pt>
                <c:pt idx="40">
                  <c:v>0.97819999999999996</c:v>
                </c:pt>
                <c:pt idx="41">
                  <c:v>0.99770000000000003</c:v>
                </c:pt>
                <c:pt idx="42">
                  <c:v>1.0176000000000001</c:v>
                </c:pt>
                <c:pt idx="43">
                  <c:v>1.0382</c:v>
                </c:pt>
                <c:pt idx="44">
                  <c:v>1.0562</c:v>
                </c:pt>
                <c:pt idx="45">
                  <c:v>1.0737000000000001</c:v>
                </c:pt>
                <c:pt idx="46">
                  <c:v>1.0928</c:v>
                </c:pt>
                <c:pt idx="47">
                  <c:v>1.1108</c:v>
                </c:pt>
                <c:pt idx="48">
                  <c:v>1.1271</c:v>
                </c:pt>
                <c:pt idx="49">
                  <c:v>1.1466000000000001</c:v>
                </c:pt>
                <c:pt idx="50">
                  <c:v>1.1627000000000001</c:v>
                </c:pt>
                <c:pt idx="51">
                  <c:v>1.1755</c:v>
                </c:pt>
                <c:pt idx="52">
                  <c:v>1.1918</c:v>
                </c:pt>
                <c:pt idx="53">
                  <c:v>1.208</c:v>
                </c:pt>
                <c:pt idx="54">
                  <c:v>1.2226999999999999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A9B-3840-8692-8DA2081D9E97}"/>
            </c:ext>
          </c:extLst>
        </c:ser>
        <c:ser>
          <c:idx val="11"/>
          <c:order val="11"/>
          <c:tx>
            <c:strRef>
              <c:f>'Round2.raw'!$R$2</c:f>
              <c:strCache>
                <c:ptCount val="1"/>
                <c:pt idx="0">
                  <c:v>pd.3_TSB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'Round2.raw'!$R$3:$R$57</c:f>
              <c:numCache>
                <c:formatCode>General</c:formatCode>
                <c:ptCount val="55"/>
                <c:pt idx="0">
                  <c:v>0.2114</c:v>
                </c:pt>
                <c:pt idx="1">
                  <c:v>0.23230000000000001</c:v>
                </c:pt>
                <c:pt idx="2">
                  <c:v>0.25190000000000001</c:v>
                </c:pt>
                <c:pt idx="3">
                  <c:v>0.27539999999999998</c:v>
                </c:pt>
                <c:pt idx="4">
                  <c:v>0.28939999999999999</c:v>
                </c:pt>
                <c:pt idx="5">
                  <c:v>0.30680000000000002</c:v>
                </c:pt>
                <c:pt idx="6">
                  <c:v>0.3241</c:v>
                </c:pt>
                <c:pt idx="7">
                  <c:v>0.3427</c:v>
                </c:pt>
                <c:pt idx="8">
                  <c:v>0.36170000000000002</c:v>
                </c:pt>
                <c:pt idx="9">
                  <c:v>0.38269999999999998</c:v>
                </c:pt>
                <c:pt idx="10">
                  <c:v>0.40600000000000003</c:v>
                </c:pt>
                <c:pt idx="11">
                  <c:v>0.42620000000000002</c:v>
                </c:pt>
                <c:pt idx="12">
                  <c:v>0.44840000000000002</c:v>
                </c:pt>
                <c:pt idx="13">
                  <c:v>0.47220000000000001</c:v>
                </c:pt>
                <c:pt idx="14">
                  <c:v>0.49880000000000002</c:v>
                </c:pt>
                <c:pt idx="15">
                  <c:v>0.52839999999999998</c:v>
                </c:pt>
                <c:pt idx="16">
                  <c:v>0.56120000000000003</c:v>
                </c:pt>
                <c:pt idx="17">
                  <c:v>0.6996</c:v>
                </c:pt>
                <c:pt idx="18">
                  <c:v>0.60960000000000003</c:v>
                </c:pt>
                <c:pt idx="19">
                  <c:v>0.62450000000000006</c:v>
                </c:pt>
                <c:pt idx="20">
                  <c:v>0.65429999999999999</c:v>
                </c:pt>
                <c:pt idx="21">
                  <c:v>0.6774</c:v>
                </c:pt>
                <c:pt idx="22">
                  <c:v>0.6966</c:v>
                </c:pt>
                <c:pt idx="23">
                  <c:v>0.71699999999999997</c:v>
                </c:pt>
                <c:pt idx="24">
                  <c:v>0.73640000000000005</c:v>
                </c:pt>
                <c:pt idx="25">
                  <c:v>0.75929999999999997</c:v>
                </c:pt>
                <c:pt idx="26">
                  <c:v>0.90159999999999996</c:v>
                </c:pt>
                <c:pt idx="27">
                  <c:v>0.80079999999999996</c:v>
                </c:pt>
                <c:pt idx="28">
                  <c:v>0.87109999999999999</c:v>
                </c:pt>
                <c:pt idx="29">
                  <c:v>0.99670000000000003</c:v>
                </c:pt>
                <c:pt idx="30">
                  <c:v>0.89890000000000003</c:v>
                </c:pt>
                <c:pt idx="31">
                  <c:v>0.95140000000000002</c:v>
                </c:pt>
                <c:pt idx="32">
                  <c:v>0.8901</c:v>
                </c:pt>
                <c:pt idx="33">
                  <c:v>0.90990000000000004</c:v>
                </c:pt>
                <c:pt idx="34">
                  <c:v>0.93189999999999995</c:v>
                </c:pt>
                <c:pt idx="35">
                  <c:v>0.95189999999999997</c:v>
                </c:pt>
                <c:pt idx="36">
                  <c:v>0.97299999999999998</c:v>
                </c:pt>
                <c:pt idx="37">
                  <c:v>0.99129999999999996</c:v>
                </c:pt>
                <c:pt idx="38">
                  <c:v>1.0076000000000001</c:v>
                </c:pt>
                <c:pt idx="39">
                  <c:v>1.0288999999999999</c:v>
                </c:pt>
                <c:pt idx="40">
                  <c:v>1.0476000000000001</c:v>
                </c:pt>
                <c:pt idx="41">
                  <c:v>1.0679000000000001</c:v>
                </c:pt>
                <c:pt idx="42">
                  <c:v>1.0847</c:v>
                </c:pt>
                <c:pt idx="43">
                  <c:v>1.1029</c:v>
                </c:pt>
                <c:pt idx="44">
                  <c:v>1.1215999999999999</c:v>
                </c:pt>
                <c:pt idx="45">
                  <c:v>1.1403000000000001</c:v>
                </c:pt>
                <c:pt idx="46">
                  <c:v>1.1574</c:v>
                </c:pt>
                <c:pt idx="47">
                  <c:v>1.1748000000000001</c:v>
                </c:pt>
                <c:pt idx="48">
                  <c:v>1.1915</c:v>
                </c:pt>
                <c:pt idx="49">
                  <c:v>1.2093</c:v>
                </c:pt>
                <c:pt idx="50">
                  <c:v>1.2235</c:v>
                </c:pt>
                <c:pt idx="51">
                  <c:v>1.2366999999999999</c:v>
                </c:pt>
                <c:pt idx="52">
                  <c:v>1.2531000000000001</c:v>
                </c:pt>
                <c:pt idx="53">
                  <c:v>1.2674000000000001</c:v>
                </c:pt>
                <c:pt idx="54">
                  <c:v>1.2854000000000001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A9B-3840-8692-8DA2081D9E97}"/>
            </c:ext>
          </c:extLst>
        </c:ser>
        <c:ser>
          <c:idx val="12"/>
          <c:order val="12"/>
          <c:tx>
            <c:strRef>
              <c:f>'Round2.raw'!$S$2</c:f>
              <c:strCache>
                <c:ptCount val="1"/>
                <c:pt idx="0">
                  <c:v>am.1_TSB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'Round2.raw'!$S$3:$S$57</c:f>
              <c:numCache>
                <c:formatCode>General</c:formatCode>
                <c:ptCount val="55"/>
                <c:pt idx="0">
                  <c:v>0.1439</c:v>
                </c:pt>
                <c:pt idx="1">
                  <c:v>0.17199999999999999</c:v>
                </c:pt>
                <c:pt idx="2">
                  <c:v>0.1817</c:v>
                </c:pt>
                <c:pt idx="3">
                  <c:v>0.2049</c:v>
                </c:pt>
                <c:pt idx="4">
                  <c:v>0.23630000000000001</c:v>
                </c:pt>
                <c:pt idx="5">
                  <c:v>0.27429999999999999</c:v>
                </c:pt>
                <c:pt idx="6">
                  <c:v>0.30969999999999998</c:v>
                </c:pt>
                <c:pt idx="7">
                  <c:v>0.35849999999999999</c:v>
                </c:pt>
                <c:pt idx="8">
                  <c:v>0.40029999999999999</c:v>
                </c:pt>
                <c:pt idx="9">
                  <c:v>0.45340000000000003</c:v>
                </c:pt>
                <c:pt idx="10">
                  <c:v>0.4859</c:v>
                </c:pt>
                <c:pt idx="11">
                  <c:v>0.54039999999999999</c:v>
                </c:pt>
                <c:pt idx="12">
                  <c:v>0.57340000000000002</c:v>
                </c:pt>
                <c:pt idx="13">
                  <c:v>0.6129</c:v>
                </c:pt>
                <c:pt idx="14">
                  <c:v>0.64839999999999998</c:v>
                </c:pt>
                <c:pt idx="15">
                  <c:v>0.70989999999999998</c:v>
                </c:pt>
                <c:pt idx="16">
                  <c:v>0.7429</c:v>
                </c:pt>
                <c:pt idx="17">
                  <c:v>0.8095</c:v>
                </c:pt>
                <c:pt idx="18">
                  <c:v>0.74809999999999999</c:v>
                </c:pt>
                <c:pt idx="19">
                  <c:v>0.77459999999999996</c:v>
                </c:pt>
                <c:pt idx="20">
                  <c:v>0.7843</c:v>
                </c:pt>
                <c:pt idx="21">
                  <c:v>0.79600000000000004</c:v>
                </c:pt>
                <c:pt idx="22">
                  <c:v>0.8125</c:v>
                </c:pt>
                <c:pt idx="23">
                  <c:v>0.83599999999999997</c:v>
                </c:pt>
                <c:pt idx="24">
                  <c:v>0.86070000000000002</c:v>
                </c:pt>
                <c:pt idx="25">
                  <c:v>0.88239999999999996</c:v>
                </c:pt>
                <c:pt idx="26">
                  <c:v>0.995</c:v>
                </c:pt>
                <c:pt idx="27">
                  <c:v>0.93520000000000003</c:v>
                </c:pt>
                <c:pt idx="28">
                  <c:v>0.96899999999999997</c:v>
                </c:pt>
                <c:pt idx="29">
                  <c:v>1.0605</c:v>
                </c:pt>
                <c:pt idx="30">
                  <c:v>0.98719999999999997</c:v>
                </c:pt>
                <c:pt idx="31">
                  <c:v>1.0417000000000001</c:v>
                </c:pt>
                <c:pt idx="32">
                  <c:v>1.0349999999999999</c:v>
                </c:pt>
                <c:pt idx="33">
                  <c:v>1.0589</c:v>
                </c:pt>
                <c:pt idx="34">
                  <c:v>1.0762</c:v>
                </c:pt>
                <c:pt idx="35">
                  <c:v>1.1063000000000001</c:v>
                </c:pt>
                <c:pt idx="36">
                  <c:v>1.1358999999999999</c:v>
                </c:pt>
                <c:pt idx="37">
                  <c:v>1.1719999999999999</c:v>
                </c:pt>
                <c:pt idx="38">
                  <c:v>1.2059</c:v>
                </c:pt>
                <c:pt idx="39">
                  <c:v>1.2311000000000001</c:v>
                </c:pt>
                <c:pt idx="40">
                  <c:v>1.2548999999999999</c:v>
                </c:pt>
                <c:pt idx="41">
                  <c:v>1.3320000000000001</c:v>
                </c:pt>
                <c:pt idx="42">
                  <c:v>1.3613999999999999</c:v>
                </c:pt>
                <c:pt idx="43">
                  <c:v>1.3847</c:v>
                </c:pt>
                <c:pt idx="44">
                  <c:v>1.3978999999999999</c:v>
                </c:pt>
                <c:pt idx="45">
                  <c:v>1.4145000000000001</c:v>
                </c:pt>
                <c:pt idx="46">
                  <c:v>1.4346000000000001</c:v>
                </c:pt>
                <c:pt idx="47">
                  <c:v>1.4553</c:v>
                </c:pt>
                <c:pt idx="48">
                  <c:v>1.4755</c:v>
                </c:pt>
                <c:pt idx="49">
                  <c:v>1.4970000000000001</c:v>
                </c:pt>
                <c:pt idx="50">
                  <c:v>1.5155000000000001</c:v>
                </c:pt>
                <c:pt idx="51">
                  <c:v>1.4789000000000001</c:v>
                </c:pt>
                <c:pt idx="52">
                  <c:v>1.5281</c:v>
                </c:pt>
                <c:pt idx="53">
                  <c:v>1.575</c:v>
                </c:pt>
                <c:pt idx="54">
                  <c:v>1.6205000000000001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A9B-3840-8692-8DA2081D9E97}"/>
            </c:ext>
          </c:extLst>
        </c:ser>
        <c:ser>
          <c:idx val="13"/>
          <c:order val="13"/>
          <c:tx>
            <c:strRef>
              <c:f>'Round2.raw'!$T$2</c:f>
              <c:strCache>
                <c:ptCount val="1"/>
                <c:pt idx="0">
                  <c:v>am.2_TSB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'Round2.raw'!$T$3:$T$57</c:f>
              <c:numCache>
                <c:formatCode>General</c:formatCode>
                <c:ptCount val="55"/>
                <c:pt idx="0">
                  <c:v>0.13819999999999999</c:v>
                </c:pt>
                <c:pt idx="1">
                  <c:v>0.15759999999999999</c:v>
                </c:pt>
                <c:pt idx="2">
                  <c:v>0.192</c:v>
                </c:pt>
                <c:pt idx="3">
                  <c:v>0.21840000000000001</c:v>
                </c:pt>
                <c:pt idx="4">
                  <c:v>0.23300000000000001</c:v>
                </c:pt>
                <c:pt idx="5">
                  <c:v>0.27629999999999999</c:v>
                </c:pt>
                <c:pt idx="6">
                  <c:v>0.32990000000000003</c:v>
                </c:pt>
                <c:pt idx="7">
                  <c:v>0.36919999999999997</c:v>
                </c:pt>
                <c:pt idx="8">
                  <c:v>0.43090000000000001</c:v>
                </c:pt>
                <c:pt idx="9">
                  <c:v>0.49330000000000002</c:v>
                </c:pt>
                <c:pt idx="10">
                  <c:v>0.52859999999999996</c:v>
                </c:pt>
                <c:pt idx="11">
                  <c:v>0.55810000000000004</c:v>
                </c:pt>
                <c:pt idx="12">
                  <c:v>0.59570000000000001</c:v>
                </c:pt>
                <c:pt idx="13">
                  <c:v>0.628</c:v>
                </c:pt>
                <c:pt idx="14">
                  <c:v>0.6794</c:v>
                </c:pt>
                <c:pt idx="15">
                  <c:v>0.72350000000000003</c:v>
                </c:pt>
                <c:pt idx="16">
                  <c:v>0.75780000000000003</c:v>
                </c:pt>
                <c:pt idx="17">
                  <c:v>0.81830000000000003</c:v>
                </c:pt>
                <c:pt idx="18">
                  <c:v>0.76419999999999999</c:v>
                </c:pt>
                <c:pt idx="19">
                  <c:v>0.81330000000000002</c:v>
                </c:pt>
                <c:pt idx="20">
                  <c:v>0.80579999999999996</c:v>
                </c:pt>
                <c:pt idx="21">
                  <c:v>0.84489999999999998</c:v>
                </c:pt>
                <c:pt idx="22">
                  <c:v>0.83440000000000003</c:v>
                </c:pt>
                <c:pt idx="23">
                  <c:v>0.87319999999999998</c:v>
                </c:pt>
                <c:pt idx="24">
                  <c:v>0.88519999999999999</c:v>
                </c:pt>
                <c:pt idx="25">
                  <c:v>0.9002</c:v>
                </c:pt>
                <c:pt idx="26">
                  <c:v>1.0041</c:v>
                </c:pt>
                <c:pt idx="27">
                  <c:v>0.93979999999999997</c:v>
                </c:pt>
                <c:pt idx="28">
                  <c:v>0.97050000000000003</c:v>
                </c:pt>
                <c:pt idx="29">
                  <c:v>1.0478000000000001</c:v>
                </c:pt>
                <c:pt idx="30">
                  <c:v>0.97140000000000004</c:v>
                </c:pt>
                <c:pt idx="31">
                  <c:v>1.0381</c:v>
                </c:pt>
                <c:pt idx="32">
                  <c:v>1.0253000000000001</c:v>
                </c:pt>
                <c:pt idx="33">
                  <c:v>1.0528</c:v>
                </c:pt>
                <c:pt idx="34">
                  <c:v>1.0532999999999999</c:v>
                </c:pt>
                <c:pt idx="35">
                  <c:v>1.0623</c:v>
                </c:pt>
                <c:pt idx="36">
                  <c:v>1.0762</c:v>
                </c:pt>
                <c:pt idx="37">
                  <c:v>1.1051</c:v>
                </c:pt>
                <c:pt idx="38">
                  <c:v>1.1271</c:v>
                </c:pt>
                <c:pt idx="39">
                  <c:v>1.1409</c:v>
                </c:pt>
                <c:pt idx="40">
                  <c:v>1.1679999999999999</c:v>
                </c:pt>
                <c:pt idx="41">
                  <c:v>1.1876</c:v>
                </c:pt>
                <c:pt idx="42">
                  <c:v>1.2141</c:v>
                </c:pt>
                <c:pt idx="43">
                  <c:v>1.2384999999999999</c:v>
                </c:pt>
                <c:pt idx="44">
                  <c:v>1.2569999999999999</c:v>
                </c:pt>
                <c:pt idx="45">
                  <c:v>1.272</c:v>
                </c:pt>
                <c:pt idx="46">
                  <c:v>1.2911999999999999</c:v>
                </c:pt>
                <c:pt idx="47">
                  <c:v>1.3172999999999999</c:v>
                </c:pt>
                <c:pt idx="48">
                  <c:v>1.3451</c:v>
                </c:pt>
                <c:pt idx="49">
                  <c:v>1.4508000000000001</c:v>
                </c:pt>
                <c:pt idx="50">
                  <c:v>1.4971000000000001</c:v>
                </c:pt>
                <c:pt idx="51">
                  <c:v>1.4766999999999999</c:v>
                </c:pt>
                <c:pt idx="52">
                  <c:v>1.5281</c:v>
                </c:pt>
                <c:pt idx="53">
                  <c:v>1.5454000000000001</c:v>
                </c:pt>
                <c:pt idx="54">
                  <c:v>1.5430999999999999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A9B-3840-8692-8DA2081D9E97}"/>
            </c:ext>
          </c:extLst>
        </c:ser>
        <c:ser>
          <c:idx val="14"/>
          <c:order val="14"/>
          <c:tx>
            <c:strRef>
              <c:f>'Round2.raw'!$U$2</c:f>
              <c:strCache>
                <c:ptCount val="1"/>
                <c:pt idx="0">
                  <c:v>am.3_TSB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'Round2.raw'!$U$3:$U$57</c:f>
              <c:numCache>
                <c:formatCode>General</c:formatCode>
                <c:ptCount val="55"/>
                <c:pt idx="0">
                  <c:v>0.156</c:v>
                </c:pt>
                <c:pt idx="1">
                  <c:v>0.19220000000000001</c:v>
                </c:pt>
                <c:pt idx="2">
                  <c:v>0.2268</c:v>
                </c:pt>
                <c:pt idx="3">
                  <c:v>0.2591</c:v>
                </c:pt>
                <c:pt idx="4">
                  <c:v>0.30549999999999999</c:v>
                </c:pt>
                <c:pt idx="5">
                  <c:v>0.35420000000000001</c:v>
                </c:pt>
                <c:pt idx="6">
                  <c:v>0.3836</c:v>
                </c:pt>
                <c:pt idx="7">
                  <c:v>0.45610000000000001</c:v>
                </c:pt>
                <c:pt idx="8">
                  <c:v>0.51549999999999996</c:v>
                </c:pt>
                <c:pt idx="9">
                  <c:v>0.57120000000000004</c:v>
                </c:pt>
                <c:pt idx="10">
                  <c:v>0.6391</c:v>
                </c:pt>
                <c:pt idx="11">
                  <c:v>0.69359999999999999</c:v>
                </c:pt>
                <c:pt idx="12">
                  <c:v>0.73150000000000004</c:v>
                </c:pt>
                <c:pt idx="13">
                  <c:v>0.78700000000000003</c:v>
                </c:pt>
                <c:pt idx="14">
                  <c:v>0.83130000000000004</c:v>
                </c:pt>
                <c:pt idx="15">
                  <c:v>0.88019999999999998</c:v>
                </c:pt>
                <c:pt idx="16">
                  <c:v>0.91420000000000001</c:v>
                </c:pt>
                <c:pt idx="17">
                  <c:v>0.90129999999999999</c:v>
                </c:pt>
                <c:pt idx="18">
                  <c:v>0.9244</c:v>
                </c:pt>
                <c:pt idx="19">
                  <c:v>0.95130000000000003</c:v>
                </c:pt>
                <c:pt idx="20">
                  <c:v>0.96919999999999995</c:v>
                </c:pt>
                <c:pt idx="21">
                  <c:v>0.99629999999999996</c:v>
                </c:pt>
                <c:pt idx="22">
                  <c:v>1.0146999999999999</c:v>
                </c:pt>
                <c:pt idx="23">
                  <c:v>1.0378000000000001</c:v>
                </c:pt>
                <c:pt idx="24">
                  <c:v>1.044</c:v>
                </c:pt>
                <c:pt idx="25">
                  <c:v>1.0679000000000001</c:v>
                </c:pt>
                <c:pt idx="26">
                  <c:v>1.0771999999999999</c:v>
                </c:pt>
                <c:pt idx="27">
                  <c:v>1.0941000000000001</c:v>
                </c:pt>
                <c:pt idx="28">
                  <c:v>1.0981000000000001</c:v>
                </c:pt>
                <c:pt idx="29">
                  <c:v>1.1103000000000001</c:v>
                </c:pt>
                <c:pt idx="30">
                  <c:v>1.1099000000000001</c:v>
                </c:pt>
                <c:pt idx="31">
                  <c:v>1.1324000000000001</c:v>
                </c:pt>
                <c:pt idx="32">
                  <c:v>1.1637</c:v>
                </c:pt>
                <c:pt idx="33">
                  <c:v>1.1771</c:v>
                </c:pt>
                <c:pt idx="34">
                  <c:v>1.1906000000000001</c:v>
                </c:pt>
                <c:pt idx="35">
                  <c:v>1.2070000000000001</c:v>
                </c:pt>
                <c:pt idx="36">
                  <c:v>1.2198</c:v>
                </c:pt>
                <c:pt idx="37">
                  <c:v>1.2281</c:v>
                </c:pt>
                <c:pt idx="38">
                  <c:v>1.2459</c:v>
                </c:pt>
                <c:pt idx="39">
                  <c:v>1.2621</c:v>
                </c:pt>
                <c:pt idx="40">
                  <c:v>1.2856000000000001</c:v>
                </c:pt>
                <c:pt idx="41">
                  <c:v>1.2927</c:v>
                </c:pt>
                <c:pt idx="42">
                  <c:v>1.3018000000000001</c:v>
                </c:pt>
                <c:pt idx="43">
                  <c:v>1.3187</c:v>
                </c:pt>
                <c:pt idx="44">
                  <c:v>1.3177000000000001</c:v>
                </c:pt>
                <c:pt idx="45">
                  <c:v>1.3395999999999999</c:v>
                </c:pt>
                <c:pt idx="46">
                  <c:v>1.3503000000000001</c:v>
                </c:pt>
                <c:pt idx="47">
                  <c:v>1.3646</c:v>
                </c:pt>
                <c:pt idx="48">
                  <c:v>1.3712</c:v>
                </c:pt>
                <c:pt idx="49">
                  <c:v>1.3759999999999999</c:v>
                </c:pt>
                <c:pt idx="50">
                  <c:v>1.3994</c:v>
                </c:pt>
                <c:pt idx="51">
                  <c:v>1.4056</c:v>
                </c:pt>
                <c:pt idx="52">
                  <c:v>1.4126000000000001</c:v>
                </c:pt>
                <c:pt idx="53">
                  <c:v>1.4287000000000001</c:v>
                </c:pt>
                <c:pt idx="54">
                  <c:v>1.4353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A9B-3840-8692-8DA2081D9E97}"/>
            </c:ext>
          </c:extLst>
        </c:ser>
        <c:ser>
          <c:idx val="15"/>
          <c:order val="15"/>
          <c:tx>
            <c:strRef>
              <c:f>'Round2.raw'!$V$2</c:f>
              <c:strCache>
                <c:ptCount val="1"/>
                <c:pt idx="0">
                  <c:v>mz.1_TSB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'Round2.raw'!$V$3:$V$57</c:f>
              <c:numCache>
                <c:formatCode>General</c:formatCode>
                <c:ptCount val="55"/>
                <c:pt idx="0">
                  <c:v>0.24990000000000001</c:v>
                </c:pt>
                <c:pt idx="1">
                  <c:v>0.32369999999999999</c:v>
                </c:pt>
                <c:pt idx="2">
                  <c:v>0.40489999999999998</c:v>
                </c:pt>
                <c:pt idx="3">
                  <c:v>0.51570000000000005</c:v>
                </c:pt>
                <c:pt idx="4">
                  <c:v>0.65769999999999995</c:v>
                </c:pt>
                <c:pt idx="5">
                  <c:v>0.79649999999999999</c:v>
                </c:pt>
                <c:pt idx="6">
                  <c:v>0.91679999999999995</c:v>
                </c:pt>
                <c:pt idx="7">
                  <c:v>0.98819999999999997</c:v>
                </c:pt>
                <c:pt idx="8">
                  <c:v>1.0464</c:v>
                </c:pt>
                <c:pt idx="9">
                  <c:v>1.0972</c:v>
                </c:pt>
                <c:pt idx="10">
                  <c:v>1.125</c:v>
                </c:pt>
                <c:pt idx="11">
                  <c:v>1.1173999999999999</c:v>
                </c:pt>
                <c:pt idx="12">
                  <c:v>1.1244000000000001</c:v>
                </c:pt>
                <c:pt idx="13">
                  <c:v>1.1333</c:v>
                </c:pt>
                <c:pt idx="14">
                  <c:v>1.1163000000000001</c:v>
                </c:pt>
                <c:pt idx="15">
                  <c:v>1.1151</c:v>
                </c:pt>
                <c:pt idx="16">
                  <c:v>1.1175999999999999</c:v>
                </c:pt>
                <c:pt idx="17">
                  <c:v>1.1052999999999999</c:v>
                </c:pt>
                <c:pt idx="18">
                  <c:v>1.044</c:v>
                </c:pt>
                <c:pt idx="19">
                  <c:v>1.0519000000000001</c:v>
                </c:pt>
                <c:pt idx="20">
                  <c:v>1.0976999999999999</c:v>
                </c:pt>
                <c:pt idx="21">
                  <c:v>1.113</c:v>
                </c:pt>
                <c:pt idx="22">
                  <c:v>1.1183000000000001</c:v>
                </c:pt>
                <c:pt idx="23">
                  <c:v>1.1273</c:v>
                </c:pt>
                <c:pt idx="24">
                  <c:v>1.1227</c:v>
                </c:pt>
                <c:pt idx="25">
                  <c:v>1.1247</c:v>
                </c:pt>
                <c:pt idx="26">
                  <c:v>1.1738</c:v>
                </c:pt>
                <c:pt idx="27">
                  <c:v>1.1202000000000001</c:v>
                </c:pt>
                <c:pt idx="28">
                  <c:v>1.1613</c:v>
                </c:pt>
                <c:pt idx="29">
                  <c:v>1.1405000000000001</c:v>
                </c:pt>
                <c:pt idx="30">
                  <c:v>1.1632</c:v>
                </c:pt>
                <c:pt idx="31">
                  <c:v>1.1293</c:v>
                </c:pt>
                <c:pt idx="32">
                  <c:v>1.1375999999999999</c:v>
                </c:pt>
                <c:pt idx="33">
                  <c:v>1.1508</c:v>
                </c:pt>
                <c:pt idx="34">
                  <c:v>1.1505000000000001</c:v>
                </c:pt>
                <c:pt idx="35">
                  <c:v>1.1375999999999999</c:v>
                </c:pt>
                <c:pt idx="36">
                  <c:v>1.1384000000000001</c:v>
                </c:pt>
                <c:pt idx="37">
                  <c:v>1.1373</c:v>
                </c:pt>
                <c:pt idx="38">
                  <c:v>1.1341000000000001</c:v>
                </c:pt>
                <c:pt idx="39">
                  <c:v>1.1400999999999999</c:v>
                </c:pt>
                <c:pt idx="40">
                  <c:v>1.1329</c:v>
                </c:pt>
                <c:pt idx="41">
                  <c:v>1.1339999999999999</c:v>
                </c:pt>
                <c:pt idx="42">
                  <c:v>1.1319999999999999</c:v>
                </c:pt>
                <c:pt idx="43">
                  <c:v>1.1355999999999999</c:v>
                </c:pt>
                <c:pt idx="44">
                  <c:v>1.1279999999999999</c:v>
                </c:pt>
                <c:pt idx="45">
                  <c:v>1.1302000000000001</c:v>
                </c:pt>
                <c:pt idx="46">
                  <c:v>1.1376999999999999</c:v>
                </c:pt>
                <c:pt idx="47">
                  <c:v>1.1404000000000001</c:v>
                </c:pt>
                <c:pt idx="48">
                  <c:v>1.1349</c:v>
                </c:pt>
                <c:pt idx="49">
                  <c:v>1.1315</c:v>
                </c:pt>
                <c:pt idx="50">
                  <c:v>1.141</c:v>
                </c:pt>
                <c:pt idx="51">
                  <c:v>1.1412</c:v>
                </c:pt>
                <c:pt idx="52">
                  <c:v>1.141</c:v>
                </c:pt>
                <c:pt idx="53">
                  <c:v>1.1474</c:v>
                </c:pt>
                <c:pt idx="54">
                  <c:v>1.1506000000000001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A9B-3840-8692-8DA2081D9E97}"/>
            </c:ext>
          </c:extLst>
        </c:ser>
        <c:ser>
          <c:idx val="16"/>
          <c:order val="16"/>
          <c:tx>
            <c:strRef>
              <c:f>'Round2.raw'!$W$2</c:f>
              <c:strCache>
                <c:ptCount val="1"/>
                <c:pt idx="0">
                  <c:v>mz.2_TSB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'Round2.raw'!$W$3:$W$57</c:f>
              <c:numCache>
                <c:formatCode>General</c:formatCode>
                <c:ptCount val="55"/>
                <c:pt idx="0">
                  <c:v>0.26729999999999998</c:v>
                </c:pt>
                <c:pt idx="1">
                  <c:v>0.33679999999999999</c:v>
                </c:pt>
                <c:pt idx="2">
                  <c:v>0.439</c:v>
                </c:pt>
                <c:pt idx="3">
                  <c:v>0.56030000000000002</c:v>
                </c:pt>
                <c:pt idx="4">
                  <c:v>0.68440000000000001</c:v>
                </c:pt>
                <c:pt idx="5">
                  <c:v>0.80059999999999998</c:v>
                </c:pt>
                <c:pt idx="6">
                  <c:v>0.89929999999999999</c:v>
                </c:pt>
                <c:pt idx="7">
                  <c:v>0.96689999999999998</c:v>
                </c:pt>
                <c:pt idx="8">
                  <c:v>1.0271999999999999</c:v>
                </c:pt>
                <c:pt idx="9">
                  <c:v>1.0689</c:v>
                </c:pt>
                <c:pt idx="10">
                  <c:v>1.1047</c:v>
                </c:pt>
                <c:pt idx="11">
                  <c:v>1.1365000000000001</c:v>
                </c:pt>
                <c:pt idx="12">
                  <c:v>1.1611</c:v>
                </c:pt>
                <c:pt idx="13">
                  <c:v>1.1657999999999999</c:v>
                </c:pt>
                <c:pt idx="14">
                  <c:v>1.1766000000000001</c:v>
                </c:pt>
                <c:pt idx="15">
                  <c:v>1.1736</c:v>
                </c:pt>
                <c:pt idx="16">
                  <c:v>1.179</c:v>
                </c:pt>
                <c:pt idx="17">
                  <c:v>1.2591000000000001</c:v>
                </c:pt>
                <c:pt idx="18">
                  <c:v>1.1617999999999999</c:v>
                </c:pt>
                <c:pt idx="19">
                  <c:v>1.1872</c:v>
                </c:pt>
                <c:pt idx="20">
                  <c:v>1.1863999999999999</c:v>
                </c:pt>
                <c:pt idx="21">
                  <c:v>1.1917</c:v>
                </c:pt>
                <c:pt idx="22">
                  <c:v>1.1957</c:v>
                </c:pt>
                <c:pt idx="23">
                  <c:v>1.1889000000000001</c:v>
                </c:pt>
                <c:pt idx="24">
                  <c:v>1.1840999999999999</c:v>
                </c:pt>
                <c:pt idx="25">
                  <c:v>1.1924999999999999</c:v>
                </c:pt>
                <c:pt idx="26">
                  <c:v>1.2672000000000001</c:v>
                </c:pt>
                <c:pt idx="27">
                  <c:v>1.1802999999999999</c:v>
                </c:pt>
                <c:pt idx="28">
                  <c:v>1.2243999999999999</c:v>
                </c:pt>
                <c:pt idx="29">
                  <c:v>1.2786</c:v>
                </c:pt>
                <c:pt idx="30">
                  <c:v>1.2142999999999999</c:v>
                </c:pt>
                <c:pt idx="31">
                  <c:v>1.1952</c:v>
                </c:pt>
                <c:pt idx="32">
                  <c:v>1.1805000000000001</c:v>
                </c:pt>
                <c:pt idx="33">
                  <c:v>1.2004999999999999</c:v>
                </c:pt>
                <c:pt idx="34">
                  <c:v>1.1893</c:v>
                </c:pt>
                <c:pt idx="35">
                  <c:v>1.1778999999999999</c:v>
                </c:pt>
                <c:pt idx="36">
                  <c:v>1.1834</c:v>
                </c:pt>
                <c:pt idx="37">
                  <c:v>1.1837</c:v>
                </c:pt>
                <c:pt idx="38">
                  <c:v>1.1831</c:v>
                </c:pt>
                <c:pt idx="39">
                  <c:v>1.1733</c:v>
                </c:pt>
                <c:pt idx="40">
                  <c:v>1.1694</c:v>
                </c:pt>
                <c:pt idx="41">
                  <c:v>1.1708000000000001</c:v>
                </c:pt>
                <c:pt idx="42">
                  <c:v>1.1781999999999999</c:v>
                </c:pt>
                <c:pt idx="43">
                  <c:v>1.1717</c:v>
                </c:pt>
                <c:pt idx="44">
                  <c:v>1.1697</c:v>
                </c:pt>
                <c:pt idx="45">
                  <c:v>1.1677999999999999</c:v>
                </c:pt>
                <c:pt idx="46">
                  <c:v>1.1747000000000001</c:v>
                </c:pt>
                <c:pt idx="47">
                  <c:v>1.173</c:v>
                </c:pt>
                <c:pt idx="48">
                  <c:v>1.1725000000000001</c:v>
                </c:pt>
                <c:pt idx="49">
                  <c:v>1.1774</c:v>
                </c:pt>
                <c:pt idx="50">
                  <c:v>1.171</c:v>
                </c:pt>
                <c:pt idx="51">
                  <c:v>1.1765000000000001</c:v>
                </c:pt>
                <c:pt idx="52">
                  <c:v>1.1705000000000001</c:v>
                </c:pt>
                <c:pt idx="53">
                  <c:v>1.1755</c:v>
                </c:pt>
                <c:pt idx="54">
                  <c:v>1.1728000000000001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A9B-3840-8692-8DA2081D9E97}"/>
            </c:ext>
          </c:extLst>
        </c:ser>
        <c:ser>
          <c:idx val="17"/>
          <c:order val="17"/>
          <c:tx>
            <c:strRef>
              <c:f>'Round2.raw'!$X$2</c:f>
              <c:strCache>
                <c:ptCount val="1"/>
                <c:pt idx="0">
                  <c:v>mz.3_TSB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'Round2.raw'!$C$3:$C$57</c:f>
              <c:numCache>
                <c:formatCode>General</c:formatCode>
                <c:ptCount val="55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990</c:v>
                </c:pt>
                <c:pt idx="18">
                  <c:v>1020</c:v>
                </c:pt>
                <c:pt idx="19">
                  <c:v>1050</c:v>
                </c:pt>
                <c:pt idx="20">
                  <c:v>1080</c:v>
                </c:pt>
                <c:pt idx="21">
                  <c:v>1110</c:v>
                </c:pt>
                <c:pt idx="22">
                  <c:v>1140</c:v>
                </c:pt>
                <c:pt idx="23">
                  <c:v>1170</c:v>
                </c:pt>
                <c:pt idx="24">
                  <c:v>1200</c:v>
                </c:pt>
                <c:pt idx="25">
                  <c:v>1230</c:v>
                </c:pt>
                <c:pt idx="26">
                  <c:v>1260</c:v>
                </c:pt>
                <c:pt idx="27">
                  <c:v>1290</c:v>
                </c:pt>
                <c:pt idx="28">
                  <c:v>1320</c:v>
                </c:pt>
                <c:pt idx="29">
                  <c:v>1340</c:v>
                </c:pt>
                <c:pt idx="30">
                  <c:v>1370</c:v>
                </c:pt>
                <c:pt idx="31">
                  <c:v>1380</c:v>
                </c:pt>
                <c:pt idx="32">
                  <c:v>1410</c:v>
                </c:pt>
                <c:pt idx="33">
                  <c:v>1440</c:v>
                </c:pt>
                <c:pt idx="34">
                  <c:v>1470</c:v>
                </c:pt>
                <c:pt idx="35">
                  <c:v>1500</c:v>
                </c:pt>
                <c:pt idx="36">
                  <c:v>1530</c:v>
                </c:pt>
                <c:pt idx="37">
                  <c:v>1560</c:v>
                </c:pt>
                <c:pt idx="38">
                  <c:v>1590</c:v>
                </c:pt>
                <c:pt idx="39">
                  <c:v>1620</c:v>
                </c:pt>
                <c:pt idx="40">
                  <c:v>1650</c:v>
                </c:pt>
                <c:pt idx="41">
                  <c:v>1680</c:v>
                </c:pt>
                <c:pt idx="42">
                  <c:v>1710</c:v>
                </c:pt>
                <c:pt idx="43">
                  <c:v>1740</c:v>
                </c:pt>
                <c:pt idx="44">
                  <c:v>1770</c:v>
                </c:pt>
                <c:pt idx="45">
                  <c:v>1800</c:v>
                </c:pt>
                <c:pt idx="46">
                  <c:v>1830</c:v>
                </c:pt>
                <c:pt idx="47">
                  <c:v>1860</c:v>
                </c:pt>
                <c:pt idx="48">
                  <c:v>1890</c:v>
                </c:pt>
                <c:pt idx="49">
                  <c:v>1920</c:v>
                </c:pt>
                <c:pt idx="50">
                  <c:v>1950</c:v>
                </c:pt>
                <c:pt idx="51">
                  <c:v>1980</c:v>
                </c:pt>
                <c:pt idx="52">
                  <c:v>2010</c:v>
                </c:pt>
                <c:pt idx="53">
                  <c:v>2040</c:v>
                </c:pt>
                <c:pt idx="54">
                  <c:v>2070</c:v>
                </c:pt>
              </c:numCache>
            </c:numRef>
          </c:xVal>
          <c:yVal>
            <c:numRef>
              <c:f>'Round2.raw'!$X$3:$X$57</c:f>
              <c:numCache>
                <c:formatCode>General</c:formatCode>
                <c:ptCount val="55"/>
                <c:pt idx="0">
                  <c:v>0.27650000000000002</c:v>
                </c:pt>
                <c:pt idx="1">
                  <c:v>0.34539999999999998</c:v>
                </c:pt>
                <c:pt idx="2">
                  <c:v>0.44209999999999999</c:v>
                </c:pt>
                <c:pt idx="3">
                  <c:v>0.57069999999999999</c:v>
                </c:pt>
                <c:pt idx="4">
                  <c:v>0.70250000000000001</c:v>
                </c:pt>
                <c:pt idx="5">
                  <c:v>0.82540000000000002</c:v>
                </c:pt>
                <c:pt idx="6">
                  <c:v>0.90810000000000002</c:v>
                </c:pt>
                <c:pt idx="7">
                  <c:v>0.96199999999999997</c:v>
                </c:pt>
                <c:pt idx="8">
                  <c:v>1.0114000000000001</c:v>
                </c:pt>
                <c:pt idx="9">
                  <c:v>1.0563</c:v>
                </c:pt>
                <c:pt idx="10">
                  <c:v>1.0880000000000001</c:v>
                </c:pt>
                <c:pt idx="11">
                  <c:v>1.113</c:v>
                </c:pt>
                <c:pt idx="12">
                  <c:v>1.1163000000000001</c:v>
                </c:pt>
                <c:pt idx="13">
                  <c:v>1.1358999999999999</c:v>
                </c:pt>
                <c:pt idx="14">
                  <c:v>1.1415999999999999</c:v>
                </c:pt>
                <c:pt idx="15">
                  <c:v>1.1483000000000001</c:v>
                </c:pt>
                <c:pt idx="16">
                  <c:v>1.1528</c:v>
                </c:pt>
                <c:pt idx="17">
                  <c:v>1.2284999999999999</c:v>
                </c:pt>
                <c:pt idx="18">
                  <c:v>1.1287</c:v>
                </c:pt>
                <c:pt idx="19">
                  <c:v>1.1520999999999999</c:v>
                </c:pt>
                <c:pt idx="20">
                  <c:v>1.1585000000000001</c:v>
                </c:pt>
                <c:pt idx="21">
                  <c:v>1.1636</c:v>
                </c:pt>
                <c:pt idx="22">
                  <c:v>1.1659999999999999</c:v>
                </c:pt>
                <c:pt idx="23">
                  <c:v>1.1783999999999999</c:v>
                </c:pt>
                <c:pt idx="24">
                  <c:v>1.1781999999999999</c:v>
                </c:pt>
                <c:pt idx="25">
                  <c:v>1.1775</c:v>
                </c:pt>
                <c:pt idx="26">
                  <c:v>1.2373000000000001</c:v>
                </c:pt>
                <c:pt idx="27">
                  <c:v>1.1668000000000001</c:v>
                </c:pt>
                <c:pt idx="28">
                  <c:v>1.1834</c:v>
                </c:pt>
                <c:pt idx="29">
                  <c:v>1.2531000000000001</c:v>
                </c:pt>
                <c:pt idx="30">
                  <c:v>1.2047000000000001</c:v>
                </c:pt>
                <c:pt idx="31">
                  <c:v>1.1709000000000001</c:v>
                </c:pt>
                <c:pt idx="32">
                  <c:v>1.1501999999999999</c:v>
                </c:pt>
                <c:pt idx="33">
                  <c:v>1.1738999999999999</c:v>
                </c:pt>
                <c:pt idx="34">
                  <c:v>1.1828000000000001</c:v>
                </c:pt>
                <c:pt idx="35">
                  <c:v>1.1838</c:v>
                </c:pt>
                <c:pt idx="36">
                  <c:v>1.1871</c:v>
                </c:pt>
                <c:pt idx="37">
                  <c:v>1.1845000000000001</c:v>
                </c:pt>
                <c:pt idx="38">
                  <c:v>1.1802999999999999</c:v>
                </c:pt>
                <c:pt idx="39">
                  <c:v>1.1848000000000001</c:v>
                </c:pt>
                <c:pt idx="40">
                  <c:v>1.1655</c:v>
                </c:pt>
                <c:pt idx="41">
                  <c:v>1.1637999999999999</c:v>
                </c:pt>
                <c:pt idx="42">
                  <c:v>1.1616</c:v>
                </c:pt>
                <c:pt idx="43">
                  <c:v>1.1567000000000001</c:v>
                </c:pt>
                <c:pt idx="44">
                  <c:v>1.1518999999999999</c:v>
                </c:pt>
                <c:pt idx="45">
                  <c:v>1.1504000000000001</c:v>
                </c:pt>
                <c:pt idx="46">
                  <c:v>1.1555</c:v>
                </c:pt>
                <c:pt idx="47">
                  <c:v>1.1387</c:v>
                </c:pt>
                <c:pt idx="48">
                  <c:v>1.1391</c:v>
                </c:pt>
                <c:pt idx="49">
                  <c:v>1.1328</c:v>
                </c:pt>
                <c:pt idx="50">
                  <c:v>1.137</c:v>
                </c:pt>
                <c:pt idx="51">
                  <c:v>1.1304000000000001</c:v>
                </c:pt>
                <c:pt idx="52">
                  <c:v>1.1343000000000001</c:v>
                </c:pt>
                <c:pt idx="53">
                  <c:v>1.1311</c:v>
                </c:pt>
                <c:pt idx="54">
                  <c:v>1.1269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A9B-3840-8692-8DA2081D9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121535"/>
        <c:axId val="1067120191"/>
      </c:scatterChart>
      <c:valAx>
        <c:axId val="1067121535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67120191"/>
        <c:crosses val="autoZero"/>
        <c:crossBetween val="midCat"/>
      </c:valAx>
      <c:valAx>
        <c:axId val="106712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06712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Growth </a:t>
            </a:r>
            <a:r>
              <a:rPr lang="en-US" altLang="zh-CN"/>
              <a:t>C</a:t>
            </a:r>
            <a:r>
              <a:rPr lang="en-GB"/>
              <a:t>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'Round1.raw'!$D$2</c:f>
              <c:strCache>
                <c:ptCount val="1"/>
                <c:pt idx="0">
                  <c:v>pd.1_CN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0000"/>
                </a:schemeClr>
              </a:solidFill>
              <a:ln w="9525">
                <a:solidFill>
                  <a:schemeClr val="accent1">
                    <a:shade val="40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'Round1.raw'!$D$3:$D$50</c:f>
              <c:numCache>
                <c:formatCode>General</c:formatCode>
                <c:ptCount val="41"/>
                <c:pt idx="0">
                  <c:v>0.33729999999999999</c:v>
                </c:pt>
                <c:pt idx="1">
                  <c:v>0.34920000000000001</c:v>
                </c:pt>
                <c:pt idx="2">
                  <c:v>0.36130000000000001</c:v>
                </c:pt>
                <c:pt idx="3">
                  <c:v>0.36720000000000003</c:v>
                </c:pt>
                <c:pt idx="4">
                  <c:v>0.38080000000000003</c:v>
                </c:pt>
                <c:pt idx="5">
                  <c:v>0.39179999999999998</c:v>
                </c:pt>
                <c:pt idx="6">
                  <c:v>0.40660000000000002</c:v>
                </c:pt>
                <c:pt idx="7">
                  <c:v>0.41570000000000001</c:v>
                </c:pt>
                <c:pt idx="8">
                  <c:v>0.42399999999999999</c:v>
                </c:pt>
                <c:pt idx="9">
                  <c:v>0.43519999999999998</c:v>
                </c:pt>
                <c:pt idx="10">
                  <c:v>0.44579999999999997</c:v>
                </c:pt>
                <c:pt idx="11">
                  <c:v>0.45150000000000001</c:v>
                </c:pt>
                <c:pt idx="12">
                  <c:v>0.4703</c:v>
                </c:pt>
                <c:pt idx="13">
                  <c:v>0.46920000000000001</c:v>
                </c:pt>
                <c:pt idx="14">
                  <c:v>0.47860000000000003</c:v>
                </c:pt>
                <c:pt idx="15">
                  <c:v>0.48649999999999999</c:v>
                </c:pt>
                <c:pt idx="16">
                  <c:v>0.49990000000000001</c:v>
                </c:pt>
                <c:pt idx="17">
                  <c:v>0.50349999999999995</c:v>
                </c:pt>
                <c:pt idx="18">
                  <c:v>0.50770000000000004</c:v>
                </c:pt>
                <c:pt idx="19">
                  <c:v>0.51619999999999999</c:v>
                </c:pt>
                <c:pt idx="20">
                  <c:v>0.52880000000000005</c:v>
                </c:pt>
                <c:pt idx="21">
                  <c:v>0.53</c:v>
                </c:pt>
                <c:pt idx="22">
                  <c:v>0.53269999999999995</c:v>
                </c:pt>
                <c:pt idx="23">
                  <c:v>0.54479999999999995</c:v>
                </c:pt>
                <c:pt idx="24">
                  <c:v>0.55600000000000005</c:v>
                </c:pt>
                <c:pt idx="25">
                  <c:v>0.57320000000000004</c:v>
                </c:pt>
                <c:pt idx="26">
                  <c:v>0.59570000000000001</c:v>
                </c:pt>
                <c:pt idx="27">
                  <c:v>0.61629999999999996</c:v>
                </c:pt>
                <c:pt idx="28">
                  <c:v>0.63</c:v>
                </c:pt>
                <c:pt idx="29">
                  <c:v>0.65149999999999997</c:v>
                </c:pt>
                <c:pt idx="30">
                  <c:v>0.66820000000000002</c:v>
                </c:pt>
                <c:pt idx="31">
                  <c:v>0.67749999999999999</c:v>
                </c:pt>
                <c:pt idx="32">
                  <c:v>0.68589999999999995</c:v>
                </c:pt>
                <c:pt idx="33">
                  <c:v>0.6946</c:v>
                </c:pt>
                <c:pt idx="34">
                  <c:v>0.71179999999999999</c:v>
                </c:pt>
                <c:pt idx="35">
                  <c:v>0.70589999999999997</c:v>
                </c:pt>
                <c:pt idx="36">
                  <c:v>0.71699999999999997</c:v>
                </c:pt>
                <c:pt idx="37">
                  <c:v>0.7258</c:v>
                </c:pt>
                <c:pt idx="38">
                  <c:v>0.73609999999999998</c:v>
                </c:pt>
                <c:pt idx="39">
                  <c:v>0.74560000000000004</c:v>
                </c:pt>
                <c:pt idx="40">
                  <c:v>0.75329999999999997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B-8645-B353-BC20126C20FF}"/>
            </c:ext>
          </c:extLst>
        </c:ser>
        <c:ser>
          <c:idx val="1"/>
          <c:order val="1"/>
          <c:tx>
            <c:strRef>
              <c:f>'Round1.raw'!$E$2</c:f>
              <c:strCache>
                <c:ptCount val="1"/>
                <c:pt idx="0">
                  <c:v>pd.2_CN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1000"/>
                </a:schemeClr>
              </a:solidFill>
              <a:ln w="9525">
                <a:solidFill>
                  <a:schemeClr val="accent1">
                    <a:shade val="51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'Round1.raw'!$E$3:$E$50</c:f>
              <c:numCache>
                <c:formatCode>General</c:formatCode>
                <c:ptCount val="41"/>
                <c:pt idx="0">
                  <c:v>0.34439999999999998</c:v>
                </c:pt>
                <c:pt idx="1">
                  <c:v>0.36109999999999998</c:v>
                </c:pt>
                <c:pt idx="2">
                  <c:v>0.36599999999999999</c:v>
                </c:pt>
                <c:pt idx="3">
                  <c:v>0.3962</c:v>
                </c:pt>
                <c:pt idx="4">
                  <c:v>0.37980000000000003</c:v>
                </c:pt>
                <c:pt idx="5">
                  <c:v>0.38819999999999999</c:v>
                </c:pt>
                <c:pt idx="6">
                  <c:v>0.39600000000000002</c:v>
                </c:pt>
                <c:pt idx="7">
                  <c:v>0.4032</c:v>
                </c:pt>
                <c:pt idx="8">
                  <c:v>0.41839999999999999</c:v>
                </c:pt>
                <c:pt idx="9">
                  <c:v>0.42359999999999998</c:v>
                </c:pt>
                <c:pt idx="10">
                  <c:v>0.45390000000000003</c:v>
                </c:pt>
                <c:pt idx="11">
                  <c:v>0.44019999999999998</c:v>
                </c:pt>
                <c:pt idx="12">
                  <c:v>0.46850000000000003</c:v>
                </c:pt>
                <c:pt idx="13">
                  <c:v>0.45810000000000001</c:v>
                </c:pt>
                <c:pt idx="14">
                  <c:v>0.46360000000000001</c:v>
                </c:pt>
                <c:pt idx="15">
                  <c:v>0.47010000000000002</c:v>
                </c:pt>
                <c:pt idx="16">
                  <c:v>0.4829</c:v>
                </c:pt>
                <c:pt idx="17">
                  <c:v>0.49619999999999997</c:v>
                </c:pt>
                <c:pt idx="18">
                  <c:v>0.50090000000000001</c:v>
                </c:pt>
                <c:pt idx="19">
                  <c:v>0.51290000000000002</c:v>
                </c:pt>
                <c:pt idx="20">
                  <c:v>0.53990000000000005</c:v>
                </c:pt>
                <c:pt idx="21">
                  <c:v>0.52610000000000001</c:v>
                </c:pt>
                <c:pt idx="22">
                  <c:v>0.54649999999999999</c:v>
                </c:pt>
                <c:pt idx="23">
                  <c:v>0.56359999999999999</c:v>
                </c:pt>
                <c:pt idx="24">
                  <c:v>0.57740000000000002</c:v>
                </c:pt>
                <c:pt idx="25">
                  <c:v>0.59089999999999998</c:v>
                </c:pt>
                <c:pt idx="26">
                  <c:v>0.60409999999999997</c:v>
                </c:pt>
                <c:pt idx="27">
                  <c:v>0.6139</c:v>
                </c:pt>
                <c:pt idx="28">
                  <c:v>0.621</c:v>
                </c:pt>
                <c:pt idx="29">
                  <c:v>0.62880000000000003</c:v>
                </c:pt>
                <c:pt idx="30">
                  <c:v>0.6391</c:v>
                </c:pt>
                <c:pt idx="31">
                  <c:v>0.65359999999999996</c:v>
                </c:pt>
                <c:pt idx="32">
                  <c:v>0.66920000000000002</c:v>
                </c:pt>
                <c:pt idx="33">
                  <c:v>0.67900000000000005</c:v>
                </c:pt>
                <c:pt idx="34">
                  <c:v>0.69159999999999999</c:v>
                </c:pt>
                <c:pt idx="35">
                  <c:v>0.70709999999999995</c:v>
                </c:pt>
                <c:pt idx="36">
                  <c:v>0.71560000000000001</c:v>
                </c:pt>
                <c:pt idx="37">
                  <c:v>0.73199999999999998</c:v>
                </c:pt>
                <c:pt idx="38">
                  <c:v>0.746</c:v>
                </c:pt>
                <c:pt idx="39">
                  <c:v>0.74880000000000002</c:v>
                </c:pt>
                <c:pt idx="40">
                  <c:v>0.75960000000000005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B-8645-B353-BC20126C20FF}"/>
            </c:ext>
          </c:extLst>
        </c:ser>
        <c:ser>
          <c:idx val="2"/>
          <c:order val="2"/>
          <c:tx>
            <c:strRef>
              <c:f>'Round1.raw'!$F$2</c:f>
              <c:strCache>
                <c:ptCount val="1"/>
                <c:pt idx="0">
                  <c:v>pd.3_CN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2000"/>
                </a:schemeClr>
              </a:solidFill>
              <a:ln w="9525">
                <a:solidFill>
                  <a:schemeClr val="accent1">
                    <a:shade val="62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'Round1.raw'!$F$3:$F$50</c:f>
              <c:numCache>
                <c:formatCode>General</c:formatCode>
                <c:ptCount val="41"/>
                <c:pt idx="0">
                  <c:v>0.37119999999999997</c:v>
                </c:pt>
                <c:pt idx="1">
                  <c:v>0.38769999999999999</c:v>
                </c:pt>
                <c:pt idx="2">
                  <c:v>0.39889999999999998</c:v>
                </c:pt>
                <c:pt idx="3">
                  <c:v>0.44140000000000001</c:v>
                </c:pt>
                <c:pt idx="4">
                  <c:v>0.41649999999999998</c:v>
                </c:pt>
                <c:pt idx="5">
                  <c:v>0.43230000000000002</c:v>
                </c:pt>
                <c:pt idx="6">
                  <c:v>0.44700000000000001</c:v>
                </c:pt>
                <c:pt idx="7">
                  <c:v>0.46510000000000001</c:v>
                </c:pt>
                <c:pt idx="8">
                  <c:v>0.48320000000000002</c:v>
                </c:pt>
                <c:pt idx="9">
                  <c:v>0.49059999999999998</c:v>
                </c:pt>
                <c:pt idx="10">
                  <c:v>0.53459999999999996</c:v>
                </c:pt>
                <c:pt idx="11">
                  <c:v>0.51459999999999995</c:v>
                </c:pt>
                <c:pt idx="12">
                  <c:v>0.55940000000000001</c:v>
                </c:pt>
                <c:pt idx="13">
                  <c:v>0.54249999999999998</c:v>
                </c:pt>
                <c:pt idx="14">
                  <c:v>0.55379999999999996</c:v>
                </c:pt>
                <c:pt idx="15">
                  <c:v>0.56530000000000002</c:v>
                </c:pt>
                <c:pt idx="16">
                  <c:v>0.5877</c:v>
                </c:pt>
                <c:pt idx="17">
                  <c:v>0.59099999999999997</c:v>
                </c:pt>
                <c:pt idx="18">
                  <c:v>0.58989999999999998</c:v>
                </c:pt>
                <c:pt idx="19">
                  <c:v>0.59960000000000002</c:v>
                </c:pt>
                <c:pt idx="20">
                  <c:v>0.63629999999999998</c:v>
                </c:pt>
                <c:pt idx="21">
                  <c:v>0.61739999999999995</c:v>
                </c:pt>
                <c:pt idx="22">
                  <c:v>0.62849999999999995</c:v>
                </c:pt>
                <c:pt idx="23">
                  <c:v>0.63639999999999997</c:v>
                </c:pt>
                <c:pt idx="24">
                  <c:v>0.64459999999999995</c:v>
                </c:pt>
                <c:pt idx="25">
                  <c:v>0.64629999999999999</c:v>
                </c:pt>
                <c:pt idx="26">
                  <c:v>0.65810000000000002</c:v>
                </c:pt>
                <c:pt idx="27">
                  <c:v>0.66600000000000004</c:v>
                </c:pt>
                <c:pt idx="28">
                  <c:v>0.67020000000000002</c:v>
                </c:pt>
                <c:pt idx="29">
                  <c:v>0.67700000000000005</c:v>
                </c:pt>
                <c:pt idx="30">
                  <c:v>0.68420000000000003</c:v>
                </c:pt>
                <c:pt idx="31">
                  <c:v>0.69199999999999995</c:v>
                </c:pt>
                <c:pt idx="32">
                  <c:v>0.69910000000000005</c:v>
                </c:pt>
                <c:pt idx="33">
                  <c:v>0.71060000000000001</c:v>
                </c:pt>
                <c:pt idx="34">
                  <c:v>0.72089999999999999</c:v>
                </c:pt>
                <c:pt idx="35">
                  <c:v>0.72850000000000004</c:v>
                </c:pt>
                <c:pt idx="36">
                  <c:v>0.74029999999999996</c:v>
                </c:pt>
                <c:pt idx="37">
                  <c:v>0.75070000000000003</c:v>
                </c:pt>
                <c:pt idx="38">
                  <c:v>0.76170000000000004</c:v>
                </c:pt>
                <c:pt idx="39">
                  <c:v>0.76859999999999995</c:v>
                </c:pt>
                <c:pt idx="40">
                  <c:v>0.77700000000000002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7B-8645-B353-BC20126C20FF}"/>
            </c:ext>
          </c:extLst>
        </c:ser>
        <c:ser>
          <c:idx val="3"/>
          <c:order val="3"/>
          <c:tx>
            <c:strRef>
              <c:f>'Round1.raw'!$G$2</c:f>
              <c:strCache>
                <c:ptCount val="1"/>
                <c:pt idx="0">
                  <c:v>so.1_CN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>
                    <a:shade val="73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'Round1.raw'!$G$3:$G$50</c:f>
              <c:numCache>
                <c:formatCode>General</c:formatCode>
                <c:ptCount val="41"/>
                <c:pt idx="0">
                  <c:v>0.36</c:v>
                </c:pt>
                <c:pt idx="1">
                  <c:v>0.3614</c:v>
                </c:pt>
                <c:pt idx="2">
                  <c:v>0.35049999999999998</c:v>
                </c:pt>
                <c:pt idx="3">
                  <c:v>0.376</c:v>
                </c:pt>
                <c:pt idx="4">
                  <c:v>0.35439999999999999</c:v>
                </c:pt>
                <c:pt idx="5">
                  <c:v>0.3463</c:v>
                </c:pt>
                <c:pt idx="6">
                  <c:v>0.35110000000000002</c:v>
                </c:pt>
                <c:pt idx="7">
                  <c:v>0.35820000000000002</c:v>
                </c:pt>
                <c:pt idx="8">
                  <c:v>0.34839999999999999</c:v>
                </c:pt>
                <c:pt idx="9">
                  <c:v>0.36730000000000002</c:v>
                </c:pt>
                <c:pt idx="10">
                  <c:v>0.38019999999999998</c:v>
                </c:pt>
                <c:pt idx="11">
                  <c:v>0.36890000000000001</c:v>
                </c:pt>
                <c:pt idx="12">
                  <c:v>0.37740000000000001</c:v>
                </c:pt>
                <c:pt idx="13">
                  <c:v>0.38059999999999999</c:v>
                </c:pt>
                <c:pt idx="14">
                  <c:v>0.38009999999999999</c:v>
                </c:pt>
                <c:pt idx="15">
                  <c:v>0.38329999999999997</c:v>
                </c:pt>
                <c:pt idx="16">
                  <c:v>0.38819999999999999</c:v>
                </c:pt>
                <c:pt idx="17">
                  <c:v>0.38319999999999999</c:v>
                </c:pt>
                <c:pt idx="18">
                  <c:v>0.38840000000000002</c:v>
                </c:pt>
                <c:pt idx="19">
                  <c:v>0.3891</c:v>
                </c:pt>
                <c:pt idx="20">
                  <c:v>0.39839999999999998</c:v>
                </c:pt>
                <c:pt idx="21">
                  <c:v>0.3871</c:v>
                </c:pt>
                <c:pt idx="22">
                  <c:v>0.37990000000000002</c:v>
                </c:pt>
                <c:pt idx="23">
                  <c:v>0.37419999999999998</c:v>
                </c:pt>
                <c:pt idx="24">
                  <c:v>0.37</c:v>
                </c:pt>
                <c:pt idx="25">
                  <c:v>0.36480000000000001</c:v>
                </c:pt>
                <c:pt idx="26">
                  <c:v>0.35610000000000003</c:v>
                </c:pt>
                <c:pt idx="27">
                  <c:v>0.34460000000000002</c:v>
                </c:pt>
                <c:pt idx="28">
                  <c:v>0.33260000000000001</c:v>
                </c:pt>
                <c:pt idx="29">
                  <c:v>0.32379999999999998</c:v>
                </c:pt>
                <c:pt idx="30">
                  <c:v>0.31409999999999999</c:v>
                </c:pt>
                <c:pt idx="31">
                  <c:v>0.30420000000000003</c:v>
                </c:pt>
                <c:pt idx="32">
                  <c:v>0.29770000000000002</c:v>
                </c:pt>
                <c:pt idx="33">
                  <c:v>0.2944</c:v>
                </c:pt>
                <c:pt idx="34">
                  <c:v>0.29070000000000001</c:v>
                </c:pt>
                <c:pt idx="35">
                  <c:v>0.2853</c:v>
                </c:pt>
                <c:pt idx="36">
                  <c:v>0.28199999999999997</c:v>
                </c:pt>
                <c:pt idx="37">
                  <c:v>0.27750000000000002</c:v>
                </c:pt>
                <c:pt idx="38">
                  <c:v>0.27700000000000002</c:v>
                </c:pt>
                <c:pt idx="39">
                  <c:v>0.27429999999999999</c:v>
                </c:pt>
                <c:pt idx="40">
                  <c:v>0.27550000000000002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7B-8645-B353-BC20126C20FF}"/>
            </c:ext>
          </c:extLst>
        </c:ser>
        <c:ser>
          <c:idx val="4"/>
          <c:order val="4"/>
          <c:tx>
            <c:strRef>
              <c:f>'Round1.raw'!$H$2</c:f>
              <c:strCache>
                <c:ptCount val="1"/>
                <c:pt idx="0">
                  <c:v>so.2_CN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>
                    <a:shade val="83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'Round1.raw'!$H$3:$H$50</c:f>
              <c:numCache>
                <c:formatCode>General</c:formatCode>
                <c:ptCount val="41"/>
                <c:pt idx="0">
                  <c:v>0.37219999999999998</c:v>
                </c:pt>
                <c:pt idx="1">
                  <c:v>0.36570000000000003</c:v>
                </c:pt>
                <c:pt idx="2">
                  <c:v>0.35549999999999998</c:v>
                </c:pt>
                <c:pt idx="3">
                  <c:v>0.39079999999999998</c:v>
                </c:pt>
                <c:pt idx="4">
                  <c:v>0.36470000000000002</c:v>
                </c:pt>
                <c:pt idx="5">
                  <c:v>0.3594</c:v>
                </c:pt>
                <c:pt idx="6">
                  <c:v>0.36299999999999999</c:v>
                </c:pt>
                <c:pt idx="7">
                  <c:v>0.36990000000000001</c:v>
                </c:pt>
                <c:pt idx="8">
                  <c:v>0.35980000000000001</c:v>
                </c:pt>
                <c:pt idx="9">
                  <c:v>0.37459999999999999</c:v>
                </c:pt>
                <c:pt idx="10">
                  <c:v>0.38290000000000002</c:v>
                </c:pt>
                <c:pt idx="11">
                  <c:v>0.37480000000000002</c:v>
                </c:pt>
                <c:pt idx="12">
                  <c:v>0.38019999999999998</c:v>
                </c:pt>
                <c:pt idx="13">
                  <c:v>0.37990000000000002</c:v>
                </c:pt>
                <c:pt idx="14">
                  <c:v>0.37809999999999999</c:v>
                </c:pt>
                <c:pt idx="15">
                  <c:v>0.37919999999999998</c:v>
                </c:pt>
                <c:pt idx="16">
                  <c:v>0.38080000000000003</c:v>
                </c:pt>
                <c:pt idx="17">
                  <c:v>0.37509999999999999</c:v>
                </c:pt>
                <c:pt idx="18">
                  <c:v>0.37959999999999999</c:v>
                </c:pt>
                <c:pt idx="19">
                  <c:v>0.38080000000000003</c:v>
                </c:pt>
                <c:pt idx="20">
                  <c:v>0.3821</c:v>
                </c:pt>
                <c:pt idx="21">
                  <c:v>0.37209999999999999</c:v>
                </c:pt>
                <c:pt idx="22">
                  <c:v>0.36530000000000001</c:v>
                </c:pt>
                <c:pt idx="23">
                  <c:v>0.36130000000000001</c:v>
                </c:pt>
                <c:pt idx="24">
                  <c:v>0.36020000000000002</c:v>
                </c:pt>
                <c:pt idx="25">
                  <c:v>0.35859999999999997</c:v>
                </c:pt>
                <c:pt idx="26">
                  <c:v>0.35370000000000001</c:v>
                </c:pt>
                <c:pt idx="27">
                  <c:v>0.34960000000000002</c:v>
                </c:pt>
                <c:pt idx="28">
                  <c:v>0.3458</c:v>
                </c:pt>
                <c:pt idx="29">
                  <c:v>0.34229999999999999</c:v>
                </c:pt>
                <c:pt idx="30">
                  <c:v>0.3362</c:v>
                </c:pt>
                <c:pt idx="31">
                  <c:v>0.32890000000000003</c:v>
                </c:pt>
                <c:pt idx="32">
                  <c:v>0.32590000000000002</c:v>
                </c:pt>
                <c:pt idx="33">
                  <c:v>0.32</c:v>
                </c:pt>
                <c:pt idx="34">
                  <c:v>0.31709999999999999</c:v>
                </c:pt>
                <c:pt idx="35">
                  <c:v>0.31240000000000001</c:v>
                </c:pt>
                <c:pt idx="36">
                  <c:v>0.31009999999999999</c:v>
                </c:pt>
                <c:pt idx="37">
                  <c:v>0.30599999999999999</c:v>
                </c:pt>
                <c:pt idx="38">
                  <c:v>0.30659999999999998</c:v>
                </c:pt>
                <c:pt idx="39">
                  <c:v>0.30630000000000002</c:v>
                </c:pt>
                <c:pt idx="40">
                  <c:v>0.30559999999999998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7B-8645-B353-BC20126C20FF}"/>
            </c:ext>
          </c:extLst>
        </c:ser>
        <c:ser>
          <c:idx val="5"/>
          <c:order val="5"/>
          <c:tx>
            <c:strRef>
              <c:f>'Round1.raw'!$I$2</c:f>
              <c:strCache>
                <c:ptCount val="1"/>
                <c:pt idx="0">
                  <c:v>so.3_CN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>
                    <a:shade val="94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'Round1.raw'!$I$3:$I$50</c:f>
              <c:numCache>
                <c:formatCode>General</c:formatCode>
                <c:ptCount val="41"/>
                <c:pt idx="0">
                  <c:v>0.24390000000000001</c:v>
                </c:pt>
                <c:pt idx="1">
                  <c:v>0.26669999999999999</c:v>
                </c:pt>
                <c:pt idx="2">
                  <c:v>0.27429999999999999</c:v>
                </c:pt>
                <c:pt idx="3">
                  <c:v>0.2959</c:v>
                </c:pt>
                <c:pt idx="4">
                  <c:v>0.28389999999999999</c:v>
                </c:pt>
                <c:pt idx="5">
                  <c:v>0.28710000000000002</c:v>
                </c:pt>
                <c:pt idx="6">
                  <c:v>0.29499999999999998</c:v>
                </c:pt>
                <c:pt idx="7">
                  <c:v>0.29530000000000001</c:v>
                </c:pt>
                <c:pt idx="8">
                  <c:v>0.2802</c:v>
                </c:pt>
                <c:pt idx="9">
                  <c:v>0.29260000000000003</c:v>
                </c:pt>
                <c:pt idx="10">
                  <c:v>0.2898</c:v>
                </c:pt>
                <c:pt idx="11">
                  <c:v>0.29039999999999999</c:v>
                </c:pt>
                <c:pt idx="12">
                  <c:v>0.29260000000000003</c:v>
                </c:pt>
                <c:pt idx="13">
                  <c:v>0.30220000000000002</c:v>
                </c:pt>
                <c:pt idx="14">
                  <c:v>0.3075</c:v>
                </c:pt>
                <c:pt idx="15">
                  <c:v>0.30609999999999998</c:v>
                </c:pt>
                <c:pt idx="16">
                  <c:v>0.31359999999999999</c:v>
                </c:pt>
                <c:pt idx="17">
                  <c:v>0.29649999999999999</c:v>
                </c:pt>
                <c:pt idx="18">
                  <c:v>0.31319999999999998</c:v>
                </c:pt>
                <c:pt idx="19">
                  <c:v>0.32250000000000001</c:v>
                </c:pt>
                <c:pt idx="20">
                  <c:v>0.32300000000000001</c:v>
                </c:pt>
                <c:pt idx="21">
                  <c:v>0.3206</c:v>
                </c:pt>
                <c:pt idx="22">
                  <c:v>0.32940000000000003</c:v>
                </c:pt>
                <c:pt idx="23">
                  <c:v>0.33189999999999997</c:v>
                </c:pt>
                <c:pt idx="24">
                  <c:v>0.33960000000000001</c:v>
                </c:pt>
                <c:pt idx="25">
                  <c:v>0.34499999999999997</c:v>
                </c:pt>
                <c:pt idx="26">
                  <c:v>0.34720000000000001</c:v>
                </c:pt>
                <c:pt idx="27">
                  <c:v>0.3453</c:v>
                </c:pt>
                <c:pt idx="28">
                  <c:v>0.34739999999999999</c:v>
                </c:pt>
                <c:pt idx="29">
                  <c:v>0.3488</c:v>
                </c:pt>
                <c:pt idx="30">
                  <c:v>0.35070000000000001</c:v>
                </c:pt>
                <c:pt idx="31">
                  <c:v>0.3488</c:v>
                </c:pt>
                <c:pt idx="32">
                  <c:v>0.34960000000000002</c:v>
                </c:pt>
                <c:pt idx="33">
                  <c:v>0.35010000000000002</c:v>
                </c:pt>
                <c:pt idx="34">
                  <c:v>0.34860000000000002</c:v>
                </c:pt>
                <c:pt idx="35">
                  <c:v>0.34499999999999997</c:v>
                </c:pt>
                <c:pt idx="36">
                  <c:v>0.34549999999999997</c:v>
                </c:pt>
                <c:pt idx="37">
                  <c:v>0.34250000000000003</c:v>
                </c:pt>
                <c:pt idx="38">
                  <c:v>0.33850000000000002</c:v>
                </c:pt>
                <c:pt idx="39">
                  <c:v>0.33889999999999998</c:v>
                </c:pt>
                <c:pt idx="40">
                  <c:v>0.34289999999999998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7B-8645-B353-BC20126C20FF}"/>
            </c:ext>
          </c:extLst>
        </c:ser>
        <c:ser>
          <c:idx val="6"/>
          <c:order val="6"/>
          <c:tx>
            <c:strRef>
              <c:f>'Round1.raw'!$J$2</c:f>
              <c:strCache>
                <c:ptCount val="1"/>
                <c:pt idx="0">
                  <c:v>pd.1_TSB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95000"/>
                </a:schemeClr>
              </a:solidFill>
              <a:ln w="9525">
                <a:solidFill>
                  <a:schemeClr val="accent1">
                    <a:tint val="95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'Round1.raw'!$J$3:$J$50</c:f>
              <c:numCache>
                <c:formatCode>General</c:formatCode>
                <c:ptCount val="41"/>
                <c:pt idx="0">
                  <c:v>1.0121</c:v>
                </c:pt>
                <c:pt idx="1">
                  <c:v>1.0181</c:v>
                </c:pt>
                <c:pt idx="2">
                  <c:v>1.0371999999999999</c:v>
                </c:pt>
                <c:pt idx="3">
                  <c:v>1.0407999999999999</c:v>
                </c:pt>
                <c:pt idx="4">
                  <c:v>1.0576000000000001</c:v>
                </c:pt>
                <c:pt idx="5">
                  <c:v>1.0713999999999999</c:v>
                </c:pt>
                <c:pt idx="6">
                  <c:v>1.0871</c:v>
                </c:pt>
                <c:pt idx="7">
                  <c:v>1.1044</c:v>
                </c:pt>
                <c:pt idx="8">
                  <c:v>1.1138999999999999</c:v>
                </c:pt>
                <c:pt idx="9">
                  <c:v>1.1243000000000001</c:v>
                </c:pt>
                <c:pt idx="10">
                  <c:v>1.1397999999999999</c:v>
                </c:pt>
                <c:pt idx="11">
                  <c:v>1.1478999999999999</c:v>
                </c:pt>
                <c:pt idx="12">
                  <c:v>1.1675</c:v>
                </c:pt>
                <c:pt idx="13">
                  <c:v>1.1717</c:v>
                </c:pt>
                <c:pt idx="14">
                  <c:v>1.1726000000000001</c:v>
                </c:pt>
                <c:pt idx="15">
                  <c:v>1.1859</c:v>
                </c:pt>
                <c:pt idx="16">
                  <c:v>1.1946000000000001</c:v>
                </c:pt>
                <c:pt idx="17">
                  <c:v>1.1959</c:v>
                </c:pt>
                <c:pt idx="18">
                  <c:v>1.1972</c:v>
                </c:pt>
                <c:pt idx="19">
                  <c:v>1.2023999999999999</c:v>
                </c:pt>
                <c:pt idx="20">
                  <c:v>1.214</c:v>
                </c:pt>
                <c:pt idx="21">
                  <c:v>1.2134</c:v>
                </c:pt>
                <c:pt idx="22">
                  <c:v>1.2166999999999999</c:v>
                </c:pt>
                <c:pt idx="23">
                  <c:v>1.2203999999999999</c:v>
                </c:pt>
                <c:pt idx="24">
                  <c:v>1.2276</c:v>
                </c:pt>
                <c:pt idx="25">
                  <c:v>1.2329000000000001</c:v>
                </c:pt>
                <c:pt idx="26">
                  <c:v>1.2438</c:v>
                </c:pt>
                <c:pt idx="27">
                  <c:v>1.2509999999999999</c:v>
                </c:pt>
                <c:pt idx="28">
                  <c:v>1.2592000000000001</c:v>
                </c:pt>
                <c:pt idx="29">
                  <c:v>1.2629999999999999</c:v>
                </c:pt>
                <c:pt idx="30">
                  <c:v>1.2692000000000001</c:v>
                </c:pt>
                <c:pt idx="31">
                  <c:v>1.2825</c:v>
                </c:pt>
                <c:pt idx="32">
                  <c:v>1.2890999999999999</c:v>
                </c:pt>
                <c:pt idx="33">
                  <c:v>1.2961</c:v>
                </c:pt>
                <c:pt idx="34">
                  <c:v>1.3128</c:v>
                </c:pt>
                <c:pt idx="35">
                  <c:v>1.3180000000000001</c:v>
                </c:pt>
                <c:pt idx="36">
                  <c:v>1.3326</c:v>
                </c:pt>
                <c:pt idx="37">
                  <c:v>1.3460000000000001</c:v>
                </c:pt>
                <c:pt idx="38">
                  <c:v>1.3543000000000001</c:v>
                </c:pt>
                <c:pt idx="39">
                  <c:v>1.3662000000000001</c:v>
                </c:pt>
                <c:pt idx="40">
                  <c:v>1.3781000000000001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7B-8645-B353-BC20126C20FF}"/>
            </c:ext>
          </c:extLst>
        </c:ser>
        <c:ser>
          <c:idx val="7"/>
          <c:order val="7"/>
          <c:tx>
            <c:strRef>
              <c:f>'Round1.raw'!$K$2</c:f>
              <c:strCache>
                <c:ptCount val="1"/>
                <c:pt idx="0">
                  <c:v>pd.2_TSB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4000"/>
                </a:schemeClr>
              </a:solidFill>
              <a:ln w="9525">
                <a:solidFill>
                  <a:schemeClr val="accent1">
                    <a:tint val="84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'Round1.raw'!$K$3:$K$50</c:f>
              <c:numCache>
                <c:formatCode>General</c:formatCode>
                <c:ptCount val="41"/>
                <c:pt idx="0">
                  <c:v>0.99919999999999998</c:v>
                </c:pt>
                <c:pt idx="1">
                  <c:v>0.99219999999999997</c:v>
                </c:pt>
                <c:pt idx="2">
                  <c:v>1.0118</c:v>
                </c:pt>
                <c:pt idx="3">
                  <c:v>1.0450999999999999</c:v>
                </c:pt>
                <c:pt idx="4">
                  <c:v>1.0315000000000001</c:v>
                </c:pt>
                <c:pt idx="5">
                  <c:v>1.046</c:v>
                </c:pt>
                <c:pt idx="6">
                  <c:v>1.0612999999999999</c:v>
                </c:pt>
                <c:pt idx="7">
                  <c:v>1.0734999999999999</c:v>
                </c:pt>
                <c:pt idx="8">
                  <c:v>1.0771999999999999</c:v>
                </c:pt>
                <c:pt idx="9">
                  <c:v>1.1011</c:v>
                </c:pt>
                <c:pt idx="10">
                  <c:v>1.1321000000000001</c:v>
                </c:pt>
                <c:pt idx="11">
                  <c:v>1.1224000000000001</c:v>
                </c:pt>
                <c:pt idx="12">
                  <c:v>1.1564000000000001</c:v>
                </c:pt>
                <c:pt idx="13">
                  <c:v>1.1447000000000001</c:v>
                </c:pt>
                <c:pt idx="14">
                  <c:v>1.1573</c:v>
                </c:pt>
                <c:pt idx="15">
                  <c:v>1.1648000000000001</c:v>
                </c:pt>
                <c:pt idx="16">
                  <c:v>1.1813</c:v>
                </c:pt>
                <c:pt idx="17">
                  <c:v>1.1839</c:v>
                </c:pt>
                <c:pt idx="18">
                  <c:v>1.1798</c:v>
                </c:pt>
                <c:pt idx="19">
                  <c:v>1.1890000000000001</c:v>
                </c:pt>
                <c:pt idx="20">
                  <c:v>1.2197</c:v>
                </c:pt>
                <c:pt idx="21">
                  <c:v>1.1931</c:v>
                </c:pt>
                <c:pt idx="22">
                  <c:v>1.2003999999999999</c:v>
                </c:pt>
                <c:pt idx="23">
                  <c:v>1.2077</c:v>
                </c:pt>
                <c:pt idx="24">
                  <c:v>1.2095</c:v>
                </c:pt>
                <c:pt idx="25">
                  <c:v>1.2148000000000001</c:v>
                </c:pt>
                <c:pt idx="26">
                  <c:v>1.2191000000000001</c:v>
                </c:pt>
                <c:pt idx="27">
                  <c:v>1.2294</c:v>
                </c:pt>
                <c:pt idx="28">
                  <c:v>1.2379</c:v>
                </c:pt>
                <c:pt idx="29">
                  <c:v>1.2481</c:v>
                </c:pt>
                <c:pt idx="30">
                  <c:v>1.2578</c:v>
                </c:pt>
                <c:pt idx="31">
                  <c:v>1.2685</c:v>
                </c:pt>
                <c:pt idx="32">
                  <c:v>1.2788999999999999</c:v>
                </c:pt>
                <c:pt idx="33">
                  <c:v>1.2917000000000001</c:v>
                </c:pt>
                <c:pt idx="34">
                  <c:v>1.3001</c:v>
                </c:pt>
                <c:pt idx="35">
                  <c:v>1.3091999999999999</c:v>
                </c:pt>
                <c:pt idx="36">
                  <c:v>1.3204</c:v>
                </c:pt>
                <c:pt idx="37">
                  <c:v>1.3331</c:v>
                </c:pt>
                <c:pt idx="38">
                  <c:v>1.3444</c:v>
                </c:pt>
                <c:pt idx="39">
                  <c:v>1.3552</c:v>
                </c:pt>
                <c:pt idx="40">
                  <c:v>1.3701000000000001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7B-8645-B353-BC20126C20FF}"/>
            </c:ext>
          </c:extLst>
        </c:ser>
        <c:ser>
          <c:idx val="8"/>
          <c:order val="8"/>
          <c:tx>
            <c:strRef>
              <c:f>'Round1.raw'!$L$2</c:f>
              <c:strCache>
                <c:ptCount val="1"/>
                <c:pt idx="0">
                  <c:v>pd.3_TSB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4000"/>
                </a:schemeClr>
              </a:solidFill>
              <a:ln w="9525">
                <a:solidFill>
                  <a:schemeClr val="accent1">
                    <a:tint val="74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'Round1.raw'!$L$3:$L$50</c:f>
              <c:numCache>
                <c:formatCode>General</c:formatCode>
                <c:ptCount val="41"/>
                <c:pt idx="0">
                  <c:v>1.0079</c:v>
                </c:pt>
                <c:pt idx="1">
                  <c:v>0.998</c:v>
                </c:pt>
                <c:pt idx="2">
                  <c:v>1.0103</c:v>
                </c:pt>
                <c:pt idx="3">
                  <c:v>1.0442</c:v>
                </c:pt>
                <c:pt idx="4">
                  <c:v>1.0264</c:v>
                </c:pt>
                <c:pt idx="5">
                  <c:v>1.0392999999999999</c:v>
                </c:pt>
                <c:pt idx="6">
                  <c:v>1.0518000000000001</c:v>
                </c:pt>
                <c:pt idx="7">
                  <c:v>1.0669999999999999</c:v>
                </c:pt>
                <c:pt idx="8">
                  <c:v>1.0784</c:v>
                </c:pt>
                <c:pt idx="9">
                  <c:v>1.0911999999999999</c:v>
                </c:pt>
                <c:pt idx="10">
                  <c:v>1.1006</c:v>
                </c:pt>
                <c:pt idx="11">
                  <c:v>1.1197999999999999</c:v>
                </c:pt>
                <c:pt idx="12">
                  <c:v>1.1297999999999999</c:v>
                </c:pt>
                <c:pt idx="13">
                  <c:v>1.1426000000000001</c:v>
                </c:pt>
                <c:pt idx="14">
                  <c:v>1.1578999999999999</c:v>
                </c:pt>
                <c:pt idx="15">
                  <c:v>1.1712</c:v>
                </c:pt>
                <c:pt idx="16">
                  <c:v>1.1724000000000001</c:v>
                </c:pt>
                <c:pt idx="17">
                  <c:v>1.1769000000000001</c:v>
                </c:pt>
                <c:pt idx="18">
                  <c:v>1.1867000000000001</c:v>
                </c:pt>
                <c:pt idx="19">
                  <c:v>1.2025999999999999</c:v>
                </c:pt>
                <c:pt idx="20">
                  <c:v>1.2114</c:v>
                </c:pt>
                <c:pt idx="21">
                  <c:v>1.2132000000000001</c:v>
                </c:pt>
                <c:pt idx="22">
                  <c:v>1.2150000000000001</c:v>
                </c:pt>
                <c:pt idx="23">
                  <c:v>1.2212000000000001</c:v>
                </c:pt>
                <c:pt idx="24">
                  <c:v>1.2351000000000001</c:v>
                </c:pt>
                <c:pt idx="25">
                  <c:v>1.2402</c:v>
                </c:pt>
                <c:pt idx="26">
                  <c:v>1.2504999999999999</c:v>
                </c:pt>
                <c:pt idx="27">
                  <c:v>1.2555000000000001</c:v>
                </c:pt>
                <c:pt idx="28">
                  <c:v>1.2689999999999999</c:v>
                </c:pt>
                <c:pt idx="29">
                  <c:v>1.2790999999999999</c:v>
                </c:pt>
                <c:pt idx="30">
                  <c:v>1.2827</c:v>
                </c:pt>
                <c:pt idx="31">
                  <c:v>1.2957000000000001</c:v>
                </c:pt>
                <c:pt idx="32">
                  <c:v>1.3028</c:v>
                </c:pt>
                <c:pt idx="33">
                  <c:v>1.3137000000000001</c:v>
                </c:pt>
                <c:pt idx="34">
                  <c:v>1.3227</c:v>
                </c:pt>
                <c:pt idx="35">
                  <c:v>1.3355999999999999</c:v>
                </c:pt>
                <c:pt idx="36">
                  <c:v>1.3471</c:v>
                </c:pt>
                <c:pt idx="37">
                  <c:v>1.3545</c:v>
                </c:pt>
                <c:pt idx="38">
                  <c:v>1.3663000000000001</c:v>
                </c:pt>
                <c:pt idx="39">
                  <c:v>1.3747</c:v>
                </c:pt>
                <c:pt idx="40">
                  <c:v>1.3876999999999999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67B-8645-B353-BC20126C20FF}"/>
            </c:ext>
          </c:extLst>
        </c:ser>
        <c:ser>
          <c:idx val="9"/>
          <c:order val="9"/>
          <c:tx>
            <c:strRef>
              <c:f>'Round1.raw'!$M$2</c:f>
              <c:strCache>
                <c:ptCount val="1"/>
                <c:pt idx="0">
                  <c:v>so.1_TSB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1">
                    <a:tint val="63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'Round1.raw'!$M$3:$M$50</c:f>
              <c:numCache>
                <c:formatCode>General</c:formatCode>
                <c:ptCount val="41"/>
                <c:pt idx="0">
                  <c:v>0.68340000000000001</c:v>
                </c:pt>
                <c:pt idx="1">
                  <c:v>0.69610000000000005</c:v>
                </c:pt>
                <c:pt idx="2">
                  <c:v>0.67200000000000004</c:v>
                </c:pt>
                <c:pt idx="3">
                  <c:v>0.71009999999999995</c:v>
                </c:pt>
                <c:pt idx="4">
                  <c:v>0.67559999999999998</c:v>
                </c:pt>
                <c:pt idx="5">
                  <c:v>0.67700000000000005</c:v>
                </c:pt>
                <c:pt idx="6">
                  <c:v>0.68069999999999997</c:v>
                </c:pt>
                <c:pt idx="7">
                  <c:v>0.68340000000000001</c:v>
                </c:pt>
                <c:pt idx="8">
                  <c:v>0.69040000000000001</c:v>
                </c:pt>
                <c:pt idx="9">
                  <c:v>0.70569999999999999</c:v>
                </c:pt>
                <c:pt idx="10">
                  <c:v>0.73680000000000001</c:v>
                </c:pt>
                <c:pt idx="11">
                  <c:v>0.71619999999999995</c:v>
                </c:pt>
                <c:pt idx="12">
                  <c:v>0.74390000000000001</c:v>
                </c:pt>
                <c:pt idx="13">
                  <c:v>0.72709999999999997</c:v>
                </c:pt>
                <c:pt idx="14">
                  <c:v>0.73629999999999995</c:v>
                </c:pt>
                <c:pt idx="15">
                  <c:v>0.7429</c:v>
                </c:pt>
                <c:pt idx="16">
                  <c:v>0.76680000000000004</c:v>
                </c:pt>
                <c:pt idx="17">
                  <c:v>0.76080000000000003</c:v>
                </c:pt>
                <c:pt idx="18">
                  <c:v>0.75939999999999996</c:v>
                </c:pt>
                <c:pt idx="19">
                  <c:v>0.75829999999999997</c:v>
                </c:pt>
                <c:pt idx="20">
                  <c:v>0.79549999999999998</c:v>
                </c:pt>
                <c:pt idx="21">
                  <c:v>0.76100000000000001</c:v>
                </c:pt>
                <c:pt idx="22">
                  <c:v>0.77129999999999999</c:v>
                </c:pt>
                <c:pt idx="23">
                  <c:v>0.77090000000000003</c:v>
                </c:pt>
                <c:pt idx="24">
                  <c:v>0.77239999999999998</c:v>
                </c:pt>
                <c:pt idx="25">
                  <c:v>0.77500000000000002</c:v>
                </c:pt>
                <c:pt idx="26">
                  <c:v>0.77359999999999995</c:v>
                </c:pt>
                <c:pt idx="27">
                  <c:v>0.77810000000000001</c:v>
                </c:pt>
                <c:pt idx="28">
                  <c:v>0.78280000000000005</c:v>
                </c:pt>
                <c:pt idx="29">
                  <c:v>0.78369999999999995</c:v>
                </c:pt>
                <c:pt idx="30">
                  <c:v>0.78910000000000002</c:v>
                </c:pt>
                <c:pt idx="31">
                  <c:v>0.79890000000000005</c:v>
                </c:pt>
                <c:pt idx="32">
                  <c:v>0.82289999999999996</c:v>
                </c:pt>
                <c:pt idx="33">
                  <c:v>0.84140000000000004</c:v>
                </c:pt>
                <c:pt idx="34">
                  <c:v>0.86309999999999998</c:v>
                </c:pt>
                <c:pt idx="35">
                  <c:v>0.88990000000000002</c:v>
                </c:pt>
                <c:pt idx="36">
                  <c:v>0.90849999999999997</c:v>
                </c:pt>
                <c:pt idx="37">
                  <c:v>0.93059999999999998</c:v>
                </c:pt>
                <c:pt idx="38">
                  <c:v>0.9607</c:v>
                </c:pt>
                <c:pt idx="39">
                  <c:v>0.98260000000000003</c:v>
                </c:pt>
                <c:pt idx="40">
                  <c:v>0.98829999999999996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7B-8645-B353-BC20126C20FF}"/>
            </c:ext>
          </c:extLst>
        </c:ser>
        <c:ser>
          <c:idx val="10"/>
          <c:order val="10"/>
          <c:tx>
            <c:strRef>
              <c:f>'Round1.raw'!$N$2</c:f>
              <c:strCache>
                <c:ptCount val="1"/>
                <c:pt idx="0">
                  <c:v>so.2_TSB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1">
                    <a:tint val="52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'Round1.raw'!$N$3:$N$50</c:f>
              <c:numCache>
                <c:formatCode>General</c:formatCode>
                <c:ptCount val="41"/>
                <c:pt idx="0">
                  <c:v>0.58120000000000005</c:v>
                </c:pt>
                <c:pt idx="1">
                  <c:v>0.61699999999999999</c:v>
                </c:pt>
                <c:pt idx="2">
                  <c:v>0.61080000000000001</c:v>
                </c:pt>
                <c:pt idx="3">
                  <c:v>0.66010000000000002</c:v>
                </c:pt>
                <c:pt idx="4">
                  <c:v>0.63070000000000004</c:v>
                </c:pt>
                <c:pt idx="5">
                  <c:v>0.63460000000000005</c:v>
                </c:pt>
                <c:pt idx="6">
                  <c:v>0.64190000000000003</c:v>
                </c:pt>
                <c:pt idx="7">
                  <c:v>0.6522</c:v>
                </c:pt>
                <c:pt idx="8">
                  <c:v>0.65139999999999998</c:v>
                </c:pt>
                <c:pt idx="9">
                  <c:v>0.67230000000000001</c:v>
                </c:pt>
                <c:pt idx="10">
                  <c:v>0.67669999999999997</c:v>
                </c:pt>
                <c:pt idx="11">
                  <c:v>0.68500000000000005</c:v>
                </c:pt>
                <c:pt idx="12">
                  <c:v>0.68930000000000002</c:v>
                </c:pt>
                <c:pt idx="13">
                  <c:v>0.69640000000000002</c:v>
                </c:pt>
                <c:pt idx="14">
                  <c:v>0.70660000000000001</c:v>
                </c:pt>
                <c:pt idx="15">
                  <c:v>0.70630000000000004</c:v>
                </c:pt>
                <c:pt idx="16">
                  <c:v>0.70640000000000003</c:v>
                </c:pt>
                <c:pt idx="17">
                  <c:v>0.69330000000000003</c:v>
                </c:pt>
                <c:pt idx="18">
                  <c:v>0.72409999999999997</c:v>
                </c:pt>
                <c:pt idx="19">
                  <c:v>0.7288</c:v>
                </c:pt>
                <c:pt idx="20">
                  <c:v>0.72309999999999997</c:v>
                </c:pt>
                <c:pt idx="21">
                  <c:v>0.7198</c:v>
                </c:pt>
                <c:pt idx="22">
                  <c:v>0.73560000000000003</c:v>
                </c:pt>
                <c:pt idx="23">
                  <c:v>0.74139999999999995</c:v>
                </c:pt>
                <c:pt idx="24">
                  <c:v>0.74619999999999997</c:v>
                </c:pt>
                <c:pt idx="25">
                  <c:v>0.74509999999999998</c:v>
                </c:pt>
                <c:pt idx="26">
                  <c:v>0.75280000000000002</c:v>
                </c:pt>
                <c:pt idx="27">
                  <c:v>0.74939999999999996</c:v>
                </c:pt>
                <c:pt idx="28">
                  <c:v>0.75</c:v>
                </c:pt>
                <c:pt idx="29">
                  <c:v>0.75439999999999996</c:v>
                </c:pt>
                <c:pt idx="30">
                  <c:v>0.76160000000000005</c:v>
                </c:pt>
                <c:pt idx="31">
                  <c:v>0.76370000000000005</c:v>
                </c:pt>
                <c:pt idx="32">
                  <c:v>0.76370000000000005</c:v>
                </c:pt>
                <c:pt idx="33">
                  <c:v>0.78039999999999998</c:v>
                </c:pt>
                <c:pt idx="34">
                  <c:v>0.77359999999999995</c:v>
                </c:pt>
                <c:pt idx="35">
                  <c:v>0.79020000000000001</c:v>
                </c:pt>
                <c:pt idx="36">
                  <c:v>0.81379999999999997</c:v>
                </c:pt>
                <c:pt idx="37">
                  <c:v>0.81850000000000001</c:v>
                </c:pt>
                <c:pt idx="38">
                  <c:v>0.82579999999999998</c:v>
                </c:pt>
                <c:pt idx="39">
                  <c:v>0.82879999999999998</c:v>
                </c:pt>
                <c:pt idx="40">
                  <c:v>0.83579999999999999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67B-8645-B353-BC20126C20FF}"/>
            </c:ext>
          </c:extLst>
        </c:ser>
        <c:ser>
          <c:idx val="11"/>
          <c:order val="11"/>
          <c:tx>
            <c:strRef>
              <c:f>'Round1.raw'!$O$2</c:f>
              <c:strCache>
                <c:ptCount val="1"/>
                <c:pt idx="0">
                  <c:v>so.3_TSB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chemeClr val="accent1">
                    <a:tint val="41000"/>
                  </a:schemeClr>
                </a:solidFill>
              </a:ln>
              <a:effectLst/>
            </c:spPr>
          </c:marker>
          <c:xVal>
            <c:numRef>
              <c:f>'Round1.raw'!$C$3:$C$50</c:f>
              <c:numCache>
                <c:formatCode>0</c:formatCode>
                <c:ptCount val="4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70</c:v>
                </c:pt>
                <c:pt idx="4">
                  <c:v>100</c:v>
                </c:pt>
                <c:pt idx="5">
                  <c:v>130</c:v>
                </c:pt>
                <c:pt idx="6">
                  <c:v>160</c:v>
                </c:pt>
                <c:pt idx="7">
                  <c:v>190</c:v>
                </c:pt>
                <c:pt idx="8">
                  <c:v>200</c:v>
                </c:pt>
                <c:pt idx="9">
                  <c:v>230</c:v>
                </c:pt>
                <c:pt idx="10">
                  <c:v>240</c:v>
                </c:pt>
                <c:pt idx="11">
                  <c:v>240</c:v>
                </c:pt>
                <c:pt idx="12">
                  <c:v>270</c:v>
                </c:pt>
                <c:pt idx="13">
                  <c:v>300</c:v>
                </c:pt>
                <c:pt idx="14">
                  <c:v>330</c:v>
                </c:pt>
                <c:pt idx="15">
                  <c:v>360</c:v>
                </c:pt>
                <c:pt idx="16">
                  <c:v>390</c:v>
                </c:pt>
                <c:pt idx="17">
                  <c:v>420</c:v>
                </c:pt>
                <c:pt idx="18">
                  <c:v>450</c:v>
                </c:pt>
                <c:pt idx="19">
                  <c:v>480</c:v>
                </c:pt>
                <c:pt idx="20">
                  <c:v>510</c:v>
                </c:pt>
                <c:pt idx="21">
                  <c:v>540</c:v>
                </c:pt>
                <c:pt idx="22">
                  <c:v>570</c:v>
                </c:pt>
                <c:pt idx="23">
                  <c:v>600</c:v>
                </c:pt>
                <c:pt idx="24">
                  <c:v>630</c:v>
                </c:pt>
                <c:pt idx="25">
                  <c:v>660</c:v>
                </c:pt>
                <c:pt idx="26">
                  <c:v>690</c:v>
                </c:pt>
                <c:pt idx="27">
                  <c:v>720</c:v>
                </c:pt>
                <c:pt idx="28">
                  <c:v>750</c:v>
                </c:pt>
                <c:pt idx="29">
                  <c:v>780</c:v>
                </c:pt>
                <c:pt idx="30">
                  <c:v>810</c:v>
                </c:pt>
                <c:pt idx="31">
                  <c:v>840</c:v>
                </c:pt>
                <c:pt idx="32">
                  <c:v>870</c:v>
                </c:pt>
                <c:pt idx="33">
                  <c:v>900</c:v>
                </c:pt>
                <c:pt idx="34">
                  <c:v>930</c:v>
                </c:pt>
                <c:pt idx="35">
                  <c:v>960</c:v>
                </c:pt>
                <c:pt idx="36">
                  <c:v>990</c:v>
                </c:pt>
                <c:pt idx="37">
                  <c:v>1020</c:v>
                </c:pt>
                <c:pt idx="38">
                  <c:v>1050</c:v>
                </c:pt>
                <c:pt idx="39">
                  <c:v>1080</c:v>
                </c:pt>
                <c:pt idx="40">
                  <c:v>1110</c:v>
                </c:pt>
              </c:numCache>
            </c:numRef>
          </c:xVal>
          <c:yVal>
            <c:numRef>
              <c:f>'Round1.raw'!$O$3:$O$50</c:f>
              <c:numCache>
                <c:formatCode>General</c:formatCode>
                <c:ptCount val="41"/>
                <c:pt idx="0">
                  <c:v>0.70399999999999996</c:v>
                </c:pt>
                <c:pt idx="1">
                  <c:v>0.7147</c:v>
                </c:pt>
                <c:pt idx="2">
                  <c:v>0.69620000000000004</c:v>
                </c:pt>
                <c:pt idx="3">
                  <c:v>0.71530000000000005</c:v>
                </c:pt>
                <c:pt idx="4">
                  <c:v>0.70779999999999998</c:v>
                </c:pt>
                <c:pt idx="5">
                  <c:v>0.69189999999999996</c:v>
                </c:pt>
                <c:pt idx="6">
                  <c:v>0.69079999999999997</c:v>
                </c:pt>
                <c:pt idx="7">
                  <c:v>0.7016</c:v>
                </c:pt>
                <c:pt idx="8">
                  <c:v>0.68930000000000002</c:v>
                </c:pt>
                <c:pt idx="9">
                  <c:v>0.71779999999999999</c:v>
                </c:pt>
                <c:pt idx="10">
                  <c:v>0.69210000000000005</c:v>
                </c:pt>
                <c:pt idx="11">
                  <c:v>0.71760000000000002</c:v>
                </c:pt>
                <c:pt idx="12">
                  <c:v>0.70960000000000001</c:v>
                </c:pt>
                <c:pt idx="13">
                  <c:v>0.71030000000000004</c:v>
                </c:pt>
                <c:pt idx="14">
                  <c:v>0.71630000000000005</c:v>
                </c:pt>
                <c:pt idx="15">
                  <c:v>0.72030000000000005</c:v>
                </c:pt>
                <c:pt idx="16">
                  <c:v>0.70830000000000004</c:v>
                </c:pt>
                <c:pt idx="17">
                  <c:v>0.70540000000000003</c:v>
                </c:pt>
                <c:pt idx="18">
                  <c:v>0.72589999999999999</c:v>
                </c:pt>
                <c:pt idx="19">
                  <c:v>0.72509999999999997</c:v>
                </c:pt>
                <c:pt idx="20">
                  <c:v>0.72399999999999998</c:v>
                </c:pt>
                <c:pt idx="21">
                  <c:v>0.72909999999999997</c:v>
                </c:pt>
                <c:pt idx="22">
                  <c:v>0.72219999999999995</c:v>
                </c:pt>
                <c:pt idx="23">
                  <c:v>0.73329999999999995</c:v>
                </c:pt>
                <c:pt idx="24">
                  <c:v>0.73560000000000003</c:v>
                </c:pt>
                <c:pt idx="25">
                  <c:v>0.73070000000000002</c:v>
                </c:pt>
                <c:pt idx="26">
                  <c:v>0.71899999999999997</c:v>
                </c:pt>
                <c:pt idx="27">
                  <c:v>0.71879999999999999</c:v>
                </c:pt>
                <c:pt idx="28">
                  <c:v>0.71709999999999996</c:v>
                </c:pt>
                <c:pt idx="29">
                  <c:v>0.7097</c:v>
                </c:pt>
                <c:pt idx="30">
                  <c:v>0.71989999999999998</c:v>
                </c:pt>
                <c:pt idx="31">
                  <c:v>0.70120000000000005</c:v>
                </c:pt>
                <c:pt idx="32">
                  <c:v>0.69220000000000004</c:v>
                </c:pt>
                <c:pt idx="33">
                  <c:v>0.72409999999999997</c:v>
                </c:pt>
                <c:pt idx="34">
                  <c:v>0.69389999999999996</c:v>
                </c:pt>
                <c:pt idx="35">
                  <c:v>0.69269999999999998</c:v>
                </c:pt>
                <c:pt idx="36">
                  <c:v>0.70069999999999999</c:v>
                </c:pt>
                <c:pt idx="37">
                  <c:v>0.72670000000000001</c:v>
                </c:pt>
                <c:pt idx="38">
                  <c:v>0.76219999999999999</c:v>
                </c:pt>
                <c:pt idx="39">
                  <c:v>0.80310000000000004</c:v>
                </c:pt>
                <c:pt idx="40">
                  <c:v>0.84350000000000003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67B-8645-B353-BC20126C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92176"/>
        <c:axId val="1504164768"/>
      </c:scatterChart>
      <c:valAx>
        <c:axId val="14375921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</a:t>
                </a:r>
                <a:r>
                  <a:rPr lang="zh-CN"/>
                  <a:t> </a:t>
                </a:r>
                <a:r>
                  <a:rPr lang="en-US"/>
                  <a:t>(min)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1504164768"/>
        <c:crosses val="autoZero"/>
        <c:crossBetween val="midCat"/>
      </c:valAx>
      <c:valAx>
        <c:axId val="15041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CN"/>
          </a:p>
        </c:txPr>
        <c:crossAx val="143759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772583</xdr:colOff>
      <xdr:row>3</xdr:row>
      <xdr:rowOff>140829</xdr:rowOff>
    </xdr:from>
    <xdr:to>
      <xdr:col>24</xdr:col>
      <xdr:colOff>90953</xdr:colOff>
      <xdr:row>36</xdr:row>
      <xdr:rowOff>97194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5CE43-22B3-B949-0CC0-1BD61BCF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81280</xdr:colOff>
      <xdr:row>21</xdr:row>
      <xdr:rowOff>0</xdr:rowOff>
    </xdr:from>
    <xdr:to>
      <xdr:col>14</xdr:col>
      <xdr:colOff>396240</xdr:colOff>
      <xdr:row>39</xdr:row>
      <xdr:rowOff>172720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E0AA7B-BADF-9E96-0133-448D5A51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FF1-D253-584C-96A3-EB098752F4F2}">
  <sheetPr codeName="Sheet1"/>
  <dimension ref="A1:E991"/>
  <sheetViews>
    <sheetView topLeftCell="A291" workbookViewId="0">
      <selection activeCell="B332" sqref="B332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19</v>
      </c>
      <c r="B1" s="2" t="s">
        <v>2</v>
      </c>
      <c r="C1" s="2" t="s">
        <v>23</v>
      </c>
      <c r="D1" s="2" t="s">
        <v>18</v>
      </c>
      <c r="E1" s="2" t="s">
        <v>25</v>
      </c>
    </row>
    <row r="2" spans="1:5" x14ac:dyDescent="0.2">
      <c r="A2" t="s">
        <v>9</v>
      </c>
      <c r="B2">
        <v>0</v>
      </c>
      <c r="C2" s="1">
        <v>9.3899999999999997E-2</v>
      </c>
      <c r="D2" t="s">
        <v>53</v>
      </c>
      <c r="E2" t="s">
        <v>26</v>
      </c>
    </row>
    <row r="3" spans="1:5" x14ac:dyDescent="0.2">
      <c r="A3" t="s">
        <v>9</v>
      </c>
      <c r="B3">
        <f>B2+60</f>
        <v>60</v>
      </c>
      <c r="C3" s="1">
        <v>9.3100000000000002E-2</v>
      </c>
      <c r="D3" t="s">
        <v>53</v>
      </c>
      <c r="E3" t="s">
        <v>26</v>
      </c>
    </row>
    <row r="4" spans="1:5" x14ac:dyDescent="0.2">
      <c r="A4" t="s">
        <v>9</v>
      </c>
      <c r="B4">
        <f t="shared" ref="B4:B18" si="0">B3+60</f>
        <v>120</v>
      </c>
      <c r="C4" s="1">
        <v>9.3600000000000003E-2</v>
      </c>
      <c r="D4" t="s">
        <v>53</v>
      </c>
      <c r="E4" t="s">
        <v>26</v>
      </c>
    </row>
    <row r="5" spans="1:5" x14ac:dyDescent="0.2">
      <c r="A5" t="s">
        <v>9</v>
      </c>
      <c r="B5">
        <f t="shared" si="0"/>
        <v>180</v>
      </c>
      <c r="C5" s="1">
        <v>9.3799999999999994E-2</v>
      </c>
      <c r="D5" t="s">
        <v>53</v>
      </c>
      <c r="E5" t="s">
        <v>26</v>
      </c>
    </row>
    <row r="6" spans="1:5" x14ac:dyDescent="0.2">
      <c r="A6" t="s">
        <v>9</v>
      </c>
      <c r="B6">
        <f t="shared" si="0"/>
        <v>240</v>
      </c>
      <c r="C6" s="1">
        <v>9.4100000000000003E-2</v>
      </c>
      <c r="D6" t="s">
        <v>53</v>
      </c>
      <c r="E6" t="s">
        <v>26</v>
      </c>
    </row>
    <row r="7" spans="1:5" x14ac:dyDescent="0.2">
      <c r="A7" t="s">
        <v>9</v>
      </c>
      <c r="B7">
        <f t="shared" si="0"/>
        <v>300</v>
      </c>
      <c r="C7" s="1">
        <v>9.4500000000000001E-2</v>
      </c>
      <c r="D7" t="s">
        <v>53</v>
      </c>
      <c r="E7" t="s">
        <v>26</v>
      </c>
    </row>
    <row r="8" spans="1:5" x14ac:dyDescent="0.2">
      <c r="A8" t="s">
        <v>9</v>
      </c>
      <c r="B8">
        <f t="shared" si="0"/>
        <v>360</v>
      </c>
      <c r="C8" s="1">
        <v>9.4700000000000006E-2</v>
      </c>
      <c r="D8" t="s">
        <v>53</v>
      </c>
      <c r="E8" t="s">
        <v>26</v>
      </c>
    </row>
    <row r="9" spans="1:5" x14ac:dyDescent="0.2">
      <c r="A9" t="s">
        <v>9</v>
      </c>
      <c r="B9">
        <f t="shared" si="0"/>
        <v>420</v>
      </c>
      <c r="C9" s="1">
        <v>9.4700000000000006E-2</v>
      </c>
      <c r="D9" t="s">
        <v>53</v>
      </c>
      <c r="E9" t="s">
        <v>26</v>
      </c>
    </row>
    <row r="10" spans="1:5" x14ac:dyDescent="0.2">
      <c r="A10" t="s">
        <v>9</v>
      </c>
      <c r="B10">
        <f t="shared" si="0"/>
        <v>480</v>
      </c>
      <c r="C10" s="1">
        <v>9.5100000000000004E-2</v>
      </c>
      <c r="D10" t="s">
        <v>53</v>
      </c>
      <c r="E10" t="s">
        <v>26</v>
      </c>
    </row>
    <row r="11" spans="1:5" x14ac:dyDescent="0.2">
      <c r="A11" t="s">
        <v>9</v>
      </c>
      <c r="B11">
        <f t="shared" si="0"/>
        <v>540</v>
      </c>
      <c r="C11" s="1">
        <v>9.5000000000000001E-2</v>
      </c>
      <c r="D11" t="s">
        <v>53</v>
      </c>
      <c r="E11" t="s">
        <v>26</v>
      </c>
    </row>
    <row r="12" spans="1:5" x14ac:dyDescent="0.2">
      <c r="A12" t="s">
        <v>9</v>
      </c>
      <c r="B12">
        <f t="shared" si="0"/>
        <v>600</v>
      </c>
      <c r="C12" s="1">
        <v>9.5100000000000004E-2</v>
      </c>
      <c r="D12" t="s">
        <v>53</v>
      </c>
      <c r="E12" t="s">
        <v>26</v>
      </c>
    </row>
    <row r="13" spans="1:5" x14ac:dyDescent="0.2">
      <c r="A13" t="s">
        <v>9</v>
      </c>
      <c r="B13">
        <f t="shared" si="0"/>
        <v>660</v>
      </c>
      <c r="C13" s="1">
        <v>9.5100000000000004E-2</v>
      </c>
      <c r="D13" t="s">
        <v>53</v>
      </c>
      <c r="E13" t="s">
        <v>26</v>
      </c>
    </row>
    <row r="14" spans="1:5" x14ac:dyDescent="0.2">
      <c r="A14" t="s">
        <v>9</v>
      </c>
      <c r="B14">
        <f t="shared" si="0"/>
        <v>720</v>
      </c>
      <c r="C14" s="1">
        <v>9.5100000000000004E-2</v>
      </c>
      <c r="D14" t="s">
        <v>53</v>
      </c>
      <c r="E14" t="s">
        <v>26</v>
      </c>
    </row>
    <row r="15" spans="1:5" x14ac:dyDescent="0.2">
      <c r="A15" t="s">
        <v>9</v>
      </c>
      <c r="B15">
        <f t="shared" si="0"/>
        <v>780</v>
      </c>
      <c r="C15" s="1">
        <v>9.5100000000000004E-2</v>
      </c>
      <c r="D15" t="s">
        <v>53</v>
      </c>
      <c r="E15" t="s">
        <v>26</v>
      </c>
    </row>
    <row r="16" spans="1:5" x14ac:dyDescent="0.2">
      <c r="A16" t="s">
        <v>9</v>
      </c>
      <c r="B16">
        <f t="shared" si="0"/>
        <v>840</v>
      </c>
      <c r="C16" s="1">
        <v>9.5299999999999996E-2</v>
      </c>
      <c r="D16" t="s">
        <v>53</v>
      </c>
      <c r="E16" t="s">
        <v>26</v>
      </c>
    </row>
    <row r="17" spans="1:5" x14ac:dyDescent="0.2">
      <c r="A17" t="s">
        <v>9</v>
      </c>
      <c r="B17">
        <f t="shared" si="0"/>
        <v>900</v>
      </c>
      <c r="C17" s="1">
        <v>9.5299999999999996E-2</v>
      </c>
      <c r="D17" t="s">
        <v>53</v>
      </c>
      <c r="E17" t="s">
        <v>26</v>
      </c>
    </row>
    <row r="18" spans="1:5" x14ac:dyDescent="0.2">
      <c r="A18" t="s">
        <v>9</v>
      </c>
      <c r="B18">
        <f t="shared" si="0"/>
        <v>960</v>
      </c>
      <c r="C18" s="1">
        <v>9.8000000000000004E-2</v>
      </c>
      <c r="D18" t="s">
        <v>53</v>
      </c>
      <c r="E18" t="s">
        <v>26</v>
      </c>
    </row>
    <row r="19" spans="1:5" x14ac:dyDescent="0.2">
      <c r="A19" t="s">
        <v>9</v>
      </c>
      <c r="B19">
        <f>B18+30</f>
        <v>990</v>
      </c>
      <c r="C19" s="1">
        <v>0.2485</v>
      </c>
      <c r="D19" t="s">
        <v>53</v>
      </c>
      <c r="E19" t="s">
        <v>26</v>
      </c>
    </row>
    <row r="20" spans="1:5" x14ac:dyDescent="0.2">
      <c r="A20" t="s">
        <v>9</v>
      </c>
      <c r="B20">
        <f t="shared" ref="B20:B26" si="1">B19+30</f>
        <v>1020</v>
      </c>
      <c r="C20" s="1">
        <v>0.14410000000000001</v>
      </c>
      <c r="D20" t="s">
        <v>53</v>
      </c>
      <c r="E20" t="s">
        <v>26</v>
      </c>
    </row>
    <row r="21" spans="1:5" x14ac:dyDescent="0.2">
      <c r="A21" t="s">
        <v>9</v>
      </c>
      <c r="B21">
        <f t="shared" si="1"/>
        <v>1050</v>
      </c>
      <c r="C21" s="1">
        <v>0.13850000000000001</v>
      </c>
      <c r="D21" t="s">
        <v>53</v>
      </c>
      <c r="E21" t="s">
        <v>26</v>
      </c>
    </row>
    <row r="22" spans="1:5" x14ac:dyDescent="0.2">
      <c r="A22" t="s">
        <v>9</v>
      </c>
      <c r="B22">
        <f t="shared" si="1"/>
        <v>1080</v>
      </c>
      <c r="C22" s="1">
        <v>0.1459</v>
      </c>
      <c r="D22" t="s">
        <v>53</v>
      </c>
      <c r="E22" t="s">
        <v>26</v>
      </c>
    </row>
    <row r="23" spans="1:5" x14ac:dyDescent="0.2">
      <c r="A23" t="s">
        <v>9</v>
      </c>
      <c r="B23">
        <f t="shared" si="1"/>
        <v>1110</v>
      </c>
      <c r="C23" s="1">
        <v>0.159</v>
      </c>
      <c r="D23" t="s">
        <v>53</v>
      </c>
      <c r="E23" t="s">
        <v>26</v>
      </c>
    </row>
    <row r="24" spans="1:5" x14ac:dyDescent="0.2">
      <c r="A24" t="s">
        <v>9</v>
      </c>
      <c r="B24">
        <f t="shared" si="1"/>
        <v>1140</v>
      </c>
      <c r="C24" s="1">
        <v>0.1547</v>
      </c>
      <c r="D24" t="s">
        <v>53</v>
      </c>
      <c r="E24" t="s">
        <v>26</v>
      </c>
    </row>
    <row r="25" spans="1:5" x14ac:dyDescent="0.2">
      <c r="A25" t="s">
        <v>9</v>
      </c>
      <c r="B25">
        <f t="shared" si="1"/>
        <v>1170</v>
      </c>
      <c r="C25" s="1">
        <v>0.14710000000000001</v>
      </c>
      <c r="D25" t="s">
        <v>53</v>
      </c>
      <c r="E25" t="s">
        <v>26</v>
      </c>
    </row>
    <row r="26" spans="1:5" x14ac:dyDescent="0.2">
      <c r="A26" t="s">
        <v>9</v>
      </c>
      <c r="B26">
        <f t="shared" si="1"/>
        <v>1200</v>
      </c>
      <c r="C26" s="1">
        <v>0.16120000000000001</v>
      </c>
      <c r="D26" t="s">
        <v>53</v>
      </c>
      <c r="E26" t="s">
        <v>26</v>
      </c>
    </row>
    <row r="27" spans="1:5" x14ac:dyDescent="0.2">
      <c r="A27" t="s">
        <v>9</v>
      </c>
      <c r="B27">
        <f>B26+30</f>
        <v>1230</v>
      </c>
      <c r="C27" s="1">
        <v>0.15340000000000001</v>
      </c>
      <c r="D27" t="s">
        <v>53</v>
      </c>
      <c r="E27" t="s">
        <v>26</v>
      </c>
    </row>
    <row r="28" spans="1:5" x14ac:dyDescent="0.2">
      <c r="A28" t="s">
        <v>9</v>
      </c>
      <c r="B28">
        <f>B27+30</f>
        <v>1260</v>
      </c>
      <c r="C28" s="1">
        <v>0.2467</v>
      </c>
      <c r="D28" t="s">
        <v>53</v>
      </c>
      <c r="E28" t="s">
        <v>26</v>
      </c>
    </row>
    <row r="29" spans="1:5" x14ac:dyDescent="0.2">
      <c r="A29" t="s">
        <v>9</v>
      </c>
      <c r="B29">
        <f>B28+30</f>
        <v>1290</v>
      </c>
      <c r="C29" s="1">
        <v>0.13900000000000001</v>
      </c>
      <c r="D29" t="s">
        <v>53</v>
      </c>
      <c r="E29" t="s">
        <v>26</v>
      </c>
    </row>
    <row r="30" spans="1:5" x14ac:dyDescent="0.2">
      <c r="A30" t="s">
        <v>9</v>
      </c>
      <c r="B30">
        <f>B27+90</f>
        <v>1320</v>
      </c>
      <c r="C30" s="1">
        <v>0.1792</v>
      </c>
      <c r="D30" t="s">
        <v>53</v>
      </c>
      <c r="E30" t="s">
        <v>26</v>
      </c>
    </row>
    <row r="31" spans="1:5" x14ac:dyDescent="0.2">
      <c r="A31" t="s">
        <v>9</v>
      </c>
      <c r="B31">
        <f>B30+20</f>
        <v>1340</v>
      </c>
      <c r="C31" s="1">
        <v>0.2707</v>
      </c>
      <c r="D31" t="s">
        <v>53</v>
      </c>
      <c r="E31" t="s">
        <v>26</v>
      </c>
    </row>
    <row r="32" spans="1:5" x14ac:dyDescent="0.2">
      <c r="A32" t="s">
        <v>9</v>
      </c>
      <c r="B32">
        <f>B31+30</f>
        <v>1370</v>
      </c>
      <c r="C32" s="1">
        <v>0.15620000000000001</v>
      </c>
      <c r="D32" t="s">
        <v>53</v>
      </c>
      <c r="E32" t="s">
        <v>26</v>
      </c>
    </row>
    <row r="33" spans="1:5" x14ac:dyDescent="0.2">
      <c r="A33" t="s">
        <v>9</v>
      </c>
      <c r="B33">
        <f>B30+60</f>
        <v>1380</v>
      </c>
      <c r="C33" s="1">
        <v>0.21510000000000001</v>
      </c>
      <c r="D33" t="s">
        <v>53</v>
      </c>
      <c r="E33" t="s">
        <v>26</v>
      </c>
    </row>
    <row r="34" spans="1:5" x14ac:dyDescent="0.2">
      <c r="A34" t="s">
        <v>9</v>
      </c>
      <c r="B34">
        <f>B33+30</f>
        <v>1410</v>
      </c>
      <c r="C34" s="1">
        <v>0.1283</v>
      </c>
      <c r="D34" t="s">
        <v>53</v>
      </c>
      <c r="E34" t="s">
        <v>26</v>
      </c>
    </row>
    <row r="35" spans="1:5" x14ac:dyDescent="0.2">
      <c r="A35" t="s">
        <v>9</v>
      </c>
      <c r="B35">
        <f t="shared" ref="B35:B56" si="2">B34+30</f>
        <v>1440</v>
      </c>
      <c r="C35" s="1">
        <v>0.14510000000000001</v>
      </c>
      <c r="D35" t="s">
        <v>53</v>
      </c>
      <c r="E35" t="s">
        <v>26</v>
      </c>
    </row>
    <row r="36" spans="1:5" x14ac:dyDescent="0.2">
      <c r="A36" t="s">
        <v>9</v>
      </c>
      <c r="B36">
        <f t="shared" si="2"/>
        <v>1470</v>
      </c>
      <c r="C36" s="1">
        <v>0.15670000000000001</v>
      </c>
      <c r="D36" t="s">
        <v>53</v>
      </c>
      <c r="E36" t="s">
        <v>26</v>
      </c>
    </row>
    <row r="37" spans="1:5" x14ac:dyDescent="0.2">
      <c r="A37" t="s">
        <v>9</v>
      </c>
      <c r="B37">
        <f t="shared" si="2"/>
        <v>1500</v>
      </c>
      <c r="C37" s="1">
        <v>0.1371</v>
      </c>
      <c r="D37" t="s">
        <v>53</v>
      </c>
      <c r="E37" t="s">
        <v>26</v>
      </c>
    </row>
    <row r="38" spans="1:5" x14ac:dyDescent="0.2">
      <c r="A38" t="s">
        <v>9</v>
      </c>
      <c r="B38">
        <f t="shared" si="2"/>
        <v>1530</v>
      </c>
      <c r="C38" s="1">
        <v>0.14729999999999999</v>
      </c>
      <c r="D38" t="s">
        <v>53</v>
      </c>
      <c r="E38" t="s">
        <v>26</v>
      </c>
    </row>
    <row r="39" spans="1:5" x14ac:dyDescent="0.2">
      <c r="A39" t="s">
        <v>9</v>
      </c>
      <c r="B39">
        <f t="shared" si="2"/>
        <v>1560</v>
      </c>
      <c r="C39" s="1">
        <v>0.1328</v>
      </c>
      <c r="D39" t="s">
        <v>53</v>
      </c>
      <c r="E39" t="s">
        <v>26</v>
      </c>
    </row>
    <row r="40" spans="1:5" x14ac:dyDescent="0.2">
      <c r="A40" t="s">
        <v>9</v>
      </c>
      <c r="B40">
        <f t="shared" si="2"/>
        <v>1590</v>
      </c>
      <c r="C40" s="1">
        <v>0.13420000000000001</v>
      </c>
      <c r="D40" t="s">
        <v>53</v>
      </c>
      <c r="E40" t="s">
        <v>26</v>
      </c>
    </row>
    <row r="41" spans="1:5" x14ac:dyDescent="0.2">
      <c r="A41" t="s">
        <v>9</v>
      </c>
      <c r="B41">
        <f t="shared" si="2"/>
        <v>1620</v>
      </c>
      <c r="C41" s="1">
        <v>0.1648</v>
      </c>
      <c r="D41" t="s">
        <v>53</v>
      </c>
      <c r="E41" t="s">
        <v>26</v>
      </c>
    </row>
    <row r="42" spans="1:5" x14ac:dyDescent="0.2">
      <c r="A42" t="s">
        <v>9</v>
      </c>
      <c r="B42">
        <f t="shared" si="2"/>
        <v>1650</v>
      </c>
      <c r="C42" s="1">
        <v>0.14380000000000001</v>
      </c>
      <c r="D42" t="s">
        <v>53</v>
      </c>
      <c r="E42" t="s">
        <v>26</v>
      </c>
    </row>
    <row r="43" spans="1:5" x14ac:dyDescent="0.2">
      <c r="A43" t="s">
        <v>9</v>
      </c>
      <c r="B43">
        <f t="shared" si="2"/>
        <v>1680</v>
      </c>
      <c r="C43" s="1">
        <v>0.1439</v>
      </c>
      <c r="D43" t="s">
        <v>53</v>
      </c>
      <c r="E43" t="s">
        <v>26</v>
      </c>
    </row>
    <row r="44" spans="1:5" x14ac:dyDescent="0.2">
      <c r="A44" t="s">
        <v>9</v>
      </c>
      <c r="B44">
        <f t="shared" si="2"/>
        <v>1710</v>
      </c>
      <c r="C44" s="1">
        <v>0.14499999999999999</v>
      </c>
      <c r="D44" t="s">
        <v>53</v>
      </c>
      <c r="E44" t="s">
        <v>26</v>
      </c>
    </row>
    <row r="45" spans="1:5" x14ac:dyDescent="0.2">
      <c r="A45" t="s">
        <v>9</v>
      </c>
      <c r="B45">
        <f t="shared" si="2"/>
        <v>1740</v>
      </c>
      <c r="C45" s="1">
        <v>0.15279999999999999</v>
      </c>
      <c r="D45" t="s">
        <v>53</v>
      </c>
      <c r="E45" t="s">
        <v>26</v>
      </c>
    </row>
    <row r="46" spans="1:5" x14ac:dyDescent="0.2">
      <c r="A46" t="s">
        <v>9</v>
      </c>
      <c r="B46">
        <f t="shared" si="2"/>
        <v>1770</v>
      </c>
      <c r="C46" s="1">
        <v>0.14000000000000001</v>
      </c>
      <c r="D46" t="s">
        <v>53</v>
      </c>
      <c r="E46" t="s">
        <v>26</v>
      </c>
    </row>
    <row r="47" spans="1:5" x14ac:dyDescent="0.2">
      <c r="A47" t="s">
        <v>9</v>
      </c>
      <c r="B47">
        <f t="shared" si="2"/>
        <v>1800</v>
      </c>
      <c r="C47" s="1">
        <v>0.14649999999999999</v>
      </c>
      <c r="D47" t="s">
        <v>53</v>
      </c>
      <c r="E47" t="s">
        <v>26</v>
      </c>
    </row>
    <row r="48" spans="1:5" x14ac:dyDescent="0.2">
      <c r="A48" t="s">
        <v>9</v>
      </c>
      <c r="B48">
        <f t="shared" si="2"/>
        <v>1830</v>
      </c>
      <c r="C48" s="1">
        <v>0.14660000000000001</v>
      </c>
      <c r="D48" t="s">
        <v>53</v>
      </c>
      <c r="E48" t="s">
        <v>26</v>
      </c>
    </row>
    <row r="49" spans="1:5" x14ac:dyDescent="0.2">
      <c r="A49" t="s">
        <v>9</v>
      </c>
      <c r="B49">
        <f t="shared" si="2"/>
        <v>1860</v>
      </c>
      <c r="C49" s="1">
        <v>0.1643</v>
      </c>
      <c r="D49" t="s">
        <v>53</v>
      </c>
      <c r="E49" t="s">
        <v>26</v>
      </c>
    </row>
    <row r="50" spans="1:5" x14ac:dyDescent="0.2">
      <c r="A50" t="s">
        <v>9</v>
      </c>
      <c r="B50">
        <f t="shared" si="2"/>
        <v>1890</v>
      </c>
      <c r="C50" s="1">
        <v>0.1396</v>
      </c>
      <c r="D50" t="s">
        <v>53</v>
      </c>
      <c r="E50" t="s">
        <v>26</v>
      </c>
    </row>
    <row r="51" spans="1:5" x14ac:dyDescent="0.2">
      <c r="A51" t="s">
        <v>9</v>
      </c>
      <c r="B51">
        <f t="shared" si="2"/>
        <v>1920</v>
      </c>
      <c r="C51" s="1">
        <v>0.14580000000000001</v>
      </c>
      <c r="D51" t="s">
        <v>53</v>
      </c>
      <c r="E51" t="s">
        <v>26</v>
      </c>
    </row>
    <row r="52" spans="1:5" x14ac:dyDescent="0.2">
      <c r="A52" t="s">
        <v>9</v>
      </c>
      <c r="B52">
        <f t="shared" si="2"/>
        <v>1950</v>
      </c>
      <c r="C52" s="1">
        <v>0.13980000000000001</v>
      </c>
      <c r="D52" t="s">
        <v>53</v>
      </c>
      <c r="E52" t="s">
        <v>26</v>
      </c>
    </row>
    <row r="53" spans="1:5" x14ac:dyDescent="0.2">
      <c r="A53" t="s">
        <v>9</v>
      </c>
      <c r="B53">
        <f t="shared" si="2"/>
        <v>1980</v>
      </c>
      <c r="C53" s="1">
        <v>0.15840000000000001</v>
      </c>
      <c r="D53" t="s">
        <v>53</v>
      </c>
      <c r="E53" t="s">
        <v>26</v>
      </c>
    </row>
    <row r="54" spans="1:5" x14ac:dyDescent="0.2">
      <c r="A54" t="s">
        <v>9</v>
      </c>
      <c r="B54">
        <f t="shared" si="2"/>
        <v>2010</v>
      </c>
      <c r="C54" s="1">
        <v>0.14560000000000001</v>
      </c>
      <c r="D54" t="s">
        <v>53</v>
      </c>
      <c r="E54" t="s">
        <v>26</v>
      </c>
    </row>
    <row r="55" spans="1:5" x14ac:dyDescent="0.2">
      <c r="A55" t="s">
        <v>9</v>
      </c>
      <c r="B55">
        <f t="shared" si="2"/>
        <v>2040</v>
      </c>
      <c r="C55" s="1">
        <v>0.14080000000000001</v>
      </c>
      <c r="D55" t="s">
        <v>53</v>
      </c>
      <c r="E55" t="s">
        <v>26</v>
      </c>
    </row>
    <row r="56" spans="1:5" x14ac:dyDescent="0.2">
      <c r="A56" t="s">
        <v>9</v>
      </c>
      <c r="B56">
        <f t="shared" si="2"/>
        <v>2070</v>
      </c>
      <c r="C56" s="1">
        <v>0.14879999999999999</v>
      </c>
      <c r="D56" t="s">
        <v>53</v>
      </c>
      <c r="E56" t="s">
        <v>26</v>
      </c>
    </row>
    <row r="57" spans="1:5" x14ac:dyDescent="0.2">
      <c r="A57" t="s">
        <v>10</v>
      </c>
      <c r="B57">
        <v>0</v>
      </c>
      <c r="C57" s="1">
        <v>0.1968</v>
      </c>
      <c r="D57" t="s">
        <v>20</v>
      </c>
      <c r="E57" t="s">
        <v>26</v>
      </c>
    </row>
    <row r="58" spans="1:5" x14ac:dyDescent="0.2">
      <c r="A58" t="s">
        <v>10</v>
      </c>
      <c r="B58">
        <f>B57+60</f>
        <v>60</v>
      </c>
      <c r="C58" s="1">
        <v>0.20930000000000001</v>
      </c>
      <c r="D58" t="s">
        <v>20</v>
      </c>
      <c r="E58" t="s">
        <v>26</v>
      </c>
    </row>
    <row r="59" spans="1:5" x14ac:dyDescent="0.2">
      <c r="A59" t="s">
        <v>10</v>
      </c>
      <c r="B59">
        <f t="shared" ref="B59:B73" si="3">B58+60</f>
        <v>120</v>
      </c>
      <c r="C59" s="1">
        <v>0.23089999999999999</v>
      </c>
      <c r="D59" t="s">
        <v>20</v>
      </c>
      <c r="E59" t="s">
        <v>26</v>
      </c>
    </row>
    <row r="60" spans="1:5" x14ac:dyDescent="0.2">
      <c r="A60" t="s">
        <v>10</v>
      </c>
      <c r="B60">
        <f t="shared" si="3"/>
        <v>180</v>
      </c>
      <c r="C60" s="1">
        <v>0.25409999999999999</v>
      </c>
      <c r="D60" t="s">
        <v>20</v>
      </c>
      <c r="E60" t="s">
        <v>26</v>
      </c>
    </row>
    <row r="61" spans="1:5" x14ac:dyDescent="0.2">
      <c r="A61" t="s">
        <v>10</v>
      </c>
      <c r="B61">
        <f t="shared" si="3"/>
        <v>240</v>
      </c>
      <c r="C61" s="1">
        <v>0.27629999999999999</v>
      </c>
      <c r="D61" t="s">
        <v>20</v>
      </c>
      <c r="E61" t="s">
        <v>26</v>
      </c>
    </row>
    <row r="62" spans="1:5" x14ac:dyDescent="0.2">
      <c r="A62" t="s">
        <v>10</v>
      </c>
      <c r="B62">
        <f t="shared" si="3"/>
        <v>300</v>
      </c>
      <c r="C62" s="1">
        <v>0.31030000000000002</v>
      </c>
      <c r="D62" t="s">
        <v>20</v>
      </c>
      <c r="E62" t="s">
        <v>26</v>
      </c>
    </row>
    <row r="63" spans="1:5" x14ac:dyDescent="0.2">
      <c r="A63" t="s">
        <v>10</v>
      </c>
      <c r="B63">
        <f t="shared" si="3"/>
        <v>360</v>
      </c>
      <c r="C63" s="1">
        <v>0.33200000000000002</v>
      </c>
      <c r="D63" t="s">
        <v>20</v>
      </c>
      <c r="E63" t="s">
        <v>26</v>
      </c>
    </row>
    <row r="64" spans="1:5" x14ac:dyDescent="0.2">
      <c r="A64" t="s">
        <v>10</v>
      </c>
      <c r="B64">
        <f t="shared" si="3"/>
        <v>420</v>
      </c>
      <c r="C64" s="1">
        <v>0.34339999999999998</v>
      </c>
      <c r="D64" t="s">
        <v>20</v>
      </c>
      <c r="E64" t="s">
        <v>26</v>
      </c>
    </row>
    <row r="65" spans="1:5" x14ac:dyDescent="0.2">
      <c r="A65" t="s">
        <v>10</v>
      </c>
      <c r="B65">
        <f t="shared" si="3"/>
        <v>480</v>
      </c>
      <c r="C65" s="1">
        <v>0.35680000000000001</v>
      </c>
      <c r="D65" t="s">
        <v>20</v>
      </c>
      <c r="E65" t="s">
        <v>26</v>
      </c>
    </row>
    <row r="66" spans="1:5" x14ac:dyDescent="0.2">
      <c r="A66" t="s">
        <v>10</v>
      </c>
      <c r="B66">
        <f t="shared" si="3"/>
        <v>540</v>
      </c>
      <c r="C66" s="1">
        <v>0.36520000000000002</v>
      </c>
      <c r="D66" t="s">
        <v>20</v>
      </c>
      <c r="E66" t="s">
        <v>26</v>
      </c>
    </row>
    <row r="67" spans="1:5" x14ac:dyDescent="0.2">
      <c r="A67" t="s">
        <v>10</v>
      </c>
      <c r="B67">
        <f t="shared" si="3"/>
        <v>600</v>
      </c>
      <c r="C67" s="1">
        <v>0.36809999999999998</v>
      </c>
      <c r="D67" t="s">
        <v>20</v>
      </c>
      <c r="E67" t="s">
        <v>26</v>
      </c>
    </row>
    <row r="68" spans="1:5" x14ac:dyDescent="0.2">
      <c r="A68" t="s">
        <v>10</v>
      </c>
      <c r="B68">
        <f t="shared" si="3"/>
        <v>660</v>
      </c>
      <c r="C68" s="1">
        <v>0.37409999999999999</v>
      </c>
      <c r="D68" t="s">
        <v>20</v>
      </c>
      <c r="E68" t="s">
        <v>26</v>
      </c>
    </row>
    <row r="69" spans="1:5" x14ac:dyDescent="0.2">
      <c r="A69" t="s">
        <v>10</v>
      </c>
      <c r="B69">
        <f t="shared" si="3"/>
        <v>720</v>
      </c>
      <c r="C69" s="1">
        <v>0.37409999999999999</v>
      </c>
      <c r="D69" t="s">
        <v>20</v>
      </c>
      <c r="E69" t="s">
        <v>26</v>
      </c>
    </row>
    <row r="70" spans="1:5" x14ac:dyDescent="0.2">
      <c r="A70" t="s">
        <v>10</v>
      </c>
      <c r="B70">
        <f t="shared" si="3"/>
        <v>780</v>
      </c>
      <c r="C70" s="1">
        <v>0.3755</v>
      </c>
      <c r="D70" t="s">
        <v>20</v>
      </c>
      <c r="E70" t="s">
        <v>26</v>
      </c>
    </row>
    <row r="71" spans="1:5" x14ac:dyDescent="0.2">
      <c r="A71" t="s">
        <v>10</v>
      </c>
      <c r="B71">
        <f t="shared" si="3"/>
        <v>840</v>
      </c>
      <c r="C71" s="1">
        <v>0.3775</v>
      </c>
      <c r="D71" t="s">
        <v>20</v>
      </c>
      <c r="E71" t="s">
        <v>26</v>
      </c>
    </row>
    <row r="72" spans="1:5" x14ac:dyDescent="0.2">
      <c r="A72" t="s">
        <v>10</v>
      </c>
      <c r="B72">
        <f t="shared" si="3"/>
        <v>900</v>
      </c>
      <c r="C72" s="1">
        <v>0.37959999999999999</v>
      </c>
      <c r="D72" t="s">
        <v>20</v>
      </c>
      <c r="E72" t="s">
        <v>26</v>
      </c>
    </row>
    <row r="73" spans="1:5" x14ac:dyDescent="0.2">
      <c r="A73" t="s">
        <v>10</v>
      </c>
      <c r="B73">
        <f t="shared" si="3"/>
        <v>960</v>
      </c>
      <c r="C73" s="1">
        <v>0.38190000000000002</v>
      </c>
      <c r="D73" t="s">
        <v>20</v>
      </c>
      <c r="E73" t="s">
        <v>26</v>
      </c>
    </row>
    <row r="74" spans="1:5" x14ac:dyDescent="0.2">
      <c r="A74" t="s">
        <v>10</v>
      </c>
      <c r="B74">
        <f>B73+30</f>
        <v>990</v>
      </c>
      <c r="C74" s="1">
        <v>0.47139999999999999</v>
      </c>
      <c r="D74" t="s">
        <v>20</v>
      </c>
      <c r="E74" t="s">
        <v>26</v>
      </c>
    </row>
    <row r="75" spans="1:5" x14ac:dyDescent="0.2">
      <c r="A75" t="s">
        <v>10</v>
      </c>
      <c r="B75">
        <f t="shared" ref="B75:B81" si="4">B74+30</f>
        <v>1020</v>
      </c>
      <c r="C75" s="1">
        <v>0.38969999999999999</v>
      </c>
      <c r="D75" t="s">
        <v>20</v>
      </c>
      <c r="E75" t="s">
        <v>26</v>
      </c>
    </row>
    <row r="76" spans="1:5" x14ac:dyDescent="0.2">
      <c r="A76" t="s">
        <v>10</v>
      </c>
      <c r="B76">
        <f t="shared" si="4"/>
        <v>1050</v>
      </c>
      <c r="C76" s="1">
        <v>0.39539999999999997</v>
      </c>
      <c r="D76" t="s">
        <v>20</v>
      </c>
      <c r="E76" t="s">
        <v>26</v>
      </c>
    </row>
    <row r="77" spans="1:5" x14ac:dyDescent="0.2">
      <c r="A77" t="s">
        <v>10</v>
      </c>
      <c r="B77">
        <f t="shared" si="4"/>
        <v>1080</v>
      </c>
      <c r="C77" s="1">
        <v>0.40510000000000002</v>
      </c>
      <c r="D77" t="s">
        <v>20</v>
      </c>
      <c r="E77" t="s">
        <v>26</v>
      </c>
    </row>
    <row r="78" spans="1:5" x14ac:dyDescent="0.2">
      <c r="A78" t="s">
        <v>10</v>
      </c>
      <c r="B78">
        <f t="shared" si="4"/>
        <v>1110</v>
      </c>
      <c r="C78" s="1">
        <v>0.41489999999999999</v>
      </c>
      <c r="D78" t="s">
        <v>20</v>
      </c>
      <c r="E78" t="s">
        <v>26</v>
      </c>
    </row>
    <row r="79" spans="1:5" x14ac:dyDescent="0.2">
      <c r="A79" t="s">
        <v>10</v>
      </c>
      <c r="B79">
        <f t="shared" si="4"/>
        <v>1140</v>
      </c>
      <c r="C79" s="1">
        <v>0.42530000000000001</v>
      </c>
      <c r="D79" t="s">
        <v>20</v>
      </c>
      <c r="E79" t="s">
        <v>26</v>
      </c>
    </row>
    <row r="80" spans="1:5" x14ac:dyDescent="0.2">
      <c r="A80" t="s">
        <v>10</v>
      </c>
      <c r="B80">
        <f t="shared" si="4"/>
        <v>1170</v>
      </c>
      <c r="C80" s="1">
        <v>0.43930000000000002</v>
      </c>
      <c r="D80" t="s">
        <v>20</v>
      </c>
      <c r="E80" t="s">
        <v>26</v>
      </c>
    </row>
    <row r="81" spans="1:5" x14ac:dyDescent="0.2">
      <c r="A81" t="s">
        <v>10</v>
      </c>
      <c r="B81">
        <f t="shared" si="4"/>
        <v>1200</v>
      </c>
      <c r="C81" s="1">
        <v>0.44409999999999999</v>
      </c>
      <c r="D81" t="s">
        <v>20</v>
      </c>
      <c r="E81" t="s">
        <v>26</v>
      </c>
    </row>
    <row r="82" spans="1:5" x14ac:dyDescent="0.2">
      <c r="A82" t="s">
        <v>10</v>
      </c>
      <c r="B82">
        <f>B81+30</f>
        <v>1230</v>
      </c>
      <c r="C82" s="1">
        <v>0.45150000000000001</v>
      </c>
      <c r="D82" t="s">
        <v>20</v>
      </c>
      <c r="E82" t="s">
        <v>26</v>
      </c>
    </row>
    <row r="83" spans="1:5" x14ac:dyDescent="0.2">
      <c r="A83" t="s">
        <v>10</v>
      </c>
      <c r="B83">
        <f>B82+30</f>
        <v>1260</v>
      </c>
      <c r="C83" s="1">
        <v>0.53459999999999996</v>
      </c>
      <c r="D83" t="s">
        <v>20</v>
      </c>
      <c r="E83" t="s">
        <v>26</v>
      </c>
    </row>
    <row r="84" spans="1:5" x14ac:dyDescent="0.2">
      <c r="A84" t="s">
        <v>10</v>
      </c>
      <c r="B84">
        <f>B83+30</f>
        <v>1290</v>
      </c>
      <c r="C84" s="1">
        <v>0.436</v>
      </c>
      <c r="D84" t="s">
        <v>20</v>
      </c>
      <c r="E84" t="s">
        <v>26</v>
      </c>
    </row>
    <row r="85" spans="1:5" x14ac:dyDescent="0.2">
      <c r="A85" t="s">
        <v>10</v>
      </c>
      <c r="B85">
        <f>B82+90</f>
        <v>1320</v>
      </c>
      <c r="C85" s="1">
        <v>0.4622</v>
      </c>
      <c r="D85" t="s">
        <v>20</v>
      </c>
      <c r="E85" t="s">
        <v>26</v>
      </c>
    </row>
    <row r="86" spans="1:5" x14ac:dyDescent="0.2">
      <c r="A86" t="s">
        <v>10</v>
      </c>
      <c r="B86">
        <f>B85+20</f>
        <v>1340</v>
      </c>
      <c r="C86" s="1">
        <v>0.55359999999999998</v>
      </c>
      <c r="D86" t="s">
        <v>20</v>
      </c>
      <c r="E86" t="s">
        <v>26</v>
      </c>
    </row>
    <row r="87" spans="1:5" x14ac:dyDescent="0.2">
      <c r="A87" t="s">
        <v>10</v>
      </c>
      <c r="B87">
        <f>B86+30</f>
        <v>1370</v>
      </c>
      <c r="C87" s="1">
        <v>0.44069999999999998</v>
      </c>
      <c r="D87" t="s">
        <v>20</v>
      </c>
      <c r="E87" t="s">
        <v>26</v>
      </c>
    </row>
    <row r="88" spans="1:5" x14ac:dyDescent="0.2">
      <c r="A88" t="s">
        <v>10</v>
      </c>
      <c r="B88">
        <f>B85+60</f>
        <v>1380</v>
      </c>
      <c r="C88" s="1">
        <v>0.4491</v>
      </c>
      <c r="D88" t="s">
        <v>20</v>
      </c>
      <c r="E88" t="s">
        <v>26</v>
      </c>
    </row>
    <row r="89" spans="1:5" x14ac:dyDescent="0.2">
      <c r="A89" t="s">
        <v>10</v>
      </c>
      <c r="B89">
        <f>B88+30</f>
        <v>1410</v>
      </c>
      <c r="C89" s="1">
        <v>0.43109999999999998</v>
      </c>
      <c r="D89" t="s">
        <v>20</v>
      </c>
      <c r="E89" t="s">
        <v>26</v>
      </c>
    </row>
    <row r="90" spans="1:5" x14ac:dyDescent="0.2">
      <c r="A90" t="s">
        <v>10</v>
      </c>
      <c r="B90">
        <f t="shared" ref="B90:B111" si="5">B89+30</f>
        <v>1440</v>
      </c>
      <c r="C90" s="1">
        <v>0.44779999999999998</v>
      </c>
      <c r="D90" t="s">
        <v>20</v>
      </c>
      <c r="E90" t="s">
        <v>26</v>
      </c>
    </row>
    <row r="91" spans="1:5" x14ac:dyDescent="0.2">
      <c r="A91" t="s">
        <v>10</v>
      </c>
      <c r="B91">
        <f t="shared" si="5"/>
        <v>1470</v>
      </c>
      <c r="C91" s="1">
        <v>0.4556</v>
      </c>
      <c r="D91" t="s">
        <v>20</v>
      </c>
      <c r="E91" t="s">
        <v>26</v>
      </c>
    </row>
    <row r="92" spans="1:5" x14ac:dyDescent="0.2">
      <c r="A92" t="s">
        <v>10</v>
      </c>
      <c r="B92">
        <f t="shared" si="5"/>
        <v>1500</v>
      </c>
      <c r="C92" s="1">
        <v>0.46010000000000001</v>
      </c>
      <c r="D92" t="s">
        <v>20</v>
      </c>
      <c r="E92" t="s">
        <v>26</v>
      </c>
    </row>
    <row r="93" spans="1:5" x14ac:dyDescent="0.2">
      <c r="A93" t="s">
        <v>10</v>
      </c>
      <c r="B93">
        <f t="shared" si="5"/>
        <v>1530</v>
      </c>
      <c r="C93" s="1">
        <v>0.46760000000000002</v>
      </c>
      <c r="D93" t="s">
        <v>20</v>
      </c>
      <c r="E93" t="s">
        <v>26</v>
      </c>
    </row>
    <row r="94" spans="1:5" x14ac:dyDescent="0.2">
      <c r="A94" t="s">
        <v>10</v>
      </c>
      <c r="B94">
        <f t="shared" si="5"/>
        <v>1560</v>
      </c>
      <c r="C94" s="1">
        <v>0.47389999999999999</v>
      </c>
      <c r="D94" t="s">
        <v>20</v>
      </c>
      <c r="E94" t="s">
        <v>26</v>
      </c>
    </row>
    <row r="95" spans="1:5" x14ac:dyDescent="0.2">
      <c r="A95" t="s">
        <v>10</v>
      </c>
      <c r="B95">
        <f t="shared" si="5"/>
        <v>1590</v>
      </c>
      <c r="C95" s="1">
        <v>0.4753</v>
      </c>
      <c r="D95" t="s">
        <v>20</v>
      </c>
      <c r="E95" t="s">
        <v>26</v>
      </c>
    </row>
    <row r="96" spans="1:5" x14ac:dyDescent="0.2">
      <c r="A96" t="s">
        <v>10</v>
      </c>
      <c r="B96">
        <f t="shared" si="5"/>
        <v>1620</v>
      </c>
      <c r="C96" s="1">
        <v>0.47610000000000002</v>
      </c>
      <c r="D96" t="s">
        <v>20</v>
      </c>
      <c r="E96" t="s">
        <v>26</v>
      </c>
    </row>
    <row r="97" spans="1:5" x14ac:dyDescent="0.2">
      <c r="A97" t="s">
        <v>10</v>
      </c>
      <c r="B97">
        <f t="shared" si="5"/>
        <v>1650</v>
      </c>
      <c r="C97" s="1">
        <v>0.4768</v>
      </c>
      <c r="D97" t="s">
        <v>20</v>
      </c>
      <c r="E97" t="s">
        <v>26</v>
      </c>
    </row>
    <row r="98" spans="1:5" x14ac:dyDescent="0.2">
      <c r="A98" t="s">
        <v>10</v>
      </c>
      <c r="B98">
        <f t="shared" si="5"/>
        <v>1680</v>
      </c>
      <c r="C98" s="1">
        <v>0.47739999999999999</v>
      </c>
      <c r="D98" t="s">
        <v>20</v>
      </c>
      <c r="E98" t="s">
        <v>26</v>
      </c>
    </row>
    <row r="99" spans="1:5" x14ac:dyDescent="0.2">
      <c r="A99" t="s">
        <v>10</v>
      </c>
      <c r="B99">
        <f t="shared" si="5"/>
        <v>1710</v>
      </c>
      <c r="C99" s="1">
        <v>0.47760000000000002</v>
      </c>
      <c r="D99" t="s">
        <v>20</v>
      </c>
      <c r="E99" t="s">
        <v>26</v>
      </c>
    </row>
    <row r="100" spans="1:5" x14ac:dyDescent="0.2">
      <c r="A100" t="s">
        <v>10</v>
      </c>
      <c r="B100">
        <f t="shared" si="5"/>
        <v>1740</v>
      </c>
      <c r="C100" s="1">
        <v>0.47760000000000002</v>
      </c>
      <c r="D100" t="s">
        <v>20</v>
      </c>
      <c r="E100" t="s">
        <v>26</v>
      </c>
    </row>
    <row r="101" spans="1:5" x14ac:dyDescent="0.2">
      <c r="A101" t="s">
        <v>10</v>
      </c>
      <c r="B101">
        <f t="shared" si="5"/>
        <v>1770</v>
      </c>
      <c r="C101" s="1">
        <v>0.47699999999999998</v>
      </c>
      <c r="D101" t="s">
        <v>20</v>
      </c>
      <c r="E101" t="s">
        <v>26</v>
      </c>
    </row>
    <row r="102" spans="1:5" x14ac:dyDescent="0.2">
      <c r="A102" t="s">
        <v>10</v>
      </c>
      <c r="B102">
        <f t="shared" si="5"/>
        <v>1800</v>
      </c>
      <c r="C102" s="1">
        <v>0.47510000000000002</v>
      </c>
      <c r="D102" t="s">
        <v>20</v>
      </c>
      <c r="E102" t="s">
        <v>26</v>
      </c>
    </row>
    <row r="103" spans="1:5" x14ac:dyDescent="0.2">
      <c r="A103" t="s">
        <v>10</v>
      </c>
      <c r="B103">
        <f t="shared" si="5"/>
        <v>1830</v>
      </c>
      <c r="C103" s="1">
        <v>0.47339999999999999</v>
      </c>
      <c r="D103" t="s">
        <v>20</v>
      </c>
      <c r="E103" t="s">
        <v>26</v>
      </c>
    </row>
    <row r="104" spans="1:5" x14ac:dyDescent="0.2">
      <c r="A104" t="s">
        <v>10</v>
      </c>
      <c r="B104">
        <f t="shared" si="5"/>
        <v>1860</v>
      </c>
      <c r="C104" s="1">
        <v>0.47270000000000001</v>
      </c>
      <c r="D104" t="s">
        <v>20</v>
      </c>
      <c r="E104" t="s">
        <v>26</v>
      </c>
    </row>
    <row r="105" spans="1:5" x14ac:dyDescent="0.2">
      <c r="A105" t="s">
        <v>10</v>
      </c>
      <c r="B105">
        <f t="shared" si="5"/>
        <v>1890</v>
      </c>
      <c r="C105" s="1">
        <v>0.46970000000000001</v>
      </c>
      <c r="D105" t="s">
        <v>20</v>
      </c>
      <c r="E105" t="s">
        <v>26</v>
      </c>
    </row>
    <row r="106" spans="1:5" x14ac:dyDescent="0.2">
      <c r="A106" t="s">
        <v>10</v>
      </c>
      <c r="B106">
        <f t="shared" si="5"/>
        <v>1920</v>
      </c>
      <c r="C106" s="1">
        <v>0.47089999999999999</v>
      </c>
      <c r="D106" t="s">
        <v>20</v>
      </c>
      <c r="E106" t="s">
        <v>26</v>
      </c>
    </row>
    <row r="107" spans="1:5" x14ac:dyDescent="0.2">
      <c r="A107" t="s">
        <v>10</v>
      </c>
      <c r="B107">
        <f t="shared" si="5"/>
        <v>1950</v>
      </c>
      <c r="C107" s="1">
        <v>0.47139999999999999</v>
      </c>
      <c r="D107" t="s">
        <v>20</v>
      </c>
      <c r="E107" t="s">
        <v>26</v>
      </c>
    </row>
    <row r="108" spans="1:5" x14ac:dyDescent="0.2">
      <c r="A108" t="s">
        <v>10</v>
      </c>
      <c r="B108">
        <f t="shared" si="5"/>
        <v>1980</v>
      </c>
      <c r="C108" s="1">
        <v>0.47110000000000002</v>
      </c>
      <c r="D108" t="s">
        <v>20</v>
      </c>
      <c r="E108" t="s">
        <v>26</v>
      </c>
    </row>
    <row r="109" spans="1:5" x14ac:dyDescent="0.2">
      <c r="A109" t="s">
        <v>10</v>
      </c>
      <c r="B109">
        <f t="shared" si="5"/>
        <v>2010</v>
      </c>
      <c r="C109" s="1">
        <v>0.47099999999999997</v>
      </c>
      <c r="D109" t="s">
        <v>20</v>
      </c>
      <c r="E109" t="s">
        <v>26</v>
      </c>
    </row>
    <row r="110" spans="1:5" x14ac:dyDescent="0.2">
      <c r="A110" t="s">
        <v>10</v>
      </c>
      <c r="B110">
        <f t="shared" si="5"/>
        <v>2040</v>
      </c>
      <c r="C110" s="1">
        <v>0.47270000000000001</v>
      </c>
      <c r="D110" t="s">
        <v>20</v>
      </c>
      <c r="E110" t="s">
        <v>26</v>
      </c>
    </row>
    <row r="111" spans="1:5" x14ac:dyDescent="0.2">
      <c r="A111" t="s">
        <v>10</v>
      </c>
      <c r="B111">
        <f t="shared" si="5"/>
        <v>2070</v>
      </c>
      <c r="C111" s="1">
        <v>0.47210000000000002</v>
      </c>
      <c r="D111" t="s">
        <v>20</v>
      </c>
      <c r="E111" t="s">
        <v>26</v>
      </c>
    </row>
    <row r="112" spans="1:5" x14ac:dyDescent="0.2">
      <c r="A112" t="s">
        <v>11</v>
      </c>
      <c r="B112">
        <v>0</v>
      </c>
      <c r="C112" s="1">
        <v>0.1719</v>
      </c>
      <c r="D112" t="s">
        <v>20</v>
      </c>
      <c r="E112" t="s">
        <v>26</v>
      </c>
    </row>
    <row r="113" spans="1:5" x14ac:dyDescent="0.2">
      <c r="A113" t="s">
        <v>11</v>
      </c>
      <c r="B113">
        <f>B112+60</f>
        <v>60</v>
      </c>
      <c r="C113" s="1">
        <v>0.19070000000000001</v>
      </c>
      <c r="D113" t="s">
        <v>20</v>
      </c>
      <c r="E113" t="s">
        <v>26</v>
      </c>
    </row>
    <row r="114" spans="1:5" x14ac:dyDescent="0.2">
      <c r="A114" t="s">
        <v>11</v>
      </c>
      <c r="B114">
        <f t="shared" ref="B114:B128" si="6">B113+60</f>
        <v>120</v>
      </c>
      <c r="C114" s="1">
        <v>0.21310000000000001</v>
      </c>
      <c r="D114" t="s">
        <v>20</v>
      </c>
      <c r="E114" t="s">
        <v>26</v>
      </c>
    </row>
    <row r="115" spans="1:5" x14ac:dyDescent="0.2">
      <c r="A115" t="s">
        <v>11</v>
      </c>
      <c r="B115">
        <f t="shared" si="6"/>
        <v>180</v>
      </c>
      <c r="C115" s="1">
        <v>0.23480000000000001</v>
      </c>
      <c r="D115" t="s">
        <v>20</v>
      </c>
      <c r="E115" t="s">
        <v>26</v>
      </c>
    </row>
    <row r="116" spans="1:5" x14ac:dyDescent="0.2">
      <c r="A116" t="s">
        <v>11</v>
      </c>
      <c r="B116">
        <f t="shared" si="6"/>
        <v>240</v>
      </c>
      <c r="C116" s="1">
        <v>0.25829999999999997</v>
      </c>
      <c r="D116" t="s">
        <v>20</v>
      </c>
      <c r="E116" t="s">
        <v>26</v>
      </c>
    </row>
    <row r="117" spans="1:5" x14ac:dyDescent="0.2">
      <c r="A117" t="s">
        <v>11</v>
      </c>
      <c r="B117">
        <f t="shared" si="6"/>
        <v>300</v>
      </c>
      <c r="C117" s="1">
        <v>0.28610000000000002</v>
      </c>
      <c r="D117" t="s">
        <v>20</v>
      </c>
      <c r="E117" t="s">
        <v>26</v>
      </c>
    </row>
    <row r="118" spans="1:5" x14ac:dyDescent="0.2">
      <c r="A118" t="s">
        <v>11</v>
      </c>
      <c r="B118">
        <f t="shared" si="6"/>
        <v>360</v>
      </c>
      <c r="C118" s="1">
        <v>0.30940000000000001</v>
      </c>
      <c r="D118" t="s">
        <v>20</v>
      </c>
      <c r="E118" t="s">
        <v>26</v>
      </c>
    </row>
    <row r="119" spans="1:5" x14ac:dyDescent="0.2">
      <c r="A119" t="s">
        <v>11</v>
      </c>
      <c r="B119">
        <f t="shared" si="6"/>
        <v>420</v>
      </c>
      <c r="C119" s="1">
        <v>0.32579999999999998</v>
      </c>
      <c r="D119" t="s">
        <v>20</v>
      </c>
      <c r="E119" t="s">
        <v>26</v>
      </c>
    </row>
    <row r="120" spans="1:5" x14ac:dyDescent="0.2">
      <c r="A120" t="s">
        <v>11</v>
      </c>
      <c r="B120">
        <f t="shared" si="6"/>
        <v>480</v>
      </c>
      <c r="C120" s="1">
        <v>0.34460000000000002</v>
      </c>
      <c r="D120" t="s">
        <v>20</v>
      </c>
      <c r="E120" t="s">
        <v>26</v>
      </c>
    </row>
    <row r="121" spans="1:5" x14ac:dyDescent="0.2">
      <c r="A121" t="s">
        <v>11</v>
      </c>
      <c r="B121">
        <f t="shared" si="6"/>
        <v>540</v>
      </c>
      <c r="C121" s="1">
        <v>0.3468</v>
      </c>
      <c r="D121" t="s">
        <v>20</v>
      </c>
      <c r="E121" t="s">
        <v>26</v>
      </c>
    </row>
    <row r="122" spans="1:5" x14ac:dyDescent="0.2">
      <c r="A122" t="s">
        <v>11</v>
      </c>
      <c r="B122">
        <f t="shared" si="6"/>
        <v>600</v>
      </c>
      <c r="C122" s="1">
        <v>0.34539999999999998</v>
      </c>
      <c r="D122" t="s">
        <v>20</v>
      </c>
      <c r="E122" t="s">
        <v>26</v>
      </c>
    </row>
    <row r="123" spans="1:5" x14ac:dyDescent="0.2">
      <c r="A123" t="s">
        <v>11</v>
      </c>
      <c r="B123">
        <f t="shared" si="6"/>
        <v>660</v>
      </c>
      <c r="C123" s="1">
        <v>0.3412</v>
      </c>
      <c r="D123" t="s">
        <v>20</v>
      </c>
      <c r="E123" t="s">
        <v>26</v>
      </c>
    </row>
    <row r="124" spans="1:5" x14ac:dyDescent="0.2">
      <c r="A124" t="s">
        <v>11</v>
      </c>
      <c r="B124">
        <f t="shared" si="6"/>
        <v>720</v>
      </c>
      <c r="C124" s="1">
        <v>0.33829999999999999</v>
      </c>
      <c r="D124" t="s">
        <v>20</v>
      </c>
      <c r="E124" t="s">
        <v>26</v>
      </c>
    </row>
    <row r="125" spans="1:5" x14ac:dyDescent="0.2">
      <c r="A125" t="s">
        <v>11</v>
      </c>
      <c r="B125">
        <f t="shared" si="6"/>
        <v>780</v>
      </c>
      <c r="C125" s="1">
        <v>0.3372</v>
      </c>
      <c r="D125" t="s">
        <v>20</v>
      </c>
      <c r="E125" t="s">
        <v>26</v>
      </c>
    </row>
    <row r="126" spans="1:5" x14ac:dyDescent="0.2">
      <c r="A126" t="s">
        <v>11</v>
      </c>
      <c r="B126">
        <f t="shared" si="6"/>
        <v>840</v>
      </c>
      <c r="C126" s="1">
        <v>0.33260000000000001</v>
      </c>
      <c r="D126" t="s">
        <v>20</v>
      </c>
      <c r="E126" t="s">
        <v>26</v>
      </c>
    </row>
    <row r="127" spans="1:5" x14ac:dyDescent="0.2">
      <c r="A127" t="s">
        <v>11</v>
      </c>
      <c r="B127">
        <f t="shared" si="6"/>
        <v>900</v>
      </c>
      <c r="C127" s="1">
        <v>0.33139999999999997</v>
      </c>
      <c r="D127" t="s">
        <v>20</v>
      </c>
      <c r="E127" t="s">
        <v>26</v>
      </c>
    </row>
    <row r="128" spans="1:5" x14ac:dyDescent="0.2">
      <c r="A128" t="s">
        <v>11</v>
      </c>
      <c r="B128">
        <f t="shared" si="6"/>
        <v>960</v>
      </c>
      <c r="C128" s="1">
        <v>0.33360000000000001</v>
      </c>
      <c r="D128" t="s">
        <v>20</v>
      </c>
      <c r="E128" t="s">
        <v>26</v>
      </c>
    </row>
    <row r="129" spans="1:5" x14ac:dyDescent="0.2">
      <c r="A129" t="s">
        <v>11</v>
      </c>
      <c r="B129">
        <f>B128+30</f>
        <v>990</v>
      </c>
      <c r="C129" s="1">
        <v>0.35460000000000003</v>
      </c>
      <c r="D129" t="s">
        <v>20</v>
      </c>
      <c r="E129" t="s">
        <v>26</v>
      </c>
    </row>
    <row r="130" spans="1:5" x14ac:dyDescent="0.2">
      <c r="A130" t="s">
        <v>11</v>
      </c>
      <c r="B130">
        <f t="shared" ref="B130:B136" si="7">B129+30</f>
        <v>1020</v>
      </c>
      <c r="C130" s="1">
        <v>0.32079999999999997</v>
      </c>
      <c r="D130" t="s">
        <v>20</v>
      </c>
      <c r="E130" t="s">
        <v>26</v>
      </c>
    </row>
    <row r="131" spans="1:5" x14ac:dyDescent="0.2">
      <c r="A131" t="s">
        <v>11</v>
      </c>
      <c r="B131">
        <f t="shared" si="7"/>
        <v>1050</v>
      </c>
      <c r="C131" s="1">
        <v>0.34439999999999998</v>
      </c>
      <c r="D131" t="s">
        <v>20</v>
      </c>
      <c r="E131" t="s">
        <v>26</v>
      </c>
    </row>
    <row r="132" spans="1:5" x14ac:dyDescent="0.2">
      <c r="A132" t="s">
        <v>11</v>
      </c>
      <c r="B132">
        <f t="shared" si="7"/>
        <v>1080</v>
      </c>
      <c r="C132" s="1">
        <v>0.36969999999999997</v>
      </c>
      <c r="D132" t="s">
        <v>20</v>
      </c>
      <c r="E132" t="s">
        <v>26</v>
      </c>
    </row>
    <row r="133" spans="1:5" x14ac:dyDescent="0.2">
      <c r="A133" t="s">
        <v>11</v>
      </c>
      <c r="B133">
        <f t="shared" si="7"/>
        <v>1110</v>
      </c>
      <c r="C133" s="1">
        <v>0.38690000000000002</v>
      </c>
      <c r="D133" t="s">
        <v>20</v>
      </c>
      <c r="E133" t="s">
        <v>26</v>
      </c>
    </row>
    <row r="134" spans="1:5" x14ac:dyDescent="0.2">
      <c r="A134" t="s">
        <v>11</v>
      </c>
      <c r="B134">
        <f t="shared" si="7"/>
        <v>1140</v>
      </c>
      <c r="C134" s="1">
        <v>0.39129999999999998</v>
      </c>
      <c r="D134" t="s">
        <v>20</v>
      </c>
      <c r="E134" t="s">
        <v>26</v>
      </c>
    </row>
    <row r="135" spans="1:5" x14ac:dyDescent="0.2">
      <c r="A135" t="s">
        <v>11</v>
      </c>
      <c r="B135">
        <f t="shared" si="7"/>
        <v>1170</v>
      </c>
      <c r="C135" s="1">
        <v>0.38600000000000001</v>
      </c>
      <c r="D135" t="s">
        <v>20</v>
      </c>
      <c r="E135" t="s">
        <v>26</v>
      </c>
    </row>
    <row r="136" spans="1:5" x14ac:dyDescent="0.2">
      <c r="A136" t="s">
        <v>11</v>
      </c>
      <c r="B136">
        <f t="shared" si="7"/>
        <v>1200</v>
      </c>
      <c r="C136" s="1">
        <v>0.37940000000000002</v>
      </c>
      <c r="D136" t="s">
        <v>20</v>
      </c>
      <c r="E136" t="s">
        <v>26</v>
      </c>
    </row>
    <row r="137" spans="1:5" x14ac:dyDescent="0.2">
      <c r="A137" t="s">
        <v>11</v>
      </c>
      <c r="B137">
        <f>B136+30</f>
        <v>1230</v>
      </c>
      <c r="C137" s="1">
        <v>0.37519999999999998</v>
      </c>
      <c r="D137" t="s">
        <v>20</v>
      </c>
      <c r="E137" t="s">
        <v>26</v>
      </c>
    </row>
    <row r="138" spans="1:5" x14ac:dyDescent="0.2">
      <c r="A138" t="s">
        <v>11</v>
      </c>
      <c r="B138">
        <f>B137+30</f>
        <v>1260</v>
      </c>
      <c r="C138" s="1">
        <v>0.4118</v>
      </c>
      <c r="D138" t="s">
        <v>20</v>
      </c>
      <c r="E138" t="s">
        <v>26</v>
      </c>
    </row>
    <row r="139" spans="1:5" x14ac:dyDescent="0.2">
      <c r="A139" t="s">
        <v>11</v>
      </c>
      <c r="B139">
        <f>B138+30</f>
        <v>1290</v>
      </c>
      <c r="C139" s="1">
        <v>0.38600000000000001</v>
      </c>
      <c r="D139" t="s">
        <v>20</v>
      </c>
      <c r="E139" t="s">
        <v>26</v>
      </c>
    </row>
    <row r="140" spans="1:5" x14ac:dyDescent="0.2">
      <c r="A140" t="s">
        <v>11</v>
      </c>
      <c r="B140">
        <f>B137+90</f>
        <v>1320</v>
      </c>
      <c r="C140" s="1">
        <v>0.40889999999999999</v>
      </c>
      <c r="D140" t="s">
        <v>20</v>
      </c>
      <c r="E140" t="s">
        <v>26</v>
      </c>
    </row>
    <row r="141" spans="1:5" x14ac:dyDescent="0.2">
      <c r="A141" t="s">
        <v>11</v>
      </c>
      <c r="B141">
        <f>B140+20</f>
        <v>1340</v>
      </c>
      <c r="C141" s="1">
        <v>0.48770000000000002</v>
      </c>
      <c r="D141" t="s">
        <v>20</v>
      </c>
      <c r="E141" t="s">
        <v>26</v>
      </c>
    </row>
    <row r="142" spans="1:5" x14ac:dyDescent="0.2">
      <c r="A142" t="s">
        <v>11</v>
      </c>
      <c r="B142">
        <f>B141+30</f>
        <v>1370</v>
      </c>
      <c r="C142" s="1">
        <v>0.41039999999999999</v>
      </c>
      <c r="D142" t="s">
        <v>20</v>
      </c>
      <c r="E142" t="s">
        <v>26</v>
      </c>
    </row>
    <row r="143" spans="1:5" x14ac:dyDescent="0.2">
      <c r="A143" t="s">
        <v>11</v>
      </c>
      <c r="B143">
        <f>B140+60</f>
        <v>1380</v>
      </c>
      <c r="C143" s="1">
        <v>0.42059999999999997</v>
      </c>
      <c r="D143" t="s">
        <v>20</v>
      </c>
      <c r="E143" t="s">
        <v>26</v>
      </c>
    </row>
    <row r="144" spans="1:5" x14ac:dyDescent="0.2">
      <c r="A144" t="s">
        <v>11</v>
      </c>
      <c r="B144">
        <f>B143+30</f>
        <v>1410</v>
      </c>
      <c r="C144" s="1">
        <v>0.39989999999999998</v>
      </c>
      <c r="D144" t="s">
        <v>20</v>
      </c>
      <c r="E144" t="s">
        <v>26</v>
      </c>
    </row>
    <row r="145" spans="1:5" x14ac:dyDescent="0.2">
      <c r="A145" t="s">
        <v>11</v>
      </c>
      <c r="B145">
        <f t="shared" ref="B145:B166" si="8">B144+30</f>
        <v>1440</v>
      </c>
      <c r="C145" s="1">
        <v>0.4133</v>
      </c>
      <c r="D145" t="s">
        <v>20</v>
      </c>
      <c r="E145" t="s">
        <v>26</v>
      </c>
    </row>
    <row r="146" spans="1:5" x14ac:dyDescent="0.2">
      <c r="A146" t="s">
        <v>11</v>
      </c>
      <c r="B146">
        <f t="shared" si="8"/>
        <v>1470</v>
      </c>
      <c r="C146" s="1">
        <v>0.42170000000000002</v>
      </c>
      <c r="D146" t="s">
        <v>20</v>
      </c>
      <c r="E146" t="s">
        <v>26</v>
      </c>
    </row>
    <row r="147" spans="1:5" x14ac:dyDescent="0.2">
      <c r="A147" t="s">
        <v>11</v>
      </c>
      <c r="B147">
        <f t="shared" si="8"/>
        <v>1500</v>
      </c>
      <c r="C147" s="1">
        <v>0.40329999999999999</v>
      </c>
      <c r="D147" t="s">
        <v>20</v>
      </c>
      <c r="E147" t="s">
        <v>26</v>
      </c>
    </row>
    <row r="148" spans="1:5" x14ac:dyDescent="0.2">
      <c r="A148" t="s">
        <v>11</v>
      </c>
      <c r="B148">
        <f t="shared" si="8"/>
        <v>1530</v>
      </c>
      <c r="C148" s="1">
        <v>0.39929999999999999</v>
      </c>
      <c r="D148" t="s">
        <v>20</v>
      </c>
      <c r="E148" t="s">
        <v>26</v>
      </c>
    </row>
    <row r="149" spans="1:5" x14ac:dyDescent="0.2">
      <c r="A149" t="s">
        <v>11</v>
      </c>
      <c r="B149">
        <f t="shared" si="8"/>
        <v>1560</v>
      </c>
      <c r="C149" s="1">
        <v>0.42809999999999998</v>
      </c>
      <c r="D149" t="s">
        <v>20</v>
      </c>
      <c r="E149" t="s">
        <v>26</v>
      </c>
    </row>
    <row r="150" spans="1:5" x14ac:dyDescent="0.2">
      <c r="A150" t="s">
        <v>11</v>
      </c>
      <c r="B150">
        <f t="shared" si="8"/>
        <v>1590</v>
      </c>
      <c r="C150" s="1">
        <v>0.43130000000000002</v>
      </c>
      <c r="D150" t="s">
        <v>20</v>
      </c>
      <c r="E150" t="s">
        <v>26</v>
      </c>
    </row>
    <row r="151" spans="1:5" x14ac:dyDescent="0.2">
      <c r="A151" t="s">
        <v>11</v>
      </c>
      <c r="B151">
        <f t="shared" si="8"/>
        <v>1620</v>
      </c>
      <c r="C151" s="1">
        <v>0.43240000000000001</v>
      </c>
      <c r="D151" t="s">
        <v>20</v>
      </c>
      <c r="E151" t="s">
        <v>26</v>
      </c>
    </row>
    <row r="152" spans="1:5" x14ac:dyDescent="0.2">
      <c r="A152" t="s">
        <v>11</v>
      </c>
      <c r="B152">
        <f t="shared" si="8"/>
        <v>1650</v>
      </c>
      <c r="C152" s="1">
        <v>0.43480000000000002</v>
      </c>
      <c r="D152" t="s">
        <v>20</v>
      </c>
      <c r="E152" t="s">
        <v>26</v>
      </c>
    </row>
    <row r="153" spans="1:5" x14ac:dyDescent="0.2">
      <c r="A153" t="s">
        <v>11</v>
      </c>
      <c r="B153">
        <f t="shared" si="8"/>
        <v>1680</v>
      </c>
      <c r="C153" s="1">
        <v>0.4395</v>
      </c>
      <c r="D153" t="s">
        <v>20</v>
      </c>
      <c r="E153" t="s">
        <v>26</v>
      </c>
    </row>
    <row r="154" spans="1:5" x14ac:dyDescent="0.2">
      <c r="A154" t="s">
        <v>11</v>
      </c>
      <c r="B154">
        <f t="shared" si="8"/>
        <v>1710</v>
      </c>
      <c r="C154" s="1">
        <v>0.44450000000000001</v>
      </c>
      <c r="D154" t="s">
        <v>20</v>
      </c>
      <c r="E154" t="s">
        <v>26</v>
      </c>
    </row>
    <row r="155" spans="1:5" x14ac:dyDescent="0.2">
      <c r="A155" t="s">
        <v>11</v>
      </c>
      <c r="B155">
        <f t="shared" si="8"/>
        <v>1740</v>
      </c>
      <c r="C155" s="1">
        <v>0.44800000000000001</v>
      </c>
      <c r="D155" t="s">
        <v>20</v>
      </c>
      <c r="E155" t="s">
        <v>26</v>
      </c>
    </row>
    <row r="156" spans="1:5" x14ac:dyDescent="0.2">
      <c r="A156" t="s">
        <v>11</v>
      </c>
      <c r="B156">
        <f t="shared" si="8"/>
        <v>1770</v>
      </c>
      <c r="C156" s="1">
        <v>0.4506</v>
      </c>
      <c r="D156" t="s">
        <v>20</v>
      </c>
      <c r="E156" t="s">
        <v>26</v>
      </c>
    </row>
    <row r="157" spans="1:5" x14ac:dyDescent="0.2">
      <c r="A157" t="s">
        <v>11</v>
      </c>
      <c r="B157">
        <f t="shared" si="8"/>
        <v>1800</v>
      </c>
      <c r="C157" s="1">
        <v>0.45300000000000001</v>
      </c>
      <c r="D157" t="s">
        <v>20</v>
      </c>
      <c r="E157" t="s">
        <v>26</v>
      </c>
    </row>
    <row r="158" spans="1:5" x14ac:dyDescent="0.2">
      <c r="A158" t="s">
        <v>11</v>
      </c>
      <c r="B158">
        <f t="shared" si="8"/>
        <v>1830</v>
      </c>
      <c r="C158" s="1">
        <v>0.45419999999999999</v>
      </c>
      <c r="D158" t="s">
        <v>20</v>
      </c>
      <c r="E158" t="s">
        <v>26</v>
      </c>
    </row>
    <row r="159" spans="1:5" x14ac:dyDescent="0.2">
      <c r="A159" t="s">
        <v>11</v>
      </c>
      <c r="B159">
        <f t="shared" si="8"/>
        <v>1860</v>
      </c>
      <c r="C159" s="1">
        <v>0.45469999999999999</v>
      </c>
      <c r="D159" t="s">
        <v>20</v>
      </c>
      <c r="E159" t="s">
        <v>26</v>
      </c>
    </row>
    <row r="160" spans="1:5" x14ac:dyDescent="0.2">
      <c r="A160" t="s">
        <v>11</v>
      </c>
      <c r="B160">
        <f t="shared" si="8"/>
        <v>1890</v>
      </c>
      <c r="C160" s="1">
        <v>0.45450000000000002</v>
      </c>
      <c r="D160" t="s">
        <v>20</v>
      </c>
      <c r="E160" t="s">
        <v>26</v>
      </c>
    </row>
    <row r="161" spans="1:5" x14ac:dyDescent="0.2">
      <c r="A161" t="s">
        <v>11</v>
      </c>
      <c r="B161">
        <f t="shared" si="8"/>
        <v>1920</v>
      </c>
      <c r="C161" s="1">
        <v>0.4536</v>
      </c>
      <c r="D161" t="s">
        <v>20</v>
      </c>
      <c r="E161" t="s">
        <v>26</v>
      </c>
    </row>
    <row r="162" spans="1:5" x14ac:dyDescent="0.2">
      <c r="A162" t="s">
        <v>11</v>
      </c>
      <c r="B162">
        <f t="shared" si="8"/>
        <v>1950</v>
      </c>
      <c r="C162" s="1">
        <v>0.45169999999999999</v>
      </c>
      <c r="D162" t="s">
        <v>20</v>
      </c>
      <c r="E162" t="s">
        <v>26</v>
      </c>
    </row>
    <row r="163" spans="1:5" x14ac:dyDescent="0.2">
      <c r="A163" t="s">
        <v>11</v>
      </c>
      <c r="B163">
        <f t="shared" si="8"/>
        <v>1980</v>
      </c>
      <c r="C163" s="1">
        <v>0.45319999999999999</v>
      </c>
      <c r="D163" t="s">
        <v>20</v>
      </c>
      <c r="E163" t="s">
        <v>26</v>
      </c>
    </row>
    <row r="164" spans="1:5" x14ac:dyDescent="0.2">
      <c r="A164" t="s">
        <v>11</v>
      </c>
      <c r="B164">
        <f t="shared" si="8"/>
        <v>2010</v>
      </c>
      <c r="C164" s="1">
        <v>0.45140000000000002</v>
      </c>
      <c r="D164" t="s">
        <v>20</v>
      </c>
      <c r="E164" t="s">
        <v>26</v>
      </c>
    </row>
    <row r="165" spans="1:5" x14ac:dyDescent="0.2">
      <c r="A165" t="s">
        <v>11</v>
      </c>
      <c r="B165">
        <f t="shared" si="8"/>
        <v>2040</v>
      </c>
      <c r="C165" s="1">
        <v>0.45179999999999998</v>
      </c>
      <c r="D165" t="s">
        <v>20</v>
      </c>
      <c r="E165" t="s">
        <v>26</v>
      </c>
    </row>
    <row r="166" spans="1:5" x14ac:dyDescent="0.2">
      <c r="A166" t="s">
        <v>11</v>
      </c>
      <c r="B166">
        <f t="shared" si="8"/>
        <v>2070</v>
      </c>
      <c r="C166" s="1">
        <v>0.45100000000000001</v>
      </c>
      <c r="D166" t="s">
        <v>20</v>
      </c>
      <c r="E166" t="s">
        <v>26</v>
      </c>
    </row>
    <row r="167" spans="1:5" x14ac:dyDescent="0.2">
      <c r="A167" t="s">
        <v>28</v>
      </c>
      <c r="B167">
        <v>0</v>
      </c>
      <c r="C167">
        <f>'Round2.raw'!G3</f>
        <v>0.1234</v>
      </c>
      <c r="D167" t="s">
        <v>41</v>
      </c>
      <c r="E167" t="s">
        <v>26</v>
      </c>
    </row>
    <row r="168" spans="1:5" x14ac:dyDescent="0.2">
      <c r="A168" t="s">
        <v>28</v>
      </c>
      <c r="B168">
        <v>60</v>
      </c>
      <c r="C168">
        <f>'Round2.raw'!G4</f>
        <v>0.12870000000000001</v>
      </c>
      <c r="D168" t="s">
        <v>41</v>
      </c>
      <c r="E168" t="s">
        <v>26</v>
      </c>
    </row>
    <row r="169" spans="1:5" x14ac:dyDescent="0.2">
      <c r="A169" t="s">
        <v>28</v>
      </c>
      <c r="B169">
        <v>120</v>
      </c>
      <c r="C169">
        <f>'Round2.raw'!G5</f>
        <v>0.1469</v>
      </c>
      <c r="D169" t="s">
        <v>41</v>
      </c>
      <c r="E169" t="s">
        <v>26</v>
      </c>
    </row>
    <row r="170" spans="1:5" x14ac:dyDescent="0.2">
      <c r="A170" t="s">
        <v>28</v>
      </c>
      <c r="B170">
        <v>180</v>
      </c>
      <c r="C170">
        <f>'Round2.raw'!G6</f>
        <v>0.156</v>
      </c>
      <c r="D170" t="s">
        <v>41</v>
      </c>
      <c r="E170" t="s">
        <v>26</v>
      </c>
    </row>
    <row r="171" spans="1:5" x14ac:dyDescent="0.2">
      <c r="A171" t="s">
        <v>28</v>
      </c>
      <c r="B171">
        <v>240</v>
      </c>
      <c r="C171">
        <f>'Round2.raw'!G7</f>
        <v>0.16450000000000001</v>
      </c>
      <c r="D171" t="s">
        <v>41</v>
      </c>
      <c r="E171" t="s">
        <v>26</v>
      </c>
    </row>
    <row r="172" spans="1:5" x14ac:dyDescent="0.2">
      <c r="A172" t="s">
        <v>28</v>
      </c>
      <c r="B172">
        <v>300</v>
      </c>
      <c r="C172">
        <f>'Round2.raw'!G8</f>
        <v>0.16470000000000001</v>
      </c>
      <c r="D172" t="s">
        <v>41</v>
      </c>
      <c r="E172" t="s">
        <v>26</v>
      </c>
    </row>
    <row r="173" spans="1:5" x14ac:dyDescent="0.2">
      <c r="A173" t="s">
        <v>28</v>
      </c>
      <c r="B173">
        <v>360</v>
      </c>
      <c r="C173">
        <f>'Round2.raw'!G9</f>
        <v>0.182</v>
      </c>
      <c r="D173" t="s">
        <v>41</v>
      </c>
      <c r="E173" t="s">
        <v>26</v>
      </c>
    </row>
    <row r="174" spans="1:5" x14ac:dyDescent="0.2">
      <c r="A174" t="s">
        <v>28</v>
      </c>
      <c r="B174">
        <v>420</v>
      </c>
      <c r="C174">
        <f>'Round2.raw'!G10</f>
        <v>0.17480000000000001</v>
      </c>
      <c r="D174" t="s">
        <v>41</v>
      </c>
      <c r="E174" t="s">
        <v>26</v>
      </c>
    </row>
    <row r="175" spans="1:5" x14ac:dyDescent="0.2">
      <c r="A175" t="s">
        <v>28</v>
      </c>
      <c r="B175">
        <v>480</v>
      </c>
      <c r="C175">
        <f>'Round2.raw'!G11</f>
        <v>0.185</v>
      </c>
      <c r="D175" t="s">
        <v>41</v>
      </c>
      <c r="E175" t="s">
        <v>26</v>
      </c>
    </row>
    <row r="176" spans="1:5" x14ac:dyDescent="0.2">
      <c r="A176" t="s">
        <v>28</v>
      </c>
      <c r="B176">
        <v>540</v>
      </c>
      <c r="C176">
        <f>'Round2.raw'!G12</f>
        <v>0.1905</v>
      </c>
      <c r="D176" t="s">
        <v>41</v>
      </c>
      <c r="E176" t="s">
        <v>26</v>
      </c>
    </row>
    <row r="177" spans="1:5" x14ac:dyDescent="0.2">
      <c r="A177" t="s">
        <v>28</v>
      </c>
      <c r="B177">
        <v>600</v>
      </c>
      <c r="C177">
        <f>'Round2.raw'!G13</f>
        <v>0.19950000000000001</v>
      </c>
      <c r="D177" t="s">
        <v>41</v>
      </c>
      <c r="E177" t="s">
        <v>26</v>
      </c>
    </row>
    <row r="178" spans="1:5" x14ac:dyDescent="0.2">
      <c r="A178" t="s">
        <v>28</v>
      </c>
      <c r="B178">
        <v>660</v>
      </c>
      <c r="C178">
        <f>'Round2.raw'!G14</f>
        <v>0.20699999999999999</v>
      </c>
      <c r="D178" t="s">
        <v>41</v>
      </c>
      <c r="E178" t="s">
        <v>26</v>
      </c>
    </row>
    <row r="179" spans="1:5" x14ac:dyDescent="0.2">
      <c r="A179" t="s">
        <v>28</v>
      </c>
      <c r="B179">
        <v>720</v>
      </c>
      <c r="C179">
        <f>'Round2.raw'!G15</f>
        <v>0.20660000000000001</v>
      </c>
      <c r="D179" t="s">
        <v>41</v>
      </c>
      <c r="E179" t="s">
        <v>26</v>
      </c>
    </row>
    <row r="180" spans="1:5" x14ac:dyDescent="0.2">
      <c r="A180" t="s">
        <v>28</v>
      </c>
      <c r="B180">
        <v>780</v>
      </c>
      <c r="C180">
        <f>'Round2.raw'!G16</f>
        <v>0.2132</v>
      </c>
      <c r="D180" t="s">
        <v>41</v>
      </c>
      <c r="E180" t="s">
        <v>26</v>
      </c>
    </row>
    <row r="181" spans="1:5" x14ac:dyDescent="0.2">
      <c r="A181" t="s">
        <v>28</v>
      </c>
      <c r="B181">
        <v>840</v>
      </c>
      <c r="C181">
        <f>'Round2.raw'!G17</f>
        <v>0.21360000000000001</v>
      </c>
      <c r="D181" t="s">
        <v>41</v>
      </c>
      <c r="E181" t="s">
        <v>26</v>
      </c>
    </row>
    <row r="182" spans="1:5" x14ac:dyDescent="0.2">
      <c r="A182" t="s">
        <v>28</v>
      </c>
      <c r="B182">
        <v>900</v>
      </c>
      <c r="C182">
        <f>'Round2.raw'!G18</f>
        <v>0.2215</v>
      </c>
      <c r="D182" t="s">
        <v>41</v>
      </c>
      <c r="E182" t="s">
        <v>26</v>
      </c>
    </row>
    <row r="183" spans="1:5" x14ac:dyDescent="0.2">
      <c r="A183" t="s">
        <v>28</v>
      </c>
      <c r="B183">
        <v>960</v>
      </c>
      <c r="C183">
        <f>'Round2.raw'!G19</f>
        <v>0.23250000000000001</v>
      </c>
      <c r="D183" t="s">
        <v>41</v>
      </c>
      <c r="E183" t="s">
        <v>26</v>
      </c>
    </row>
    <row r="184" spans="1:5" x14ac:dyDescent="0.2">
      <c r="A184" t="s">
        <v>28</v>
      </c>
      <c r="B184">
        <v>990</v>
      </c>
      <c r="C184">
        <f>'Round2.raw'!G20</f>
        <v>0.32669999999999999</v>
      </c>
      <c r="D184" t="s">
        <v>41</v>
      </c>
      <c r="E184" t="s">
        <v>26</v>
      </c>
    </row>
    <row r="185" spans="1:5" x14ac:dyDescent="0.2">
      <c r="A185" t="s">
        <v>28</v>
      </c>
      <c r="B185">
        <v>1020</v>
      </c>
      <c r="C185">
        <f>'Round2.raw'!G21</f>
        <v>0.24590000000000001</v>
      </c>
      <c r="D185" t="s">
        <v>41</v>
      </c>
      <c r="E185" t="s">
        <v>26</v>
      </c>
    </row>
    <row r="186" spans="1:5" x14ac:dyDescent="0.2">
      <c r="A186" t="s">
        <v>28</v>
      </c>
      <c r="B186">
        <v>1050</v>
      </c>
      <c r="C186">
        <f>'Round2.raw'!G22</f>
        <v>0.2616</v>
      </c>
      <c r="D186" t="s">
        <v>41</v>
      </c>
      <c r="E186" t="s">
        <v>26</v>
      </c>
    </row>
    <row r="187" spans="1:5" x14ac:dyDescent="0.2">
      <c r="A187" t="s">
        <v>28</v>
      </c>
      <c r="B187">
        <v>1080</v>
      </c>
      <c r="C187">
        <f>'Round2.raw'!G23</f>
        <v>0.26579999999999998</v>
      </c>
      <c r="D187" t="s">
        <v>41</v>
      </c>
      <c r="E187" t="s">
        <v>26</v>
      </c>
    </row>
    <row r="188" spans="1:5" x14ac:dyDescent="0.2">
      <c r="A188" t="s">
        <v>28</v>
      </c>
      <c r="B188">
        <v>1110</v>
      </c>
      <c r="C188">
        <f>'Round2.raw'!G24</f>
        <v>0.27150000000000002</v>
      </c>
      <c r="D188" t="s">
        <v>41</v>
      </c>
      <c r="E188" t="s">
        <v>26</v>
      </c>
    </row>
    <row r="189" spans="1:5" x14ac:dyDescent="0.2">
      <c r="A189" t="s">
        <v>28</v>
      </c>
      <c r="B189">
        <v>1140</v>
      </c>
      <c r="C189">
        <f>'Round2.raw'!G25</f>
        <v>0.28370000000000001</v>
      </c>
      <c r="D189" t="s">
        <v>41</v>
      </c>
      <c r="E189" t="s">
        <v>26</v>
      </c>
    </row>
    <row r="190" spans="1:5" x14ac:dyDescent="0.2">
      <c r="A190" t="s">
        <v>28</v>
      </c>
      <c r="B190">
        <v>1170</v>
      </c>
      <c r="C190">
        <f>'Round2.raw'!G26</f>
        <v>0.29189999999999999</v>
      </c>
      <c r="D190" t="s">
        <v>41</v>
      </c>
      <c r="E190" t="s">
        <v>26</v>
      </c>
    </row>
    <row r="191" spans="1:5" x14ac:dyDescent="0.2">
      <c r="A191" t="s">
        <v>28</v>
      </c>
      <c r="B191">
        <v>1200</v>
      </c>
      <c r="C191">
        <f>'Round2.raw'!G27</f>
        <v>0.30459999999999998</v>
      </c>
      <c r="D191" t="s">
        <v>41</v>
      </c>
      <c r="E191" t="s">
        <v>26</v>
      </c>
    </row>
    <row r="192" spans="1:5" x14ac:dyDescent="0.2">
      <c r="A192" t="s">
        <v>28</v>
      </c>
      <c r="B192">
        <v>1230</v>
      </c>
      <c r="C192">
        <f>'Round2.raw'!G28</f>
        <v>0.30969999999999998</v>
      </c>
      <c r="D192" t="s">
        <v>41</v>
      </c>
      <c r="E192" t="s">
        <v>26</v>
      </c>
    </row>
    <row r="193" spans="1:5" x14ac:dyDescent="0.2">
      <c r="A193" t="s">
        <v>28</v>
      </c>
      <c r="B193">
        <v>1260</v>
      </c>
      <c r="C193">
        <f>'Round2.raw'!G29</f>
        <v>0.3977</v>
      </c>
      <c r="D193" t="s">
        <v>41</v>
      </c>
      <c r="E193" t="s">
        <v>26</v>
      </c>
    </row>
    <row r="194" spans="1:5" x14ac:dyDescent="0.2">
      <c r="A194" t="s">
        <v>28</v>
      </c>
      <c r="B194">
        <v>1290</v>
      </c>
      <c r="C194">
        <f>'Round2.raw'!G30</f>
        <v>0.3271</v>
      </c>
      <c r="D194" t="s">
        <v>41</v>
      </c>
      <c r="E194" t="s">
        <v>26</v>
      </c>
    </row>
    <row r="195" spans="1:5" x14ac:dyDescent="0.2">
      <c r="A195" t="s">
        <v>28</v>
      </c>
      <c r="B195">
        <v>1320</v>
      </c>
      <c r="C195">
        <f>'Round2.raw'!G31</f>
        <v>0.35470000000000002</v>
      </c>
      <c r="D195" t="s">
        <v>41</v>
      </c>
      <c r="E195" t="s">
        <v>26</v>
      </c>
    </row>
    <row r="196" spans="1:5" x14ac:dyDescent="0.2">
      <c r="A196" t="s">
        <v>28</v>
      </c>
      <c r="B196">
        <v>1340</v>
      </c>
      <c r="C196">
        <f>'Round2.raw'!G32</f>
        <v>0.4335</v>
      </c>
      <c r="D196" t="s">
        <v>41</v>
      </c>
      <c r="E196" t="s">
        <v>26</v>
      </c>
    </row>
    <row r="197" spans="1:5" x14ac:dyDescent="0.2">
      <c r="A197" t="s">
        <v>28</v>
      </c>
      <c r="B197">
        <v>1370</v>
      </c>
      <c r="C197">
        <f>'Round2.raw'!G33</f>
        <v>0.35270000000000001</v>
      </c>
      <c r="D197" t="s">
        <v>41</v>
      </c>
      <c r="E197" t="s">
        <v>26</v>
      </c>
    </row>
    <row r="198" spans="1:5" x14ac:dyDescent="0.2">
      <c r="A198" t="s">
        <v>28</v>
      </c>
      <c r="B198">
        <v>1380</v>
      </c>
      <c r="C198">
        <f>'Round2.raw'!G34</f>
        <v>0.37319999999999998</v>
      </c>
      <c r="D198" t="s">
        <v>41</v>
      </c>
      <c r="E198" t="s">
        <v>26</v>
      </c>
    </row>
    <row r="199" spans="1:5" x14ac:dyDescent="0.2">
      <c r="A199" t="s">
        <v>28</v>
      </c>
      <c r="B199">
        <v>1410</v>
      </c>
      <c r="C199">
        <f>'Round2.raw'!G35</f>
        <v>0.32900000000000001</v>
      </c>
      <c r="D199" t="s">
        <v>41</v>
      </c>
      <c r="E199" t="s">
        <v>26</v>
      </c>
    </row>
    <row r="200" spans="1:5" x14ac:dyDescent="0.2">
      <c r="A200" t="s">
        <v>28</v>
      </c>
      <c r="B200">
        <v>1440</v>
      </c>
      <c r="C200">
        <f>'Round2.raw'!G36</f>
        <v>0.33400000000000002</v>
      </c>
      <c r="D200" t="s">
        <v>41</v>
      </c>
      <c r="E200" t="s">
        <v>26</v>
      </c>
    </row>
    <row r="201" spans="1:5" x14ac:dyDescent="0.2">
      <c r="A201" t="s">
        <v>28</v>
      </c>
      <c r="B201">
        <v>1470</v>
      </c>
      <c r="C201">
        <f>'Round2.raw'!G37</f>
        <v>0.3291</v>
      </c>
      <c r="D201" t="s">
        <v>41</v>
      </c>
      <c r="E201" t="s">
        <v>26</v>
      </c>
    </row>
    <row r="202" spans="1:5" x14ac:dyDescent="0.2">
      <c r="A202" t="s">
        <v>28</v>
      </c>
      <c r="B202">
        <v>1500</v>
      </c>
      <c r="C202">
        <f>'Round2.raw'!G38</f>
        <v>0.33650000000000002</v>
      </c>
      <c r="D202" t="s">
        <v>41</v>
      </c>
      <c r="E202" t="s">
        <v>26</v>
      </c>
    </row>
    <row r="203" spans="1:5" x14ac:dyDescent="0.2">
      <c r="A203" t="s">
        <v>28</v>
      </c>
      <c r="B203">
        <v>1530</v>
      </c>
      <c r="C203">
        <f>'Round2.raw'!G39</f>
        <v>0.34160000000000001</v>
      </c>
      <c r="D203" t="s">
        <v>41</v>
      </c>
      <c r="E203" t="s">
        <v>26</v>
      </c>
    </row>
    <row r="204" spans="1:5" x14ac:dyDescent="0.2">
      <c r="A204" t="s">
        <v>28</v>
      </c>
      <c r="B204">
        <v>1560</v>
      </c>
      <c r="C204">
        <f>'Round2.raw'!G40</f>
        <v>0.3463</v>
      </c>
      <c r="D204" t="s">
        <v>41</v>
      </c>
      <c r="E204" t="s">
        <v>26</v>
      </c>
    </row>
    <row r="205" spans="1:5" x14ac:dyDescent="0.2">
      <c r="A205" t="s">
        <v>28</v>
      </c>
      <c r="B205">
        <v>1590</v>
      </c>
      <c r="C205">
        <f>'Round2.raw'!G41</f>
        <v>0.34960000000000002</v>
      </c>
      <c r="D205" t="s">
        <v>41</v>
      </c>
      <c r="E205" t="s">
        <v>26</v>
      </c>
    </row>
    <row r="206" spans="1:5" x14ac:dyDescent="0.2">
      <c r="A206" t="s">
        <v>28</v>
      </c>
      <c r="B206">
        <v>1620</v>
      </c>
      <c r="C206">
        <f>'Round2.raw'!G42</f>
        <v>0.3533</v>
      </c>
      <c r="D206" t="s">
        <v>41</v>
      </c>
      <c r="E206" t="s">
        <v>26</v>
      </c>
    </row>
    <row r="207" spans="1:5" x14ac:dyDescent="0.2">
      <c r="A207" t="s">
        <v>28</v>
      </c>
      <c r="B207">
        <v>1650</v>
      </c>
      <c r="C207">
        <f>'Round2.raw'!G43</f>
        <v>0.3553</v>
      </c>
      <c r="D207" t="s">
        <v>41</v>
      </c>
      <c r="E207" t="s">
        <v>26</v>
      </c>
    </row>
    <row r="208" spans="1:5" x14ac:dyDescent="0.2">
      <c r="A208" t="s">
        <v>28</v>
      </c>
      <c r="B208">
        <v>1680</v>
      </c>
      <c r="C208">
        <f>'Round2.raw'!G44</f>
        <v>0.35780000000000001</v>
      </c>
      <c r="D208" t="s">
        <v>41</v>
      </c>
      <c r="E208" t="s">
        <v>26</v>
      </c>
    </row>
    <row r="209" spans="1:5" x14ac:dyDescent="0.2">
      <c r="A209" t="s">
        <v>28</v>
      </c>
      <c r="B209">
        <v>1710</v>
      </c>
      <c r="C209">
        <f>'Round2.raw'!G45</f>
        <v>0.36070000000000002</v>
      </c>
      <c r="D209" t="s">
        <v>41</v>
      </c>
      <c r="E209" t="s">
        <v>26</v>
      </c>
    </row>
    <row r="210" spans="1:5" x14ac:dyDescent="0.2">
      <c r="A210" t="s">
        <v>28</v>
      </c>
      <c r="B210">
        <v>1740</v>
      </c>
      <c r="C210">
        <f>'Round2.raw'!G46</f>
        <v>0.3619</v>
      </c>
      <c r="D210" t="s">
        <v>41</v>
      </c>
      <c r="E210" t="s">
        <v>26</v>
      </c>
    </row>
    <row r="211" spans="1:5" x14ac:dyDescent="0.2">
      <c r="A211" t="s">
        <v>28</v>
      </c>
      <c r="B211">
        <v>1770</v>
      </c>
      <c r="C211">
        <f>'Round2.raw'!G47</f>
        <v>0.36199999999999999</v>
      </c>
      <c r="D211" t="s">
        <v>41</v>
      </c>
      <c r="E211" t="s">
        <v>26</v>
      </c>
    </row>
    <row r="212" spans="1:5" x14ac:dyDescent="0.2">
      <c r="A212" t="s">
        <v>28</v>
      </c>
      <c r="B212">
        <v>1800</v>
      </c>
      <c r="C212">
        <f>'Round2.raw'!G48</f>
        <v>0.36249999999999999</v>
      </c>
      <c r="D212" t="s">
        <v>41</v>
      </c>
      <c r="E212" t="s">
        <v>26</v>
      </c>
    </row>
    <row r="213" spans="1:5" x14ac:dyDescent="0.2">
      <c r="A213" t="s">
        <v>28</v>
      </c>
      <c r="B213">
        <v>1830</v>
      </c>
      <c r="C213">
        <f>'Round2.raw'!G49</f>
        <v>0.36170000000000002</v>
      </c>
      <c r="D213" t="s">
        <v>41</v>
      </c>
      <c r="E213" t="s">
        <v>26</v>
      </c>
    </row>
    <row r="214" spans="1:5" x14ac:dyDescent="0.2">
      <c r="A214" t="s">
        <v>28</v>
      </c>
      <c r="B214">
        <v>1860</v>
      </c>
      <c r="C214">
        <f>'Round2.raw'!G50</f>
        <v>0.36130000000000001</v>
      </c>
      <c r="D214" t="s">
        <v>41</v>
      </c>
      <c r="E214" t="s">
        <v>26</v>
      </c>
    </row>
    <row r="215" spans="1:5" x14ac:dyDescent="0.2">
      <c r="A215" t="s">
        <v>28</v>
      </c>
      <c r="B215">
        <v>1890</v>
      </c>
      <c r="C215">
        <f>'Round2.raw'!G51</f>
        <v>0.35920000000000002</v>
      </c>
      <c r="D215" t="s">
        <v>41</v>
      </c>
      <c r="E215" t="s">
        <v>26</v>
      </c>
    </row>
    <row r="216" spans="1:5" x14ac:dyDescent="0.2">
      <c r="A216" t="s">
        <v>28</v>
      </c>
      <c r="B216">
        <v>1920</v>
      </c>
      <c r="C216">
        <f>'Round2.raw'!G52</f>
        <v>0.35780000000000001</v>
      </c>
      <c r="D216" t="s">
        <v>41</v>
      </c>
      <c r="E216" t="s">
        <v>26</v>
      </c>
    </row>
    <row r="217" spans="1:5" x14ac:dyDescent="0.2">
      <c r="A217" t="s">
        <v>28</v>
      </c>
      <c r="B217">
        <v>1950</v>
      </c>
      <c r="C217">
        <f>'Round2.raw'!G53</f>
        <v>0.35730000000000001</v>
      </c>
      <c r="D217" t="s">
        <v>41</v>
      </c>
      <c r="E217" t="s">
        <v>26</v>
      </c>
    </row>
    <row r="218" spans="1:5" x14ac:dyDescent="0.2">
      <c r="A218" t="s">
        <v>28</v>
      </c>
      <c r="B218">
        <v>1980</v>
      </c>
      <c r="C218">
        <f>'Round2.raw'!G54</f>
        <v>0.35510000000000003</v>
      </c>
      <c r="D218" t="s">
        <v>41</v>
      </c>
      <c r="E218" t="s">
        <v>26</v>
      </c>
    </row>
    <row r="219" spans="1:5" x14ac:dyDescent="0.2">
      <c r="A219" t="s">
        <v>28</v>
      </c>
      <c r="B219">
        <v>2010</v>
      </c>
      <c r="C219">
        <f>'Round2.raw'!G55</f>
        <v>0.3548</v>
      </c>
      <c r="D219" t="s">
        <v>41</v>
      </c>
      <c r="E219" t="s">
        <v>26</v>
      </c>
    </row>
    <row r="220" spans="1:5" x14ac:dyDescent="0.2">
      <c r="A220" t="s">
        <v>28</v>
      </c>
      <c r="B220">
        <v>2040</v>
      </c>
      <c r="C220">
        <f>'Round2.raw'!G56</f>
        <v>0.35410000000000003</v>
      </c>
      <c r="D220" t="s">
        <v>41</v>
      </c>
      <c r="E220" t="s">
        <v>26</v>
      </c>
    </row>
    <row r="221" spans="1:5" x14ac:dyDescent="0.2">
      <c r="A221" t="s">
        <v>28</v>
      </c>
      <c r="B221">
        <v>2070</v>
      </c>
      <c r="C221">
        <f>'Round2.raw'!G57</f>
        <v>0.35389999999999999</v>
      </c>
      <c r="D221" t="s">
        <v>41</v>
      </c>
      <c r="E221" t="s">
        <v>26</v>
      </c>
    </row>
    <row r="222" spans="1:5" x14ac:dyDescent="0.2">
      <c r="A222" t="s">
        <v>33</v>
      </c>
      <c r="B222">
        <v>0</v>
      </c>
      <c r="C222">
        <f>'Round2.raw'!H3</f>
        <v>0.1298</v>
      </c>
      <c r="D222" t="s">
        <v>41</v>
      </c>
      <c r="E222" t="s">
        <v>26</v>
      </c>
    </row>
    <row r="223" spans="1:5" x14ac:dyDescent="0.2">
      <c r="A223" t="s">
        <v>33</v>
      </c>
      <c r="B223">
        <v>60</v>
      </c>
      <c r="C223">
        <f>'Round2.raw'!H4</f>
        <v>0.15629999999999999</v>
      </c>
      <c r="D223" t="s">
        <v>41</v>
      </c>
      <c r="E223" t="s">
        <v>26</v>
      </c>
    </row>
    <row r="224" spans="1:5" x14ac:dyDescent="0.2">
      <c r="A224" t="s">
        <v>33</v>
      </c>
      <c r="B224">
        <v>120</v>
      </c>
      <c r="C224">
        <f>'Round2.raw'!H5</f>
        <v>0.1487</v>
      </c>
      <c r="D224" t="s">
        <v>41</v>
      </c>
      <c r="E224" t="s">
        <v>26</v>
      </c>
    </row>
    <row r="225" spans="1:5" x14ac:dyDescent="0.2">
      <c r="A225" t="s">
        <v>33</v>
      </c>
      <c r="B225">
        <v>180</v>
      </c>
      <c r="C225">
        <f>'Round2.raw'!H6</f>
        <v>0.154</v>
      </c>
      <c r="D225" t="s">
        <v>41</v>
      </c>
      <c r="E225" t="s">
        <v>26</v>
      </c>
    </row>
    <row r="226" spans="1:5" x14ac:dyDescent="0.2">
      <c r="A226" t="s">
        <v>33</v>
      </c>
      <c r="B226">
        <v>240</v>
      </c>
      <c r="C226">
        <f>'Round2.raw'!H7</f>
        <v>0.1605</v>
      </c>
      <c r="D226" t="s">
        <v>41</v>
      </c>
      <c r="E226" t="s">
        <v>26</v>
      </c>
    </row>
    <row r="227" spans="1:5" x14ac:dyDescent="0.2">
      <c r="A227" t="s">
        <v>33</v>
      </c>
      <c r="B227">
        <v>300</v>
      </c>
      <c r="C227">
        <f>'Round2.raw'!H8</f>
        <v>0.16189999999999999</v>
      </c>
      <c r="D227" t="s">
        <v>41</v>
      </c>
      <c r="E227" t="s">
        <v>26</v>
      </c>
    </row>
    <row r="228" spans="1:5" x14ac:dyDescent="0.2">
      <c r="A228" t="s">
        <v>33</v>
      </c>
      <c r="B228">
        <v>360</v>
      </c>
      <c r="C228">
        <f>'Round2.raw'!H9</f>
        <v>0.1865</v>
      </c>
      <c r="D228" t="s">
        <v>41</v>
      </c>
      <c r="E228" t="s">
        <v>26</v>
      </c>
    </row>
    <row r="229" spans="1:5" x14ac:dyDescent="0.2">
      <c r="A229" t="s">
        <v>33</v>
      </c>
      <c r="B229">
        <v>420</v>
      </c>
      <c r="C229">
        <f>'Round2.raw'!H10</f>
        <v>0.18809999999999999</v>
      </c>
      <c r="D229" t="s">
        <v>41</v>
      </c>
      <c r="E229" t="s">
        <v>26</v>
      </c>
    </row>
    <row r="230" spans="1:5" x14ac:dyDescent="0.2">
      <c r="A230" t="s">
        <v>33</v>
      </c>
      <c r="B230">
        <v>480</v>
      </c>
      <c r="C230">
        <f>'Round2.raw'!H11</f>
        <v>0.18609999999999999</v>
      </c>
      <c r="D230" t="s">
        <v>41</v>
      </c>
      <c r="E230" t="s">
        <v>26</v>
      </c>
    </row>
    <row r="231" spans="1:5" x14ac:dyDescent="0.2">
      <c r="A231" t="s">
        <v>33</v>
      </c>
      <c r="B231">
        <v>540</v>
      </c>
      <c r="C231">
        <f>'Round2.raw'!H12</f>
        <v>0.19939999999999999</v>
      </c>
      <c r="D231" t="s">
        <v>41</v>
      </c>
      <c r="E231" t="s">
        <v>26</v>
      </c>
    </row>
    <row r="232" spans="1:5" x14ac:dyDescent="0.2">
      <c r="A232" t="s">
        <v>33</v>
      </c>
      <c r="B232">
        <v>600</v>
      </c>
      <c r="C232">
        <f>'Round2.raw'!H13</f>
        <v>0.20680000000000001</v>
      </c>
      <c r="D232" t="s">
        <v>41</v>
      </c>
      <c r="E232" t="s">
        <v>26</v>
      </c>
    </row>
    <row r="233" spans="1:5" x14ac:dyDescent="0.2">
      <c r="A233" t="s">
        <v>33</v>
      </c>
      <c r="B233">
        <v>660</v>
      </c>
      <c r="C233">
        <f>'Round2.raw'!H14</f>
        <v>0.21190000000000001</v>
      </c>
      <c r="D233" t="s">
        <v>41</v>
      </c>
      <c r="E233" t="s">
        <v>26</v>
      </c>
    </row>
    <row r="234" spans="1:5" x14ac:dyDescent="0.2">
      <c r="A234" t="s">
        <v>33</v>
      </c>
      <c r="B234">
        <v>720</v>
      </c>
      <c r="C234">
        <f>'Round2.raw'!H15</f>
        <v>0.20880000000000001</v>
      </c>
      <c r="D234" t="s">
        <v>41</v>
      </c>
      <c r="E234" t="s">
        <v>26</v>
      </c>
    </row>
    <row r="235" spans="1:5" x14ac:dyDescent="0.2">
      <c r="A235" t="s">
        <v>33</v>
      </c>
      <c r="B235">
        <v>780</v>
      </c>
      <c r="C235">
        <f>'Round2.raw'!H16</f>
        <v>0.20830000000000001</v>
      </c>
      <c r="D235" t="s">
        <v>41</v>
      </c>
      <c r="E235" t="s">
        <v>26</v>
      </c>
    </row>
    <row r="236" spans="1:5" x14ac:dyDescent="0.2">
      <c r="A236" t="s">
        <v>33</v>
      </c>
      <c r="B236">
        <v>840</v>
      </c>
      <c r="C236">
        <f>'Round2.raw'!H17</f>
        <v>0.2077</v>
      </c>
      <c r="D236" t="s">
        <v>41</v>
      </c>
      <c r="E236" t="s">
        <v>26</v>
      </c>
    </row>
    <row r="237" spans="1:5" x14ac:dyDescent="0.2">
      <c r="A237" t="s">
        <v>33</v>
      </c>
      <c r="B237">
        <v>900</v>
      </c>
      <c r="C237">
        <f>'Round2.raw'!H18</f>
        <v>0.2072</v>
      </c>
      <c r="D237" t="s">
        <v>41</v>
      </c>
      <c r="E237" t="s">
        <v>26</v>
      </c>
    </row>
    <row r="238" spans="1:5" x14ac:dyDescent="0.2">
      <c r="A238" t="s">
        <v>33</v>
      </c>
      <c r="B238">
        <v>960</v>
      </c>
      <c r="C238">
        <f>'Round2.raw'!H19</f>
        <v>0.20760000000000001</v>
      </c>
      <c r="D238" t="s">
        <v>41</v>
      </c>
      <c r="E238" t="s">
        <v>26</v>
      </c>
    </row>
    <row r="239" spans="1:5" x14ac:dyDescent="0.2">
      <c r="A239" t="s">
        <v>33</v>
      </c>
      <c r="B239">
        <v>990</v>
      </c>
      <c r="C239">
        <f>'Round2.raw'!H20</f>
        <v>0.27639999999999998</v>
      </c>
      <c r="D239" t="s">
        <v>41</v>
      </c>
      <c r="E239" t="s">
        <v>26</v>
      </c>
    </row>
    <row r="240" spans="1:5" x14ac:dyDescent="0.2">
      <c r="A240" t="s">
        <v>33</v>
      </c>
      <c r="B240">
        <v>1020</v>
      </c>
      <c r="C240">
        <f>'Round2.raw'!H21</f>
        <v>0.21160000000000001</v>
      </c>
      <c r="D240" t="s">
        <v>41</v>
      </c>
      <c r="E240" t="s">
        <v>26</v>
      </c>
    </row>
    <row r="241" spans="1:5" x14ac:dyDescent="0.2">
      <c r="A241" t="s">
        <v>33</v>
      </c>
      <c r="B241">
        <v>1050</v>
      </c>
      <c r="C241">
        <f>'Round2.raw'!H22</f>
        <v>0.21210000000000001</v>
      </c>
      <c r="D241" t="s">
        <v>41</v>
      </c>
      <c r="E241" t="s">
        <v>26</v>
      </c>
    </row>
    <row r="242" spans="1:5" x14ac:dyDescent="0.2">
      <c r="A242" t="s">
        <v>33</v>
      </c>
      <c r="B242">
        <v>1080</v>
      </c>
      <c r="C242">
        <f>'Round2.raw'!H23</f>
        <v>0.21440000000000001</v>
      </c>
      <c r="D242" t="s">
        <v>41</v>
      </c>
      <c r="E242" t="s">
        <v>26</v>
      </c>
    </row>
    <row r="243" spans="1:5" x14ac:dyDescent="0.2">
      <c r="A243" t="s">
        <v>33</v>
      </c>
      <c r="B243">
        <v>1110</v>
      </c>
      <c r="C243">
        <f>'Round2.raw'!H24</f>
        <v>0.2165</v>
      </c>
      <c r="D243" t="s">
        <v>41</v>
      </c>
      <c r="E243" t="s">
        <v>26</v>
      </c>
    </row>
    <row r="244" spans="1:5" x14ac:dyDescent="0.2">
      <c r="A244" t="s">
        <v>33</v>
      </c>
      <c r="B244">
        <v>1140</v>
      </c>
      <c r="C244">
        <f>'Round2.raw'!H25</f>
        <v>0.2198</v>
      </c>
      <c r="D244" t="s">
        <v>41</v>
      </c>
      <c r="E244" t="s">
        <v>26</v>
      </c>
    </row>
    <row r="245" spans="1:5" x14ac:dyDescent="0.2">
      <c r="A245" t="s">
        <v>33</v>
      </c>
      <c r="B245">
        <v>1170</v>
      </c>
      <c r="C245">
        <f>'Round2.raw'!H26</f>
        <v>0.2223</v>
      </c>
      <c r="D245" t="s">
        <v>41</v>
      </c>
      <c r="E245" t="s">
        <v>26</v>
      </c>
    </row>
    <row r="246" spans="1:5" x14ac:dyDescent="0.2">
      <c r="A246" t="s">
        <v>33</v>
      </c>
      <c r="B246">
        <v>1200</v>
      </c>
      <c r="C246">
        <f>'Round2.raw'!H27</f>
        <v>0.22489999999999999</v>
      </c>
      <c r="D246" t="s">
        <v>41</v>
      </c>
      <c r="E246" t="s">
        <v>26</v>
      </c>
    </row>
    <row r="247" spans="1:5" x14ac:dyDescent="0.2">
      <c r="A247" t="s">
        <v>33</v>
      </c>
      <c r="B247">
        <v>1230</v>
      </c>
      <c r="C247">
        <f>'Round2.raw'!H28</f>
        <v>0.2296</v>
      </c>
      <c r="D247" t="s">
        <v>41</v>
      </c>
      <c r="E247" t="s">
        <v>26</v>
      </c>
    </row>
    <row r="248" spans="1:5" x14ac:dyDescent="0.2">
      <c r="A248" t="s">
        <v>33</v>
      </c>
      <c r="B248">
        <v>1260</v>
      </c>
      <c r="C248">
        <f>'Round2.raw'!H29</f>
        <v>0.30149999999999999</v>
      </c>
      <c r="D248" t="s">
        <v>41</v>
      </c>
      <c r="E248" t="s">
        <v>26</v>
      </c>
    </row>
    <row r="249" spans="1:5" x14ac:dyDescent="0.2">
      <c r="A249" t="s">
        <v>33</v>
      </c>
      <c r="B249">
        <v>1290</v>
      </c>
      <c r="C249">
        <f>'Round2.raw'!H30</f>
        <v>0.24049999999999999</v>
      </c>
      <c r="D249" t="s">
        <v>41</v>
      </c>
      <c r="E249" t="s">
        <v>26</v>
      </c>
    </row>
    <row r="250" spans="1:5" x14ac:dyDescent="0.2">
      <c r="A250" t="s">
        <v>33</v>
      </c>
      <c r="B250">
        <v>1320</v>
      </c>
      <c r="C250">
        <f>'Round2.raw'!H31</f>
        <v>0.25009999999999999</v>
      </c>
      <c r="D250" t="s">
        <v>41</v>
      </c>
      <c r="E250" t="s">
        <v>26</v>
      </c>
    </row>
    <row r="251" spans="1:5" x14ac:dyDescent="0.2">
      <c r="A251" t="s">
        <v>33</v>
      </c>
      <c r="B251">
        <v>1340</v>
      </c>
      <c r="C251">
        <f>'Round2.raw'!H32</f>
        <v>0.34570000000000001</v>
      </c>
      <c r="D251" t="s">
        <v>41</v>
      </c>
      <c r="E251" t="s">
        <v>26</v>
      </c>
    </row>
    <row r="252" spans="1:5" x14ac:dyDescent="0.2">
      <c r="A252" t="s">
        <v>33</v>
      </c>
      <c r="B252">
        <v>1370</v>
      </c>
      <c r="C252">
        <f>'Round2.raw'!H33</f>
        <v>0.28710000000000002</v>
      </c>
      <c r="D252" t="s">
        <v>41</v>
      </c>
      <c r="E252" t="s">
        <v>26</v>
      </c>
    </row>
    <row r="253" spans="1:5" x14ac:dyDescent="0.2">
      <c r="A253" t="s">
        <v>33</v>
      </c>
      <c r="B253">
        <v>1380</v>
      </c>
      <c r="C253">
        <f>'Round2.raw'!H34</f>
        <v>0.29859999999999998</v>
      </c>
      <c r="D253" t="s">
        <v>41</v>
      </c>
      <c r="E253" t="s">
        <v>26</v>
      </c>
    </row>
    <row r="254" spans="1:5" x14ac:dyDescent="0.2">
      <c r="A254" t="s">
        <v>33</v>
      </c>
      <c r="B254">
        <v>1410</v>
      </c>
      <c r="C254">
        <f>'Round2.raw'!H35</f>
        <v>0.27200000000000002</v>
      </c>
      <c r="D254" t="s">
        <v>41</v>
      </c>
      <c r="E254" t="s">
        <v>26</v>
      </c>
    </row>
    <row r="255" spans="1:5" x14ac:dyDescent="0.2">
      <c r="A255" t="s">
        <v>33</v>
      </c>
      <c r="B255">
        <v>1440</v>
      </c>
      <c r="C255">
        <f>'Round2.raw'!H36</f>
        <v>0.28179999999999999</v>
      </c>
      <c r="D255" t="s">
        <v>41</v>
      </c>
      <c r="E255" t="s">
        <v>26</v>
      </c>
    </row>
    <row r="256" spans="1:5" x14ac:dyDescent="0.2">
      <c r="A256" t="s">
        <v>33</v>
      </c>
      <c r="B256">
        <v>1470</v>
      </c>
      <c r="C256">
        <f>'Round2.raw'!H37</f>
        <v>0.29220000000000002</v>
      </c>
      <c r="D256" t="s">
        <v>41</v>
      </c>
      <c r="E256" t="s">
        <v>26</v>
      </c>
    </row>
    <row r="257" spans="1:5" x14ac:dyDescent="0.2">
      <c r="A257" t="s">
        <v>33</v>
      </c>
      <c r="B257">
        <v>1500</v>
      </c>
      <c r="C257">
        <f>'Round2.raw'!H38</f>
        <v>0.29720000000000002</v>
      </c>
      <c r="D257" t="s">
        <v>41</v>
      </c>
      <c r="E257" t="s">
        <v>26</v>
      </c>
    </row>
    <row r="258" spans="1:5" x14ac:dyDescent="0.2">
      <c r="A258" t="s">
        <v>33</v>
      </c>
      <c r="B258">
        <v>1530</v>
      </c>
      <c r="C258">
        <f>'Round2.raw'!H39</f>
        <v>0.30659999999999998</v>
      </c>
      <c r="D258" t="s">
        <v>41</v>
      </c>
      <c r="E258" t="s">
        <v>26</v>
      </c>
    </row>
    <row r="259" spans="1:5" x14ac:dyDescent="0.2">
      <c r="A259" t="s">
        <v>33</v>
      </c>
      <c r="B259">
        <v>1560</v>
      </c>
      <c r="C259">
        <f>'Round2.raw'!H40</f>
        <v>0.31890000000000002</v>
      </c>
      <c r="D259" t="s">
        <v>41</v>
      </c>
      <c r="E259" t="s">
        <v>26</v>
      </c>
    </row>
    <row r="260" spans="1:5" x14ac:dyDescent="0.2">
      <c r="A260" t="s">
        <v>33</v>
      </c>
      <c r="B260">
        <v>1590</v>
      </c>
      <c r="C260">
        <f>'Round2.raw'!H41</f>
        <v>0.33700000000000002</v>
      </c>
      <c r="D260" t="s">
        <v>41</v>
      </c>
      <c r="E260" t="s">
        <v>26</v>
      </c>
    </row>
    <row r="261" spans="1:5" x14ac:dyDescent="0.2">
      <c r="A261" t="s">
        <v>33</v>
      </c>
      <c r="B261">
        <v>1620</v>
      </c>
      <c r="C261">
        <f>'Round2.raw'!H42</f>
        <v>0.3468</v>
      </c>
      <c r="D261" t="s">
        <v>41</v>
      </c>
      <c r="E261" t="s">
        <v>26</v>
      </c>
    </row>
    <row r="262" spans="1:5" x14ac:dyDescent="0.2">
      <c r="A262" t="s">
        <v>33</v>
      </c>
      <c r="B262">
        <v>1650</v>
      </c>
      <c r="C262">
        <f>'Round2.raw'!H43</f>
        <v>0.34899999999999998</v>
      </c>
      <c r="D262" t="s">
        <v>41</v>
      </c>
      <c r="E262" t="s">
        <v>26</v>
      </c>
    </row>
    <row r="263" spans="1:5" x14ac:dyDescent="0.2">
      <c r="A263" t="s">
        <v>33</v>
      </c>
      <c r="B263">
        <v>1680</v>
      </c>
      <c r="C263">
        <f>'Round2.raw'!H44</f>
        <v>0.35849999999999999</v>
      </c>
      <c r="D263" t="s">
        <v>41</v>
      </c>
      <c r="E263" t="s">
        <v>26</v>
      </c>
    </row>
    <row r="264" spans="1:5" x14ac:dyDescent="0.2">
      <c r="A264" t="s">
        <v>33</v>
      </c>
      <c r="B264">
        <v>1710</v>
      </c>
      <c r="C264">
        <f>'Round2.raw'!H45</f>
        <v>0.36330000000000001</v>
      </c>
      <c r="D264" t="s">
        <v>41</v>
      </c>
      <c r="E264" t="s">
        <v>26</v>
      </c>
    </row>
    <row r="265" spans="1:5" x14ac:dyDescent="0.2">
      <c r="A265" t="s">
        <v>33</v>
      </c>
      <c r="B265">
        <v>1740</v>
      </c>
      <c r="C265">
        <f>'Round2.raw'!H46</f>
        <v>0.3624</v>
      </c>
      <c r="D265" t="s">
        <v>41</v>
      </c>
      <c r="E265" t="s">
        <v>26</v>
      </c>
    </row>
    <row r="266" spans="1:5" x14ac:dyDescent="0.2">
      <c r="A266" t="s">
        <v>33</v>
      </c>
      <c r="B266">
        <v>1770</v>
      </c>
      <c r="C266">
        <f>'Round2.raw'!H47</f>
        <v>0.3654</v>
      </c>
      <c r="D266" t="s">
        <v>41</v>
      </c>
      <c r="E266" t="s">
        <v>26</v>
      </c>
    </row>
    <row r="267" spans="1:5" x14ac:dyDescent="0.2">
      <c r="A267" t="s">
        <v>33</v>
      </c>
      <c r="B267">
        <v>1800</v>
      </c>
      <c r="C267">
        <f>'Round2.raw'!H48</f>
        <v>0.36830000000000002</v>
      </c>
      <c r="D267" t="s">
        <v>41</v>
      </c>
      <c r="E267" t="s">
        <v>26</v>
      </c>
    </row>
    <row r="268" spans="1:5" x14ac:dyDescent="0.2">
      <c r="A268" t="s">
        <v>33</v>
      </c>
      <c r="B268">
        <v>1830</v>
      </c>
      <c r="C268">
        <f>'Round2.raw'!H49</f>
        <v>0.37009999999999998</v>
      </c>
      <c r="D268" t="s">
        <v>41</v>
      </c>
      <c r="E268" t="s">
        <v>26</v>
      </c>
    </row>
    <row r="269" spans="1:5" x14ac:dyDescent="0.2">
      <c r="A269" t="s">
        <v>33</v>
      </c>
      <c r="B269">
        <v>1860</v>
      </c>
      <c r="C269">
        <f>'Round2.raw'!H50</f>
        <v>0.3725</v>
      </c>
      <c r="D269" t="s">
        <v>41</v>
      </c>
      <c r="E269" t="s">
        <v>26</v>
      </c>
    </row>
    <row r="270" spans="1:5" x14ac:dyDescent="0.2">
      <c r="A270" t="s">
        <v>33</v>
      </c>
      <c r="B270">
        <v>1890</v>
      </c>
      <c r="C270">
        <f>'Round2.raw'!H51</f>
        <v>0.3745</v>
      </c>
      <c r="D270" t="s">
        <v>41</v>
      </c>
      <c r="E270" t="s">
        <v>26</v>
      </c>
    </row>
    <row r="271" spans="1:5" x14ac:dyDescent="0.2">
      <c r="A271" t="s">
        <v>33</v>
      </c>
      <c r="B271">
        <v>1920</v>
      </c>
      <c r="C271">
        <f>'Round2.raw'!H52</f>
        <v>0.37380000000000002</v>
      </c>
      <c r="D271" t="s">
        <v>41</v>
      </c>
      <c r="E271" t="s">
        <v>26</v>
      </c>
    </row>
    <row r="272" spans="1:5" x14ac:dyDescent="0.2">
      <c r="A272" t="s">
        <v>33</v>
      </c>
      <c r="B272">
        <v>1950</v>
      </c>
      <c r="C272">
        <f>'Round2.raw'!H53</f>
        <v>0.37519999999999998</v>
      </c>
      <c r="D272" t="s">
        <v>41</v>
      </c>
      <c r="E272" t="s">
        <v>26</v>
      </c>
    </row>
    <row r="273" spans="1:5" x14ac:dyDescent="0.2">
      <c r="A273" t="s">
        <v>33</v>
      </c>
      <c r="B273">
        <v>1980</v>
      </c>
      <c r="C273">
        <f>'Round2.raw'!H54</f>
        <v>0.37709999999999999</v>
      </c>
      <c r="D273" t="s">
        <v>41</v>
      </c>
      <c r="E273" t="s">
        <v>26</v>
      </c>
    </row>
    <row r="274" spans="1:5" x14ac:dyDescent="0.2">
      <c r="A274" t="s">
        <v>33</v>
      </c>
      <c r="B274">
        <v>2010</v>
      </c>
      <c r="C274">
        <f>'Round2.raw'!H55</f>
        <v>0.3775</v>
      </c>
      <c r="D274" t="s">
        <v>41</v>
      </c>
      <c r="E274" t="s">
        <v>26</v>
      </c>
    </row>
    <row r="275" spans="1:5" x14ac:dyDescent="0.2">
      <c r="A275" t="s">
        <v>33</v>
      </c>
      <c r="B275">
        <v>2040</v>
      </c>
      <c r="C275">
        <f>'Round2.raw'!H56</f>
        <v>0.3785</v>
      </c>
      <c r="D275" t="s">
        <v>41</v>
      </c>
      <c r="E275" t="s">
        <v>26</v>
      </c>
    </row>
    <row r="276" spans="1:5" x14ac:dyDescent="0.2">
      <c r="A276" t="s">
        <v>33</v>
      </c>
      <c r="B276">
        <v>2070</v>
      </c>
      <c r="C276">
        <f>'Round2.raw'!H57</f>
        <v>0.37819999999999998</v>
      </c>
      <c r="D276" t="s">
        <v>41</v>
      </c>
      <c r="E276" t="s">
        <v>26</v>
      </c>
    </row>
    <row r="277" spans="1:5" x14ac:dyDescent="0.2">
      <c r="A277" t="s">
        <v>34</v>
      </c>
      <c r="B277">
        <v>0</v>
      </c>
      <c r="C277">
        <f>'Round2.raw'!I3</f>
        <v>0.2215</v>
      </c>
      <c r="D277" t="s">
        <v>54</v>
      </c>
      <c r="E277" t="s">
        <v>26</v>
      </c>
    </row>
    <row r="278" spans="1:5" x14ac:dyDescent="0.2">
      <c r="A278" t="s">
        <v>34</v>
      </c>
      <c r="B278">
        <v>60</v>
      </c>
      <c r="C278">
        <f>'Round2.raw'!I4</f>
        <v>0.24340000000000001</v>
      </c>
      <c r="D278" t="s">
        <v>54</v>
      </c>
      <c r="E278" t="s">
        <v>26</v>
      </c>
    </row>
    <row r="279" spans="1:5" x14ac:dyDescent="0.2">
      <c r="A279" t="s">
        <v>34</v>
      </c>
      <c r="B279">
        <v>120</v>
      </c>
      <c r="C279">
        <f>'Round2.raw'!I5</f>
        <v>0.26329999999999998</v>
      </c>
      <c r="D279" t="s">
        <v>54</v>
      </c>
      <c r="E279" t="s">
        <v>26</v>
      </c>
    </row>
    <row r="280" spans="1:5" x14ac:dyDescent="0.2">
      <c r="A280" t="s">
        <v>34</v>
      </c>
      <c r="B280">
        <v>180</v>
      </c>
      <c r="C280">
        <f>'Round2.raw'!I6</f>
        <v>0.30959999999999999</v>
      </c>
      <c r="D280" t="s">
        <v>54</v>
      </c>
      <c r="E280" t="s">
        <v>26</v>
      </c>
    </row>
    <row r="281" spans="1:5" x14ac:dyDescent="0.2">
      <c r="A281" t="s">
        <v>34</v>
      </c>
      <c r="B281">
        <v>240</v>
      </c>
      <c r="C281">
        <f>'Round2.raw'!I7</f>
        <v>0.35389999999999999</v>
      </c>
      <c r="D281" t="s">
        <v>54</v>
      </c>
      <c r="E281" t="s">
        <v>26</v>
      </c>
    </row>
    <row r="282" spans="1:5" x14ac:dyDescent="0.2">
      <c r="A282" t="s">
        <v>34</v>
      </c>
      <c r="B282">
        <v>300</v>
      </c>
      <c r="C282">
        <f>'Round2.raw'!I8</f>
        <v>0.40450000000000003</v>
      </c>
      <c r="D282" t="s">
        <v>54</v>
      </c>
      <c r="E282" t="s">
        <v>26</v>
      </c>
    </row>
    <row r="283" spans="1:5" x14ac:dyDescent="0.2">
      <c r="A283" t="s">
        <v>34</v>
      </c>
      <c r="B283">
        <v>360</v>
      </c>
      <c r="C283">
        <f>'Round2.raw'!I9</f>
        <v>0.42959999999999998</v>
      </c>
      <c r="D283" t="s">
        <v>54</v>
      </c>
      <c r="E283" t="s">
        <v>26</v>
      </c>
    </row>
    <row r="284" spans="1:5" x14ac:dyDescent="0.2">
      <c r="A284" t="s">
        <v>34</v>
      </c>
      <c r="B284">
        <v>420</v>
      </c>
      <c r="C284">
        <f>'Round2.raw'!I10</f>
        <v>0.4632</v>
      </c>
      <c r="D284" t="s">
        <v>54</v>
      </c>
      <c r="E284" t="s">
        <v>26</v>
      </c>
    </row>
    <row r="285" spans="1:5" x14ac:dyDescent="0.2">
      <c r="A285" t="s">
        <v>34</v>
      </c>
      <c r="B285">
        <v>480</v>
      </c>
      <c r="C285">
        <f>'Round2.raw'!I11</f>
        <v>0.4758</v>
      </c>
      <c r="D285" t="s">
        <v>54</v>
      </c>
      <c r="E285" t="s">
        <v>26</v>
      </c>
    </row>
    <row r="286" spans="1:5" x14ac:dyDescent="0.2">
      <c r="A286" t="s">
        <v>34</v>
      </c>
      <c r="B286">
        <v>540</v>
      </c>
      <c r="C286">
        <f>'Round2.raw'!I12</f>
        <v>0.5262</v>
      </c>
      <c r="D286" t="s">
        <v>54</v>
      </c>
      <c r="E286" t="s">
        <v>26</v>
      </c>
    </row>
    <row r="287" spans="1:5" x14ac:dyDescent="0.2">
      <c r="A287" t="s">
        <v>34</v>
      </c>
      <c r="B287">
        <v>600</v>
      </c>
      <c r="C287">
        <f>'Round2.raw'!I13</f>
        <v>0.5524</v>
      </c>
      <c r="D287" t="s">
        <v>54</v>
      </c>
      <c r="E287" t="s">
        <v>26</v>
      </c>
    </row>
    <row r="288" spans="1:5" x14ac:dyDescent="0.2">
      <c r="A288" t="s">
        <v>34</v>
      </c>
      <c r="B288">
        <v>660</v>
      </c>
      <c r="C288">
        <f>'Round2.raw'!I14</f>
        <v>0.5806</v>
      </c>
      <c r="D288" t="s">
        <v>54</v>
      </c>
      <c r="E288" t="s">
        <v>26</v>
      </c>
    </row>
    <row r="289" spans="1:5" x14ac:dyDescent="0.2">
      <c r="A289" t="s">
        <v>34</v>
      </c>
      <c r="B289">
        <v>720</v>
      </c>
      <c r="C289">
        <f>'Round2.raw'!I15</f>
        <v>0.58650000000000002</v>
      </c>
      <c r="D289" t="s">
        <v>54</v>
      </c>
      <c r="E289" t="s">
        <v>26</v>
      </c>
    </row>
    <row r="290" spans="1:5" x14ac:dyDescent="0.2">
      <c r="A290" t="s">
        <v>34</v>
      </c>
      <c r="B290">
        <v>780</v>
      </c>
      <c r="C290">
        <f>'Round2.raw'!I16</f>
        <v>0.61109999999999998</v>
      </c>
      <c r="D290" t="s">
        <v>54</v>
      </c>
      <c r="E290" t="s">
        <v>26</v>
      </c>
    </row>
    <row r="291" spans="1:5" x14ac:dyDescent="0.2">
      <c r="A291" t="s">
        <v>34</v>
      </c>
      <c r="B291">
        <v>840</v>
      </c>
      <c r="C291">
        <f>'Round2.raw'!I17</f>
        <v>0.60329999999999995</v>
      </c>
      <c r="D291" t="s">
        <v>54</v>
      </c>
      <c r="E291" t="s">
        <v>26</v>
      </c>
    </row>
    <row r="292" spans="1:5" x14ac:dyDescent="0.2">
      <c r="A292" t="s">
        <v>34</v>
      </c>
      <c r="B292">
        <v>900</v>
      </c>
      <c r="C292">
        <f>'Round2.raw'!I18</f>
        <v>0.60919999999999996</v>
      </c>
      <c r="D292" t="s">
        <v>54</v>
      </c>
      <c r="E292" t="s">
        <v>26</v>
      </c>
    </row>
    <row r="293" spans="1:5" x14ac:dyDescent="0.2">
      <c r="A293" t="s">
        <v>34</v>
      </c>
      <c r="B293">
        <v>960</v>
      </c>
      <c r="C293">
        <f>'Round2.raw'!I19</f>
        <v>0.60880000000000001</v>
      </c>
      <c r="D293" t="s">
        <v>54</v>
      </c>
      <c r="E293" t="s">
        <v>26</v>
      </c>
    </row>
    <row r="294" spans="1:5" x14ac:dyDescent="0.2">
      <c r="A294" t="s">
        <v>34</v>
      </c>
      <c r="B294">
        <v>990</v>
      </c>
      <c r="C294">
        <f>'Round2.raw'!I20</f>
        <v>0.65820000000000001</v>
      </c>
      <c r="D294" t="s">
        <v>54</v>
      </c>
      <c r="E294" t="s">
        <v>26</v>
      </c>
    </row>
    <row r="295" spans="1:5" x14ac:dyDescent="0.2">
      <c r="A295" t="s">
        <v>34</v>
      </c>
      <c r="B295">
        <v>1020</v>
      </c>
      <c r="C295">
        <f>'Round2.raw'!I21</f>
        <v>0.60509999999999997</v>
      </c>
      <c r="D295" t="s">
        <v>54</v>
      </c>
      <c r="E295" t="s">
        <v>26</v>
      </c>
    </row>
    <row r="296" spans="1:5" x14ac:dyDescent="0.2">
      <c r="A296" t="s">
        <v>34</v>
      </c>
      <c r="B296">
        <v>1050</v>
      </c>
      <c r="C296">
        <f>'Round2.raw'!I22</f>
        <v>0.61419999999999997</v>
      </c>
      <c r="D296" t="s">
        <v>54</v>
      </c>
      <c r="E296" t="s">
        <v>26</v>
      </c>
    </row>
    <row r="297" spans="1:5" x14ac:dyDescent="0.2">
      <c r="A297" t="s">
        <v>34</v>
      </c>
      <c r="B297">
        <v>1080</v>
      </c>
      <c r="C297">
        <f>'Round2.raw'!I23</f>
        <v>0.63219999999999998</v>
      </c>
      <c r="D297" t="s">
        <v>54</v>
      </c>
      <c r="E297" t="s">
        <v>26</v>
      </c>
    </row>
    <row r="298" spans="1:5" x14ac:dyDescent="0.2">
      <c r="A298" t="s">
        <v>34</v>
      </c>
      <c r="B298">
        <v>1110</v>
      </c>
      <c r="C298">
        <f>'Round2.raw'!I24</f>
        <v>0.64119999999999999</v>
      </c>
      <c r="D298" t="s">
        <v>54</v>
      </c>
      <c r="E298" t="s">
        <v>26</v>
      </c>
    </row>
    <row r="299" spans="1:5" x14ac:dyDescent="0.2">
      <c r="A299" t="s">
        <v>34</v>
      </c>
      <c r="B299">
        <v>1140</v>
      </c>
      <c r="C299">
        <f>'Round2.raw'!I25</f>
        <v>0.65839999999999999</v>
      </c>
      <c r="D299" t="s">
        <v>54</v>
      </c>
      <c r="E299" t="s">
        <v>26</v>
      </c>
    </row>
    <row r="300" spans="1:5" x14ac:dyDescent="0.2">
      <c r="A300" t="s">
        <v>34</v>
      </c>
      <c r="B300">
        <v>1170</v>
      </c>
      <c r="C300">
        <f>'Round2.raw'!I26</f>
        <v>0.66010000000000002</v>
      </c>
      <c r="D300" t="s">
        <v>54</v>
      </c>
      <c r="E300" t="s">
        <v>26</v>
      </c>
    </row>
    <row r="301" spans="1:5" x14ac:dyDescent="0.2">
      <c r="A301" t="s">
        <v>34</v>
      </c>
      <c r="B301">
        <v>1200</v>
      </c>
      <c r="C301">
        <f>'Round2.raw'!I27</f>
        <v>0.65949999999999998</v>
      </c>
      <c r="D301" t="s">
        <v>54</v>
      </c>
      <c r="E301" t="s">
        <v>26</v>
      </c>
    </row>
    <row r="302" spans="1:5" x14ac:dyDescent="0.2">
      <c r="A302" t="s">
        <v>34</v>
      </c>
      <c r="B302">
        <v>1230</v>
      </c>
      <c r="C302">
        <f>'Round2.raw'!I28</f>
        <v>0.66790000000000005</v>
      </c>
      <c r="D302" t="s">
        <v>54</v>
      </c>
      <c r="E302" t="s">
        <v>26</v>
      </c>
    </row>
    <row r="303" spans="1:5" x14ac:dyDescent="0.2">
      <c r="A303" t="s">
        <v>34</v>
      </c>
      <c r="B303">
        <v>1260</v>
      </c>
      <c r="C303">
        <f>'Round2.raw'!I29</f>
        <v>0.69359999999999999</v>
      </c>
      <c r="D303" t="s">
        <v>54</v>
      </c>
      <c r="E303" t="s">
        <v>26</v>
      </c>
    </row>
    <row r="304" spans="1:5" x14ac:dyDescent="0.2">
      <c r="A304" t="s">
        <v>34</v>
      </c>
      <c r="B304">
        <v>1290</v>
      </c>
      <c r="C304">
        <f>'Round2.raw'!I30</f>
        <v>0.65510000000000002</v>
      </c>
      <c r="D304" t="s">
        <v>54</v>
      </c>
      <c r="E304" t="s">
        <v>26</v>
      </c>
    </row>
    <row r="305" spans="1:5" x14ac:dyDescent="0.2">
      <c r="A305" t="s">
        <v>34</v>
      </c>
      <c r="B305">
        <v>1320</v>
      </c>
      <c r="C305">
        <f>'Round2.raw'!I31</f>
        <v>0.67989999999999995</v>
      </c>
      <c r="D305" t="s">
        <v>54</v>
      </c>
      <c r="E305" t="s">
        <v>26</v>
      </c>
    </row>
    <row r="306" spans="1:5" x14ac:dyDescent="0.2">
      <c r="A306" t="s">
        <v>34</v>
      </c>
      <c r="B306">
        <v>1340</v>
      </c>
      <c r="C306">
        <f>'Round2.raw'!I32</f>
        <v>0.69689999999999996</v>
      </c>
      <c r="D306" t="s">
        <v>54</v>
      </c>
      <c r="E306" t="s">
        <v>26</v>
      </c>
    </row>
    <row r="307" spans="1:5" x14ac:dyDescent="0.2">
      <c r="A307" t="s">
        <v>34</v>
      </c>
      <c r="B307">
        <v>1370</v>
      </c>
      <c r="C307">
        <f>'Round2.raw'!I33</f>
        <v>0.68600000000000005</v>
      </c>
      <c r="D307" t="s">
        <v>54</v>
      </c>
      <c r="E307" t="s">
        <v>26</v>
      </c>
    </row>
    <row r="308" spans="1:5" x14ac:dyDescent="0.2">
      <c r="A308" t="s">
        <v>34</v>
      </c>
      <c r="B308">
        <v>1380</v>
      </c>
      <c r="C308">
        <f>'Round2.raw'!I34</f>
        <v>0.67610000000000003</v>
      </c>
      <c r="D308" t="s">
        <v>54</v>
      </c>
      <c r="E308" t="s">
        <v>26</v>
      </c>
    </row>
    <row r="309" spans="1:5" x14ac:dyDescent="0.2">
      <c r="A309" t="s">
        <v>34</v>
      </c>
      <c r="B309">
        <v>1410</v>
      </c>
      <c r="C309">
        <f>'Round2.raw'!I35</f>
        <v>0.67020000000000002</v>
      </c>
      <c r="D309" t="s">
        <v>54</v>
      </c>
      <c r="E309" t="s">
        <v>26</v>
      </c>
    </row>
    <row r="310" spans="1:5" x14ac:dyDescent="0.2">
      <c r="A310" t="s">
        <v>34</v>
      </c>
      <c r="B310">
        <v>1440</v>
      </c>
      <c r="C310">
        <f>'Round2.raw'!I36</f>
        <v>0.67190000000000005</v>
      </c>
      <c r="D310" t="s">
        <v>54</v>
      </c>
      <c r="E310" t="s">
        <v>26</v>
      </c>
    </row>
    <row r="311" spans="1:5" x14ac:dyDescent="0.2">
      <c r="A311" t="s">
        <v>34</v>
      </c>
      <c r="B311">
        <v>1470</v>
      </c>
      <c r="C311">
        <f>'Round2.raw'!I37</f>
        <v>0.6875</v>
      </c>
      <c r="D311" t="s">
        <v>54</v>
      </c>
      <c r="E311" t="s">
        <v>26</v>
      </c>
    </row>
    <row r="312" spans="1:5" x14ac:dyDescent="0.2">
      <c r="A312" t="s">
        <v>34</v>
      </c>
      <c r="B312">
        <v>1500</v>
      </c>
      <c r="C312">
        <f>'Round2.raw'!I38</f>
        <v>0.69420000000000004</v>
      </c>
      <c r="D312" t="s">
        <v>54</v>
      </c>
      <c r="E312" t="s">
        <v>26</v>
      </c>
    </row>
    <row r="313" spans="1:5" x14ac:dyDescent="0.2">
      <c r="A313" t="s">
        <v>34</v>
      </c>
      <c r="B313">
        <v>1530</v>
      </c>
      <c r="C313">
        <f>'Round2.raw'!I39</f>
        <v>0.70720000000000005</v>
      </c>
      <c r="D313" t="s">
        <v>54</v>
      </c>
      <c r="E313" t="s">
        <v>26</v>
      </c>
    </row>
    <row r="314" spans="1:5" x14ac:dyDescent="0.2">
      <c r="A314" t="s">
        <v>34</v>
      </c>
      <c r="B314">
        <v>1560</v>
      </c>
      <c r="C314">
        <f>'Round2.raw'!I40</f>
        <v>0.7046</v>
      </c>
      <c r="D314" t="s">
        <v>54</v>
      </c>
      <c r="E314" t="s">
        <v>26</v>
      </c>
    </row>
    <row r="315" spans="1:5" x14ac:dyDescent="0.2">
      <c r="A315" t="s">
        <v>34</v>
      </c>
      <c r="B315">
        <v>1590</v>
      </c>
      <c r="C315">
        <f>'Round2.raw'!I41</f>
        <v>0.7036</v>
      </c>
      <c r="D315" t="s">
        <v>54</v>
      </c>
      <c r="E315" t="s">
        <v>26</v>
      </c>
    </row>
    <row r="316" spans="1:5" x14ac:dyDescent="0.2">
      <c r="A316" t="s">
        <v>34</v>
      </c>
      <c r="B316">
        <v>1620</v>
      </c>
      <c r="C316">
        <f>'Round2.raw'!I42</f>
        <v>0.70799999999999996</v>
      </c>
      <c r="D316" t="s">
        <v>54</v>
      </c>
      <c r="E316" t="s">
        <v>26</v>
      </c>
    </row>
    <row r="317" spans="1:5" x14ac:dyDescent="0.2">
      <c r="A317" t="s">
        <v>34</v>
      </c>
      <c r="B317">
        <v>1650</v>
      </c>
      <c r="C317">
        <f>'Round2.raw'!I43</f>
        <v>0.70420000000000005</v>
      </c>
      <c r="D317" t="s">
        <v>54</v>
      </c>
      <c r="E317" t="s">
        <v>26</v>
      </c>
    </row>
    <row r="318" spans="1:5" x14ac:dyDescent="0.2">
      <c r="A318" t="s">
        <v>34</v>
      </c>
      <c r="B318">
        <v>1680</v>
      </c>
      <c r="C318">
        <f>'Round2.raw'!I44</f>
        <v>0.70620000000000005</v>
      </c>
      <c r="D318" t="s">
        <v>54</v>
      </c>
      <c r="E318" t="s">
        <v>26</v>
      </c>
    </row>
    <row r="319" spans="1:5" x14ac:dyDescent="0.2">
      <c r="A319" t="s">
        <v>34</v>
      </c>
      <c r="B319">
        <v>1710</v>
      </c>
      <c r="C319">
        <f>'Round2.raw'!I45</f>
        <v>0.70250000000000001</v>
      </c>
      <c r="D319" t="s">
        <v>54</v>
      </c>
      <c r="E319" t="s">
        <v>26</v>
      </c>
    </row>
    <row r="320" spans="1:5" x14ac:dyDescent="0.2">
      <c r="A320" t="s">
        <v>34</v>
      </c>
      <c r="B320">
        <v>1740</v>
      </c>
      <c r="C320">
        <f>'Round2.raw'!I46</f>
        <v>0.70509999999999995</v>
      </c>
      <c r="D320" t="s">
        <v>54</v>
      </c>
      <c r="E320" t="s">
        <v>26</v>
      </c>
    </row>
    <row r="321" spans="1:5" x14ac:dyDescent="0.2">
      <c r="A321" t="s">
        <v>34</v>
      </c>
      <c r="B321">
        <v>1770</v>
      </c>
      <c r="C321">
        <f>'Round2.raw'!I47</f>
        <v>0.70330000000000004</v>
      </c>
      <c r="D321" t="s">
        <v>54</v>
      </c>
      <c r="E321" t="s">
        <v>26</v>
      </c>
    </row>
    <row r="322" spans="1:5" x14ac:dyDescent="0.2">
      <c r="A322" t="s">
        <v>34</v>
      </c>
      <c r="B322">
        <v>1800</v>
      </c>
      <c r="C322">
        <f>'Round2.raw'!I48</f>
        <v>0.70609999999999995</v>
      </c>
      <c r="D322" t="s">
        <v>54</v>
      </c>
      <c r="E322" t="s">
        <v>26</v>
      </c>
    </row>
    <row r="323" spans="1:5" x14ac:dyDescent="0.2">
      <c r="A323" t="s">
        <v>34</v>
      </c>
      <c r="B323">
        <v>1830</v>
      </c>
      <c r="C323">
        <f>'Round2.raw'!I49</f>
        <v>0.70730000000000004</v>
      </c>
      <c r="D323" t="s">
        <v>54</v>
      </c>
      <c r="E323" t="s">
        <v>26</v>
      </c>
    </row>
    <row r="324" spans="1:5" x14ac:dyDescent="0.2">
      <c r="A324" t="s">
        <v>34</v>
      </c>
      <c r="B324">
        <v>1860</v>
      </c>
      <c r="C324">
        <f>'Round2.raw'!I50</f>
        <v>0.70579999999999998</v>
      </c>
      <c r="D324" t="s">
        <v>54</v>
      </c>
      <c r="E324" t="s">
        <v>26</v>
      </c>
    </row>
    <row r="325" spans="1:5" x14ac:dyDescent="0.2">
      <c r="A325" t="s">
        <v>34</v>
      </c>
      <c r="B325">
        <v>1890</v>
      </c>
      <c r="C325">
        <f>'Round2.raw'!I51</f>
        <v>0.69279999999999997</v>
      </c>
      <c r="D325" t="s">
        <v>54</v>
      </c>
      <c r="E325" t="s">
        <v>26</v>
      </c>
    </row>
    <row r="326" spans="1:5" x14ac:dyDescent="0.2">
      <c r="A326" t="s">
        <v>34</v>
      </c>
      <c r="B326">
        <v>1920</v>
      </c>
      <c r="C326">
        <f>'Round2.raw'!I52</f>
        <v>0.70250000000000001</v>
      </c>
      <c r="D326" t="s">
        <v>54</v>
      </c>
      <c r="E326" t="s">
        <v>26</v>
      </c>
    </row>
    <row r="327" spans="1:5" x14ac:dyDescent="0.2">
      <c r="A327" t="s">
        <v>34</v>
      </c>
      <c r="B327">
        <v>1950</v>
      </c>
      <c r="C327">
        <f>'Round2.raw'!I53</f>
        <v>0.7107</v>
      </c>
      <c r="D327" t="s">
        <v>54</v>
      </c>
      <c r="E327" t="s">
        <v>26</v>
      </c>
    </row>
    <row r="328" spans="1:5" x14ac:dyDescent="0.2">
      <c r="A328" t="s">
        <v>34</v>
      </c>
      <c r="B328">
        <v>1980</v>
      </c>
      <c r="C328">
        <f>'Round2.raw'!I54</f>
        <v>0.70299999999999996</v>
      </c>
      <c r="D328" t="s">
        <v>54</v>
      </c>
      <c r="E328" t="s">
        <v>26</v>
      </c>
    </row>
    <row r="329" spans="1:5" x14ac:dyDescent="0.2">
      <c r="A329" t="s">
        <v>34</v>
      </c>
      <c r="B329">
        <v>2010</v>
      </c>
      <c r="C329">
        <f>'Round2.raw'!I55</f>
        <v>0.70650000000000002</v>
      </c>
      <c r="D329" t="s">
        <v>54</v>
      </c>
      <c r="E329" t="s">
        <v>26</v>
      </c>
    </row>
    <row r="330" spans="1:5" x14ac:dyDescent="0.2">
      <c r="A330" t="s">
        <v>34</v>
      </c>
      <c r="B330">
        <v>2040</v>
      </c>
      <c r="C330">
        <f>'Round2.raw'!I56</f>
        <v>0.70050000000000001</v>
      </c>
      <c r="D330" t="s">
        <v>54</v>
      </c>
      <c r="E330" t="s">
        <v>26</v>
      </c>
    </row>
    <row r="331" spans="1:5" x14ac:dyDescent="0.2">
      <c r="A331" t="s">
        <v>34</v>
      </c>
      <c r="B331">
        <v>2070</v>
      </c>
      <c r="C331">
        <f>'Round2.raw'!I57</f>
        <v>0.70399999999999996</v>
      </c>
      <c r="D331" t="s">
        <v>54</v>
      </c>
      <c r="E331" t="s">
        <v>26</v>
      </c>
    </row>
    <row r="332" spans="1:5" x14ac:dyDescent="0.2">
      <c r="B332">
        <v>0</v>
      </c>
      <c r="C332">
        <f>'Round2.raw'!J3</f>
        <v>0.1613</v>
      </c>
      <c r="D332" t="s">
        <v>42</v>
      </c>
      <c r="E332" t="s">
        <v>26</v>
      </c>
    </row>
    <row r="333" spans="1:5" x14ac:dyDescent="0.2">
      <c r="B333">
        <v>60</v>
      </c>
      <c r="C333">
        <f>'Round2.raw'!J4</f>
        <v>0.15890000000000001</v>
      </c>
      <c r="D333" t="s">
        <v>42</v>
      </c>
      <c r="E333" t="s">
        <v>26</v>
      </c>
    </row>
    <row r="334" spans="1:5" x14ac:dyDescent="0.2">
      <c r="B334">
        <v>120</v>
      </c>
      <c r="C334">
        <f>'Round2.raw'!J5</f>
        <v>0.15129999999999999</v>
      </c>
      <c r="D334" t="s">
        <v>42</v>
      </c>
      <c r="E334" t="s">
        <v>26</v>
      </c>
    </row>
    <row r="335" spans="1:5" x14ac:dyDescent="0.2">
      <c r="B335">
        <v>180</v>
      </c>
      <c r="C335">
        <f>'Round2.raw'!J6</f>
        <v>0.15160000000000001</v>
      </c>
      <c r="D335" t="s">
        <v>42</v>
      </c>
      <c r="E335" t="s">
        <v>26</v>
      </c>
    </row>
    <row r="336" spans="1:5" x14ac:dyDescent="0.2">
      <c r="B336">
        <v>240</v>
      </c>
      <c r="C336">
        <f>'Round2.raw'!J7</f>
        <v>0.16189999999999999</v>
      </c>
      <c r="D336" t="s">
        <v>42</v>
      </c>
      <c r="E336" t="s">
        <v>26</v>
      </c>
    </row>
    <row r="337" spans="2:5" x14ac:dyDescent="0.2">
      <c r="B337">
        <v>300</v>
      </c>
      <c r="C337">
        <f>'Round2.raw'!J8</f>
        <v>0.14779999999999999</v>
      </c>
      <c r="D337" t="s">
        <v>42</v>
      </c>
      <c r="E337" t="s">
        <v>26</v>
      </c>
    </row>
    <row r="338" spans="2:5" x14ac:dyDescent="0.2">
      <c r="B338">
        <v>360</v>
      </c>
      <c r="C338">
        <f>'Round2.raw'!J9</f>
        <v>0.1477</v>
      </c>
      <c r="D338" t="s">
        <v>42</v>
      </c>
      <c r="E338" t="s">
        <v>26</v>
      </c>
    </row>
    <row r="339" spans="2:5" x14ac:dyDescent="0.2">
      <c r="B339">
        <v>420</v>
      </c>
      <c r="C339">
        <f>'Round2.raw'!J10</f>
        <v>0.15890000000000001</v>
      </c>
      <c r="D339" t="s">
        <v>42</v>
      </c>
      <c r="E339" t="s">
        <v>26</v>
      </c>
    </row>
    <row r="340" spans="2:5" x14ac:dyDescent="0.2">
      <c r="B340">
        <v>480</v>
      </c>
      <c r="C340">
        <f>'Round2.raw'!J11</f>
        <v>0.16320000000000001</v>
      </c>
      <c r="D340" t="s">
        <v>42</v>
      </c>
      <c r="E340" t="s">
        <v>26</v>
      </c>
    </row>
    <row r="341" spans="2:5" x14ac:dyDescent="0.2">
      <c r="B341">
        <v>540</v>
      </c>
      <c r="C341">
        <f>'Round2.raw'!J12</f>
        <v>0.16039999999999999</v>
      </c>
      <c r="D341" t="s">
        <v>42</v>
      </c>
      <c r="E341" t="s">
        <v>26</v>
      </c>
    </row>
    <row r="342" spans="2:5" x14ac:dyDescent="0.2">
      <c r="B342">
        <v>600</v>
      </c>
      <c r="C342">
        <f>'Round2.raw'!J13</f>
        <v>0.1656</v>
      </c>
      <c r="D342" t="s">
        <v>42</v>
      </c>
      <c r="E342" t="s">
        <v>26</v>
      </c>
    </row>
    <row r="343" spans="2:5" x14ac:dyDescent="0.2">
      <c r="B343">
        <v>660</v>
      </c>
      <c r="C343">
        <f>'Round2.raw'!J14</f>
        <v>0.16819999999999999</v>
      </c>
      <c r="D343" t="s">
        <v>42</v>
      </c>
      <c r="E343" t="s">
        <v>26</v>
      </c>
    </row>
    <row r="344" spans="2:5" x14ac:dyDescent="0.2">
      <c r="B344">
        <v>720</v>
      </c>
      <c r="C344">
        <f>'Round2.raw'!J15</f>
        <v>0.18110000000000001</v>
      </c>
      <c r="D344" t="s">
        <v>42</v>
      </c>
      <c r="E344" t="s">
        <v>26</v>
      </c>
    </row>
    <row r="345" spans="2:5" x14ac:dyDescent="0.2">
      <c r="B345">
        <v>780</v>
      </c>
      <c r="C345">
        <f>'Round2.raw'!J16</f>
        <v>0.1825</v>
      </c>
      <c r="D345" t="s">
        <v>42</v>
      </c>
      <c r="E345" t="s">
        <v>26</v>
      </c>
    </row>
    <row r="346" spans="2:5" x14ac:dyDescent="0.2">
      <c r="B346">
        <v>840</v>
      </c>
      <c r="C346">
        <f>'Round2.raw'!J17</f>
        <v>0.1865</v>
      </c>
      <c r="D346" t="s">
        <v>42</v>
      </c>
      <c r="E346" t="s">
        <v>26</v>
      </c>
    </row>
    <row r="347" spans="2:5" x14ac:dyDescent="0.2">
      <c r="B347">
        <v>900</v>
      </c>
      <c r="C347">
        <f>'Round2.raw'!J18</f>
        <v>0.19370000000000001</v>
      </c>
      <c r="D347" t="s">
        <v>42</v>
      </c>
      <c r="E347" t="s">
        <v>26</v>
      </c>
    </row>
    <row r="348" spans="2:5" x14ac:dyDescent="0.2">
      <c r="B348">
        <v>960</v>
      </c>
      <c r="C348">
        <f>'Round2.raw'!J19</f>
        <v>0.2009</v>
      </c>
      <c r="D348" t="s">
        <v>42</v>
      </c>
      <c r="E348" t="s">
        <v>26</v>
      </c>
    </row>
    <row r="349" spans="2:5" x14ac:dyDescent="0.2">
      <c r="B349">
        <v>990</v>
      </c>
      <c r="C349">
        <f>'Round2.raw'!J20</f>
        <v>0.2888</v>
      </c>
      <c r="D349" t="s">
        <v>42</v>
      </c>
      <c r="E349" t="s">
        <v>26</v>
      </c>
    </row>
    <row r="350" spans="2:5" x14ac:dyDescent="0.2">
      <c r="B350">
        <v>1020</v>
      </c>
      <c r="C350">
        <f>'Round2.raw'!J21</f>
        <v>0.2001</v>
      </c>
      <c r="D350" t="s">
        <v>42</v>
      </c>
      <c r="E350" t="s">
        <v>26</v>
      </c>
    </row>
    <row r="351" spans="2:5" x14ac:dyDescent="0.2">
      <c r="B351">
        <v>1050</v>
      </c>
      <c r="C351">
        <f>'Round2.raw'!J22</f>
        <v>0.20100000000000001</v>
      </c>
      <c r="D351" t="s">
        <v>42</v>
      </c>
      <c r="E351" t="s">
        <v>26</v>
      </c>
    </row>
    <row r="352" spans="2:5" x14ac:dyDescent="0.2">
      <c r="B352">
        <v>1080</v>
      </c>
      <c r="C352">
        <f>'Round2.raw'!J23</f>
        <v>0.20499999999999999</v>
      </c>
      <c r="D352" t="s">
        <v>42</v>
      </c>
      <c r="E352" t="s">
        <v>26</v>
      </c>
    </row>
    <row r="353" spans="2:5" x14ac:dyDescent="0.2">
      <c r="B353">
        <v>1110</v>
      </c>
      <c r="C353">
        <f>'Round2.raw'!J24</f>
        <v>0.2072</v>
      </c>
      <c r="D353" t="s">
        <v>42</v>
      </c>
      <c r="E353" t="s">
        <v>26</v>
      </c>
    </row>
    <row r="354" spans="2:5" x14ac:dyDescent="0.2">
      <c r="B354">
        <v>1140</v>
      </c>
      <c r="C354">
        <f>'Round2.raw'!J25</f>
        <v>0.2094</v>
      </c>
      <c r="D354" t="s">
        <v>42</v>
      </c>
      <c r="E354" t="s">
        <v>26</v>
      </c>
    </row>
    <row r="355" spans="2:5" x14ac:dyDescent="0.2">
      <c r="B355">
        <v>1170</v>
      </c>
      <c r="C355">
        <f>'Round2.raw'!J26</f>
        <v>0.21099999999999999</v>
      </c>
      <c r="D355" t="s">
        <v>42</v>
      </c>
      <c r="E355" t="s">
        <v>26</v>
      </c>
    </row>
    <row r="356" spans="2:5" x14ac:dyDescent="0.2">
      <c r="B356">
        <v>1200</v>
      </c>
      <c r="C356">
        <f>'Round2.raw'!J27</f>
        <v>0.2114</v>
      </c>
      <c r="D356" t="s">
        <v>42</v>
      </c>
      <c r="E356" t="s">
        <v>26</v>
      </c>
    </row>
    <row r="357" spans="2:5" x14ac:dyDescent="0.2">
      <c r="B357">
        <v>1230</v>
      </c>
      <c r="C357">
        <f>'Round2.raw'!J28</f>
        <v>0.21240000000000001</v>
      </c>
      <c r="D357" t="s">
        <v>42</v>
      </c>
      <c r="E357" t="s">
        <v>26</v>
      </c>
    </row>
    <row r="358" spans="2:5" x14ac:dyDescent="0.2">
      <c r="B358">
        <v>1260</v>
      </c>
      <c r="C358">
        <f>'Round2.raw'!J29</f>
        <v>0.27410000000000001</v>
      </c>
      <c r="D358" t="s">
        <v>42</v>
      </c>
      <c r="E358" t="s">
        <v>26</v>
      </c>
    </row>
    <row r="359" spans="2:5" x14ac:dyDescent="0.2">
      <c r="B359">
        <v>1290</v>
      </c>
      <c r="C359">
        <f>'Round2.raw'!J30</f>
        <v>0.22009999999999999</v>
      </c>
      <c r="D359" t="s">
        <v>42</v>
      </c>
      <c r="E359" t="s">
        <v>26</v>
      </c>
    </row>
    <row r="360" spans="2:5" x14ac:dyDescent="0.2">
      <c r="B360">
        <v>1320</v>
      </c>
      <c r="C360">
        <f>'Round2.raw'!J31</f>
        <v>0.22700000000000001</v>
      </c>
      <c r="D360" t="s">
        <v>42</v>
      </c>
      <c r="E360" t="s">
        <v>26</v>
      </c>
    </row>
    <row r="361" spans="2:5" x14ac:dyDescent="0.2">
      <c r="B361">
        <v>1340</v>
      </c>
      <c r="C361">
        <f>'Round2.raw'!J32</f>
        <v>0.28039999999999998</v>
      </c>
      <c r="D361" t="s">
        <v>42</v>
      </c>
      <c r="E361" t="s">
        <v>26</v>
      </c>
    </row>
    <row r="362" spans="2:5" x14ac:dyDescent="0.2">
      <c r="B362">
        <v>1370</v>
      </c>
      <c r="C362">
        <f>'Round2.raw'!J33</f>
        <v>0.24199999999999999</v>
      </c>
      <c r="D362" t="s">
        <v>42</v>
      </c>
      <c r="E362" t="s">
        <v>26</v>
      </c>
    </row>
    <row r="363" spans="2:5" x14ac:dyDescent="0.2">
      <c r="B363">
        <v>1380</v>
      </c>
      <c r="C363">
        <f>'Round2.raw'!J34</f>
        <v>0.24149999999999999</v>
      </c>
      <c r="D363" t="s">
        <v>42</v>
      </c>
      <c r="E363" t="s">
        <v>26</v>
      </c>
    </row>
    <row r="364" spans="2:5" x14ac:dyDescent="0.2">
      <c r="B364">
        <v>1410</v>
      </c>
      <c r="C364">
        <f>'Round2.raw'!J35</f>
        <v>0.2379</v>
      </c>
      <c r="D364" t="s">
        <v>42</v>
      </c>
      <c r="E364" t="s">
        <v>26</v>
      </c>
    </row>
    <row r="365" spans="2:5" x14ac:dyDescent="0.2">
      <c r="B365">
        <v>1440</v>
      </c>
      <c r="C365">
        <f>'Round2.raw'!J36</f>
        <v>0.23880000000000001</v>
      </c>
      <c r="D365" t="s">
        <v>42</v>
      </c>
      <c r="E365" t="s">
        <v>26</v>
      </c>
    </row>
    <row r="366" spans="2:5" x14ac:dyDescent="0.2">
      <c r="B366">
        <v>1470</v>
      </c>
      <c r="C366">
        <f>'Round2.raw'!J37</f>
        <v>0.23730000000000001</v>
      </c>
      <c r="D366" t="s">
        <v>42</v>
      </c>
      <c r="E366" t="s">
        <v>26</v>
      </c>
    </row>
    <row r="367" spans="2:5" x14ac:dyDescent="0.2">
      <c r="B367">
        <v>1500</v>
      </c>
      <c r="C367">
        <f>'Round2.raw'!J38</f>
        <v>0.23599999999999999</v>
      </c>
      <c r="D367" t="s">
        <v>42</v>
      </c>
      <c r="E367" t="s">
        <v>26</v>
      </c>
    </row>
    <row r="368" spans="2:5" x14ac:dyDescent="0.2">
      <c r="B368">
        <v>1530</v>
      </c>
      <c r="C368">
        <f>'Round2.raw'!J39</f>
        <v>0.23580000000000001</v>
      </c>
      <c r="D368" t="s">
        <v>42</v>
      </c>
      <c r="E368" t="s">
        <v>26</v>
      </c>
    </row>
    <row r="369" spans="2:5" x14ac:dyDescent="0.2">
      <c r="B369">
        <v>1560</v>
      </c>
      <c r="C369">
        <f>'Round2.raw'!J40</f>
        <v>0.2356</v>
      </c>
      <c r="D369" t="s">
        <v>42</v>
      </c>
      <c r="E369" t="s">
        <v>26</v>
      </c>
    </row>
    <row r="370" spans="2:5" x14ac:dyDescent="0.2">
      <c r="B370">
        <v>1590</v>
      </c>
      <c r="C370">
        <f>'Round2.raw'!J41</f>
        <v>0.23480000000000001</v>
      </c>
      <c r="D370" t="s">
        <v>42</v>
      </c>
      <c r="E370" t="s">
        <v>26</v>
      </c>
    </row>
    <row r="371" spans="2:5" x14ac:dyDescent="0.2">
      <c r="B371">
        <v>1620</v>
      </c>
      <c r="C371">
        <f>'Round2.raw'!J42</f>
        <v>0.2336</v>
      </c>
      <c r="D371" t="s">
        <v>42</v>
      </c>
      <c r="E371" t="s">
        <v>26</v>
      </c>
    </row>
    <row r="372" spans="2:5" x14ac:dyDescent="0.2">
      <c r="B372">
        <v>1650</v>
      </c>
      <c r="C372">
        <f>'Round2.raw'!J43</f>
        <v>0.23350000000000001</v>
      </c>
      <c r="D372" t="s">
        <v>42</v>
      </c>
      <c r="E372" t="s">
        <v>26</v>
      </c>
    </row>
    <row r="373" spans="2:5" x14ac:dyDescent="0.2">
      <c r="B373">
        <v>1680</v>
      </c>
      <c r="C373">
        <f>'Round2.raw'!J44</f>
        <v>0.23280000000000001</v>
      </c>
      <c r="D373" t="s">
        <v>42</v>
      </c>
      <c r="E373" t="s">
        <v>26</v>
      </c>
    </row>
    <row r="374" spans="2:5" x14ac:dyDescent="0.2">
      <c r="B374">
        <v>1710</v>
      </c>
      <c r="C374">
        <f>'Round2.raw'!J45</f>
        <v>0.23269999999999999</v>
      </c>
      <c r="D374" t="s">
        <v>42</v>
      </c>
      <c r="E374" t="s">
        <v>26</v>
      </c>
    </row>
    <row r="375" spans="2:5" x14ac:dyDescent="0.2">
      <c r="B375">
        <v>1740</v>
      </c>
      <c r="C375">
        <f>'Round2.raw'!J46</f>
        <v>0.2319</v>
      </c>
      <c r="D375" t="s">
        <v>42</v>
      </c>
      <c r="E375" t="s">
        <v>26</v>
      </c>
    </row>
    <row r="376" spans="2:5" x14ac:dyDescent="0.2">
      <c r="B376">
        <v>1770</v>
      </c>
      <c r="C376">
        <f>'Round2.raw'!J47</f>
        <v>0.23319999999999999</v>
      </c>
      <c r="D376" t="s">
        <v>42</v>
      </c>
      <c r="E376" t="s">
        <v>26</v>
      </c>
    </row>
    <row r="377" spans="2:5" x14ac:dyDescent="0.2">
      <c r="B377">
        <v>1800</v>
      </c>
      <c r="C377">
        <f>'Round2.raw'!J48</f>
        <v>0.2331</v>
      </c>
      <c r="D377" t="s">
        <v>42</v>
      </c>
      <c r="E377" t="s">
        <v>26</v>
      </c>
    </row>
    <row r="378" spans="2:5" x14ac:dyDescent="0.2">
      <c r="B378">
        <v>1830</v>
      </c>
      <c r="C378">
        <f>'Round2.raw'!J49</f>
        <v>0.23350000000000001</v>
      </c>
      <c r="D378" t="s">
        <v>42</v>
      </c>
      <c r="E378" t="s">
        <v>26</v>
      </c>
    </row>
    <row r="379" spans="2:5" x14ac:dyDescent="0.2">
      <c r="B379">
        <v>1860</v>
      </c>
      <c r="C379">
        <f>'Round2.raw'!J50</f>
        <v>0.2344</v>
      </c>
      <c r="D379" t="s">
        <v>42</v>
      </c>
      <c r="E379" t="s">
        <v>26</v>
      </c>
    </row>
    <row r="380" spans="2:5" x14ac:dyDescent="0.2">
      <c r="B380">
        <v>1890</v>
      </c>
      <c r="C380">
        <f>'Round2.raw'!J51</f>
        <v>0.23569999999999999</v>
      </c>
      <c r="D380" t="s">
        <v>42</v>
      </c>
      <c r="E380" t="s">
        <v>26</v>
      </c>
    </row>
    <row r="381" spans="2:5" x14ac:dyDescent="0.2">
      <c r="B381">
        <v>1920</v>
      </c>
      <c r="C381">
        <f>'Round2.raw'!J52</f>
        <v>0.23760000000000001</v>
      </c>
      <c r="D381" t="s">
        <v>42</v>
      </c>
      <c r="E381" t="s">
        <v>26</v>
      </c>
    </row>
    <row r="382" spans="2:5" x14ac:dyDescent="0.2">
      <c r="B382">
        <v>1950</v>
      </c>
      <c r="C382">
        <f>'Round2.raw'!J53</f>
        <v>0.23749999999999999</v>
      </c>
      <c r="D382" t="s">
        <v>42</v>
      </c>
      <c r="E382" t="s">
        <v>26</v>
      </c>
    </row>
    <row r="383" spans="2:5" x14ac:dyDescent="0.2">
      <c r="B383">
        <v>1980</v>
      </c>
      <c r="C383">
        <f>'Round2.raw'!J54</f>
        <v>0.2384</v>
      </c>
      <c r="D383" t="s">
        <v>42</v>
      </c>
      <c r="E383" t="s">
        <v>26</v>
      </c>
    </row>
    <row r="384" spans="2:5" x14ac:dyDescent="0.2">
      <c r="B384">
        <v>2010</v>
      </c>
      <c r="C384">
        <f>'Round2.raw'!J55</f>
        <v>0.2387</v>
      </c>
      <c r="D384" t="s">
        <v>42</v>
      </c>
      <c r="E384" t="s">
        <v>26</v>
      </c>
    </row>
    <row r="385" spans="2:5" x14ac:dyDescent="0.2">
      <c r="B385">
        <v>2040</v>
      </c>
      <c r="C385">
        <f>'Round2.raw'!J56</f>
        <v>0.23980000000000001</v>
      </c>
      <c r="D385" t="s">
        <v>42</v>
      </c>
      <c r="E385" t="s">
        <v>26</v>
      </c>
    </row>
    <row r="386" spans="2:5" x14ac:dyDescent="0.2">
      <c r="B386">
        <v>2070</v>
      </c>
      <c r="C386">
        <f>'Round2.raw'!J57</f>
        <v>0.24060000000000001</v>
      </c>
      <c r="D386" t="s">
        <v>42</v>
      </c>
      <c r="E386" t="s">
        <v>26</v>
      </c>
    </row>
    <row r="387" spans="2:5" x14ac:dyDescent="0.2">
      <c r="B387">
        <v>0</v>
      </c>
      <c r="C387">
        <f>'Round2.raw'!K3</f>
        <v>0.22600000000000001</v>
      </c>
      <c r="D387" t="s">
        <v>42</v>
      </c>
      <c r="E387" t="s">
        <v>26</v>
      </c>
    </row>
    <row r="388" spans="2:5" x14ac:dyDescent="0.2">
      <c r="B388">
        <v>60</v>
      </c>
      <c r="C388">
        <f>'Round2.raw'!K4</f>
        <v>0.24840000000000001</v>
      </c>
      <c r="D388" t="s">
        <v>42</v>
      </c>
      <c r="E388" t="s">
        <v>26</v>
      </c>
    </row>
    <row r="389" spans="2:5" x14ac:dyDescent="0.2">
      <c r="B389">
        <v>120</v>
      </c>
      <c r="C389">
        <f>'Round2.raw'!K5</f>
        <v>0.26829999999999998</v>
      </c>
      <c r="D389" t="s">
        <v>42</v>
      </c>
      <c r="E389" t="s">
        <v>26</v>
      </c>
    </row>
    <row r="390" spans="2:5" x14ac:dyDescent="0.2">
      <c r="B390">
        <v>180</v>
      </c>
      <c r="C390">
        <f>'Round2.raw'!K6</f>
        <v>0.28489999999999999</v>
      </c>
      <c r="D390" t="s">
        <v>42</v>
      </c>
      <c r="E390" t="s">
        <v>26</v>
      </c>
    </row>
    <row r="391" spans="2:5" x14ac:dyDescent="0.2">
      <c r="B391">
        <v>240</v>
      </c>
      <c r="C391">
        <f>'Round2.raw'!K7</f>
        <v>0.30449999999999999</v>
      </c>
      <c r="D391" t="s">
        <v>42</v>
      </c>
      <c r="E391" t="s">
        <v>26</v>
      </c>
    </row>
    <row r="392" spans="2:5" x14ac:dyDescent="0.2">
      <c r="B392">
        <v>300</v>
      </c>
      <c r="C392">
        <f>'Round2.raw'!K8</f>
        <v>0.317</v>
      </c>
      <c r="D392" t="s">
        <v>42</v>
      </c>
      <c r="E392" t="s">
        <v>26</v>
      </c>
    </row>
    <row r="393" spans="2:5" x14ac:dyDescent="0.2">
      <c r="B393">
        <v>360</v>
      </c>
      <c r="C393">
        <f>'Round2.raw'!K9</f>
        <v>0.32940000000000003</v>
      </c>
      <c r="D393" t="s">
        <v>42</v>
      </c>
      <c r="E393" t="s">
        <v>26</v>
      </c>
    </row>
    <row r="394" spans="2:5" x14ac:dyDescent="0.2">
      <c r="B394">
        <v>420</v>
      </c>
      <c r="C394">
        <f>'Round2.raw'!K10</f>
        <v>0.33739999999999998</v>
      </c>
      <c r="D394" t="s">
        <v>42</v>
      </c>
      <c r="E394" t="s">
        <v>26</v>
      </c>
    </row>
    <row r="395" spans="2:5" x14ac:dyDescent="0.2">
      <c r="B395">
        <v>480</v>
      </c>
      <c r="C395">
        <f>'Round2.raw'!K11</f>
        <v>0.34489999999999998</v>
      </c>
      <c r="D395" t="s">
        <v>42</v>
      </c>
      <c r="E395" t="s">
        <v>26</v>
      </c>
    </row>
    <row r="396" spans="2:5" x14ac:dyDescent="0.2">
      <c r="B396">
        <v>540</v>
      </c>
      <c r="C396">
        <f>'Round2.raw'!K12</f>
        <v>0.34939999999999999</v>
      </c>
      <c r="D396" t="s">
        <v>42</v>
      </c>
      <c r="E396" t="s">
        <v>26</v>
      </c>
    </row>
    <row r="397" spans="2:5" x14ac:dyDescent="0.2">
      <c r="B397">
        <v>600</v>
      </c>
      <c r="C397">
        <f>'Round2.raw'!K13</f>
        <v>0.35310000000000002</v>
      </c>
      <c r="D397" t="s">
        <v>42</v>
      </c>
      <c r="E397" t="s">
        <v>26</v>
      </c>
    </row>
    <row r="398" spans="2:5" x14ac:dyDescent="0.2">
      <c r="B398">
        <v>660</v>
      </c>
      <c r="C398">
        <f>'Round2.raw'!K14</f>
        <v>0.35680000000000001</v>
      </c>
      <c r="D398" t="s">
        <v>42</v>
      </c>
      <c r="E398" t="s">
        <v>26</v>
      </c>
    </row>
    <row r="399" spans="2:5" x14ac:dyDescent="0.2">
      <c r="B399">
        <v>720</v>
      </c>
      <c r="C399">
        <f>'Round2.raw'!K15</f>
        <v>0.35930000000000001</v>
      </c>
      <c r="D399" t="s">
        <v>42</v>
      </c>
      <c r="E399" t="s">
        <v>26</v>
      </c>
    </row>
    <row r="400" spans="2:5" x14ac:dyDescent="0.2">
      <c r="B400">
        <v>780</v>
      </c>
      <c r="C400">
        <f>'Round2.raw'!K16</f>
        <v>0.36049999999999999</v>
      </c>
      <c r="D400" t="s">
        <v>42</v>
      </c>
      <c r="E400" t="s">
        <v>26</v>
      </c>
    </row>
    <row r="401" spans="2:5" x14ac:dyDescent="0.2">
      <c r="B401">
        <v>840</v>
      </c>
      <c r="C401">
        <f>'Round2.raw'!K17</f>
        <v>0.36470000000000002</v>
      </c>
      <c r="D401" t="s">
        <v>42</v>
      </c>
      <c r="E401" t="s">
        <v>26</v>
      </c>
    </row>
    <row r="402" spans="2:5" x14ac:dyDescent="0.2">
      <c r="B402">
        <v>900</v>
      </c>
      <c r="C402">
        <f>'Round2.raw'!K18</f>
        <v>0.37280000000000002</v>
      </c>
      <c r="D402" t="s">
        <v>42</v>
      </c>
      <c r="E402" t="s">
        <v>26</v>
      </c>
    </row>
    <row r="403" spans="2:5" x14ac:dyDescent="0.2">
      <c r="B403">
        <v>960</v>
      </c>
      <c r="C403">
        <f>'Round2.raw'!K19</f>
        <v>0.3755</v>
      </c>
      <c r="D403" t="s">
        <v>42</v>
      </c>
      <c r="E403" t="s">
        <v>26</v>
      </c>
    </row>
    <row r="404" spans="2:5" x14ac:dyDescent="0.2">
      <c r="B404">
        <v>990</v>
      </c>
      <c r="C404">
        <f>'Round2.raw'!K20</f>
        <v>0.48970000000000002</v>
      </c>
      <c r="D404" t="s">
        <v>42</v>
      </c>
      <c r="E404" t="s">
        <v>26</v>
      </c>
    </row>
    <row r="405" spans="2:5" x14ac:dyDescent="0.2">
      <c r="B405">
        <v>1020</v>
      </c>
      <c r="C405">
        <f>'Round2.raw'!K21</f>
        <v>0.38790000000000002</v>
      </c>
      <c r="D405" t="s">
        <v>42</v>
      </c>
      <c r="E405" t="s">
        <v>26</v>
      </c>
    </row>
    <row r="406" spans="2:5" x14ac:dyDescent="0.2">
      <c r="B406">
        <v>1050</v>
      </c>
      <c r="C406">
        <f>'Round2.raw'!K22</f>
        <v>0.3921</v>
      </c>
      <c r="D406" t="s">
        <v>42</v>
      </c>
      <c r="E406" t="s">
        <v>26</v>
      </c>
    </row>
    <row r="407" spans="2:5" x14ac:dyDescent="0.2">
      <c r="B407">
        <v>1080</v>
      </c>
      <c r="C407">
        <f>'Round2.raw'!K23</f>
        <v>0.39610000000000001</v>
      </c>
      <c r="D407" t="s">
        <v>42</v>
      </c>
      <c r="E407" t="s">
        <v>26</v>
      </c>
    </row>
    <row r="408" spans="2:5" x14ac:dyDescent="0.2">
      <c r="B408">
        <v>1110</v>
      </c>
      <c r="C408">
        <f>'Round2.raw'!K24</f>
        <v>0.40150000000000002</v>
      </c>
      <c r="D408" t="s">
        <v>42</v>
      </c>
      <c r="E408" t="s">
        <v>26</v>
      </c>
    </row>
    <row r="409" spans="2:5" x14ac:dyDescent="0.2">
      <c r="B409">
        <v>1140</v>
      </c>
      <c r="C409">
        <f>'Round2.raw'!K25</f>
        <v>0.40749999999999997</v>
      </c>
      <c r="D409" t="s">
        <v>42</v>
      </c>
      <c r="E409" t="s">
        <v>26</v>
      </c>
    </row>
    <row r="410" spans="2:5" x14ac:dyDescent="0.2">
      <c r="B410">
        <v>1170</v>
      </c>
      <c r="C410">
        <f>'Round2.raw'!K26</f>
        <v>0.4128</v>
      </c>
      <c r="D410" t="s">
        <v>42</v>
      </c>
      <c r="E410" t="s">
        <v>26</v>
      </c>
    </row>
    <row r="411" spans="2:5" x14ac:dyDescent="0.2">
      <c r="B411">
        <v>1200</v>
      </c>
      <c r="C411">
        <f>'Round2.raw'!K27</f>
        <v>0.41949999999999998</v>
      </c>
      <c r="D411" t="s">
        <v>42</v>
      </c>
      <c r="E411" t="s">
        <v>26</v>
      </c>
    </row>
    <row r="412" spans="2:5" x14ac:dyDescent="0.2">
      <c r="B412">
        <v>1230</v>
      </c>
      <c r="C412">
        <f>'Round2.raw'!K28</f>
        <v>0.42549999999999999</v>
      </c>
      <c r="D412" t="s">
        <v>42</v>
      </c>
      <c r="E412" t="s">
        <v>26</v>
      </c>
    </row>
    <row r="413" spans="2:5" x14ac:dyDescent="0.2">
      <c r="B413">
        <v>1260</v>
      </c>
      <c r="C413">
        <f>'Round2.raw'!K29</f>
        <v>0.52259999999999995</v>
      </c>
      <c r="D413" t="s">
        <v>42</v>
      </c>
      <c r="E413" t="s">
        <v>26</v>
      </c>
    </row>
    <row r="414" spans="2:5" x14ac:dyDescent="0.2">
      <c r="B414">
        <v>1290</v>
      </c>
      <c r="C414">
        <f>'Round2.raw'!K30</f>
        <v>0.42980000000000002</v>
      </c>
      <c r="D414" t="s">
        <v>42</v>
      </c>
      <c r="E414" t="s">
        <v>26</v>
      </c>
    </row>
    <row r="415" spans="2:5" x14ac:dyDescent="0.2">
      <c r="B415">
        <v>1320</v>
      </c>
      <c r="C415">
        <f>'Round2.raw'!K31</f>
        <v>0.4375</v>
      </c>
      <c r="D415" t="s">
        <v>42</v>
      </c>
      <c r="E415" t="s">
        <v>26</v>
      </c>
    </row>
    <row r="416" spans="2:5" x14ac:dyDescent="0.2">
      <c r="B416">
        <v>1340</v>
      </c>
      <c r="C416">
        <f>'Round2.raw'!K32</f>
        <v>0.50819999999999999</v>
      </c>
      <c r="D416" t="s">
        <v>42</v>
      </c>
      <c r="E416" t="s">
        <v>26</v>
      </c>
    </row>
    <row r="417" spans="2:5" x14ac:dyDescent="0.2">
      <c r="B417">
        <v>1370</v>
      </c>
      <c r="C417">
        <f>'Round2.raw'!K33</f>
        <v>0.44629999999999997</v>
      </c>
      <c r="D417" t="s">
        <v>42</v>
      </c>
      <c r="E417" t="s">
        <v>26</v>
      </c>
    </row>
    <row r="418" spans="2:5" x14ac:dyDescent="0.2">
      <c r="B418">
        <v>1380</v>
      </c>
      <c r="C418">
        <f>'Round2.raw'!K34</f>
        <v>0.45190000000000002</v>
      </c>
      <c r="D418" t="s">
        <v>42</v>
      </c>
      <c r="E418" t="s">
        <v>26</v>
      </c>
    </row>
    <row r="419" spans="2:5" x14ac:dyDescent="0.2">
      <c r="B419">
        <v>1410</v>
      </c>
      <c r="C419">
        <f>'Round2.raw'!K35</f>
        <v>0.43809999999999999</v>
      </c>
      <c r="D419" t="s">
        <v>42</v>
      </c>
      <c r="E419" t="s">
        <v>26</v>
      </c>
    </row>
    <row r="420" spans="2:5" x14ac:dyDescent="0.2">
      <c r="B420">
        <v>1440</v>
      </c>
      <c r="C420">
        <f>'Round2.raw'!K36</f>
        <v>0.44550000000000001</v>
      </c>
      <c r="D420" t="s">
        <v>42</v>
      </c>
      <c r="E420" t="s">
        <v>26</v>
      </c>
    </row>
    <row r="421" spans="2:5" x14ac:dyDescent="0.2">
      <c r="B421">
        <v>1470</v>
      </c>
      <c r="C421">
        <f>'Round2.raw'!K37</f>
        <v>0.45190000000000002</v>
      </c>
      <c r="D421" t="s">
        <v>42</v>
      </c>
      <c r="E421" t="s">
        <v>26</v>
      </c>
    </row>
    <row r="422" spans="2:5" x14ac:dyDescent="0.2">
      <c r="B422">
        <v>1500</v>
      </c>
      <c r="C422">
        <f>'Round2.raw'!K38</f>
        <v>0.4531</v>
      </c>
      <c r="D422" t="s">
        <v>42</v>
      </c>
      <c r="E422" t="s">
        <v>26</v>
      </c>
    </row>
    <row r="423" spans="2:5" x14ac:dyDescent="0.2">
      <c r="B423">
        <v>1530</v>
      </c>
      <c r="C423">
        <f>'Round2.raw'!K39</f>
        <v>0.45639999999999997</v>
      </c>
      <c r="D423" t="s">
        <v>42</v>
      </c>
      <c r="E423" t="s">
        <v>26</v>
      </c>
    </row>
    <row r="424" spans="2:5" x14ac:dyDescent="0.2">
      <c r="B424">
        <v>1560</v>
      </c>
      <c r="C424">
        <f>'Round2.raw'!K40</f>
        <v>0.4582</v>
      </c>
      <c r="D424" t="s">
        <v>42</v>
      </c>
      <c r="E424" t="s">
        <v>26</v>
      </c>
    </row>
    <row r="425" spans="2:5" x14ac:dyDescent="0.2">
      <c r="B425">
        <v>1590</v>
      </c>
      <c r="C425">
        <f>'Round2.raw'!K41</f>
        <v>0.45800000000000002</v>
      </c>
      <c r="D425" t="s">
        <v>42</v>
      </c>
      <c r="E425" t="s">
        <v>26</v>
      </c>
    </row>
    <row r="426" spans="2:5" x14ac:dyDescent="0.2">
      <c r="B426">
        <v>1620</v>
      </c>
      <c r="C426">
        <f>'Round2.raw'!K42</f>
        <v>0.45739999999999997</v>
      </c>
      <c r="D426" t="s">
        <v>42</v>
      </c>
      <c r="E426" t="s">
        <v>26</v>
      </c>
    </row>
    <row r="427" spans="2:5" x14ac:dyDescent="0.2">
      <c r="B427">
        <v>1650</v>
      </c>
      <c r="C427">
        <f>'Round2.raw'!K43</f>
        <v>0.45650000000000002</v>
      </c>
      <c r="D427" t="s">
        <v>42</v>
      </c>
      <c r="E427" t="s">
        <v>26</v>
      </c>
    </row>
    <row r="428" spans="2:5" x14ac:dyDescent="0.2">
      <c r="B428">
        <v>1680</v>
      </c>
      <c r="C428">
        <f>'Round2.raw'!K44</f>
        <v>0.45679999999999998</v>
      </c>
      <c r="D428" t="s">
        <v>42</v>
      </c>
      <c r="E428" t="s">
        <v>26</v>
      </c>
    </row>
    <row r="429" spans="2:5" x14ac:dyDescent="0.2">
      <c r="B429">
        <v>1710</v>
      </c>
      <c r="C429">
        <f>'Round2.raw'!K45</f>
        <v>0.45729999999999998</v>
      </c>
      <c r="D429" t="s">
        <v>42</v>
      </c>
      <c r="E429" t="s">
        <v>26</v>
      </c>
    </row>
    <row r="430" spans="2:5" x14ac:dyDescent="0.2">
      <c r="B430">
        <v>1740</v>
      </c>
      <c r="C430">
        <f>'Round2.raw'!K46</f>
        <v>0.45829999999999999</v>
      </c>
      <c r="D430" t="s">
        <v>42</v>
      </c>
      <c r="E430" t="s">
        <v>26</v>
      </c>
    </row>
    <row r="431" spans="2:5" x14ac:dyDescent="0.2">
      <c r="B431">
        <v>1770</v>
      </c>
      <c r="C431">
        <f>'Round2.raw'!K47</f>
        <v>0.4602</v>
      </c>
      <c r="D431" t="s">
        <v>42</v>
      </c>
      <c r="E431" t="s">
        <v>26</v>
      </c>
    </row>
    <row r="432" spans="2:5" x14ac:dyDescent="0.2">
      <c r="B432">
        <v>1800</v>
      </c>
      <c r="C432">
        <f>'Round2.raw'!K48</f>
        <v>0.4637</v>
      </c>
      <c r="D432" t="s">
        <v>42</v>
      </c>
      <c r="E432" t="s">
        <v>26</v>
      </c>
    </row>
    <row r="433" spans="2:5" x14ac:dyDescent="0.2">
      <c r="B433">
        <v>1830</v>
      </c>
      <c r="C433">
        <f>'Round2.raw'!K49</f>
        <v>0.46700000000000003</v>
      </c>
      <c r="D433" t="s">
        <v>42</v>
      </c>
      <c r="E433" t="s">
        <v>26</v>
      </c>
    </row>
    <row r="434" spans="2:5" x14ac:dyDescent="0.2">
      <c r="B434">
        <v>1860</v>
      </c>
      <c r="C434">
        <f>'Round2.raw'!K50</f>
        <v>0.46889999999999998</v>
      </c>
      <c r="D434" t="s">
        <v>42</v>
      </c>
      <c r="E434" t="s">
        <v>26</v>
      </c>
    </row>
    <row r="435" spans="2:5" x14ac:dyDescent="0.2">
      <c r="B435">
        <v>1890</v>
      </c>
      <c r="C435">
        <f>'Round2.raw'!K51</f>
        <v>0.47060000000000002</v>
      </c>
      <c r="D435" t="s">
        <v>42</v>
      </c>
      <c r="E435" t="s">
        <v>26</v>
      </c>
    </row>
    <row r="436" spans="2:5" x14ac:dyDescent="0.2">
      <c r="B436">
        <v>1920</v>
      </c>
      <c r="C436">
        <f>'Round2.raw'!K52</f>
        <v>0.47170000000000001</v>
      </c>
      <c r="D436" t="s">
        <v>42</v>
      </c>
      <c r="E436" t="s">
        <v>26</v>
      </c>
    </row>
    <row r="437" spans="2:5" x14ac:dyDescent="0.2">
      <c r="B437">
        <v>1950</v>
      </c>
      <c r="C437">
        <f>'Round2.raw'!K53</f>
        <v>0.47189999999999999</v>
      </c>
      <c r="D437" t="s">
        <v>42</v>
      </c>
      <c r="E437" t="s">
        <v>26</v>
      </c>
    </row>
    <row r="438" spans="2:5" x14ac:dyDescent="0.2">
      <c r="B438">
        <v>1980</v>
      </c>
      <c r="C438">
        <f>'Round2.raw'!K54</f>
        <v>0.4713</v>
      </c>
      <c r="D438" t="s">
        <v>42</v>
      </c>
      <c r="E438" t="s">
        <v>26</v>
      </c>
    </row>
    <row r="439" spans="2:5" x14ac:dyDescent="0.2">
      <c r="B439">
        <v>2010</v>
      </c>
      <c r="C439">
        <f>'Round2.raw'!K55</f>
        <v>0.47160000000000002</v>
      </c>
      <c r="D439" t="s">
        <v>42</v>
      </c>
      <c r="E439" t="s">
        <v>26</v>
      </c>
    </row>
    <row r="440" spans="2:5" x14ac:dyDescent="0.2">
      <c r="B440">
        <v>2040</v>
      </c>
      <c r="C440">
        <f>'Round2.raw'!K56</f>
        <v>0.4718</v>
      </c>
      <c r="D440" t="s">
        <v>42</v>
      </c>
      <c r="E440" t="s">
        <v>26</v>
      </c>
    </row>
    <row r="441" spans="2:5" x14ac:dyDescent="0.2">
      <c r="B441">
        <v>2070</v>
      </c>
      <c r="C441">
        <f>'Round2.raw'!K57</f>
        <v>0.47189999999999999</v>
      </c>
      <c r="D441" t="s">
        <v>42</v>
      </c>
      <c r="E441" t="s">
        <v>26</v>
      </c>
    </row>
    <row r="442" spans="2:5" x14ac:dyDescent="0.2">
      <c r="B442">
        <v>0</v>
      </c>
      <c r="C442">
        <f>'Round2.raw'!L3</f>
        <v>0.22409999999999999</v>
      </c>
      <c r="D442" t="s">
        <v>42</v>
      </c>
      <c r="E442" t="s">
        <v>26</v>
      </c>
    </row>
    <row r="443" spans="2:5" x14ac:dyDescent="0.2">
      <c r="B443">
        <v>60</v>
      </c>
      <c r="C443">
        <f>'Round2.raw'!L4</f>
        <v>0.2409</v>
      </c>
      <c r="D443" t="s">
        <v>42</v>
      </c>
      <c r="E443" t="s">
        <v>26</v>
      </c>
    </row>
    <row r="444" spans="2:5" x14ac:dyDescent="0.2">
      <c r="B444">
        <v>120</v>
      </c>
      <c r="C444">
        <f>'Round2.raw'!L5</f>
        <v>0.26590000000000003</v>
      </c>
      <c r="D444" t="s">
        <v>42</v>
      </c>
      <c r="E444" t="s">
        <v>26</v>
      </c>
    </row>
    <row r="445" spans="2:5" x14ac:dyDescent="0.2">
      <c r="B445">
        <v>180</v>
      </c>
      <c r="C445">
        <f>'Round2.raw'!L6</f>
        <v>0.2823</v>
      </c>
      <c r="D445" t="s">
        <v>42</v>
      </c>
      <c r="E445" t="s">
        <v>26</v>
      </c>
    </row>
    <row r="446" spans="2:5" x14ac:dyDescent="0.2">
      <c r="B446">
        <v>240</v>
      </c>
      <c r="C446">
        <f>'Round2.raw'!L7</f>
        <v>0.29970000000000002</v>
      </c>
      <c r="D446" t="s">
        <v>42</v>
      </c>
      <c r="E446" t="s">
        <v>26</v>
      </c>
    </row>
    <row r="447" spans="2:5" x14ac:dyDescent="0.2">
      <c r="B447">
        <v>300</v>
      </c>
      <c r="C447">
        <f>'Round2.raw'!L8</f>
        <v>0.30709999999999998</v>
      </c>
      <c r="D447" t="s">
        <v>42</v>
      </c>
      <c r="E447" t="s">
        <v>26</v>
      </c>
    </row>
    <row r="448" spans="2:5" x14ac:dyDescent="0.2">
      <c r="B448">
        <v>360</v>
      </c>
      <c r="C448">
        <f>'Round2.raw'!L9</f>
        <v>0.32190000000000002</v>
      </c>
      <c r="D448" t="s">
        <v>42</v>
      </c>
      <c r="E448" t="s">
        <v>26</v>
      </c>
    </row>
    <row r="449" spans="2:5" x14ac:dyDescent="0.2">
      <c r="B449">
        <v>420</v>
      </c>
      <c r="C449">
        <f>'Round2.raw'!L10</f>
        <v>0.34410000000000002</v>
      </c>
      <c r="D449" t="s">
        <v>42</v>
      </c>
      <c r="E449" t="s">
        <v>26</v>
      </c>
    </row>
    <row r="450" spans="2:5" x14ac:dyDescent="0.2">
      <c r="B450">
        <v>480</v>
      </c>
      <c r="C450">
        <f>'Round2.raw'!L11</f>
        <v>0.35670000000000002</v>
      </c>
      <c r="D450" t="s">
        <v>42</v>
      </c>
      <c r="E450" t="s">
        <v>26</v>
      </c>
    </row>
    <row r="451" spans="2:5" x14ac:dyDescent="0.2">
      <c r="B451">
        <v>540</v>
      </c>
      <c r="C451">
        <f>'Round2.raw'!L12</f>
        <v>0.36780000000000002</v>
      </c>
      <c r="D451" t="s">
        <v>42</v>
      </c>
      <c r="E451" t="s">
        <v>26</v>
      </c>
    </row>
    <row r="452" spans="2:5" x14ac:dyDescent="0.2">
      <c r="B452">
        <v>600</v>
      </c>
      <c r="C452">
        <f>'Round2.raw'!L13</f>
        <v>0.3841</v>
      </c>
      <c r="D452" t="s">
        <v>42</v>
      </c>
      <c r="E452" t="s">
        <v>26</v>
      </c>
    </row>
    <row r="453" spans="2:5" x14ac:dyDescent="0.2">
      <c r="B453">
        <v>660</v>
      </c>
      <c r="C453">
        <f>'Round2.raw'!L14</f>
        <v>0.39450000000000002</v>
      </c>
      <c r="D453" t="s">
        <v>42</v>
      </c>
      <c r="E453" t="s">
        <v>26</v>
      </c>
    </row>
    <row r="454" spans="2:5" x14ac:dyDescent="0.2">
      <c r="B454">
        <v>720</v>
      </c>
      <c r="C454">
        <f>'Round2.raw'!L15</f>
        <v>0.4027</v>
      </c>
      <c r="D454" t="s">
        <v>42</v>
      </c>
      <c r="E454" t="s">
        <v>26</v>
      </c>
    </row>
    <row r="455" spans="2:5" x14ac:dyDescent="0.2">
      <c r="B455">
        <v>780</v>
      </c>
      <c r="C455">
        <f>'Round2.raw'!L16</f>
        <v>0.40839999999999999</v>
      </c>
      <c r="D455" t="s">
        <v>42</v>
      </c>
      <c r="E455" t="s">
        <v>26</v>
      </c>
    </row>
    <row r="456" spans="2:5" x14ac:dyDescent="0.2">
      <c r="B456">
        <v>840</v>
      </c>
      <c r="C456">
        <f>'Round2.raw'!L17</f>
        <v>0.41370000000000001</v>
      </c>
      <c r="D456" t="s">
        <v>42</v>
      </c>
      <c r="E456" t="s">
        <v>26</v>
      </c>
    </row>
    <row r="457" spans="2:5" x14ac:dyDescent="0.2">
      <c r="B457">
        <v>900</v>
      </c>
      <c r="C457">
        <f>'Round2.raw'!L18</f>
        <v>0.41849999999999998</v>
      </c>
      <c r="D457" t="s">
        <v>42</v>
      </c>
      <c r="E457" t="s">
        <v>26</v>
      </c>
    </row>
    <row r="458" spans="2:5" x14ac:dyDescent="0.2">
      <c r="B458">
        <v>960</v>
      </c>
      <c r="C458">
        <f>'Round2.raw'!L19</f>
        <v>0.42330000000000001</v>
      </c>
      <c r="D458" t="s">
        <v>42</v>
      </c>
      <c r="E458" t="s">
        <v>26</v>
      </c>
    </row>
    <row r="459" spans="2:5" x14ac:dyDescent="0.2">
      <c r="B459">
        <v>990</v>
      </c>
      <c r="C459">
        <f>'Round2.raw'!L20</f>
        <v>0.53469999999999995</v>
      </c>
      <c r="D459" t="s">
        <v>42</v>
      </c>
      <c r="E459" t="s">
        <v>26</v>
      </c>
    </row>
    <row r="460" spans="2:5" x14ac:dyDescent="0.2">
      <c r="B460">
        <v>1020</v>
      </c>
      <c r="C460">
        <f>'Round2.raw'!L21</f>
        <v>0.43559999999999999</v>
      </c>
      <c r="D460" t="s">
        <v>42</v>
      </c>
      <c r="E460" t="s">
        <v>26</v>
      </c>
    </row>
    <row r="461" spans="2:5" x14ac:dyDescent="0.2">
      <c r="B461">
        <v>1050</v>
      </c>
      <c r="C461">
        <f>'Round2.raw'!L22</f>
        <v>0.43230000000000002</v>
      </c>
      <c r="D461" t="s">
        <v>42</v>
      </c>
      <c r="E461" t="s">
        <v>26</v>
      </c>
    </row>
    <row r="462" spans="2:5" x14ac:dyDescent="0.2">
      <c r="B462">
        <v>1080</v>
      </c>
      <c r="C462">
        <f>'Round2.raw'!L23</f>
        <v>0.43369999999999997</v>
      </c>
      <c r="D462" t="s">
        <v>42</v>
      </c>
      <c r="E462" t="s">
        <v>26</v>
      </c>
    </row>
    <row r="463" spans="2:5" x14ac:dyDescent="0.2">
      <c r="B463">
        <v>1110</v>
      </c>
      <c r="C463">
        <f>'Round2.raw'!L24</f>
        <v>0.43730000000000002</v>
      </c>
      <c r="D463" t="s">
        <v>42</v>
      </c>
      <c r="E463" t="s">
        <v>26</v>
      </c>
    </row>
    <row r="464" spans="2:5" x14ac:dyDescent="0.2">
      <c r="B464">
        <v>1140</v>
      </c>
      <c r="C464">
        <f>'Round2.raw'!L25</f>
        <v>0.43890000000000001</v>
      </c>
      <c r="D464" t="s">
        <v>42</v>
      </c>
      <c r="E464" t="s">
        <v>26</v>
      </c>
    </row>
    <row r="465" spans="2:5" x14ac:dyDescent="0.2">
      <c r="B465">
        <v>1170</v>
      </c>
      <c r="C465">
        <f>'Round2.raw'!L26</f>
        <v>0.44090000000000001</v>
      </c>
      <c r="D465" t="s">
        <v>42</v>
      </c>
      <c r="E465" t="s">
        <v>26</v>
      </c>
    </row>
    <row r="466" spans="2:5" x14ac:dyDescent="0.2">
      <c r="B466">
        <v>1200</v>
      </c>
      <c r="C466">
        <f>'Round2.raw'!L27</f>
        <v>0.44309999999999999</v>
      </c>
      <c r="D466" t="s">
        <v>42</v>
      </c>
      <c r="E466" t="s">
        <v>26</v>
      </c>
    </row>
    <row r="467" spans="2:5" x14ac:dyDescent="0.2">
      <c r="B467">
        <v>1230</v>
      </c>
      <c r="C467">
        <f>'Round2.raw'!L28</f>
        <v>0.4446</v>
      </c>
      <c r="D467" t="s">
        <v>42</v>
      </c>
      <c r="E467" t="s">
        <v>26</v>
      </c>
    </row>
    <row r="468" spans="2:5" x14ac:dyDescent="0.2">
      <c r="B468">
        <v>1260</v>
      </c>
      <c r="C468">
        <f>'Round2.raw'!L29</f>
        <v>0.52310000000000001</v>
      </c>
      <c r="D468" t="s">
        <v>42</v>
      </c>
      <c r="E468" t="s">
        <v>26</v>
      </c>
    </row>
    <row r="469" spans="2:5" x14ac:dyDescent="0.2">
      <c r="B469">
        <v>1290</v>
      </c>
      <c r="C469">
        <f>'Round2.raw'!L30</f>
        <v>0.44929999999999998</v>
      </c>
      <c r="D469" t="s">
        <v>42</v>
      </c>
      <c r="E469" t="s">
        <v>26</v>
      </c>
    </row>
    <row r="470" spans="2:5" x14ac:dyDescent="0.2">
      <c r="B470">
        <v>1320</v>
      </c>
      <c r="C470">
        <f>'Round2.raw'!L31</f>
        <v>0.47639999999999999</v>
      </c>
      <c r="D470" t="s">
        <v>42</v>
      </c>
      <c r="E470" t="s">
        <v>26</v>
      </c>
    </row>
    <row r="471" spans="2:5" x14ac:dyDescent="0.2">
      <c r="B471">
        <v>1340</v>
      </c>
      <c r="C471">
        <f>'Round2.raw'!L32</f>
        <v>0.57489999999999997</v>
      </c>
      <c r="D471" t="s">
        <v>42</v>
      </c>
      <c r="E471" t="s">
        <v>26</v>
      </c>
    </row>
    <row r="472" spans="2:5" x14ac:dyDescent="0.2">
      <c r="B472">
        <v>1370</v>
      </c>
      <c r="C472">
        <f>'Round2.raw'!L33</f>
        <v>0.48099999999999998</v>
      </c>
      <c r="D472" t="s">
        <v>42</v>
      </c>
      <c r="E472" t="s">
        <v>26</v>
      </c>
    </row>
    <row r="473" spans="2:5" x14ac:dyDescent="0.2">
      <c r="B473">
        <v>1380</v>
      </c>
      <c r="C473">
        <f>'Round2.raw'!L34</f>
        <v>0.50139999999999996</v>
      </c>
      <c r="D473" t="s">
        <v>42</v>
      </c>
      <c r="E473" t="s">
        <v>26</v>
      </c>
    </row>
    <row r="474" spans="2:5" x14ac:dyDescent="0.2">
      <c r="B474">
        <v>1410</v>
      </c>
      <c r="C474">
        <f>'Round2.raw'!L35</f>
        <v>0.45950000000000002</v>
      </c>
      <c r="D474" t="s">
        <v>42</v>
      </c>
      <c r="E474" t="s">
        <v>26</v>
      </c>
    </row>
    <row r="475" spans="2:5" x14ac:dyDescent="0.2">
      <c r="B475">
        <v>1440</v>
      </c>
      <c r="C475">
        <f>'Round2.raw'!L36</f>
        <v>0.4647</v>
      </c>
      <c r="D475" t="s">
        <v>42</v>
      </c>
      <c r="E475" t="s">
        <v>26</v>
      </c>
    </row>
    <row r="476" spans="2:5" x14ac:dyDescent="0.2">
      <c r="B476">
        <v>1470</v>
      </c>
      <c r="C476">
        <f>'Round2.raw'!L37</f>
        <v>0.46939999999999998</v>
      </c>
      <c r="D476" t="s">
        <v>42</v>
      </c>
      <c r="E476" t="s">
        <v>26</v>
      </c>
    </row>
    <row r="477" spans="2:5" x14ac:dyDescent="0.2">
      <c r="B477">
        <v>1500</v>
      </c>
      <c r="C477">
        <f>'Round2.raw'!L38</f>
        <v>0.46860000000000002</v>
      </c>
      <c r="D477" t="s">
        <v>42</v>
      </c>
      <c r="E477" t="s">
        <v>26</v>
      </c>
    </row>
    <row r="478" spans="2:5" x14ac:dyDescent="0.2">
      <c r="B478">
        <v>1530</v>
      </c>
      <c r="C478">
        <f>'Round2.raw'!L39</f>
        <v>0.46810000000000002</v>
      </c>
      <c r="D478" t="s">
        <v>42</v>
      </c>
      <c r="E478" t="s">
        <v>26</v>
      </c>
    </row>
    <row r="479" spans="2:5" x14ac:dyDescent="0.2">
      <c r="B479">
        <v>1560</v>
      </c>
      <c r="C479">
        <f>'Round2.raw'!L40</f>
        <v>0.46879999999999999</v>
      </c>
      <c r="D479" t="s">
        <v>42</v>
      </c>
      <c r="E479" t="s">
        <v>26</v>
      </c>
    </row>
    <row r="480" spans="2:5" x14ac:dyDescent="0.2">
      <c r="B480">
        <v>1590</v>
      </c>
      <c r="C480">
        <f>'Round2.raw'!L41</f>
        <v>0.47049999999999997</v>
      </c>
      <c r="D480" t="s">
        <v>42</v>
      </c>
      <c r="E480" t="s">
        <v>26</v>
      </c>
    </row>
    <row r="481" spans="2:5" x14ac:dyDescent="0.2">
      <c r="B481">
        <v>1620</v>
      </c>
      <c r="C481">
        <f>'Round2.raw'!L42</f>
        <v>0.47320000000000001</v>
      </c>
      <c r="D481" t="s">
        <v>42</v>
      </c>
      <c r="E481" t="s">
        <v>26</v>
      </c>
    </row>
    <row r="482" spans="2:5" x14ac:dyDescent="0.2">
      <c r="B482">
        <v>1650</v>
      </c>
      <c r="C482">
        <f>'Round2.raw'!L43</f>
        <v>0.4763</v>
      </c>
      <c r="D482" t="s">
        <v>42</v>
      </c>
      <c r="E482" t="s">
        <v>26</v>
      </c>
    </row>
    <row r="483" spans="2:5" x14ac:dyDescent="0.2">
      <c r="B483">
        <v>1680</v>
      </c>
      <c r="C483">
        <f>'Round2.raw'!L44</f>
        <v>0.48170000000000002</v>
      </c>
      <c r="D483" t="s">
        <v>42</v>
      </c>
      <c r="E483" t="s">
        <v>26</v>
      </c>
    </row>
    <row r="484" spans="2:5" x14ac:dyDescent="0.2">
      <c r="B484">
        <v>1710</v>
      </c>
      <c r="C484">
        <f>'Round2.raw'!L45</f>
        <v>0.4879</v>
      </c>
      <c r="D484" t="s">
        <v>42</v>
      </c>
      <c r="E484" t="s">
        <v>26</v>
      </c>
    </row>
    <row r="485" spans="2:5" x14ac:dyDescent="0.2">
      <c r="B485">
        <v>1740</v>
      </c>
      <c r="C485">
        <f>'Round2.raw'!L46</f>
        <v>0.49509999999999998</v>
      </c>
      <c r="D485" t="s">
        <v>42</v>
      </c>
      <c r="E485" t="s">
        <v>26</v>
      </c>
    </row>
    <row r="486" spans="2:5" x14ac:dyDescent="0.2">
      <c r="B486">
        <v>1770</v>
      </c>
      <c r="C486">
        <f>'Round2.raw'!L47</f>
        <v>0.50280000000000002</v>
      </c>
      <c r="D486" t="s">
        <v>42</v>
      </c>
      <c r="E486" t="s">
        <v>26</v>
      </c>
    </row>
    <row r="487" spans="2:5" x14ac:dyDescent="0.2">
      <c r="B487">
        <v>1800</v>
      </c>
      <c r="C487">
        <f>'Round2.raw'!L48</f>
        <v>0.50949999999999995</v>
      </c>
      <c r="D487" t="s">
        <v>42</v>
      </c>
      <c r="E487" t="s">
        <v>26</v>
      </c>
    </row>
    <row r="488" spans="2:5" x14ac:dyDescent="0.2">
      <c r="B488">
        <v>1830</v>
      </c>
      <c r="C488">
        <f>'Round2.raw'!L49</f>
        <v>0.51670000000000005</v>
      </c>
      <c r="D488" t="s">
        <v>42</v>
      </c>
      <c r="E488" t="s">
        <v>26</v>
      </c>
    </row>
    <row r="489" spans="2:5" x14ac:dyDescent="0.2">
      <c r="B489">
        <v>1860</v>
      </c>
      <c r="C489">
        <f>'Round2.raw'!L50</f>
        <v>0.52180000000000004</v>
      </c>
      <c r="D489" t="s">
        <v>42</v>
      </c>
      <c r="E489" t="s">
        <v>26</v>
      </c>
    </row>
    <row r="490" spans="2:5" x14ac:dyDescent="0.2">
      <c r="B490">
        <v>1890</v>
      </c>
      <c r="C490">
        <f>'Round2.raw'!L51</f>
        <v>0.52890000000000004</v>
      </c>
      <c r="D490" t="s">
        <v>42</v>
      </c>
      <c r="E490" t="s">
        <v>26</v>
      </c>
    </row>
    <row r="491" spans="2:5" x14ac:dyDescent="0.2">
      <c r="B491">
        <v>1920</v>
      </c>
      <c r="C491">
        <f>'Round2.raw'!L52</f>
        <v>0.53539999999999999</v>
      </c>
      <c r="D491" t="s">
        <v>42</v>
      </c>
      <c r="E491" t="s">
        <v>26</v>
      </c>
    </row>
    <row r="492" spans="2:5" x14ac:dyDescent="0.2">
      <c r="B492">
        <v>1950</v>
      </c>
      <c r="C492">
        <f>'Round2.raw'!L53</f>
        <v>0.53800000000000003</v>
      </c>
      <c r="D492" t="s">
        <v>42</v>
      </c>
      <c r="E492" t="s">
        <v>26</v>
      </c>
    </row>
    <row r="493" spans="2:5" x14ac:dyDescent="0.2">
      <c r="B493">
        <v>1980</v>
      </c>
      <c r="C493">
        <f>'Round2.raw'!L54</f>
        <v>0.53720000000000001</v>
      </c>
      <c r="D493" t="s">
        <v>42</v>
      </c>
      <c r="E493" t="s">
        <v>26</v>
      </c>
    </row>
    <row r="494" spans="2:5" x14ac:dyDescent="0.2">
      <c r="B494">
        <v>2010</v>
      </c>
      <c r="C494">
        <f>'Round2.raw'!L55</f>
        <v>0.53339999999999999</v>
      </c>
      <c r="D494" t="s">
        <v>42</v>
      </c>
      <c r="E494" t="s">
        <v>26</v>
      </c>
    </row>
    <row r="495" spans="2:5" x14ac:dyDescent="0.2">
      <c r="B495">
        <v>2040</v>
      </c>
      <c r="C495">
        <f>'Round2.raw'!L56</f>
        <v>0.53080000000000005</v>
      </c>
      <c r="D495" t="s">
        <v>42</v>
      </c>
      <c r="E495" t="s">
        <v>26</v>
      </c>
    </row>
    <row r="496" spans="2:5" x14ac:dyDescent="0.2">
      <c r="B496">
        <v>2070</v>
      </c>
      <c r="C496">
        <f>'Round2.raw'!L57</f>
        <v>0.52810000000000001</v>
      </c>
      <c r="D496" t="s">
        <v>42</v>
      </c>
      <c r="E496" t="s">
        <v>26</v>
      </c>
    </row>
    <row r="497" spans="2:5" x14ac:dyDescent="0.2">
      <c r="B497">
        <v>0</v>
      </c>
      <c r="C497">
        <f>'Round2.raw'!P3</f>
        <v>0.19889999999999999</v>
      </c>
      <c r="D497" t="s">
        <v>22</v>
      </c>
      <c r="E497" t="s">
        <v>27</v>
      </c>
    </row>
    <row r="498" spans="2:5" x14ac:dyDescent="0.2">
      <c r="B498">
        <v>60</v>
      </c>
      <c r="C498">
        <f>'Round2.raw'!P4</f>
        <v>0.2152</v>
      </c>
      <c r="D498" t="s">
        <v>22</v>
      </c>
      <c r="E498" t="s">
        <v>27</v>
      </c>
    </row>
    <row r="499" spans="2:5" x14ac:dyDescent="0.2">
      <c r="B499">
        <v>120</v>
      </c>
      <c r="C499">
        <f>'Round2.raw'!P5</f>
        <v>0.22750000000000001</v>
      </c>
      <c r="D499" t="s">
        <v>22</v>
      </c>
      <c r="E499" t="s">
        <v>27</v>
      </c>
    </row>
    <row r="500" spans="2:5" x14ac:dyDescent="0.2">
      <c r="B500">
        <v>180</v>
      </c>
      <c r="C500">
        <f>'Round2.raw'!P6</f>
        <v>0.25240000000000001</v>
      </c>
      <c r="D500" t="s">
        <v>22</v>
      </c>
      <c r="E500" t="s">
        <v>27</v>
      </c>
    </row>
    <row r="501" spans="2:5" x14ac:dyDescent="0.2">
      <c r="B501">
        <v>240</v>
      </c>
      <c r="C501">
        <f>'Round2.raw'!P7</f>
        <v>0.26379999999999998</v>
      </c>
      <c r="D501" t="s">
        <v>22</v>
      </c>
      <c r="E501" t="s">
        <v>27</v>
      </c>
    </row>
    <row r="502" spans="2:5" x14ac:dyDescent="0.2">
      <c r="B502">
        <v>300</v>
      </c>
      <c r="C502">
        <f>'Round2.raw'!P8</f>
        <v>0.28299999999999997</v>
      </c>
      <c r="D502" t="s">
        <v>22</v>
      </c>
      <c r="E502" t="s">
        <v>27</v>
      </c>
    </row>
    <row r="503" spans="2:5" x14ac:dyDescent="0.2">
      <c r="B503">
        <v>360</v>
      </c>
      <c r="C503">
        <f>'Round2.raw'!P9</f>
        <v>0.2989</v>
      </c>
      <c r="D503" t="s">
        <v>22</v>
      </c>
      <c r="E503" t="s">
        <v>27</v>
      </c>
    </row>
    <row r="504" spans="2:5" x14ac:dyDescent="0.2">
      <c r="B504">
        <v>420</v>
      </c>
      <c r="C504">
        <f>'Round2.raw'!P10</f>
        <v>0.31709999999999999</v>
      </c>
      <c r="D504" t="s">
        <v>22</v>
      </c>
      <c r="E504" t="s">
        <v>27</v>
      </c>
    </row>
    <row r="505" spans="2:5" x14ac:dyDescent="0.2">
      <c r="B505">
        <v>480</v>
      </c>
      <c r="C505">
        <f>'Round2.raw'!P11</f>
        <v>0.3362</v>
      </c>
      <c r="D505" t="s">
        <v>22</v>
      </c>
      <c r="E505" t="s">
        <v>27</v>
      </c>
    </row>
    <row r="506" spans="2:5" x14ac:dyDescent="0.2">
      <c r="B506">
        <v>540</v>
      </c>
      <c r="C506">
        <f>'Round2.raw'!P12</f>
        <v>0.34899999999999998</v>
      </c>
      <c r="D506" t="s">
        <v>22</v>
      </c>
      <c r="E506" t="s">
        <v>27</v>
      </c>
    </row>
    <row r="507" spans="2:5" x14ac:dyDescent="0.2">
      <c r="B507">
        <v>600</v>
      </c>
      <c r="C507">
        <f>'Round2.raw'!P13</f>
        <v>0.36849999999999999</v>
      </c>
      <c r="D507" t="s">
        <v>22</v>
      </c>
      <c r="E507" t="s">
        <v>27</v>
      </c>
    </row>
    <row r="508" spans="2:5" x14ac:dyDescent="0.2">
      <c r="B508">
        <v>660</v>
      </c>
      <c r="C508">
        <f>'Round2.raw'!P14</f>
        <v>0.38769999999999999</v>
      </c>
      <c r="D508" t="s">
        <v>22</v>
      </c>
      <c r="E508" t="s">
        <v>27</v>
      </c>
    </row>
    <row r="509" spans="2:5" x14ac:dyDescent="0.2">
      <c r="B509">
        <v>720</v>
      </c>
      <c r="C509">
        <f>'Round2.raw'!P15</f>
        <v>0.40679999999999999</v>
      </c>
      <c r="D509" t="s">
        <v>22</v>
      </c>
      <c r="E509" t="s">
        <v>27</v>
      </c>
    </row>
    <row r="510" spans="2:5" x14ac:dyDescent="0.2">
      <c r="B510">
        <v>780</v>
      </c>
      <c r="C510">
        <f>'Round2.raw'!P16</f>
        <v>0.41949999999999998</v>
      </c>
      <c r="D510" t="s">
        <v>22</v>
      </c>
      <c r="E510" t="s">
        <v>27</v>
      </c>
    </row>
    <row r="511" spans="2:5" x14ac:dyDescent="0.2">
      <c r="B511">
        <v>840</v>
      </c>
      <c r="C511">
        <f>'Round2.raw'!P17</f>
        <v>0.44519999999999998</v>
      </c>
      <c r="D511" t="s">
        <v>22</v>
      </c>
      <c r="E511" t="s">
        <v>27</v>
      </c>
    </row>
    <row r="512" spans="2:5" x14ac:dyDescent="0.2">
      <c r="B512">
        <v>900</v>
      </c>
      <c r="C512">
        <f>'Round2.raw'!P18</f>
        <v>0.4718</v>
      </c>
      <c r="D512" t="s">
        <v>22</v>
      </c>
      <c r="E512" t="s">
        <v>27</v>
      </c>
    </row>
    <row r="513" spans="2:5" x14ac:dyDescent="0.2">
      <c r="B513">
        <v>960</v>
      </c>
      <c r="C513">
        <f>'Round2.raw'!P19</f>
        <v>0.49859999999999999</v>
      </c>
      <c r="D513" t="s">
        <v>22</v>
      </c>
      <c r="E513" t="s">
        <v>27</v>
      </c>
    </row>
    <row r="514" spans="2:5" x14ac:dyDescent="0.2">
      <c r="B514">
        <v>990</v>
      </c>
      <c r="C514">
        <f>'Round2.raw'!P20</f>
        <v>0.52039999999999997</v>
      </c>
      <c r="D514" t="s">
        <v>22</v>
      </c>
      <c r="E514" t="s">
        <v>27</v>
      </c>
    </row>
    <row r="515" spans="2:5" x14ac:dyDescent="0.2">
      <c r="B515">
        <v>1020</v>
      </c>
      <c r="C515">
        <f>'Round2.raw'!P21</f>
        <v>0.53700000000000003</v>
      </c>
      <c r="D515" t="s">
        <v>22</v>
      </c>
      <c r="E515" t="s">
        <v>27</v>
      </c>
    </row>
    <row r="516" spans="2:5" x14ac:dyDescent="0.2">
      <c r="B516">
        <v>1050</v>
      </c>
      <c r="C516">
        <f>'Round2.raw'!P22</f>
        <v>0.55859999999999999</v>
      </c>
      <c r="D516" t="s">
        <v>22</v>
      </c>
      <c r="E516" t="s">
        <v>27</v>
      </c>
    </row>
    <row r="517" spans="2:5" x14ac:dyDescent="0.2">
      <c r="B517">
        <v>1080</v>
      </c>
      <c r="C517">
        <f>'Round2.raw'!P23</f>
        <v>0.59130000000000005</v>
      </c>
      <c r="D517" t="s">
        <v>22</v>
      </c>
      <c r="E517" t="s">
        <v>27</v>
      </c>
    </row>
    <row r="518" spans="2:5" x14ac:dyDescent="0.2">
      <c r="B518">
        <v>1110</v>
      </c>
      <c r="C518">
        <f>'Round2.raw'!P24</f>
        <v>0.61140000000000005</v>
      </c>
      <c r="D518" t="s">
        <v>22</v>
      </c>
      <c r="E518" t="s">
        <v>27</v>
      </c>
    </row>
    <row r="519" spans="2:5" x14ac:dyDescent="0.2">
      <c r="B519">
        <v>1140</v>
      </c>
      <c r="C519">
        <f>'Round2.raw'!P25</f>
        <v>0.64449999999999996</v>
      </c>
      <c r="D519" t="s">
        <v>22</v>
      </c>
      <c r="E519" t="s">
        <v>27</v>
      </c>
    </row>
    <row r="520" spans="2:5" x14ac:dyDescent="0.2">
      <c r="B520">
        <v>1170</v>
      </c>
      <c r="C520">
        <f>'Round2.raw'!P26</f>
        <v>0.66800000000000004</v>
      </c>
      <c r="D520" t="s">
        <v>22</v>
      </c>
      <c r="E520" t="s">
        <v>27</v>
      </c>
    </row>
    <row r="521" spans="2:5" x14ac:dyDescent="0.2">
      <c r="B521">
        <v>1200</v>
      </c>
      <c r="C521">
        <f>'Round2.raw'!P27</f>
        <v>0.69630000000000003</v>
      </c>
      <c r="D521" t="s">
        <v>22</v>
      </c>
      <c r="E521" t="s">
        <v>27</v>
      </c>
    </row>
    <row r="522" spans="2:5" x14ac:dyDescent="0.2">
      <c r="B522">
        <v>1230</v>
      </c>
      <c r="C522">
        <f>'Round2.raw'!P28</f>
        <v>0.72560000000000002</v>
      </c>
      <c r="D522" t="s">
        <v>22</v>
      </c>
      <c r="E522" t="s">
        <v>27</v>
      </c>
    </row>
    <row r="523" spans="2:5" x14ac:dyDescent="0.2">
      <c r="B523">
        <v>1260</v>
      </c>
      <c r="C523">
        <f>'Round2.raw'!P29</f>
        <v>0.76600000000000001</v>
      </c>
      <c r="D523" t="s">
        <v>22</v>
      </c>
      <c r="E523" t="s">
        <v>27</v>
      </c>
    </row>
    <row r="524" spans="2:5" x14ac:dyDescent="0.2">
      <c r="B524">
        <v>1290</v>
      </c>
      <c r="C524">
        <f>'Round2.raw'!P30</f>
        <v>0.78069999999999995</v>
      </c>
      <c r="D524" t="s">
        <v>22</v>
      </c>
      <c r="E524" t="s">
        <v>27</v>
      </c>
    </row>
    <row r="525" spans="2:5" x14ac:dyDescent="0.2">
      <c r="B525">
        <v>1320</v>
      </c>
      <c r="C525">
        <f>'Round2.raw'!P31</f>
        <v>0.81889999999999996</v>
      </c>
      <c r="D525" t="s">
        <v>22</v>
      </c>
      <c r="E525" t="s">
        <v>27</v>
      </c>
    </row>
    <row r="526" spans="2:5" x14ac:dyDescent="0.2">
      <c r="B526">
        <v>1340</v>
      </c>
      <c r="C526">
        <f>'Round2.raw'!P32</f>
        <v>0.83919999999999995</v>
      </c>
      <c r="D526" t="s">
        <v>22</v>
      </c>
      <c r="E526" t="s">
        <v>27</v>
      </c>
    </row>
    <row r="527" spans="2:5" x14ac:dyDescent="0.2">
      <c r="B527">
        <v>1370</v>
      </c>
      <c r="C527">
        <f>'Round2.raw'!P33</f>
        <v>0.879</v>
      </c>
      <c r="D527" t="s">
        <v>22</v>
      </c>
      <c r="E527" t="s">
        <v>27</v>
      </c>
    </row>
    <row r="528" spans="2:5" x14ac:dyDescent="0.2">
      <c r="B528">
        <v>1380</v>
      </c>
      <c r="C528">
        <f>'Round2.raw'!P34</f>
        <v>0.89980000000000004</v>
      </c>
      <c r="D528" t="s">
        <v>22</v>
      </c>
      <c r="E528" t="s">
        <v>27</v>
      </c>
    </row>
    <row r="529" spans="2:5" x14ac:dyDescent="0.2">
      <c r="B529">
        <v>1410</v>
      </c>
      <c r="C529">
        <f>'Round2.raw'!P35</f>
        <v>0.8962</v>
      </c>
      <c r="D529" t="s">
        <v>22</v>
      </c>
      <c r="E529" t="s">
        <v>27</v>
      </c>
    </row>
    <row r="530" spans="2:5" x14ac:dyDescent="0.2">
      <c r="B530">
        <v>1440</v>
      </c>
      <c r="C530">
        <f>'Round2.raw'!P36</f>
        <v>0.93159999999999998</v>
      </c>
      <c r="D530" t="s">
        <v>22</v>
      </c>
      <c r="E530" t="s">
        <v>27</v>
      </c>
    </row>
    <row r="531" spans="2:5" x14ac:dyDescent="0.2">
      <c r="B531">
        <v>1470</v>
      </c>
      <c r="C531">
        <f>'Round2.raw'!P37</f>
        <v>0.9778</v>
      </c>
      <c r="D531" t="s">
        <v>22</v>
      </c>
      <c r="E531" t="s">
        <v>27</v>
      </c>
    </row>
    <row r="532" spans="2:5" x14ac:dyDescent="0.2">
      <c r="B532">
        <v>1500</v>
      </c>
      <c r="C532">
        <f>'Round2.raw'!P38</f>
        <v>1.0165</v>
      </c>
      <c r="D532" t="s">
        <v>22</v>
      </c>
      <c r="E532" t="s">
        <v>27</v>
      </c>
    </row>
    <row r="533" spans="2:5" x14ac:dyDescent="0.2">
      <c r="B533">
        <v>1530</v>
      </c>
      <c r="C533">
        <f>'Round2.raw'!P39</f>
        <v>1.0452999999999999</v>
      </c>
      <c r="D533" t="s">
        <v>22</v>
      </c>
      <c r="E533" t="s">
        <v>27</v>
      </c>
    </row>
    <row r="534" spans="2:5" x14ac:dyDescent="0.2">
      <c r="B534">
        <v>1560</v>
      </c>
      <c r="C534">
        <f>'Round2.raw'!P40</f>
        <v>1.0857000000000001</v>
      </c>
      <c r="D534" t="s">
        <v>22</v>
      </c>
      <c r="E534" t="s">
        <v>27</v>
      </c>
    </row>
    <row r="535" spans="2:5" x14ac:dyDescent="0.2">
      <c r="B535">
        <v>1590</v>
      </c>
      <c r="C535">
        <f>'Round2.raw'!P41</f>
        <v>1.1178999999999999</v>
      </c>
      <c r="D535" t="s">
        <v>22</v>
      </c>
      <c r="E535" t="s">
        <v>27</v>
      </c>
    </row>
    <row r="536" spans="2:5" x14ac:dyDescent="0.2">
      <c r="B536">
        <v>1620</v>
      </c>
      <c r="C536">
        <f>'Round2.raw'!P42</f>
        <v>1.1549</v>
      </c>
      <c r="D536" t="s">
        <v>22</v>
      </c>
      <c r="E536" t="s">
        <v>27</v>
      </c>
    </row>
    <row r="537" spans="2:5" x14ac:dyDescent="0.2">
      <c r="B537">
        <v>1650</v>
      </c>
      <c r="C537">
        <f>'Round2.raw'!P43</f>
        <v>1.1773</v>
      </c>
      <c r="D537" t="s">
        <v>22</v>
      </c>
      <c r="E537" t="s">
        <v>27</v>
      </c>
    </row>
    <row r="538" spans="2:5" x14ac:dyDescent="0.2">
      <c r="B538">
        <v>1680</v>
      </c>
      <c r="C538">
        <f>'Round2.raw'!P44</f>
        <v>1.2119</v>
      </c>
      <c r="D538" t="s">
        <v>22</v>
      </c>
      <c r="E538" t="s">
        <v>27</v>
      </c>
    </row>
    <row r="539" spans="2:5" x14ac:dyDescent="0.2">
      <c r="B539">
        <v>1710</v>
      </c>
      <c r="C539">
        <f>'Round2.raw'!P45</f>
        <v>1.2379</v>
      </c>
      <c r="D539" t="s">
        <v>22</v>
      </c>
      <c r="E539" t="s">
        <v>27</v>
      </c>
    </row>
    <row r="540" spans="2:5" x14ac:dyDescent="0.2">
      <c r="B540">
        <v>1740</v>
      </c>
      <c r="C540">
        <f>'Round2.raw'!P46</f>
        <v>1.2639</v>
      </c>
      <c r="D540" t="s">
        <v>22</v>
      </c>
      <c r="E540" t="s">
        <v>27</v>
      </c>
    </row>
    <row r="541" spans="2:5" x14ac:dyDescent="0.2">
      <c r="B541">
        <v>1770</v>
      </c>
      <c r="C541">
        <f>'Round2.raw'!P47</f>
        <v>1.2869999999999999</v>
      </c>
      <c r="D541" t="s">
        <v>22</v>
      </c>
      <c r="E541" t="s">
        <v>27</v>
      </c>
    </row>
    <row r="542" spans="2:5" x14ac:dyDescent="0.2">
      <c r="B542">
        <v>1800</v>
      </c>
      <c r="C542">
        <f>'Round2.raw'!P48</f>
        <v>1.3099000000000001</v>
      </c>
      <c r="D542" t="s">
        <v>22</v>
      </c>
      <c r="E542" t="s">
        <v>27</v>
      </c>
    </row>
    <row r="543" spans="2:5" x14ac:dyDescent="0.2">
      <c r="B543">
        <v>1830</v>
      </c>
      <c r="C543">
        <f>'Round2.raw'!P49</f>
        <v>1.3351999999999999</v>
      </c>
      <c r="D543" t="s">
        <v>22</v>
      </c>
      <c r="E543" t="s">
        <v>27</v>
      </c>
    </row>
    <row r="544" spans="2:5" x14ac:dyDescent="0.2">
      <c r="B544">
        <v>1860</v>
      </c>
      <c r="C544">
        <f>'Round2.raw'!P50</f>
        <v>1.3595999999999999</v>
      </c>
      <c r="D544" t="s">
        <v>22</v>
      </c>
      <c r="E544" t="s">
        <v>27</v>
      </c>
    </row>
    <row r="545" spans="2:5" x14ac:dyDescent="0.2">
      <c r="B545">
        <v>1890</v>
      </c>
      <c r="C545">
        <f>'Round2.raw'!P51</f>
        <v>1.3784000000000001</v>
      </c>
      <c r="D545" t="s">
        <v>22</v>
      </c>
      <c r="E545" t="s">
        <v>27</v>
      </c>
    </row>
    <row r="546" spans="2:5" x14ac:dyDescent="0.2">
      <c r="B546">
        <v>1920</v>
      </c>
      <c r="C546">
        <f>'Round2.raw'!P52</f>
        <v>1.3992</v>
      </c>
      <c r="D546" t="s">
        <v>22</v>
      </c>
      <c r="E546" t="s">
        <v>27</v>
      </c>
    </row>
    <row r="547" spans="2:5" x14ac:dyDescent="0.2">
      <c r="B547">
        <v>1950</v>
      </c>
      <c r="C547">
        <f>'Round2.raw'!P53</f>
        <v>1.4173</v>
      </c>
      <c r="D547" t="s">
        <v>22</v>
      </c>
      <c r="E547" t="s">
        <v>27</v>
      </c>
    </row>
    <row r="548" spans="2:5" x14ac:dyDescent="0.2">
      <c r="B548">
        <v>1980</v>
      </c>
      <c r="C548">
        <f>'Round2.raw'!P54</f>
        <v>1.4354</v>
      </c>
      <c r="D548" t="s">
        <v>22</v>
      </c>
      <c r="E548" t="s">
        <v>27</v>
      </c>
    </row>
    <row r="549" spans="2:5" x14ac:dyDescent="0.2">
      <c r="B549">
        <v>2010</v>
      </c>
      <c r="C549">
        <f>'Round2.raw'!P55</f>
        <v>1.4547000000000001</v>
      </c>
      <c r="D549" t="s">
        <v>22</v>
      </c>
      <c r="E549" t="s">
        <v>27</v>
      </c>
    </row>
    <row r="550" spans="2:5" x14ac:dyDescent="0.2">
      <c r="B550">
        <v>2040</v>
      </c>
      <c r="C550">
        <f>'Round2.raw'!P56</f>
        <v>1.4614</v>
      </c>
      <c r="D550" t="s">
        <v>22</v>
      </c>
      <c r="E550" t="s">
        <v>27</v>
      </c>
    </row>
    <row r="551" spans="2:5" x14ac:dyDescent="0.2">
      <c r="B551">
        <v>2070</v>
      </c>
      <c r="C551">
        <f>'Round2.raw'!P57</f>
        <v>1.4872000000000001</v>
      </c>
      <c r="D551" t="s">
        <v>22</v>
      </c>
      <c r="E551" t="s">
        <v>27</v>
      </c>
    </row>
    <row r="552" spans="2:5" x14ac:dyDescent="0.2">
      <c r="B552">
        <v>0</v>
      </c>
      <c r="C552">
        <f>'Round2.raw'!Q3</f>
        <v>0.20899999999999999</v>
      </c>
      <c r="D552" t="s">
        <v>22</v>
      </c>
      <c r="E552" t="s">
        <v>27</v>
      </c>
    </row>
    <row r="553" spans="2:5" x14ac:dyDescent="0.2">
      <c r="B553">
        <v>60</v>
      </c>
      <c r="C553">
        <f>'Round2.raw'!Q4</f>
        <v>0.23</v>
      </c>
      <c r="D553" t="s">
        <v>22</v>
      </c>
      <c r="E553" t="s">
        <v>27</v>
      </c>
    </row>
    <row r="554" spans="2:5" x14ac:dyDescent="0.2">
      <c r="B554">
        <v>120</v>
      </c>
      <c r="C554">
        <f>'Round2.raw'!Q5</f>
        <v>0.2442</v>
      </c>
      <c r="D554" t="s">
        <v>22</v>
      </c>
      <c r="E554" t="s">
        <v>27</v>
      </c>
    </row>
    <row r="555" spans="2:5" x14ac:dyDescent="0.2">
      <c r="B555">
        <v>180</v>
      </c>
      <c r="C555">
        <f>'Round2.raw'!Q6</f>
        <v>0.25740000000000002</v>
      </c>
      <c r="D555" t="s">
        <v>22</v>
      </c>
      <c r="E555" t="s">
        <v>27</v>
      </c>
    </row>
    <row r="556" spans="2:5" x14ac:dyDescent="0.2">
      <c r="B556">
        <v>240</v>
      </c>
      <c r="C556">
        <f>'Round2.raw'!Q7</f>
        <v>0.27060000000000001</v>
      </c>
      <c r="D556" t="s">
        <v>22</v>
      </c>
      <c r="E556" t="s">
        <v>27</v>
      </c>
    </row>
    <row r="557" spans="2:5" x14ac:dyDescent="0.2">
      <c r="B557">
        <v>300</v>
      </c>
      <c r="C557">
        <f>'Round2.raw'!Q8</f>
        <v>0.28570000000000001</v>
      </c>
      <c r="D557" t="s">
        <v>22</v>
      </c>
      <c r="E557" t="s">
        <v>27</v>
      </c>
    </row>
    <row r="558" spans="2:5" x14ac:dyDescent="0.2">
      <c r="B558">
        <v>360</v>
      </c>
      <c r="C558">
        <f>'Round2.raw'!Q9</f>
        <v>0.30170000000000002</v>
      </c>
      <c r="D558" t="s">
        <v>22</v>
      </c>
      <c r="E558" t="s">
        <v>27</v>
      </c>
    </row>
    <row r="559" spans="2:5" x14ac:dyDescent="0.2">
      <c r="B559">
        <v>420</v>
      </c>
      <c r="C559">
        <f>'Round2.raw'!Q10</f>
        <v>0.31719999999999998</v>
      </c>
      <c r="D559" t="s">
        <v>22</v>
      </c>
      <c r="E559" t="s">
        <v>27</v>
      </c>
    </row>
    <row r="560" spans="2:5" x14ac:dyDescent="0.2">
      <c r="B560">
        <v>480</v>
      </c>
      <c r="C560">
        <f>'Round2.raw'!Q11</f>
        <v>0.33289999999999997</v>
      </c>
      <c r="D560" t="s">
        <v>22</v>
      </c>
      <c r="E560" t="s">
        <v>27</v>
      </c>
    </row>
    <row r="561" spans="2:5" x14ac:dyDescent="0.2">
      <c r="B561">
        <v>540</v>
      </c>
      <c r="C561">
        <f>'Round2.raw'!Q12</f>
        <v>0.35170000000000001</v>
      </c>
      <c r="D561" t="s">
        <v>22</v>
      </c>
      <c r="E561" t="s">
        <v>27</v>
      </c>
    </row>
    <row r="562" spans="2:5" x14ac:dyDescent="0.2">
      <c r="B562">
        <v>600</v>
      </c>
      <c r="C562">
        <f>'Round2.raw'!Q13</f>
        <v>0.37340000000000001</v>
      </c>
      <c r="D562" t="s">
        <v>22</v>
      </c>
      <c r="E562" t="s">
        <v>27</v>
      </c>
    </row>
    <row r="563" spans="2:5" x14ac:dyDescent="0.2">
      <c r="B563">
        <v>660</v>
      </c>
      <c r="C563">
        <f>'Round2.raw'!Q14</f>
        <v>0.38900000000000001</v>
      </c>
      <c r="D563" t="s">
        <v>22</v>
      </c>
      <c r="E563" t="s">
        <v>27</v>
      </c>
    </row>
    <row r="564" spans="2:5" x14ac:dyDescent="0.2">
      <c r="B564">
        <v>720</v>
      </c>
      <c r="C564">
        <f>'Round2.raw'!Q15</f>
        <v>0.4113</v>
      </c>
      <c r="D564" t="s">
        <v>22</v>
      </c>
      <c r="E564" t="s">
        <v>27</v>
      </c>
    </row>
    <row r="565" spans="2:5" x14ac:dyDescent="0.2">
      <c r="B565">
        <v>780</v>
      </c>
      <c r="C565">
        <f>'Round2.raw'!Q16</f>
        <v>0.43440000000000001</v>
      </c>
      <c r="D565" t="s">
        <v>22</v>
      </c>
      <c r="E565" t="s">
        <v>27</v>
      </c>
    </row>
    <row r="566" spans="2:5" x14ac:dyDescent="0.2">
      <c r="B566">
        <v>840</v>
      </c>
      <c r="C566">
        <f>'Round2.raw'!Q17</f>
        <v>0.4617</v>
      </c>
      <c r="D566" t="s">
        <v>22</v>
      </c>
      <c r="E566" t="s">
        <v>27</v>
      </c>
    </row>
    <row r="567" spans="2:5" x14ac:dyDescent="0.2">
      <c r="B567">
        <v>900</v>
      </c>
      <c r="C567">
        <f>'Round2.raw'!Q18</f>
        <v>0.49440000000000001</v>
      </c>
      <c r="D567" t="s">
        <v>22</v>
      </c>
      <c r="E567" t="s">
        <v>27</v>
      </c>
    </row>
    <row r="568" spans="2:5" x14ac:dyDescent="0.2">
      <c r="B568">
        <v>960</v>
      </c>
      <c r="C568">
        <f>'Round2.raw'!Q19</f>
        <v>0.53090000000000004</v>
      </c>
      <c r="D568" t="s">
        <v>22</v>
      </c>
      <c r="E568" t="s">
        <v>27</v>
      </c>
    </row>
    <row r="569" spans="2:5" x14ac:dyDescent="0.2">
      <c r="B569">
        <v>990</v>
      </c>
      <c r="C569">
        <f>'Round2.raw'!Q20</f>
        <v>0.64570000000000005</v>
      </c>
      <c r="D569" t="s">
        <v>22</v>
      </c>
      <c r="E569" t="s">
        <v>27</v>
      </c>
    </row>
    <row r="570" spans="2:5" x14ac:dyDescent="0.2">
      <c r="B570">
        <v>1020</v>
      </c>
      <c r="C570">
        <f>'Round2.raw'!Q21</f>
        <v>0.56059999999999999</v>
      </c>
      <c r="D570" t="s">
        <v>22</v>
      </c>
      <c r="E570" t="s">
        <v>27</v>
      </c>
    </row>
    <row r="571" spans="2:5" x14ac:dyDescent="0.2">
      <c r="B571">
        <v>1050</v>
      </c>
      <c r="C571">
        <f>'Round2.raw'!Q22</f>
        <v>0.58350000000000002</v>
      </c>
      <c r="D571" t="s">
        <v>22</v>
      </c>
      <c r="E571" t="s">
        <v>27</v>
      </c>
    </row>
    <row r="572" spans="2:5" x14ac:dyDescent="0.2">
      <c r="B572">
        <v>1080</v>
      </c>
      <c r="C572">
        <f>'Round2.raw'!Q23</f>
        <v>0.59989999999999999</v>
      </c>
      <c r="D572" t="s">
        <v>22</v>
      </c>
      <c r="E572" t="s">
        <v>27</v>
      </c>
    </row>
    <row r="573" spans="2:5" x14ac:dyDescent="0.2">
      <c r="B573">
        <v>1110</v>
      </c>
      <c r="C573">
        <f>'Round2.raw'!Q24</f>
        <v>0.6169</v>
      </c>
      <c r="D573" t="s">
        <v>22</v>
      </c>
      <c r="E573" t="s">
        <v>27</v>
      </c>
    </row>
    <row r="574" spans="2:5" x14ac:dyDescent="0.2">
      <c r="B574">
        <v>1140</v>
      </c>
      <c r="C574">
        <f>'Round2.raw'!Q25</f>
        <v>0.6381</v>
      </c>
      <c r="D574" t="s">
        <v>22</v>
      </c>
      <c r="E574" t="s">
        <v>27</v>
      </c>
    </row>
    <row r="575" spans="2:5" x14ac:dyDescent="0.2">
      <c r="B575">
        <v>1170</v>
      </c>
      <c r="C575">
        <f>'Round2.raw'!Q26</f>
        <v>0.65449999999999997</v>
      </c>
      <c r="D575" t="s">
        <v>22</v>
      </c>
      <c r="E575" t="s">
        <v>27</v>
      </c>
    </row>
    <row r="576" spans="2:5" x14ac:dyDescent="0.2">
      <c r="B576">
        <v>1200</v>
      </c>
      <c r="C576">
        <f>'Round2.raw'!Q27</f>
        <v>0.67300000000000004</v>
      </c>
      <c r="D576" t="s">
        <v>22</v>
      </c>
      <c r="E576" t="s">
        <v>27</v>
      </c>
    </row>
    <row r="577" spans="2:5" x14ac:dyDescent="0.2">
      <c r="B577">
        <v>1230</v>
      </c>
      <c r="C577">
        <f>'Round2.raw'!Q28</f>
        <v>0.69120000000000004</v>
      </c>
      <c r="D577" t="s">
        <v>22</v>
      </c>
      <c r="E577" t="s">
        <v>27</v>
      </c>
    </row>
    <row r="578" spans="2:5" x14ac:dyDescent="0.2">
      <c r="B578">
        <v>1260</v>
      </c>
      <c r="C578">
        <f>'Round2.raw'!Q29</f>
        <v>0.83199999999999996</v>
      </c>
      <c r="D578" t="s">
        <v>22</v>
      </c>
      <c r="E578" t="s">
        <v>27</v>
      </c>
    </row>
    <row r="579" spans="2:5" x14ac:dyDescent="0.2">
      <c r="B579">
        <v>1290</v>
      </c>
      <c r="C579">
        <f>'Round2.raw'!Q30</f>
        <v>0.73839999999999995</v>
      </c>
      <c r="D579" t="s">
        <v>22</v>
      </c>
      <c r="E579" t="s">
        <v>27</v>
      </c>
    </row>
    <row r="580" spans="2:5" x14ac:dyDescent="0.2">
      <c r="B580">
        <v>1320</v>
      </c>
      <c r="C580">
        <f>'Round2.raw'!Q31</f>
        <v>0.80049999999999999</v>
      </c>
      <c r="D580" t="s">
        <v>22</v>
      </c>
      <c r="E580" t="s">
        <v>27</v>
      </c>
    </row>
    <row r="581" spans="2:5" x14ac:dyDescent="0.2">
      <c r="B581">
        <v>1340</v>
      </c>
      <c r="C581">
        <f>'Round2.raw'!Q32</f>
        <v>0.91830000000000001</v>
      </c>
      <c r="D581" t="s">
        <v>22</v>
      </c>
      <c r="E581" t="s">
        <v>27</v>
      </c>
    </row>
    <row r="582" spans="2:5" x14ac:dyDescent="0.2">
      <c r="B582">
        <v>1370</v>
      </c>
      <c r="C582">
        <f>'Round2.raw'!Q33</f>
        <v>0.81210000000000004</v>
      </c>
      <c r="D582" t="s">
        <v>22</v>
      </c>
      <c r="E582" t="s">
        <v>27</v>
      </c>
    </row>
    <row r="583" spans="2:5" x14ac:dyDescent="0.2">
      <c r="B583">
        <v>1380</v>
      </c>
      <c r="C583">
        <f>'Round2.raw'!Q34</f>
        <v>0.87309999999999999</v>
      </c>
      <c r="D583" t="s">
        <v>22</v>
      </c>
      <c r="E583" t="s">
        <v>27</v>
      </c>
    </row>
    <row r="584" spans="2:5" x14ac:dyDescent="0.2">
      <c r="B584">
        <v>1410</v>
      </c>
      <c r="C584">
        <f>'Round2.raw'!Q35</f>
        <v>0.82410000000000005</v>
      </c>
      <c r="D584" t="s">
        <v>22</v>
      </c>
      <c r="E584" t="s">
        <v>27</v>
      </c>
    </row>
    <row r="585" spans="2:5" x14ac:dyDescent="0.2">
      <c r="B585">
        <v>1440</v>
      </c>
      <c r="C585">
        <f>'Round2.raw'!Q36</f>
        <v>0.84119999999999995</v>
      </c>
      <c r="D585" t="s">
        <v>22</v>
      </c>
      <c r="E585" t="s">
        <v>27</v>
      </c>
    </row>
    <row r="586" spans="2:5" x14ac:dyDescent="0.2">
      <c r="B586">
        <v>1470</v>
      </c>
      <c r="C586">
        <f>'Round2.raw'!Q37</f>
        <v>0.86160000000000003</v>
      </c>
      <c r="D586" t="s">
        <v>22</v>
      </c>
      <c r="E586" t="s">
        <v>27</v>
      </c>
    </row>
    <row r="587" spans="2:5" x14ac:dyDescent="0.2">
      <c r="B587">
        <v>1500</v>
      </c>
      <c r="C587">
        <f>'Round2.raw'!Q38</f>
        <v>0.87939999999999996</v>
      </c>
      <c r="D587" t="s">
        <v>22</v>
      </c>
      <c r="E587" t="s">
        <v>27</v>
      </c>
    </row>
    <row r="588" spans="2:5" x14ac:dyDescent="0.2">
      <c r="B588">
        <v>1530</v>
      </c>
      <c r="C588">
        <f>'Round2.raw'!Q39</f>
        <v>0.89680000000000004</v>
      </c>
      <c r="D588" t="s">
        <v>22</v>
      </c>
      <c r="E588" t="s">
        <v>27</v>
      </c>
    </row>
    <row r="589" spans="2:5" x14ac:dyDescent="0.2">
      <c r="B589">
        <v>1560</v>
      </c>
      <c r="C589">
        <f>'Round2.raw'!Q40</f>
        <v>0.91749999999999998</v>
      </c>
      <c r="D589" t="s">
        <v>22</v>
      </c>
      <c r="E589" t="s">
        <v>27</v>
      </c>
    </row>
    <row r="590" spans="2:5" x14ac:dyDescent="0.2">
      <c r="B590">
        <v>1590</v>
      </c>
      <c r="C590">
        <f>'Round2.raw'!Q41</f>
        <v>0.93779999999999997</v>
      </c>
      <c r="D590" t="s">
        <v>22</v>
      </c>
      <c r="E590" t="s">
        <v>27</v>
      </c>
    </row>
    <row r="591" spans="2:5" x14ac:dyDescent="0.2">
      <c r="B591">
        <v>1620</v>
      </c>
      <c r="C591">
        <f>'Round2.raw'!Q42</f>
        <v>0.95750000000000002</v>
      </c>
      <c r="D591" t="s">
        <v>22</v>
      </c>
      <c r="E591" t="s">
        <v>27</v>
      </c>
    </row>
    <row r="592" spans="2:5" x14ac:dyDescent="0.2">
      <c r="B592">
        <v>1650</v>
      </c>
      <c r="C592">
        <f>'Round2.raw'!Q43</f>
        <v>0.97819999999999996</v>
      </c>
      <c r="D592" t="s">
        <v>22</v>
      </c>
      <c r="E592" t="s">
        <v>27</v>
      </c>
    </row>
    <row r="593" spans="1:5" x14ac:dyDescent="0.2">
      <c r="B593">
        <v>1680</v>
      </c>
      <c r="C593">
        <f>'Round2.raw'!Q44</f>
        <v>0.99770000000000003</v>
      </c>
      <c r="D593" t="s">
        <v>22</v>
      </c>
      <c r="E593" t="s">
        <v>27</v>
      </c>
    </row>
    <row r="594" spans="1:5" x14ac:dyDescent="0.2">
      <c r="B594">
        <v>1710</v>
      </c>
      <c r="C594">
        <f>'Round2.raw'!Q45</f>
        <v>1.0176000000000001</v>
      </c>
      <c r="D594" t="s">
        <v>22</v>
      </c>
      <c r="E594" t="s">
        <v>27</v>
      </c>
    </row>
    <row r="595" spans="1:5" x14ac:dyDescent="0.2">
      <c r="B595">
        <v>1740</v>
      </c>
      <c r="C595">
        <f>'Round2.raw'!Q46</f>
        <v>1.0382</v>
      </c>
      <c r="D595" t="s">
        <v>22</v>
      </c>
      <c r="E595" t="s">
        <v>27</v>
      </c>
    </row>
    <row r="596" spans="1:5" x14ac:dyDescent="0.2">
      <c r="B596">
        <v>1770</v>
      </c>
      <c r="C596">
        <f>'Round2.raw'!Q47</f>
        <v>1.0562</v>
      </c>
      <c r="D596" t="s">
        <v>22</v>
      </c>
      <c r="E596" t="s">
        <v>27</v>
      </c>
    </row>
    <row r="597" spans="1:5" x14ac:dyDescent="0.2">
      <c r="B597">
        <v>1800</v>
      </c>
      <c r="C597">
        <f>'Round2.raw'!Q48</f>
        <v>1.0737000000000001</v>
      </c>
      <c r="D597" t="s">
        <v>22</v>
      </c>
      <c r="E597" t="s">
        <v>27</v>
      </c>
    </row>
    <row r="598" spans="1:5" x14ac:dyDescent="0.2">
      <c r="B598">
        <v>1830</v>
      </c>
      <c r="C598">
        <f>'Round2.raw'!Q49</f>
        <v>1.0928</v>
      </c>
      <c r="D598" t="s">
        <v>22</v>
      </c>
      <c r="E598" t="s">
        <v>27</v>
      </c>
    </row>
    <row r="599" spans="1:5" x14ac:dyDescent="0.2">
      <c r="B599">
        <v>1860</v>
      </c>
      <c r="C599">
        <f>'Round2.raw'!Q50</f>
        <v>1.1108</v>
      </c>
      <c r="D599" t="s">
        <v>22</v>
      </c>
      <c r="E599" t="s">
        <v>27</v>
      </c>
    </row>
    <row r="600" spans="1:5" x14ac:dyDescent="0.2">
      <c r="B600">
        <v>1890</v>
      </c>
      <c r="C600">
        <f>'Round2.raw'!Q51</f>
        <v>1.1271</v>
      </c>
      <c r="D600" t="s">
        <v>22</v>
      </c>
      <c r="E600" t="s">
        <v>27</v>
      </c>
    </row>
    <row r="601" spans="1:5" x14ac:dyDescent="0.2">
      <c r="B601">
        <v>1920</v>
      </c>
      <c r="C601">
        <f>'Round2.raw'!Q52</f>
        <v>1.1466000000000001</v>
      </c>
      <c r="D601" t="s">
        <v>22</v>
      </c>
      <c r="E601" t="s">
        <v>27</v>
      </c>
    </row>
    <row r="602" spans="1:5" x14ac:dyDescent="0.2">
      <c r="B602">
        <v>1950</v>
      </c>
      <c r="C602">
        <f>'Round2.raw'!Q53</f>
        <v>1.1627000000000001</v>
      </c>
      <c r="D602" t="s">
        <v>22</v>
      </c>
      <c r="E602" t="s">
        <v>27</v>
      </c>
    </row>
    <row r="603" spans="1:5" x14ac:dyDescent="0.2">
      <c r="B603">
        <v>1980</v>
      </c>
      <c r="C603">
        <f>'Round2.raw'!Q54</f>
        <v>1.1755</v>
      </c>
      <c r="D603" t="s">
        <v>22</v>
      </c>
      <c r="E603" t="s">
        <v>27</v>
      </c>
    </row>
    <row r="604" spans="1:5" x14ac:dyDescent="0.2">
      <c r="B604">
        <v>2010</v>
      </c>
      <c r="C604">
        <f>'Round2.raw'!Q55</f>
        <v>1.1918</v>
      </c>
      <c r="D604" t="s">
        <v>22</v>
      </c>
      <c r="E604" t="s">
        <v>27</v>
      </c>
    </row>
    <row r="605" spans="1:5" x14ac:dyDescent="0.2">
      <c r="B605">
        <v>2040</v>
      </c>
      <c r="C605">
        <f>'Round2.raw'!Q56</f>
        <v>1.208</v>
      </c>
      <c r="D605" t="s">
        <v>22</v>
      </c>
      <c r="E605" t="s">
        <v>27</v>
      </c>
    </row>
    <row r="606" spans="1:5" x14ac:dyDescent="0.2">
      <c r="B606">
        <v>2070</v>
      </c>
      <c r="C606">
        <f>'Round2.raw'!Q57</f>
        <v>1.2226999999999999</v>
      </c>
      <c r="D606" t="s">
        <v>22</v>
      </c>
      <c r="E606" t="s">
        <v>27</v>
      </c>
    </row>
    <row r="607" spans="1:5" x14ac:dyDescent="0.2">
      <c r="A607" t="s">
        <v>43</v>
      </c>
      <c r="B607">
        <v>0</v>
      </c>
      <c r="C607">
        <f>'Round2.raw'!R3</f>
        <v>0.2114</v>
      </c>
      <c r="D607" t="s">
        <v>22</v>
      </c>
      <c r="E607" t="s">
        <v>27</v>
      </c>
    </row>
    <row r="608" spans="1:5" x14ac:dyDescent="0.2">
      <c r="A608" t="s">
        <v>43</v>
      </c>
      <c r="B608">
        <v>60</v>
      </c>
      <c r="C608">
        <f>'Round2.raw'!R4</f>
        <v>0.23230000000000001</v>
      </c>
      <c r="D608" t="s">
        <v>22</v>
      </c>
      <c r="E608" t="s">
        <v>27</v>
      </c>
    </row>
    <row r="609" spans="1:5" x14ac:dyDescent="0.2">
      <c r="A609" t="s">
        <v>43</v>
      </c>
      <c r="B609">
        <v>120</v>
      </c>
      <c r="C609">
        <f>'Round2.raw'!R5</f>
        <v>0.25190000000000001</v>
      </c>
      <c r="D609" t="s">
        <v>22</v>
      </c>
      <c r="E609" t="s">
        <v>27</v>
      </c>
    </row>
    <row r="610" spans="1:5" x14ac:dyDescent="0.2">
      <c r="A610" t="s">
        <v>43</v>
      </c>
      <c r="B610">
        <v>180</v>
      </c>
      <c r="C610">
        <f>'Round2.raw'!R6</f>
        <v>0.27539999999999998</v>
      </c>
      <c r="D610" t="s">
        <v>22</v>
      </c>
      <c r="E610" t="s">
        <v>27</v>
      </c>
    </row>
    <row r="611" spans="1:5" x14ac:dyDescent="0.2">
      <c r="A611" t="s">
        <v>43</v>
      </c>
      <c r="B611">
        <v>240</v>
      </c>
      <c r="C611">
        <f>'Round2.raw'!R7</f>
        <v>0.28939999999999999</v>
      </c>
      <c r="D611" t="s">
        <v>22</v>
      </c>
      <c r="E611" t="s">
        <v>27</v>
      </c>
    </row>
    <row r="612" spans="1:5" x14ac:dyDescent="0.2">
      <c r="A612" t="s">
        <v>43</v>
      </c>
      <c r="B612">
        <v>300</v>
      </c>
      <c r="C612">
        <f>'Round2.raw'!R8</f>
        <v>0.30680000000000002</v>
      </c>
      <c r="D612" t="s">
        <v>22</v>
      </c>
      <c r="E612" t="s">
        <v>27</v>
      </c>
    </row>
    <row r="613" spans="1:5" x14ac:dyDescent="0.2">
      <c r="A613" t="s">
        <v>43</v>
      </c>
      <c r="B613">
        <v>360</v>
      </c>
      <c r="C613">
        <f>'Round2.raw'!R9</f>
        <v>0.3241</v>
      </c>
      <c r="D613" t="s">
        <v>22</v>
      </c>
      <c r="E613" t="s">
        <v>27</v>
      </c>
    </row>
    <row r="614" spans="1:5" x14ac:dyDescent="0.2">
      <c r="A614" t="s">
        <v>43</v>
      </c>
      <c r="B614">
        <v>420</v>
      </c>
      <c r="C614">
        <f>'Round2.raw'!R10</f>
        <v>0.3427</v>
      </c>
      <c r="D614" t="s">
        <v>22</v>
      </c>
      <c r="E614" t="s">
        <v>27</v>
      </c>
    </row>
    <row r="615" spans="1:5" x14ac:dyDescent="0.2">
      <c r="A615" t="s">
        <v>43</v>
      </c>
      <c r="B615">
        <v>480</v>
      </c>
      <c r="C615">
        <f>'Round2.raw'!R11</f>
        <v>0.36170000000000002</v>
      </c>
      <c r="D615" t="s">
        <v>22</v>
      </c>
      <c r="E615" t="s">
        <v>27</v>
      </c>
    </row>
    <row r="616" spans="1:5" x14ac:dyDescent="0.2">
      <c r="A616" t="s">
        <v>43</v>
      </c>
      <c r="B616">
        <v>540</v>
      </c>
      <c r="C616">
        <f>'Round2.raw'!R12</f>
        <v>0.38269999999999998</v>
      </c>
      <c r="D616" t="s">
        <v>22</v>
      </c>
      <c r="E616" t="s">
        <v>27</v>
      </c>
    </row>
    <row r="617" spans="1:5" x14ac:dyDescent="0.2">
      <c r="A617" t="s">
        <v>43</v>
      </c>
      <c r="B617">
        <v>600</v>
      </c>
      <c r="C617">
        <f>'Round2.raw'!R13</f>
        <v>0.40600000000000003</v>
      </c>
      <c r="D617" t="s">
        <v>22</v>
      </c>
      <c r="E617" t="s">
        <v>27</v>
      </c>
    </row>
    <row r="618" spans="1:5" x14ac:dyDescent="0.2">
      <c r="A618" t="s">
        <v>43</v>
      </c>
      <c r="B618">
        <v>660</v>
      </c>
      <c r="C618">
        <f>'Round2.raw'!R14</f>
        <v>0.42620000000000002</v>
      </c>
      <c r="D618" t="s">
        <v>22</v>
      </c>
      <c r="E618" t="s">
        <v>27</v>
      </c>
    </row>
    <row r="619" spans="1:5" x14ac:dyDescent="0.2">
      <c r="A619" t="s">
        <v>43</v>
      </c>
      <c r="B619">
        <v>720</v>
      </c>
      <c r="C619">
        <f>'Round2.raw'!R15</f>
        <v>0.44840000000000002</v>
      </c>
      <c r="D619" t="s">
        <v>22</v>
      </c>
      <c r="E619" t="s">
        <v>27</v>
      </c>
    </row>
    <row r="620" spans="1:5" x14ac:dyDescent="0.2">
      <c r="A620" t="s">
        <v>43</v>
      </c>
      <c r="B620">
        <v>780</v>
      </c>
      <c r="C620">
        <f>'Round2.raw'!R16</f>
        <v>0.47220000000000001</v>
      </c>
      <c r="D620" t="s">
        <v>22</v>
      </c>
      <c r="E620" t="s">
        <v>27</v>
      </c>
    </row>
    <row r="621" spans="1:5" x14ac:dyDescent="0.2">
      <c r="A621" t="s">
        <v>43</v>
      </c>
      <c r="B621">
        <v>840</v>
      </c>
      <c r="C621">
        <f>'Round2.raw'!R17</f>
        <v>0.49880000000000002</v>
      </c>
      <c r="D621" t="s">
        <v>22</v>
      </c>
      <c r="E621" t="s">
        <v>27</v>
      </c>
    </row>
    <row r="622" spans="1:5" x14ac:dyDescent="0.2">
      <c r="A622" t="s">
        <v>43</v>
      </c>
      <c r="B622">
        <v>900</v>
      </c>
      <c r="C622">
        <f>'Round2.raw'!R18</f>
        <v>0.52839999999999998</v>
      </c>
      <c r="D622" t="s">
        <v>22</v>
      </c>
      <c r="E622" t="s">
        <v>27</v>
      </c>
    </row>
    <row r="623" spans="1:5" x14ac:dyDescent="0.2">
      <c r="A623" t="s">
        <v>43</v>
      </c>
      <c r="B623">
        <v>960</v>
      </c>
      <c r="C623">
        <f>'Round2.raw'!R19</f>
        <v>0.56120000000000003</v>
      </c>
      <c r="D623" t="s">
        <v>22</v>
      </c>
      <c r="E623" t="s">
        <v>27</v>
      </c>
    </row>
    <row r="624" spans="1:5" x14ac:dyDescent="0.2">
      <c r="A624" t="s">
        <v>43</v>
      </c>
      <c r="B624">
        <v>990</v>
      </c>
      <c r="C624">
        <f>'Round2.raw'!R20</f>
        <v>0.6996</v>
      </c>
      <c r="D624" t="s">
        <v>22</v>
      </c>
      <c r="E624" t="s">
        <v>27</v>
      </c>
    </row>
    <row r="625" spans="1:5" x14ac:dyDescent="0.2">
      <c r="A625" t="s">
        <v>43</v>
      </c>
      <c r="B625">
        <v>1020</v>
      </c>
      <c r="C625">
        <f>'Round2.raw'!R21</f>
        <v>0.60960000000000003</v>
      </c>
      <c r="D625" t="s">
        <v>22</v>
      </c>
      <c r="E625" t="s">
        <v>27</v>
      </c>
    </row>
    <row r="626" spans="1:5" x14ac:dyDescent="0.2">
      <c r="A626" t="s">
        <v>43</v>
      </c>
      <c r="B626">
        <v>1050</v>
      </c>
      <c r="C626">
        <f>'Round2.raw'!R22</f>
        <v>0.62450000000000006</v>
      </c>
      <c r="D626" t="s">
        <v>22</v>
      </c>
      <c r="E626" t="s">
        <v>27</v>
      </c>
    </row>
    <row r="627" spans="1:5" x14ac:dyDescent="0.2">
      <c r="A627" t="s">
        <v>43</v>
      </c>
      <c r="B627">
        <v>1080</v>
      </c>
      <c r="C627">
        <f>'Round2.raw'!R23</f>
        <v>0.65429999999999999</v>
      </c>
      <c r="D627" t="s">
        <v>22</v>
      </c>
      <c r="E627" t="s">
        <v>27</v>
      </c>
    </row>
    <row r="628" spans="1:5" x14ac:dyDescent="0.2">
      <c r="A628" t="s">
        <v>43</v>
      </c>
      <c r="B628">
        <v>1110</v>
      </c>
      <c r="C628">
        <f>'Round2.raw'!R24</f>
        <v>0.6774</v>
      </c>
      <c r="D628" t="s">
        <v>22</v>
      </c>
      <c r="E628" t="s">
        <v>27</v>
      </c>
    </row>
    <row r="629" spans="1:5" x14ac:dyDescent="0.2">
      <c r="A629" t="s">
        <v>43</v>
      </c>
      <c r="B629">
        <v>1140</v>
      </c>
      <c r="C629">
        <f>'Round2.raw'!R25</f>
        <v>0.6966</v>
      </c>
      <c r="D629" t="s">
        <v>22</v>
      </c>
      <c r="E629" t="s">
        <v>27</v>
      </c>
    </row>
    <row r="630" spans="1:5" x14ac:dyDescent="0.2">
      <c r="A630" t="s">
        <v>43</v>
      </c>
      <c r="B630">
        <v>1170</v>
      </c>
      <c r="C630">
        <f>'Round2.raw'!R26</f>
        <v>0.71699999999999997</v>
      </c>
      <c r="D630" t="s">
        <v>22</v>
      </c>
      <c r="E630" t="s">
        <v>27</v>
      </c>
    </row>
    <row r="631" spans="1:5" x14ac:dyDescent="0.2">
      <c r="A631" t="s">
        <v>43</v>
      </c>
      <c r="B631">
        <v>1200</v>
      </c>
      <c r="C631">
        <f>'Round2.raw'!R27</f>
        <v>0.73640000000000005</v>
      </c>
      <c r="D631" t="s">
        <v>22</v>
      </c>
      <c r="E631" t="s">
        <v>27</v>
      </c>
    </row>
    <row r="632" spans="1:5" x14ac:dyDescent="0.2">
      <c r="A632" t="s">
        <v>43</v>
      </c>
      <c r="B632">
        <v>1230</v>
      </c>
      <c r="C632">
        <f>'Round2.raw'!R28</f>
        <v>0.75929999999999997</v>
      </c>
      <c r="D632" t="s">
        <v>22</v>
      </c>
      <c r="E632" t="s">
        <v>27</v>
      </c>
    </row>
    <row r="633" spans="1:5" x14ac:dyDescent="0.2">
      <c r="A633" t="s">
        <v>43</v>
      </c>
      <c r="B633">
        <v>1260</v>
      </c>
      <c r="C633">
        <f>'Round2.raw'!R29</f>
        <v>0.90159999999999996</v>
      </c>
      <c r="D633" t="s">
        <v>22</v>
      </c>
      <c r="E633" t="s">
        <v>27</v>
      </c>
    </row>
    <row r="634" spans="1:5" x14ac:dyDescent="0.2">
      <c r="A634" t="s">
        <v>43</v>
      </c>
      <c r="B634">
        <v>1290</v>
      </c>
      <c r="C634">
        <f>'Round2.raw'!R30</f>
        <v>0.80079999999999996</v>
      </c>
      <c r="D634" t="s">
        <v>22</v>
      </c>
      <c r="E634" t="s">
        <v>27</v>
      </c>
    </row>
    <row r="635" spans="1:5" x14ac:dyDescent="0.2">
      <c r="A635" t="s">
        <v>43</v>
      </c>
      <c r="B635">
        <v>1320</v>
      </c>
      <c r="C635">
        <f>'Round2.raw'!R31</f>
        <v>0.87109999999999999</v>
      </c>
      <c r="D635" t="s">
        <v>22</v>
      </c>
      <c r="E635" t="s">
        <v>27</v>
      </c>
    </row>
    <row r="636" spans="1:5" x14ac:dyDescent="0.2">
      <c r="A636" t="s">
        <v>43</v>
      </c>
      <c r="B636">
        <v>1340</v>
      </c>
      <c r="C636">
        <f>'Round2.raw'!R32</f>
        <v>0.99670000000000003</v>
      </c>
      <c r="D636" t="s">
        <v>22</v>
      </c>
      <c r="E636" t="s">
        <v>27</v>
      </c>
    </row>
    <row r="637" spans="1:5" x14ac:dyDescent="0.2">
      <c r="A637" t="s">
        <v>43</v>
      </c>
      <c r="B637">
        <v>1370</v>
      </c>
      <c r="C637">
        <f>'Round2.raw'!R33</f>
        <v>0.89890000000000003</v>
      </c>
      <c r="D637" t="s">
        <v>22</v>
      </c>
      <c r="E637" t="s">
        <v>27</v>
      </c>
    </row>
    <row r="638" spans="1:5" x14ac:dyDescent="0.2">
      <c r="A638" t="s">
        <v>43</v>
      </c>
      <c r="B638">
        <v>1380</v>
      </c>
      <c r="C638">
        <f>'Round2.raw'!R34</f>
        <v>0.95140000000000002</v>
      </c>
      <c r="D638" t="s">
        <v>22</v>
      </c>
      <c r="E638" t="s">
        <v>27</v>
      </c>
    </row>
    <row r="639" spans="1:5" x14ac:dyDescent="0.2">
      <c r="A639" t="s">
        <v>43</v>
      </c>
      <c r="B639">
        <v>1410</v>
      </c>
      <c r="C639">
        <f>'Round2.raw'!R35</f>
        <v>0.8901</v>
      </c>
      <c r="D639" t="s">
        <v>22</v>
      </c>
      <c r="E639" t="s">
        <v>27</v>
      </c>
    </row>
    <row r="640" spans="1:5" x14ac:dyDescent="0.2">
      <c r="A640" t="s">
        <v>43</v>
      </c>
      <c r="B640">
        <v>1440</v>
      </c>
      <c r="C640">
        <f>'Round2.raw'!R36</f>
        <v>0.90990000000000004</v>
      </c>
      <c r="D640" t="s">
        <v>22</v>
      </c>
      <c r="E640" t="s">
        <v>27</v>
      </c>
    </row>
    <row r="641" spans="1:5" x14ac:dyDescent="0.2">
      <c r="A641" t="s">
        <v>43</v>
      </c>
      <c r="B641">
        <v>1470</v>
      </c>
      <c r="C641">
        <f>'Round2.raw'!R37</f>
        <v>0.93189999999999995</v>
      </c>
      <c r="D641" t="s">
        <v>22</v>
      </c>
      <c r="E641" t="s">
        <v>27</v>
      </c>
    </row>
    <row r="642" spans="1:5" x14ac:dyDescent="0.2">
      <c r="A642" t="s">
        <v>43</v>
      </c>
      <c r="B642">
        <v>1500</v>
      </c>
      <c r="C642">
        <f>'Round2.raw'!R38</f>
        <v>0.95189999999999997</v>
      </c>
      <c r="D642" t="s">
        <v>22</v>
      </c>
      <c r="E642" t="s">
        <v>27</v>
      </c>
    </row>
    <row r="643" spans="1:5" x14ac:dyDescent="0.2">
      <c r="A643" t="s">
        <v>43</v>
      </c>
      <c r="B643">
        <v>1530</v>
      </c>
      <c r="C643">
        <f>'Round2.raw'!R39</f>
        <v>0.97299999999999998</v>
      </c>
      <c r="D643" t="s">
        <v>22</v>
      </c>
      <c r="E643" t="s">
        <v>27</v>
      </c>
    </row>
    <row r="644" spans="1:5" x14ac:dyDescent="0.2">
      <c r="A644" t="s">
        <v>43</v>
      </c>
      <c r="B644">
        <v>1560</v>
      </c>
      <c r="C644">
        <f>'Round2.raw'!R40</f>
        <v>0.99129999999999996</v>
      </c>
      <c r="D644" t="s">
        <v>22</v>
      </c>
      <c r="E644" t="s">
        <v>27</v>
      </c>
    </row>
    <row r="645" spans="1:5" x14ac:dyDescent="0.2">
      <c r="A645" t="s">
        <v>43</v>
      </c>
      <c r="B645">
        <v>1590</v>
      </c>
      <c r="C645">
        <f>'Round2.raw'!R41</f>
        <v>1.0076000000000001</v>
      </c>
      <c r="D645" t="s">
        <v>22</v>
      </c>
      <c r="E645" t="s">
        <v>27</v>
      </c>
    </row>
    <row r="646" spans="1:5" x14ac:dyDescent="0.2">
      <c r="A646" t="s">
        <v>43</v>
      </c>
      <c r="B646">
        <v>1620</v>
      </c>
      <c r="C646">
        <f>'Round2.raw'!R42</f>
        <v>1.0288999999999999</v>
      </c>
      <c r="D646" t="s">
        <v>22</v>
      </c>
      <c r="E646" t="s">
        <v>27</v>
      </c>
    </row>
    <row r="647" spans="1:5" x14ac:dyDescent="0.2">
      <c r="A647" t="s">
        <v>43</v>
      </c>
      <c r="B647">
        <v>1650</v>
      </c>
      <c r="C647">
        <f>'Round2.raw'!R43</f>
        <v>1.0476000000000001</v>
      </c>
      <c r="D647" t="s">
        <v>22</v>
      </c>
      <c r="E647" t="s">
        <v>27</v>
      </c>
    </row>
    <row r="648" spans="1:5" x14ac:dyDescent="0.2">
      <c r="A648" t="s">
        <v>43</v>
      </c>
      <c r="B648">
        <v>1680</v>
      </c>
      <c r="C648">
        <f>'Round2.raw'!R44</f>
        <v>1.0679000000000001</v>
      </c>
      <c r="D648" t="s">
        <v>22</v>
      </c>
      <c r="E648" t="s">
        <v>27</v>
      </c>
    </row>
    <row r="649" spans="1:5" x14ac:dyDescent="0.2">
      <c r="A649" t="s">
        <v>43</v>
      </c>
      <c r="B649">
        <v>1710</v>
      </c>
      <c r="C649">
        <f>'Round2.raw'!R45</f>
        <v>1.0847</v>
      </c>
      <c r="D649" t="s">
        <v>22</v>
      </c>
      <c r="E649" t="s">
        <v>27</v>
      </c>
    </row>
    <row r="650" spans="1:5" x14ac:dyDescent="0.2">
      <c r="A650" t="s">
        <v>43</v>
      </c>
      <c r="B650">
        <v>1740</v>
      </c>
      <c r="C650">
        <f>'Round2.raw'!R46</f>
        <v>1.1029</v>
      </c>
      <c r="D650" t="s">
        <v>22</v>
      </c>
      <c r="E650" t="s">
        <v>27</v>
      </c>
    </row>
    <row r="651" spans="1:5" x14ac:dyDescent="0.2">
      <c r="A651" t="s">
        <v>43</v>
      </c>
      <c r="B651">
        <v>1770</v>
      </c>
      <c r="C651">
        <f>'Round2.raw'!R47</f>
        <v>1.1215999999999999</v>
      </c>
      <c r="D651" t="s">
        <v>22</v>
      </c>
      <c r="E651" t="s">
        <v>27</v>
      </c>
    </row>
    <row r="652" spans="1:5" x14ac:dyDescent="0.2">
      <c r="A652" t="s">
        <v>43</v>
      </c>
      <c r="B652">
        <v>1800</v>
      </c>
      <c r="C652">
        <f>'Round2.raw'!R48</f>
        <v>1.1403000000000001</v>
      </c>
      <c r="D652" t="s">
        <v>22</v>
      </c>
      <c r="E652" t="s">
        <v>27</v>
      </c>
    </row>
    <row r="653" spans="1:5" x14ac:dyDescent="0.2">
      <c r="A653" t="s">
        <v>43</v>
      </c>
      <c r="B653">
        <v>1830</v>
      </c>
      <c r="C653">
        <f>'Round2.raw'!R49</f>
        <v>1.1574</v>
      </c>
      <c r="D653" t="s">
        <v>22</v>
      </c>
      <c r="E653" t="s">
        <v>27</v>
      </c>
    </row>
    <row r="654" spans="1:5" x14ac:dyDescent="0.2">
      <c r="A654" t="s">
        <v>43</v>
      </c>
      <c r="B654">
        <v>1860</v>
      </c>
      <c r="C654">
        <f>'Round2.raw'!R50</f>
        <v>1.1748000000000001</v>
      </c>
      <c r="D654" t="s">
        <v>22</v>
      </c>
      <c r="E654" t="s">
        <v>27</v>
      </c>
    </row>
    <row r="655" spans="1:5" x14ac:dyDescent="0.2">
      <c r="A655" t="s">
        <v>43</v>
      </c>
      <c r="B655">
        <v>1890</v>
      </c>
      <c r="C655">
        <f>'Round2.raw'!R51</f>
        <v>1.1915</v>
      </c>
      <c r="D655" t="s">
        <v>22</v>
      </c>
      <c r="E655" t="s">
        <v>27</v>
      </c>
    </row>
    <row r="656" spans="1:5" x14ac:dyDescent="0.2">
      <c r="A656" t="s">
        <v>43</v>
      </c>
      <c r="B656">
        <v>1920</v>
      </c>
      <c r="C656">
        <f>'Round2.raw'!R52</f>
        <v>1.2093</v>
      </c>
      <c r="D656" t="s">
        <v>22</v>
      </c>
      <c r="E656" t="s">
        <v>27</v>
      </c>
    </row>
    <row r="657" spans="1:5" x14ac:dyDescent="0.2">
      <c r="A657" t="s">
        <v>43</v>
      </c>
      <c r="B657">
        <v>1950</v>
      </c>
      <c r="C657">
        <f>'Round2.raw'!R53</f>
        <v>1.2235</v>
      </c>
      <c r="D657" t="s">
        <v>22</v>
      </c>
      <c r="E657" t="s">
        <v>27</v>
      </c>
    </row>
    <row r="658" spans="1:5" x14ac:dyDescent="0.2">
      <c r="A658" t="s">
        <v>43</v>
      </c>
      <c r="B658">
        <v>1980</v>
      </c>
      <c r="C658">
        <f>'Round2.raw'!R54</f>
        <v>1.2366999999999999</v>
      </c>
      <c r="D658" t="s">
        <v>22</v>
      </c>
      <c r="E658" t="s">
        <v>27</v>
      </c>
    </row>
    <row r="659" spans="1:5" x14ac:dyDescent="0.2">
      <c r="A659" t="s">
        <v>43</v>
      </c>
      <c r="B659">
        <v>2010</v>
      </c>
      <c r="C659">
        <f>'Round2.raw'!R55</f>
        <v>1.2531000000000001</v>
      </c>
      <c r="D659" t="s">
        <v>22</v>
      </c>
      <c r="E659" t="s">
        <v>27</v>
      </c>
    </row>
    <row r="660" spans="1:5" x14ac:dyDescent="0.2">
      <c r="A660" t="s">
        <v>43</v>
      </c>
      <c r="B660">
        <v>2040</v>
      </c>
      <c r="C660">
        <f>'Round2.raw'!R56</f>
        <v>1.2674000000000001</v>
      </c>
      <c r="D660" t="s">
        <v>22</v>
      </c>
      <c r="E660" t="s">
        <v>27</v>
      </c>
    </row>
    <row r="661" spans="1:5" x14ac:dyDescent="0.2">
      <c r="A661" t="s">
        <v>43</v>
      </c>
      <c r="B661">
        <v>2070</v>
      </c>
      <c r="C661">
        <f>'Round2.raw'!R57</f>
        <v>1.2854000000000001</v>
      </c>
      <c r="D661" t="s">
        <v>22</v>
      </c>
      <c r="E661" t="s">
        <v>27</v>
      </c>
    </row>
    <row r="662" spans="1:5" x14ac:dyDescent="0.2">
      <c r="A662" t="s">
        <v>45</v>
      </c>
      <c r="B662">
        <v>0</v>
      </c>
      <c r="C662">
        <f>'Round2.raw'!S3</f>
        <v>0.1439</v>
      </c>
      <c r="D662" t="s">
        <v>44</v>
      </c>
      <c r="E662" t="s">
        <v>27</v>
      </c>
    </row>
    <row r="663" spans="1:5" x14ac:dyDescent="0.2">
      <c r="A663" t="s">
        <v>45</v>
      </c>
      <c r="B663">
        <v>60</v>
      </c>
      <c r="C663">
        <f>'Round2.raw'!S4</f>
        <v>0.17199999999999999</v>
      </c>
      <c r="D663" t="s">
        <v>44</v>
      </c>
      <c r="E663" t="s">
        <v>27</v>
      </c>
    </row>
    <row r="664" spans="1:5" x14ac:dyDescent="0.2">
      <c r="A664" t="s">
        <v>45</v>
      </c>
      <c r="B664">
        <v>120</v>
      </c>
      <c r="C664">
        <f>'Round2.raw'!S5</f>
        <v>0.1817</v>
      </c>
      <c r="D664" t="s">
        <v>44</v>
      </c>
      <c r="E664" t="s">
        <v>27</v>
      </c>
    </row>
    <row r="665" spans="1:5" x14ac:dyDescent="0.2">
      <c r="A665" t="s">
        <v>45</v>
      </c>
      <c r="B665">
        <v>180</v>
      </c>
      <c r="C665">
        <f>'Round2.raw'!S6</f>
        <v>0.2049</v>
      </c>
      <c r="D665" t="s">
        <v>44</v>
      </c>
      <c r="E665" t="s">
        <v>27</v>
      </c>
    </row>
    <row r="666" spans="1:5" x14ac:dyDescent="0.2">
      <c r="A666" t="s">
        <v>45</v>
      </c>
      <c r="B666">
        <v>240</v>
      </c>
      <c r="C666">
        <f>'Round2.raw'!S7</f>
        <v>0.23630000000000001</v>
      </c>
      <c r="D666" t="s">
        <v>44</v>
      </c>
      <c r="E666" t="s">
        <v>27</v>
      </c>
    </row>
    <row r="667" spans="1:5" x14ac:dyDescent="0.2">
      <c r="A667" t="s">
        <v>45</v>
      </c>
      <c r="B667">
        <v>300</v>
      </c>
      <c r="C667">
        <f>'Round2.raw'!S8</f>
        <v>0.27429999999999999</v>
      </c>
      <c r="D667" t="s">
        <v>44</v>
      </c>
      <c r="E667" t="s">
        <v>27</v>
      </c>
    </row>
    <row r="668" spans="1:5" x14ac:dyDescent="0.2">
      <c r="A668" t="s">
        <v>45</v>
      </c>
      <c r="B668">
        <v>360</v>
      </c>
      <c r="C668">
        <f>'Round2.raw'!S9</f>
        <v>0.30969999999999998</v>
      </c>
      <c r="D668" t="s">
        <v>44</v>
      </c>
      <c r="E668" t="s">
        <v>27</v>
      </c>
    </row>
    <row r="669" spans="1:5" x14ac:dyDescent="0.2">
      <c r="A669" t="s">
        <v>45</v>
      </c>
      <c r="B669">
        <v>420</v>
      </c>
      <c r="C669">
        <f>'Round2.raw'!S10</f>
        <v>0.35849999999999999</v>
      </c>
      <c r="D669" t="s">
        <v>44</v>
      </c>
      <c r="E669" t="s">
        <v>27</v>
      </c>
    </row>
    <row r="670" spans="1:5" x14ac:dyDescent="0.2">
      <c r="A670" t="s">
        <v>45</v>
      </c>
      <c r="B670">
        <v>480</v>
      </c>
      <c r="C670">
        <f>'Round2.raw'!S11</f>
        <v>0.40029999999999999</v>
      </c>
      <c r="D670" t="s">
        <v>44</v>
      </c>
      <c r="E670" t="s">
        <v>27</v>
      </c>
    </row>
    <row r="671" spans="1:5" x14ac:dyDescent="0.2">
      <c r="A671" t="s">
        <v>45</v>
      </c>
      <c r="B671">
        <v>540</v>
      </c>
      <c r="C671">
        <f>'Round2.raw'!S12</f>
        <v>0.45340000000000003</v>
      </c>
      <c r="D671" t="s">
        <v>44</v>
      </c>
      <c r="E671" t="s">
        <v>27</v>
      </c>
    </row>
    <row r="672" spans="1:5" x14ac:dyDescent="0.2">
      <c r="A672" t="s">
        <v>45</v>
      </c>
      <c r="B672">
        <v>600</v>
      </c>
      <c r="C672">
        <f>'Round2.raw'!S13</f>
        <v>0.4859</v>
      </c>
      <c r="D672" t="s">
        <v>44</v>
      </c>
      <c r="E672" t="s">
        <v>27</v>
      </c>
    </row>
    <row r="673" spans="1:5" x14ac:dyDescent="0.2">
      <c r="A673" t="s">
        <v>45</v>
      </c>
      <c r="B673">
        <v>660</v>
      </c>
      <c r="C673">
        <f>'Round2.raw'!S14</f>
        <v>0.54039999999999999</v>
      </c>
      <c r="D673" t="s">
        <v>44</v>
      </c>
      <c r="E673" t="s">
        <v>27</v>
      </c>
    </row>
    <row r="674" spans="1:5" x14ac:dyDescent="0.2">
      <c r="A674" t="s">
        <v>45</v>
      </c>
      <c r="B674">
        <v>720</v>
      </c>
      <c r="C674">
        <f>'Round2.raw'!S15</f>
        <v>0.57340000000000002</v>
      </c>
      <c r="D674" t="s">
        <v>44</v>
      </c>
      <c r="E674" t="s">
        <v>27</v>
      </c>
    </row>
    <row r="675" spans="1:5" x14ac:dyDescent="0.2">
      <c r="A675" t="s">
        <v>45</v>
      </c>
      <c r="B675">
        <v>780</v>
      </c>
      <c r="C675">
        <f>'Round2.raw'!S16</f>
        <v>0.6129</v>
      </c>
      <c r="D675" t="s">
        <v>44</v>
      </c>
      <c r="E675" t="s">
        <v>27</v>
      </c>
    </row>
    <row r="676" spans="1:5" x14ac:dyDescent="0.2">
      <c r="A676" t="s">
        <v>45</v>
      </c>
      <c r="B676">
        <v>840</v>
      </c>
      <c r="C676">
        <f>'Round2.raw'!S17</f>
        <v>0.64839999999999998</v>
      </c>
      <c r="D676" t="s">
        <v>44</v>
      </c>
      <c r="E676" t="s">
        <v>27</v>
      </c>
    </row>
    <row r="677" spans="1:5" x14ac:dyDescent="0.2">
      <c r="A677" t="s">
        <v>45</v>
      </c>
      <c r="B677">
        <v>900</v>
      </c>
      <c r="C677">
        <f>'Round2.raw'!S18</f>
        <v>0.70989999999999998</v>
      </c>
      <c r="D677" t="s">
        <v>44</v>
      </c>
      <c r="E677" t="s">
        <v>27</v>
      </c>
    </row>
    <row r="678" spans="1:5" x14ac:dyDescent="0.2">
      <c r="A678" t="s">
        <v>45</v>
      </c>
      <c r="B678">
        <v>960</v>
      </c>
      <c r="C678">
        <f>'Round2.raw'!S19</f>
        <v>0.7429</v>
      </c>
      <c r="D678" t="s">
        <v>44</v>
      </c>
      <c r="E678" t="s">
        <v>27</v>
      </c>
    </row>
    <row r="679" spans="1:5" x14ac:dyDescent="0.2">
      <c r="A679" t="s">
        <v>45</v>
      </c>
      <c r="B679">
        <v>990</v>
      </c>
      <c r="C679">
        <f>'Round2.raw'!S20</f>
        <v>0.8095</v>
      </c>
      <c r="D679" t="s">
        <v>44</v>
      </c>
      <c r="E679" t="s">
        <v>27</v>
      </c>
    </row>
    <row r="680" spans="1:5" x14ac:dyDescent="0.2">
      <c r="A680" t="s">
        <v>45</v>
      </c>
      <c r="B680">
        <v>1020</v>
      </c>
      <c r="C680">
        <f>'Round2.raw'!S21</f>
        <v>0.74809999999999999</v>
      </c>
      <c r="D680" t="s">
        <v>44</v>
      </c>
      <c r="E680" t="s">
        <v>27</v>
      </c>
    </row>
    <row r="681" spans="1:5" x14ac:dyDescent="0.2">
      <c r="A681" t="s">
        <v>45</v>
      </c>
      <c r="B681">
        <v>1050</v>
      </c>
      <c r="C681">
        <f>'Round2.raw'!S22</f>
        <v>0.77459999999999996</v>
      </c>
      <c r="D681" t="s">
        <v>44</v>
      </c>
      <c r="E681" t="s">
        <v>27</v>
      </c>
    </row>
    <row r="682" spans="1:5" x14ac:dyDescent="0.2">
      <c r="A682" t="s">
        <v>45</v>
      </c>
      <c r="B682">
        <v>1080</v>
      </c>
      <c r="C682">
        <f>'Round2.raw'!S23</f>
        <v>0.7843</v>
      </c>
      <c r="D682" t="s">
        <v>44</v>
      </c>
      <c r="E682" t="s">
        <v>27</v>
      </c>
    </row>
    <row r="683" spans="1:5" x14ac:dyDescent="0.2">
      <c r="A683" t="s">
        <v>45</v>
      </c>
      <c r="B683">
        <v>1110</v>
      </c>
      <c r="C683">
        <f>'Round2.raw'!S24</f>
        <v>0.79600000000000004</v>
      </c>
      <c r="D683" t="s">
        <v>44</v>
      </c>
      <c r="E683" t="s">
        <v>27</v>
      </c>
    </row>
    <row r="684" spans="1:5" x14ac:dyDescent="0.2">
      <c r="A684" t="s">
        <v>45</v>
      </c>
      <c r="B684">
        <v>1140</v>
      </c>
      <c r="C684">
        <f>'Round2.raw'!S25</f>
        <v>0.8125</v>
      </c>
      <c r="D684" t="s">
        <v>44</v>
      </c>
      <c r="E684" t="s">
        <v>27</v>
      </c>
    </row>
    <row r="685" spans="1:5" x14ac:dyDescent="0.2">
      <c r="A685" t="s">
        <v>45</v>
      </c>
      <c r="B685">
        <v>1170</v>
      </c>
      <c r="C685">
        <f>'Round2.raw'!S26</f>
        <v>0.83599999999999997</v>
      </c>
      <c r="D685" t="s">
        <v>44</v>
      </c>
      <c r="E685" t="s">
        <v>27</v>
      </c>
    </row>
    <row r="686" spans="1:5" x14ac:dyDescent="0.2">
      <c r="A686" t="s">
        <v>45</v>
      </c>
      <c r="B686">
        <v>1200</v>
      </c>
      <c r="C686">
        <f>'Round2.raw'!S27</f>
        <v>0.86070000000000002</v>
      </c>
      <c r="D686" t="s">
        <v>44</v>
      </c>
      <c r="E686" t="s">
        <v>27</v>
      </c>
    </row>
    <row r="687" spans="1:5" x14ac:dyDescent="0.2">
      <c r="A687" t="s">
        <v>45</v>
      </c>
      <c r="B687">
        <v>1230</v>
      </c>
      <c r="C687">
        <f>'Round2.raw'!S28</f>
        <v>0.88239999999999996</v>
      </c>
      <c r="D687" t="s">
        <v>44</v>
      </c>
      <c r="E687" t="s">
        <v>27</v>
      </c>
    </row>
    <row r="688" spans="1:5" x14ac:dyDescent="0.2">
      <c r="A688" t="s">
        <v>45</v>
      </c>
      <c r="B688">
        <v>1260</v>
      </c>
      <c r="C688">
        <f>'Round2.raw'!S29</f>
        <v>0.995</v>
      </c>
      <c r="D688" t="s">
        <v>44</v>
      </c>
      <c r="E688" t="s">
        <v>27</v>
      </c>
    </row>
    <row r="689" spans="1:5" x14ac:dyDescent="0.2">
      <c r="A689" t="s">
        <v>45</v>
      </c>
      <c r="B689">
        <v>1290</v>
      </c>
      <c r="C689">
        <f>'Round2.raw'!S30</f>
        <v>0.93520000000000003</v>
      </c>
      <c r="D689" t="s">
        <v>44</v>
      </c>
      <c r="E689" t="s">
        <v>27</v>
      </c>
    </row>
    <row r="690" spans="1:5" x14ac:dyDescent="0.2">
      <c r="A690" t="s">
        <v>45</v>
      </c>
      <c r="B690">
        <v>1320</v>
      </c>
      <c r="C690">
        <f>'Round2.raw'!S31</f>
        <v>0.96899999999999997</v>
      </c>
      <c r="D690" t="s">
        <v>44</v>
      </c>
      <c r="E690" t="s">
        <v>27</v>
      </c>
    </row>
    <row r="691" spans="1:5" x14ac:dyDescent="0.2">
      <c r="A691" t="s">
        <v>45</v>
      </c>
      <c r="B691">
        <v>1340</v>
      </c>
      <c r="C691">
        <f>'Round2.raw'!S32</f>
        <v>1.0605</v>
      </c>
      <c r="D691" t="s">
        <v>44</v>
      </c>
      <c r="E691" t="s">
        <v>27</v>
      </c>
    </row>
    <row r="692" spans="1:5" x14ac:dyDescent="0.2">
      <c r="A692" t="s">
        <v>45</v>
      </c>
      <c r="B692">
        <v>1370</v>
      </c>
      <c r="C692">
        <f>'Round2.raw'!S33</f>
        <v>0.98719999999999997</v>
      </c>
      <c r="D692" t="s">
        <v>44</v>
      </c>
      <c r="E692" t="s">
        <v>27</v>
      </c>
    </row>
    <row r="693" spans="1:5" x14ac:dyDescent="0.2">
      <c r="A693" t="s">
        <v>45</v>
      </c>
      <c r="B693">
        <v>1380</v>
      </c>
      <c r="C693">
        <f>'Round2.raw'!S34</f>
        <v>1.0417000000000001</v>
      </c>
      <c r="D693" t="s">
        <v>44</v>
      </c>
      <c r="E693" t="s">
        <v>27</v>
      </c>
    </row>
    <row r="694" spans="1:5" x14ac:dyDescent="0.2">
      <c r="A694" t="s">
        <v>45</v>
      </c>
      <c r="B694">
        <v>1410</v>
      </c>
      <c r="C694">
        <f>'Round2.raw'!S35</f>
        <v>1.0349999999999999</v>
      </c>
      <c r="D694" t="s">
        <v>44</v>
      </c>
      <c r="E694" t="s">
        <v>27</v>
      </c>
    </row>
    <row r="695" spans="1:5" x14ac:dyDescent="0.2">
      <c r="A695" t="s">
        <v>45</v>
      </c>
      <c r="B695">
        <v>1440</v>
      </c>
      <c r="C695">
        <f>'Round2.raw'!S36</f>
        <v>1.0589</v>
      </c>
      <c r="D695" t="s">
        <v>44</v>
      </c>
      <c r="E695" t="s">
        <v>27</v>
      </c>
    </row>
    <row r="696" spans="1:5" x14ac:dyDescent="0.2">
      <c r="A696" t="s">
        <v>45</v>
      </c>
      <c r="B696">
        <v>1470</v>
      </c>
      <c r="C696">
        <f>'Round2.raw'!S37</f>
        <v>1.0762</v>
      </c>
      <c r="D696" t="s">
        <v>44</v>
      </c>
      <c r="E696" t="s">
        <v>27</v>
      </c>
    </row>
    <row r="697" spans="1:5" x14ac:dyDescent="0.2">
      <c r="A697" t="s">
        <v>45</v>
      </c>
      <c r="B697">
        <v>1500</v>
      </c>
      <c r="C697">
        <f>'Round2.raw'!S38</f>
        <v>1.1063000000000001</v>
      </c>
      <c r="D697" t="s">
        <v>44</v>
      </c>
      <c r="E697" t="s">
        <v>27</v>
      </c>
    </row>
    <row r="698" spans="1:5" x14ac:dyDescent="0.2">
      <c r="A698" t="s">
        <v>45</v>
      </c>
      <c r="B698">
        <v>1530</v>
      </c>
      <c r="C698">
        <f>'Round2.raw'!S39</f>
        <v>1.1358999999999999</v>
      </c>
      <c r="D698" t="s">
        <v>44</v>
      </c>
      <c r="E698" t="s">
        <v>27</v>
      </c>
    </row>
    <row r="699" spans="1:5" x14ac:dyDescent="0.2">
      <c r="A699" t="s">
        <v>45</v>
      </c>
      <c r="B699">
        <v>1560</v>
      </c>
      <c r="C699">
        <f>'Round2.raw'!S40</f>
        <v>1.1719999999999999</v>
      </c>
      <c r="D699" t="s">
        <v>44</v>
      </c>
      <c r="E699" t="s">
        <v>27</v>
      </c>
    </row>
    <row r="700" spans="1:5" x14ac:dyDescent="0.2">
      <c r="A700" t="s">
        <v>45</v>
      </c>
      <c r="B700">
        <v>1590</v>
      </c>
      <c r="C700">
        <f>'Round2.raw'!S41</f>
        <v>1.2059</v>
      </c>
      <c r="D700" t="s">
        <v>44</v>
      </c>
      <c r="E700" t="s">
        <v>27</v>
      </c>
    </row>
    <row r="701" spans="1:5" x14ac:dyDescent="0.2">
      <c r="A701" t="s">
        <v>45</v>
      </c>
      <c r="B701">
        <v>1620</v>
      </c>
      <c r="C701">
        <f>'Round2.raw'!S42</f>
        <v>1.2311000000000001</v>
      </c>
      <c r="D701" t="s">
        <v>44</v>
      </c>
      <c r="E701" t="s">
        <v>27</v>
      </c>
    </row>
    <row r="702" spans="1:5" x14ac:dyDescent="0.2">
      <c r="A702" t="s">
        <v>45</v>
      </c>
      <c r="B702">
        <v>1650</v>
      </c>
      <c r="C702">
        <f>'Round2.raw'!S43</f>
        <v>1.2548999999999999</v>
      </c>
      <c r="D702" t="s">
        <v>44</v>
      </c>
      <c r="E702" t="s">
        <v>27</v>
      </c>
    </row>
    <row r="703" spans="1:5" x14ac:dyDescent="0.2">
      <c r="A703" t="s">
        <v>45</v>
      </c>
      <c r="B703">
        <v>1680</v>
      </c>
      <c r="C703">
        <f>'Round2.raw'!S44</f>
        <v>1.3320000000000001</v>
      </c>
      <c r="D703" t="s">
        <v>44</v>
      </c>
      <c r="E703" t="s">
        <v>27</v>
      </c>
    </row>
    <row r="704" spans="1:5" x14ac:dyDescent="0.2">
      <c r="A704" t="s">
        <v>45</v>
      </c>
      <c r="B704">
        <v>1710</v>
      </c>
      <c r="C704">
        <f>'Round2.raw'!S45</f>
        <v>1.3613999999999999</v>
      </c>
      <c r="D704" t="s">
        <v>44</v>
      </c>
      <c r="E704" t="s">
        <v>27</v>
      </c>
    </row>
    <row r="705" spans="1:5" x14ac:dyDescent="0.2">
      <c r="A705" t="s">
        <v>45</v>
      </c>
      <c r="B705">
        <v>1740</v>
      </c>
      <c r="C705">
        <f>'Round2.raw'!S46</f>
        <v>1.3847</v>
      </c>
      <c r="D705" t="s">
        <v>44</v>
      </c>
      <c r="E705" t="s">
        <v>27</v>
      </c>
    </row>
    <row r="706" spans="1:5" x14ac:dyDescent="0.2">
      <c r="A706" t="s">
        <v>45</v>
      </c>
      <c r="B706">
        <v>1770</v>
      </c>
      <c r="C706">
        <f>'Round2.raw'!S47</f>
        <v>1.3978999999999999</v>
      </c>
      <c r="D706" t="s">
        <v>44</v>
      </c>
      <c r="E706" t="s">
        <v>27</v>
      </c>
    </row>
    <row r="707" spans="1:5" x14ac:dyDescent="0.2">
      <c r="A707" t="s">
        <v>45</v>
      </c>
      <c r="B707">
        <v>1800</v>
      </c>
      <c r="C707">
        <f>'Round2.raw'!S48</f>
        <v>1.4145000000000001</v>
      </c>
      <c r="D707" t="s">
        <v>44</v>
      </c>
      <c r="E707" t="s">
        <v>27</v>
      </c>
    </row>
    <row r="708" spans="1:5" x14ac:dyDescent="0.2">
      <c r="A708" t="s">
        <v>45</v>
      </c>
      <c r="B708">
        <v>1830</v>
      </c>
      <c r="C708">
        <f>'Round2.raw'!S49</f>
        <v>1.4346000000000001</v>
      </c>
      <c r="D708" t="s">
        <v>44</v>
      </c>
      <c r="E708" t="s">
        <v>27</v>
      </c>
    </row>
    <row r="709" spans="1:5" x14ac:dyDescent="0.2">
      <c r="A709" t="s">
        <v>45</v>
      </c>
      <c r="B709">
        <v>1860</v>
      </c>
      <c r="C709">
        <f>'Round2.raw'!S50</f>
        <v>1.4553</v>
      </c>
      <c r="D709" t="s">
        <v>44</v>
      </c>
      <c r="E709" t="s">
        <v>27</v>
      </c>
    </row>
    <row r="710" spans="1:5" x14ac:dyDescent="0.2">
      <c r="A710" t="s">
        <v>45</v>
      </c>
      <c r="B710">
        <v>1890</v>
      </c>
      <c r="C710">
        <f>'Round2.raw'!S51</f>
        <v>1.4755</v>
      </c>
      <c r="D710" t="s">
        <v>44</v>
      </c>
      <c r="E710" t="s">
        <v>27</v>
      </c>
    </row>
    <row r="711" spans="1:5" x14ac:dyDescent="0.2">
      <c r="A711" t="s">
        <v>45</v>
      </c>
      <c r="B711">
        <v>1920</v>
      </c>
      <c r="C711">
        <f>'Round2.raw'!S52</f>
        <v>1.4970000000000001</v>
      </c>
      <c r="D711" t="s">
        <v>44</v>
      </c>
      <c r="E711" t="s">
        <v>27</v>
      </c>
    </row>
    <row r="712" spans="1:5" x14ac:dyDescent="0.2">
      <c r="A712" t="s">
        <v>45</v>
      </c>
      <c r="B712">
        <v>1950</v>
      </c>
      <c r="C712">
        <f>'Round2.raw'!S53</f>
        <v>1.5155000000000001</v>
      </c>
      <c r="D712" t="s">
        <v>44</v>
      </c>
      <c r="E712" t="s">
        <v>27</v>
      </c>
    </row>
    <row r="713" spans="1:5" x14ac:dyDescent="0.2">
      <c r="A713" t="s">
        <v>45</v>
      </c>
      <c r="B713">
        <v>1980</v>
      </c>
      <c r="C713">
        <f>'Round2.raw'!S54</f>
        <v>1.4789000000000001</v>
      </c>
      <c r="D713" t="s">
        <v>44</v>
      </c>
      <c r="E713" t="s">
        <v>27</v>
      </c>
    </row>
    <row r="714" spans="1:5" x14ac:dyDescent="0.2">
      <c r="A714" t="s">
        <v>45</v>
      </c>
      <c r="B714">
        <v>2010</v>
      </c>
      <c r="C714">
        <f>'Round2.raw'!S55</f>
        <v>1.5281</v>
      </c>
      <c r="D714" t="s">
        <v>44</v>
      </c>
      <c r="E714" t="s">
        <v>27</v>
      </c>
    </row>
    <row r="715" spans="1:5" x14ac:dyDescent="0.2">
      <c r="A715" t="s">
        <v>45</v>
      </c>
      <c r="B715">
        <v>2040</v>
      </c>
      <c r="C715">
        <f>'Round2.raw'!S56</f>
        <v>1.575</v>
      </c>
      <c r="D715" t="s">
        <v>44</v>
      </c>
      <c r="E715" t="s">
        <v>27</v>
      </c>
    </row>
    <row r="716" spans="1:5" x14ac:dyDescent="0.2">
      <c r="A716" t="s">
        <v>45</v>
      </c>
      <c r="B716">
        <v>2070</v>
      </c>
      <c r="C716">
        <f>'Round2.raw'!S57</f>
        <v>1.6205000000000001</v>
      </c>
      <c r="D716" t="s">
        <v>44</v>
      </c>
      <c r="E716" t="s">
        <v>27</v>
      </c>
    </row>
    <row r="717" spans="1:5" x14ac:dyDescent="0.2">
      <c r="A717" t="s">
        <v>46</v>
      </c>
      <c r="B717">
        <v>0</v>
      </c>
      <c r="C717">
        <f>'Round2.raw'!T3</f>
        <v>0.13819999999999999</v>
      </c>
      <c r="D717" t="s">
        <v>44</v>
      </c>
      <c r="E717" t="s">
        <v>27</v>
      </c>
    </row>
    <row r="718" spans="1:5" x14ac:dyDescent="0.2">
      <c r="A718" t="s">
        <v>46</v>
      </c>
      <c r="B718">
        <v>60</v>
      </c>
      <c r="C718">
        <f>'Round2.raw'!T4</f>
        <v>0.15759999999999999</v>
      </c>
      <c r="D718" t="s">
        <v>44</v>
      </c>
      <c r="E718" t="s">
        <v>27</v>
      </c>
    </row>
    <row r="719" spans="1:5" x14ac:dyDescent="0.2">
      <c r="A719" t="s">
        <v>46</v>
      </c>
      <c r="B719">
        <v>120</v>
      </c>
      <c r="C719">
        <f>'Round2.raw'!T5</f>
        <v>0.192</v>
      </c>
      <c r="D719" t="s">
        <v>44</v>
      </c>
      <c r="E719" t="s">
        <v>27</v>
      </c>
    </row>
    <row r="720" spans="1:5" x14ac:dyDescent="0.2">
      <c r="A720" t="s">
        <v>46</v>
      </c>
      <c r="B720">
        <v>180</v>
      </c>
      <c r="C720">
        <f>'Round2.raw'!T6</f>
        <v>0.21840000000000001</v>
      </c>
      <c r="D720" t="s">
        <v>44</v>
      </c>
      <c r="E720" t="s">
        <v>27</v>
      </c>
    </row>
    <row r="721" spans="1:5" x14ac:dyDescent="0.2">
      <c r="A721" t="s">
        <v>46</v>
      </c>
      <c r="B721">
        <v>240</v>
      </c>
      <c r="C721">
        <f>'Round2.raw'!T7</f>
        <v>0.23300000000000001</v>
      </c>
      <c r="D721" t="s">
        <v>44</v>
      </c>
      <c r="E721" t="s">
        <v>27</v>
      </c>
    </row>
    <row r="722" spans="1:5" x14ac:dyDescent="0.2">
      <c r="A722" t="s">
        <v>46</v>
      </c>
      <c r="B722">
        <v>300</v>
      </c>
      <c r="C722">
        <f>'Round2.raw'!T8</f>
        <v>0.27629999999999999</v>
      </c>
      <c r="D722" t="s">
        <v>44</v>
      </c>
      <c r="E722" t="s">
        <v>27</v>
      </c>
    </row>
    <row r="723" spans="1:5" x14ac:dyDescent="0.2">
      <c r="A723" t="s">
        <v>46</v>
      </c>
      <c r="B723">
        <v>360</v>
      </c>
      <c r="C723">
        <f>'Round2.raw'!T9</f>
        <v>0.32990000000000003</v>
      </c>
      <c r="D723" t="s">
        <v>44</v>
      </c>
      <c r="E723" t="s">
        <v>27</v>
      </c>
    </row>
    <row r="724" spans="1:5" x14ac:dyDescent="0.2">
      <c r="A724" t="s">
        <v>46</v>
      </c>
      <c r="B724">
        <v>420</v>
      </c>
      <c r="C724">
        <f>'Round2.raw'!T10</f>
        <v>0.36919999999999997</v>
      </c>
      <c r="D724" t="s">
        <v>44</v>
      </c>
      <c r="E724" t="s">
        <v>27</v>
      </c>
    </row>
    <row r="725" spans="1:5" x14ac:dyDescent="0.2">
      <c r="A725" t="s">
        <v>46</v>
      </c>
      <c r="B725">
        <v>480</v>
      </c>
      <c r="C725">
        <f>'Round2.raw'!T11</f>
        <v>0.43090000000000001</v>
      </c>
      <c r="D725" t="s">
        <v>44</v>
      </c>
      <c r="E725" t="s">
        <v>27</v>
      </c>
    </row>
    <row r="726" spans="1:5" x14ac:dyDescent="0.2">
      <c r="A726" t="s">
        <v>46</v>
      </c>
      <c r="B726">
        <v>540</v>
      </c>
      <c r="C726">
        <f>'Round2.raw'!T12</f>
        <v>0.49330000000000002</v>
      </c>
      <c r="D726" t="s">
        <v>44</v>
      </c>
      <c r="E726" t="s">
        <v>27</v>
      </c>
    </row>
    <row r="727" spans="1:5" x14ac:dyDescent="0.2">
      <c r="A727" t="s">
        <v>46</v>
      </c>
      <c r="B727">
        <v>600</v>
      </c>
      <c r="C727">
        <f>'Round2.raw'!T13</f>
        <v>0.52859999999999996</v>
      </c>
      <c r="D727" t="s">
        <v>44</v>
      </c>
      <c r="E727" t="s">
        <v>27</v>
      </c>
    </row>
    <row r="728" spans="1:5" x14ac:dyDescent="0.2">
      <c r="A728" t="s">
        <v>46</v>
      </c>
      <c r="B728">
        <v>660</v>
      </c>
      <c r="C728">
        <f>'Round2.raw'!T14</f>
        <v>0.55810000000000004</v>
      </c>
      <c r="D728" t="s">
        <v>44</v>
      </c>
      <c r="E728" t="s">
        <v>27</v>
      </c>
    </row>
    <row r="729" spans="1:5" x14ac:dyDescent="0.2">
      <c r="A729" t="s">
        <v>46</v>
      </c>
      <c r="B729">
        <v>720</v>
      </c>
      <c r="C729">
        <f>'Round2.raw'!T15</f>
        <v>0.59570000000000001</v>
      </c>
      <c r="D729" t="s">
        <v>44</v>
      </c>
      <c r="E729" t="s">
        <v>27</v>
      </c>
    </row>
    <row r="730" spans="1:5" x14ac:dyDescent="0.2">
      <c r="A730" t="s">
        <v>46</v>
      </c>
      <c r="B730">
        <v>780</v>
      </c>
      <c r="C730">
        <f>'Round2.raw'!T16</f>
        <v>0.628</v>
      </c>
      <c r="D730" t="s">
        <v>44</v>
      </c>
      <c r="E730" t="s">
        <v>27</v>
      </c>
    </row>
    <row r="731" spans="1:5" x14ac:dyDescent="0.2">
      <c r="A731" t="s">
        <v>46</v>
      </c>
      <c r="B731">
        <v>840</v>
      </c>
      <c r="C731">
        <f>'Round2.raw'!T17</f>
        <v>0.6794</v>
      </c>
      <c r="D731" t="s">
        <v>44</v>
      </c>
      <c r="E731" t="s">
        <v>27</v>
      </c>
    </row>
    <row r="732" spans="1:5" x14ac:dyDescent="0.2">
      <c r="A732" t="s">
        <v>46</v>
      </c>
      <c r="B732">
        <v>900</v>
      </c>
      <c r="C732">
        <f>'Round2.raw'!T18</f>
        <v>0.72350000000000003</v>
      </c>
      <c r="D732" t="s">
        <v>44</v>
      </c>
      <c r="E732" t="s">
        <v>27</v>
      </c>
    </row>
    <row r="733" spans="1:5" x14ac:dyDescent="0.2">
      <c r="A733" t="s">
        <v>46</v>
      </c>
      <c r="B733">
        <v>960</v>
      </c>
      <c r="C733">
        <f>'Round2.raw'!T19</f>
        <v>0.75780000000000003</v>
      </c>
      <c r="D733" t="s">
        <v>44</v>
      </c>
      <c r="E733" t="s">
        <v>27</v>
      </c>
    </row>
    <row r="734" spans="1:5" x14ac:dyDescent="0.2">
      <c r="A734" t="s">
        <v>46</v>
      </c>
      <c r="B734">
        <v>990</v>
      </c>
      <c r="C734">
        <f>'Round2.raw'!T20</f>
        <v>0.81830000000000003</v>
      </c>
      <c r="D734" t="s">
        <v>44</v>
      </c>
      <c r="E734" t="s">
        <v>27</v>
      </c>
    </row>
    <row r="735" spans="1:5" x14ac:dyDescent="0.2">
      <c r="A735" t="s">
        <v>46</v>
      </c>
      <c r="B735">
        <v>1020</v>
      </c>
      <c r="C735">
        <f>'Round2.raw'!T21</f>
        <v>0.76419999999999999</v>
      </c>
      <c r="D735" t="s">
        <v>44</v>
      </c>
      <c r="E735" t="s">
        <v>27</v>
      </c>
    </row>
    <row r="736" spans="1:5" x14ac:dyDescent="0.2">
      <c r="A736" t="s">
        <v>46</v>
      </c>
      <c r="B736">
        <v>1050</v>
      </c>
      <c r="C736">
        <f>'Round2.raw'!T22</f>
        <v>0.81330000000000002</v>
      </c>
      <c r="D736" t="s">
        <v>44</v>
      </c>
      <c r="E736" t="s">
        <v>27</v>
      </c>
    </row>
    <row r="737" spans="1:5" x14ac:dyDescent="0.2">
      <c r="A737" t="s">
        <v>46</v>
      </c>
      <c r="B737">
        <v>1080</v>
      </c>
      <c r="C737">
        <f>'Round2.raw'!T23</f>
        <v>0.80579999999999996</v>
      </c>
      <c r="D737" t="s">
        <v>44</v>
      </c>
      <c r="E737" t="s">
        <v>27</v>
      </c>
    </row>
    <row r="738" spans="1:5" x14ac:dyDescent="0.2">
      <c r="A738" t="s">
        <v>46</v>
      </c>
      <c r="B738">
        <v>1110</v>
      </c>
      <c r="C738">
        <f>'Round2.raw'!T24</f>
        <v>0.84489999999999998</v>
      </c>
      <c r="D738" t="s">
        <v>44</v>
      </c>
      <c r="E738" t="s">
        <v>27</v>
      </c>
    </row>
    <row r="739" spans="1:5" x14ac:dyDescent="0.2">
      <c r="A739" t="s">
        <v>46</v>
      </c>
      <c r="B739">
        <v>1140</v>
      </c>
      <c r="C739">
        <f>'Round2.raw'!T25</f>
        <v>0.83440000000000003</v>
      </c>
      <c r="D739" t="s">
        <v>44</v>
      </c>
      <c r="E739" t="s">
        <v>27</v>
      </c>
    </row>
    <row r="740" spans="1:5" x14ac:dyDescent="0.2">
      <c r="A740" t="s">
        <v>46</v>
      </c>
      <c r="B740">
        <v>1170</v>
      </c>
      <c r="C740">
        <f>'Round2.raw'!T26</f>
        <v>0.87319999999999998</v>
      </c>
      <c r="D740" t="s">
        <v>44</v>
      </c>
      <c r="E740" t="s">
        <v>27</v>
      </c>
    </row>
    <row r="741" spans="1:5" x14ac:dyDescent="0.2">
      <c r="A741" t="s">
        <v>46</v>
      </c>
      <c r="B741">
        <v>1200</v>
      </c>
      <c r="C741">
        <f>'Round2.raw'!T27</f>
        <v>0.88519999999999999</v>
      </c>
      <c r="D741" t="s">
        <v>44</v>
      </c>
      <c r="E741" t="s">
        <v>27</v>
      </c>
    </row>
    <row r="742" spans="1:5" x14ac:dyDescent="0.2">
      <c r="A742" t="s">
        <v>46</v>
      </c>
      <c r="B742">
        <v>1230</v>
      </c>
      <c r="C742">
        <f>'Round2.raw'!T28</f>
        <v>0.9002</v>
      </c>
      <c r="D742" t="s">
        <v>44</v>
      </c>
      <c r="E742" t="s">
        <v>27</v>
      </c>
    </row>
    <row r="743" spans="1:5" x14ac:dyDescent="0.2">
      <c r="A743" t="s">
        <v>46</v>
      </c>
      <c r="B743">
        <v>1260</v>
      </c>
      <c r="C743">
        <f>'Round2.raw'!T29</f>
        <v>1.0041</v>
      </c>
      <c r="D743" t="s">
        <v>44</v>
      </c>
      <c r="E743" t="s">
        <v>27</v>
      </c>
    </row>
    <row r="744" spans="1:5" x14ac:dyDescent="0.2">
      <c r="A744" t="s">
        <v>46</v>
      </c>
      <c r="B744">
        <v>1290</v>
      </c>
      <c r="C744">
        <f>'Round2.raw'!T30</f>
        <v>0.93979999999999997</v>
      </c>
      <c r="D744" t="s">
        <v>44</v>
      </c>
      <c r="E744" t="s">
        <v>27</v>
      </c>
    </row>
    <row r="745" spans="1:5" x14ac:dyDescent="0.2">
      <c r="A745" t="s">
        <v>46</v>
      </c>
      <c r="B745">
        <v>1320</v>
      </c>
      <c r="C745">
        <f>'Round2.raw'!T31</f>
        <v>0.97050000000000003</v>
      </c>
      <c r="D745" t="s">
        <v>44</v>
      </c>
      <c r="E745" t="s">
        <v>27</v>
      </c>
    </row>
    <row r="746" spans="1:5" x14ac:dyDescent="0.2">
      <c r="A746" t="s">
        <v>46</v>
      </c>
      <c r="B746">
        <v>1340</v>
      </c>
      <c r="C746">
        <f>'Round2.raw'!T32</f>
        <v>1.0478000000000001</v>
      </c>
      <c r="D746" t="s">
        <v>44</v>
      </c>
      <c r="E746" t="s">
        <v>27</v>
      </c>
    </row>
    <row r="747" spans="1:5" x14ac:dyDescent="0.2">
      <c r="A747" t="s">
        <v>46</v>
      </c>
      <c r="B747">
        <v>1370</v>
      </c>
      <c r="C747">
        <f>'Round2.raw'!T33</f>
        <v>0.97140000000000004</v>
      </c>
      <c r="D747" t="s">
        <v>44</v>
      </c>
      <c r="E747" t="s">
        <v>27</v>
      </c>
    </row>
    <row r="748" spans="1:5" x14ac:dyDescent="0.2">
      <c r="A748" t="s">
        <v>46</v>
      </c>
      <c r="B748">
        <v>1380</v>
      </c>
      <c r="C748">
        <f>'Round2.raw'!T34</f>
        <v>1.0381</v>
      </c>
      <c r="D748" t="s">
        <v>44</v>
      </c>
      <c r="E748" t="s">
        <v>27</v>
      </c>
    </row>
    <row r="749" spans="1:5" x14ac:dyDescent="0.2">
      <c r="A749" t="s">
        <v>46</v>
      </c>
      <c r="B749">
        <v>1410</v>
      </c>
      <c r="C749">
        <f>'Round2.raw'!T35</f>
        <v>1.0253000000000001</v>
      </c>
      <c r="D749" t="s">
        <v>44</v>
      </c>
      <c r="E749" t="s">
        <v>27</v>
      </c>
    </row>
    <row r="750" spans="1:5" x14ac:dyDescent="0.2">
      <c r="A750" t="s">
        <v>46</v>
      </c>
      <c r="B750">
        <v>1440</v>
      </c>
      <c r="C750">
        <f>'Round2.raw'!T36</f>
        <v>1.0528</v>
      </c>
      <c r="D750" t="s">
        <v>44</v>
      </c>
      <c r="E750" t="s">
        <v>27</v>
      </c>
    </row>
    <row r="751" spans="1:5" x14ac:dyDescent="0.2">
      <c r="A751" t="s">
        <v>46</v>
      </c>
      <c r="B751">
        <v>1470</v>
      </c>
      <c r="C751">
        <f>'Round2.raw'!T37</f>
        <v>1.0532999999999999</v>
      </c>
      <c r="D751" t="s">
        <v>44</v>
      </c>
      <c r="E751" t="s">
        <v>27</v>
      </c>
    </row>
    <row r="752" spans="1:5" x14ac:dyDescent="0.2">
      <c r="A752" t="s">
        <v>46</v>
      </c>
      <c r="B752">
        <v>1500</v>
      </c>
      <c r="C752">
        <f>'Round2.raw'!T38</f>
        <v>1.0623</v>
      </c>
      <c r="D752" t="s">
        <v>44</v>
      </c>
      <c r="E752" t="s">
        <v>27</v>
      </c>
    </row>
    <row r="753" spans="1:5" x14ac:dyDescent="0.2">
      <c r="A753" t="s">
        <v>46</v>
      </c>
      <c r="B753">
        <v>1530</v>
      </c>
      <c r="C753">
        <f>'Round2.raw'!T39</f>
        <v>1.0762</v>
      </c>
      <c r="D753" t="s">
        <v>44</v>
      </c>
      <c r="E753" t="s">
        <v>27</v>
      </c>
    </row>
    <row r="754" spans="1:5" x14ac:dyDescent="0.2">
      <c r="A754" t="s">
        <v>46</v>
      </c>
      <c r="B754">
        <v>1560</v>
      </c>
      <c r="C754">
        <f>'Round2.raw'!T40</f>
        <v>1.1051</v>
      </c>
      <c r="D754" t="s">
        <v>44</v>
      </c>
      <c r="E754" t="s">
        <v>27</v>
      </c>
    </row>
    <row r="755" spans="1:5" x14ac:dyDescent="0.2">
      <c r="A755" t="s">
        <v>46</v>
      </c>
      <c r="B755">
        <v>1590</v>
      </c>
      <c r="C755">
        <f>'Round2.raw'!T41</f>
        <v>1.1271</v>
      </c>
      <c r="D755" t="s">
        <v>44</v>
      </c>
      <c r="E755" t="s">
        <v>27</v>
      </c>
    </row>
    <row r="756" spans="1:5" x14ac:dyDescent="0.2">
      <c r="A756" t="s">
        <v>46</v>
      </c>
      <c r="B756">
        <v>1620</v>
      </c>
      <c r="C756">
        <f>'Round2.raw'!T42</f>
        <v>1.1409</v>
      </c>
      <c r="D756" t="s">
        <v>44</v>
      </c>
      <c r="E756" t="s">
        <v>27</v>
      </c>
    </row>
    <row r="757" spans="1:5" x14ac:dyDescent="0.2">
      <c r="A757" t="s">
        <v>46</v>
      </c>
      <c r="B757">
        <v>1650</v>
      </c>
      <c r="C757">
        <f>'Round2.raw'!T43</f>
        <v>1.1679999999999999</v>
      </c>
      <c r="D757" t="s">
        <v>44</v>
      </c>
      <c r="E757" t="s">
        <v>27</v>
      </c>
    </row>
    <row r="758" spans="1:5" x14ac:dyDescent="0.2">
      <c r="A758" t="s">
        <v>46</v>
      </c>
      <c r="B758">
        <v>1680</v>
      </c>
      <c r="C758">
        <f>'Round2.raw'!T44</f>
        <v>1.1876</v>
      </c>
      <c r="D758" t="s">
        <v>44</v>
      </c>
      <c r="E758" t="s">
        <v>27</v>
      </c>
    </row>
    <row r="759" spans="1:5" x14ac:dyDescent="0.2">
      <c r="A759" t="s">
        <v>46</v>
      </c>
      <c r="B759">
        <v>1710</v>
      </c>
      <c r="C759">
        <f>'Round2.raw'!T45</f>
        <v>1.2141</v>
      </c>
      <c r="D759" t="s">
        <v>44</v>
      </c>
      <c r="E759" t="s">
        <v>27</v>
      </c>
    </row>
    <row r="760" spans="1:5" x14ac:dyDescent="0.2">
      <c r="A760" t="s">
        <v>46</v>
      </c>
      <c r="B760">
        <v>1740</v>
      </c>
      <c r="C760">
        <f>'Round2.raw'!T46</f>
        <v>1.2384999999999999</v>
      </c>
      <c r="D760" t="s">
        <v>44</v>
      </c>
      <c r="E760" t="s">
        <v>27</v>
      </c>
    </row>
    <row r="761" spans="1:5" x14ac:dyDescent="0.2">
      <c r="A761" t="s">
        <v>46</v>
      </c>
      <c r="B761">
        <v>1770</v>
      </c>
      <c r="C761">
        <f>'Round2.raw'!T47</f>
        <v>1.2569999999999999</v>
      </c>
      <c r="D761" t="s">
        <v>44</v>
      </c>
      <c r="E761" t="s">
        <v>27</v>
      </c>
    </row>
    <row r="762" spans="1:5" x14ac:dyDescent="0.2">
      <c r="A762" t="s">
        <v>46</v>
      </c>
      <c r="B762">
        <v>1800</v>
      </c>
      <c r="C762">
        <f>'Round2.raw'!T48</f>
        <v>1.272</v>
      </c>
      <c r="D762" t="s">
        <v>44</v>
      </c>
      <c r="E762" t="s">
        <v>27</v>
      </c>
    </row>
    <row r="763" spans="1:5" x14ac:dyDescent="0.2">
      <c r="A763" t="s">
        <v>46</v>
      </c>
      <c r="B763">
        <v>1830</v>
      </c>
      <c r="C763">
        <f>'Round2.raw'!T49</f>
        <v>1.2911999999999999</v>
      </c>
      <c r="D763" t="s">
        <v>44</v>
      </c>
      <c r="E763" t="s">
        <v>27</v>
      </c>
    </row>
    <row r="764" spans="1:5" x14ac:dyDescent="0.2">
      <c r="A764" t="s">
        <v>46</v>
      </c>
      <c r="B764">
        <v>1860</v>
      </c>
      <c r="C764">
        <f>'Round2.raw'!T50</f>
        <v>1.3172999999999999</v>
      </c>
      <c r="D764" t="s">
        <v>44</v>
      </c>
      <c r="E764" t="s">
        <v>27</v>
      </c>
    </row>
    <row r="765" spans="1:5" x14ac:dyDescent="0.2">
      <c r="A765" t="s">
        <v>46</v>
      </c>
      <c r="B765">
        <v>1890</v>
      </c>
      <c r="C765">
        <f>'Round2.raw'!T51</f>
        <v>1.3451</v>
      </c>
      <c r="D765" t="s">
        <v>44</v>
      </c>
      <c r="E765" t="s">
        <v>27</v>
      </c>
    </row>
    <row r="766" spans="1:5" x14ac:dyDescent="0.2">
      <c r="A766" t="s">
        <v>46</v>
      </c>
      <c r="B766">
        <v>1920</v>
      </c>
      <c r="C766">
        <f>'Round2.raw'!T52</f>
        <v>1.4508000000000001</v>
      </c>
      <c r="D766" t="s">
        <v>44</v>
      </c>
      <c r="E766" t="s">
        <v>27</v>
      </c>
    </row>
    <row r="767" spans="1:5" x14ac:dyDescent="0.2">
      <c r="A767" t="s">
        <v>46</v>
      </c>
      <c r="B767">
        <v>1950</v>
      </c>
      <c r="C767">
        <f>'Round2.raw'!T53</f>
        <v>1.4971000000000001</v>
      </c>
      <c r="D767" t="s">
        <v>44</v>
      </c>
      <c r="E767" t="s">
        <v>27</v>
      </c>
    </row>
    <row r="768" spans="1:5" x14ac:dyDescent="0.2">
      <c r="A768" t="s">
        <v>46</v>
      </c>
      <c r="B768">
        <v>1980</v>
      </c>
      <c r="C768">
        <f>'Round2.raw'!T54</f>
        <v>1.4766999999999999</v>
      </c>
      <c r="D768" t="s">
        <v>44</v>
      </c>
      <c r="E768" t="s">
        <v>27</v>
      </c>
    </row>
    <row r="769" spans="1:5" x14ac:dyDescent="0.2">
      <c r="A769" t="s">
        <v>46</v>
      </c>
      <c r="B769">
        <v>2010</v>
      </c>
      <c r="C769">
        <f>'Round2.raw'!T55</f>
        <v>1.5281</v>
      </c>
      <c r="D769" t="s">
        <v>44</v>
      </c>
      <c r="E769" t="s">
        <v>27</v>
      </c>
    </row>
    <row r="770" spans="1:5" x14ac:dyDescent="0.2">
      <c r="A770" t="s">
        <v>46</v>
      </c>
      <c r="B770">
        <v>2040</v>
      </c>
      <c r="C770">
        <f>'Round2.raw'!T56</f>
        <v>1.5454000000000001</v>
      </c>
      <c r="D770" t="s">
        <v>44</v>
      </c>
      <c r="E770" t="s">
        <v>27</v>
      </c>
    </row>
    <row r="771" spans="1:5" x14ac:dyDescent="0.2">
      <c r="A771" t="s">
        <v>46</v>
      </c>
      <c r="B771">
        <v>2070</v>
      </c>
      <c r="C771">
        <f>'Round2.raw'!T57</f>
        <v>1.5430999999999999</v>
      </c>
      <c r="D771" t="s">
        <v>44</v>
      </c>
      <c r="E771" t="s">
        <v>27</v>
      </c>
    </row>
    <row r="772" spans="1:5" x14ac:dyDescent="0.2">
      <c r="A772" t="s">
        <v>47</v>
      </c>
      <c r="B772">
        <v>0</v>
      </c>
      <c r="C772">
        <f>'Round2.raw'!U3</f>
        <v>0.156</v>
      </c>
      <c r="D772" t="s">
        <v>44</v>
      </c>
      <c r="E772" t="s">
        <v>27</v>
      </c>
    </row>
    <row r="773" spans="1:5" x14ac:dyDescent="0.2">
      <c r="A773" t="s">
        <v>47</v>
      </c>
      <c r="B773">
        <v>60</v>
      </c>
      <c r="C773">
        <f>'Round2.raw'!U4</f>
        <v>0.19220000000000001</v>
      </c>
      <c r="D773" t="s">
        <v>44</v>
      </c>
      <c r="E773" t="s">
        <v>27</v>
      </c>
    </row>
    <row r="774" spans="1:5" x14ac:dyDescent="0.2">
      <c r="A774" t="s">
        <v>47</v>
      </c>
      <c r="B774">
        <v>120</v>
      </c>
      <c r="C774">
        <f>'Round2.raw'!U5</f>
        <v>0.2268</v>
      </c>
      <c r="D774" t="s">
        <v>44</v>
      </c>
      <c r="E774" t="s">
        <v>27</v>
      </c>
    </row>
    <row r="775" spans="1:5" x14ac:dyDescent="0.2">
      <c r="A775" t="s">
        <v>47</v>
      </c>
      <c r="B775">
        <v>180</v>
      </c>
      <c r="C775">
        <f>'Round2.raw'!U6</f>
        <v>0.2591</v>
      </c>
      <c r="D775" t="s">
        <v>44</v>
      </c>
      <c r="E775" t="s">
        <v>27</v>
      </c>
    </row>
    <row r="776" spans="1:5" x14ac:dyDescent="0.2">
      <c r="A776" t="s">
        <v>47</v>
      </c>
      <c r="B776">
        <v>240</v>
      </c>
      <c r="C776">
        <f>'Round2.raw'!U7</f>
        <v>0.30549999999999999</v>
      </c>
      <c r="D776" t="s">
        <v>44</v>
      </c>
      <c r="E776" t="s">
        <v>27</v>
      </c>
    </row>
    <row r="777" spans="1:5" x14ac:dyDescent="0.2">
      <c r="A777" t="s">
        <v>47</v>
      </c>
      <c r="B777">
        <v>300</v>
      </c>
      <c r="C777">
        <f>'Round2.raw'!U8</f>
        <v>0.35420000000000001</v>
      </c>
      <c r="D777" t="s">
        <v>44</v>
      </c>
      <c r="E777" t="s">
        <v>27</v>
      </c>
    </row>
    <row r="778" spans="1:5" x14ac:dyDescent="0.2">
      <c r="A778" t="s">
        <v>47</v>
      </c>
      <c r="B778">
        <v>360</v>
      </c>
      <c r="C778">
        <f>'Round2.raw'!U9</f>
        <v>0.3836</v>
      </c>
      <c r="D778" t="s">
        <v>44</v>
      </c>
      <c r="E778" t="s">
        <v>27</v>
      </c>
    </row>
    <row r="779" spans="1:5" x14ac:dyDescent="0.2">
      <c r="A779" t="s">
        <v>47</v>
      </c>
      <c r="B779">
        <v>420</v>
      </c>
      <c r="C779">
        <f>'Round2.raw'!U10</f>
        <v>0.45610000000000001</v>
      </c>
      <c r="D779" t="s">
        <v>44</v>
      </c>
      <c r="E779" t="s">
        <v>27</v>
      </c>
    </row>
    <row r="780" spans="1:5" x14ac:dyDescent="0.2">
      <c r="A780" t="s">
        <v>47</v>
      </c>
      <c r="B780">
        <v>480</v>
      </c>
      <c r="C780">
        <f>'Round2.raw'!U11</f>
        <v>0.51549999999999996</v>
      </c>
      <c r="D780" t="s">
        <v>44</v>
      </c>
      <c r="E780" t="s">
        <v>27</v>
      </c>
    </row>
    <row r="781" spans="1:5" x14ac:dyDescent="0.2">
      <c r="A781" t="s">
        <v>47</v>
      </c>
      <c r="B781">
        <v>540</v>
      </c>
      <c r="C781">
        <f>'Round2.raw'!U12</f>
        <v>0.57120000000000004</v>
      </c>
      <c r="D781" t="s">
        <v>44</v>
      </c>
      <c r="E781" t="s">
        <v>27</v>
      </c>
    </row>
    <row r="782" spans="1:5" x14ac:dyDescent="0.2">
      <c r="A782" t="s">
        <v>47</v>
      </c>
      <c r="B782">
        <v>600</v>
      </c>
      <c r="C782">
        <f>'Round2.raw'!U13</f>
        <v>0.6391</v>
      </c>
      <c r="D782" t="s">
        <v>44</v>
      </c>
      <c r="E782" t="s">
        <v>27</v>
      </c>
    </row>
    <row r="783" spans="1:5" x14ac:dyDescent="0.2">
      <c r="A783" t="s">
        <v>47</v>
      </c>
      <c r="B783">
        <v>660</v>
      </c>
      <c r="C783">
        <f>'Round2.raw'!U14</f>
        <v>0.69359999999999999</v>
      </c>
      <c r="D783" t="s">
        <v>44</v>
      </c>
      <c r="E783" t="s">
        <v>27</v>
      </c>
    </row>
    <row r="784" spans="1:5" x14ac:dyDescent="0.2">
      <c r="A784" t="s">
        <v>47</v>
      </c>
      <c r="B784">
        <v>720</v>
      </c>
      <c r="C784">
        <f>'Round2.raw'!U15</f>
        <v>0.73150000000000004</v>
      </c>
      <c r="D784" t="s">
        <v>44</v>
      </c>
      <c r="E784" t="s">
        <v>27</v>
      </c>
    </row>
    <row r="785" spans="1:5" x14ac:dyDescent="0.2">
      <c r="A785" t="s">
        <v>47</v>
      </c>
      <c r="B785">
        <v>780</v>
      </c>
      <c r="C785">
        <f>'Round2.raw'!U16</f>
        <v>0.78700000000000003</v>
      </c>
      <c r="D785" t="s">
        <v>44</v>
      </c>
      <c r="E785" t="s">
        <v>27</v>
      </c>
    </row>
    <row r="786" spans="1:5" x14ac:dyDescent="0.2">
      <c r="A786" t="s">
        <v>47</v>
      </c>
      <c r="B786">
        <v>840</v>
      </c>
      <c r="C786">
        <f>'Round2.raw'!U17</f>
        <v>0.83130000000000004</v>
      </c>
      <c r="D786" t="s">
        <v>44</v>
      </c>
      <c r="E786" t="s">
        <v>27</v>
      </c>
    </row>
    <row r="787" spans="1:5" x14ac:dyDescent="0.2">
      <c r="A787" t="s">
        <v>47</v>
      </c>
      <c r="B787">
        <v>900</v>
      </c>
      <c r="C787">
        <f>'Round2.raw'!U18</f>
        <v>0.88019999999999998</v>
      </c>
      <c r="D787" t="s">
        <v>44</v>
      </c>
      <c r="E787" t="s">
        <v>27</v>
      </c>
    </row>
    <row r="788" spans="1:5" x14ac:dyDescent="0.2">
      <c r="A788" t="s">
        <v>47</v>
      </c>
      <c r="B788">
        <v>960</v>
      </c>
      <c r="C788">
        <f>'Round2.raw'!U19</f>
        <v>0.91420000000000001</v>
      </c>
      <c r="D788" t="s">
        <v>44</v>
      </c>
      <c r="E788" t="s">
        <v>27</v>
      </c>
    </row>
    <row r="789" spans="1:5" x14ac:dyDescent="0.2">
      <c r="A789" t="s">
        <v>47</v>
      </c>
      <c r="B789">
        <v>990</v>
      </c>
      <c r="C789">
        <f>'Round2.raw'!U20</f>
        <v>0.90129999999999999</v>
      </c>
      <c r="D789" t="s">
        <v>44</v>
      </c>
      <c r="E789" t="s">
        <v>27</v>
      </c>
    </row>
    <row r="790" spans="1:5" x14ac:dyDescent="0.2">
      <c r="A790" t="s">
        <v>47</v>
      </c>
      <c r="B790">
        <v>1020</v>
      </c>
      <c r="C790">
        <f>'Round2.raw'!U21</f>
        <v>0.9244</v>
      </c>
      <c r="D790" t="s">
        <v>44</v>
      </c>
      <c r="E790" t="s">
        <v>27</v>
      </c>
    </row>
    <row r="791" spans="1:5" x14ac:dyDescent="0.2">
      <c r="A791" t="s">
        <v>47</v>
      </c>
      <c r="B791">
        <v>1050</v>
      </c>
      <c r="C791">
        <f>'Round2.raw'!U22</f>
        <v>0.95130000000000003</v>
      </c>
      <c r="D791" t="s">
        <v>44</v>
      </c>
      <c r="E791" t="s">
        <v>27</v>
      </c>
    </row>
    <row r="792" spans="1:5" x14ac:dyDescent="0.2">
      <c r="A792" t="s">
        <v>47</v>
      </c>
      <c r="B792">
        <v>1080</v>
      </c>
      <c r="C792">
        <f>'Round2.raw'!U23</f>
        <v>0.96919999999999995</v>
      </c>
      <c r="D792" t="s">
        <v>44</v>
      </c>
      <c r="E792" t="s">
        <v>27</v>
      </c>
    </row>
    <row r="793" spans="1:5" x14ac:dyDescent="0.2">
      <c r="A793" t="s">
        <v>47</v>
      </c>
      <c r="B793">
        <v>1110</v>
      </c>
      <c r="C793">
        <f>'Round2.raw'!U24</f>
        <v>0.99629999999999996</v>
      </c>
      <c r="D793" t="s">
        <v>44</v>
      </c>
      <c r="E793" t="s">
        <v>27</v>
      </c>
    </row>
    <row r="794" spans="1:5" x14ac:dyDescent="0.2">
      <c r="A794" t="s">
        <v>47</v>
      </c>
      <c r="B794">
        <v>1140</v>
      </c>
      <c r="C794">
        <f>'Round2.raw'!U25</f>
        <v>1.0146999999999999</v>
      </c>
      <c r="D794" t="s">
        <v>44</v>
      </c>
      <c r="E794" t="s">
        <v>27</v>
      </c>
    </row>
    <row r="795" spans="1:5" x14ac:dyDescent="0.2">
      <c r="A795" t="s">
        <v>47</v>
      </c>
      <c r="B795">
        <v>1170</v>
      </c>
      <c r="C795">
        <f>'Round2.raw'!U26</f>
        <v>1.0378000000000001</v>
      </c>
      <c r="D795" t="s">
        <v>44</v>
      </c>
      <c r="E795" t="s">
        <v>27</v>
      </c>
    </row>
    <row r="796" spans="1:5" x14ac:dyDescent="0.2">
      <c r="A796" t="s">
        <v>47</v>
      </c>
      <c r="B796">
        <v>1200</v>
      </c>
      <c r="C796">
        <f>'Round2.raw'!U27</f>
        <v>1.044</v>
      </c>
      <c r="D796" t="s">
        <v>44</v>
      </c>
      <c r="E796" t="s">
        <v>27</v>
      </c>
    </row>
    <row r="797" spans="1:5" x14ac:dyDescent="0.2">
      <c r="A797" t="s">
        <v>47</v>
      </c>
      <c r="B797">
        <v>1230</v>
      </c>
      <c r="C797">
        <f>'Round2.raw'!U28</f>
        <v>1.0679000000000001</v>
      </c>
      <c r="D797" t="s">
        <v>44</v>
      </c>
      <c r="E797" t="s">
        <v>27</v>
      </c>
    </row>
    <row r="798" spans="1:5" x14ac:dyDescent="0.2">
      <c r="A798" t="s">
        <v>47</v>
      </c>
      <c r="B798">
        <v>1260</v>
      </c>
      <c r="C798">
        <f>'Round2.raw'!U29</f>
        <v>1.0771999999999999</v>
      </c>
      <c r="D798" t="s">
        <v>44</v>
      </c>
      <c r="E798" t="s">
        <v>27</v>
      </c>
    </row>
    <row r="799" spans="1:5" x14ac:dyDescent="0.2">
      <c r="A799" t="s">
        <v>47</v>
      </c>
      <c r="B799">
        <v>1290</v>
      </c>
      <c r="C799">
        <f>'Round2.raw'!U30</f>
        <v>1.0941000000000001</v>
      </c>
      <c r="D799" t="s">
        <v>44</v>
      </c>
      <c r="E799" t="s">
        <v>27</v>
      </c>
    </row>
    <row r="800" spans="1:5" x14ac:dyDescent="0.2">
      <c r="A800" t="s">
        <v>47</v>
      </c>
      <c r="B800">
        <v>1320</v>
      </c>
      <c r="C800">
        <f>'Round2.raw'!U31</f>
        <v>1.0981000000000001</v>
      </c>
      <c r="D800" t="s">
        <v>44</v>
      </c>
      <c r="E800" t="s">
        <v>27</v>
      </c>
    </row>
    <row r="801" spans="1:5" x14ac:dyDescent="0.2">
      <c r="A801" t="s">
        <v>47</v>
      </c>
      <c r="B801">
        <v>1340</v>
      </c>
      <c r="C801">
        <f>'Round2.raw'!U32</f>
        <v>1.1103000000000001</v>
      </c>
      <c r="D801" t="s">
        <v>44</v>
      </c>
      <c r="E801" t="s">
        <v>27</v>
      </c>
    </row>
    <row r="802" spans="1:5" x14ac:dyDescent="0.2">
      <c r="A802" t="s">
        <v>47</v>
      </c>
      <c r="B802">
        <v>1370</v>
      </c>
      <c r="C802">
        <f>'Round2.raw'!U33</f>
        <v>1.1099000000000001</v>
      </c>
      <c r="D802" t="s">
        <v>44</v>
      </c>
      <c r="E802" t="s">
        <v>27</v>
      </c>
    </row>
    <row r="803" spans="1:5" x14ac:dyDescent="0.2">
      <c r="A803" t="s">
        <v>47</v>
      </c>
      <c r="B803">
        <v>1380</v>
      </c>
      <c r="C803">
        <f>'Round2.raw'!U34</f>
        <v>1.1324000000000001</v>
      </c>
      <c r="D803" t="s">
        <v>44</v>
      </c>
      <c r="E803" t="s">
        <v>27</v>
      </c>
    </row>
    <row r="804" spans="1:5" x14ac:dyDescent="0.2">
      <c r="A804" t="s">
        <v>47</v>
      </c>
      <c r="B804">
        <v>1410</v>
      </c>
      <c r="C804">
        <f>'Round2.raw'!U35</f>
        <v>1.1637</v>
      </c>
      <c r="D804" t="s">
        <v>44</v>
      </c>
      <c r="E804" t="s">
        <v>27</v>
      </c>
    </row>
    <row r="805" spans="1:5" x14ac:dyDescent="0.2">
      <c r="A805" t="s">
        <v>47</v>
      </c>
      <c r="B805">
        <v>1440</v>
      </c>
      <c r="C805">
        <f>'Round2.raw'!U36</f>
        <v>1.1771</v>
      </c>
      <c r="D805" t="s">
        <v>44</v>
      </c>
      <c r="E805" t="s">
        <v>27</v>
      </c>
    </row>
    <row r="806" spans="1:5" x14ac:dyDescent="0.2">
      <c r="A806" t="s">
        <v>47</v>
      </c>
      <c r="B806">
        <v>1470</v>
      </c>
      <c r="C806">
        <f>'Round2.raw'!U37</f>
        <v>1.1906000000000001</v>
      </c>
      <c r="D806" t="s">
        <v>44</v>
      </c>
      <c r="E806" t="s">
        <v>27</v>
      </c>
    </row>
    <row r="807" spans="1:5" x14ac:dyDescent="0.2">
      <c r="A807" t="s">
        <v>47</v>
      </c>
      <c r="B807">
        <v>1500</v>
      </c>
      <c r="C807">
        <f>'Round2.raw'!U38</f>
        <v>1.2070000000000001</v>
      </c>
      <c r="D807" t="s">
        <v>44</v>
      </c>
      <c r="E807" t="s">
        <v>27</v>
      </c>
    </row>
    <row r="808" spans="1:5" x14ac:dyDescent="0.2">
      <c r="A808" t="s">
        <v>47</v>
      </c>
      <c r="B808">
        <v>1530</v>
      </c>
      <c r="C808">
        <f>'Round2.raw'!U39</f>
        <v>1.2198</v>
      </c>
      <c r="D808" t="s">
        <v>44</v>
      </c>
      <c r="E808" t="s">
        <v>27</v>
      </c>
    </row>
    <row r="809" spans="1:5" x14ac:dyDescent="0.2">
      <c r="A809" t="s">
        <v>47</v>
      </c>
      <c r="B809">
        <v>1560</v>
      </c>
      <c r="C809">
        <f>'Round2.raw'!U40</f>
        <v>1.2281</v>
      </c>
      <c r="D809" t="s">
        <v>44</v>
      </c>
      <c r="E809" t="s">
        <v>27</v>
      </c>
    </row>
    <row r="810" spans="1:5" x14ac:dyDescent="0.2">
      <c r="A810" t="s">
        <v>47</v>
      </c>
      <c r="B810">
        <v>1590</v>
      </c>
      <c r="C810">
        <f>'Round2.raw'!U41</f>
        <v>1.2459</v>
      </c>
      <c r="D810" t="s">
        <v>44</v>
      </c>
      <c r="E810" t="s">
        <v>27</v>
      </c>
    </row>
    <row r="811" spans="1:5" x14ac:dyDescent="0.2">
      <c r="A811" t="s">
        <v>47</v>
      </c>
      <c r="B811">
        <v>1620</v>
      </c>
      <c r="C811">
        <f>'Round2.raw'!U42</f>
        <v>1.2621</v>
      </c>
      <c r="D811" t="s">
        <v>44</v>
      </c>
      <c r="E811" t="s">
        <v>27</v>
      </c>
    </row>
    <row r="812" spans="1:5" x14ac:dyDescent="0.2">
      <c r="A812" t="s">
        <v>47</v>
      </c>
      <c r="B812">
        <v>1650</v>
      </c>
      <c r="C812">
        <f>'Round2.raw'!U43</f>
        <v>1.2856000000000001</v>
      </c>
      <c r="D812" t="s">
        <v>44</v>
      </c>
      <c r="E812" t="s">
        <v>27</v>
      </c>
    </row>
    <row r="813" spans="1:5" x14ac:dyDescent="0.2">
      <c r="A813" t="s">
        <v>47</v>
      </c>
      <c r="B813">
        <v>1680</v>
      </c>
      <c r="C813">
        <f>'Round2.raw'!U44</f>
        <v>1.2927</v>
      </c>
      <c r="D813" t="s">
        <v>44</v>
      </c>
      <c r="E813" t="s">
        <v>27</v>
      </c>
    </row>
    <row r="814" spans="1:5" x14ac:dyDescent="0.2">
      <c r="A814" t="s">
        <v>47</v>
      </c>
      <c r="B814">
        <v>1710</v>
      </c>
      <c r="C814">
        <f>'Round2.raw'!U45</f>
        <v>1.3018000000000001</v>
      </c>
      <c r="D814" t="s">
        <v>44</v>
      </c>
      <c r="E814" t="s">
        <v>27</v>
      </c>
    </row>
    <row r="815" spans="1:5" x14ac:dyDescent="0.2">
      <c r="A815" t="s">
        <v>47</v>
      </c>
      <c r="B815">
        <v>1740</v>
      </c>
      <c r="C815">
        <f>'Round2.raw'!U46</f>
        <v>1.3187</v>
      </c>
      <c r="D815" t="s">
        <v>44</v>
      </c>
      <c r="E815" t="s">
        <v>27</v>
      </c>
    </row>
    <row r="816" spans="1:5" x14ac:dyDescent="0.2">
      <c r="A816" t="s">
        <v>47</v>
      </c>
      <c r="B816">
        <v>1770</v>
      </c>
      <c r="C816">
        <f>'Round2.raw'!U47</f>
        <v>1.3177000000000001</v>
      </c>
      <c r="D816" t="s">
        <v>44</v>
      </c>
      <c r="E816" t="s">
        <v>27</v>
      </c>
    </row>
    <row r="817" spans="1:5" x14ac:dyDescent="0.2">
      <c r="A817" t="s">
        <v>47</v>
      </c>
      <c r="B817">
        <v>1800</v>
      </c>
      <c r="C817">
        <f>'Round2.raw'!U48</f>
        <v>1.3395999999999999</v>
      </c>
      <c r="D817" t="s">
        <v>44</v>
      </c>
      <c r="E817" t="s">
        <v>27</v>
      </c>
    </row>
    <row r="818" spans="1:5" x14ac:dyDescent="0.2">
      <c r="A818" t="s">
        <v>47</v>
      </c>
      <c r="B818">
        <v>1830</v>
      </c>
      <c r="C818">
        <f>'Round2.raw'!U49</f>
        <v>1.3503000000000001</v>
      </c>
      <c r="D818" t="s">
        <v>44</v>
      </c>
      <c r="E818" t="s">
        <v>27</v>
      </c>
    </row>
    <row r="819" spans="1:5" x14ac:dyDescent="0.2">
      <c r="A819" t="s">
        <v>47</v>
      </c>
      <c r="B819">
        <v>1860</v>
      </c>
      <c r="C819">
        <f>'Round2.raw'!U50</f>
        <v>1.3646</v>
      </c>
      <c r="D819" t="s">
        <v>44</v>
      </c>
      <c r="E819" t="s">
        <v>27</v>
      </c>
    </row>
    <row r="820" spans="1:5" x14ac:dyDescent="0.2">
      <c r="A820" t="s">
        <v>47</v>
      </c>
      <c r="B820">
        <v>1890</v>
      </c>
      <c r="C820">
        <f>'Round2.raw'!U51</f>
        <v>1.3712</v>
      </c>
      <c r="D820" t="s">
        <v>44</v>
      </c>
      <c r="E820" t="s">
        <v>27</v>
      </c>
    </row>
    <row r="821" spans="1:5" x14ac:dyDescent="0.2">
      <c r="A821" t="s">
        <v>47</v>
      </c>
      <c r="B821">
        <v>1920</v>
      </c>
      <c r="C821">
        <f>'Round2.raw'!U52</f>
        <v>1.3759999999999999</v>
      </c>
      <c r="D821" t="s">
        <v>44</v>
      </c>
      <c r="E821" t="s">
        <v>27</v>
      </c>
    </row>
    <row r="822" spans="1:5" x14ac:dyDescent="0.2">
      <c r="A822" t="s">
        <v>47</v>
      </c>
      <c r="B822">
        <v>1950</v>
      </c>
      <c r="C822">
        <f>'Round2.raw'!U53</f>
        <v>1.3994</v>
      </c>
      <c r="D822" t="s">
        <v>44</v>
      </c>
      <c r="E822" t="s">
        <v>27</v>
      </c>
    </row>
    <row r="823" spans="1:5" x14ac:dyDescent="0.2">
      <c r="A823" t="s">
        <v>47</v>
      </c>
      <c r="B823">
        <v>1980</v>
      </c>
      <c r="C823">
        <f>'Round2.raw'!U54</f>
        <v>1.4056</v>
      </c>
      <c r="D823" t="s">
        <v>44</v>
      </c>
      <c r="E823" t="s">
        <v>27</v>
      </c>
    </row>
    <row r="824" spans="1:5" x14ac:dyDescent="0.2">
      <c r="A824" t="s">
        <v>47</v>
      </c>
      <c r="B824">
        <v>2010</v>
      </c>
      <c r="C824">
        <f>'Round2.raw'!U55</f>
        <v>1.4126000000000001</v>
      </c>
      <c r="D824" t="s">
        <v>44</v>
      </c>
      <c r="E824" t="s">
        <v>27</v>
      </c>
    </row>
    <row r="825" spans="1:5" x14ac:dyDescent="0.2">
      <c r="A825" t="s">
        <v>47</v>
      </c>
      <c r="B825">
        <v>2040</v>
      </c>
      <c r="C825">
        <f>'Round2.raw'!U56</f>
        <v>1.4287000000000001</v>
      </c>
      <c r="D825" t="s">
        <v>44</v>
      </c>
      <c r="E825" t="s">
        <v>27</v>
      </c>
    </row>
    <row r="826" spans="1:5" x14ac:dyDescent="0.2">
      <c r="A826" t="s">
        <v>47</v>
      </c>
      <c r="B826">
        <v>2070</v>
      </c>
      <c r="C826">
        <f>'Round2.raw'!U57</f>
        <v>1.4353</v>
      </c>
      <c r="D826" t="s">
        <v>44</v>
      </c>
      <c r="E826" t="s">
        <v>27</v>
      </c>
    </row>
    <row r="827" spans="1:5" x14ac:dyDescent="0.2">
      <c r="A827" t="s">
        <v>48</v>
      </c>
      <c r="B827">
        <v>0</v>
      </c>
      <c r="C827">
        <f>'Round2.raw'!V3</f>
        <v>0.24990000000000001</v>
      </c>
      <c r="D827" t="s">
        <v>49</v>
      </c>
      <c r="E827" t="s">
        <v>27</v>
      </c>
    </row>
    <row r="828" spans="1:5" x14ac:dyDescent="0.2">
      <c r="A828" t="s">
        <v>48</v>
      </c>
      <c r="B828">
        <v>60</v>
      </c>
      <c r="C828">
        <f>'Round2.raw'!V4</f>
        <v>0.32369999999999999</v>
      </c>
      <c r="D828" t="s">
        <v>49</v>
      </c>
      <c r="E828" t="s">
        <v>27</v>
      </c>
    </row>
    <row r="829" spans="1:5" x14ac:dyDescent="0.2">
      <c r="A829" t="s">
        <v>48</v>
      </c>
      <c r="B829">
        <v>120</v>
      </c>
      <c r="C829">
        <f>'Round2.raw'!V5</f>
        <v>0.40489999999999998</v>
      </c>
      <c r="D829" t="s">
        <v>49</v>
      </c>
      <c r="E829" t="s">
        <v>27</v>
      </c>
    </row>
    <row r="830" spans="1:5" x14ac:dyDescent="0.2">
      <c r="A830" t="s">
        <v>48</v>
      </c>
      <c r="B830">
        <v>180</v>
      </c>
      <c r="C830">
        <f>'Round2.raw'!V6</f>
        <v>0.51570000000000005</v>
      </c>
      <c r="D830" t="s">
        <v>49</v>
      </c>
      <c r="E830" t="s">
        <v>27</v>
      </c>
    </row>
    <row r="831" spans="1:5" x14ac:dyDescent="0.2">
      <c r="A831" t="s">
        <v>48</v>
      </c>
      <c r="B831">
        <v>240</v>
      </c>
      <c r="C831">
        <f>'Round2.raw'!V7</f>
        <v>0.65769999999999995</v>
      </c>
      <c r="D831" t="s">
        <v>49</v>
      </c>
      <c r="E831" t="s">
        <v>27</v>
      </c>
    </row>
    <row r="832" spans="1:5" x14ac:dyDescent="0.2">
      <c r="A832" t="s">
        <v>48</v>
      </c>
      <c r="B832">
        <v>300</v>
      </c>
      <c r="C832">
        <f>'Round2.raw'!V8</f>
        <v>0.79649999999999999</v>
      </c>
      <c r="D832" t="s">
        <v>49</v>
      </c>
      <c r="E832" t="s">
        <v>27</v>
      </c>
    </row>
    <row r="833" spans="1:5" x14ac:dyDescent="0.2">
      <c r="A833" t="s">
        <v>48</v>
      </c>
      <c r="B833">
        <v>360</v>
      </c>
      <c r="C833">
        <f>'Round2.raw'!V9</f>
        <v>0.91679999999999995</v>
      </c>
      <c r="D833" t="s">
        <v>49</v>
      </c>
      <c r="E833" t="s">
        <v>27</v>
      </c>
    </row>
    <row r="834" spans="1:5" x14ac:dyDescent="0.2">
      <c r="A834" t="s">
        <v>48</v>
      </c>
      <c r="B834">
        <v>420</v>
      </c>
      <c r="C834">
        <f>'Round2.raw'!V10</f>
        <v>0.98819999999999997</v>
      </c>
      <c r="D834" t="s">
        <v>49</v>
      </c>
      <c r="E834" t="s">
        <v>27</v>
      </c>
    </row>
    <row r="835" spans="1:5" x14ac:dyDescent="0.2">
      <c r="A835" t="s">
        <v>48</v>
      </c>
      <c r="B835">
        <v>480</v>
      </c>
      <c r="C835">
        <f>'Round2.raw'!V11</f>
        <v>1.0464</v>
      </c>
      <c r="D835" t="s">
        <v>49</v>
      </c>
      <c r="E835" t="s">
        <v>27</v>
      </c>
    </row>
    <row r="836" spans="1:5" x14ac:dyDescent="0.2">
      <c r="A836" t="s">
        <v>48</v>
      </c>
      <c r="B836">
        <v>540</v>
      </c>
      <c r="C836">
        <f>'Round2.raw'!V12</f>
        <v>1.0972</v>
      </c>
      <c r="D836" t="s">
        <v>49</v>
      </c>
      <c r="E836" t="s">
        <v>27</v>
      </c>
    </row>
    <row r="837" spans="1:5" x14ac:dyDescent="0.2">
      <c r="A837" t="s">
        <v>48</v>
      </c>
      <c r="B837">
        <v>600</v>
      </c>
      <c r="C837">
        <f>'Round2.raw'!V13</f>
        <v>1.125</v>
      </c>
      <c r="D837" t="s">
        <v>49</v>
      </c>
      <c r="E837" t="s">
        <v>27</v>
      </c>
    </row>
    <row r="838" spans="1:5" x14ac:dyDescent="0.2">
      <c r="A838" t="s">
        <v>48</v>
      </c>
      <c r="B838">
        <v>660</v>
      </c>
      <c r="C838">
        <f>'Round2.raw'!V14</f>
        <v>1.1173999999999999</v>
      </c>
      <c r="D838" t="s">
        <v>49</v>
      </c>
      <c r="E838" t="s">
        <v>27</v>
      </c>
    </row>
    <row r="839" spans="1:5" x14ac:dyDescent="0.2">
      <c r="A839" t="s">
        <v>48</v>
      </c>
      <c r="B839">
        <v>720</v>
      </c>
      <c r="C839">
        <f>'Round2.raw'!V15</f>
        <v>1.1244000000000001</v>
      </c>
      <c r="D839" t="s">
        <v>49</v>
      </c>
      <c r="E839" t="s">
        <v>27</v>
      </c>
    </row>
    <row r="840" spans="1:5" x14ac:dyDescent="0.2">
      <c r="A840" t="s">
        <v>48</v>
      </c>
      <c r="B840">
        <v>780</v>
      </c>
      <c r="C840">
        <f>'Round2.raw'!V16</f>
        <v>1.1333</v>
      </c>
      <c r="D840" t="s">
        <v>49</v>
      </c>
      <c r="E840" t="s">
        <v>27</v>
      </c>
    </row>
    <row r="841" spans="1:5" x14ac:dyDescent="0.2">
      <c r="A841" t="s">
        <v>48</v>
      </c>
      <c r="B841">
        <v>840</v>
      </c>
      <c r="C841">
        <f>'Round2.raw'!V17</f>
        <v>1.1163000000000001</v>
      </c>
      <c r="D841" t="s">
        <v>49</v>
      </c>
      <c r="E841" t="s">
        <v>27</v>
      </c>
    </row>
    <row r="842" spans="1:5" x14ac:dyDescent="0.2">
      <c r="A842" t="s">
        <v>48</v>
      </c>
      <c r="B842">
        <v>900</v>
      </c>
      <c r="C842">
        <f>'Round2.raw'!V18</f>
        <v>1.1151</v>
      </c>
      <c r="D842" t="s">
        <v>49</v>
      </c>
      <c r="E842" t="s">
        <v>27</v>
      </c>
    </row>
    <row r="843" spans="1:5" x14ac:dyDescent="0.2">
      <c r="A843" t="s">
        <v>48</v>
      </c>
      <c r="B843">
        <v>960</v>
      </c>
      <c r="C843">
        <f>'Round2.raw'!V19</f>
        <v>1.1175999999999999</v>
      </c>
      <c r="D843" t="s">
        <v>49</v>
      </c>
      <c r="E843" t="s">
        <v>27</v>
      </c>
    </row>
    <row r="844" spans="1:5" x14ac:dyDescent="0.2">
      <c r="A844" t="s">
        <v>48</v>
      </c>
      <c r="B844">
        <v>990</v>
      </c>
      <c r="C844">
        <f>'Round2.raw'!V20</f>
        <v>1.1052999999999999</v>
      </c>
      <c r="D844" t="s">
        <v>49</v>
      </c>
      <c r="E844" t="s">
        <v>27</v>
      </c>
    </row>
    <row r="845" spans="1:5" x14ac:dyDescent="0.2">
      <c r="A845" t="s">
        <v>48</v>
      </c>
      <c r="B845">
        <v>1020</v>
      </c>
      <c r="C845">
        <f>'Round2.raw'!V21</f>
        <v>1.044</v>
      </c>
      <c r="D845" t="s">
        <v>49</v>
      </c>
      <c r="E845" t="s">
        <v>27</v>
      </c>
    </row>
    <row r="846" spans="1:5" x14ac:dyDescent="0.2">
      <c r="A846" t="s">
        <v>48</v>
      </c>
      <c r="B846">
        <v>1050</v>
      </c>
      <c r="C846">
        <f>'Round2.raw'!V22</f>
        <v>1.0519000000000001</v>
      </c>
      <c r="D846" t="s">
        <v>49</v>
      </c>
      <c r="E846" t="s">
        <v>27</v>
      </c>
    </row>
    <row r="847" spans="1:5" x14ac:dyDescent="0.2">
      <c r="A847" t="s">
        <v>48</v>
      </c>
      <c r="B847">
        <v>1080</v>
      </c>
      <c r="C847">
        <f>'Round2.raw'!V23</f>
        <v>1.0976999999999999</v>
      </c>
      <c r="D847" t="s">
        <v>49</v>
      </c>
      <c r="E847" t="s">
        <v>27</v>
      </c>
    </row>
    <row r="848" spans="1:5" x14ac:dyDescent="0.2">
      <c r="A848" t="s">
        <v>48</v>
      </c>
      <c r="B848">
        <v>1110</v>
      </c>
      <c r="C848">
        <f>'Round2.raw'!V24</f>
        <v>1.113</v>
      </c>
      <c r="D848" t="s">
        <v>49</v>
      </c>
      <c r="E848" t="s">
        <v>27</v>
      </c>
    </row>
    <row r="849" spans="1:5" x14ac:dyDescent="0.2">
      <c r="A849" t="s">
        <v>48</v>
      </c>
      <c r="B849">
        <v>1140</v>
      </c>
      <c r="C849">
        <f>'Round2.raw'!V25</f>
        <v>1.1183000000000001</v>
      </c>
      <c r="D849" t="s">
        <v>49</v>
      </c>
      <c r="E849" t="s">
        <v>27</v>
      </c>
    </row>
    <row r="850" spans="1:5" x14ac:dyDescent="0.2">
      <c r="A850" t="s">
        <v>48</v>
      </c>
      <c r="B850">
        <v>1170</v>
      </c>
      <c r="C850">
        <f>'Round2.raw'!V26</f>
        <v>1.1273</v>
      </c>
      <c r="D850" t="s">
        <v>49</v>
      </c>
      <c r="E850" t="s">
        <v>27</v>
      </c>
    </row>
    <row r="851" spans="1:5" x14ac:dyDescent="0.2">
      <c r="A851" t="s">
        <v>48</v>
      </c>
      <c r="B851">
        <v>1200</v>
      </c>
      <c r="C851">
        <f>'Round2.raw'!V27</f>
        <v>1.1227</v>
      </c>
      <c r="D851" t="s">
        <v>49</v>
      </c>
      <c r="E851" t="s">
        <v>27</v>
      </c>
    </row>
    <row r="852" spans="1:5" x14ac:dyDescent="0.2">
      <c r="A852" t="s">
        <v>48</v>
      </c>
      <c r="B852">
        <v>1230</v>
      </c>
      <c r="C852">
        <f>'Round2.raw'!V28</f>
        <v>1.1247</v>
      </c>
      <c r="D852" t="s">
        <v>49</v>
      </c>
      <c r="E852" t="s">
        <v>27</v>
      </c>
    </row>
    <row r="853" spans="1:5" x14ac:dyDescent="0.2">
      <c r="A853" t="s">
        <v>48</v>
      </c>
      <c r="B853">
        <v>1260</v>
      </c>
      <c r="C853">
        <f>'Round2.raw'!V29</f>
        <v>1.1738</v>
      </c>
      <c r="D853" t="s">
        <v>49</v>
      </c>
      <c r="E853" t="s">
        <v>27</v>
      </c>
    </row>
    <row r="854" spans="1:5" x14ac:dyDescent="0.2">
      <c r="A854" t="s">
        <v>48</v>
      </c>
      <c r="B854">
        <v>1290</v>
      </c>
      <c r="C854">
        <f>'Round2.raw'!V30</f>
        <v>1.1202000000000001</v>
      </c>
      <c r="D854" t="s">
        <v>49</v>
      </c>
      <c r="E854" t="s">
        <v>27</v>
      </c>
    </row>
    <row r="855" spans="1:5" x14ac:dyDescent="0.2">
      <c r="A855" t="s">
        <v>48</v>
      </c>
      <c r="B855">
        <v>1320</v>
      </c>
      <c r="C855">
        <f>'Round2.raw'!V31</f>
        <v>1.1613</v>
      </c>
      <c r="D855" t="s">
        <v>49</v>
      </c>
      <c r="E855" t="s">
        <v>27</v>
      </c>
    </row>
    <row r="856" spans="1:5" x14ac:dyDescent="0.2">
      <c r="A856" t="s">
        <v>48</v>
      </c>
      <c r="B856">
        <v>1340</v>
      </c>
      <c r="C856">
        <f>'Round2.raw'!V32</f>
        <v>1.1405000000000001</v>
      </c>
      <c r="D856" t="s">
        <v>49</v>
      </c>
      <c r="E856" t="s">
        <v>27</v>
      </c>
    </row>
    <row r="857" spans="1:5" x14ac:dyDescent="0.2">
      <c r="A857" t="s">
        <v>48</v>
      </c>
      <c r="B857">
        <v>1370</v>
      </c>
      <c r="C857">
        <f>'Round2.raw'!V33</f>
        <v>1.1632</v>
      </c>
      <c r="D857" t="s">
        <v>49</v>
      </c>
      <c r="E857" t="s">
        <v>27</v>
      </c>
    </row>
    <row r="858" spans="1:5" x14ac:dyDescent="0.2">
      <c r="A858" t="s">
        <v>48</v>
      </c>
      <c r="B858">
        <v>1380</v>
      </c>
      <c r="C858">
        <f>'Round2.raw'!V34</f>
        <v>1.1293</v>
      </c>
      <c r="D858" t="s">
        <v>49</v>
      </c>
      <c r="E858" t="s">
        <v>27</v>
      </c>
    </row>
    <row r="859" spans="1:5" x14ac:dyDescent="0.2">
      <c r="A859" t="s">
        <v>48</v>
      </c>
      <c r="B859">
        <v>1410</v>
      </c>
      <c r="C859">
        <f>'Round2.raw'!V35</f>
        <v>1.1375999999999999</v>
      </c>
      <c r="D859" t="s">
        <v>49</v>
      </c>
      <c r="E859" t="s">
        <v>27</v>
      </c>
    </row>
    <row r="860" spans="1:5" x14ac:dyDescent="0.2">
      <c r="A860" t="s">
        <v>48</v>
      </c>
      <c r="B860">
        <v>1440</v>
      </c>
      <c r="C860">
        <f>'Round2.raw'!V36</f>
        <v>1.1508</v>
      </c>
      <c r="D860" t="s">
        <v>49</v>
      </c>
      <c r="E860" t="s">
        <v>27</v>
      </c>
    </row>
    <row r="861" spans="1:5" x14ac:dyDescent="0.2">
      <c r="A861" t="s">
        <v>48</v>
      </c>
      <c r="B861">
        <v>1470</v>
      </c>
      <c r="C861">
        <f>'Round2.raw'!V37</f>
        <v>1.1505000000000001</v>
      </c>
      <c r="D861" t="s">
        <v>49</v>
      </c>
      <c r="E861" t="s">
        <v>27</v>
      </c>
    </row>
    <row r="862" spans="1:5" x14ac:dyDescent="0.2">
      <c r="A862" t="s">
        <v>48</v>
      </c>
      <c r="B862">
        <v>1500</v>
      </c>
      <c r="C862">
        <f>'Round2.raw'!V38</f>
        <v>1.1375999999999999</v>
      </c>
      <c r="D862" t="s">
        <v>49</v>
      </c>
      <c r="E862" t="s">
        <v>27</v>
      </c>
    </row>
    <row r="863" spans="1:5" x14ac:dyDescent="0.2">
      <c r="A863" t="s">
        <v>48</v>
      </c>
      <c r="B863">
        <v>1530</v>
      </c>
      <c r="C863">
        <f>'Round2.raw'!V39</f>
        <v>1.1384000000000001</v>
      </c>
      <c r="D863" t="s">
        <v>49</v>
      </c>
      <c r="E863" t="s">
        <v>27</v>
      </c>
    </row>
    <row r="864" spans="1:5" x14ac:dyDescent="0.2">
      <c r="A864" t="s">
        <v>48</v>
      </c>
      <c r="B864">
        <v>1560</v>
      </c>
      <c r="C864">
        <f>'Round2.raw'!V40</f>
        <v>1.1373</v>
      </c>
      <c r="D864" t="s">
        <v>49</v>
      </c>
      <c r="E864" t="s">
        <v>27</v>
      </c>
    </row>
    <row r="865" spans="1:5" x14ac:dyDescent="0.2">
      <c r="A865" t="s">
        <v>48</v>
      </c>
      <c r="B865">
        <v>1590</v>
      </c>
      <c r="C865">
        <f>'Round2.raw'!V41</f>
        <v>1.1341000000000001</v>
      </c>
      <c r="D865" t="s">
        <v>49</v>
      </c>
      <c r="E865" t="s">
        <v>27</v>
      </c>
    </row>
    <row r="866" spans="1:5" x14ac:dyDescent="0.2">
      <c r="A866" t="s">
        <v>48</v>
      </c>
      <c r="B866">
        <v>1620</v>
      </c>
      <c r="C866">
        <f>'Round2.raw'!V42</f>
        <v>1.1400999999999999</v>
      </c>
      <c r="D866" t="s">
        <v>49</v>
      </c>
      <c r="E866" t="s">
        <v>27</v>
      </c>
    </row>
    <row r="867" spans="1:5" x14ac:dyDescent="0.2">
      <c r="A867" t="s">
        <v>48</v>
      </c>
      <c r="B867">
        <v>1650</v>
      </c>
      <c r="C867">
        <f>'Round2.raw'!V43</f>
        <v>1.1329</v>
      </c>
      <c r="D867" t="s">
        <v>49</v>
      </c>
      <c r="E867" t="s">
        <v>27</v>
      </c>
    </row>
    <row r="868" spans="1:5" x14ac:dyDescent="0.2">
      <c r="A868" t="s">
        <v>48</v>
      </c>
      <c r="B868">
        <v>1680</v>
      </c>
      <c r="C868">
        <f>'Round2.raw'!V44</f>
        <v>1.1339999999999999</v>
      </c>
      <c r="D868" t="s">
        <v>49</v>
      </c>
      <c r="E868" t="s">
        <v>27</v>
      </c>
    </row>
    <row r="869" spans="1:5" x14ac:dyDescent="0.2">
      <c r="A869" t="s">
        <v>48</v>
      </c>
      <c r="B869">
        <v>1710</v>
      </c>
      <c r="C869">
        <f>'Round2.raw'!V45</f>
        <v>1.1319999999999999</v>
      </c>
      <c r="D869" t="s">
        <v>49</v>
      </c>
      <c r="E869" t="s">
        <v>27</v>
      </c>
    </row>
    <row r="870" spans="1:5" x14ac:dyDescent="0.2">
      <c r="A870" t="s">
        <v>48</v>
      </c>
      <c r="B870">
        <v>1740</v>
      </c>
      <c r="C870">
        <f>'Round2.raw'!V46</f>
        <v>1.1355999999999999</v>
      </c>
      <c r="D870" t="s">
        <v>49</v>
      </c>
      <c r="E870" t="s">
        <v>27</v>
      </c>
    </row>
    <row r="871" spans="1:5" x14ac:dyDescent="0.2">
      <c r="A871" t="s">
        <v>48</v>
      </c>
      <c r="B871">
        <v>1770</v>
      </c>
      <c r="C871">
        <f>'Round2.raw'!V47</f>
        <v>1.1279999999999999</v>
      </c>
      <c r="D871" t="s">
        <v>49</v>
      </c>
      <c r="E871" t="s">
        <v>27</v>
      </c>
    </row>
    <row r="872" spans="1:5" x14ac:dyDescent="0.2">
      <c r="A872" t="s">
        <v>48</v>
      </c>
      <c r="B872">
        <v>1800</v>
      </c>
      <c r="C872">
        <f>'Round2.raw'!V48</f>
        <v>1.1302000000000001</v>
      </c>
      <c r="D872" t="s">
        <v>49</v>
      </c>
      <c r="E872" t="s">
        <v>27</v>
      </c>
    </row>
    <row r="873" spans="1:5" x14ac:dyDescent="0.2">
      <c r="A873" t="s">
        <v>48</v>
      </c>
      <c r="B873">
        <v>1830</v>
      </c>
      <c r="C873">
        <f>'Round2.raw'!V49</f>
        <v>1.1376999999999999</v>
      </c>
      <c r="D873" t="s">
        <v>49</v>
      </c>
      <c r="E873" t="s">
        <v>27</v>
      </c>
    </row>
    <row r="874" spans="1:5" x14ac:dyDescent="0.2">
      <c r="A874" t="s">
        <v>48</v>
      </c>
      <c r="B874">
        <v>1860</v>
      </c>
      <c r="C874">
        <f>'Round2.raw'!V50</f>
        <v>1.1404000000000001</v>
      </c>
      <c r="D874" t="s">
        <v>49</v>
      </c>
      <c r="E874" t="s">
        <v>27</v>
      </c>
    </row>
    <row r="875" spans="1:5" x14ac:dyDescent="0.2">
      <c r="A875" t="s">
        <v>48</v>
      </c>
      <c r="B875">
        <v>1890</v>
      </c>
      <c r="C875">
        <f>'Round2.raw'!V51</f>
        <v>1.1349</v>
      </c>
      <c r="D875" t="s">
        <v>49</v>
      </c>
      <c r="E875" t="s">
        <v>27</v>
      </c>
    </row>
    <row r="876" spans="1:5" x14ac:dyDescent="0.2">
      <c r="A876" t="s">
        <v>48</v>
      </c>
      <c r="B876">
        <v>1920</v>
      </c>
      <c r="C876">
        <f>'Round2.raw'!V52</f>
        <v>1.1315</v>
      </c>
      <c r="D876" t="s">
        <v>49</v>
      </c>
      <c r="E876" t="s">
        <v>27</v>
      </c>
    </row>
    <row r="877" spans="1:5" x14ac:dyDescent="0.2">
      <c r="A877" t="s">
        <v>48</v>
      </c>
      <c r="B877">
        <v>1950</v>
      </c>
      <c r="C877">
        <f>'Round2.raw'!V53</f>
        <v>1.141</v>
      </c>
      <c r="D877" t="s">
        <v>49</v>
      </c>
      <c r="E877" t="s">
        <v>27</v>
      </c>
    </row>
    <row r="878" spans="1:5" x14ac:dyDescent="0.2">
      <c r="A878" t="s">
        <v>48</v>
      </c>
      <c r="B878">
        <v>1980</v>
      </c>
      <c r="C878">
        <f>'Round2.raw'!V54</f>
        <v>1.1412</v>
      </c>
      <c r="D878" t="s">
        <v>49</v>
      </c>
      <c r="E878" t="s">
        <v>27</v>
      </c>
    </row>
    <row r="879" spans="1:5" x14ac:dyDescent="0.2">
      <c r="A879" t="s">
        <v>48</v>
      </c>
      <c r="B879">
        <v>2010</v>
      </c>
      <c r="C879">
        <f>'Round2.raw'!V55</f>
        <v>1.141</v>
      </c>
      <c r="D879" t="s">
        <v>49</v>
      </c>
      <c r="E879" t="s">
        <v>27</v>
      </c>
    </row>
    <row r="880" spans="1:5" x14ac:dyDescent="0.2">
      <c r="A880" t="s">
        <v>48</v>
      </c>
      <c r="B880">
        <v>2040</v>
      </c>
      <c r="C880">
        <f>'Round2.raw'!V56</f>
        <v>1.1474</v>
      </c>
      <c r="D880" t="s">
        <v>49</v>
      </c>
      <c r="E880" t="s">
        <v>27</v>
      </c>
    </row>
    <row r="881" spans="1:5" x14ac:dyDescent="0.2">
      <c r="A881" t="s">
        <v>48</v>
      </c>
      <c r="B881">
        <v>2070</v>
      </c>
      <c r="C881">
        <f>'Round2.raw'!V57</f>
        <v>1.1506000000000001</v>
      </c>
      <c r="D881" t="s">
        <v>49</v>
      </c>
      <c r="E881" t="s">
        <v>27</v>
      </c>
    </row>
    <row r="882" spans="1:5" x14ac:dyDescent="0.2">
      <c r="A882" t="s">
        <v>50</v>
      </c>
      <c r="B882">
        <v>0</v>
      </c>
      <c r="C882">
        <f>'Round2.raw'!W3</f>
        <v>0.26729999999999998</v>
      </c>
      <c r="D882" t="s">
        <v>49</v>
      </c>
      <c r="E882" t="s">
        <v>27</v>
      </c>
    </row>
    <row r="883" spans="1:5" x14ac:dyDescent="0.2">
      <c r="A883" t="s">
        <v>50</v>
      </c>
      <c r="B883">
        <v>60</v>
      </c>
      <c r="C883">
        <f>'Round2.raw'!W4</f>
        <v>0.33679999999999999</v>
      </c>
      <c r="D883" t="s">
        <v>49</v>
      </c>
      <c r="E883" t="s">
        <v>27</v>
      </c>
    </row>
    <row r="884" spans="1:5" x14ac:dyDescent="0.2">
      <c r="A884" t="s">
        <v>50</v>
      </c>
      <c r="B884">
        <v>120</v>
      </c>
      <c r="C884">
        <f>'Round2.raw'!W5</f>
        <v>0.439</v>
      </c>
      <c r="D884" t="s">
        <v>49</v>
      </c>
      <c r="E884" t="s">
        <v>27</v>
      </c>
    </row>
    <row r="885" spans="1:5" x14ac:dyDescent="0.2">
      <c r="A885" t="s">
        <v>50</v>
      </c>
      <c r="B885">
        <v>180</v>
      </c>
      <c r="C885">
        <f>'Round2.raw'!W6</f>
        <v>0.56030000000000002</v>
      </c>
      <c r="D885" t="s">
        <v>49</v>
      </c>
      <c r="E885" t="s">
        <v>27</v>
      </c>
    </row>
    <row r="886" spans="1:5" x14ac:dyDescent="0.2">
      <c r="A886" t="s">
        <v>50</v>
      </c>
      <c r="B886">
        <v>240</v>
      </c>
      <c r="C886">
        <f>'Round2.raw'!W7</f>
        <v>0.68440000000000001</v>
      </c>
      <c r="D886" t="s">
        <v>49</v>
      </c>
      <c r="E886" t="s">
        <v>27</v>
      </c>
    </row>
    <row r="887" spans="1:5" x14ac:dyDescent="0.2">
      <c r="A887" t="s">
        <v>50</v>
      </c>
      <c r="B887">
        <v>300</v>
      </c>
      <c r="C887">
        <f>'Round2.raw'!W8</f>
        <v>0.80059999999999998</v>
      </c>
      <c r="D887" t="s">
        <v>49</v>
      </c>
      <c r="E887" t="s">
        <v>27</v>
      </c>
    </row>
    <row r="888" spans="1:5" x14ac:dyDescent="0.2">
      <c r="A888" t="s">
        <v>50</v>
      </c>
      <c r="B888">
        <v>360</v>
      </c>
      <c r="C888">
        <f>'Round2.raw'!W9</f>
        <v>0.89929999999999999</v>
      </c>
      <c r="D888" t="s">
        <v>49</v>
      </c>
      <c r="E888" t="s">
        <v>27</v>
      </c>
    </row>
    <row r="889" spans="1:5" x14ac:dyDescent="0.2">
      <c r="A889" t="s">
        <v>50</v>
      </c>
      <c r="B889">
        <v>420</v>
      </c>
      <c r="C889">
        <f>'Round2.raw'!W10</f>
        <v>0.96689999999999998</v>
      </c>
      <c r="D889" t="s">
        <v>49</v>
      </c>
      <c r="E889" t="s">
        <v>27</v>
      </c>
    </row>
    <row r="890" spans="1:5" x14ac:dyDescent="0.2">
      <c r="A890" t="s">
        <v>50</v>
      </c>
      <c r="B890">
        <v>480</v>
      </c>
      <c r="C890">
        <f>'Round2.raw'!W11</f>
        <v>1.0271999999999999</v>
      </c>
      <c r="D890" t="s">
        <v>49</v>
      </c>
      <c r="E890" t="s">
        <v>27</v>
      </c>
    </row>
    <row r="891" spans="1:5" x14ac:dyDescent="0.2">
      <c r="A891" t="s">
        <v>50</v>
      </c>
      <c r="B891">
        <v>540</v>
      </c>
      <c r="C891">
        <f>'Round2.raw'!W12</f>
        <v>1.0689</v>
      </c>
      <c r="D891" t="s">
        <v>49</v>
      </c>
      <c r="E891" t="s">
        <v>27</v>
      </c>
    </row>
    <row r="892" spans="1:5" x14ac:dyDescent="0.2">
      <c r="A892" t="s">
        <v>50</v>
      </c>
      <c r="B892">
        <v>600</v>
      </c>
      <c r="C892">
        <f>'Round2.raw'!W13</f>
        <v>1.1047</v>
      </c>
      <c r="D892" t="s">
        <v>49</v>
      </c>
      <c r="E892" t="s">
        <v>27</v>
      </c>
    </row>
    <row r="893" spans="1:5" x14ac:dyDescent="0.2">
      <c r="A893" t="s">
        <v>50</v>
      </c>
      <c r="B893">
        <v>660</v>
      </c>
      <c r="C893">
        <f>'Round2.raw'!W14</f>
        <v>1.1365000000000001</v>
      </c>
      <c r="D893" t="s">
        <v>49</v>
      </c>
      <c r="E893" t="s">
        <v>27</v>
      </c>
    </row>
    <row r="894" spans="1:5" x14ac:dyDescent="0.2">
      <c r="A894" t="s">
        <v>50</v>
      </c>
      <c r="B894">
        <v>720</v>
      </c>
      <c r="C894">
        <f>'Round2.raw'!W15</f>
        <v>1.1611</v>
      </c>
      <c r="D894" t="s">
        <v>49</v>
      </c>
      <c r="E894" t="s">
        <v>27</v>
      </c>
    </row>
    <row r="895" spans="1:5" x14ac:dyDescent="0.2">
      <c r="A895" t="s">
        <v>50</v>
      </c>
      <c r="B895">
        <v>780</v>
      </c>
      <c r="C895">
        <f>'Round2.raw'!W16</f>
        <v>1.1657999999999999</v>
      </c>
      <c r="D895" t="s">
        <v>49</v>
      </c>
      <c r="E895" t="s">
        <v>27</v>
      </c>
    </row>
    <row r="896" spans="1:5" x14ac:dyDescent="0.2">
      <c r="A896" t="s">
        <v>50</v>
      </c>
      <c r="B896">
        <v>840</v>
      </c>
      <c r="C896">
        <f>'Round2.raw'!W17</f>
        <v>1.1766000000000001</v>
      </c>
      <c r="D896" t="s">
        <v>49</v>
      </c>
      <c r="E896" t="s">
        <v>27</v>
      </c>
    </row>
    <row r="897" spans="1:5" x14ac:dyDescent="0.2">
      <c r="A897" t="s">
        <v>50</v>
      </c>
      <c r="B897">
        <v>900</v>
      </c>
      <c r="C897">
        <f>'Round2.raw'!W18</f>
        <v>1.1736</v>
      </c>
      <c r="D897" t="s">
        <v>49</v>
      </c>
      <c r="E897" t="s">
        <v>27</v>
      </c>
    </row>
    <row r="898" spans="1:5" x14ac:dyDescent="0.2">
      <c r="A898" t="s">
        <v>50</v>
      </c>
      <c r="B898">
        <v>960</v>
      </c>
      <c r="C898">
        <f>'Round2.raw'!W19</f>
        <v>1.179</v>
      </c>
      <c r="D898" t="s">
        <v>49</v>
      </c>
      <c r="E898" t="s">
        <v>27</v>
      </c>
    </row>
    <row r="899" spans="1:5" x14ac:dyDescent="0.2">
      <c r="A899" t="s">
        <v>50</v>
      </c>
      <c r="B899">
        <v>990</v>
      </c>
      <c r="C899">
        <f>'Round2.raw'!W20</f>
        <v>1.2591000000000001</v>
      </c>
      <c r="D899" t="s">
        <v>49</v>
      </c>
      <c r="E899" t="s">
        <v>27</v>
      </c>
    </row>
    <row r="900" spans="1:5" x14ac:dyDescent="0.2">
      <c r="A900" t="s">
        <v>50</v>
      </c>
      <c r="B900">
        <v>1020</v>
      </c>
      <c r="C900">
        <f>'Round2.raw'!W21</f>
        <v>1.1617999999999999</v>
      </c>
      <c r="D900" t="s">
        <v>49</v>
      </c>
      <c r="E900" t="s">
        <v>27</v>
      </c>
    </row>
    <row r="901" spans="1:5" x14ac:dyDescent="0.2">
      <c r="A901" t="s">
        <v>50</v>
      </c>
      <c r="B901">
        <v>1050</v>
      </c>
      <c r="C901">
        <f>'Round2.raw'!W22</f>
        <v>1.1872</v>
      </c>
      <c r="D901" t="s">
        <v>49</v>
      </c>
      <c r="E901" t="s">
        <v>27</v>
      </c>
    </row>
    <row r="902" spans="1:5" x14ac:dyDescent="0.2">
      <c r="A902" t="s">
        <v>50</v>
      </c>
      <c r="B902">
        <v>1080</v>
      </c>
      <c r="C902">
        <f>'Round2.raw'!W23</f>
        <v>1.1863999999999999</v>
      </c>
      <c r="D902" t="s">
        <v>49</v>
      </c>
      <c r="E902" t="s">
        <v>27</v>
      </c>
    </row>
    <row r="903" spans="1:5" x14ac:dyDescent="0.2">
      <c r="A903" t="s">
        <v>50</v>
      </c>
      <c r="B903">
        <v>1110</v>
      </c>
      <c r="C903">
        <f>'Round2.raw'!W24</f>
        <v>1.1917</v>
      </c>
      <c r="D903" t="s">
        <v>49</v>
      </c>
      <c r="E903" t="s">
        <v>27</v>
      </c>
    </row>
    <row r="904" spans="1:5" x14ac:dyDescent="0.2">
      <c r="A904" t="s">
        <v>50</v>
      </c>
      <c r="B904">
        <v>1140</v>
      </c>
      <c r="C904">
        <f>'Round2.raw'!W25</f>
        <v>1.1957</v>
      </c>
      <c r="D904" t="s">
        <v>49</v>
      </c>
      <c r="E904" t="s">
        <v>27</v>
      </c>
    </row>
    <row r="905" spans="1:5" x14ac:dyDescent="0.2">
      <c r="A905" t="s">
        <v>50</v>
      </c>
      <c r="B905">
        <v>1170</v>
      </c>
      <c r="C905">
        <f>'Round2.raw'!W26</f>
        <v>1.1889000000000001</v>
      </c>
      <c r="D905" t="s">
        <v>49</v>
      </c>
      <c r="E905" t="s">
        <v>27</v>
      </c>
    </row>
    <row r="906" spans="1:5" x14ac:dyDescent="0.2">
      <c r="A906" t="s">
        <v>50</v>
      </c>
      <c r="B906">
        <v>1200</v>
      </c>
      <c r="C906">
        <f>'Round2.raw'!W27</f>
        <v>1.1840999999999999</v>
      </c>
      <c r="D906" t="s">
        <v>49</v>
      </c>
      <c r="E906" t="s">
        <v>27</v>
      </c>
    </row>
    <row r="907" spans="1:5" x14ac:dyDescent="0.2">
      <c r="A907" t="s">
        <v>50</v>
      </c>
      <c r="B907">
        <v>1230</v>
      </c>
      <c r="C907">
        <f>'Round2.raw'!W28</f>
        <v>1.1924999999999999</v>
      </c>
      <c r="D907" t="s">
        <v>49</v>
      </c>
      <c r="E907" t="s">
        <v>27</v>
      </c>
    </row>
    <row r="908" spans="1:5" x14ac:dyDescent="0.2">
      <c r="A908" t="s">
        <v>50</v>
      </c>
      <c r="B908">
        <v>1260</v>
      </c>
      <c r="C908">
        <f>'Round2.raw'!W29</f>
        <v>1.2672000000000001</v>
      </c>
      <c r="D908" t="s">
        <v>49</v>
      </c>
      <c r="E908" t="s">
        <v>27</v>
      </c>
    </row>
    <row r="909" spans="1:5" x14ac:dyDescent="0.2">
      <c r="A909" t="s">
        <v>50</v>
      </c>
      <c r="B909">
        <v>1290</v>
      </c>
      <c r="C909">
        <f>'Round2.raw'!W30</f>
        <v>1.1802999999999999</v>
      </c>
      <c r="D909" t="s">
        <v>49</v>
      </c>
      <c r="E909" t="s">
        <v>27</v>
      </c>
    </row>
    <row r="910" spans="1:5" x14ac:dyDescent="0.2">
      <c r="A910" t="s">
        <v>50</v>
      </c>
      <c r="B910">
        <v>1320</v>
      </c>
      <c r="C910">
        <f>'Round2.raw'!W31</f>
        <v>1.2243999999999999</v>
      </c>
      <c r="D910" t="s">
        <v>49</v>
      </c>
      <c r="E910" t="s">
        <v>27</v>
      </c>
    </row>
    <row r="911" spans="1:5" x14ac:dyDescent="0.2">
      <c r="A911" t="s">
        <v>50</v>
      </c>
      <c r="B911">
        <v>1340</v>
      </c>
      <c r="C911">
        <f>'Round2.raw'!W32</f>
        <v>1.2786</v>
      </c>
      <c r="D911" t="s">
        <v>49</v>
      </c>
      <c r="E911" t="s">
        <v>27</v>
      </c>
    </row>
    <row r="912" spans="1:5" x14ac:dyDescent="0.2">
      <c r="A912" t="s">
        <v>50</v>
      </c>
      <c r="B912">
        <v>1370</v>
      </c>
      <c r="C912">
        <f>'Round2.raw'!W33</f>
        <v>1.2142999999999999</v>
      </c>
      <c r="D912" t="s">
        <v>49</v>
      </c>
      <c r="E912" t="s">
        <v>27</v>
      </c>
    </row>
    <row r="913" spans="1:5" x14ac:dyDescent="0.2">
      <c r="A913" t="s">
        <v>50</v>
      </c>
      <c r="B913">
        <v>1380</v>
      </c>
      <c r="C913">
        <f>'Round2.raw'!W34</f>
        <v>1.1952</v>
      </c>
      <c r="D913" t="s">
        <v>49</v>
      </c>
      <c r="E913" t="s">
        <v>27</v>
      </c>
    </row>
    <row r="914" spans="1:5" x14ac:dyDescent="0.2">
      <c r="A914" t="s">
        <v>50</v>
      </c>
      <c r="B914">
        <v>1410</v>
      </c>
      <c r="C914">
        <f>'Round2.raw'!W35</f>
        <v>1.1805000000000001</v>
      </c>
      <c r="D914" t="s">
        <v>49</v>
      </c>
      <c r="E914" t="s">
        <v>27</v>
      </c>
    </row>
    <row r="915" spans="1:5" x14ac:dyDescent="0.2">
      <c r="A915" t="s">
        <v>50</v>
      </c>
      <c r="B915">
        <v>1440</v>
      </c>
      <c r="C915">
        <f>'Round2.raw'!W36</f>
        <v>1.2004999999999999</v>
      </c>
      <c r="D915" t="s">
        <v>49</v>
      </c>
      <c r="E915" t="s">
        <v>27</v>
      </c>
    </row>
    <row r="916" spans="1:5" x14ac:dyDescent="0.2">
      <c r="A916" t="s">
        <v>50</v>
      </c>
      <c r="B916">
        <v>1470</v>
      </c>
      <c r="C916">
        <f>'Round2.raw'!W37</f>
        <v>1.1893</v>
      </c>
      <c r="D916" t="s">
        <v>49</v>
      </c>
      <c r="E916" t="s">
        <v>27</v>
      </c>
    </row>
    <row r="917" spans="1:5" x14ac:dyDescent="0.2">
      <c r="A917" t="s">
        <v>50</v>
      </c>
      <c r="B917">
        <v>1500</v>
      </c>
      <c r="C917">
        <f>'Round2.raw'!W38</f>
        <v>1.1778999999999999</v>
      </c>
      <c r="D917" t="s">
        <v>49</v>
      </c>
      <c r="E917" t="s">
        <v>27</v>
      </c>
    </row>
    <row r="918" spans="1:5" x14ac:dyDescent="0.2">
      <c r="A918" t="s">
        <v>50</v>
      </c>
      <c r="B918">
        <v>1530</v>
      </c>
      <c r="C918">
        <f>'Round2.raw'!W39</f>
        <v>1.1834</v>
      </c>
      <c r="D918" t="s">
        <v>49</v>
      </c>
      <c r="E918" t="s">
        <v>27</v>
      </c>
    </row>
    <row r="919" spans="1:5" x14ac:dyDescent="0.2">
      <c r="A919" t="s">
        <v>50</v>
      </c>
      <c r="B919">
        <v>1560</v>
      </c>
      <c r="C919">
        <f>'Round2.raw'!W40</f>
        <v>1.1837</v>
      </c>
      <c r="D919" t="s">
        <v>49</v>
      </c>
      <c r="E919" t="s">
        <v>27</v>
      </c>
    </row>
    <row r="920" spans="1:5" x14ac:dyDescent="0.2">
      <c r="A920" t="s">
        <v>50</v>
      </c>
      <c r="B920">
        <v>1590</v>
      </c>
      <c r="C920">
        <f>'Round2.raw'!W41</f>
        <v>1.1831</v>
      </c>
      <c r="D920" t="s">
        <v>49</v>
      </c>
      <c r="E920" t="s">
        <v>27</v>
      </c>
    </row>
    <row r="921" spans="1:5" x14ac:dyDescent="0.2">
      <c r="A921" t="s">
        <v>50</v>
      </c>
      <c r="B921">
        <v>1620</v>
      </c>
      <c r="C921">
        <f>'Round2.raw'!W42</f>
        <v>1.1733</v>
      </c>
      <c r="D921" t="s">
        <v>49</v>
      </c>
      <c r="E921" t="s">
        <v>27</v>
      </c>
    </row>
    <row r="922" spans="1:5" x14ac:dyDescent="0.2">
      <c r="A922" t="s">
        <v>50</v>
      </c>
      <c r="B922">
        <v>1650</v>
      </c>
      <c r="C922">
        <f>'Round2.raw'!W43</f>
        <v>1.1694</v>
      </c>
      <c r="D922" t="s">
        <v>49</v>
      </c>
      <c r="E922" t="s">
        <v>27</v>
      </c>
    </row>
    <row r="923" spans="1:5" x14ac:dyDescent="0.2">
      <c r="A923" t="s">
        <v>50</v>
      </c>
      <c r="B923">
        <v>1680</v>
      </c>
      <c r="C923">
        <f>'Round2.raw'!W44</f>
        <v>1.1708000000000001</v>
      </c>
      <c r="D923" t="s">
        <v>49</v>
      </c>
      <c r="E923" t="s">
        <v>27</v>
      </c>
    </row>
    <row r="924" spans="1:5" x14ac:dyDescent="0.2">
      <c r="A924" t="s">
        <v>50</v>
      </c>
      <c r="B924">
        <v>1710</v>
      </c>
      <c r="C924">
        <f>'Round2.raw'!W45</f>
        <v>1.1781999999999999</v>
      </c>
      <c r="D924" t="s">
        <v>49</v>
      </c>
      <c r="E924" t="s">
        <v>27</v>
      </c>
    </row>
    <row r="925" spans="1:5" x14ac:dyDescent="0.2">
      <c r="A925" t="s">
        <v>50</v>
      </c>
      <c r="B925">
        <v>1740</v>
      </c>
      <c r="C925">
        <f>'Round2.raw'!W46</f>
        <v>1.1717</v>
      </c>
      <c r="D925" t="s">
        <v>49</v>
      </c>
      <c r="E925" t="s">
        <v>27</v>
      </c>
    </row>
    <row r="926" spans="1:5" x14ac:dyDescent="0.2">
      <c r="A926" t="s">
        <v>50</v>
      </c>
      <c r="B926">
        <v>1770</v>
      </c>
      <c r="C926">
        <f>'Round2.raw'!W47</f>
        <v>1.1697</v>
      </c>
      <c r="D926" t="s">
        <v>49</v>
      </c>
      <c r="E926" t="s">
        <v>27</v>
      </c>
    </row>
    <row r="927" spans="1:5" x14ac:dyDescent="0.2">
      <c r="A927" t="s">
        <v>50</v>
      </c>
      <c r="B927">
        <v>1800</v>
      </c>
      <c r="C927">
        <f>'Round2.raw'!W48</f>
        <v>1.1677999999999999</v>
      </c>
      <c r="D927" t="s">
        <v>49</v>
      </c>
      <c r="E927" t="s">
        <v>27</v>
      </c>
    </row>
    <row r="928" spans="1:5" x14ac:dyDescent="0.2">
      <c r="A928" t="s">
        <v>50</v>
      </c>
      <c r="B928">
        <v>1830</v>
      </c>
      <c r="C928">
        <f>'Round2.raw'!W49</f>
        <v>1.1747000000000001</v>
      </c>
      <c r="D928" t="s">
        <v>49</v>
      </c>
      <c r="E928" t="s">
        <v>27</v>
      </c>
    </row>
    <row r="929" spans="1:5" x14ac:dyDescent="0.2">
      <c r="A929" t="s">
        <v>50</v>
      </c>
      <c r="B929">
        <v>1860</v>
      </c>
      <c r="C929">
        <f>'Round2.raw'!W50</f>
        <v>1.173</v>
      </c>
      <c r="D929" t="s">
        <v>49</v>
      </c>
      <c r="E929" t="s">
        <v>27</v>
      </c>
    </row>
    <row r="930" spans="1:5" x14ac:dyDescent="0.2">
      <c r="A930" t="s">
        <v>50</v>
      </c>
      <c r="B930">
        <v>1890</v>
      </c>
      <c r="C930">
        <f>'Round2.raw'!W51</f>
        <v>1.1725000000000001</v>
      </c>
      <c r="D930" t="s">
        <v>49</v>
      </c>
      <c r="E930" t="s">
        <v>27</v>
      </c>
    </row>
    <row r="931" spans="1:5" x14ac:dyDescent="0.2">
      <c r="A931" t="s">
        <v>50</v>
      </c>
      <c r="B931">
        <v>1920</v>
      </c>
      <c r="C931">
        <f>'Round2.raw'!W52</f>
        <v>1.1774</v>
      </c>
      <c r="D931" t="s">
        <v>49</v>
      </c>
      <c r="E931" t="s">
        <v>27</v>
      </c>
    </row>
    <row r="932" spans="1:5" x14ac:dyDescent="0.2">
      <c r="A932" t="s">
        <v>50</v>
      </c>
      <c r="B932">
        <v>1950</v>
      </c>
      <c r="C932">
        <f>'Round2.raw'!W53</f>
        <v>1.171</v>
      </c>
      <c r="D932" t="s">
        <v>49</v>
      </c>
      <c r="E932" t="s">
        <v>27</v>
      </c>
    </row>
    <row r="933" spans="1:5" x14ac:dyDescent="0.2">
      <c r="A933" t="s">
        <v>50</v>
      </c>
      <c r="B933">
        <v>1980</v>
      </c>
      <c r="C933">
        <f>'Round2.raw'!W54</f>
        <v>1.1765000000000001</v>
      </c>
      <c r="D933" t="s">
        <v>49</v>
      </c>
      <c r="E933" t="s">
        <v>27</v>
      </c>
    </row>
    <row r="934" spans="1:5" x14ac:dyDescent="0.2">
      <c r="A934" t="s">
        <v>50</v>
      </c>
      <c r="B934">
        <v>2010</v>
      </c>
      <c r="C934">
        <f>'Round2.raw'!W55</f>
        <v>1.1705000000000001</v>
      </c>
      <c r="D934" t="s">
        <v>49</v>
      </c>
      <c r="E934" t="s">
        <v>27</v>
      </c>
    </row>
    <row r="935" spans="1:5" x14ac:dyDescent="0.2">
      <c r="A935" t="s">
        <v>50</v>
      </c>
      <c r="B935">
        <v>2040</v>
      </c>
      <c r="C935">
        <f>'Round2.raw'!W56</f>
        <v>1.1755</v>
      </c>
      <c r="D935" t="s">
        <v>49</v>
      </c>
      <c r="E935" t="s">
        <v>27</v>
      </c>
    </row>
    <row r="936" spans="1:5" x14ac:dyDescent="0.2">
      <c r="A936" t="s">
        <v>50</v>
      </c>
      <c r="B936">
        <v>2070</v>
      </c>
      <c r="C936">
        <f>'Round2.raw'!W57</f>
        <v>1.1728000000000001</v>
      </c>
      <c r="D936" t="s">
        <v>49</v>
      </c>
      <c r="E936" t="s">
        <v>27</v>
      </c>
    </row>
    <row r="937" spans="1:5" x14ac:dyDescent="0.2">
      <c r="A937" t="s">
        <v>51</v>
      </c>
      <c r="B937">
        <v>0</v>
      </c>
      <c r="C937">
        <f>'Round2.raw'!X3</f>
        <v>0.27650000000000002</v>
      </c>
      <c r="D937" t="s">
        <v>49</v>
      </c>
      <c r="E937" t="s">
        <v>27</v>
      </c>
    </row>
    <row r="938" spans="1:5" x14ac:dyDescent="0.2">
      <c r="A938" t="s">
        <v>51</v>
      </c>
      <c r="B938">
        <v>60</v>
      </c>
      <c r="C938">
        <f>'Round2.raw'!X4</f>
        <v>0.34539999999999998</v>
      </c>
      <c r="D938" t="s">
        <v>49</v>
      </c>
      <c r="E938" t="s">
        <v>27</v>
      </c>
    </row>
    <row r="939" spans="1:5" x14ac:dyDescent="0.2">
      <c r="A939" t="s">
        <v>51</v>
      </c>
      <c r="B939">
        <v>120</v>
      </c>
      <c r="C939">
        <f>'Round2.raw'!X5</f>
        <v>0.44209999999999999</v>
      </c>
      <c r="D939" t="s">
        <v>49</v>
      </c>
      <c r="E939" t="s">
        <v>27</v>
      </c>
    </row>
    <row r="940" spans="1:5" x14ac:dyDescent="0.2">
      <c r="A940" t="s">
        <v>51</v>
      </c>
      <c r="B940">
        <v>180</v>
      </c>
      <c r="C940">
        <f>'Round2.raw'!X6</f>
        <v>0.57069999999999999</v>
      </c>
      <c r="D940" t="s">
        <v>49</v>
      </c>
      <c r="E940" t="s">
        <v>27</v>
      </c>
    </row>
    <row r="941" spans="1:5" x14ac:dyDescent="0.2">
      <c r="A941" t="s">
        <v>51</v>
      </c>
      <c r="B941">
        <v>240</v>
      </c>
      <c r="C941">
        <f>'Round2.raw'!X7</f>
        <v>0.70250000000000001</v>
      </c>
      <c r="D941" t="s">
        <v>49</v>
      </c>
      <c r="E941" t="s">
        <v>27</v>
      </c>
    </row>
    <row r="942" spans="1:5" x14ac:dyDescent="0.2">
      <c r="A942" t="s">
        <v>51</v>
      </c>
      <c r="B942">
        <v>300</v>
      </c>
      <c r="C942">
        <f>'Round2.raw'!X8</f>
        <v>0.82540000000000002</v>
      </c>
      <c r="D942" t="s">
        <v>49</v>
      </c>
      <c r="E942" t="s">
        <v>27</v>
      </c>
    </row>
    <row r="943" spans="1:5" x14ac:dyDescent="0.2">
      <c r="A943" t="s">
        <v>51</v>
      </c>
      <c r="B943">
        <v>360</v>
      </c>
      <c r="C943">
        <f>'Round2.raw'!X9</f>
        <v>0.90810000000000002</v>
      </c>
      <c r="D943" t="s">
        <v>49</v>
      </c>
      <c r="E943" t="s">
        <v>27</v>
      </c>
    </row>
    <row r="944" spans="1:5" x14ac:dyDescent="0.2">
      <c r="A944" t="s">
        <v>51</v>
      </c>
      <c r="B944">
        <v>420</v>
      </c>
      <c r="C944">
        <f>'Round2.raw'!X10</f>
        <v>0.96199999999999997</v>
      </c>
      <c r="D944" t="s">
        <v>49</v>
      </c>
      <c r="E944" t="s">
        <v>27</v>
      </c>
    </row>
    <row r="945" spans="1:5" x14ac:dyDescent="0.2">
      <c r="A945" t="s">
        <v>51</v>
      </c>
      <c r="B945">
        <v>480</v>
      </c>
      <c r="C945">
        <f>'Round2.raw'!X11</f>
        <v>1.0114000000000001</v>
      </c>
      <c r="D945" t="s">
        <v>49</v>
      </c>
      <c r="E945" t="s">
        <v>27</v>
      </c>
    </row>
    <row r="946" spans="1:5" x14ac:dyDescent="0.2">
      <c r="A946" t="s">
        <v>51</v>
      </c>
      <c r="B946">
        <v>540</v>
      </c>
      <c r="C946">
        <f>'Round2.raw'!X12</f>
        <v>1.0563</v>
      </c>
      <c r="D946" t="s">
        <v>49</v>
      </c>
      <c r="E946" t="s">
        <v>27</v>
      </c>
    </row>
    <row r="947" spans="1:5" x14ac:dyDescent="0.2">
      <c r="A947" t="s">
        <v>51</v>
      </c>
      <c r="B947">
        <v>600</v>
      </c>
      <c r="C947">
        <f>'Round2.raw'!X13</f>
        <v>1.0880000000000001</v>
      </c>
      <c r="D947" t="s">
        <v>49</v>
      </c>
      <c r="E947" t="s">
        <v>27</v>
      </c>
    </row>
    <row r="948" spans="1:5" x14ac:dyDescent="0.2">
      <c r="A948" t="s">
        <v>51</v>
      </c>
      <c r="B948">
        <v>660</v>
      </c>
      <c r="C948">
        <f>'Round2.raw'!X14</f>
        <v>1.113</v>
      </c>
      <c r="D948" t="s">
        <v>49</v>
      </c>
      <c r="E948" t="s">
        <v>27</v>
      </c>
    </row>
    <row r="949" spans="1:5" x14ac:dyDescent="0.2">
      <c r="A949" t="s">
        <v>51</v>
      </c>
      <c r="B949">
        <v>720</v>
      </c>
      <c r="C949">
        <f>'Round2.raw'!X15</f>
        <v>1.1163000000000001</v>
      </c>
      <c r="D949" t="s">
        <v>49</v>
      </c>
      <c r="E949" t="s">
        <v>27</v>
      </c>
    </row>
    <row r="950" spans="1:5" x14ac:dyDescent="0.2">
      <c r="A950" t="s">
        <v>51</v>
      </c>
      <c r="B950">
        <v>780</v>
      </c>
      <c r="C950">
        <f>'Round2.raw'!X16</f>
        <v>1.1358999999999999</v>
      </c>
      <c r="D950" t="s">
        <v>49</v>
      </c>
      <c r="E950" t="s">
        <v>27</v>
      </c>
    </row>
    <row r="951" spans="1:5" x14ac:dyDescent="0.2">
      <c r="A951" t="s">
        <v>51</v>
      </c>
      <c r="B951">
        <v>840</v>
      </c>
      <c r="C951">
        <f>'Round2.raw'!X17</f>
        <v>1.1415999999999999</v>
      </c>
      <c r="D951" t="s">
        <v>49</v>
      </c>
      <c r="E951" t="s">
        <v>27</v>
      </c>
    </row>
    <row r="952" spans="1:5" x14ac:dyDescent="0.2">
      <c r="A952" t="s">
        <v>51</v>
      </c>
      <c r="B952">
        <v>900</v>
      </c>
      <c r="C952">
        <f>'Round2.raw'!X18</f>
        <v>1.1483000000000001</v>
      </c>
      <c r="D952" t="s">
        <v>49</v>
      </c>
      <c r="E952" t="s">
        <v>27</v>
      </c>
    </row>
    <row r="953" spans="1:5" x14ac:dyDescent="0.2">
      <c r="A953" t="s">
        <v>51</v>
      </c>
      <c r="B953">
        <v>960</v>
      </c>
      <c r="C953">
        <f>'Round2.raw'!X19</f>
        <v>1.1528</v>
      </c>
      <c r="D953" t="s">
        <v>49</v>
      </c>
      <c r="E953" t="s">
        <v>27</v>
      </c>
    </row>
    <row r="954" spans="1:5" x14ac:dyDescent="0.2">
      <c r="A954" t="s">
        <v>51</v>
      </c>
      <c r="B954">
        <v>990</v>
      </c>
      <c r="C954">
        <f>'Round2.raw'!X20</f>
        <v>1.2284999999999999</v>
      </c>
      <c r="D954" t="s">
        <v>49</v>
      </c>
      <c r="E954" t="s">
        <v>27</v>
      </c>
    </row>
    <row r="955" spans="1:5" x14ac:dyDescent="0.2">
      <c r="A955" t="s">
        <v>51</v>
      </c>
      <c r="B955">
        <v>1020</v>
      </c>
      <c r="C955">
        <f>'Round2.raw'!X21</f>
        <v>1.1287</v>
      </c>
      <c r="D955" t="s">
        <v>49</v>
      </c>
      <c r="E955" t="s">
        <v>27</v>
      </c>
    </row>
    <row r="956" spans="1:5" x14ac:dyDescent="0.2">
      <c r="A956" t="s">
        <v>51</v>
      </c>
      <c r="B956">
        <v>1050</v>
      </c>
      <c r="C956">
        <f>'Round2.raw'!X22</f>
        <v>1.1520999999999999</v>
      </c>
      <c r="D956" t="s">
        <v>49</v>
      </c>
      <c r="E956" t="s">
        <v>27</v>
      </c>
    </row>
    <row r="957" spans="1:5" x14ac:dyDescent="0.2">
      <c r="A957" t="s">
        <v>51</v>
      </c>
      <c r="B957">
        <v>1080</v>
      </c>
      <c r="C957">
        <f>'Round2.raw'!X23</f>
        <v>1.1585000000000001</v>
      </c>
      <c r="D957" t="s">
        <v>49</v>
      </c>
      <c r="E957" t="s">
        <v>27</v>
      </c>
    </row>
    <row r="958" spans="1:5" x14ac:dyDescent="0.2">
      <c r="A958" t="s">
        <v>51</v>
      </c>
      <c r="B958">
        <v>1110</v>
      </c>
      <c r="C958">
        <f>'Round2.raw'!X24</f>
        <v>1.1636</v>
      </c>
      <c r="D958" t="s">
        <v>49</v>
      </c>
      <c r="E958" t="s">
        <v>27</v>
      </c>
    </row>
    <row r="959" spans="1:5" x14ac:dyDescent="0.2">
      <c r="A959" t="s">
        <v>51</v>
      </c>
      <c r="B959">
        <v>1140</v>
      </c>
      <c r="C959">
        <f>'Round2.raw'!X25</f>
        <v>1.1659999999999999</v>
      </c>
      <c r="D959" t="s">
        <v>49</v>
      </c>
      <c r="E959" t="s">
        <v>27</v>
      </c>
    </row>
    <row r="960" spans="1:5" x14ac:dyDescent="0.2">
      <c r="A960" t="s">
        <v>51</v>
      </c>
      <c r="B960">
        <v>1170</v>
      </c>
      <c r="C960">
        <f>'Round2.raw'!X26</f>
        <v>1.1783999999999999</v>
      </c>
      <c r="D960" t="s">
        <v>49</v>
      </c>
      <c r="E960" t="s">
        <v>27</v>
      </c>
    </row>
    <row r="961" spans="1:5" x14ac:dyDescent="0.2">
      <c r="A961" t="s">
        <v>51</v>
      </c>
      <c r="B961">
        <v>1200</v>
      </c>
      <c r="C961">
        <f>'Round2.raw'!X27</f>
        <v>1.1781999999999999</v>
      </c>
      <c r="D961" t="s">
        <v>49</v>
      </c>
      <c r="E961" t="s">
        <v>27</v>
      </c>
    </row>
    <row r="962" spans="1:5" x14ac:dyDescent="0.2">
      <c r="A962" t="s">
        <v>51</v>
      </c>
      <c r="B962">
        <v>1230</v>
      </c>
      <c r="C962">
        <f>'Round2.raw'!X28</f>
        <v>1.1775</v>
      </c>
      <c r="D962" t="s">
        <v>49</v>
      </c>
      <c r="E962" t="s">
        <v>27</v>
      </c>
    </row>
    <row r="963" spans="1:5" x14ac:dyDescent="0.2">
      <c r="A963" t="s">
        <v>51</v>
      </c>
      <c r="B963">
        <v>1260</v>
      </c>
      <c r="C963">
        <f>'Round2.raw'!X29</f>
        <v>1.2373000000000001</v>
      </c>
      <c r="D963" t="s">
        <v>49</v>
      </c>
      <c r="E963" t="s">
        <v>27</v>
      </c>
    </row>
    <row r="964" spans="1:5" x14ac:dyDescent="0.2">
      <c r="A964" t="s">
        <v>51</v>
      </c>
      <c r="B964">
        <v>1290</v>
      </c>
      <c r="C964">
        <f>'Round2.raw'!X30</f>
        <v>1.1668000000000001</v>
      </c>
      <c r="D964" t="s">
        <v>49</v>
      </c>
      <c r="E964" t="s">
        <v>27</v>
      </c>
    </row>
    <row r="965" spans="1:5" x14ac:dyDescent="0.2">
      <c r="A965" t="s">
        <v>51</v>
      </c>
      <c r="B965">
        <v>1320</v>
      </c>
      <c r="C965">
        <f>'Round2.raw'!X31</f>
        <v>1.1834</v>
      </c>
      <c r="D965" t="s">
        <v>49</v>
      </c>
      <c r="E965" t="s">
        <v>27</v>
      </c>
    </row>
    <row r="966" spans="1:5" x14ac:dyDescent="0.2">
      <c r="A966" t="s">
        <v>51</v>
      </c>
      <c r="B966">
        <v>1340</v>
      </c>
      <c r="C966">
        <f>'Round2.raw'!X32</f>
        <v>1.2531000000000001</v>
      </c>
      <c r="D966" t="s">
        <v>49</v>
      </c>
      <c r="E966" t="s">
        <v>27</v>
      </c>
    </row>
    <row r="967" spans="1:5" x14ac:dyDescent="0.2">
      <c r="A967" t="s">
        <v>51</v>
      </c>
      <c r="B967">
        <v>1370</v>
      </c>
      <c r="C967">
        <f>'Round2.raw'!X33</f>
        <v>1.2047000000000001</v>
      </c>
      <c r="D967" t="s">
        <v>49</v>
      </c>
      <c r="E967" t="s">
        <v>27</v>
      </c>
    </row>
    <row r="968" spans="1:5" x14ac:dyDescent="0.2">
      <c r="A968" t="s">
        <v>51</v>
      </c>
      <c r="B968">
        <v>1380</v>
      </c>
      <c r="C968">
        <f>'Round2.raw'!X34</f>
        <v>1.1709000000000001</v>
      </c>
      <c r="D968" t="s">
        <v>49</v>
      </c>
      <c r="E968" t="s">
        <v>27</v>
      </c>
    </row>
    <row r="969" spans="1:5" x14ac:dyDescent="0.2">
      <c r="A969" t="s">
        <v>51</v>
      </c>
      <c r="B969">
        <v>1410</v>
      </c>
      <c r="C969">
        <f>'Round2.raw'!X35</f>
        <v>1.1501999999999999</v>
      </c>
      <c r="D969" t="s">
        <v>49</v>
      </c>
      <c r="E969" t="s">
        <v>27</v>
      </c>
    </row>
    <row r="970" spans="1:5" x14ac:dyDescent="0.2">
      <c r="A970" t="s">
        <v>51</v>
      </c>
      <c r="B970">
        <v>1440</v>
      </c>
      <c r="C970">
        <f>'Round2.raw'!X36</f>
        <v>1.1738999999999999</v>
      </c>
      <c r="D970" t="s">
        <v>49</v>
      </c>
      <c r="E970" t="s">
        <v>27</v>
      </c>
    </row>
    <row r="971" spans="1:5" x14ac:dyDescent="0.2">
      <c r="A971" t="s">
        <v>51</v>
      </c>
      <c r="B971">
        <v>1470</v>
      </c>
      <c r="C971">
        <f>'Round2.raw'!X37</f>
        <v>1.1828000000000001</v>
      </c>
      <c r="D971" t="s">
        <v>49</v>
      </c>
      <c r="E971" t="s">
        <v>27</v>
      </c>
    </row>
    <row r="972" spans="1:5" x14ac:dyDescent="0.2">
      <c r="A972" t="s">
        <v>51</v>
      </c>
      <c r="B972">
        <v>1500</v>
      </c>
      <c r="C972">
        <f>'Round2.raw'!X38</f>
        <v>1.1838</v>
      </c>
      <c r="D972" t="s">
        <v>49</v>
      </c>
      <c r="E972" t="s">
        <v>27</v>
      </c>
    </row>
    <row r="973" spans="1:5" x14ac:dyDescent="0.2">
      <c r="A973" t="s">
        <v>51</v>
      </c>
      <c r="B973">
        <v>1530</v>
      </c>
      <c r="C973">
        <f>'Round2.raw'!X39</f>
        <v>1.1871</v>
      </c>
      <c r="D973" t="s">
        <v>49</v>
      </c>
      <c r="E973" t="s">
        <v>27</v>
      </c>
    </row>
    <row r="974" spans="1:5" x14ac:dyDescent="0.2">
      <c r="A974" t="s">
        <v>51</v>
      </c>
      <c r="B974">
        <v>1560</v>
      </c>
      <c r="C974">
        <f>'Round2.raw'!X40</f>
        <v>1.1845000000000001</v>
      </c>
      <c r="D974" t="s">
        <v>49</v>
      </c>
      <c r="E974" t="s">
        <v>27</v>
      </c>
    </row>
    <row r="975" spans="1:5" x14ac:dyDescent="0.2">
      <c r="A975" t="s">
        <v>51</v>
      </c>
      <c r="B975">
        <v>1590</v>
      </c>
      <c r="C975">
        <f>'Round2.raw'!X41</f>
        <v>1.1802999999999999</v>
      </c>
      <c r="D975" t="s">
        <v>49</v>
      </c>
      <c r="E975" t="s">
        <v>27</v>
      </c>
    </row>
    <row r="976" spans="1:5" x14ac:dyDescent="0.2">
      <c r="A976" t="s">
        <v>51</v>
      </c>
      <c r="B976">
        <v>1620</v>
      </c>
      <c r="C976">
        <f>'Round2.raw'!X42</f>
        <v>1.1848000000000001</v>
      </c>
      <c r="D976" t="s">
        <v>49</v>
      </c>
      <c r="E976" t="s">
        <v>27</v>
      </c>
    </row>
    <row r="977" spans="1:5" x14ac:dyDescent="0.2">
      <c r="A977" t="s">
        <v>51</v>
      </c>
      <c r="B977">
        <v>1650</v>
      </c>
      <c r="C977">
        <f>'Round2.raw'!X43</f>
        <v>1.1655</v>
      </c>
      <c r="D977" t="s">
        <v>49</v>
      </c>
      <c r="E977" t="s">
        <v>27</v>
      </c>
    </row>
    <row r="978" spans="1:5" x14ac:dyDescent="0.2">
      <c r="A978" t="s">
        <v>51</v>
      </c>
      <c r="B978">
        <v>1680</v>
      </c>
      <c r="C978">
        <f>'Round2.raw'!X44</f>
        <v>1.1637999999999999</v>
      </c>
      <c r="D978" t="s">
        <v>49</v>
      </c>
      <c r="E978" t="s">
        <v>27</v>
      </c>
    </row>
    <row r="979" spans="1:5" x14ac:dyDescent="0.2">
      <c r="A979" t="s">
        <v>51</v>
      </c>
      <c r="B979">
        <v>1710</v>
      </c>
      <c r="C979">
        <f>'Round2.raw'!X45</f>
        <v>1.1616</v>
      </c>
      <c r="D979" t="s">
        <v>49</v>
      </c>
      <c r="E979" t="s">
        <v>27</v>
      </c>
    </row>
    <row r="980" spans="1:5" x14ac:dyDescent="0.2">
      <c r="A980" t="s">
        <v>51</v>
      </c>
      <c r="B980">
        <v>1740</v>
      </c>
      <c r="C980">
        <f>'Round2.raw'!X46</f>
        <v>1.1567000000000001</v>
      </c>
      <c r="D980" t="s">
        <v>49</v>
      </c>
      <c r="E980" t="s">
        <v>27</v>
      </c>
    </row>
    <row r="981" spans="1:5" x14ac:dyDescent="0.2">
      <c r="A981" t="s">
        <v>51</v>
      </c>
      <c r="B981">
        <v>1770</v>
      </c>
      <c r="C981">
        <f>'Round2.raw'!X47</f>
        <v>1.1518999999999999</v>
      </c>
      <c r="D981" t="s">
        <v>49</v>
      </c>
      <c r="E981" t="s">
        <v>27</v>
      </c>
    </row>
    <row r="982" spans="1:5" x14ac:dyDescent="0.2">
      <c r="A982" t="s">
        <v>51</v>
      </c>
      <c r="B982">
        <v>1800</v>
      </c>
      <c r="C982">
        <f>'Round2.raw'!X48</f>
        <v>1.1504000000000001</v>
      </c>
      <c r="D982" t="s">
        <v>49</v>
      </c>
      <c r="E982" t="s">
        <v>27</v>
      </c>
    </row>
    <row r="983" spans="1:5" x14ac:dyDescent="0.2">
      <c r="A983" t="s">
        <v>51</v>
      </c>
      <c r="B983">
        <v>1830</v>
      </c>
      <c r="C983">
        <f>'Round2.raw'!X49</f>
        <v>1.1555</v>
      </c>
      <c r="D983" t="s">
        <v>49</v>
      </c>
      <c r="E983" t="s">
        <v>27</v>
      </c>
    </row>
    <row r="984" spans="1:5" x14ac:dyDescent="0.2">
      <c r="A984" t="s">
        <v>51</v>
      </c>
      <c r="B984">
        <v>1860</v>
      </c>
      <c r="C984">
        <f>'Round2.raw'!X50</f>
        <v>1.1387</v>
      </c>
      <c r="D984" t="s">
        <v>49</v>
      </c>
      <c r="E984" t="s">
        <v>27</v>
      </c>
    </row>
    <row r="985" spans="1:5" x14ac:dyDescent="0.2">
      <c r="A985" t="s">
        <v>51</v>
      </c>
      <c r="B985">
        <v>1890</v>
      </c>
      <c r="C985">
        <f>'Round2.raw'!X51</f>
        <v>1.1391</v>
      </c>
      <c r="D985" t="s">
        <v>49</v>
      </c>
      <c r="E985" t="s">
        <v>27</v>
      </c>
    </row>
    <row r="986" spans="1:5" x14ac:dyDescent="0.2">
      <c r="A986" t="s">
        <v>51</v>
      </c>
      <c r="B986">
        <v>1920</v>
      </c>
      <c r="C986">
        <f>'Round2.raw'!X52</f>
        <v>1.1328</v>
      </c>
      <c r="D986" t="s">
        <v>49</v>
      </c>
      <c r="E986" t="s">
        <v>27</v>
      </c>
    </row>
    <row r="987" spans="1:5" x14ac:dyDescent="0.2">
      <c r="A987" t="s">
        <v>51</v>
      </c>
      <c r="B987">
        <v>1950</v>
      </c>
      <c r="C987">
        <f>'Round2.raw'!X53</f>
        <v>1.137</v>
      </c>
      <c r="D987" t="s">
        <v>49</v>
      </c>
      <c r="E987" t="s">
        <v>27</v>
      </c>
    </row>
    <row r="988" spans="1:5" x14ac:dyDescent="0.2">
      <c r="A988" t="s">
        <v>51</v>
      </c>
      <c r="B988">
        <v>1980</v>
      </c>
      <c r="C988">
        <f>'Round2.raw'!X54</f>
        <v>1.1304000000000001</v>
      </c>
      <c r="D988" t="s">
        <v>49</v>
      </c>
      <c r="E988" t="s">
        <v>27</v>
      </c>
    </row>
    <row r="989" spans="1:5" x14ac:dyDescent="0.2">
      <c r="A989" t="s">
        <v>51</v>
      </c>
      <c r="B989">
        <v>2010</v>
      </c>
      <c r="C989">
        <f>'Round2.raw'!X55</f>
        <v>1.1343000000000001</v>
      </c>
      <c r="D989" t="s">
        <v>49</v>
      </c>
      <c r="E989" t="s">
        <v>27</v>
      </c>
    </row>
    <row r="990" spans="1:5" x14ac:dyDescent="0.2">
      <c r="A990" t="s">
        <v>51</v>
      </c>
      <c r="B990">
        <v>2040</v>
      </c>
      <c r="C990">
        <f>'Round2.raw'!X56</f>
        <v>1.1311</v>
      </c>
      <c r="D990" t="s">
        <v>49</v>
      </c>
      <c r="E990" t="s">
        <v>27</v>
      </c>
    </row>
    <row r="991" spans="1:5" x14ac:dyDescent="0.2">
      <c r="A991" t="s">
        <v>51</v>
      </c>
      <c r="B991">
        <v>2070</v>
      </c>
      <c r="C991">
        <f>'Round2.raw'!X57</f>
        <v>1.1269</v>
      </c>
      <c r="D991" t="s">
        <v>49</v>
      </c>
      <c r="E99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B7E-925A-F646-9EBC-091196759241}">
  <sheetPr codeName="Sheet2"/>
  <dimension ref="A1:AB60"/>
  <sheetViews>
    <sheetView tabSelected="1" topLeftCell="G1" zoomScale="81" zoomScaleNormal="125" workbookViewId="0">
      <selection activeCell="T49" sqref="T49"/>
    </sheetView>
  </sheetViews>
  <sheetFormatPr baseColWidth="10" defaultRowHeight="16" x14ac:dyDescent="0.2"/>
  <cols>
    <col min="1" max="1" width="14.83203125" bestFit="1" customWidth="1"/>
    <col min="3" max="3" width="14.83203125" bestFit="1" customWidth="1"/>
  </cols>
  <sheetData>
    <row r="1" spans="1:28" ht="21" x14ac:dyDescent="0.25">
      <c r="A1" s="8" t="s">
        <v>15</v>
      </c>
      <c r="B1" s="13" t="s">
        <v>60</v>
      </c>
      <c r="C1" s="13"/>
      <c r="D1" s="13" t="s">
        <v>0</v>
      </c>
      <c r="E1" s="13"/>
      <c r="F1" s="13"/>
      <c r="G1" s="13"/>
      <c r="H1" s="13"/>
      <c r="I1" s="13"/>
      <c r="J1" s="13"/>
      <c r="K1" s="13"/>
      <c r="L1" s="13"/>
      <c r="M1" s="15" t="s">
        <v>55</v>
      </c>
      <c r="N1" s="16"/>
      <c r="O1" s="17"/>
      <c r="P1" s="13" t="s">
        <v>1</v>
      </c>
      <c r="Q1" s="13"/>
      <c r="R1" s="13"/>
      <c r="S1" s="13"/>
      <c r="T1" s="13"/>
      <c r="U1" s="13"/>
      <c r="V1" s="13"/>
      <c r="W1" s="13"/>
      <c r="X1" s="13"/>
      <c r="Y1" s="13" t="s">
        <v>56</v>
      </c>
      <c r="Z1" s="13"/>
      <c r="AA1" s="13"/>
    </row>
    <row r="2" spans="1:28" x14ac:dyDescent="0.2">
      <c r="A2" s="2" t="s">
        <v>15</v>
      </c>
      <c r="B2" s="2" t="s">
        <v>17</v>
      </c>
      <c r="C2" s="2" t="s">
        <v>16</v>
      </c>
      <c r="D2" s="10" t="s">
        <v>9</v>
      </c>
      <c r="E2" s="2" t="s">
        <v>10</v>
      </c>
      <c r="F2" s="2" t="s">
        <v>11</v>
      </c>
      <c r="G2" s="2" t="s">
        <v>28</v>
      </c>
      <c r="H2" s="2" t="s">
        <v>33</v>
      </c>
      <c r="I2" s="2" t="s">
        <v>34</v>
      </c>
      <c r="J2" s="2" t="s">
        <v>29</v>
      </c>
      <c r="K2" s="2" t="s">
        <v>35</v>
      </c>
      <c r="L2" s="2" t="s">
        <v>36</v>
      </c>
      <c r="M2" s="2" t="s">
        <v>57</v>
      </c>
      <c r="N2" s="2" t="s">
        <v>58</v>
      </c>
      <c r="O2" s="2" t="s">
        <v>59</v>
      </c>
      <c r="P2" s="2" t="s">
        <v>3</v>
      </c>
      <c r="Q2" s="2" t="s">
        <v>4</v>
      </c>
      <c r="R2" s="2" t="s">
        <v>5</v>
      </c>
      <c r="S2" s="2" t="s">
        <v>30</v>
      </c>
      <c r="T2" s="2" t="s">
        <v>31</v>
      </c>
      <c r="U2" s="2" t="s">
        <v>32</v>
      </c>
      <c r="V2" s="2" t="s">
        <v>37</v>
      </c>
      <c r="W2" s="2" t="s">
        <v>38</v>
      </c>
      <c r="X2" s="2" t="s">
        <v>39</v>
      </c>
      <c r="Y2" s="2" t="s">
        <v>57</v>
      </c>
      <c r="Z2" s="2" t="s">
        <v>58</v>
      </c>
      <c r="AA2" s="2" t="s">
        <v>59</v>
      </c>
      <c r="AB2" s="2" t="s">
        <v>40</v>
      </c>
    </row>
    <row r="3" spans="1:28" x14ac:dyDescent="0.2">
      <c r="A3" s="5">
        <v>46038.819131944445</v>
      </c>
      <c r="C3">
        <v>0</v>
      </c>
      <c r="D3" s="11">
        <v>9.3899999999999997E-2</v>
      </c>
      <c r="E3" s="1">
        <v>0.1968</v>
      </c>
      <c r="F3" s="1">
        <v>0.1719</v>
      </c>
      <c r="G3" s="1">
        <v>0.1234</v>
      </c>
      <c r="H3" s="1">
        <v>0.1298</v>
      </c>
      <c r="I3" s="12">
        <v>0.2215</v>
      </c>
      <c r="J3" s="1">
        <v>0.1613</v>
      </c>
      <c r="K3" s="1">
        <v>0.22600000000000001</v>
      </c>
      <c r="L3" s="1">
        <v>0.22409999999999999</v>
      </c>
      <c r="M3">
        <f>AVERAGE(D3:F3)</f>
        <v>0.1542</v>
      </c>
      <c r="N3" s="1">
        <f>AVERAGE(G3:I3)</f>
        <v>0.15823333333333334</v>
      </c>
      <c r="O3" s="20">
        <f>AVERAGE(J3:L3)</f>
        <v>0.20379999999999998</v>
      </c>
      <c r="P3" s="1">
        <v>0.19889999999999999</v>
      </c>
      <c r="Q3" s="1">
        <v>0.20899999999999999</v>
      </c>
      <c r="R3" s="1">
        <v>0.2114</v>
      </c>
      <c r="S3" s="1">
        <v>0.1439</v>
      </c>
      <c r="T3" s="1">
        <v>0.13819999999999999</v>
      </c>
      <c r="U3" s="1">
        <v>0.156</v>
      </c>
      <c r="V3" s="1">
        <v>0.24990000000000001</v>
      </c>
      <c r="W3" s="1">
        <v>0.26729999999999998</v>
      </c>
      <c r="X3" s="1">
        <v>0.27650000000000002</v>
      </c>
      <c r="Y3">
        <f>AVERAGE(P3:R3)</f>
        <v>0.20643333333333333</v>
      </c>
      <c r="Z3" s="1">
        <f>AVERAGE(S3:U3)</f>
        <v>0.14603333333333335</v>
      </c>
      <c r="AA3" s="20">
        <f>AVERAGE(V3:X3)</f>
        <v>0.26456666666666667</v>
      </c>
      <c r="AB3" t="s">
        <v>52</v>
      </c>
    </row>
    <row r="4" spans="1:28" x14ac:dyDescent="0.2">
      <c r="C4">
        <f>C3+60</f>
        <v>60</v>
      </c>
      <c r="D4" s="11">
        <v>9.3100000000000002E-2</v>
      </c>
      <c r="E4" s="1">
        <v>0.20930000000000001</v>
      </c>
      <c r="F4" s="1">
        <v>0.19070000000000001</v>
      </c>
      <c r="G4" s="1">
        <v>0.12870000000000001</v>
      </c>
      <c r="H4" s="1">
        <v>0.15629999999999999</v>
      </c>
      <c r="I4" s="12">
        <v>0.24340000000000001</v>
      </c>
      <c r="J4" s="1">
        <v>0.15890000000000001</v>
      </c>
      <c r="K4" s="1">
        <v>0.24840000000000001</v>
      </c>
      <c r="L4" s="1">
        <v>0.2409</v>
      </c>
      <c r="M4">
        <f t="shared" ref="M4:M57" si="0">AVERAGE(D4:F4)</f>
        <v>0.16436666666666666</v>
      </c>
      <c r="N4" s="1">
        <f t="shared" ref="N4:N57" si="1">AVERAGE(G4:I4)</f>
        <v>0.17613333333333334</v>
      </c>
      <c r="O4" s="20">
        <f t="shared" ref="O4:O57" si="2">AVERAGE(J4:L4)</f>
        <v>0.21606666666666666</v>
      </c>
      <c r="P4" s="1">
        <v>0.2152</v>
      </c>
      <c r="Q4" s="1">
        <v>0.23</v>
      </c>
      <c r="R4" s="1">
        <v>0.23230000000000001</v>
      </c>
      <c r="S4" s="1">
        <v>0.17199999999999999</v>
      </c>
      <c r="T4" s="1">
        <v>0.15759999999999999</v>
      </c>
      <c r="U4" s="1">
        <v>0.19220000000000001</v>
      </c>
      <c r="V4" s="1">
        <v>0.32369999999999999</v>
      </c>
      <c r="W4" s="1">
        <v>0.33679999999999999</v>
      </c>
      <c r="X4" s="1">
        <v>0.34539999999999998</v>
      </c>
      <c r="Y4">
        <f t="shared" ref="Y4:Y57" si="3">AVERAGE(P4:R4)</f>
        <v>0.22583333333333333</v>
      </c>
      <c r="Z4" s="1">
        <f t="shared" ref="Z4:Z57" si="4">AVERAGE(S4:U4)</f>
        <v>0.17393333333333336</v>
      </c>
      <c r="AA4" s="20">
        <f t="shared" ref="AA4:AA57" si="5">AVERAGE(V4:X4)</f>
        <v>0.33529999999999999</v>
      </c>
    </row>
    <row r="5" spans="1:28" x14ac:dyDescent="0.2">
      <c r="C5">
        <f t="shared" ref="C5:C19" si="6">C4+60</f>
        <v>120</v>
      </c>
      <c r="D5" s="11">
        <v>9.3600000000000003E-2</v>
      </c>
      <c r="E5" s="1">
        <v>0.23089999999999999</v>
      </c>
      <c r="F5" s="1">
        <v>0.21310000000000001</v>
      </c>
      <c r="G5" s="1">
        <v>0.1469</v>
      </c>
      <c r="H5" s="1">
        <v>0.1487</v>
      </c>
      <c r="I5" s="12">
        <v>0.26329999999999998</v>
      </c>
      <c r="J5" s="1">
        <v>0.15129999999999999</v>
      </c>
      <c r="K5" s="1">
        <v>0.26829999999999998</v>
      </c>
      <c r="L5" s="1">
        <v>0.26590000000000003</v>
      </c>
      <c r="M5">
        <f t="shared" si="0"/>
        <v>0.17920000000000003</v>
      </c>
      <c r="N5" s="1">
        <f t="shared" si="1"/>
        <v>0.18629999999999999</v>
      </c>
      <c r="O5" s="20">
        <f t="shared" si="2"/>
        <v>0.22850000000000001</v>
      </c>
      <c r="P5" s="1">
        <v>0.22750000000000001</v>
      </c>
      <c r="Q5" s="1">
        <v>0.2442</v>
      </c>
      <c r="R5" s="1">
        <v>0.25190000000000001</v>
      </c>
      <c r="S5" s="1">
        <v>0.1817</v>
      </c>
      <c r="T5" s="1">
        <v>0.192</v>
      </c>
      <c r="U5" s="1">
        <v>0.2268</v>
      </c>
      <c r="V5" s="1">
        <v>0.40489999999999998</v>
      </c>
      <c r="W5" s="1">
        <v>0.439</v>
      </c>
      <c r="X5" s="1">
        <v>0.44209999999999999</v>
      </c>
      <c r="Y5">
        <f t="shared" si="3"/>
        <v>0.2412</v>
      </c>
      <c r="Z5" s="1">
        <f t="shared" si="4"/>
        <v>0.20016666666666669</v>
      </c>
      <c r="AA5" s="20">
        <f t="shared" si="5"/>
        <v>0.4286666666666667</v>
      </c>
    </row>
    <row r="6" spans="1:28" x14ac:dyDescent="0.2">
      <c r="C6">
        <f t="shared" si="6"/>
        <v>180</v>
      </c>
      <c r="D6" s="11">
        <v>9.3799999999999994E-2</v>
      </c>
      <c r="E6" s="1">
        <v>0.25409999999999999</v>
      </c>
      <c r="F6" s="1">
        <v>0.23480000000000001</v>
      </c>
      <c r="G6" s="1">
        <v>0.156</v>
      </c>
      <c r="H6" s="1">
        <v>0.154</v>
      </c>
      <c r="I6" s="12">
        <v>0.30959999999999999</v>
      </c>
      <c r="J6" s="1">
        <v>0.15160000000000001</v>
      </c>
      <c r="K6" s="1">
        <v>0.28489999999999999</v>
      </c>
      <c r="L6" s="1">
        <v>0.2823</v>
      </c>
      <c r="M6">
        <f t="shared" si="0"/>
        <v>0.19423333333333334</v>
      </c>
      <c r="N6" s="1">
        <f t="shared" si="1"/>
        <v>0.20653333333333332</v>
      </c>
      <c r="O6" s="20">
        <f t="shared" si="2"/>
        <v>0.23960000000000001</v>
      </c>
      <c r="P6" s="1">
        <v>0.25240000000000001</v>
      </c>
      <c r="Q6" s="1">
        <v>0.25740000000000002</v>
      </c>
      <c r="R6" s="1">
        <v>0.27539999999999998</v>
      </c>
      <c r="S6" s="1">
        <v>0.2049</v>
      </c>
      <c r="T6" s="1">
        <v>0.21840000000000001</v>
      </c>
      <c r="U6" s="1">
        <v>0.2591</v>
      </c>
      <c r="V6" s="1">
        <v>0.51570000000000005</v>
      </c>
      <c r="W6" s="1">
        <v>0.56030000000000002</v>
      </c>
      <c r="X6" s="1">
        <v>0.57069999999999999</v>
      </c>
      <c r="Y6">
        <f t="shared" si="3"/>
        <v>0.26173333333333332</v>
      </c>
      <c r="Z6" s="1">
        <f t="shared" si="4"/>
        <v>0.22746666666666668</v>
      </c>
      <c r="AA6" s="20">
        <f t="shared" si="5"/>
        <v>0.54890000000000005</v>
      </c>
    </row>
    <row r="7" spans="1:28" x14ac:dyDescent="0.2">
      <c r="C7">
        <f t="shared" si="6"/>
        <v>240</v>
      </c>
      <c r="D7" s="11">
        <v>9.4100000000000003E-2</v>
      </c>
      <c r="E7" s="1">
        <v>0.27629999999999999</v>
      </c>
      <c r="F7" s="1">
        <v>0.25829999999999997</v>
      </c>
      <c r="G7" s="1">
        <v>0.16450000000000001</v>
      </c>
      <c r="H7" s="1">
        <v>0.1605</v>
      </c>
      <c r="I7" s="12">
        <v>0.35389999999999999</v>
      </c>
      <c r="J7" s="1">
        <v>0.16189999999999999</v>
      </c>
      <c r="K7" s="1">
        <v>0.30449999999999999</v>
      </c>
      <c r="L7" s="1">
        <v>0.29970000000000002</v>
      </c>
      <c r="M7">
        <f t="shared" si="0"/>
        <v>0.20956666666666668</v>
      </c>
      <c r="N7" s="1">
        <f t="shared" si="1"/>
        <v>0.22630000000000003</v>
      </c>
      <c r="O7" s="20">
        <f t="shared" si="2"/>
        <v>0.25536666666666669</v>
      </c>
      <c r="P7" s="1">
        <v>0.26379999999999998</v>
      </c>
      <c r="Q7" s="1">
        <v>0.27060000000000001</v>
      </c>
      <c r="R7" s="1">
        <v>0.28939999999999999</v>
      </c>
      <c r="S7" s="1">
        <v>0.23630000000000001</v>
      </c>
      <c r="T7" s="1">
        <v>0.23300000000000001</v>
      </c>
      <c r="U7" s="1">
        <v>0.30549999999999999</v>
      </c>
      <c r="V7" s="1">
        <v>0.65769999999999995</v>
      </c>
      <c r="W7" s="1">
        <v>0.68440000000000001</v>
      </c>
      <c r="X7" s="1">
        <v>0.70250000000000001</v>
      </c>
      <c r="Y7">
        <f t="shared" si="3"/>
        <v>0.27460000000000001</v>
      </c>
      <c r="Z7" s="1">
        <f t="shared" si="4"/>
        <v>0.2582666666666667</v>
      </c>
      <c r="AA7" s="20">
        <f t="shared" si="5"/>
        <v>0.68153333333333332</v>
      </c>
    </row>
    <row r="8" spans="1:28" x14ac:dyDescent="0.2">
      <c r="C8">
        <f t="shared" si="6"/>
        <v>300</v>
      </c>
      <c r="D8" s="11">
        <v>9.4500000000000001E-2</v>
      </c>
      <c r="E8" s="1">
        <v>0.31030000000000002</v>
      </c>
      <c r="F8" s="1">
        <v>0.28610000000000002</v>
      </c>
      <c r="G8" s="1">
        <v>0.16470000000000001</v>
      </c>
      <c r="H8" s="1">
        <v>0.16189999999999999</v>
      </c>
      <c r="I8" s="12">
        <v>0.40450000000000003</v>
      </c>
      <c r="J8" s="1">
        <v>0.14779999999999999</v>
      </c>
      <c r="K8" s="1">
        <v>0.317</v>
      </c>
      <c r="L8" s="1">
        <v>0.30709999999999998</v>
      </c>
      <c r="M8">
        <f t="shared" si="0"/>
        <v>0.23030000000000003</v>
      </c>
      <c r="N8" s="1">
        <f t="shared" si="1"/>
        <v>0.24370000000000003</v>
      </c>
      <c r="O8" s="20">
        <f t="shared" si="2"/>
        <v>0.25730000000000003</v>
      </c>
      <c r="P8" s="1">
        <v>0.28299999999999997</v>
      </c>
      <c r="Q8" s="1">
        <v>0.28570000000000001</v>
      </c>
      <c r="R8" s="1">
        <v>0.30680000000000002</v>
      </c>
      <c r="S8" s="1">
        <v>0.27429999999999999</v>
      </c>
      <c r="T8" s="1">
        <v>0.27629999999999999</v>
      </c>
      <c r="U8" s="1">
        <v>0.35420000000000001</v>
      </c>
      <c r="V8" s="1">
        <v>0.79649999999999999</v>
      </c>
      <c r="W8" s="1">
        <v>0.80059999999999998</v>
      </c>
      <c r="X8" s="1">
        <v>0.82540000000000002</v>
      </c>
      <c r="Y8">
        <f t="shared" si="3"/>
        <v>0.29183333333333333</v>
      </c>
      <c r="Z8" s="1">
        <f t="shared" si="4"/>
        <v>0.30160000000000003</v>
      </c>
      <c r="AA8" s="20">
        <f t="shared" si="5"/>
        <v>0.8075</v>
      </c>
    </row>
    <row r="9" spans="1:28" x14ac:dyDescent="0.2">
      <c r="C9">
        <f t="shared" si="6"/>
        <v>360</v>
      </c>
      <c r="D9" s="11">
        <v>9.4700000000000006E-2</v>
      </c>
      <c r="E9" s="1">
        <v>0.33200000000000002</v>
      </c>
      <c r="F9" s="1">
        <v>0.30940000000000001</v>
      </c>
      <c r="G9" s="1">
        <v>0.182</v>
      </c>
      <c r="H9" s="1">
        <v>0.1865</v>
      </c>
      <c r="I9" s="12">
        <v>0.42959999999999998</v>
      </c>
      <c r="J9" s="1">
        <v>0.1477</v>
      </c>
      <c r="K9" s="1">
        <v>0.32940000000000003</v>
      </c>
      <c r="L9" s="1">
        <v>0.32190000000000002</v>
      </c>
      <c r="M9">
        <f t="shared" si="0"/>
        <v>0.24536666666666665</v>
      </c>
      <c r="N9" s="1">
        <f t="shared" si="1"/>
        <v>0.26603333333333334</v>
      </c>
      <c r="O9" s="20">
        <f t="shared" si="2"/>
        <v>0.26633333333333337</v>
      </c>
      <c r="P9" s="1">
        <v>0.2989</v>
      </c>
      <c r="Q9" s="1">
        <v>0.30170000000000002</v>
      </c>
      <c r="R9" s="1">
        <v>0.3241</v>
      </c>
      <c r="S9" s="1">
        <v>0.30969999999999998</v>
      </c>
      <c r="T9" s="1">
        <v>0.32990000000000003</v>
      </c>
      <c r="U9" s="1">
        <v>0.3836</v>
      </c>
      <c r="V9" s="1">
        <v>0.91679999999999995</v>
      </c>
      <c r="W9" s="1">
        <v>0.89929999999999999</v>
      </c>
      <c r="X9" s="1">
        <v>0.90810000000000002</v>
      </c>
      <c r="Y9">
        <f t="shared" si="3"/>
        <v>0.30823333333333336</v>
      </c>
      <c r="Z9" s="1">
        <f t="shared" si="4"/>
        <v>0.34106666666666663</v>
      </c>
      <c r="AA9" s="20">
        <f t="shared" si="5"/>
        <v>0.90806666666666669</v>
      </c>
    </row>
    <row r="10" spans="1:28" x14ac:dyDescent="0.2">
      <c r="C10">
        <f t="shared" si="6"/>
        <v>420</v>
      </c>
      <c r="D10" s="11">
        <v>9.4700000000000006E-2</v>
      </c>
      <c r="E10" s="1">
        <v>0.34339999999999998</v>
      </c>
      <c r="F10" s="1">
        <v>0.32579999999999998</v>
      </c>
      <c r="G10" s="1">
        <v>0.17480000000000001</v>
      </c>
      <c r="H10" s="1">
        <v>0.18809999999999999</v>
      </c>
      <c r="I10" s="12">
        <v>0.4632</v>
      </c>
      <c r="J10" s="1">
        <v>0.15890000000000001</v>
      </c>
      <c r="K10" s="1">
        <v>0.33739999999999998</v>
      </c>
      <c r="L10" s="1">
        <v>0.34410000000000002</v>
      </c>
      <c r="M10">
        <f t="shared" si="0"/>
        <v>0.25463333333333332</v>
      </c>
      <c r="N10" s="18">
        <f t="shared" si="1"/>
        <v>0.2753666666666667</v>
      </c>
      <c r="O10" s="20">
        <f t="shared" si="2"/>
        <v>0.28013333333333335</v>
      </c>
      <c r="P10" s="1">
        <v>0.31709999999999999</v>
      </c>
      <c r="Q10" s="1">
        <v>0.31719999999999998</v>
      </c>
      <c r="R10" s="1">
        <v>0.3427</v>
      </c>
      <c r="S10" s="1">
        <v>0.35849999999999999</v>
      </c>
      <c r="T10" s="1">
        <v>0.36919999999999997</v>
      </c>
      <c r="U10" s="1">
        <v>0.45610000000000001</v>
      </c>
      <c r="V10" s="1">
        <v>0.98819999999999997</v>
      </c>
      <c r="W10" s="1">
        <v>0.96689999999999998</v>
      </c>
      <c r="X10" s="1">
        <v>0.96199999999999997</v>
      </c>
      <c r="Y10">
        <f t="shared" si="3"/>
        <v>0.32566666666666666</v>
      </c>
      <c r="Z10" s="18">
        <f t="shared" si="4"/>
        <v>0.39460000000000001</v>
      </c>
      <c r="AA10" s="20">
        <f t="shared" si="5"/>
        <v>0.97236666666666649</v>
      </c>
    </row>
    <row r="11" spans="1:28" x14ac:dyDescent="0.2">
      <c r="C11">
        <f t="shared" si="6"/>
        <v>480</v>
      </c>
      <c r="D11" s="11">
        <v>9.5100000000000004E-2</v>
      </c>
      <c r="E11" s="1">
        <v>0.35680000000000001</v>
      </c>
      <c r="F11" s="1">
        <v>0.34460000000000002</v>
      </c>
      <c r="G11" s="1">
        <v>0.185</v>
      </c>
      <c r="H11" s="1">
        <v>0.18609999999999999</v>
      </c>
      <c r="I11" s="12">
        <v>0.4758</v>
      </c>
      <c r="J11" s="1">
        <v>0.16320000000000001</v>
      </c>
      <c r="K11" s="1">
        <v>0.34489999999999998</v>
      </c>
      <c r="L11" s="1">
        <v>0.35670000000000002</v>
      </c>
      <c r="M11">
        <f t="shared" si="0"/>
        <v>0.26550000000000001</v>
      </c>
      <c r="N11" s="18">
        <f t="shared" si="1"/>
        <v>0.2823</v>
      </c>
      <c r="O11" s="20">
        <f t="shared" si="2"/>
        <v>0.28826666666666667</v>
      </c>
      <c r="P11" s="1">
        <v>0.3362</v>
      </c>
      <c r="Q11" s="1">
        <v>0.33289999999999997</v>
      </c>
      <c r="R11" s="1">
        <v>0.36170000000000002</v>
      </c>
      <c r="S11" s="1">
        <v>0.40029999999999999</v>
      </c>
      <c r="T11" s="1">
        <v>0.43090000000000001</v>
      </c>
      <c r="U11" s="1">
        <v>0.51549999999999996</v>
      </c>
      <c r="V11" s="1">
        <v>1.0464</v>
      </c>
      <c r="W11" s="1">
        <v>1.0271999999999999</v>
      </c>
      <c r="X11" s="1">
        <v>1.0114000000000001</v>
      </c>
      <c r="Y11">
        <f t="shared" si="3"/>
        <v>0.34360000000000007</v>
      </c>
      <c r="Z11" s="18">
        <f t="shared" si="4"/>
        <v>0.44889999999999991</v>
      </c>
      <c r="AA11" s="20">
        <f t="shared" si="5"/>
        <v>1.0283333333333333</v>
      </c>
    </row>
    <row r="12" spans="1:28" x14ac:dyDescent="0.2">
      <c r="C12">
        <f t="shared" si="6"/>
        <v>540</v>
      </c>
      <c r="D12" s="11">
        <v>9.5000000000000001E-2</v>
      </c>
      <c r="E12" s="1">
        <v>0.36520000000000002</v>
      </c>
      <c r="F12" s="1">
        <v>0.3468</v>
      </c>
      <c r="G12" s="1">
        <v>0.1905</v>
      </c>
      <c r="H12" s="1">
        <v>0.19939999999999999</v>
      </c>
      <c r="I12" s="12">
        <v>0.5262</v>
      </c>
      <c r="J12" s="1">
        <v>0.16039999999999999</v>
      </c>
      <c r="K12" s="1">
        <v>0.34939999999999999</v>
      </c>
      <c r="L12" s="1">
        <v>0.36780000000000002</v>
      </c>
      <c r="M12">
        <f t="shared" si="0"/>
        <v>0.26900000000000002</v>
      </c>
      <c r="N12" s="18">
        <f t="shared" si="1"/>
        <v>0.30536666666666668</v>
      </c>
      <c r="O12" s="20">
        <f t="shared" si="2"/>
        <v>0.29253333333333337</v>
      </c>
      <c r="P12" s="1">
        <v>0.34899999999999998</v>
      </c>
      <c r="Q12" s="1">
        <v>0.35170000000000001</v>
      </c>
      <c r="R12" s="1">
        <v>0.38269999999999998</v>
      </c>
      <c r="S12" s="1">
        <v>0.45340000000000003</v>
      </c>
      <c r="T12" s="1">
        <v>0.49330000000000002</v>
      </c>
      <c r="U12" s="1">
        <v>0.57120000000000004</v>
      </c>
      <c r="V12" s="1">
        <v>1.0972</v>
      </c>
      <c r="W12" s="1">
        <v>1.0689</v>
      </c>
      <c r="X12" s="1">
        <v>1.0563</v>
      </c>
      <c r="Y12">
        <f t="shared" si="3"/>
        <v>0.36113333333333331</v>
      </c>
      <c r="Z12" s="18">
        <f t="shared" si="4"/>
        <v>0.50596666666666668</v>
      </c>
      <c r="AA12" s="20">
        <f t="shared" si="5"/>
        <v>1.0741333333333334</v>
      </c>
    </row>
    <row r="13" spans="1:28" x14ac:dyDescent="0.2">
      <c r="C13">
        <f t="shared" si="6"/>
        <v>600</v>
      </c>
      <c r="D13" s="11">
        <v>9.5100000000000004E-2</v>
      </c>
      <c r="E13" s="1">
        <v>0.36809999999999998</v>
      </c>
      <c r="F13" s="1">
        <v>0.34539999999999998</v>
      </c>
      <c r="G13" s="1">
        <v>0.19950000000000001</v>
      </c>
      <c r="H13" s="1">
        <v>0.20680000000000001</v>
      </c>
      <c r="I13" s="12">
        <v>0.5524</v>
      </c>
      <c r="J13" s="1">
        <v>0.1656</v>
      </c>
      <c r="K13" s="1">
        <v>0.35310000000000002</v>
      </c>
      <c r="L13" s="1">
        <v>0.3841</v>
      </c>
      <c r="M13">
        <f t="shared" si="0"/>
        <v>0.26953333333333335</v>
      </c>
      <c r="N13" s="18">
        <f t="shared" si="1"/>
        <v>0.31956666666666667</v>
      </c>
      <c r="O13" s="20">
        <f t="shared" si="2"/>
        <v>0.30093333333333333</v>
      </c>
      <c r="P13" s="1">
        <v>0.36849999999999999</v>
      </c>
      <c r="Q13" s="1">
        <v>0.37340000000000001</v>
      </c>
      <c r="R13" s="1">
        <v>0.40600000000000003</v>
      </c>
      <c r="S13" s="1">
        <v>0.4859</v>
      </c>
      <c r="T13" s="1">
        <v>0.52859999999999996</v>
      </c>
      <c r="U13" s="1">
        <v>0.6391</v>
      </c>
      <c r="V13" s="1">
        <v>1.125</v>
      </c>
      <c r="W13" s="1">
        <v>1.1047</v>
      </c>
      <c r="X13" s="1">
        <v>1.0880000000000001</v>
      </c>
      <c r="Y13">
        <f t="shared" si="3"/>
        <v>0.38263333333333333</v>
      </c>
      <c r="Z13" s="18">
        <f t="shared" si="4"/>
        <v>0.55120000000000002</v>
      </c>
      <c r="AA13" s="20">
        <f t="shared" si="5"/>
        <v>1.1059000000000001</v>
      </c>
    </row>
    <row r="14" spans="1:28" x14ac:dyDescent="0.2">
      <c r="C14">
        <f t="shared" si="6"/>
        <v>660</v>
      </c>
      <c r="D14" s="11">
        <v>9.5100000000000004E-2</v>
      </c>
      <c r="E14" s="1">
        <v>0.37409999999999999</v>
      </c>
      <c r="F14" s="1">
        <v>0.3412</v>
      </c>
      <c r="G14" s="1">
        <v>0.20699999999999999</v>
      </c>
      <c r="H14" s="1">
        <v>0.21190000000000001</v>
      </c>
      <c r="I14" s="12">
        <v>0.5806</v>
      </c>
      <c r="J14" s="1">
        <v>0.16819999999999999</v>
      </c>
      <c r="K14" s="1">
        <v>0.35680000000000001</v>
      </c>
      <c r="L14" s="1">
        <v>0.39450000000000002</v>
      </c>
      <c r="M14">
        <f t="shared" si="0"/>
        <v>0.27013333333333334</v>
      </c>
      <c r="N14" s="18">
        <f t="shared" si="1"/>
        <v>0.33316666666666667</v>
      </c>
      <c r="O14" s="1">
        <f t="shared" si="2"/>
        <v>0.30649999999999999</v>
      </c>
      <c r="P14" s="1">
        <v>0.38769999999999999</v>
      </c>
      <c r="Q14" s="1">
        <v>0.38900000000000001</v>
      </c>
      <c r="R14" s="1">
        <v>0.42620000000000002</v>
      </c>
      <c r="S14" s="1">
        <v>0.54039999999999999</v>
      </c>
      <c r="T14" s="1">
        <v>0.55810000000000004</v>
      </c>
      <c r="U14" s="1">
        <v>0.69359999999999999</v>
      </c>
      <c r="V14" s="1">
        <v>1.1173999999999999</v>
      </c>
      <c r="W14" s="1">
        <v>1.1365000000000001</v>
      </c>
      <c r="X14" s="1">
        <v>1.113</v>
      </c>
      <c r="Y14">
        <f t="shared" si="3"/>
        <v>0.40096666666666669</v>
      </c>
      <c r="Z14" s="18">
        <f t="shared" si="4"/>
        <v>0.59736666666666671</v>
      </c>
      <c r="AA14" s="1">
        <f t="shared" si="5"/>
        <v>1.1222999999999999</v>
      </c>
    </row>
    <row r="15" spans="1:28" x14ac:dyDescent="0.2">
      <c r="C15">
        <f t="shared" si="6"/>
        <v>720</v>
      </c>
      <c r="D15" s="11">
        <v>9.5100000000000004E-2</v>
      </c>
      <c r="E15" s="1">
        <v>0.37409999999999999</v>
      </c>
      <c r="F15" s="1">
        <v>0.33829999999999999</v>
      </c>
      <c r="G15" s="1">
        <v>0.20660000000000001</v>
      </c>
      <c r="H15" s="1">
        <v>0.20880000000000001</v>
      </c>
      <c r="I15" s="12">
        <v>0.58650000000000002</v>
      </c>
      <c r="J15" s="1">
        <v>0.18110000000000001</v>
      </c>
      <c r="K15" s="1">
        <v>0.35930000000000001</v>
      </c>
      <c r="L15" s="1">
        <v>0.4027</v>
      </c>
      <c r="M15">
        <f t="shared" si="0"/>
        <v>0.26916666666666667</v>
      </c>
      <c r="N15" s="18">
        <f t="shared" si="1"/>
        <v>0.33396666666666669</v>
      </c>
      <c r="O15" s="1">
        <f t="shared" si="2"/>
        <v>0.31436666666666668</v>
      </c>
      <c r="P15" s="1">
        <v>0.40679999999999999</v>
      </c>
      <c r="Q15" s="1">
        <v>0.4113</v>
      </c>
      <c r="R15" s="1">
        <v>0.44840000000000002</v>
      </c>
      <c r="S15" s="1">
        <v>0.57340000000000002</v>
      </c>
      <c r="T15" s="1">
        <v>0.59570000000000001</v>
      </c>
      <c r="U15" s="1">
        <v>0.73150000000000004</v>
      </c>
      <c r="V15" s="1">
        <v>1.1244000000000001</v>
      </c>
      <c r="W15" s="1">
        <v>1.1611</v>
      </c>
      <c r="X15" s="1">
        <v>1.1163000000000001</v>
      </c>
      <c r="Y15">
        <f t="shared" si="3"/>
        <v>0.42216666666666675</v>
      </c>
      <c r="Z15" s="18">
        <f t="shared" si="4"/>
        <v>0.63353333333333339</v>
      </c>
      <c r="AA15" s="1">
        <f t="shared" si="5"/>
        <v>1.1339333333333332</v>
      </c>
    </row>
    <row r="16" spans="1:28" x14ac:dyDescent="0.2">
      <c r="C16">
        <f t="shared" si="6"/>
        <v>780</v>
      </c>
      <c r="D16" s="11">
        <v>9.5100000000000004E-2</v>
      </c>
      <c r="E16" s="1">
        <v>0.3755</v>
      </c>
      <c r="F16" s="1">
        <v>0.3372</v>
      </c>
      <c r="G16" s="1">
        <v>0.2132</v>
      </c>
      <c r="H16" s="1">
        <v>0.20830000000000001</v>
      </c>
      <c r="I16" s="12">
        <v>0.61109999999999998</v>
      </c>
      <c r="J16" s="1">
        <v>0.1825</v>
      </c>
      <c r="K16" s="1">
        <v>0.36049999999999999</v>
      </c>
      <c r="L16" s="1">
        <v>0.40839999999999999</v>
      </c>
      <c r="M16">
        <f t="shared" si="0"/>
        <v>0.26926666666666671</v>
      </c>
      <c r="N16" s="18">
        <f t="shared" si="1"/>
        <v>0.34420000000000001</v>
      </c>
      <c r="O16" s="1">
        <f t="shared" si="2"/>
        <v>0.31713333333333332</v>
      </c>
      <c r="P16" s="1">
        <v>0.41949999999999998</v>
      </c>
      <c r="Q16" s="1">
        <v>0.43440000000000001</v>
      </c>
      <c r="R16" s="1">
        <v>0.47220000000000001</v>
      </c>
      <c r="S16" s="1">
        <v>0.6129</v>
      </c>
      <c r="T16" s="1">
        <v>0.628</v>
      </c>
      <c r="U16" s="1">
        <v>0.78700000000000003</v>
      </c>
      <c r="V16" s="1">
        <v>1.1333</v>
      </c>
      <c r="W16" s="1">
        <v>1.1657999999999999</v>
      </c>
      <c r="X16" s="1">
        <v>1.1358999999999999</v>
      </c>
      <c r="Y16">
        <f t="shared" si="3"/>
        <v>0.44203333333333333</v>
      </c>
      <c r="Z16" s="18">
        <f t="shared" si="4"/>
        <v>0.6759666666666666</v>
      </c>
      <c r="AA16" s="1">
        <f t="shared" si="5"/>
        <v>1.145</v>
      </c>
    </row>
    <row r="17" spans="1:27" x14ac:dyDescent="0.2">
      <c r="C17">
        <f t="shared" si="6"/>
        <v>840</v>
      </c>
      <c r="D17" s="11">
        <v>9.5299999999999996E-2</v>
      </c>
      <c r="E17" s="1">
        <v>0.3775</v>
      </c>
      <c r="F17" s="1">
        <v>0.33260000000000001</v>
      </c>
      <c r="G17" s="1">
        <v>0.21360000000000001</v>
      </c>
      <c r="H17" s="1">
        <v>0.2077</v>
      </c>
      <c r="I17" s="12">
        <v>0.60329999999999995</v>
      </c>
      <c r="J17" s="1">
        <v>0.1865</v>
      </c>
      <c r="K17" s="1">
        <v>0.36470000000000002</v>
      </c>
      <c r="L17" s="1">
        <v>0.41370000000000001</v>
      </c>
      <c r="M17">
        <f t="shared" si="0"/>
        <v>0.26846666666666669</v>
      </c>
      <c r="N17" s="18">
        <f t="shared" si="1"/>
        <v>0.3415333333333333</v>
      </c>
      <c r="O17" s="1">
        <f t="shared" si="2"/>
        <v>0.32163333333333338</v>
      </c>
      <c r="P17" s="1">
        <v>0.44519999999999998</v>
      </c>
      <c r="Q17" s="1">
        <v>0.4617</v>
      </c>
      <c r="R17" s="1">
        <v>0.49880000000000002</v>
      </c>
      <c r="S17" s="1">
        <v>0.64839999999999998</v>
      </c>
      <c r="T17" s="1">
        <v>0.6794</v>
      </c>
      <c r="U17" s="1">
        <v>0.83130000000000004</v>
      </c>
      <c r="V17" s="1">
        <v>1.1163000000000001</v>
      </c>
      <c r="W17" s="1">
        <v>1.1766000000000001</v>
      </c>
      <c r="X17" s="1">
        <v>1.1415999999999999</v>
      </c>
      <c r="Y17">
        <f t="shared" si="3"/>
        <v>0.46856666666666663</v>
      </c>
      <c r="Z17" s="18">
        <f t="shared" si="4"/>
        <v>0.71970000000000001</v>
      </c>
      <c r="AA17" s="1">
        <f t="shared" si="5"/>
        <v>1.1448333333333334</v>
      </c>
    </row>
    <row r="18" spans="1:27" x14ac:dyDescent="0.2">
      <c r="C18">
        <f t="shared" si="6"/>
        <v>900</v>
      </c>
      <c r="D18" s="11">
        <v>9.5299999999999996E-2</v>
      </c>
      <c r="E18" s="1">
        <v>0.37959999999999999</v>
      </c>
      <c r="F18" s="1">
        <v>0.33139999999999997</v>
      </c>
      <c r="G18" s="1">
        <v>0.2215</v>
      </c>
      <c r="H18" s="1">
        <v>0.2072</v>
      </c>
      <c r="I18" s="12">
        <v>0.60919999999999996</v>
      </c>
      <c r="J18" s="1">
        <v>0.19370000000000001</v>
      </c>
      <c r="K18" s="1">
        <v>0.37280000000000002</v>
      </c>
      <c r="L18" s="1">
        <v>0.41849999999999998</v>
      </c>
      <c r="M18">
        <f t="shared" si="0"/>
        <v>0.26876666666666665</v>
      </c>
      <c r="N18" s="18">
        <f t="shared" si="1"/>
        <v>0.3459666666666667</v>
      </c>
      <c r="O18" s="1">
        <f t="shared" si="2"/>
        <v>0.32833333333333331</v>
      </c>
      <c r="P18" s="1">
        <v>0.4718</v>
      </c>
      <c r="Q18" s="1">
        <v>0.49440000000000001</v>
      </c>
      <c r="R18" s="1">
        <v>0.52839999999999998</v>
      </c>
      <c r="S18" s="1">
        <v>0.70989999999999998</v>
      </c>
      <c r="T18" s="1">
        <v>0.72350000000000003</v>
      </c>
      <c r="U18" s="1">
        <v>0.88019999999999998</v>
      </c>
      <c r="V18" s="1">
        <v>1.1151</v>
      </c>
      <c r="W18" s="1">
        <v>1.1736</v>
      </c>
      <c r="X18" s="1">
        <v>1.1483000000000001</v>
      </c>
      <c r="Y18">
        <f t="shared" si="3"/>
        <v>0.49819999999999998</v>
      </c>
      <c r="Z18" s="18">
        <f t="shared" si="4"/>
        <v>0.7712</v>
      </c>
      <c r="AA18" s="1">
        <f t="shared" si="5"/>
        <v>1.1456666666666668</v>
      </c>
    </row>
    <row r="19" spans="1:27" x14ac:dyDescent="0.2">
      <c r="C19">
        <f t="shared" si="6"/>
        <v>960</v>
      </c>
      <c r="D19" s="11">
        <v>9.8000000000000004E-2</v>
      </c>
      <c r="E19" s="1">
        <v>0.38190000000000002</v>
      </c>
      <c r="F19" s="1">
        <v>0.33360000000000001</v>
      </c>
      <c r="G19" s="1">
        <v>0.23250000000000001</v>
      </c>
      <c r="H19" s="1">
        <v>0.20760000000000001</v>
      </c>
      <c r="I19" s="12">
        <v>0.60880000000000001</v>
      </c>
      <c r="J19" s="1">
        <v>0.2009</v>
      </c>
      <c r="K19" s="1">
        <v>0.3755</v>
      </c>
      <c r="L19" s="1">
        <v>0.42330000000000001</v>
      </c>
      <c r="M19">
        <f t="shared" si="0"/>
        <v>0.27116666666666667</v>
      </c>
      <c r="N19" s="18">
        <f t="shared" si="1"/>
        <v>0.34963333333333341</v>
      </c>
      <c r="O19" s="1">
        <f t="shared" si="2"/>
        <v>0.33323333333333333</v>
      </c>
      <c r="P19" s="1">
        <v>0.49859999999999999</v>
      </c>
      <c r="Q19" s="1">
        <v>0.53090000000000004</v>
      </c>
      <c r="R19" s="1">
        <v>0.56120000000000003</v>
      </c>
      <c r="S19" s="1">
        <v>0.7429</v>
      </c>
      <c r="T19" s="1">
        <v>0.75780000000000003</v>
      </c>
      <c r="U19" s="1">
        <v>0.91420000000000001</v>
      </c>
      <c r="V19" s="1">
        <v>1.1175999999999999</v>
      </c>
      <c r="W19" s="1">
        <v>1.179</v>
      </c>
      <c r="X19" s="1">
        <v>1.1528</v>
      </c>
      <c r="Y19">
        <f t="shared" si="3"/>
        <v>0.53023333333333333</v>
      </c>
      <c r="Z19" s="18">
        <f t="shared" si="4"/>
        <v>0.80496666666666672</v>
      </c>
      <c r="AA19" s="1">
        <f t="shared" si="5"/>
        <v>1.1497999999999999</v>
      </c>
    </row>
    <row r="20" spans="1:27" x14ac:dyDescent="0.2">
      <c r="A20" s="5">
        <v>46039.496354166666</v>
      </c>
      <c r="C20">
        <f>C19+30</f>
        <v>990</v>
      </c>
      <c r="D20" s="11">
        <v>0.2485</v>
      </c>
      <c r="E20" s="1">
        <v>0.47139999999999999</v>
      </c>
      <c r="F20" s="1">
        <v>0.35460000000000003</v>
      </c>
      <c r="G20" s="1">
        <v>0.32669999999999999</v>
      </c>
      <c r="H20" s="1">
        <v>0.27639999999999998</v>
      </c>
      <c r="I20" s="12">
        <v>0.65820000000000001</v>
      </c>
      <c r="J20" s="1">
        <v>0.2888</v>
      </c>
      <c r="K20" s="1">
        <v>0.48970000000000002</v>
      </c>
      <c r="L20" s="1">
        <v>0.53469999999999995</v>
      </c>
      <c r="M20">
        <f t="shared" si="0"/>
        <v>0.35816666666666669</v>
      </c>
      <c r="N20" s="18">
        <f t="shared" si="1"/>
        <v>0.42043333333333327</v>
      </c>
      <c r="O20" s="1">
        <f t="shared" si="2"/>
        <v>0.43773333333333331</v>
      </c>
      <c r="P20" s="1">
        <v>0.52039999999999997</v>
      </c>
      <c r="Q20" s="1">
        <v>0.64570000000000005</v>
      </c>
      <c r="R20" s="1">
        <v>0.6996</v>
      </c>
      <c r="S20" s="1">
        <v>0.8095</v>
      </c>
      <c r="T20" s="1">
        <v>0.81830000000000003</v>
      </c>
      <c r="U20" s="1">
        <v>0.90129999999999999</v>
      </c>
      <c r="V20" s="1">
        <v>1.1052999999999999</v>
      </c>
      <c r="W20" s="1">
        <v>1.2591000000000001</v>
      </c>
      <c r="X20" s="1">
        <v>1.2284999999999999</v>
      </c>
      <c r="Y20">
        <f t="shared" si="3"/>
        <v>0.62190000000000001</v>
      </c>
      <c r="Z20" s="18">
        <f t="shared" si="4"/>
        <v>0.84303333333333341</v>
      </c>
      <c r="AA20" s="1">
        <f t="shared" si="5"/>
        <v>1.1976333333333333</v>
      </c>
    </row>
    <row r="21" spans="1:27" x14ac:dyDescent="0.2">
      <c r="C21">
        <f t="shared" ref="C21:C27" si="7">C20+30</f>
        <v>1020</v>
      </c>
      <c r="D21" s="11">
        <v>0.14410000000000001</v>
      </c>
      <c r="E21" s="1">
        <v>0.38969999999999999</v>
      </c>
      <c r="F21" s="1">
        <v>0.32079999999999997</v>
      </c>
      <c r="G21" s="1">
        <v>0.24590000000000001</v>
      </c>
      <c r="H21" s="1">
        <v>0.21160000000000001</v>
      </c>
      <c r="I21" s="12">
        <v>0.60509999999999997</v>
      </c>
      <c r="J21" s="1">
        <v>0.2001</v>
      </c>
      <c r="K21" s="1">
        <v>0.38790000000000002</v>
      </c>
      <c r="L21" s="1">
        <v>0.43559999999999999</v>
      </c>
      <c r="M21">
        <f t="shared" si="0"/>
        <v>0.28486666666666666</v>
      </c>
      <c r="N21" s="18">
        <f t="shared" si="1"/>
        <v>0.35420000000000001</v>
      </c>
      <c r="O21" s="1">
        <f t="shared" si="2"/>
        <v>0.3412</v>
      </c>
      <c r="P21" s="1">
        <v>0.53700000000000003</v>
      </c>
      <c r="Q21" s="1">
        <v>0.56059999999999999</v>
      </c>
      <c r="R21" s="1">
        <v>0.60960000000000003</v>
      </c>
      <c r="S21" s="1">
        <v>0.74809999999999999</v>
      </c>
      <c r="T21" s="1">
        <v>0.76419999999999999</v>
      </c>
      <c r="U21" s="1">
        <v>0.9244</v>
      </c>
      <c r="V21" s="1">
        <v>1.044</v>
      </c>
      <c r="W21" s="1">
        <v>1.1617999999999999</v>
      </c>
      <c r="X21" s="1">
        <v>1.1287</v>
      </c>
      <c r="Y21">
        <f t="shared" si="3"/>
        <v>0.56906666666666661</v>
      </c>
      <c r="Z21" s="18">
        <f t="shared" si="4"/>
        <v>0.81223333333333336</v>
      </c>
      <c r="AA21" s="1">
        <f t="shared" si="5"/>
        <v>1.1115000000000002</v>
      </c>
    </row>
    <row r="22" spans="1:27" x14ac:dyDescent="0.2">
      <c r="A22" s="9">
        <v>0.53749999999999998</v>
      </c>
      <c r="C22">
        <f t="shared" si="7"/>
        <v>1050</v>
      </c>
      <c r="D22" s="11">
        <v>0.13850000000000001</v>
      </c>
      <c r="E22" s="1">
        <v>0.39539999999999997</v>
      </c>
      <c r="F22" s="1">
        <v>0.34439999999999998</v>
      </c>
      <c r="G22" s="1">
        <v>0.2616</v>
      </c>
      <c r="H22" s="1">
        <v>0.21210000000000001</v>
      </c>
      <c r="I22" s="12">
        <v>0.61419999999999997</v>
      </c>
      <c r="J22" s="1">
        <v>0.20100000000000001</v>
      </c>
      <c r="K22" s="1">
        <v>0.3921</v>
      </c>
      <c r="L22" s="1">
        <v>0.43230000000000002</v>
      </c>
      <c r="M22">
        <f t="shared" si="0"/>
        <v>0.29276666666666668</v>
      </c>
      <c r="N22" s="18">
        <f t="shared" si="1"/>
        <v>0.36263333333333331</v>
      </c>
      <c r="O22" s="1">
        <f t="shared" si="2"/>
        <v>0.34179999999999994</v>
      </c>
      <c r="P22" s="1">
        <v>0.55859999999999999</v>
      </c>
      <c r="Q22" s="1">
        <v>0.58350000000000002</v>
      </c>
      <c r="R22" s="1">
        <v>0.62450000000000006</v>
      </c>
      <c r="S22" s="1">
        <v>0.77459999999999996</v>
      </c>
      <c r="T22" s="1">
        <v>0.81330000000000002</v>
      </c>
      <c r="U22" s="1">
        <v>0.95130000000000003</v>
      </c>
      <c r="V22" s="1">
        <v>1.0519000000000001</v>
      </c>
      <c r="W22" s="1">
        <v>1.1872</v>
      </c>
      <c r="X22" s="1">
        <v>1.1520999999999999</v>
      </c>
      <c r="Y22">
        <f t="shared" si="3"/>
        <v>0.58886666666666676</v>
      </c>
      <c r="Z22" s="18">
        <f t="shared" si="4"/>
        <v>0.84640000000000004</v>
      </c>
      <c r="AA22" s="1">
        <f t="shared" si="5"/>
        <v>1.1304000000000001</v>
      </c>
    </row>
    <row r="23" spans="1:27" x14ac:dyDescent="0.2">
      <c r="C23">
        <f t="shared" si="7"/>
        <v>1080</v>
      </c>
      <c r="D23" s="11">
        <v>0.1459</v>
      </c>
      <c r="E23" s="1">
        <v>0.40510000000000002</v>
      </c>
      <c r="F23" s="1">
        <v>0.36969999999999997</v>
      </c>
      <c r="G23" s="1">
        <v>0.26579999999999998</v>
      </c>
      <c r="H23" s="1">
        <v>0.21440000000000001</v>
      </c>
      <c r="I23" s="12">
        <v>0.63219999999999998</v>
      </c>
      <c r="J23" s="1">
        <v>0.20499999999999999</v>
      </c>
      <c r="K23" s="1">
        <v>0.39610000000000001</v>
      </c>
      <c r="L23" s="1">
        <v>0.43369999999999997</v>
      </c>
      <c r="M23">
        <f t="shared" si="0"/>
        <v>0.30690000000000001</v>
      </c>
      <c r="N23" s="18">
        <f t="shared" si="1"/>
        <v>0.37080000000000002</v>
      </c>
      <c r="O23" s="1">
        <f t="shared" si="2"/>
        <v>0.34493333333333331</v>
      </c>
      <c r="P23" s="1">
        <v>0.59130000000000005</v>
      </c>
      <c r="Q23" s="1">
        <v>0.59989999999999999</v>
      </c>
      <c r="R23" s="1">
        <v>0.65429999999999999</v>
      </c>
      <c r="S23" s="1">
        <v>0.7843</v>
      </c>
      <c r="T23" s="1">
        <v>0.80579999999999996</v>
      </c>
      <c r="U23" s="1">
        <v>0.96919999999999995</v>
      </c>
      <c r="V23" s="1">
        <v>1.0976999999999999</v>
      </c>
      <c r="W23" s="1">
        <v>1.1863999999999999</v>
      </c>
      <c r="X23" s="1">
        <v>1.1585000000000001</v>
      </c>
      <c r="Y23">
        <f t="shared" si="3"/>
        <v>0.61516666666666664</v>
      </c>
      <c r="Z23" s="18">
        <f t="shared" si="4"/>
        <v>0.85309999999999997</v>
      </c>
      <c r="AA23" s="1">
        <f t="shared" si="5"/>
        <v>1.1475333333333333</v>
      </c>
    </row>
    <row r="24" spans="1:27" x14ac:dyDescent="0.2">
      <c r="A24" s="9">
        <v>0.57916666666666672</v>
      </c>
      <c r="C24">
        <f t="shared" si="7"/>
        <v>1110</v>
      </c>
      <c r="D24" s="11">
        <v>0.159</v>
      </c>
      <c r="E24" s="1">
        <v>0.41489999999999999</v>
      </c>
      <c r="F24" s="1">
        <v>0.38690000000000002</v>
      </c>
      <c r="G24" s="1">
        <v>0.27150000000000002</v>
      </c>
      <c r="H24" s="1">
        <v>0.2165</v>
      </c>
      <c r="I24" s="12">
        <v>0.64119999999999999</v>
      </c>
      <c r="J24" s="1">
        <v>0.2072</v>
      </c>
      <c r="K24" s="1">
        <v>0.40150000000000002</v>
      </c>
      <c r="L24" s="1">
        <v>0.43730000000000002</v>
      </c>
      <c r="M24">
        <f t="shared" si="0"/>
        <v>0.32026666666666664</v>
      </c>
      <c r="N24" s="18">
        <f t="shared" si="1"/>
        <v>0.37640000000000001</v>
      </c>
      <c r="O24" s="1">
        <f t="shared" si="2"/>
        <v>0.34866666666666668</v>
      </c>
      <c r="P24" s="1">
        <v>0.61140000000000005</v>
      </c>
      <c r="Q24" s="1">
        <v>0.6169</v>
      </c>
      <c r="R24" s="1">
        <v>0.6774</v>
      </c>
      <c r="S24" s="1">
        <v>0.79600000000000004</v>
      </c>
      <c r="T24" s="1">
        <v>0.84489999999999998</v>
      </c>
      <c r="U24" s="1">
        <v>0.99629999999999996</v>
      </c>
      <c r="V24" s="1">
        <v>1.113</v>
      </c>
      <c r="W24" s="1">
        <v>1.1917</v>
      </c>
      <c r="X24" s="1">
        <v>1.1636</v>
      </c>
      <c r="Y24">
        <f t="shared" si="3"/>
        <v>0.63523333333333332</v>
      </c>
      <c r="Z24" s="18">
        <f t="shared" si="4"/>
        <v>0.87906666666666666</v>
      </c>
      <c r="AA24" s="1">
        <f t="shared" si="5"/>
        <v>1.1561000000000001</v>
      </c>
    </row>
    <row r="25" spans="1:27" x14ac:dyDescent="0.2">
      <c r="C25">
        <f t="shared" si="7"/>
        <v>1140</v>
      </c>
      <c r="D25" s="11">
        <v>0.1547</v>
      </c>
      <c r="E25" s="1">
        <v>0.42530000000000001</v>
      </c>
      <c r="F25" s="1">
        <v>0.39129999999999998</v>
      </c>
      <c r="G25" s="1">
        <v>0.28370000000000001</v>
      </c>
      <c r="H25" s="1">
        <v>0.2198</v>
      </c>
      <c r="I25" s="12">
        <v>0.65839999999999999</v>
      </c>
      <c r="J25" s="1">
        <v>0.2094</v>
      </c>
      <c r="K25" s="1">
        <v>0.40749999999999997</v>
      </c>
      <c r="L25" s="1">
        <v>0.43890000000000001</v>
      </c>
      <c r="M25">
        <f t="shared" si="0"/>
        <v>0.3237666666666667</v>
      </c>
      <c r="N25" s="18">
        <f t="shared" si="1"/>
        <v>0.38730000000000003</v>
      </c>
      <c r="O25" s="1">
        <f t="shared" si="2"/>
        <v>0.35193333333333338</v>
      </c>
      <c r="P25" s="1">
        <v>0.64449999999999996</v>
      </c>
      <c r="Q25" s="1">
        <v>0.6381</v>
      </c>
      <c r="R25" s="1">
        <v>0.6966</v>
      </c>
      <c r="S25" s="1">
        <v>0.8125</v>
      </c>
      <c r="T25" s="1">
        <v>0.83440000000000003</v>
      </c>
      <c r="U25" s="1">
        <v>1.0146999999999999</v>
      </c>
      <c r="V25" s="1">
        <v>1.1183000000000001</v>
      </c>
      <c r="W25" s="1">
        <v>1.1957</v>
      </c>
      <c r="X25" s="1">
        <v>1.1659999999999999</v>
      </c>
      <c r="Y25">
        <f t="shared" si="3"/>
        <v>0.65973333333333339</v>
      </c>
      <c r="Z25" s="18">
        <f t="shared" si="4"/>
        <v>0.88719999999999999</v>
      </c>
      <c r="AA25" s="1">
        <f t="shared" si="5"/>
        <v>1.1599999999999999</v>
      </c>
    </row>
    <row r="26" spans="1:27" x14ac:dyDescent="0.2">
      <c r="A26" s="9">
        <v>0.62083333333333335</v>
      </c>
      <c r="C26">
        <f t="shared" si="7"/>
        <v>1170</v>
      </c>
      <c r="D26" s="11">
        <v>0.14710000000000001</v>
      </c>
      <c r="E26" s="1">
        <v>0.43930000000000002</v>
      </c>
      <c r="F26" s="1">
        <v>0.38600000000000001</v>
      </c>
      <c r="G26" s="1">
        <v>0.29189999999999999</v>
      </c>
      <c r="H26" s="1">
        <v>0.2223</v>
      </c>
      <c r="I26" s="12">
        <v>0.66010000000000002</v>
      </c>
      <c r="J26" s="1">
        <v>0.21099999999999999</v>
      </c>
      <c r="K26" s="1">
        <v>0.4128</v>
      </c>
      <c r="L26" s="1">
        <v>0.44090000000000001</v>
      </c>
      <c r="M26">
        <f t="shared" si="0"/>
        <v>0.32413333333333333</v>
      </c>
      <c r="N26" s="18">
        <f t="shared" si="1"/>
        <v>0.39143333333333336</v>
      </c>
      <c r="O26" s="1">
        <f t="shared" si="2"/>
        <v>0.35489999999999999</v>
      </c>
      <c r="P26" s="1">
        <v>0.66800000000000004</v>
      </c>
      <c r="Q26" s="1">
        <v>0.65449999999999997</v>
      </c>
      <c r="R26" s="1">
        <v>0.71699999999999997</v>
      </c>
      <c r="S26" s="1">
        <v>0.83599999999999997</v>
      </c>
      <c r="T26" s="1">
        <v>0.87319999999999998</v>
      </c>
      <c r="U26" s="1">
        <v>1.0378000000000001</v>
      </c>
      <c r="V26" s="1">
        <v>1.1273</v>
      </c>
      <c r="W26" s="1">
        <v>1.1889000000000001</v>
      </c>
      <c r="X26" s="1">
        <v>1.1783999999999999</v>
      </c>
      <c r="Y26">
        <f t="shared" si="3"/>
        <v>0.67983333333333329</v>
      </c>
      <c r="Z26" s="18">
        <f t="shared" si="4"/>
        <v>0.91566666666666663</v>
      </c>
      <c r="AA26" s="1">
        <f t="shared" si="5"/>
        <v>1.1648666666666667</v>
      </c>
    </row>
    <row r="27" spans="1:27" x14ac:dyDescent="0.2">
      <c r="C27">
        <f t="shared" si="7"/>
        <v>1200</v>
      </c>
      <c r="D27" s="11">
        <v>0.16120000000000001</v>
      </c>
      <c r="E27" s="1">
        <v>0.44409999999999999</v>
      </c>
      <c r="F27" s="1">
        <v>0.37940000000000002</v>
      </c>
      <c r="G27" s="1">
        <v>0.30459999999999998</v>
      </c>
      <c r="H27" s="1">
        <v>0.22489999999999999</v>
      </c>
      <c r="I27" s="12">
        <v>0.65949999999999998</v>
      </c>
      <c r="J27" s="1">
        <v>0.2114</v>
      </c>
      <c r="K27" s="1">
        <v>0.41949999999999998</v>
      </c>
      <c r="L27" s="1">
        <v>0.44309999999999999</v>
      </c>
      <c r="M27">
        <f t="shared" si="0"/>
        <v>0.32823333333333332</v>
      </c>
      <c r="N27" s="18">
        <f t="shared" si="1"/>
        <v>0.39633333333333337</v>
      </c>
      <c r="O27" s="1">
        <f t="shared" si="2"/>
        <v>0.35800000000000004</v>
      </c>
      <c r="P27" s="1">
        <v>0.69630000000000003</v>
      </c>
      <c r="Q27" s="1">
        <v>0.67300000000000004</v>
      </c>
      <c r="R27" s="1">
        <v>0.73640000000000005</v>
      </c>
      <c r="S27" s="1">
        <v>0.86070000000000002</v>
      </c>
      <c r="T27" s="1">
        <v>0.88519999999999999</v>
      </c>
      <c r="U27" s="1">
        <v>1.044</v>
      </c>
      <c r="V27" s="1">
        <v>1.1227</v>
      </c>
      <c r="W27" s="1">
        <v>1.1840999999999999</v>
      </c>
      <c r="X27" s="1">
        <v>1.1781999999999999</v>
      </c>
      <c r="Y27">
        <f t="shared" si="3"/>
        <v>0.70190000000000008</v>
      </c>
      <c r="Z27" s="18">
        <f t="shared" si="4"/>
        <v>0.92996666666666672</v>
      </c>
      <c r="AA27" s="1">
        <f t="shared" si="5"/>
        <v>1.1616666666666666</v>
      </c>
    </row>
    <row r="28" spans="1:27" x14ac:dyDescent="0.2">
      <c r="A28" s="9">
        <v>0.66249999999999998</v>
      </c>
      <c r="C28">
        <f>C27+30</f>
        <v>1230</v>
      </c>
      <c r="D28" s="11">
        <v>0.15340000000000001</v>
      </c>
      <c r="E28" s="1">
        <v>0.45150000000000001</v>
      </c>
      <c r="F28" s="1">
        <v>0.37519999999999998</v>
      </c>
      <c r="G28" s="1">
        <v>0.30969999999999998</v>
      </c>
      <c r="H28" s="1">
        <v>0.2296</v>
      </c>
      <c r="I28" s="12">
        <v>0.66790000000000005</v>
      </c>
      <c r="J28" s="1">
        <v>0.21240000000000001</v>
      </c>
      <c r="K28" s="1">
        <v>0.42549999999999999</v>
      </c>
      <c r="L28" s="1">
        <v>0.4446</v>
      </c>
      <c r="M28">
        <f t="shared" si="0"/>
        <v>0.32669999999999999</v>
      </c>
      <c r="N28" s="18">
        <f t="shared" si="1"/>
        <v>0.40240000000000004</v>
      </c>
      <c r="O28" s="1">
        <f t="shared" si="2"/>
        <v>0.36083333333333334</v>
      </c>
      <c r="P28" s="1">
        <v>0.72560000000000002</v>
      </c>
      <c r="Q28" s="1">
        <v>0.69120000000000004</v>
      </c>
      <c r="R28" s="1">
        <v>0.75929999999999997</v>
      </c>
      <c r="S28" s="1">
        <v>0.88239999999999996</v>
      </c>
      <c r="T28" s="1">
        <v>0.9002</v>
      </c>
      <c r="U28" s="1">
        <v>1.0679000000000001</v>
      </c>
      <c r="V28" s="1">
        <v>1.1247</v>
      </c>
      <c r="W28" s="1">
        <v>1.1924999999999999</v>
      </c>
      <c r="X28" s="1">
        <v>1.1775</v>
      </c>
      <c r="Y28">
        <f t="shared" si="3"/>
        <v>0.7253666666666666</v>
      </c>
      <c r="Z28" s="18">
        <f t="shared" si="4"/>
        <v>0.95016666666666671</v>
      </c>
      <c r="AA28" s="1">
        <f t="shared" si="5"/>
        <v>1.1649</v>
      </c>
    </row>
    <row r="29" spans="1:27" x14ac:dyDescent="0.2">
      <c r="A29" s="5">
        <v>46039.685706018521</v>
      </c>
      <c r="C29">
        <f>C28+30</f>
        <v>1260</v>
      </c>
      <c r="D29" s="11">
        <v>0.2467</v>
      </c>
      <c r="E29" s="1">
        <v>0.53459999999999996</v>
      </c>
      <c r="F29" s="1">
        <v>0.4118</v>
      </c>
      <c r="G29" s="1">
        <v>0.3977</v>
      </c>
      <c r="H29" s="1">
        <v>0.30149999999999999</v>
      </c>
      <c r="I29" s="12">
        <v>0.69359999999999999</v>
      </c>
      <c r="J29" s="1">
        <v>0.27410000000000001</v>
      </c>
      <c r="K29" s="1">
        <v>0.52259999999999995</v>
      </c>
      <c r="L29" s="1">
        <v>0.52310000000000001</v>
      </c>
      <c r="M29">
        <f t="shared" si="0"/>
        <v>0.3977</v>
      </c>
      <c r="N29" s="18">
        <f t="shared" si="1"/>
        <v>0.46426666666666666</v>
      </c>
      <c r="O29" s="1">
        <f t="shared" si="2"/>
        <v>0.43993333333333329</v>
      </c>
      <c r="P29" s="1">
        <v>0.76600000000000001</v>
      </c>
      <c r="Q29" s="1">
        <v>0.83199999999999996</v>
      </c>
      <c r="R29" s="1">
        <v>0.90159999999999996</v>
      </c>
      <c r="S29" s="1">
        <v>0.995</v>
      </c>
      <c r="T29" s="1">
        <v>1.0041</v>
      </c>
      <c r="U29" s="1">
        <v>1.0771999999999999</v>
      </c>
      <c r="V29" s="1">
        <v>1.1738</v>
      </c>
      <c r="W29" s="1">
        <v>1.2672000000000001</v>
      </c>
      <c r="X29" s="1">
        <v>1.2373000000000001</v>
      </c>
      <c r="Y29">
        <f t="shared" si="3"/>
        <v>0.83320000000000005</v>
      </c>
      <c r="Z29" s="18">
        <f t="shared" si="4"/>
        <v>1.0254333333333332</v>
      </c>
      <c r="AA29" s="1">
        <f t="shared" si="5"/>
        <v>1.2261</v>
      </c>
    </row>
    <row r="30" spans="1:27" x14ac:dyDescent="0.2">
      <c r="A30" s="9"/>
      <c r="C30">
        <f>C29+30</f>
        <v>1290</v>
      </c>
      <c r="D30" s="11">
        <v>0.13900000000000001</v>
      </c>
      <c r="E30" s="1">
        <v>0.436</v>
      </c>
      <c r="F30" s="1">
        <v>0.38600000000000001</v>
      </c>
      <c r="G30" s="1">
        <v>0.3271</v>
      </c>
      <c r="H30" s="1">
        <v>0.24049999999999999</v>
      </c>
      <c r="I30" s="12">
        <v>0.65510000000000002</v>
      </c>
      <c r="J30" s="1">
        <v>0.22009999999999999</v>
      </c>
      <c r="K30" s="1">
        <v>0.42980000000000002</v>
      </c>
      <c r="L30" s="1">
        <v>0.44929999999999998</v>
      </c>
      <c r="M30">
        <f t="shared" si="0"/>
        <v>0.3203333333333333</v>
      </c>
      <c r="N30" s="18">
        <f t="shared" si="1"/>
        <v>0.40756666666666669</v>
      </c>
      <c r="O30" s="1">
        <f t="shared" si="2"/>
        <v>0.3664</v>
      </c>
      <c r="P30" s="1">
        <v>0.78069999999999995</v>
      </c>
      <c r="Q30" s="1">
        <v>0.73839999999999995</v>
      </c>
      <c r="R30" s="1">
        <v>0.80079999999999996</v>
      </c>
      <c r="S30" s="1">
        <v>0.93520000000000003</v>
      </c>
      <c r="T30" s="1">
        <v>0.93979999999999997</v>
      </c>
      <c r="U30" s="1">
        <v>1.0941000000000001</v>
      </c>
      <c r="V30" s="1">
        <v>1.1202000000000001</v>
      </c>
      <c r="W30" s="1">
        <v>1.1802999999999999</v>
      </c>
      <c r="X30" s="1">
        <v>1.1668000000000001</v>
      </c>
      <c r="Y30">
        <f t="shared" si="3"/>
        <v>0.77329999999999988</v>
      </c>
      <c r="Z30" s="18">
        <f t="shared" si="4"/>
        <v>0.98970000000000002</v>
      </c>
      <c r="AA30" s="1">
        <f t="shared" si="5"/>
        <v>1.1557666666666666</v>
      </c>
    </row>
    <row r="31" spans="1:27" x14ac:dyDescent="0.2">
      <c r="A31" s="5">
        <v>46039.727442129632</v>
      </c>
      <c r="C31">
        <f>C28+90</f>
        <v>1320</v>
      </c>
      <c r="D31" s="11">
        <v>0.1792</v>
      </c>
      <c r="E31" s="1">
        <v>0.4622</v>
      </c>
      <c r="F31" s="1">
        <v>0.40889999999999999</v>
      </c>
      <c r="G31" s="1">
        <v>0.35470000000000002</v>
      </c>
      <c r="H31" s="1">
        <v>0.25009999999999999</v>
      </c>
      <c r="I31" s="12">
        <v>0.67989999999999995</v>
      </c>
      <c r="J31" s="1">
        <v>0.22700000000000001</v>
      </c>
      <c r="K31" s="1">
        <v>0.4375</v>
      </c>
      <c r="L31" s="1">
        <v>0.47639999999999999</v>
      </c>
      <c r="M31">
        <f t="shared" si="0"/>
        <v>0.35010000000000002</v>
      </c>
      <c r="N31" s="1">
        <f t="shared" si="1"/>
        <v>0.4282333333333333</v>
      </c>
      <c r="O31" s="1">
        <f t="shared" si="2"/>
        <v>0.38030000000000003</v>
      </c>
      <c r="P31" s="1">
        <v>0.81889999999999996</v>
      </c>
      <c r="Q31" s="1">
        <v>0.80049999999999999</v>
      </c>
      <c r="R31" s="1">
        <v>0.87109999999999999</v>
      </c>
      <c r="S31" s="1">
        <v>0.96899999999999997</v>
      </c>
      <c r="T31" s="1">
        <v>0.97050000000000003</v>
      </c>
      <c r="U31" s="1">
        <v>1.0981000000000001</v>
      </c>
      <c r="V31" s="1">
        <v>1.1613</v>
      </c>
      <c r="W31" s="1">
        <v>1.2243999999999999</v>
      </c>
      <c r="X31" s="1">
        <v>1.1834</v>
      </c>
      <c r="Y31">
        <f t="shared" si="3"/>
        <v>0.83016666666666661</v>
      </c>
      <c r="Z31" s="1">
        <f t="shared" si="4"/>
        <v>1.0125333333333335</v>
      </c>
      <c r="AA31" s="1">
        <f t="shared" si="5"/>
        <v>1.1897</v>
      </c>
    </row>
    <row r="32" spans="1:27" x14ac:dyDescent="0.2">
      <c r="A32" s="5">
        <v>46039.740833333337</v>
      </c>
      <c r="C32">
        <f>C31+20</f>
        <v>1340</v>
      </c>
      <c r="D32" s="11">
        <v>0.2707</v>
      </c>
      <c r="E32" s="1">
        <v>0.55359999999999998</v>
      </c>
      <c r="F32" s="1">
        <v>0.48770000000000002</v>
      </c>
      <c r="G32" s="1">
        <v>0.4335</v>
      </c>
      <c r="H32" s="1">
        <v>0.34570000000000001</v>
      </c>
      <c r="I32" s="12">
        <v>0.69689999999999996</v>
      </c>
      <c r="J32" s="1">
        <v>0.28039999999999998</v>
      </c>
      <c r="K32" s="1">
        <v>0.50819999999999999</v>
      </c>
      <c r="L32" s="1">
        <v>0.57489999999999997</v>
      </c>
      <c r="M32">
        <f t="shared" si="0"/>
        <v>0.43733333333333335</v>
      </c>
      <c r="N32" s="1">
        <f t="shared" si="1"/>
        <v>0.49203333333333332</v>
      </c>
      <c r="O32" s="1">
        <f t="shared" si="2"/>
        <v>0.45449999999999996</v>
      </c>
      <c r="P32" s="1">
        <v>0.83919999999999995</v>
      </c>
      <c r="Q32" s="1">
        <v>0.91830000000000001</v>
      </c>
      <c r="R32" s="1">
        <v>0.99670000000000003</v>
      </c>
      <c r="S32" s="1">
        <v>1.0605</v>
      </c>
      <c r="T32" s="1">
        <v>1.0478000000000001</v>
      </c>
      <c r="U32" s="1">
        <v>1.1103000000000001</v>
      </c>
      <c r="V32" s="1">
        <v>1.1405000000000001</v>
      </c>
      <c r="W32" s="1">
        <v>1.2786</v>
      </c>
      <c r="X32" s="1">
        <v>1.2531000000000001</v>
      </c>
      <c r="Y32">
        <f t="shared" si="3"/>
        <v>0.9180666666666667</v>
      </c>
      <c r="Z32" s="1">
        <f t="shared" si="4"/>
        <v>1.0728666666666666</v>
      </c>
      <c r="AA32" s="1">
        <f t="shared" si="5"/>
        <v>1.2240666666666666</v>
      </c>
    </row>
    <row r="33" spans="1:27" x14ac:dyDescent="0.2">
      <c r="A33" s="5">
        <v>46039.75953703704</v>
      </c>
      <c r="C33">
        <f>C32+30</f>
        <v>1370</v>
      </c>
      <c r="D33" s="11">
        <v>0.15620000000000001</v>
      </c>
      <c r="E33" s="1">
        <v>0.44069999999999998</v>
      </c>
      <c r="F33" s="1">
        <v>0.41039999999999999</v>
      </c>
      <c r="G33" s="1">
        <v>0.35270000000000001</v>
      </c>
      <c r="H33" s="1">
        <v>0.28710000000000002</v>
      </c>
      <c r="I33" s="12">
        <v>0.68600000000000005</v>
      </c>
      <c r="J33" s="1">
        <v>0.24199999999999999</v>
      </c>
      <c r="K33" s="1">
        <v>0.44629999999999997</v>
      </c>
      <c r="L33" s="1">
        <v>0.48099999999999998</v>
      </c>
      <c r="M33">
        <f t="shared" si="0"/>
        <v>0.3357666666666666</v>
      </c>
      <c r="N33" s="1">
        <f t="shared" si="1"/>
        <v>0.44193333333333334</v>
      </c>
      <c r="O33" s="1">
        <f t="shared" si="2"/>
        <v>0.38976666666666659</v>
      </c>
      <c r="P33" s="1">
        <v>0.879</v>
      </c>
      <c r="Q33" s="1">
        <v>0.81210000000000004</v>
      </c>
      <c r="R33" s="1">
        <v>0.89890000000000003</v>
      </c>
      <c r="S33" s="1">
        <v>0.98719999999999997</v>
      </c>
      <c r="T33" s="1">
        <v>0.97140000000000004</v>
      </c>
      <c r="U33" s="1">
        <v>1.1099000000000001</v>
      </c>
      <c r="V33" s="1">
        <v>1.1632</v>
      </c>
      <c r="W33" s="1">
        <v>1.2142999999999999</v>
      </c>
      <c r="X33" s="1">
        <v>1.2047000000000001</v>
      </c>
      <c r="Y33">
        <f t="shared" si="3"/>
        <v>0.86333333333333329</v>
      </c>
      <c r="Z33" s="1">
        <f t="shared" si="4"/>
        <v>1.0228333333333335</v>
      </c>
      <c r="AA33" s="1">
        <f t="shared" si="5"/>
        <v>1.1940666666666668</v>
      </c>
    </row>
    <row r="34" spans="1:27" x14ac:dyDescent="0.2">
      <c r="A34" s="5">
        <v>46039.770451388889</v>
      </c>
      <c r="C34">
        <f>C31+60</f>
        <v>1380</v>
      </c>
      <c r="D34" s="11">
        <v>0.21510000000000001</v>
      </c>
      <c r="E34" s="1">
        <v>0.4491</v>
      </c>
      <c r="F34" s="1">
        <v>0.42059999999999997</v>
      </c>
      <c r="G34" s="1">
        <v>0.37319999999999998</v>
      </c>
      <c r="H34" s="1">
        <v>0.29859999999999998</v>
      </c>
      <c r="I34" s="12">
        <v>0.67610000000000003</v>
      </c>
      <c r="J34" s="1">
        <v>0.24149999999999999</v>
      </c>
      <c r="K34" s="1">
        <v>0.45190000000000002</v>
      </c>
      <c r="L34" s="1">
        <v>0.50139999999999996</v>
      </c>
      <c r="M34">
        <f t="shared" si="0"/>
        <v>0.36159999999999998</v>
      </c>
      <c r="N34" s="1">
        <f t="shared" si="1"/>
        <v>0.44930000000000003</v>
      </c>
      <c r="O34" s="1">
        <f t="shared" si="2"/>
        <v>0.3982666666666666</v>
      </c>
      <c r="P34" s="1">
        <v>0.89980000000000004</v>
      </c>
      <c r="Q34" s="1">
        <v>0.87309999999999999</v>
      </c>
      <c r="R34" s="1">
        <v>0.95140000000000002</v>
      </c>
      <c r="S34" s="1">
        <v>1.0417000000000001</v>
      </c>
      <c r="T34" s="1">
        <v>1.0381</v>
      </c>
      <c r="U34" s="1">
        <v>1.1324000000000001</v>
      </c>
      <c r="V34" s="1">
        <v>1.1293</v>
      </c>
      <c r="W34" s="1">
        <v>1.1952</v>
      </c>
      <c r="X34" s="1">
        <v>1.1709000000000001</v>
      </c>
      <c r="Y34">
        <f t="shared" si="3"/>
        <v>0.90810000000000002</v>
      </c>
      <c r="Z34" s="1">
        <f t="shared" si="4"/>
        <v>1.0707333333333333</v>
      </c>
      <c r="AA34" s="1">
        <f t="shared" si="5"/>
        <v>1.1651333333333334</v>
      </c>
    </row>
    <row r="35" spans="1:27" x14ac:dyDescent="0.2">
      <c r="C35">
        <f>C34+30</f>
        <v>1410</v>
      </c>
      <c r="D35" s="11">
        <v>0.1283</v>
      </c>
      <c r="E35" s="1">
        <v>0.43109999999999998</v>
      </c>
      <c r="F35" s="1">
        <v>0.39989999999999998</v>
      </c>
      <c r="G35" s="1">
        <v>0.32900000000000001</v>
      </c>
      <c r="H35" s="1">
        <v>0.27200000000000002</v>
      </c>
      <c r="I35" s="12">
        <v>0.67020000000000002</v>
      </c>
      <c r="J35" s="1">
        <v>0.2379</v>
      </c>
      <c r="K35" s="1">
        <v>0.43809999999999999</v>
      </c>
      <c r="L35" s="1">
        <v>0.45950000000000002</v>
      </c>
      <c r="M35" s="19">
        <f t="shared" si="0"/>
        <v>0.3197666666666667</v>
      </c>
      <c r="N35" s="1">
        <f t="shared" si="1"/>
        <v>0.4237333333333333</v>
      </c>
      <c r="O35" s="1">
        <f t="shared" si="2"/>
        <v>0.3785</v>
      </c>
      <c r="P35" s="1">
        <v>0.8962</v>
      </c>
      <c r="Q35" s="1">
        <v>0.82410000000000005</v>
      </c>
      <c r="R35" s="1">
        <v>0.8901</v>
      </c>
      <c r="S35" s="1">
        <v>1.0349999999999999</v>
      </c>
      <c r="T35" s="1">
        <v>1.0253000000000001</v>
      </c>
      <c r="U35" s="1">
        <v>1.1637</v>
      </c>
      <c r="V35" s="1">
        <v>1.1375999999999999</v>
      </c>
      <c r="W35" s="1">
        <v>1.1805000000000001</v>
      </c>
      <c r="X35" s="1">
        <v>1.1501999999999999</v>
      </c>
      <c r="Y35" s="19">
        <f t="shared" si="3"/>
        <v>0.87013333333333331</v>
      </c>
      <c r="Z35" s="1">
        <f t="shared" si="4"/>
        <v>1.0746666666666667</v>
      </c>
      <c r="AA35" s="1">
        <f t="shared" si="5"/>
        <v>1.1561000000000001</v>
      </c>
    </row>
    <row r="36" spans="1:27" x14ac:dyDescent="0.2">
      <c r="C36">
        <f t="shared" ref="C36:C57" si="8">C35+30</f>
        <v>1440</v>
      </c>
      <c r="D36" s="11">
        <v>0.14510000000000001</v>
      </c>
      <c r="E36" s="1">
        <v>0.44779999999999998</v>
      </c>
      <c r="F36" s="1">
        <v>0.4133</v>
      </c>
      <c r="G36" s="1">
        <v>0.33400000000000002</v>
      </c>
      <c r="H36" s="1">
        <v>0.28179999999999999</v>
      </c>
      <c r="I36" s="12">
        <v>0.67190000000000005</v>
      </c>
      <c r="J36" s="1">
        <v>0.23880000000000001</v>
      </c>
      <c r="K36" s="1">
        <v>0.44550000000000001</v>
      </c>
      <c r="L36" s="1">
        <v>0.4647</v>
      </c>
      <c r="M36" s="19">
        <f t="shared" si="0"/>
        <v>0.33539999999999998</v>
      </c>
      <c r="N36" s="1">
        <f t="shared" si="1"/>
        <v>0.42923333333333336</v>
      </c>
      <c r="O36" s="1">
        <f t="shared" si="2"/>
        <v>0.38300000000000001</v>
      </c>
      <c r="P36" s="1">
        <v>0.93159999999999998</v>
      </c>
      <c r="Q36" s="1">
        <v>0.84119999999999995</v>
      </c>
      <c r="R36" s="1">
        <v>0.90990000000000004</v>
      </c>
      <c r="S36" s="1">
        <v>1.0589</v>
      </c>
      <c r="T36" s="1">
        <v>1.0528</v>
      </c>
      <c r="U36" s="1">
        <v>1.1771</v>
      </c>
      <c r="V36" s="1">
        <v>1.1508</v>
      </c>
      <c r="W36" s="1">
        <v>1.2004999999999999</v>
      </c>
      <c r="X36" s="1">
        <v>1.1738999999999999</v>
      </c>
      <c r="Y36" s="19">
        <f t="shared" si="3"/>
        <v>0.89423333333333332</v>
      </c>
      <c r="Z36" s="1">
        <f t="shared" si="4"/>
        <v>1.0962666666666667</v>
      </c>
      <c r="AA36" s="1">
        <f t="shared" si="5"/>
        <v>1.1750666666666667</v>
      </c>
    </row>
    <row r="37" spans="1:27" x14ac:dyDescent="0.2">
      <c r="C37">
        <f t="shared" si="8"/>
        <v>1470</v>
      </c>
      <c r="D37" s="11">
        <v>0.15670000000000001</v>
      </c>
      <c r="E37" s="1">
        <v>0.4556</v>
      </c>
      <c r="F37" s="1">
        <v>0.42170000000000002</v>
      </c>
      <c r="G37" s="1">
        <v>0.3291</v>
      </c>
      <c r="H37" s="1">
        <v>0.29220000000000002</v>
      </c>
      <c r="I37" s="12">
        <v>0.6875</v>
      </c>
      <c r="J37" s="1">
        <v>0.23730000000000001</v>
      </c>
      <c r="K37" s="1">
        <v>0.45190000000000002</v>
      </c>
      <c r="L37" s="1">
        <v>0.46939999999999998</v>
      </c>
      <c r="M37" s="19">
        <f t="shared" si="0"/>
        <v>0.34466666666666668</v>
      </c>
      <c r="N37" s="1">
        <f t="shared" si="1"/>
        <v>0.43626666666666664</v>
      </c>
      <c r="O37" s="1">
        <f t="shared" si="2"/>
        <v>0.38620000000000004</v>
      </c>
      <c r="P37" s="1">
        <v>0.9778</v>
      </c>
      <c r="Q37" s="1">
        <v>0.86160000000000003</v>
      </c>
      <c r="R37" s="1">
        <v>0.93189999999999995</v>
      </c>
      <c r="S37" s="1">
        <v>1.0762</v>
      </c>
      <c r="T37" s="1">
        <v>1.0532999999999999</v>
      </c>
      <c r="U37" s="1">
        <v>1.1906000000000001</v>
      </c>
      <c r="V37" s="1">
        <v>1.1505000000000001</v>
      </c>
      <c r="W37" s="1">
        <v>1.1893</v>
      </c>
      <c r="X37" s="1">
        <v>1.1828000000000001</v>
      </c>
      <c r="Y37" s="19">
        <f t="shared" si="3"/>
        <v>0.92376666666666674</v>
      </c>
      <c r="Z37" s="1">
        <f t="shared" si="4"/>
        <v>1.1067</v>
      </c>
      <c r="AA37" s="1">
        <f t="shared" si="5"/>
        <v>1.1742000000000001</v>
      </c>
    </row>
    <row r="38" spans="1:27" x14ac:dyDescent="0.2">
      <c r="C38">
        <f t="shared" si="8"/>
        <v>1500</v>
      </c>
      <c r="D38" s="11">
        <v>0.1371</v>
      </c>
      <c r="E38" s="1">
        <v>0.46010000000000001</v>
      </c>
      <c r="F38" s="1">
        <v>0.40329999999999999</v>
      </c>
      <c r="G38" s="1">
        <v>0.33650000000000002</v>
      </c>
      <c r="H38" s="1">
        <v>0.29720000000000002</v>
      </c>
      <c r="I38" s="12">
        <v>0.69420000000000004</v>
      </c>
      <c r="J38" s="1">
        <v>0.23599999999999999</v>
      </c>
      <c r="K38" s="1">
        <v>0.4531</v>
      </c>
      <c r="L38" s="1">
        <v>0.46860000000000002</v>
      </c>
      <c r="M38" s="19">
        <f t="shared" si="0"/>
        <v>0.33349999999999996</v>
      </c>
      <c r="N38" s="1">
        <f t="shared" si="1"/>
        <v>0.44263333333333338</v>
      </c>
      <c r="O38" s="1">
        <f t="shared" si="2"/>
        <v>0.38590000000000008</v>
      </c>
      <c r="P38" s="1">
        <v>1.0165</v>
      </c>
      <c r="Q38" s="1">
        <v>0.87939999999999996</v>
      </c>
      <c r="R38" s="1">
        <v>0.95189999999999997</v>
      </c>
      <c r="S38" s="1">
        <v>1.1063000000000001</v>
      </c>
      <c r="T38" s="1">
        <v>1.0623</v>
      </c>
      <c r="U38" s="1">
        <v>1.2070000000000001</v>
      </c>
      <c r="V38" s="1">
        <v>1.1375999999999999</v>
      </c>
      <c r="W38" s="1">
        <v>1.1778999999999999</v>
      </c>
      <c r="X38" s="1">
        <v>1.1838</v>
      </c>
      <c r="Y38" s="19">
        <f t="shared" si="3"/>
        <v>0.94926666666666659</v>
      </c>
      <c r="Z38" s="1">
        <f t="shared" si="4"/>
        <v>1.1252000000000002</v>
      </c>
      <c r="AA38" s="1">
        <f t="shared" si="5"/>
        <v>1.1664333333333332</v>
      </c>
    </row>
    <row r="39" spans="1:27" x14ac:dyDescent="0.2">
      <c r="C39">
        <f t="shared" si="8"/>
        <v>1530</v>
      </c>
      <c r="D39" s="11">
        <v>0.14729999999999999</v>
      </c>
      <c r="E39" s="1">
        <v>0.46760000000000002</v>
      </c>
      <c r="F39" s="1">
        <v>0.39929999999999999</v>
      </c>
      <c r="G39" s="1">
        <v>0.34160000000000001</v>
      </c>
      <c r="H39" s="1">
        <v>0.30659999999999998</v>
      </c>
      <c r="I39" s="12">
        <v>0.70720000000000005</v>
      </c>
      <c r="J39" s="1">
        <v>0.23580000000000001</v>
      </c>
      <c r="K39" s="1">
        <v>0.45639999999999997</v>
      </c>
      <c r="L39" s="1">
        <v>0.46810000000000002</v>
      </c>
      <c r="M39" s="19">
        <f t="shared" si="0"/>
        <v>0.33806666666666668</v>
      </c>
      <c r="N39" s="1">
        <f t="shared" si="1"/>
        <v>0.45179999999999998</v>
      </c>
      <c r="O39" s="1">
        <f t="shared" si="2"/>
        <v>0.38676666666666665</v>
      </c>
      <c r="P39" s="1">
        <v>1.0452999999999999</v>
      </c>
      <c r="Q39" s="1">
        <v>0.89680000000000004</v>
      </c>
      <c r="R39" s="1">
        <v>0.97299999999999998</v>
      </c>
      <c r="S39" s="1">
        <v>1.1358999999999999</v>
      </c>
      <c r="T39" s="1">
        <v>1.0762</v>
      </c>
      <c r="U39" s="1">
        <v>1.2198</v>
      </c>
      <c r="V39" s="1">
        <v>1.1384000000000001</v>
      </c>
      <c r="W39" s="1">
        <v>1.1834</v>
      </c>
      <c r="X39" s="1">
        <v>1.1871</v>
      </c>
      <c r="Y39" s="19">
        <f t="shared" si="3"/>
        <v>0.9716999999999999</v>
      </c>
      <c r="Z39" s="1">
        <f t="shared" si="4"/>
        <v>1.1439666666666666</v>
      </c>
      <c r="AA39" s="1">
        <f t="shared" si="5"/>
        <v>1.1696333333333333</v>
      </c>
    </row>
    <row r="40" spans="1:27" x14ac:dyDescent="0.2">
      <c r="C40">
        <f t="shared" si="8"/>
        <v>1560</v>
      </c>
      <c r="D40" s="11">
        <v>0.1328</v>
      </c>
      <c r="E40" s="1">
        <v>0.47389999999999999</v>
      </c>
      <c r="F40" s="1">
        <v>0.42809999999999998</v>
      </c>
      <c r="G40" s="1">
        <v>0.3463</v>
      </c>
      <c r="H40" s="1">
        <v>0.31890000000000002</v>
      </c>
      <c r="I40" s="12">
        <v>0.7046</v>
      </c>
      <c r="J40" s="1">
        <v>0.2356</v>
      </c>
      <c r="K40" s="1">
        <v>0.4582</v>
      </c>
      <c r="L40" s="1">
        <v>0.46879999999999999</v>
      </c>
      <c r="M40" s="19">
        <f t="shared" si="0"/>
        <v>0.34493333333333331</v>
      </c>
      <c r="N40" s="1">
        <f t="shared" si="1"/>
        <v>0.45660000000000006</v>
      </c>
      <c r="O40" s="1">
        <f t="shared" si="2"/>
        <v>0.38753333333333329</v>
      </c>
      <c r="P40" s="1">
        <v>1.0857000000000001</v>
      </c>
      <c r="Q40" s="1">
        <v>0.91749999999999998</v>
      </c>
      <c r="R40" s="1">
        <v>0.99129999999999996</v>
      </c>
      <c r="S40" s="1">
        <v>1.1719999999999999</v>
      </c>
      <c r="T40" s="1">
        <v>1.1051</v>
      </c>
      <c r="U40" s="1">
        <v>1.2281</v>
      </c>
      <c r="V40" s="1">
        <v>1.1373</v>
      </c>
      <c r="W40" s="1">
        <v>1.1837</v>
      </c>
      <c r="X40" s="1">
        <v>1.1845000000000001</v>
      </c>
      <c r="Y40" s="19">
        <f t="shared" si="3"/>
        <v>0.99816666666666665</v>
      </c>
      <c r="Z40" s="1">
        <f t="shared" si="4"/>
        <v>1.1683999999999999</v>
      </c>
      <c r="AA40" s="1">
        <f t="shared" si="5"/>
        <v>1.1684999999999999</v>
      </c>
    </row>
    <row r="41" spans="1:27" x14ac:dyDescent="0.2">
      <c r="C41">
        <f t="shared" si="8"/>
        <v>1590</v>
      </c>
      <c r="D41" s="11">
        <v>0.13420000000000001</v>
      </c>
      <c r="E41" s="1">
        <v>0.4753</v>
      </c>
      <c r="F41" s="1">
        <v>0.43130000000000002</v>
      </c>
      <c r="G41" s="1">
        <v>0.34960000000000002</v>
      </c>
      <c r="H41" s="1">
        <v>0.33700000000000002</v>
      </c>
      <c r="I41" s="12">
        <v>0.7036</v>
      </c>
      <c r="J41" s="1">
        <v>0.23480000000000001</v>
      </c>
      <c r="K41" s="1">
        <v>0.45800000000000002</v>
      </c>
      <c r="L41" s="1">
        <v>0.47049999999999997</v>
      </c>
      <c r="M41" s="19">
        <f t="shared" si="0"/>
        <v>0.34693333333333332</v>
      </c>
      <c r="N41" s="1">
        <f t="shared" si="1"/>
        <v>0.46340000000000003</v>
      </c>
      <c r="O41" s="1">
        <f t="shared" si="2"/>
        <v>0.38776666666666665</v>
      </c>
      <c r="P41" s="1">
        <v>1.1178999999999999</v>
      </c>
      <c r="Q41" s="1">
        <v>0.93779999999999997</v>
      </c>
      <c r="R41" s="1">
        <v>1.0076000000000001</v>
      </c>
      <c r="S41" s="1">
        <v>1.2059</v>
      </c>
      <c r="T41" s="1">
        <v>1.1271</v>
      </c>
      <c r="U41" s="1">
        <v>1.2459</v>
      </c>
      <c r="V41" s="1">
        <v>1.1341000000000001</v>
      </c>
      <c r="W41" s="1">
        <v>1.1831</v>
      </c>
      <c r="X41" s="1">
        <v>1.1802999999999999</v>
      </c>
      <c r="Y41" s="19">
        <f t="shared" si="3"/>
        <v>1.0210999999999999</v>
      </c>
      <c r="Z41" s="1">
        <f t="shared" si="4"/>
        <v>1.1929666666666667</v>
      </c>
      <c r="AA41" s="1">
        <f t="shared" si="5"/>
        <v>1.1658333333333333</v>
      </c>
    </row>
    <row r="42" spans="1:27" x14ac:dyDescent="0.2">
      <c r="C42">
        <f t="shared" si="8"/>
        <v>1620</v>
      </c>
      <c r="D42" s="11">
        <v>0.1648</v>
      </c>
      <c r="E42" s="1">
        <v>0.47610000000000002</v>
      </c>
      <c r="F42" s="1">
        <v>0.43240000000000001</v>
      </c>
      <c r="G42" s="1">
        <v>0.3533</v>
      </c>
      <c r="H42" s="1">
        <v>0.3468</v>
      </c>
      <c r="I42" s="12">
        <v>0.70799999999999996</v>
      </c>
      <c r="J42" s="1">
        <v>0.2336</v>
      </c>
      <c r="K42" s="1">
        <v>0.45739999999999997</v>
      </c>
      <c r="L42" s="1">
        <v>0.47320000000000001</v>
      </c>
      <c r="M42" s="19">
        <f t="shared" si="0"/>
        <v>0.35776666666666673</v>
      </c>
      <c r="N42" s="1">
        <f t="shared" si="1"/>
        <v>0.46936666666666665</v>
      </c>
      <c r="O42" s="1">
        <f t="shared" si="2"/>
        <v>0.38806666666666662</v>
      </c>
      <c r="P42" s="1">
        <v>1.1549</v>
      </c>
      <c r="Q42" s="1">
        <v>0.95750000000000002</v>
      </c>
      <c r="R42" s="1">
        <v>1.0288999999999999</v>
      </c>
      <c r="S42" s="1">
        <v>1.2311000000000001</v>
      </c>
      <c r="T42" s="1">
        <v>1.1409</v>
      </c>
      <c r="U42" s="1">
        <v>1.2621</v>
      </c>
      <c r="V42" s="1">
        <v>1.1400999999999999</v>
      </c>
      <c r="W42" s="1">
        <v>1.1733</v>
      </c>
      <c r="X42" s="1">
        <v>1.1848000000000001</v>
      </c>
      <c r="Y42" s="19">
        <f t="shared" si="3"/>
        <v>1.0471000000000001</v>
      </c>
      <c r="Z42" s="1">
        <f t="shared" si="4"/>
        <v>1.2113666666666667</v>
      </c>
      <c r="AA42" s="1">
        <f t="shared" si="5"/>
        <v>1.1660666666666666</v>
      </c>
    </row>
    <row r="43" spans="1:27" x14ac:dyDescent="0.2">
      <c r="C43">
        <f t="shared" si="8"/>
        <v>1650</v>
      </c>
      <c r="D43" s="11">
        <v>0.14380000000000001</v>
      </c>
      <c r="E43" s="1">
        <v>0.4768</v>
      </c>
      <c r="F43" s="1">
        <v>0.43480000000000002</v>
      </c>
      <c r="G43" s="1">
        <v>0.3553</v>
      </c>
      <c r="H43" s="1">
        <v>0.34899999999999998</v>
      </c>
      <c r="I43" s="12">
        <v>0.70420000000000005</v>
      </c>
      <c r="J43" s="1">
        <v>0.23350000000000001</v>
      </c>
      <c r="K43" s="1">
        <v>0.45650000000000002</v>
      </c>
      <c r="L43" s="1">
        <v>0.4763</v>
      </c>
      <c r="M43" s="19">
        <f t="shared" si="0"/>
        <v>0.35180000000000006</v>
      </c>
      <c r="N43" s="1">
        <f t="shared" si="1"/>
        <v>0.46950000000000003</v>
      </c>
      <c r="O43" s="1">
        <f t="shared" si="2"/>
        <v>0.3887666666666667</v>
      </c>
      <c r="P43" s="1">
        <v>1.1773</v>
      </c>
      <c r="Q43" s="1">
        <v>0.97819999999999996</v>
      </c>
      <c r="R43" s="1">
        <v>1.0476000000000001</v>
      </c>
      <c r="S43" s="1">
        <v>1.2548999999999999</v>
      </c>
      <c r="T43" s="1">
        <v>1.1679999999999999</v>
      </c>
      <c r="U43" s="1">
        <v>1.2856000000000001</v>
      </c>
      <c r="V43" s="1">
        <v>1.1329</v>
      </c>
      <c r="W43" s="1">
        <v>1.1694</v>
      </c>
      <c r="X43" s="1">
        <v>1.1655</v>
      </c>
      <c r="Y43" s="19">
        <f t="shared" si="3"/>
        <v>1.0677000000000001</v>
      </c>
      <c r="Z43" s="1">
        <f t="shared" si="4"/>
        <v>1.2361666666666666</v>
      </c>
      <c r="AA43" s="1">
        <f t="shared" si="5"/>
        <v>1.1559333333333333</v>
      </c>
    </row>
    <row r="44" spans="1:27" x14ac:dyDescent="0.2">
      <c r="C44">
        <f t="shared" si="8"/>
        <v>1680</v>
      </c>
      <c r="D44" s="11">
        <v>0.1439</v>
      </c>
      <c r="E44" s="1">
        <v>0.47739999999999999</v>
      </c>
      <c r="F44" s="1">
        <v>0.4395</v>
      </c>
      <c r="G44" s="1">
        <v>0.35780000000000001</v>
      </c>
      <c r="H44" s="1">
        <v>0.35849999999999999</v>
      </c>
      <c r="I44" s="12">
        <v>0.70620000000000005</v>
      </c>
      <c r="J44" s="1">
        <v>0.23280000000000001</v>
      </c>
      <c r="K44" s="1">
        <v>0.45679999999999998</v>
      </c>
      <c r="L44" s="1">
        <v>0.48170000000000002</v>
      </c>
      <c r="M44" s="19">
        <f t="shared" si="0"/>
        <v>0.35359999999999997</v>
      </c>
      <c r="N44" s="1">
        <f t="shared" si="1"/>
        <v>0.47416666666666663</v>
      </c>
      <c r="O44" s="1">
        <f t="shared" si="2"/>
        <v>0.39043333333333335</v>
      </c>
      <c r="P44" s="1">
        <v>1.2119</v>
      </c>
      <c r="Q44" s="1">
        <v>0.99770000000000003</v>
      </c>
      <c r="R44" s="1">
        <v>1.0679000000000001</v>
      </c>
      <c r="S44" s="1">
        <v>1.3320000000000001</v>
      </c>
      <c r="T44" s="1">
        <v>1.1876</v>
      </c>
      <c r="U44" s="1">
        <v>1.2927</v>
      </c>
      <c r="V44" s="1">
        <v>1.1339999999999999</v>
      </c>
      <c r="W44" s="1">
        <v>1.1708000000000001</v>
      </c>
      <c r="X44" s="1">
        <v>1.1637999999999999</v>
      </c>
      <c r="Y44" s="19">
        <f t="shared" si="3"/>
        <v>1.0925</v>
      </c>
      <c r="Z44" s="1">
        <f t="shared" si="4"/>
        <v>1.2707666666666666</v>
      </c>
      <c r="AA44" s="1">
        <f t="shared" si="5"/>
        <v>1.1562000000000001</v>
      </c>
    </row>
    <row r="45" spans="1:27" x14ac:dyDescent="0.2">
      <c r="C45">
        <f t="shared" si="8"/>
        <v>1710</v>
      </c>
      <c r="D45" s="11">
        <v>0.14499999999999999</v>
      </c>
      <c r="E45" s="1">
        <v>0.47760000000000002</v>
      </c>
      <c r="F45" s="1">
        <v>0.44450000000000001</v>
      </c>
      <c r="G45" s="1">
        <v>0.36070000000000002</v>
      </c>
      <c r="H45" s="1">
        <v>0.36330000000000001</v>
      </c>
      <c r="I45" s="12">
        <v>0.70250000000000001</v>
      </c>
      <c r="J45" s="1">
        <v>0.23269999999999999</v>
      </c>
      <c r="K45" s="1">
        <v>0.45729999999999998</v>
      </c>
      <c r="L45" s="1">
        <v>0.4879</v>
      </c>
      <c r="M45" s="19">
        <f t="shared" si="0"/>
        <v>0.35569999999999996</v>
      </c>
      <c r="N45" s="1">
        <f t="shared" si="1"/>
        <v>0.47549999999999998</v>
      </c>
      <c r="O45" s="1">
        <f t="shared" si="2"/>
        <v>0.39263333333333333</v>
      </c>
      <c r="P45" s="1">
        <v>1.2379</v>
      </c>
      <c r="Q45" s="1">
        <v>1.0176000000000001</v>
      </c>
      <c r="R45" s="1">
        <v>1.0847</v>
      </c>
      <c r="S45" s="1">
        <v>1.3613999999999999</v>
      </c>
      <c r="T45" s="1">
        <v>1.2141</v>
      </c>
      <c r="U45" s="1">
        <v>1.3018000000000001</v>
      </c>
      <c r="V45" s="1">
        <v>1.1319999999999999</v>
      </c>
      <c r="W45" s="1">
        <v>1.1781999999999999</v>
      </c>
      <c r="X45" s="1">
        <v>1.1616</v>
      </c>
      <c r="Y45" s="19">
        <f t="shared" si="3"/>
        <v>1.1134000000000002</v>
      </c>
      <c r="Z45" s="1">
        <f t="shared" si="4"/>
        <v>1.2924333333333333</v>
      </c>
      <c r="AA45" s="1">
        <f t="shared" si="5"/>
        <v>1.1572666666666667</v>
      </c>
    </row>
    <row r="46" spans="1:27" x14ac:dyDescent="0.2">
      <c r="C46">
        <f t="shared" si="8"/>
        <v>1740</v>
      </c>
      <c r="D46" s="11">
        <v>0.15279999999999999</v>
      </c>
      <c r="E46" s="1">
        <v>0.47760000000000002</v>
      </c>
      <c r="F46" s="1">
        <v>0.44800000000000001</v>
      </c>
      <c r="G46" s="1">
        <v>0.3619</v>
      </c>
      <c r="H46" s="1">
        <v>0.3624</v>
      </c>
      <c r="I46" s="12">
        <v>0.70509999999999995</v>
      </c>
      <c r="J46" s="1">
        <v>0.2319</v>
      </c>
      <c r="K46" s="1">
        <v>0.45829999999999999</v>
      </c>
      <c r="L46" s="1">
        <v>0.49509999999999998</v>
      </c>
      <c r="M46" s="19">
        <f t="shared" si="0"/>
        <v>0.35946666666666666</v>
      </c>
      <c r="N46" s="1">
        <f t="shared" si="1"/>
        <v>0.47646666666666659</v>
      </c>
      <c r="O46" s="1">
        <f t="shared" si="2"/>
        <v>0.39509999999999995</v>
      </c>
      <c r="P46" s="1">
        <v>1.2639</v>
      </c>
      <c r="Q46" s="1">
        <v>1.0382</v>
      </c>
      <c r="R46" s="1">
        <v>1.1029</v>
      </c>
      <c r="S46" s="1">
        <v>1.3847</v>
      </c>
      <c r="T46" s="1">
        <v>1.2384999999999999</v>
      </c>
      <c r="U46" s="1">
        <v>1.3187</v>
      </c>
      <c r="V46" s="1">
        <v>1.1355999999999999</v>
      </c>
      <c r="W46" s="1">
        <v>1.1717</v>
      </c>
      <c r="X46" s="1">
        <v>1.1567000000000001</v>
      </c>
      <c r="Y46" s="19">
        <f t="shared" si="3"/>
        <v>1.135</v>
      </c>
      <c r="Z46" s="1">
        <f t="shared" si="4"/>
        <v>1.3139666666666665</v>
      </c>
      <c r="AA46" s="1">
        <f t="shared" si="5"/>
        <v>1.1546666666666665</v>
      </c>
    </row>
    <row r="47" spans="1:27" x14ac:dyDescent="0.2">
      <c r="C47">
        <f t="shared" si="8"/>
        <v>1770</v>
      </c>
      <c r="D47" s="11">
        <v>0.14000000000000001</v>
      </c>
      <c r="E47" s="1">
        <v>0.47699999999999998</v>
      </c>
      <c r="F47" s="1">
        <v>0.4506</v>
      </c>
      <c r="G47" s="1">
        <v>0.36199999999999999</v>
      </c>
      <c r="H47" s="1">
        <v>0.3654</v>
      </c>
      <c r="I47" s="12">
        <v>0.70330000000000004</v>
      </c>
      <c r="J47" s="1">
        <v>0.23319999999999999</v>
      </c>
      <c r="K47" s="1">
        <v>0.4602</v>
      </c>
      <c r="L47" s="1">
        <v>0.50280000000000002</v>
      </c>
      <c r="M47" s="19">
        <f t="shared" si="0"/>
        <v>0.35586666666666672</v>
      </c>
      <c r="N47" s="1">
        <f t="shared" si="1"/>
        <v>0.47690000000000005</v>
      </c>
      <c r="O47" s="1">
        <f t="shared" si="2"/>
        <v>0.39873333333333338</v>
      </c>
      <c r="P47" s="1">
        <v>1.2869999999999999</v>
      </c>
      <c r="Q47" s="1">
        <v>1.0562</v>
      </c>
      <c r="R47" s="1">
        <v>1.1215999999999999</v>
      </c>
      <c r="S47" s="1">
        <v>1.3978999999999999</v>
      </c>
      <c r="T47" s="1">
        <v>1.2569999999999999</v>
      </c>
      <c r="U47" s="1">
        <v>1.3177000000000001</v>
      </c>
      <c r="V47" s="1">
        <v>1.1279999999999999</v>
      </c>
      <c r="W47" s="1">
        <v>1.1697</v>
      </c>
      <c r="X47" s="1">
        <v>1.1518999999999999</v>
      </c>
      <c r="Y47" s="19">
        <f t="shared" si="3"/>
        <v>1.1549333333333334</v>
      </c>
      <c r="Z47" s="1">
        <f t="shared" si="4"/>
        <v>1.3242</v>
      </c>
      <c r="AA47" s="1">
        <f t="shared" si="5"/>
        <v>1.1498666666666666</v>
      </c>
    </row>
    <row r="48" spans="1:27" x14ac:dyDescent="0.2">
      <c r="C48">
        <f t="shared" si="8"/>
        <v>1800</v>
      </c>
      <c r="D48" s="11">
        <v>0.14649999999999999</v>
      </c>
      <c r="E48" s="1">
        <v>0.47510000000000002</v>
      </c>
      <c r="F48" s="1">
        <v>0.45300000000000001</v>
      </c>
      <c r="G48" s="1">
        <v>0.36249999999999999</v>
      </c>
      <c r="H48" s="1">
        <v>0.36830000000000002</v>
      </c>
      <c r="I48" s="12">
        <v>0.70609999999999995</v>
      </c>
      <c r="J48" s="1">
        <v>0.2331</v>
      </c>
      <c r="K48" s="1">
        <v>0.4637</v>
      </c>
      <c r="L48" s="1">
        <v>0.50949999999999995</v>
      </c>
      <c r="M48" s="19">
        <f t="shared" si="0"/>
        <v>0.35820000000000002</v>
      </c>
      <c r="N48" s="1">
        <f t="shared" si="1"/>
        <v>0.47896666666666671</v>
      </c>
      <c r="O48" s="1">
        <f t="shared" si="2"/>
        <v>0.40209999999999996</v>
      </c>
      <c r="P48" s="1">
        <v>1.3099000000000001</v>
      </c>
      <c r="Q48" s="1">
        <v>1.0737000000000001</v>
      </c>
      <c r="R48" s="1">
        <v>1.1403000000000001</v>
      </c>
      <c r="S48" s="1">
        <v>1.4145000000000001</v>
      </c>
      <c r="T48" s="1">
        <v>1.272</v>
      </c>
      <c r="U48" s="1">
        <v>1.3395999999999999</v>
      </c>
      <c r="V48" s="1">
        <v>1.1302000000000001</v>
      </c>
      <c r="W48" s="1">
        <v>1.1677999999999999</v>
      </c>
      <c r="X48" s="1">
        <v>1.1504000000000001</v>
      </c>
      <c r="Y48" s="19">
        <f t="shared" si="3"/>
        <v>1.1746333333333334</v>
      </c>
      <c r="Z48" s="1">
        <f t="shared" si="4"/>
        <v>1.3420333333333332</v>
      </c>
      <c r="AA48" s="1">
        <f t="shared" si="5"/>
        <v>1.1494666666666669</v>
      </c>
    </row>
    <row r="49" spans="1:27" x14ac:dyDescent="0.2">
      <c r="C49">
        <f t="shared" si="8"/>
        <v>1830</v>
      </c>
      <c r="D49" s="11">
        <v>0.14660000000000001</v>
      </c>
      <c r="E49" s="1">
        <v>0.47339999999999999</v>
      </c>
      <c r="F49" s="1">
        <v>0.45419999999999999</v>
      </c>
      <c r="G49" s="1">
        <v>0.36170000000000002</v>
      </c>
      <c r="H49" s="1">
        <v>0.37009999999999998</v>
      </c>
      <c r="I49" s="12">
        <v>0.70730000000000004</v>
      </c>
      <c r="J49" s="1">
        <v>0.23350000000000001</v>
      </c>
      <c r="K49" s="1">
        <v>0.46700000000000003</v>
      </c>
      <c r="L49" s="1">
        <v>0.51670000000000005</v>
      </c>
      <c r="M49" s="19">
        <f t="shared" si="0"/>
        <v>0.3580666666666667</v>
      </c>
      <c r="N49" s="1">
        <f t="shared" si="1"/>
        <v>0.47970000000000002</v>
      </c>
      <c r="O49" s="1">
        <f t="shared" si="2"/>
        <v>0.40573333333333333</v>
      </c>
      <c r="P49" s="1">
        <v>1.3351999999999999</v>
      </c>
      <c r="Q49" s="1">
        <v>1.0928</v>
      </c>
      <c r="R49" s="1">
        <v>1.1574</v>
      </c>
      <c r="S49" s="1">
        <v>1.4346000000000001</v>
      </c>
      <c r="T49" s="1">
        <v>1.2911999999999999</v>
      </c>
      <c r="U49" s="1">
        <v>1.3503000000000001</v>
      </c>
      <c r="V49" s="1">
        <v>1.1376999999999999</v>
      </c>
      <c r="W49" s="1">
        <v>1.1747000000000001</v>
      </c>
      <c r="X49" s="1">
        <v>1.1555</v>
      </c>
      <c r="Y49" s="19">
        <f t="shared" si="3"/>
        <v>1.1951333333333334</v>
      </c>
      <c r="Z49" s="1">
        <f t="shared" si="4"/>
        <v>1.3587</v>
      </c>
      <c r="AA49" s="1">
        <f t="shared" si="5"/>
        <v>1.1559666666666668</v>
      </c>
    </row>
    <row r="50" spans="1:27" x14ac:dyDescent="0.2">
      <c r="C50">
        <f t="shared" si="8"/>
        <v>1860</v>
      </c>
      <c r="D50" s="11">
        <v>0.1643</v>
      </c>
      <c r="E50" s="1">
        <v>0.47270000000000001</v>
      </c>
      <c r="F50" s="1">
        <v>0.45469999999999999</v>
      </c>
      <c r="G50" s="1">
        <v>0.36130000000000001</v>
      </c>
      <c r="H50" s="1">
        <v>0.3725</v>
      </c>
      <c r="I50" s="12">
        <v>0.70579999999999998</v>
      </c>
      <c r="J50" s="1">
        <v>0.2344</v>
      </c>
      <c r="K50" s="1">
        <v>0.46889999999999998</v>
      </c>
      <c r="L50" s="1">
        <v>0.52180000000000004</v>
      </c>
      <c r="M50" s="19">
        <f t="shared" si="0"/>
        <v>0.36389999999999995</v>
      </c>
      <c r="N50" s="1">
        <f t="shared" si="1"/>
        <v>0.47986666666666666</v>
      </c>
      <c r="O50" s="1">
        <f t="shared" si="2"/>
        <v>0.40836666666666671</v>
      </c>
      <c r="P50" s="1">
        <v>1.3595999999999999</v>
      </c>
      <c r="Q50" s="1">
        <v>1.1108</v>
      </c>
      <c r="R50" s="1">
        <v>1.1748000000000001</v>
      </c>
      <c r="S50" s="1">
        <v>1.4553</v>
      </c>
      <c r="T50" s="1">
        <v>1.3172999999999999</v>
      </c>
      <c r="U50" s="1">
        <v>1.3646</v>
      </c>
      <c r="V50" s="1">
        <v>1.1404000000000001</v>
      </c>
      <c r="W50" s="1">
        <v>1.173</v>
      </c>
      <c r="X50" s="1">
        <v>1.1387</v>
      </c>
      <c r="Y50" s="19">
        <f t="shared" si="3"/>
        <v>1.2150666666666667</v>
      </c>
      <c r="Z50" s="1">
        <f t="shared" si="4"/>
        <v>1.3790666666666667</v>
      </c>
      <c r="AA50" s="1">
        <f t="shared" si="5"/>
        <v>1.1507000000000001</v>
      </c>
    </row>
    <row r="51" spans="1:27" x14ac:dyDescent="0.2">
      <c r="C51">
        <f t="shared" si="8"/>
        <v>1890</v>
      </c>
      <c r="D51" s="11">
        <v>0.1396</v>
      </c>
      <c r="E51" s="1">
        <v>0.46970000000000001</v>
      </c>
      <c r="F51" s="1">
        <v>0.45450000000000002</v>
      </c>
      <c r="G51" s="1">
        <v>0.35920000000000002</v>
      </c>
      <c r="H51" s="1">
        <v>0.3745</v>
      </c>
      <c r="I51" s="12">
        <v>0.69279999999999997</v>
      </c>
      <c r="J51" s="1">
        <v>0.23569999999999999</v>
      </c>
      <c r="K51" s="1">
        <v>0.47060000000000002</v>
      </c>
      <c r="L51" s="1">
        <v>0.52890000000000004</v>
      </c>
      <c r="M51" s="19">
        <f t="shared" si="0"/>
        <v>0.35460000000000003</v>
      </c>
      <c r="N51" s="1">
        <f t="shared" si="1"/>
        <v>0.47549999999999998</v>
      </c>
      <c r="O51" s="1">
        <f t="shared" si="2"/>
        <v>0.41173333333333334</v>
      </c>
      <c r="P51" s="1">
        <v>1.3784000000000001</v>
      </c>
      <c r="Q51" s="1">
        <v>1.1271</v>
      </c>
      <c r="R51" s="1">
        <v>1.1915</v>
      </c>
      <c r="S51" s="1">
        <v>1.4755</v>
      </c>
      <c r="T51" s="1">
        <v>1.3451</v>
      </c>
      <c r="U51" s="1">
        <v>1.3712</v>
      </c>
      <c r="V51" s="1">
        <v>1.1349</v>
      </c>
      <c r="W51" s="1">
        <v>1.1725000000000001</v>
      </c>
      <c r="X51" s="1">
        <v>1.1391</v>
      </c>
      <c r="Y51" s="19">
        <f t="shared" si="3"/>
        <v>1.2323333333333333</v>
      </c>
      <c r="Z51" s="1">
        <f t="shared" si="4"/>
        <v>1.3972666666666667</v>
      </c>
      <c r="AA51" s="1">
        <f t="shared" si="5"/>
        <v>1.1488333333333334</v>
      </c>
    </row>
    <row r="52" spans="1:27" x14ac:dyDescent="0.2">
      <c r="C52">
        <f t="shared" si="8"/>
        <v>1920</v>
      </c>
      <c r="D52" s="11">
        <v>0.14580000000000001</v>
      </c>
      <c r="E52" s="1">
        <v>0.47089999999999999</v>
      </c>
      <c r="F52" s="1">
        <v>0.4536</v>
      </c>
      <c r="G52" s="1">
        <v>0.35780000000000001</v>
      </c>
      <c r="H52" s="1">
        <v>0.37380000000000002</v>
      </c>
      <c r="I52" s="12">
        <v>0.70250000000000001</v>
      </c>
      <c r="J52" s="1">
        <v>0.23760000000000001</v>
      </c>
      <c r="K52" s="1">
        <v>0.47170000000000001</v>
      </c>
      <c r="L52" s="1">
        <v>0.53539999999999999</v>
      </c>
      <c r="M52" s="19">
        <f t="shared" si="0"/>
        <v>0.35676666666666668</v>
      </c>
      <c r="N52" s="1">
        <f t="shared" si="1"/>
        <v>0.47803333333333331</v>
      </c>
      <c r="O52" s="1">
        <f t="shared" si="2"/>
        <v>0.41489999999999999</v>
      </c>
      <c r="P52" s="1">
        <v>1.3992</v>
      </c>
      <c r="Q52" s="1">
        <v>1.1466000000000001</v>
      </c>
      <c r="R52" s="1">
        <v>1.2093</v>
      </c>
      <c r="S52" s="1">
        <v>1.4970000000000001</v>
      </c>
      <c r="T52" s="1">
        <v>1.4508000000000001</v>
      </c>
      <c r="U52" s="1">
        <v>1.3759999999999999</v>
      </c>
      <c r="V52" s="1">
        <v>1.1315</v>
      </c>
      <c r="W52" s="1">
        <v>1.1774</v>
      </c>
      <c r="X52" s="1">
        <v>1.1328</v>
      </c>
      <c r="Y52" s="19">
        <f t="shared" si="3"/>
        <v>1.2516999999999998</v>
      </c>
      <c r="Z52" s="1">
        <f t="shared" si="4"/>
        <v>1.4412666666666667</v>
      </c>
      <c r="AA52" s="1">
        <f t="shared" si="5"/>
        <v>1.1472333333333333</v>
      </c>
    </row>
    <row r="53" spans="1:27" x14ac:dyDescent="0.2">
      <c r="C53">
        <f t="shared" si="8"/>
        <v>1950</v>
      </c>
      <c r="D53" s="11">
        <v>0.13980000000000001</v>
      </c>
      <c r="E53" s="1">
        <v>0.47139999999999999</v>
      </c>
      <c r="F53" s="1">
        <v>0.45169999999999999</v>
      </c>
      <c r="G53" s="1">
        <v>0.35730000000000001</v>
      </c>
      <c r="H53" s="1">
        <v>0.37519999999999998</v>
      </c>
      <c r="I53" s="12">
        <v>0.7107</v>
      </c>
      <c r="J53" s="1">
        <v>0.23749999999999999</v>
      </c>
      <c r="K53" s="1">
        <v>0.47189999999999999</v>
      </c>
      <c r="L53" s="1">
        <v>0.53800000000000003</v>
      </c>
      <c r="M53" s="19">
        <f t="shared" si="0"/>
        <v>0.3543</v>
      </c>
      <c r="N53" s="1">
        <f t="shared" si="1"/>
        <v>0.4810666666666667</v>
      </c>
      <c r="O53" s="1">
        <f t="shared" si="2"/>
        <v>0.4158</v>
      </c>
      <c r="P53" s="1">
        <v>1.4173</v>
      </c>
      <c r="Q53" s="1">
        <v>1.1627000000000001</v>
      </c>
      <c r="R53" s="1">
        <v>1.2235</v>
      </c>
      <c r="S53" s="1">
        <v>1.5155000000000001</v>
      </c>
      <c r="T53" s="1">
        <v>1.4971000000000001</v>
      </c>
      <c r="U53" s="1">
        <v>1.3994</v>
      </c>
      <c r="V53" s="1">
        <v>1.141</v>
      </c>
      <c r="W53" s="1">
        <v>1.171</v>
      </c>
      <c r="X53" s="1">
        <v>1.137</v>
      </c>
      <c r="Y53" s="19">
        <f t="shared" si="3"/>
        <v>1.2678333333333334</v>
      </c>
      <c r="Z53" s="1">
        <f t="shared" si="4"/>
        <v>1.4706666666666666</v>
      </c>
      <c r="AA53" s="1">
        <f t="shared" si="5"/>
        <v>1.1496666666666668</v>
      </c>
    </row>
    <row r="54" spans="1:27" x14ac:dyDescent="0.2">
      <c r="C54">
        <f t="shared" si="8"/>
        <v>1980</v>
      </c>
      <c r="D54" s="11">
        <v>0.15840000000000001</v>
      </c>
      <c r="E54" s="1">
        <v>0.47110000000000002</v>
      </c>
      <c r="F54" s="1">
        <v>0.45319999999999999</v>
      </c>
      <c r="G54" s="1">
        <v>0.35510000000000003</v>
      </c>
      <c r="H54" s="1">
        <v>0.37709999999999999</v>
      </c>
      <c r="I54" s="12">
        <v>0.70299999999999996</v>
      </c>
      <c r="J54" s="1">
        <v>0.2384</v>
      </c>
      <c r="K54" s="1">
        <v>0.4713</v>
      </c>
      <c r="L54" s="1">
        <v>0.53720000000000001</v>
      </c>
      <c r="M54" s="19">
        <f t="shared" si="0"/>
        <v>0.3609</v>
      </c>
      <c r="N54" s="1">
        <f t="shared" si="1"/>
        <v>0.47839999999999999</v>
      </c>
      <c r="O54" s="1">
        <f t="shared" si="2"/>
        <v>0.41563333333333335</v>
      </c>
      <c r="P54" s="1">
        <v>1.4354</v>
      </c>
      <c r="Q54" s="1">
        <v>1.1755</v>
      </c>
      <c r="R54" s="1">
        <v>1.2366999999999999</v>
      </c>
      <c r="S54" s="1">
        <v>1.4789000000000001</v>
      </c>
      <c r="T54" s="1">
        <v>1.4766999999999999</v>
      </c>
      <c r="U54" s="1">
        <v>1.4056</v>
      </c>
      <c r="V54" s="1">
        <v>1.1412</v>
      </c>
      <c r="W54" s="1">
        <v>1.1765000000000001</v>
      </c>
      <c r="X54" s="1">
        <v>1.1304000000000001</v>
      </c>
      <c r="Y54" s="19">
        <f t="shared" si="3"/>
        <v>1.2825333333333333</v>
      </c>
      <c r="Z54" s="1">
        <f t="shared" si="4"/>
        <v>1.4537333333333333</v>
      </c>
      <c r="AA54" s="1">
        <f t="shared" si="5"/>
        <v>1.1493666666666666</v>
      </c>
    </row>
    <row r="55" spans="1:27" x14ac:dyDescent="0.2">
      <c r="C55">
        <f t="shared" si="8"/>
        <v>2010</v>
      </c>
      <c r="D55" s="11">
        <v>0.14560000000000001</v>
      </c>
      <c r="E55" s="1">
        <v>0.47099999999999997</v>
      </c>
      <c r="F55" s="1">
        <v>0.45140000000000002</v>
      </c>
      <c r="G55" s="1">
        <v>0.3548</v>
      </c>
      <c r="H55" s="1">
        <v>0.3775</v>
      </c>
      <c r="I55" s="12">
        <v>0.70650000000000002</v>
      </c>
      <c r="J55" s="1">
        <v>0.2387</v>
      </c>
      <c r="K55" s="1">
        <v>0.47160000000000002</v>
      </c>
      <c r="L55" s="1">
        <v>0.53339999999999999</v>
      </c>
      <c r="M55" s="19">
        <f t="shared" si="0"/>
        <v>0.35600000000000004</v>
      </c>
      <c r="N55" s="1">
        <f t="shared" si="1"/>
        <v>0.47960000000000003</v>
      </c>
      <c r="O55" s="1">
        <f t="shared" si="2"/>
        <v>0.41456666666666669</v>
      </c>
      <c r="P55" s="1">
        <v>1.4547000000000001</v>
      </c>
      <c r="Q55" s="1">
        <v>1.1918</v>
      </c>
      <c r="R55" s="1">
        <v>1.2531000000000001</v>
      </c>
      <c r="S55" s="1">
        <v>1.5281</v>
      </c>
      <c r="T55" s="1">
        <v>1.5281</v>
      </c>
      <c r="U55" s="1">
        <v>1.4126000000000001</v>
      </c>
      <c r="V55" s="1">
        <v>1.141</v>
      </c>
      <c r="W55" s="1">
        <v>1.1705000000000001</v>
      </c>
      <c r="X55" s="1">
        <v>1.1343000000000001</v>
      </c>
      <c r="Y55" s="19">
        <f t="shared" si="3"/>
        <v>1.2998666666666667</v>
      </c>
      <c r="Z55" s="1">
        <f t="shared" si="4"/>
        <v>1.4896</v>
      </c>
      <c r="AA55" s="1">
        <f t="shared" si="5"/>
        <v>1.1486000000000001</v>
      </c>
    </row>
    <row r="56" spans="1:27" x14ac:dyDescent="0.2">
      <c r="C56">
        <f t="shared" si="8"/>
        <v>2040</v>
      </c>
      <c r="D56" s="11">
        <v>0.14080000000000001</v>
      </c>
      <c r="E56" s="1">
        <v>0.47270000000000001</v>
      </c>
      <c r="F56" s="1">
        <v>0.45179999999999998</v>
      </c>
      <c r="G56" s="1">
        <v>0.35410000000000003</v>
      </c>
      <c r="H56" s="1">
        <v>0.3785</v>
      </c>
      <c r="I56" s="12">
        <v>0.70050000000000001</v>
      </c>
      <c r="J56" s="1">
        <v>0.23980000000000001</v>
      </c>
      <c r="K56" s="1">
        <v>0.4718</v>
      </c>
      <c r="L56" s="1">
        <v>0.53080000000000005</v>
      </c>
      <c r="M56">
        <f t="shared" si="0"/>
        <v>0.35510000000000003</v>
      </c>
      <c r="N56" s="1">
        <f t="shared" si="1"/>
        <v>0.47770000000000001</v>
      </c>
      <c r="O56" s="1">
        <f t="shared" si="2"/>
        <v>0.4141333333333333</v>
      </c>
      <c r="P56" s="1">
        <v>1.4614</v>
      </c>
      <c r="Q56" s="1">
        <v>1.208</v>
      </c>
      <c r="R56" s="1">
        <v>1.2674000000000001</v>
      </c>
      <c r="S56" s="1">
        <v>1.575</v>
      </c>
      <c r="T56" s="1">
        <v>1.5454000000000001</v>
      </c>
      <c r="U56" s="1">
        <v>1.4287000000000001</v>
      </c>
      <c r="V56" s="1">
        <v>1.1474</v>
      </c>
      <c r="W56" s="1">
        <v>1.1755</v>
      </c>
      <c r="X56" s="1">
        <v>1.1311</v>
      </c>
      <c r="Y56">
        <f t="shared" si="3"/>
        <v>1.3122666666666667</v>
      </c>
      <c r="Z56" s="1">
        <f t="shared" si="4"/>
        <v>1.5163666666666666</v>
      </c>
      <c r="AA56" s="1">
        <f t="shared" si="5"/>
        <v>1.1513333333333333</v>
      </c>
    </row>
    <row r="57" spans="1:27" x14ac:dyDescent="0.2">
      <c r="A57" s="5">
        <v>46040.249745370369</v>
      </c>
      <c r="C57">
        <f t="shared" si="8"/>
        <v>2070</v>
      </c>
      <c r="D57" s="11">
        <v>0.14879999999999999</v>
      </c>
      <c r="E57" s="1">
        <v>0.47210000000000002</v>
      </c>
      <c r="F57" s="1">
        <v>0.45100000000000001</v>
      </c>
      <c r="G57" s="1">
        <v>0.35389999999999999</v>
      </c>
      <c r="H57" s="1">
        <v>0.37819999999999998</v>
      </c>
      <c r="I57" s="12">
        <v>0.70399999999999996</v>
      </c>
      <c r="J57" s="1">
        <v>0.24060000000000001</v>
      </c>
      <c r="K57" s="1">
        <v>0.47189999999999999</v>
      </c>
      <c r="L57" s="1">
        <v>0.52810000000000001</v>
      </c>
      <c r="M57">
        <f t="shared" si="0"/>
        <v>0.35730000000000001</v>
      </c>
      <c r="N57" s="1">
        <f t="shared" si="1"/>
        <v>0.47869999999999996</v>
      </c>
      <c r="O57" s="1">
        <f t="shared" si="2"/>
        <v>0.41353333333333336</v>
      </c>
      <c r="P57" s="1">
        <v>1.4872000000000001</v>
      </c>
      <c r="Q57" s="1">
        <v>1.2226999999999999</v>
      </c>
      <c r="R57" s="1">
        <v>1.2854000000000001</v>
      </c>
      <c r="S57" s="1">
        <v>1.6205000000000001</v>
      </c>
      <c r="T57" s="1">
        <v>1.5430999999999999</v>
      </c>
      <c r="U57" s="1">
        <v>1.4353</v>
      </c>
      <c r="V57" s="1">
        <v>1.1506000000000001</v>
      </c>
      <c r="W57" s="1">
        <v>1.1728000000000001</v>
      </c>
      <c r="X57" s="1">
        <v>1.1269</v>
      </c>
      <c r="Y57">
        <f t="shared" si="3"/>
        <v>1.3317666666666668</v>
      </c>
      <c r="Z57" s="1">
        <f t="shared" si="4"/>
        <v>1.5329666666666666</v>
      </c>
      <c r="AA57" s="1">
        <f t="shared" si="5"/>
        <v>1.1501000000000001</v>
      </c>
    </row>
    <row r="58" spans="1:27" x14ac:dyDescent="0.2">
      <c r="M58" s="1">
        <f>(M55-M35)/($C$55-$C$35)*60</f>
        <v>3.6233333333333339E-3</v>
      </c>
      <c r="N58" s="1">
        <f>(N30-N10)/($C$30-$C$10)*60</f>
        <v>9.1172413793103434E-3</v>
      </c>
      <c r="O58" s="1">
        <f>(O13-O3)/($C$13-$C$3)*60</f>
        <v>9.7133333333333342E-3</v>
      </c>
      <c r="Y58" s="1">
        <f>(Y55-Y35)/($C$55-$C$35)*60</f>
        <v>4.2973333333333343E-2</v>
      </c>
      <c r="Z58" s="1">
        <f>(Z30-Z10)/($C$30-$C$10)*60</f>
        <v>4.1041379310344822E-2</v>
      </c>
      <c r="AA58" s="1">
        <f>(AA13-AA3)/($C$13-$C$3)*60</f>
        <v>8.4133333333333352E-2</v>
      </c>
    </row>
    <row r="60" spans="1:27" x14ac:dyDescent="0.2">
      <c r="M60">
        <f>Y58/M58</f>
        <v>11.860165593376266</v>
      </c>
      <c r="N60">
        <f t="shared" ref="N60:O60" si="9">Z58/N58</f>
        <v>4.5015128593040847</v>
      </c>
      <c r="O60">
        <f t="shared" si="9"/>
        <v>8.6616334934797532</v>
      </c>
    </row>
  </sheetData>
  <mergeCells count="5">
    <mergeCell ref="B1:C1"/>
    <mergeCell ref="D1:L1"/>
    <mergeCell ref="P1:X1"/>
    <mergeCell ref="M1:O1"/>
    <mergeCell ref="Y1:AA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BBF7-3261-C242-AB0F-BED2129218D9}">
  <sheetPr codeName="Sheet3"/>
  <dimension ref="A1:E493"/>
  <sheetViews>
    <sheetView workbookViewId="0">
      <selection activeCell="A2" sqref="A2"/>
    </sheetView>
  </sheetViews>
  <sheetFormatPr baseColWidth="10" defaultRowHeight="16" x14ac:dyDescent="0.2"/>
  <sheetData>
    <row r="1" spans="1:5" x14ac:dyDescent="0.2">
      <c r="A1" s="2" t="s">
        <v>19</v>
      </c>
      <c r="B1" s="2" t="s">
        <v>2</v>
      </c>
      <c r="C1" s="2" t="s">
        <v>23</v>
      </c>
      <c r="D1" s="2" t="s">
        <v>18</v>
      </c>
      <c r="E1" s="2" t="s">
        <v>25</v>
      </c>
    </row>
    <row r="2" spans="1:5" x14ac:dyDescent="0.2">
      <c r="A2" t="s">
        <v>9</v>
      </c>
      <c r="B2" s="6">
        <v>0</v>
      </c>
      <c r="C2" s="1">
        <v>0.33729999999999999</v>
      </c>
      <c r="D2" t="s">
        <v>20</v>
      </c>
      <c r="E2" t="s">
        <v>26</v>
      </c>
    </row>
    <row r="3" spans="1:5" x14ac:dyDescent="0.2">
      <c r="A3" t="s">
        <v>9</v>
      </c>
      <c r="B3" s="6">
        <v>30</v>
      </c>
      <c r="C3" s="1">
        <v>0.34920000000000001</v>
      </c>
      <c r="D3" t="s">
        <v>20</v>
      </c>
      <c r="E3" t="s">
        <v>26</v>
      </c>
    </row>
    <row r="4" spans="1:5" x14ac:dyDescent="0.2">
      <c r="A4" t="s">
        <v>9</v>
      </c>
      <c r="B4" s="6">
        <v>60</v>
      </c>
      <c r="C4" s="1">
        <v>0.36130000000000001</v>
      </c>
      <c r="D4" t="s">
        <v>20</v>
      </c>
      <c r="E4" t="s">
        <v>26</v>
      </c>
    </row>
    <row r="5" spans="1:5" x14ac:dyDescent="0.2">
      <c r="A5" t="s">
        <v>9</v>
      </c>
      <c r="B5" s="6">
        <v>70</v>
      </c>
      <c r="C5" s="1">
        <v>0.36720000000000003</v>
      </c>
      <c r="D5" t="s">
        <v>20</v>
      </c>
      <c r="E5" t="s">
        <v>26</v>
      </c>
    </row>
    <row r="6" spans="1:5" x14ac:dyDescent="0.2">
      <c r="A6" t="s">
        <v>9</v>
      </c>
      <c r="B6" s="6">
        <v>100</v>
      </c>
      <c r="C6" s="1">
        <v>0.38080000000000003</v>
      </c>
      <c r="D6" t="s">
        <v>20</v>
      </c>
      <c r="E6" t="s">
        <v>26</v>
      </c>
    </row>
    <row r="7" spans="1:5" x14ac:dyDescent="0.2">
      <c r="A7" t="s">
        <v>9</v>
      </c>
      <c r="B7" s="6">
        <v>130</v>
      </c>
      <c r="C7" s="1">
        <v>0.39179999999999998</v>
      </c>
      <c r="D7" t="s">
        <v>20</v>
      </c>
      <c r="E7" t="s">
        <v>26</v>
      </c>
    </row>
    <row r="8" spans="1:5" x14ac:dyDescent="0.2">
      <c r="A8" t="s">
        <v>9</v>
      </c>
      <c r="B8" s="6">
        <v>160</v>
      </c>
      <c r="C8" s="1">
        <v>0.40660000000000002</v>
      </c>
      <c r="D8" t="s">
        <v>20</v>
      </c>
      <c r="E8" t="s">
        <v>26</v>
      </c>
    </row>
    <row r="9" spans="1:5" x14ac:dyDescent="0.2">
      <c r="A9" t="s">
        <v>9</v>
      </c>
      <c r="B9" s="6">
        <v>190</v>
      </c>
      <c r="C9" s="1">
        <v>0.41570000000000001</v>
      </c>
      <c r="D9" t="s">
        <v>20</v>
      </c>
      <c r="E9" t="s">
        <v>26</v>
      </c>
    </row>
    <row r="10" spans="1:5" x14ac:dyDescent="0.2">
      <c r="A10" t="s">
        <v>9</v>
      </c>
      <c r="B10" s="6">
        <v>200</v>
      </c>
      <c r="C10" s="1">
        <v>0.42399999999999999</v>
      </c>
      <c r="D10" t="s">
        <v>20</v>
      </c>
      <c r="E10" t="s">
        <v>26</v>
      </c>
    </row>
    <row r="11" spans="1:5" x14ac:dyDescent="0.2">
      <c r="A11" t="s">
        <v>9</v>
      </c>
      <c r="B11" s="6">
        <v>230</v>
      </c>
      <c r="C11" s="1">
        <v>0.43519999999999998</v>
      </c>
      <c r="D11" t="s">
        <v>20</v>
      </c>
      <c r="E11" t="s">
        <v>26</v>
      </c>
    </row>
    <row r="12" spans="1:5" x14ac:dyDescent="0.2">
      <c r="A12" t="s">
        <v>9</v>
      </c>
      <c r="B12" s="6">
        <v>240</v>
      </c>
      <c r="C12" s="1">
        <v>0.44579999999999997</v>
      </c>
      <c r="D12" t="s">
        <v>20</v>
      </c>
      <c r="E12" t="s">
        <v>26</v>
      </c>
    </row>
    <row r="13" spans="1:5" x14ac:dyDescent="0.2">
      <c r="A13" t="s">
        <v>9</v>
      </c>
      <c r="B13" s="6">
        <v>240</v>
      </c>
      <c r="C13" s="1">
        <v>0.45150000000000001</v>
      </c>
      <c r="D13" t="s">
        <v>20</v>
      </c>
      <c r="E13" t="s">
        <v>26</v>
      </c>
    </row>
    <row r="14" spans="1:5" x14ac:dyDescent="0.2">
      <c r="A14" t="s">
        <v>9</v>
      </c>
      <c r="B14" s="6">
        <v>270</v>
      </c>
      <c r="C14" s="1">
        <v>0.4703</v>
      </c>
      <c r="D14" t="s">
        <v>20</v>
      </c>
      <c r="E14" t="s">
        <v>26</v>
      </c>
    </row>
    <row r="15" spans="1:5" x14ac:dyDescent="0.2">
      <c r="A15" t="s">
        <v>9</v>
      </c>
      <c r="B15" s="6">
        <v>300</v>
      </c>
      <c r="C15" s="1">
        <v>0.46920000000000001</v>
      </c>
      <c r="D15" t="s">
        <v>20</v>
      </c>
      <c r="E15" t="s">
        <v>26</v>
      </c>
    </row>
    <row r="16" spans="1:5" x14ac:dyDescent="0.2">
      <c r="A16" t="s">
        <v>9</v>
      </c>
      <c r="B16" s="6">
        <v>330</v>
      </c>
      <c r="C16" s="1">
        <v>0.47860000000000003</v>
      </c>
      <c r="D16" t="s">
        <v>20</v>
      </c>
      <c r="E16" t="s">
        <v>26</v>
      </c>
    </row>
    <row r="17" spans="1:5" x14ac:dyDescent="0.2">
      <c r="A17" t="s">
        <v>9</v>
      </c>
      <c r="B17" s="6">
        <v>360</v>
      </c>
      <c r="C17" s="1">
        <v>0.48649999999999999</v>
      </c>
      <c r="D17" t="s">
        <v>20</v>
      </c>
      <c r="E17" t="s">
        <v>26</v>
      </c>
    </row>
    <row r="18" spans="1:5" x14ac:dyDescent="0.2">
      <c r="A18" t="s">
        <v>9</v>
      </c>
      <c r="B18" s="6">
        <v>390</v>
      </c>
      <c r="C18" s="1">
        <v>0.49990000000000001</v>
      </c>
      <c r="D18" t="s">
        <v>20</v>
      </c>
      <c r="E18" t="s">
        <v>26</v>
      </c>
    </row>
    <row r="19" spans="1:5" x14ac:dyDescent="0.2">
      <c r="A19" t="s">
        <v>9</v>
      </c>
      <c r="B19" s="6">
        <v>420</v>
      </c>
      <c r="C19" s="1">
        <v>0.50349999999999995</v>
      </c>
      <c r="D19" t="s">
        <v>20</v>
      </c>
      <c r="E19" t="s">
        <v>26</v>
      </c>
    </row>
    <row r="20" spans="1:5" x14ac:dyDescent="0.2">
      <c r="A20" t="s">
        <v>9</v>
      </c>
      <c r="B20" s="6">
        <v>450</v>
      </c>
      <c r="C20" s="1">
        <v>0.50770000000000004</v>
      </c>
      <c r="D20" t="s">
        <v>20</v>
      </c>
      <c r="E20" t="s">
        <v>26</v>
      </c>
    </row>
    <row r="21" spans="1:5" x14ac:dyDescent="0.2">
      <c r="A21" t="s">
        <v>9</v>
      </c>
      <c r="B21" s="6">
        <v>480</v>
      </c>
      <c r="C21" s="1">
        <v>0.51619999999999999</v>
      </c>
      <c r="D21" t="s">
        <v>20</v>
      </c>
      <c r="E21" t="s">
        <v>26</v>
      </c>
    </row>
    <row r="22" spans="1:5" x14ac:dyDescent="0.2">
      <c r="A22" t="s">
        <v>9</v>
      </c>
      <c r="B22" s="6">
        <v>510</v>
      </c>
      <c r="C22" s="1">
        <v>0.52880000000000005</v>
      </c>
      <c r="D22" t="s">
        <v>20</v>
      </c>
      <c r="E22" t="s">
        <v>26</v>
      </c>
    </row>
    <row r="23" spans="1:5" x14ac:dyDescent="0.2">
      <c r="A23" t="s">
        <v>9</v>
      </c>
      <c r="B23" s="6">
        <v>540</v>
      </c>
      <c r="C23" s="1">
        <v>0.53</v>
      </c>
      <c r="D23" t="s">
        <v>20</v>
      </c>
      <c r="E23" t="s">
        <v>26</v>
      </c>
    </row>
    <row r="24" spans="1:5" x14ac:dyDescent="0.2">
      <c r="A24" t="s">
        <v>9</v>
      </c>
      <c r="B24" s="6">
        <v>570</v>
      </c>
      <c r="C24" s="1">
        <v>0.53269999999999995</v>
      </c>
      <c r="D24" t="s">
        <v>20</v>
      </c>
      <c r="E24" t="s">
        <v>26</v>
      </c>
    </row>
    <row r="25" spans="1:5" x14ac:dyDescent="0.2">
      <c r="A25" t="s">
        <v>9</v>
      </c>
      <c r="B25" s="6">
        <v>600</v>
      </c>
      <c r="C25" s="1">
        <v>0.54479999999999995</v>
      </c>
      <c r="D25" t="s">
        <v>20</v>
      </c>
      <c r="E25" t="s">
        <v>26</v>
      </c>
    </row>
    <row r="26" spans="1:5" x14ac:dyDescent="0.2">
      <c r="A26" t="s">
        <v>9</v>
      </c>
      <c r="B26" s="6">
        <v>630</v>
      </c>
      <c r="C26" s="1">
        <v>0.55600000000000005</v>
      </c>
      <c r="D26" t="s">
        <v>20</v>
      </c>
      <c r="E26" t="s">
        <v>26</v>
      </c>
    </row>
    <row r="27" spans="1:5" x14ac:dyDescent="0.2">
      <c r="A27" t="s">
        <v>9</v>
      </c>
      <c r="B27" s="6">
        <v>660</v>
      </c>
      <c r="C27" s="1">
        <v>0.57320000000000004</v>
      </c>
      <c r="D27" t="s">
        <v>20</v>
      </c>
      <c r="E27" t="s">
        <v>26</v>
      </c>
    </row>
    <row r="28" spans="1:5" x14ac:dyDescent="0.2">
      <c r="A28" t="s">
        <v>9</v>
      </c>
      <c r="B28" s="6">
        <v>690</v>
      </c>
      <c r="C28" s="1">
        <v>0.59570000000000001</v>
      </c>
      <c r="D28" t="s">
        <v>20</v>
      </c>
      <c r="E28" t="s">
        <v>26</v>
      </c>
    </row>
    <row r="29" spans="1:5" x14ac:dyDescent="0.2">
      <c r="A29" t="s">
        <v>9</v>
      </c>
      <c r="B29" s="6">
        <v>720</v>
      </c>
      <c r="C29" s="1">
        <v>0.61629999999999996</v>
      </c>
      <c r="D29" t="s">
        <v>20</v>
      </c>
      <c r="E29" t="s">
        <v>26</v>
      </c>
    </row>
    <row r="30" spans="1:5" x14ac:dyDescent="0.2">
      <c r="A30" t="s">
        <v>9</v>
      </c>
      <c r="B30" s="6">
        <v>750</v>
      </c>
      <c r="C30" s="1">
        <v>0.63</v>
      </c>
      <c r="D30" t="s">
        <v>20</v>
      </c>
      <c r="E30" t="s">
        <v>26</v>
      </c>
    </row>
    <row r="31" spans="1:5" x14ac:dyDescent="0.2">
      <c r="A31" t="s">
        <v>9</v>
      </c>
      <c r="B31" s="6">
        <v>780</v>
      </c>
      <c r="C31" s="1">
        <v>0.65149999999999997</v>
      </c>
      <c r="D31" t="s">
        <v>20</v>
      </c>
      <c r="E31" t="s">
        <v>26</v>
      </c>
    </row>
    <row r="32" spans="1:5" x14ac:dyDescent="0.2">
      <c r="A32" t="s">
        <v>9</v>
      </c>
      <c r="B32" s="6">
        <v>810</v>
      </c>
      <c r="C32" s="1">
        <v>0.66820000000000002</v>
      </c>
      <c r="D32" t="s">
        <v>20</v>
      </c>
      <c r="E32" t="s">
        <v>26</v>
      </c>
    </row>
    <row r="33" spans="1:5" x14ac:dyDescent="0.2">
      <c r="A33" t="s">
        <v>9</v>
      </c>
      <c r="B33" s="6">
        <v>840</v>
      </c>
      <c r="C33" s="1">
        <v>0.67749999999999999</v>
      </c>
      <c r="D33" t="s">
        <v>20</v>
      </c>
      <c r="E33" t="s">
        <v>26</v>
      </c>
    </row>
    <row r="34" spans="1:5" x14ac:dyDescent="0.2">
      <c r="A34" t="s">
        <v>9</v>
      </c>
      <c r="B34" s="6">
        <v>870</v>
      </c>
      <c r="C34" s="1">
        <v>0.68589999999999995</v>
      </c>
      <c r="D34" t="s">
        <v>20</v>
      </c>
      <c r="E34" t="s">
        <v>26</v>
      </c>
    </row>
    <row r="35" spans="1:5" x14ac:dyDescent="0.2">
      <c r="A35" t="s">
        <v>9</v>
      </c>
      <c r="B35" s="6">
        <v>900</v>
      </c>
      <c r="C35" s="1">
        <v>0.6946</v>
      </c>
      <c r="D35" t="s">
        <v>20</v>
      </c>
      <c r="E35" t="s">
        <v>26</v>
      </c>
    </row>
    <row r="36" spans="1:5" x14ac:dyDescent="0.2">
      <c r="A36" t="s">
        <v>9</v>
      </c>
      <c r="B36" s="6">
        <v>930</v>
      </c>
      <c r="C36" s="1">
        <v>0.71179999999999999</v>
      </c>
      <c r="D36" t="s">
        <v>20</v>
      </c>
      <c r="E36" t="s">
        <v>26</v>
      </c>
    </row>
    <row r="37" spans="1:5" x14ac:dyDescent="0.2">
      <c r="A37" t="s">
        <v>9</v>
      </c>
      <c r="B37" s="6">
        <v>960</v>
      </c>
      <c r="C37" s="1">
        <v>0.70589999999999997</v>
      </c>
      <c r="D37" t="s">
        <v>20</v>
      </c>
      <c r="E37" t="s">
        <v>26</v>
      </c>
    </row>
    <row r="38" spans="1:5" x14ac:dyDescent="0.2">
      <c r="A38" t="s">
        <v>9</v>
      </c>
      <c r="B38" s="6">
        <v>990</v>
      </c>
      <c r="C38" s="1">
        <v>0.71699999999999997</v>
      </c>
      <c r="D38" t="s">
        <v>20</v>
      </c>
      <c r="E38" t="s">
        <v>26</v>
      </c>
    </row>
    <row r="39" spans="1:5" x14ac:dyDescent="0.2">
      <c r="A39" t="s">
        <v>9</v>
      </c>
      <c r="B39" s="6">
        <v>1020</v>
      </c>
      <c r="C39" s="1">
        <v>0.7258</v>
      </c>
      <c r="D39" t="s">
        <v>20</v>
      </c>
      <c r="E39" t="s">
        <v>26</v>
      </c>
    </row>
    <row r="40" spans="1:5" x14ac:dyDescent="0.2">
      <c r="A40" t="s">
        <v>9</v>
      </c>
      <c r="B40" s="6">
        <v>1050</v>
      </c>
      <c r="C40" s="1">
        <v>0.73609999999999998</v>
      </c>
      <c r="D40" t="s">
        <v>20</v>
      </c>
      <c r="E40" t="s">
        <v>26</v>
      </c>
    </row>
    <row r="41" spans="1:5" x14ac:dyDescent="0.2">
      <c r="A41" t="s">
        <v>9</v>
      </c>
      <c r="B41" s="6">
        <v>1080</v>
      </c>
      <c r="C41" s="1">
        <v>0.74560000000000004</v>
      </c>
      <c r="D41" t="s">
        <v>20</v>
      </c>
      <c r="E41" t="s">
        <v>26</v>
      </c>
    </row>
    <row r="42" spans="1:5" x14ac:dyDescent="0.2">
      <c r="A42" t="s">
        <v>9</v>
      </c>
      <c r="B42" s="6">
        <v>1110</v>
      </c>
      <c r="C42" s="1">
        <v>0.75329999999999997</v>
      </c>
      <c r="D42" t="s">
        <v>20</v>
      </c>
      <c r="E42" t="s">
        <v>26</v>
      </c>
    </row>
    <row r="43" spans="1:5" x14ac:dyDescent="0.2">
      <c r="A43" t="s">
        <v>10</v>
      </c>
      <c r="B43" s="6">
        <v>0</v>
      </c>
      <c r="C43" s="1">
        <v>0.34439999999999998</v>
      </c>
      <c r="D43" t="s">
        <v>20</v>
      </c>
      <c r="E43" t="s">
        <v>26</v>
      </c>
    </row>
    <row r="44" spans="1:5" x14ac:dyDescent="0.2">
      <c r="A44" t="s">
        <v>10</v>
      </c>
      <c r="B44" s="6">
        <v>30</v>
      </c>
      <c r="C44" s="1">
        <v>0.36109999999999998</v>
      </c>
      <c r="D44" t="s">
        <v>20</v>
      </c>
      <c r="E44" t="s">
        <v>26</v>
      </c>
    </row>
    <row r="45" spans="1:5" x14ac:dyDescent="0.2">
      <c r="A45" t="s">
        <v>10</v>
      </c>
      <c r="B45" s="6">
        <v>60</v>
      </c>
      <c r="C45" s="1">
        <v>0.36599999999999999</v>
      </c>
      <c r="D45" t="s">
        <v>20</v>
      </c>
      <c r="E45" t="s">
        <v>26</v>
      </c>
    </row>
    <row r="46" spans="1:5" x14ac:dyDescent="0.2">
      <c r="A46" t="s">
        <v>10</v>
      </c>
      <c r="B46" s="6">
        <v>70</v>
      </c>
      <c r="C46" s="1">
        <v>0.3962</v>
      </c>
      <c r="D46" t="s">
        <v>20</v>
      </c>
      <c r="E46" t="s">
        <v>26</v>
      </c>
    </row>
    <row r="47" spans="1:5" x14ac:dyDescent="0.2">
      <c r="A47" t="s">
        <v>10</v>
      </c>
      <c r="B47" s="6">
        <v>100</v>
      </c>
      <c r="C47" s="1">
        <v>0.37980000000000003</v>
      </c>
      <c r="D47" t="s">
        <v>20</v>
      </c>
      <c r="E47" t="s">
        <v>26</v>
      </c>
    </row>
    <row r="48" spans="1:5" x14ac:dyDescent="0.2">
      <c r="A48" t="s">
        <v>10</v>
      </c>
      <c r="B48" s="6">
        <v>130</v>
      </c>
      <c r="C48" s="1">
        <v>0.38819999999999999</v>
      </c>
      <c r="D48" t="s">
        <v>20</v>
      </c>
      <c r="E48" t="s">
        <v>26</v>
      </c>
    </row>
    <row r="49" spans="1:5" x14ac:dyDescent="0.2">
      <c r="A49" t="s">
        <v>10</v>
      </c>
      <c r="B49" s="6">
        <v>160</v>
      </c>
      <c r="C49" s="1">
        <v>0.39600000000000002</v>
      </c>
      <c r="D49" t="s">
        <v>20</v>
      </c>
      <c r="E49" t="s">
        <v>26</v>
      </c>
    </row>
    <row r="50" spans="1:5" x14ac:dyDescent="0.2">
      <c r="A50" t="s">
        <v>10</v>
      </c>
      <c r="B50" s="6">
        <v>190</v>
      </c>
      <c r="C50" s="1">
        <v>0.4032</v>
      </c>
      <c r="D50" t="s">
        <v>20</v>
      </c>
      <c r="E50" t="s">
        <v>26</v>
      </c>
    </row>
    <row r="51" spans="1:5" x14ac:dyDescent="0.2">
      <c r="A51" t="s">
        <v>10</v>
      </c>
      <c r="B51" s="6">
        <v>200</v>
      </c>
      <c r="C51" s="1">
        <v>0.41839999999999999</v>
      </c>
      <c r="D51" t="s">
        <v>20</v>
      </c>
      <c r="E51" t="s">
        <v>26</v>
      </c>
    </row>
    <row r="52" spans="1:5" x14ac:dyDescent="0.2">
      <c r="A52" t="s">
        <v>10</v>
      </c>
      <c r="B52" s="6">
        <v>230</v>
      </c>
      <c r="C52" s="1">
        <v>0.42359999999999998</v>
      </c>
      <c r="D52" t="s">
        <v>20</v>
      </c>
      <c r="E52" t="s">
        <v>26</v>
      </c>
    </row>
    <row r="53" spans="1:5" x14ac:dyDescent="0.2">
      <c r="A53" t="s">
        <v>10</v>
      </c>
      <c r="B53" s="6">
        <v>240</v>
      </c>
      <c r="C53" s="1">
        <v>0.45390000000000003</v>
      </c>
      <c r="D53" t="s">
        <v>20</v>
      </c>
      <c r="E53" t="s">
        <v>26</v>
      </c>
    </row>
    <row r="54" spans="1:5" x14ac:dyDescent="0.2">
      <c r="A54" t="s">
        <v>10</v>
      </c>
      <c r="B54" s="6">
        <v>240</v>
      </c>
      <c r="C54" s="1">
        <v>0.44019999999999998</v>
      </c>
      <c r="D54" t="s">
        <v>20</v>
      </c>
      <c r="E54" t="s">
        <v>26</v>
      </c>
    </row>
    <row r="55" spans="1:5" x14ac:dyDescent="0.2">
      <c r="A55" t="s">
        <v>10</v>
      </c>
      <c r="B55" s="6">
        <v>270</v>
      </c>
      <c r="C55" s="1">
        <v>0.46850000000000003</v>
      </c>
      <c r="D55" t="s">
        <v>20</v>
      </c>
      <c r="E55" t="s">
        <v>26</v>
      </c>
    </row>
    <row r="56" spans="1:5" x14ac:dyDescent="0.2">
      <c r="A56" t="s">
        <v>10</v>
      </c>
      <c r="B56" s="6">
        <v>300</v>
      </c>
      <c r="C56" s="1">
        <v>0.45810000000000001</v>
      </c>
      <c r="D56" t="s">
        <v>20</v>
      </c>
      <c r="E56" t="s">
        <v>26</v>
      </c>
    </row>
    <row r="57" spans="1:5" x14ac:dyDescent="0.2">
      <c r="A57" t="s">
        <v>10</v>
      </c>
      <c r="B57" s="6">
        <v>330</v>
      </c>
      <c r="C57" s="1">
        <v>0.46360000000000001</v>
      </c>
      <c r="D57" t="s">
        <v>20</v>
      </c>
      <c r="E57" t="s">
        <v>26</v>
      </c>
    </row>
    <row r="58" spans="1:5" x14ac:dyDescent="0.2">
      <c r="A58" t="s">
        <v>10</v>
      </c>
      <c r="B58" s="6">
        <v>360</v>
      </c>
      <c r="C58" s="1">
        <v>0.47010000000000002</v>
      </c>
      <c r="D58" t="s">
        <v>20</v>
      </c>
      <c r="E58" t="s">
        <v>26</v>
      </c>
    </row>
    <row r="59" spans="1:5" x14ac:dyDescent="0.2">
      <c r="A59" t="s">
        <v>10</v>
      </c>
      <c r="B59" s="6">
        <v>390</v>
      </c>
      <c r="C59" s="1">
        <v>0.4829</v>
      </c>
      <c r="D59" t="s">
        <v>20</v>
      </c>
      <c r="E59" t="s">
        <v>26</v>
      </c>
    </row>
    <row r="60" spans="1:5" x14ac:dyDescent="0.2">
      <c r="A60" t="s">
        <v>10</v>
      </c>
      <c r="B60" s="6">
        <v>420</v>
      </c>
      <c r="C60" s="1">
        <v>0.49619999999999997</v>
      </c>
      <c r="D60" t="s">
        <v>20</v>
      </c>
      <c r="E60" t="s">
        <v>26</v>
      </c>
    </row>
    <row r="61" spans="1:5" x14ac:dyDescent="0.2">
      <c r="A61" t="s">
        <v>10</v>
      </c>
      <c r="B61" s="6">
        <v>450</v>
      </c>
      <c r="C61" s="1">
        <v>0.50090000000000001</v>
      </c>
      <c r="D61" t="s">
        <v>20</v>
      </c>
      <c r="E61" t="s">
        <v>26</v>
      </c>
    </row>
    <row r="62" spans="1:5" x14ac:dyDescent="0.2">
      <c r="A62" t="s">
        <v>10</v>
      </c>
      <c r="B62" s="6">
        <v>480</v>
      </c>
      <c r="C62" s="1">
        <v>0.51290000000000002</v>
      </c>
      <c r="D62" t="s">
        <v>20</v>
      </c>
      <c r="E62" t="s">
        <v>26</v>
      </c>
    </row>
    <row r="63" spans="1:5" x14ac:dyDescent="0.2">
      <c r="A63" t="s">
        <v>10</v>
      </c>
      <c r="B63" s="6">
        <v>510</v>
      </c>
      <c r="C63" s="1">
        <v>0.53990000000000005</v>
      </c>
      <c r="D63" t="s">
        <v>20</v>
      </c>
      <c r="E63" t="s">
        <v>26</v>
      </c>
    </row>
    <row r="64" spans="1:5" x14ac:dyDescent="0.2">
      <c r="A64" t="s">
        <v>10</v>
      </c>
      <c r="B64" s="6">
        <v>540</v>
      </c>
      <c r="C64" s="1">
        <v>0.52610000000000001</v>
      </c>
      <c r="D64" t="s">
        <v>20</v>
      </c>
      <c r="E64" t="s">
        <v>26</v>
      </c>
    </row>
    <row r="65" spans="1:5" x14ac:dyDescent="0.2">
      <c r="A65" t="s">
        <v>10</v>
      </c>
      <c r="B65" s="6">
        <v>570</v>
      </c>
      <c r="C65" s="1">
        <v>0.54649999999999999</v>
      </c>
      <c r="D65" t="s">
        <v>20</v>
      </c>
      <c r="E65" t="s">
        <v>26</v>
      </c>
    </row>
    <row r="66" spans="1:5" x14ac:dyDescent="0.2">
      <c r="A66" t="s">
        <v>10</v>
      </c>
      <c r="B66" s="6">
        <v>600</v>
      </c>
      <c r="C66" s="1">
        <v>0.56359999999999999</v>
      </c>
      <c r="D66" t="s">
        <v>20</v>
      </c>
      <c r="E66" t="s">
        <v>26</v>
      </c>
    </row>
    <row r="67" spans="1:5" x14ac:dyDescent="0.2">
      <c r="A67" t="s">
        <v>10</v>
      </c>
      <c r="B67" s="6">
        <v>630</v>
      </c>
      <c r="C67" s="1">
        <v>0.57740000000000002</v>
      </c>
      <c r="D67" t="s">
        <v>20</v>
      </c>
      <c r="E67" t="s">
        <v>26</v>
      </c>
    </row>
    <row r="68" spans="1:5" x14ac:dyDescent="0.2">
      <c r="A68" t="s">
        <v>10</v>
      </c>
      <c r="B68" s="6">
        <v>660</v>
      </c>
      <c r="C68" s="1">
        <v>0.59089999999999998</v>
      </c>
      <c r="D68" t="s">
        <v>20</v>
      </c>
      <c r="E68" t="s">
        <v>26</v>
      </c>
    </row>
    <row r="69" spans="1:5" x14ac:dyDescent="0.2">
      <c r="A69" t="s">
        <v>10</v>
      </c>
      <c r="B69" s="6">
        <v>690</v>
      </c>
      <c r="C69" s="1">
        <v>0.60409999999999997</v>
      </c>
      <c r="D69" t="s">
        <v>20</v>
      </c>
      <c r="E69" t="s">
        <v>26</v>
      </c>
    </row>
    <row r="70" spans="1:5" x14ac:dyDescent="0.2">
      <c r="A70" t="s">
        <v>10</v>
      </c>
      <c r="B70" s="6">
        <v>720</v>
      </c>
      <c r="C70" s="1">
        <v>0.6139</v>
      </c>
      <c r="D70" t="s">
        <v>20</v>
      </c>
      <c r="E70" t="s">
        <v>26</v>
      </c>
    </row>
    <row r="71" spans="1:5" x14ac:dyDescent="0.2">
      <c r="A71" t="s">
        <v>10</v>
      </c>
      <c r="B71" s="6">
        <v>750</v>
      </c>
      <c r="C71" s="1">
        <v>0.621</v>
      </c>
      <c r="D71" t="s">
        <v>20</v>
      </c>
      <c r="E71" t="s">
        <v>26</v>
      </c>
    </row>
    <row r="72" spans="1:5" x14ac:dyDescent="0.2">
      <c r="A72" t="s">
        <v>10</v>
      </c>
      <c r="B72" s="6">
        <v>780</v>
      </c>
      <c r="C72" s="1">
        <v>0.62880000000000003</v>
      </c>
      <c r="D72" t="s">
        <v>20</v>
      </c>
      <c r="E72" t="s">
        <v>26</v>
      </c>
    </row>
    <row r="73" spans="1:5" x14ac:dyDescent="0.2">
      <c r="A73" t="s">
        <v>10</v>
      </c>
      <c r="B73" s="6">
        <v>810</v>
      </c>
      <c r="C73" s="1">
        <v>0.6391</v>
      </c>
      <c r="D73" t="s">
        <v>20</v>
      </c>
      <c r="E73" t="s">
        <v>26</v>
      </c>
    </row>
    <row r="74" spans="1:5" x14ac:dyDescent="0.2">
      <c r="A74" t="s">
        <v>10</v>
      </c>
      <c r="B74" s="6">
        <v>840</v>
      </c>
      <c r="C74" s="1">
        <v>0.65359999999999996</v>
      </c>
      <c r="D74" t="s">
        <v>20</v>
      </c>
      <c r="E74" t="s">
        <v>26</v>
      </c>
    </row>
    <row r="75" spans="1:5" x14ac:dyDescent="0.2">
      <c r="A75" t="s">
        <v>10</v>
      </c>
      <c r="B75" s="6">
        <v>870</v>
      </c>
      <c r="C75" s="1">
        <v>0.66920000000000002</v>
      </c>
      <c r="D75" t="s">
        <v>20</v>
      </c>
      <c r="E75" t="s">
        <v>26</v>
      </c>
    </row>
    <row r="76" spans="1:5" x14ac:dyDescent="0.2">
      <c r="A76" t="s">
        <v>10</v>
      </c>
      <c r="B76" s="6">
        <v>900</v>
      </c>
      <c r="C76" s="1">
        <v>0.67900000000000005</v>
      </c>
      <c r="D76" t="s">
        <v>20</v>
      </c>
      <c r="E76" t="s">
        <v>26</v>
      </c>
    </row>
    <row r="77" spans="1:5" x14ac:dyDescent="0.2">
      <c r="A77" t="s">
        <v>10</v>
      </c>
      <c r="B77" s="6">
        <v>930</v>
      </c>
      <c r="C77" s="1">
        <v>0.69159999999999999</v>
      </c>
      <c r="D77" t="s">
        <v>20</v>
      </c>
      <c r="E77" t="s">
        <v>26</v>
      </c>
    </row>
    <row r="78" spans="1:5" x14ac:dyDescent="0.2">
      <c r="A78" t="s">
        <v>10</v>
      </c>
      <c r="B78" s="6">
        <v>960</v>
      </c>
      <c r="C78" s="1">
        <v>0.70709999999999995</v>
      </c>
      <c r="D78" t="s">
        <v>20</v>
      </c>
      <c r="E78" t="s">
        <v>26</v>
      </c>
    </row>
    <row r="79" spans="1:5" x14ac:dyDescent="0.2">
      <c r="A79" t="s">
        <v>10</v>
      </c>
      <c r="B79" s="6">
        <v>990</v>
      </c>
      <c r="C79" s="1">
        <v>0.71560000000000001</v>
      </c>
      <c r="D79" t="s">
        <v>20</v>
      </c>
      <c r="E79" t="s">
        <v>26</v>
      </c>
    </row>
    <row r="80" spans="1:5" x14ac:dyDescent="0.2">
      <c r="A80" t="s">
        <v>10</v>
      </c>
      <c r="B80" s="6">
        <v>1020</v>
      </c>
      <c r="C80" s="1">
        <v>0.73199999999999998</v>
      </c>
      <c r="D80" t="s">
        <v>20</v>
      </c>
      <c r="E80" t="s">
        <v>26</v>
      </c>
    </row>
    <row r="81" spans="1:5" x14ac:dyDescent="0.2">
      <c r="A81" t="s">
        <v>10</v>
      </c>
      <c r="B81" s="6">
        <v>1050</v>
      </c>
      <c r="C81" s="1">
        <v>0.746</v>
      </c>
      <c r="D81" t="s">
        <v>20</v>
      </c>
      <c r="E81" t="s">
        <v>26</v>
      </c>
    </row>
    <row r="82" spans="1:5" x14ac:dyDescent="0.2">
      <c r="A82" t="s">
        <v>10</v>
      </c>
      <c r="B82" s="6">
        <v>1080</v>
      </c>
      <c r="C82" s="1">
        <v>0.74880000000000002</v>
      </c>
      <c r="D82" t="s">
        <v>20</v>
      </c>
      <c r="E82" t="s">
        <v>26</v>
      </c>
    </row>
    <row r="83" spans="1:5" x14ac:dyDescent="0.2">
      <c r="A83" t="s">
        <v>10</v>
      </c>
      <c r="B83" s="6">
        <v>1110</v>
      </c>
      <c r="C83" s="1">
        <v>0.75960000000000005</v>
      </c>
      <c r="D83" t="s">
        <v>20</v>
      </c>
      <c r="E83" t="s">
        <v>26</v>
      </c>
    </row>
    <row r="84" spans="1:5" x14ac:dyDescent="0.2">
      <c r="A84" t="s">
        <v>11</v>
      </c>
      <c r="B84" s="6">
        <v>0</v>
      </c>
      <c r="C84" s="1">
        <v>0.37119999999999997</v>
      </c>
      <c r="D84" t="s">
        <v>20</v>
      </c>
      <c r="E84" t="s">
        <v>26</v>
      </c>
    </row>
    <row r="85" spans="1:5" x14ac:dyDescent="0.2">
      <c r="A85" t="s">
        <v>11</v>
      </c>
      <c r="B85" s="6">
        <v>30</v>
      </c>
      <c r="C85" s="1">
        <v>0.38769999999999999</v>
      </c>
      <c r="D85" t="s">
        <v>20</v>
      </c>
      <c r="E85" t="s">
        <v>26</v>
      </c>
    </row>
    <row r="86" spans="1:5" x14ac:dyDescent="0.2">
      <c r="A86" t="s">
        <v>11</v>
      </c>
      <c r="B86" s="6">
        <v>60</v>
      </c>
      <c r="C86" s="1">
        <v>0.39889999999999998</v>
      </c>
      <c r="D86" t="s">
        <v>20</v>
      </c>
      <c r="E86" t="s">
        <v>26</v>
      </c>
    </row>
    <row r="87" spans="1:5" x14ac:dyDescent="0.2">
      <c r="A87" t="s">
        <v>11</v>
      </c>
      <c r="B87" s="6">
        <v>70</v>
      </c>
      <c r="C87" s="1">
        <v>0.44140000000000001</v>
      </c>
      <c r="D87" t="s">
        <v>20</v>
      </c>
      <c r="E87" t="s">
        <v>26</v>
      </c>
    </row>
    <row r="88" spans="1:5" x14ac:dyDescent="0.2">
      <c r="A88" t="s">
        <v>11</v>
      </c>
      <c r="B88" s="6">
        <v>100</v>
      </c>
      <c r="C88" s="1">
        <v>0.41649999999999998</v>
      </c>
      <c r="D88" t="s">
        <v>20</v>
      </c>
      <c r="E88" t="s">
        <v>26</v>
      </c>
    </row>
    <row r="89" spans="1:5" x14ac:dyDescent="0.2">
      <c r="A89" t="s">
        <v>11</v>
      </c>
      <c r="B89" s="6">
        <v>130</v>
      </c>
      <c r="C89" s="1">
        <v>0.43230000000000002</v>
      </c>
      <c r="D89" t="s">
        <v>20</v>
      </c>
      <c r="E89" t="s">
        <v>26</v>
      </c>
    </row>
    <row r="90" spans="1:5" x14ac:dyDescent="0.2">
      <c r="A90" t="s">
        <v>11</v>
      </c>
      <c r="B90" s="6">
        <v>160</v>
      </c>
      <c r="C90" s="1">
        <v>0.44700000000000001</v>
      </c>
      <c r="D90" t="s">
        <v>20</v>
      </c>
      <c r="E90" t="s">
        <v>26</v>
      </c>
    </row>
    <row r="91" spans="1:5" x14ac:dyDescent="0.2">
      <c r="A91" t="s">
        <v>11</v>
      </c>
      <c r="B91" s="6">
        <v>190</v>
      </c>
      <c r="C91" s="1">
        <v>0.46510000000000001</v>
      </c>
      <c r="D91" t="s">
        <v>20</v>
      </c>
      <c r="E91" t="s">
        <v>26</v>
      </c>
    </row>
    <row r="92" spans="1:5" x14ac:dyDescent="0.2">
      <c r="A92" t="s">
        <v>11</v>
      </c>
      <c r="B92" s="6">
        <v>200</v>
      </c>
      <c r="C92" s="1">
        <v>0.48320000000000002</v>
      </c>
      <c r="D92" t="s">
        <v>20</v>
      </c>
      <c r="E92" t="s">
        <v>26</v>
      </c>
    </row>
    <row r="93" spans="1:5" x14ac:dyDescent="0.2">
      <c r="A93" t="s">
        <v>11</v>
      </c>
      <c r="B93" s="6">
        <v>230</v>
      </c>
      <c r="C93" s="1">
        <v>0.49059999999999998</v>
      </c>
      <c r="D93" t="s">
        <v>20</v>
      </c>
      <c r="E93" t="s">
        <v>26</v>
      </c>
    </row>
    <row r="94" spans="1:5" x14ac:dyDescent="0.2">
      <c r="A94" t="s">
        <v>11</v>
      </c>
      <c r="B94" s="6">
        <v>240</v>
      </c>
      <c r="C94" s="1">
        <v>0.53459999999999996</v>
      </c>
      <c r="D94" t="s">
        <v>20</v>
      </c>
      <c r="E94" t="s">
        <v>26</v>
      </c>
    </row>
    <row r="95" spans="1:5" x14ac:dyDescent="0.2">
      <c r="A95" t="s">
        <v>11</v>
      </c>
      <c r="B95" s="6">
        <v>240</v>
      </c>
      <c r="C95" s="1">
        <v>0.51459999999999995</v>
      </c>
      <c r="D95" t="s">
        <v>20</v>
      </c>
      <c r="E95" t="s">
        <v>26</v>
      </c>
    </row>
    <row r="96" spans="1:5" x14ac:dyDescent="0.2">
      <c r="A96" t="s">
        <v>11</v>
      </c>
      <c r="B96" s="6">
        <v>270</v>
      </c>
      <c r="C96" s="1">
        <v>0.55940000000000001</v>
      </c>
      <c r="D96" t="s">
        <v>20</v>
      </c>
      <c r="E96" t="s">
        <v>26</v>
      </c>
    </row>
    <row r="97" spans="1:5" x14ac:dyDescent="0.2">
      <c r="A97" t="s">
        <v>11</v>
      </c>
      <c r="B97" s="6">
        <v>300</v>
      </c>
      <c r="C97" s="1">
        <v>0.54249999999999998</v>
      </c>
      <c r="D97" t="s">
        <v>20</v>
      </c>
      <c r="E97" t="s">
        <v>26</v>
      </c>
    </row>
    <row r="98" spans="1:5" x14ac:dyDescent="0.2">
      <c r="A98" t="s">
        <v>11</v>
      </c>
      <c r="B98" s="6">
        <v>330</v>
      </c>
      <c r="C98" s="1">
        <v>0.55379999999999996</v>
      </c>
      <c r="D98" t="s">
        <v>20</v>
      </c>
      <c r="E98" t="s">
        <v>26</v>
      </c>
    </row>
    <row r="99" spans="1:5" x14ac:dyDescent="0.2">
      <c r="A99" t="s">
        <v>11</v>
      </c>
      <c r="B99" s="6">
        <v>360</v>
      </c>
      <c r="C99" s="1">
        <v>0.56530000000000002</v>
      </c>
      <c r="D99" t="s">
        <v>20</v>
      </c>
      <c r="E99" t="s">
        <v>26</v>
      </c>
    </row>
    <row r="100" spans="1:5" x14ac:dyDescent="0.2">
      <c r="A100" t="s">
        <v>11</v>
      </c>
      <c r="B100" s="6">
        <v>390</v>
      </c>
      <c r="C100" s="1">
        <v>0.5877</v>
      </c>
      <c r="D100" t="s">
        <v>20</v>
      </c>
      <c r="E100" t="s">
        <v>26</v>
      </c>
    </row>
    <row r="101" spans="1:5" x14ac:dyDescent="0.2">
      <c r="A101" t="s">
        <v>11</v>
      </c>
      <c r="B101" s="6">
        <v>420</v>
      </c>
      <c r="C101" s="1">
        <v>0.59099999999999997</v>
      </c>
      <c r="D101" t="s">
        <v>20</v>
      </c>
      <c r="E101" t="s">
        <v>26</v>
      </c>
    </row>
    <row r="102" spans="1:5" x14ac:dyDescent="0.2">
      <c r="A102" t="s">
        <v>11</v>
      </c>
      <c r="B102" s="6">
        <v>450</v>
      </c>
      <c r="C102" s="1">
        <v>0.58989999999999998</v>
      </c>
      <c r="D102" t="s">
        <v>20</v>
      </c>
      <c r="E102" t="s">
        <v>26</v>
      </c>
    </row>
    <row r="103" spans="1:5" x14ac:dyDescent="0.2">
      <c r="A103" t="s">
        <v>11</v>
      </c>
      <c r="B103" s="6">
        <v>480</v>
      </c>
      <c r="C103" s="1">
        <v>0.59960000000000002</v>
      </c>
      <c r="D103" t="s">
        <v>20</v>
      </c>
      <c r="E103" t="s">
        <v>26</v>
      </c>
    </row>
    <row r="104" spans="1:5" x14ac:dyDescent="0.2">
      <c r="A104" t="s">
        <v>11</v>
      </c>
      <c r="B104" s="6">
        <v>510</v>
      </c>
      <c r="C104" s="1">
        <v>0.63629999999999998</v>
      </c>
      <c r="D104" t="s">
        <v>20</v>
      </c>
      <c r="E104" t="s">
        <v>26</v>
      </c>
    </row>
    <row r="105" spans="1:5" x14ac:dyDescent="0.2">
      <c r="A105" t="s">
        <v>11</v>
      </c>
      <c r="B105" s="6">
        <v>540</v>
      </c>
      <c r="C105" s="1">
        <v>0.61739999999999995</v>
      </c>
      <c r="D105" t="s">
        <v>20</v>
      </c>
      <c r="E105" t="s">
        <v>26</v>
      </c>
    </row>
    <row r="106" spans="1:5" x14ac:dyDescent="0.2">
      <c r="A106" t="s">
        <v>11</v>
      </c>
      <c r="B106" s="6">
        <v>570</v>
      </c>
      <c r="C106" s="1">
        <v>0.62849999999999995</v>
      </c>
      <c r="D106" t="s">
        <v>20</v>
      </c>
      <c r="E106" t="s">
        <v>26</v>
      </c>
    </row>
    <row r="107" spans="1:5" x14ac:dyDescent="0.2">
      <c r="A107" t="s">
        <v>11</v>
      </c>
      <c r="B107" s="6">
        <v>600</v>
      </c>
      <c r="C107" s="1">
        <v>0.63639999999999997</v>
      </c>
      <c r="D107" t="s">
        <v>20</v>
      </c>
      <c r="E107" t="s">
        <v>26</v>
      </c>
    </row>
    <row r="108" spans="1:5" x14ac:dyDescent="0.2">
      <c r="A108" t="s">
        <v>11</v>
      </c>
      <c r="B108" s="6">
        <v>630</v>
      </c>
      <c r="C108" s="1">
        <v>0.64459999999999995</v>
      </c>
      <c r="D108" t="s">
        <v>20</v>
      </c>
      <c r="E108" t="s">
        <v>26</v>
      </c>
    </row>
    <row r="109" spans="1:5" x14ac:dyDescent="0.2">
      <c r="A109" t="s">
        <v>11</v>
      </c>
      <c r="B109" s="6">
        <v>660</v>
      </c>
      <c r="C109" s="1">
        <v>0.64629999999999999</v>
      </c>
      <c r="D109" t="s">
        <v>20</v>
      </c>
      <c r="E109" t="s">
        <v>26</v>
      </c>
    </row>
    <row r="110" spans="1:5" x14ac:dyDescent="0.2">
      <c r="A110" t="s">
        <v>11</v>
      </c>
      <c r="B110" s="6">
        <v>690</v>
      </c>
      <c r="C110" s="1">
        <v>0.65810000000000002</v>
      </c>
      <c r="D110" t="s">
        <v>20</v>
      </c>
      <c r="E110" t="s">
        <v>26</v>
      </c>
    </row>
    <row r="111" spans="1:5" x14ac:dyDescent="0.2">
      <c r="A111" t="s">
        <v>11</v>
      </c>
      <c r="B111" s="6">
        <v>720</v>
      </c>
      <c r="C111" s="1">
        <v>0.66600000000000004</v>
      </c>
      <c r="D111" t="s">
        <v>20</v>
      </c>
      <c r="E111" t="s">
        <v>26</v>
      </c>
    </row>
    <row r="112" spans="1:5" x14ac:dyDescent="0.2">
      <c r="A112" t="s">
        <v>11</v>
      </c>
      <c r="B112" s="6">
        <v>750</v>
      </c>
      <c r="C112" s="1">
        <v>0.67020000000000002</v>
      </c>
      <c r="D112" t="s">
        <v>20</v>
      </c>
      <c r="E112" t="s">
        <v>26</v>
      </c>
    </row>
    <row r="113" spans="1:5" x14ac:dyDescent="0.2">
      <c r="A113" t="s">
        <v>11</v>
      </c>
      <c r="B113" s="6">
        <v>780</v>
      </c>
      <c r="C113" s="1">
        <v>0.67700000000000005</v>
      </c>
      <c r="D113" t="s">
        <v>20</v>
      </c>
      <c r="E113" t="s">
        <v>26</v>
      </c>
    </row>
    <row r="114" spans="1:5" x14ac:dyDescent="0.2">
      <c r="A114" t="s">
        <v>11</v>
      </c>
      <c r="B114" s="6">
        <v>810</v>
      </c>
      <c r="C114" s="1">
        <v>0.68420000000000003</v>
      </c>
      <c r="D114" t="s">
        <v>20</v>
      </c>
      <c r="E114" t="s">
        <v>26</v>
      </c>
    </row>
    <row r="115" spans="1:5" x14ac:dyDescent="0.2">
      <c r="A115" t="s">
        <v>11</v>
      </c>
      <c r="B115" s="6">
        <v>840</v>
      </c>
      <c r="C115" s="1">
        <v>0.69199999999999995</v>
      </c>
      <c r="D115" t="s">
        <v>20</v>
      </c>
      <c r="E115" t="s">
        <v>26</v>
      </c>
    </row>
    <row r="116" spans="1:5" x14ac:dyDescent="0.2">
      <c r="A116" t="s">
        <v>11</v>
      </c>
      <c r="B116" s="6">
        <v>870</v>
      </c>
      <c r="C116" s="1">
        <v>0.69910000000000005</v>
      </c>
      <c r="D116" t="s">
        <v>20</v>
      </c>
      <c r="E116" t="s">
        <v>26</v>
      </c>
    </row>
    <row r="117" spans="1:5" x14ac:dyDescent="0.2">
      <c r="A117" t="s">
        <v>11</v>
      </c>
      <c r="B117" s="6">
        <v>900</v>
      </c>
      <c r="C117" s="1">
        <v>0.71060000000000001</v>
      </c>
      <c r="D117" t="s">
        <v>20</v>
      </c>
      <c r="E117" t="s">
        <v>26</v>
      </c>
    </row>
    <row r="118" spans="1:5" x14ac:dyDescent="0.2">
      <c r="A118" t="s">
        <v>11</v>
      </c>
      <c r="B118" s="6">
        <v>930</v>
      </c>
      <c r="C118" s="1">
        <v>0.72089999999999999</v>
      </c>
      <c r="D118" t="s">
        <v>20</v>
      </c>
      <c r="E118" t="s">
        <v>26</v>
      </c>
    </row>
    <row r="119" spans="1:5" x14ac:dyDescent="0.2">
      <c r="A119" t="s">
        <v>11</v>
      </c>
      <c r="B119" s="6">
        <v>960</v>
      </c>
      <c r="C119" s="1">
        <v>0.72850000000000004</v>
      </c>
      <c r="D119" t="s">
        <v>20</v>
      </c>
      <c r="E119" t="s">
        <v>26</v>
      </c>
    </row>
    <row r="120" spans="1:5" x14ac:dyDescent="0.2">
      <c r="A120" t="s">
        <v>11</v>
      </c>
      <c r="B120" s="6">
        <v>990</v>
      </c>
      <c r="C120" s="1">
        <v>0.74029999999999996</v>
      </c>
      <c r="D120" t="s">
        <v>20</v>
      </c>
      <c r="E120" t="s">
        <v>26</v>
      </c>
    </row>
    <row r="121" spans="1:5" x14ac:dyDescent="0.2">
      <c r="A121" t="s">
        <v>11</v>
      </c>
      <c r="B121" s="6">
        <v>1020</v>
      </c>
      <c r="C121" s="1">
        <v>0.75070000000000003</v>
      </c>
      <c r="D121" t="s">
        <v>20</v>
      </c>
      <c r="E121" t="s">
        <v>26</v>
      </c>
    </row>
    <row r="122" spans="1:5" x14ac:dyDescent="0.2">
      <c r="A122" t="s">
        <v>11</v>
      </c>
      <c r="B122" s="6">
        <v>1050</v>
      </c>
      <c r="C122" s="1">
        <v>0.76170000000000004</v>
      </c>
      <c r="D122" t="s">
        <v>20</v>
      </c>
      <c r="E122" t="s">
        <v>26</v>
      </c>
    </row>
    <row r="123" spans="1:5" x14ac:dyDescent="0.2">
      <c r="A123" t="s">
        <v>11</v>
      </c>
      <c r="B123" s="6">
        <v>1080</v>
      </c>
      <c r="C123" s="1">
        <v>0.76859999999999995</v>
      </c>
      <c r="D123" t="s">
        <v>20</v>
      </c>
      <c r="E123" t="s">
        <v>26</v>
      </c>
    </row>
    <row r="124" spans="1:5" x14ac:dyDescent="0.2">
      <c r="A124" t="s">
        <v>11</v>
      </c>
      <c r="B124" s="6">
        <v>1110</v>
      </c>
      <c r="C124" s="1">
        <v>0.77700000000000002</v>
      </c>
      <c r="D124" t="s">
        <v>20</v>
      </c>
      <c r="E124" t="s">
        <v>26</v>
      </c>
    </row>
    <row r="125" spans="1:5" x14ac:dyDescent="0.2">
      <c r="A125" t="s">
        <v>12</v>
      </c>
      <c r="B125" s="6">
        <v>0</v>
      </c>
      <c r="C125" s="1">
        <v>0.36</v>
      </c>
      <c r="D125" t="s">
        <v>21</v>
      </c>
      <c r="E125" t="s">
        <v>26</v>
      </c>
    </row>
    <row r="126" spans="1:5" x14ac:dyDescent="0.2">
      <c r="A126" t="s">
        <v>12</v>
      </c>
      <c r="B126" s="6">
        <v>30</v>
      </c>
      <c r="C126" s="1">
        <v>0.3614</v>
      </c>
      <c r="D126" t="s">
        <v>21</v>
      </c>
      <c r="E126" t="s">
        <v>26</v>
      </c>
    </row>
    <row r="127" spans="1:5" x14ac:dyDescent="0.2">
      <c r="A127" t="s">
        <v>12</v>
      </c>
      <c r="B127" s="6">
        <v>60</v>
      </c>
      <c r="C127" s="1">
        <v>0.35049999999999998</v>
      </c>
      <c r="D127" t="s">
        <v>21</v>
      </c>
      <c r="E127" t="s">
        <v>26</v>
      </c>
    </row>
    <row r="128" spans="1:5" x14ac:dyDescent="0.2">
      <c r="A128" t="s">
        <v>12</v>
      </c>
      <c r="B128" s="6">
        <v>70</v>
      </c>
      <c r="C128" s="1">
        <v>0.376</v>
      </c>
      <c r="D128" t="s">
        <v>21</v>
      </c>
      <c r="E128" t="s">
        <v>26</v>
      </c>
    </row>
    <row r="129" spans="1:5" x14ac:dyDescent="0.2">
      <c r="A129" t="s">
        <v>12</v>
      </c>
      <c r="B129" s="6">
        <v>100</v>
      </c>
      <c r="C129" s="1">
        <v>0.35439999999999999</v>
      </c>
      <c r="D129" t="s">
        <v>21</v>
      </c>
      <c r="E129" t="s">
        <v>26</v>
      </c>
    </row>
    <row r="130" spans="1:5" x14ac:dyDescent="0.2">
      <c r="A130" t="s">
        <v>12</v>
      </c>
      <c r="B130" s="6">
        <v>130</v>
      </c>
      <c r="C130" s="1">
        <v>0.3463</v>
      </c>
      <c r="D130" t="s">
        <v>21</v>
      </c>
      <c r="E130" t="s">
        <v>26</v>
      </c>
    </row>
    <row r="131" spans="1:5" x14ac:dyDescent="0.2">
      <c r="A131" t="s">
        <v>12</v>
      </c>
      <c r="B131" s="6">
        <v>160</v>
      </c>
      <c r="C131" s="1">
        <v>0.35110000000000002</v>
      </c>
      <c r="D131" t="s">
        <v>21</v>
      </c>
      <c r="E131" t="s">
        <v>26</v>
      </c>
    </row>
    <row r="132" spans="1:5" x14ac:dyDescent="0.2">
      <c r="A132" t="s">
        <v>12</v>
      </c>
      <c r="B132" s="6">
        <v>190</v>
      </c>
      <c r="C132" s="1">
        <v>0.35820000000000002</v>
      </c>
      <c r="D132" t="s">
        <v>21</v>
      </c>
      <c r="E132" t="s">
        <v>26</v>
      </c>
    </row>
    <row r="133" spans="1:5" x14ac:dyDescent="0.2">
      <c r="A133" t="s">
        <v>12</v>
      </c>
      <c r="B133" s="6">
        <v>200</v>
      </c>
      <c r="C133" s="1">
        <v>0.34839999999999999</v>
      </c>
      <c r="D133" t="s">
        <v>21</v>
      </c>
      <c r="E133" t="s">
        <v>26</v>
      </c>
    </row>
    <row r="134" spans="1:5" x14ac:dyDescent="0.2">
      <c r="A134" t="s">
        <v>12</v>
      </c>
      <c r="B134" s="6">
        <v>230</v>
      </c>
      <c r="C134" s="1">
        <v>0.36730000000000002</v>
      </c>
      <c r="D134" t="s">
        <v>21</v>
      </c>
      <c r="E134" t="s">
        <v>26</v>
      </c>
    </row>
    <row r="135" spans="1:5" x14ac:dyDescent="0.2">
      <c r="A135" t="s">
        <v>12</v>
      </c>
      <c r="B135" s="6">
        <v>240</v>
      </c>
      <c r="C135" s="1">
        <v>0.38019999999999998</v>
      </c>
      <c r="D135" t="s">
        <v>21</v>
      </c>
      <c r="E135" t="s">
        <v>26</v>
      </c>
    </row>
    <row r="136" spans="1:5" x14ac:dyDescent="0.2">
      <c r="A136" t="s">
        <v>12</v>
      </c>
      <c r="B136" s="6">
        <v>240</v>
      </c>
      <c r="C136" s="1">
        <v>0.36890000000000001</v>
      </c>
      <c r="D136" t="s">
        <v>21</v>
      </c>
      <c r="E136" t="s">
        <v>26</v>
      </c>
    </row>
    <row r="137" spans="1:5" x14ac:dyDescent="0.2">
      <c r="A137" t="s">
        <v>12</v>
      </c>
      <c r="B137" s="6">
        <v>270</v>
      </c>
      <c r="C137" s="1">
        <v>0.37740000000000001</v>
      </c>
      <c r="D137" t="s">
        <v>21</v>
      </c>
      <c r="E137" t="s">
        <v>26</v>
      </c>
    </row>
    <row r="138" spans="1:5" x14ac:dyDescent="0.2">
      <c r="A138" t="s">
        <v>12</v>
      </c>
      <c r="B138" s="6">
        <v>300</v>
      </c>
      <c r="C138" s="1">
        <v>0.38059999999999999</v>
      </c>
      <c r="D138" t="s">
        <v>21</v>
      </c>
      <c r="E138" t="s">
        <v>26</v>
      </c>
    </row>
    <row r="139" spans="1:5" x14ac:dyDescent="0.2">
      <c r="A139" t="s">
        <v>12</v>
      </c>
      <c r="B139" s="6">
        <v>330</v>
      </c>
      <c r="C139" s="1">
        <v>0.38009999999999999</v>
      </c>
      <c r="D139" t="s">
        <v>21</v>
      </c>
      <c r="E139" t="s">
        <v>26</v>
      </c>
    </row>
    <row r="140" spans="1:5" x14ac:dyDescent="0.2">
      <c r="A140" t="s">
        <v>12</v>
      </c>
      <c r="B140" s="6">
        <v>360</v>
      </c>
      <c r="C140" s="1">
        <v>0.38329999999999997</v>
      </c>
      <c r="D140" t="s">
        <v>21</v>
      </c>
      <c r="E140" t="s">
        <v>26</v>
      </c>
    </row>
    <row r="141" spans="1:5" x14ac:dyDescent="0.2">
      <c r="A141" t="s">
        <v>12</v>
      </c>
      <c r="B141" s="6">
        <v>390</v>
      </c>
      <c r="C141" s="1">
        <v>0.38819999999999999</v>
      </c>
      <c r="D141" t="s">
        <v>21</v>
      </c>
      <c r="E141" t="s">
        <v>26</v>
      </c>
    </row>
    <row r="142" spans="1:5" x14ac:dyDescent="0.2">
      <c r="A142" t="s">
        <v>12</v>
      </c>
      <c r="B142" s="6">
        <v>420</v>
      </c>
      <c r="C142" s="1">
        <v>0.38319999999999999</v>
      </c>
      <c r="D142" t="s">
        <v>21</v>
      </c>
      <c r="E142" t="s">
        <v>26</v>
      </c>
    </row>
    <row r="143" spans="1:5" x14ac:dyDescent="0.2">
      <c r="A143" t="s">
        <v>12</v>
      </c>
      <c r="B143" s="6">
        <v>450</v>
      </c>
      <c r="C143" s="1">
        <v>0.38840000000000002</v>
      </c>
      <c r="D143" t="s">
        <v>21</v>
      </c>
      <c r="E143" t="s">
        <v>26</v>
      </c>
    </row>
    <row r="144" spans="1:5" x14ac:dyDescent="0.2">
      <c r="A144" t="s">
        <v>12</v>
      </c>
      <c r="B144" s="6">
        <v>480</v>
      </c>
      <c r="C144" s="1">
        <v>0.3891</v>
      </c>
      <c r="D144" t="s">
        <v>21</v>
      </c>
      <c r="E144" t="s">
        <v>26</v>
      </c>
    </row>
    <row r="145" spans="1:5" x14ac:dyDescent="0.2">
      <c r="A145" t="s">
        <v>12</v>
      </c>
      <c r="B145" s="6">
        <v>510</v>
      </c>
      <c r="C145" s="1">
        <v>0.39839999999999998</v>
      </c>
      <c r="D145" t="s">
        <v>21</v>
      </c>
      <c r="E145" t="s">
        <v>26</v>
      </c>
    </row>
    <row r="146" spans="1:5" x14ac:dyDescent="0.2">
      <c r="A146" t="s">
        <v>12</v>
      </c>
      <c r="B146" s="6">
        <v>540</v>
      </c>
      <c r="C146" s="1">
        <v>0.3871</v>
      </c>
      <c r="D146" t="s">
        <v>21</v>
      </c>
      <c r="E146" t="s">
        <v>26</v>
      </c>
    </row>
    <row r="147" spans="1:5" x14ac:dyDescent="0.2">
      <c r="A147" t="s">
        <v>12</v>
      </c>
      <c r="B147" s="6">
        <v>570</v>
      </c>
      <c r="C147" s="1">
        <v>0.37990000000000002</v>
      </c>
      <c r="D147" t="s">
        <v>21</v>
      </c>
      <c r="E147" t="s">
        <v>26</v>
      </c>
    </row>
    <row r="148" spans="1:5" x14ac:dyDescent="0.2">
      <c r="A148" t="s">
        <v>12</v>
      </c>
      <c r="B148" s="6">
        <v>600</v>
      </c>
      <c r="C148" s="1">
        <v>0.37419999999999998</v>
      </c>
      <c r="D148" t="s">
        <v>21</v>
      </c>
      <c r="E148" t="s">
        <v>26</v>
      </c>
    </row>
    <row r="149" spans="1:5" x14ac:dyDescent="0.2">
      <c r="A149" t="s">
        <v>12</v>
      </c>
      <c r="B149" s="6">
        <v>630</v>
      </c>
      <c r="C149" s="1">
        <v>0.37</v>
      </c>
      <c r="D149" t="s">
        <v>21</v>
      </c>
      <c r="E149" t="s">
        <v>26</v>
      </c>
    </row>
    <row r="150" spans="1:5" x14ac:dyDescent="0.2">
      <c r="A150" t="s">
        <v>12</v>
      </c>
      <c r="B150" s="6">
        <v>660</v>
      </c>
      <c r="C150" s="1">
        <v>0.36480000000000001</v>
      </c>
      <c r="D150" t="s">
        <v>21</v>
      </c>
      <c r="E150" t="s">
        <v>26</v>
      </c>
    </row>
    <row r="151" spans="1:5" x14ac:dyDescent="0.2">
      <c r="A151" t="s">
        <v>12</v>
      </c>
      <c r="B151" s="6">
        <v>690</v>
      </c>
      <c r="C151" s="1">
        <v>0.35610000000000003</v>
      </c>
      <c r="D151" t="s">
        <v>21</v>
      </c>
      <c r="E151" t="s">
        <v>26</v>
      </c>
    </row>
    <row r="152" spans="1:5" x14ac:dyDescent="0.2">
      <c r="A152" t="s">
        <v>12</v>
      </c>
      <c r="B152" s="6">
        <v>720</v>
      </c>
      <c r="C152" s="1">
        <v>0.34460000000000002</v>
      </c>
      <c r="D152" t="s">
        <v>21</v>
      </c>
      <c r="E152" t="s">
        <v>26</v>
      </c>
    </row>
    <row r="153" spans="1:5" x14ac:dyDescent="0.2">
      <c r="A153" t="s">
        <v>12</v>
      </c>
      <c r="B153" s="6">
        <v>750</v>
      </c>
      <c r="C153" s="1">
        <v>0.33260000000000001</v>
      </c>
      <c r="D153" t="s">
        <v>21</v>
      </c>
      <c r="E153" t="s">
        <v>26</v>
      </c>
    </row>
    <row r="154" spans="1:5" x14ac:dyDescent="0.2">
      <c r="A154" t="s">
        <v>12</v>
      </c>
      <c r="B154" s="6">
        <v>780</v>
      </c>
      <c r="C154" s="1">
        <v>0.32379999999999998</v>
      </c>
      <c r="D154" t="s">
        <v>21</v>
      </c>
      <c r="E154" t="s">
        <v>26</v>
      </c>
    </row>
    <row r="155" spans="1:5" x14ac:dyDescent="0.2">
      <c r="A155" t="s">
        <v>12</v>
      </c>
      <c r="B155" s="6">
        <v>810</v>
      </c>
      <c r="C155" s="1">
        <v>0.31409999999999999</v>
      </c>
      <c r="D155" t="s">
        <v>21</v>
      </c>
      <c r="E155" t="s">
        <v>26</v>
      </c>
    </row>
    <row r="156" spans="1:5" x14ac:dyDescent="0.2">
      <c r="A156" t="s">
        <v>12</v>
      </c>
      <c r="B156" s="6">
        <v>840</v>
      </c>
      <c r="C156" s="1">
        <v>0.30420000000000003</v>
      </c>
      <c r="D156" t="s">
        <v>21</v>
      </c>
      <c r="E156" t="s">
        <v>26</v>
      </c>
    </row>
    <row r="157" spans="1:5" x14ac:dyDescent="0.2">
      <c r="A157" t="s">
        <v>12</v>
      </c>
      <c r="B157" s="6">
        <v>870</v>
      </c>
      <c r="C157" s="1">
        <v>0.29770000000000002</v>
      </c>
      <c r="D157" t="s">
        <v>21</v>
      </c>
      <c r="E157" t="s">
        <v>26</v>
      </c>
    </row>
    <row r="158" spans="1:5" x14ac:dyDescent="0.2">
      <c r="A158" t="s">
        <v>12</v>
      </c>
      <c r="B158" s="6">
        <v>900</v>
      </c>
      <c r="C158" s="1">
        <v>0.2944</v>
      </c>
      <c r="D158" t="s">
        <v>21</v>
      </c>
      <c r="E158" t="s">
        <v>26</v>
      </c>
    </row>
    <row r="159" spans="1:5" x14ac:dyDescent="0.2">
      <c r="A159" t="s">
        <v>12</v>
      </c>
      <c r="B159" s="6">
        <v>930</v>
      </c>
      <c r="C159" s="1">
        <v>0.29070000000000001</v>
      </c>
      <c r="D159" t="s">
        <v>21</v>
      </c>
      <c r="E159" t="s">
        <v>26</v>
      </c>
    </row>
    <row r="160" spans="1:5" x14ac:dyDescent="0.2">
      <c r="A160" t="s">
        <v>12</v>
      </c>
      <c r="B160" s="6">
        <v>960</v>
      </c>
      <c r="C160" s="1">
        <v>0.2853</v>
      </c>
      <c r="D160" t="s">
        <v>21</v>
      </c>
      <c r="E160" t="s">
        <v>26</v>
      </c>
    </row>
    <row r="161" spans="1:5" x14ac:dyDescent="0.2">
      <c r="A161" t="s">
        <v>12</v>
      </c>
      <c r="B161" s="6">
        <v>990</v>
      </c>
      <c r="C161" s="1">
        <v>0.28199999999999997</v>
      </c>
      <c r="D161" t="s">
        <v>21</v>
      </c>
      <c r="E161" t="s">
        <v>26</v>
      </c>
    </row>
    <row r="162" spans="1:5" x14ac:dyDescent="0.2">
      <c r="A162" t="s">
        <v>12</v>
      </c>
      <c r="B162" s="6">
        <v>1020</v>
      </c>
      <c r="C162" s="1">
        <v>0.27750000000000002</v>
      </c>
      <c r="D162" t="s">
        <v>21</v>
      </c>
      <c r="E162" t="s">
        <v>26</v>
      </c>
    </row>
    <row r="163" spans="1:5" x14ac:dyDescent="0.2">
      <c r="A163" t="s">
        <v>12</v>
      </c>
      <c r="B163" s="6">
        <v>1050</v>
      </c>
      <c r="C163" s="1">
        <v>0.27700000000000002</v>
      </c>
      <c r="D163" t="s">
        <v>21</v>
      </c>
      <c r="E163" t="s">
        <v>26</v>
      </c>
    </row>
    <row r="164" spans="1:5" x14ac:dyDescent="0.2">
      <c r="A164" t="s">
        <v>12</v>
      </c>
      <c r="B164" s="6">
        <v>1080</v>
      </c>
      <c r="C164" s="1">
        <v>0.27429999999999999</v>
      </c>
      <c r="D164" t="s">
        <v>21</v>
      </c>
      <c r="E164" t="s">
        <v>26</v>
      </c>
    </row>
    <row r="165" spans="1:5" x14ac:dyDescent="0.2">
      <c r="A165" t="s">
        <v>12</v>
      </c>
      <c r="B165" s="6">
        <v>1110</v>
      </c>
      <c r="C165" s="1">
        <v>0.27550000000000002</v>
      </c>
      <c r="D165" t="s">
        <v>21</v>
      </c>
      <c r="E165" t="s">
        <v>26</v>
      </c>
    </row>
    <row r="166" spans="1:5" x14ac:dyDescent="0.2">
      <c r="A166" t="s">
        <v>13</v>
      </c>
      <c r="B166" s="6">
        <v>0</v>
      </c>
      <c r="C166" s="1">
        <v>0.37219999999999998</v>
      </c>
      <c r="D166" t="s">
        <v>21</v>
      </c>
      <c r="E166" t="s">
        <v>26</v>
      </c>
    </row>
    <row r="167" spans="1:5" x14ac:dyDescent="0.2">
      <c r="A167" t="s">
        <v>13</v>
      </c>
      <c r="B167" s="6">
        <v>30</v>
      </c>
      <c r="C167" s="1">
        <v>0.36570000000000003</v>
      </c>
      <c r="D167" t="s">
        <v>21</v>
      </c>
      <c r="E167" t="s">
        <v>26</v>
      </c>
    </row>
    <row r="168" spans="1:5" x14ac:dyDescent="0.2">
      <c r="A168" t="s">
        <v>13</v>
      </c>
      <c r="B168" s="6">
        <v>60</v>
      </c>
      <c r="C168" s="1">
        <v>0.35549999999999998</v>
      </c>
      <c r="D168" t="s">
        <v>21</v>
      </c>
      <c r="E168" t="s">
        <v>26</v>
      </c>
    </row>
    <row r="169" spans="1:5" x14ac:dyDescent="0.2">
      <c r="A169" t="s">
        <v>13</v>
      </c>
      <c r="B169" s="6">
        <v>70</v>
      </c>
      <c r="C169" s="1">
        <v>0.39079999999999998</v>
      </c>
      <c r="D169" t="s">
        <v>21</v>
      </c>
      <c r="E169" t="s">
        <v>26</v>
      </c>
    </row>
    <row r="170" spans="1:5" x14ac:dyDescent="0.2">
      <c r="A170" t="s">
        <v>13</v>
      </c>
      <c r="B170" s="6">
        <v>100</v>
      </c>
      <c r="C170" s="1">
        <v>0.36470000000000002</v>
      </c>
      <c r="D170" t="s">
        <v>21</v>
      </c>
      <c r="E170" t="s">
        <v>26</v>
      </c>
    </row>
    <row r="171" spans="1:5" x14ac:dyDescent="0.2">
      <c r="A171" t="s">
        <v>13</v>
      </c>
      <c r="B171" s="6">
        <v>130</v>
      </c>
      <c r="C171" s="1">
        <v>0.3594</v>
      </c>
      <c r="D171" t="s">
        <v>21</v>
      </c>
      <c r="E171" t="s">
        <v>26</v>
      </c>
    </row>
    <row r="172" spans="1:5" x14ac:dyDescent="0.2">
      <c r="A172" t="s">
        <v>13</v>
      </c>
      <c r="B172" s="6">
        <v>160</v>
      </c>
      <c r="C172" s="1">
        <v>0.36299999999999999</v>
      </c>
      <c r="D172" t="s">
        <v>21</v>
      </c>
      <c r="E172" t="s">
        <v>26</v>
      </c>
    </row>
    <row r="173" spans="1:5" x14ac:dyDescent="0.2">
      <c r="A173" t="s">
        <v>13</v>
      </c>
      <c r="B173" s="6">
        <v>190</v>
      </c>
      <c r="C173" s="1">
        <v>0.36990000000000001</v>
      </c>
      <c r="D173" t="s">
        <v>21</v>
      </c>
      <c r="E173" t="s">
        <v>26</v>
      </c>
    </row>
    <row r="174" spans="1:5" x14ac:dyDescent="0.2">
      <c r="A174" t="s">
        <v>13</v>
      </c>
      <c r="B174" s="6">
        <v>200</v>
      </c>
      <c r="C174" s="1">
        <v>0.35980000000000001</v>
      </c>
      <c r="D174" t="s">
        <v>21</v>
      </c>
      <c r="E174" t="s">
        <v>26</v>
      </c>
    </row>
    <row r="175" spans="1:5" x14ac:dyDescent="0.2">
      <c r="A175" t="s">
        <v>13</v>
      </c>
      <c r="B175" s="6">
        <v>230</v>
      </c>
      <c r="C175" s="1">
        <v>0.37459999999999999</v>
      </c>
      <c r="D175" t="s">
        <v>21</v>
      </c>
      <c r="E175" t="s">
        <v>26</v>
      </c>
    </row>
    <row r="176" spans="1:5" x14ac:dyDescent="0.2">
      <c r="A176" t="s">
        <v>13</v>
      </c>
      <c r="B176" s="6">
        <v>240</v>
      </c>
      <c r="C176" s="1">
        <v>0.38290000000000002</v>
      </c>
      <c r="D176" t="s">
        <v>21</v>
      </c>
      <c r="E176" t="s">
        <v>26</v>
      </c>
    </row>
    <row r="177" spans="1:5" x14ac:dyDescent="0.2">
      <c r="A177" t="s">
        <v>13</v>
      </c>
      <c r="B177" s="6">
        <v>240</v>
      </c>
      <c r="C177" s="1">
        <v>0.37480000000000002</v>
      </c>
      <c r="D177" t="s">
        <v>21</v>
      </c>
      <c r="E177" t="s">
        <v>26</v>
      </c>
    </row>
    <row r="178" spans="1:5" x14ac:dyDescent="0.2">
      <c r="A178" t="s">
        <v>13</v>
      </c>
      <c r="B178" s="6">
        <v>270</v>
      </c>
      <c r="C178" s="1">
        <v>0.38019999999999998</v>
      </c>
      <c r="D178" t="s">
        <v>21</v>
      </c>
      <c r="E178" t="s">
        <v>26</v>
      </c>
    </row>
    <row r="179" spans="1:5" x14ac:dyDescent="0.2">
      <c r="A179" t="s">
        <v>13</v>
      </c>
      <c r="B179" s="6">
        <v>300</v>
      </c>
      <c r="C179" s="1">
        <v>0.37990000000000002</v>
      </c>
      <c r="D179" t="s">
        <v>21</v>
      </c>
      <c r="E179" t="s">
        <v>26</v>
      </c>
    </row>
    <row r="180" spans="1:5" x14ac:dyDescent="0.2">
      <c r="A180" t="s">
        <v>13</v>
      </c>
      <c r="B180" s="6">
        <v>330</v>
      </c>
      <c r="C180" s="1">
        <v>0.37809999999999999</v>
      </c>
      <c r="D180" t="s">
        <v>21</v>
      </c>
      <c r="E180" t="s">
        <v>26</v>
      </c>
    </row>
    <row r="181" spans="1:5" x14ac:dyDescent="0.2">
      <c r="A181" t="s">
        <v>13</v>
      </c>
      <c r="B181" s="6">
        <v>360</v>
      </c>
      <c r="C181" s="1">
        <v>0.37919999999999998</v>
      </c>
      <c r="D181" t="s">
        <v>21</v>
      </c>
      <c r="E181" t="s">
        <v>26</v>
      </c>
    </row>
    <row r="182" spans="1:5" x14ac:dyDescent="0.2">
      <c r="A182" t="s">
        <v>13</v>
      </c>
      <c r="B182" s="6">
        <v>390</v>
      </c>
      <c r="C182" s="1">
        <v>0.38080000000000003</v>
      </c>
      <c r="D182" t="s">
        <v>21</v>
      </c>
      <c r="E182" t="s">
        <v>26</v>
      </c>
    </row>
    <row r="183" spans="1:5" x14ac:dyDescent="0.2">
      <c r="A183" t="s">
        <v>13</v>
      </c>
      <c r="B183" s="6">
        <v>420</v>
      </c>
      <c r="C183" s="1">
        <v>0.37509999999999999</v>
      </c>
      <c r="D183" t="s">
        <v>21</v>
      </c>
      <c r="E183" t="s">
        <v>26</v>
      </c>
    </row>
    <row r="184" spans="1:5" x14ac:dyDescent="0.2">
      <c r="A184" t="s">
        <v>13</v>
      </c>
      <c r="B184" s="6">
        <v>450</v>
      </c>
      <c r="C184" s="1">
        <v>0.37959999999999999</v>
      </c>
      <c r="D184" t="s">
        <v>21</v>
      </c>
      <c r="E184" t="s">
        <v>26</v>
      </c>
    </row>
    <row r="185" spans="1:5" x14ac:dyDescent="0.2">
      <c r="A185" t="s">
        <v>13</v>
      </c>
      <c r="B185" s="6">
        <v>480</v>
      </c>
      <c r="C185" s="1">
        <v>0.38080000000000003</v>
      </c>
      <c r="D185" t="s">
        <v>21</v>
      </c>
      <c r="E185" t="s">
        <v>26</v>
      </c>
    </row>
    <row r="186" spans="1:5" x14ac:dyDescent="0.2">
      <c r="A186" t="s">
        <v>13</v>
      </c>
      <c r="B186" s="6">
        <v>510</v>
      </c>
      <c r="C186" s="1">
        <v>0.3821</v>
      </c>
      <c r="D186" t="s">
        <v>21</v>
      </c>
      <c r="E186" t="s">
        <v>26</v>
      </c>
    </row>
    <row r="187" spans="1:5" x14ac:dyDescent="0.2">
      <c r="A187" t="s">
        <v>13</v>
      </c>
      <c r="B187" s="6">
        <v>540</v>
      </c>
      <c r="C187" s="1">
        <v>0.37209999999999999</v>
      </c>
      <c r="D187" t="s">
        <v>21</v>
      </c>
      <c r="E187" t="s">
        <v>26</v>
      </c>
    </row>
    <row r="188" spans="1:5" x14ac:dyDescent="0.2">
      <c r="A188" t="s">
        <v>13</v>
      </c>
      <c r="B188" s="6">
        <v>570</v>
      </c>
      <c r="C188" s="1">
        <v>0.36530000000000001</v>
      </c>
      <c r="D188" t="s">
        <v>21</v>
      </c>
      <c r="E188" t="s">
        <v>26</v>
      </c>
    </row>
    <row r="189" spans="1:5" x14ac:dyDescent="0.2">
      <c r="A189" t="s">
        <v>13</v>
      </c>
      <c r="B189" s="6">
        <v>600</v>
      </c>
      <c r="C189" s="1">
        <v>0.36130000000000001</v>
      </c>
      <c r="D189" t="s">
        <v>21</v>
      </c>
      <c r="E189" t="s">
        <v>26</v>
      </c>
    </row>
    <row r="190" spans="1:5" x14ac:dyDescent="0.2">
      <c r="A190" t="s">
        <v>13</v>
      </c>
      <c r="B190" s="6">
        <v>630</v>
      </c>
      <c r="C190" s="1">
        <v>0.36020000000000002</v>
      </c>
      <c r="D190" t="s">
        <v>21</v>
      </c>
      <c r="E190" t="s">
        <v>26</v>
      </c>
    </row>
    <row r="191" spans="1:5" x14ac:dyDescent="0.2">
      <c r="A191" t="s">
        <v>13</v>
      </c>
      <c r="B191" s="6">
        <v>660</v>
      </c>
      <c r="C191" s="1">
        <v>0.35859999999999997</v>
      </c>
      <c r="D191" t="s">
        <v>21</v>
      </c>
      <c r="E191" t="s">
        <v>26</v>
      </c>
    </row>
    <row r="192" spans="1:5" x14ac:dyDescent="0.2">
      <c r="A192" t="s">
        <v>13</v>
      </c>
      <c r="B192" s="6">
        <v>690</v>
      </c>
      <c r="C192" s="1">
        <v>0.35370000000000001</v>
      </c>
      <c r="D192" t="s">
        <v>21</v>
      </c>
      <c r="E192" t="s">
        <v>26</v>
      </c>
    </row>
    <row r="193" spans="1:5" x14ac:dyDescent="0.2">
      <c r="A193" t="s">
        <v>13</v>
      </c>
      <c r="B193" s="6">
        <v>720</v>
      </c>
      <c r="C193" s="1">
        <v>0.34960000000000002</v>
      </c>
      <c r="D193" t="s">
        <v>21</v>
      </c>
      <c r="E193" t="s">
        <v>26</v>
      </c>
    </row>
    <row r="194" spans="1:5" x14ac:dyDescent="0.2">
      <c r="A194" t="s">
        <v>13</v>
      </c>
      <c r="B194" s="6">
        <v>750</v>
      </c>
      <c r="C194" s="1">
        <v>0.3458</v>
      </c>
      <c r="D194" t="s">
        <v>21</v>
      </c>
      <c r="E194" t="s">
        <v>26</v>
      </c>
    </row>
    <row r="195" spans="1:5" x14ac:dyDescent="0.2">
      <c r="A195" t="s">
        <v>13</v>
      </c>
      <c r="B195" s="6">
        <v>780</v>
      </c>
      <c r="C195" s="1">
        <v>0.34229999999999999</v>
      </c>
      <c r="D195" t="s">
        <v>21</v>
      </c>
      <c r="E195" t="s">
        <v>26</v>
      </c>
    </row>
    <row r="196" spans="1:5" x14ac:dyDescent="0.2">
      <c r="A196" t="s">
        <v>13</v>
      </c>
      <c r="B196" s="6">
        <v>810</v>
      </c>
      <c r="C196" s="1">
        <v>0.3362</v>
      </c>
      <c r="D196" t="s">
        <v>21</v>
      </c>
      <c r="E196" t="s">
        <v>26</v>
      </c>
    </row>
    <row r="197" spans="1:5" x14ac:dyDescent="0.2">
      <c r="A197" t="s">
        <v>13</v>
      </c>
      <c r="B197" s="6">
        <v>840</v>
      </c>
      <c r="C197" s="1">
        <v>0.32890000000000003</v>
      </c>
      <c r="D197" t="s">
        <v>21</v>
      </c>
      <c r="E197" t="s">
        <v>26</v>
      </c>
    </row>
    <row r="198" spans="1:5" x14ac:dyDescent="0.2">
      <c r="A198" t="s">
        <v>13</v>
      </c>
      <c r="B198" s="6">
        <v>870</v>
      </c>
      <c r="C198" s="1">
        <v>0.32590000000000002</v>
      </c>
      <c r="D198" t="s">
        <v>21</v>
      </c>
      <c r="E198" t="s">
        <v>26</v>
      </c>
    </row>
    <row r="199" spans="1:5" x14ac:dyDescent="0.2">
      <c r="A199" t="s">
        <v>13</v>
      </c>
      <c r="B199" s="6">
        <v>900</v>
      </c>
      <c r="C199" s="1">
        <v>0.32</v>
      </c>
      <c r="D199" t="s">
        <v>21</v>
      </c>
      <c r="E199" t="s">
        <v>26</v>
      </c>
    </row>
    <row r="200" spans="1:5" x14ac:dyDescent="0.2">
      <c r="A200" t="s">
        <v>13</v>
      </c>
      <c r="B200" s="6">
        <v>930</v>
      </c>
      <c r="C200" s="1">
        <v>0.31709999999999999</v>
      </c>
      <c r="D200" t="s">
        <v>21</v>
      </c>
      <c r="E200" t="s">
        <v>26</v>
      </c>
    </row>
    <row r="201" spans="1:5" x14ac:dyDescent="0.2">
      <c r="A201" t="s">
        <v>13</v>
      </c>
      <c r="B201" s="6">
        <v>960</v>
      </c>
      <c r="C201" s="1">
        <v>0.31240000000000001</v>
      </c>
      <c r="D201" t="s">
        <v>21</v>
      </c>
      <c r="E201" t="s">
        <v>26</v>
      </c>
    </row>
    <row r="202" spans="1:5" x14ac:dyDescent="0.2">
      <c r="A202" t="s">
        <v>13</v>
      </c>
      <c r="B202" s="6">
        <v>990</v>
      </c>
      <c r="C202" s="1">
        <v>0.31009999999999999</v>
      </c>
      <c r="D202" t="s">
        <v>21</v>
      </c>
      <c r="E202" t="s">
        <v>26</v>
      </c>
    </row>
    <row r="203" spans="1:5" x14ac:dyDescent="0.2">
      <c r="A203" t="s">
        <v>13</v>
      </c>
      <c r="B203" s="6">
        <v>1020</v>
      </c>
      <c r="C203" s="1">
        <v>0.30599999999999999</v>
      </c>
      <c r="D203" t="s">
        <v>21</v>
      </c>
      <c r="E203" t="s">
        <v>26</v>
      </c>
    </row>
    <row r="204" spans="1:5" x14ac:dyDescent="0.2">
      <c r="A204" t="s">
        <v>13</v>
      </c>
      <c r="B204" s="6">
        <v>1050</v>
      </c>
      <c r="C204" s="1">
        <v>0.30659999999999998</v>
      </c>
      <c r="D204" t="s">
        <v>21</v>
      </c>
      <c r="E204" t="s">
        <v>26</v>
      </c>
    </row>
    <row r="205" spans="1:5" x14ac:dyDescent="0.2">
      <c r="A205" t="s">
        <v>13</v>
      </c>
      <c r="B205" s="6">
        <v>1080</v>
      </c>
      <c r="C205" s="1">
        <v>0.30630000000000002</v>
      </c>
      <c r="D205" t="s">
        <v>21</v>
      </c>
      <c r="E205" t="s">
        <v>26</v>
      </c>
    </row>
    <row r="206" spans="1:5" x14ac:dyDescent="0.2">
      <c r="A206" t="s">
        <v>13</v>
      </c>
      <c r="B206" s="6">
        <v>1110</v>
      </c>
      <c r="C206" s="1">
        <v>0.30559999999999998</v>
      </c>
      <c r="D206" t="s">
        <v>21</v>
      </c>
      <c r="E206" t="s">
        <v>26</v>
      </c>
    </row>
    <row r="207" spans="1:5" x14ac:dyDescent="0.2">
      <c r="A207" t="s">
        <v>14</v>
      </c>
      <c r="B207" s="6">
        <v>0</v>
      </c>
      <c r="C207" s="1">
        <v>0.24390000000000001</v>
      </c>
      <c r="D207" t="s">
        <v>21</v>
      </c>
      <c r="E207" t="s">
        <v>26</v>
      </c>
    </row>
    <row r="208" spans="1:5" x14ac:dyDescent="0.2">
      <c r="A208" t="s">
        <v>14</v>
      </c>
      <c r="B208" s="6">
        <v>30</v>
      </c>
      <c r="C208" s="1">
        <v>0.26669999999999999</v>
      </c>
      <c r="D208" t="s">
        <v>21</v>
      </c>
      <c r="E208" t="s">
        <v>26</v>
      </c>
    </row>
    <row r="209" spans="1:5" x14ac:dyDescent="0.2">
      <c r="A209" t="s">
        <v>14</v>
      </c>
      <c r="B209" s="6">
        <v>60</v>
      </c>
      <c r="C209" s="1">
        <v>0.27429999999999999</v>
      </c>
      <c r="D209" t="s">
        <v>21</v>
      </c>
      <c r="E209" t="s">
        <v>26</v>
      </c>
    </row>
    <row r="210" spans="1:5" x14ac:dyDescent="0.2">
      <c r="A210" t="s">
        <v>14</v>
      </c>
      <c r="B210" s="6">
        <v>70</v>
      </c>
      <c r="C210" s="1">
        <v>0.2959</v>
      </c>
      <c r="D210" t="s">
        <v>21</v>
      </c>
      <c r="E210" t="s">
        <v>26</v>
      </c>
    </row>
    <row r="211" spans="1:5" x14ac:dyDescent="0.2">
      <c r="A211" t="s">
        <v>14</v>
      </c>
      <c r="B211" s="6">
        <v>100</v>
      </c>
      <c r="C211" s="1">
        <v>0.28389999999999999</v>
      </c>
      <c r="D211" t="s">
        <v>21</v>
      </c>
      <c r="E211" t="s">
        <v>26</v>
      </c>
    </row>
    <row r="212" spans="1:5" x14ac:dyDescent="0.2">
      <c r="A212" t="s">
        <v>14</v>
      </c>
      <c r="B212" s="6">
        <v>130</v>
      </c>
      <c r="C212" s="1">
        <v>0.28710000000000002</v>
      </c>
      <c r="D212" t="s">
        <v>21</v>
      </c>
      <c r="E212" t="s">
        <v>26</v>
      </c>
    </row>
    <row r="213" spans="1:5" x14ac:dyDescent="0.2">
      <c r="A213" t="s">
        <v>14</v>
      </c>
      <c r="B213" s="6">
        <v>160</v>
      </c>
      <c r="C213" s="1">
        <v>0.29499999999999998</v>
      </c>
      <c r="D213" t="s">
        <v>21</v>
      </c>
      <c r="E213" t="s">
        <v>26</v>
      </c>
    </row>
    <row r="214" spans="1:5" x14ac:dyDescent="0.2">
      <c r="A214" t="s">
        <v>14</v>
      </c>
      <c r="B214" s="6">
        <v>190</v>
      </c>
      <c r="C214" s="1">
        <v>0.29530000000000001</v>
      </c>
      <c r="D214" t="s">
        <v>21</v>
      </c>
      <c r="E214" t="s">
        <v>26</v>
      </c>
    </row>
    <row r="215" spans="1:5" x14ac:dyDescent="0.2">
      <c r="A215" t="s">
        <v>14</v>
      </c>
      <c r="B215" s="6">
        <v>200</v>
      </c>
      <c r="C215" s="1">
        <v>0.2802</v>
      </c>
      <c r="D215" t="s">
        <v>21</v>
      </c>
      <c r="E215" t="s">
        <v>26</v>
      </c>
    </row>
    <row r="216" spans="1:5" x14ac:dyDescent="0.2">
      <c r="A216" t="s">
        <v>14</v>
      </c>
      <c r="B216" s="6">
        <v>230</v>
      </c>
      <c r="C216" s="1">
        <v>0.29260000000000003</v>
      </c>
      <c r="D216" t="s">
        <v>21</v>
      </c>
      <c r="E216" t="s">
        <v>26</v>
      </c>
    </row>
    <row r="217" spans="1:5" x14ac:dyDescent="0.2">
      <c r="A217" t="s">
        <v>14</v>
      </c>
      <c r="B217" s="6">
        <v>240</v>
      </c>
      <c r="C217" s="1">
        <v>0.2898</v>
      </c>
      <c r="D217" t="s">
        <v>21</v>
      </c>
      <c r="E217" t="s">
        <v>26</v>
      </c>
    </row>
    <row r="218" spans="1:5" x14ac:dyDescent="0.2">
      <c r="A218" t="s">
        <v>14</v>
      </c>
      <c r="B218" s="6">
        <v>240</v>
      </c>
      <c r="C218" s="1">
        <v>0.29039999999999999</v>
      </c>
      <c r="D218" t="s">
        <v>21</v>
      </c>
      <c r="E218" t="s">
        <v>26</v>
      </c>
    </row>
    <row r="219" spans="1:5" x14ac:dyDescent="0.2">
      <c r="A219" t="s">
        <v>14</v>
      </c>
      <c r="B219" s="6">
        <v>270</v>
      </c>
      <c r="C219" s="1">
        <v>0.29260000000000003</v>
      </c>
      <c r="D219" t="s">
        <v>21</v>
      </c>
      <c r="E219" t="s">
        <v>26</v>
      </c>
    </row>
    <row r="220" spans="1:5" x14ac:dyDescent="0.2">
      <c r="A220" t="s">
        <v>14</v>
      </c>
      <c r="B220" s="6">
        <v>300</v>
      </c>
      <c r="C220" s="1">
        <v>0.30220000000000002</v>
      </c>
      <c r="D220" t="s">
        <v>21</v>
      </c>
      <c r="E220" t="s">
        <v>26</v>
      </c>
    </row>
    <row r="221" spans="1:5" x14ac:dyDescent="0.2">
      <c r="A221" t="s">
        <v>14</v>
      </c>
      <c r="B221" s="6">
        <v>330</v>
      </c>
      <c r="C221" s="1">
        <v>0.3075</v>
      </c>
      <c r="D221" t="s">
        <v>21</v>
      </c>
      <c r="E221" t="s">
        <v>26</v>
      </c>
    </row>
    <row r="222" spans="1:5" x14ac:dyDescent="0.2">
      <c r="A222" t="s">
        <v>14</v>
      </c>
      <c r="B222" s="6">
        <v>360</v>
      </c>
      <c r="C222" s="1">
        <v>0.30609999999999998</v>
      </c>
      <c r="D222" t="s">
        <v>21</v>
      </c>
      <c r="E222" t="s">
        <v>26</v>
      </c>
    </row>
    <row r="223" spans="1:5" x14ac:dyDescent="0.2">
      <c r="A223" t="s">
        <v>14</v>
      </c>
      <c r="B223" s="6">
        <v>390</v>
      </c>
      <c r="C223" s="1">
        <v>0.31359999999999999</v>
      </c>
      <c r="D223" t="s">
        <v>21</v>
      </c>
      <c r="E223" t="s">
        <v>26</v>
      </c>
    </row>
    <row r="224" spans="1:5" x14ac:dyDescent="0.2">
      <c r="A224" t="s">
        <v>14</v>
      </c>
      <c r="B224" s="6">
        <v>420</v>
      </c>
      <c r="C224" s="1">
        <v>0.29649999999999999</v>
      </c>
      <c r="D224" t="s">
        <v>21</v>
      </c>
      <c r="E224" t="s">
        <v>26</v>
      </c>
    </row>
    <row r="225" spans="1:5" x14ac:dyDescent="0.2">
      <c r="A225" t="s">
        <v>14</v>
      </c>
      <c r="B225" s="6">
        <v>450</v>
      </c>
      <c r="C225" s="1">
        <v>0.31319999999999998</v>
      </c>
      <c r="D225" t="s">
        <v>21</v>
      </c>
      <c r="E225" t="s">
        <v>26</v>
      </c>
    </row>
    <row r="226" spans="1:5" x14ac:dyDescent="0.2">
      <c r="A226" t="s">
        <v>14</v>
      </c>
      <c r="B226" s="6">
        <v>480</v>
      </c>
      <c r="C226" s="1">
        <v>0.32250000000000001</v>
      </c>
      <c r="D226" t="s">
        <v>21</v>
      </c>
      <c r="E226" t="s">
        <v>26</v>
      </c>
    </row>
    <row r="227" spans="1:5" x14ac:dyDescent="0.2">
      <c r="A227" t="s">
        <v>14</v>
      </c>
      <c r="B227" s="6">
        <v>510</v>
      </c>
      <c r="C227" s="1">
        <v>0.32300000000000001</v>
      </c>
      <c r="D227" t="s">
        <v>21</v>
      </c>
      <c r="E227" t="s">
        <v>26</v>
      </c>
    </row>
    <row r="228" spans="1:5" x14ac:dyDescent="0.2">
      <c r="A228" t="s">
        <v>14</v>
      </c>
      <c r="B228" s="6">
        <v>540</v>
      </c>
      <c r="C228" s="1">
        <v>0.3206</v>
      </c>
      <c r="D228" t="s">
        <v>21</v>
      </c>
      <c r="E228" t="s">
        <v>26</v>
      </c>
    </row>
    <row r="229" spans="1:5" x14ac:dyDescent="0.2">
      <c r="A229" t="s">
        <v>14</v>
      </c>
      <c r="B229" s="6">
        <v>570</v>
      </c>
      <c r="C229" s="1">
        <v>0.32940000000000003</v>
      </c>
      <c r="D229" t="s">
        <v>21</v>
      </c>
      <c r="E229" t="s">
        <v>26</v>
      </c>
    </row>
    <row r="230" spans="1:5" x14ac:dyDescent="0.2">
      <c r="A230" t="s">
        <v>14</v>
      </c>
      <c r="B230" s="6">
        <v>600</v>
      </c>
      <c r="C230" s="1">
        <v>0.33189999999999997</v>
      </c>
      <c r="D230" t="s">
        <v>21</v>
      </c>
      <c r="E230" t="s">
        <v>26</v>
      </c>
    </row>
    <row r="231" spans="1:5" x14ac:dyDescent="0.2">
      <c r="A231" t="s">
        <v>14</v>
      </c>
      <c r="B231" s="6">
        <v>630</v>
      </c>
      <c r="C231" s="1">
        <v>0.33960000000000001</v>
      </c>
      <c r="D231" t="s">
        <v>21</v>
      </c>
      <c r="E231" t="s">
        <v>26</v>
      </c>
    </row>
    <row r="232" spans="1:5" x14ac:dyDescent="0.2">
      <c r="A232" t="s">
        <v>14</v>
      </c>
      <c r="B232" s="6">
        <v>660</v>
      </c>
      <c r="C232" s="1">
        <v>0.34499999999999997</v>
      </c>
      <c r="D232" t="s">
        <v>21</v>
      </c>
      <c r="E232" t="s">
        <v>26</v>
      </c>
    </row>
    <row r="233" spans="1:5" x14ac:dyDescent="0.2">
      <c r="A233" t="s">
        <v>14</v>
      </c>
      <c r="B233" s="6">
        <v>690</v>
      </c>
      <c r="C233" s="1">
        <v>0.34720000000000001</v>
      </c>
      <c r="D233" t="s">
        <v>21</v>
      </c>
      <c r="E233" t="s">
        <v>26</v>
      </c>
    </row>
    <row r="234" spans="1:5" x14ac:dyDescent="0.2">
      <c r="A234" t="s">
        <v>14</v>
      </c>
      <c r="B234" s="6">
        <v>720</v>
      </c>
      <c r="C234" s="1">
        <v>0.3453</v>
      </c>
      <c r="D234" t="s">
        <v>21</v>
      </c>
      <c r="E234" t="s">
        <v>26</v>
      </c>
    </row>
    <row r="235" spans="1:5" x14ac:dyDescent="0.2">
      <c r="A235" t="s">
        <v>14</v>
      </c>
      <c r="B235" s="6">
        <v>750</v>
      </c>
      <c r="C235" s="1">
        <v>0.34739999999999999</v>
      </c>
      <c r="D235" t="s">
        <v>21</v>
      </c>
      <c r="E235" t="s">
        <v>26</v>
      </c>
    </row>
    <row r="236" spans="1:5" x14ac:dyDescent="0.2">
      <c r="A236" t="s">
        <v>14</v>
      </c>
      <c r="B236" s="6">
        <v>780</v>
      </c>
      <c r="C236" s="1">
        <v>0.3488</v>
      </c>
      <c r="D236" t="s">
        <v>21</v>
      </c>
      <c r="E236" t="s">
        <v>26</v>
      </c>
    </row>
    <row r="237" spans="1:5" x14ac:dyDescent="0.2">
      <c r="A237" t="s">
        <v>14</v>
      </c>
      <c r="B237" s="6">
        <v>810</v>
      </c>
      <c r="C237" s="1">
        <v>0.35070000000000001</v>
      </c>
      <c r="D237" t="s">
        <v>21</v>
      </c>
      <c r="E237" t="s">
        <v>26</v>
      </c>
    </row>
    <row r="238" spans="1:5" x14ac:dyDescent="0.2">
      <c r="A238" t="s">
        <v>14</v>
      </c>
      <c r="B238" s="6">
        <v>840</v>
      </c>
      <c r="C238" s="1">
        <v>0.3488</v>
      </c>
      <c r="D238" t="s">
        <v>21</v>
      </c>
      <c r="E238" t="s">
        <v>26</v>
      </c>
    </row>
    <row r="239" spans="1:5" x14ac:dyDescent="0.2">
      <c r="A239" t="s">
        <v>14</v>
      </c>
      <c r="B239" s="6">
        <v>870</v>
      </c>
      <c r="C239" s="1">
        <v>0.34960000000000002</v>
      </c>
      <c r="D239" t="s">
        <v>21</v>
      </c>
      <c r="E239" t="s">
        <v>26</v>
      </c>
    </row>
    <row r="240" spans="1:5" x14ac:dyDescent="0.2">
      <c r="A240" t="s">
        <v>14</v>
      </c>
      <c r="B240" s="6">
        <v>900</v>
      </c>
      <c r="C240" s="1">
        <v>0.35010000000000002</v>
      </c>
      <c r="D240" t="s">
        <v>21</v>
      </c>
      <c r="E240" t="s">
        <v>26</v>
      </c>
    </row>
    <row r="241" spans="1:5" x14ac:dyDescent="0.2">
      <c r="A241" t="s">
        <v>14</v>
      </c>
      <c r="B241" s="6">
        <v>930</v>
      </c>
      <c r="C241" s="1">
        <v>0.34860000000000002</v>
      </c>
      <c r="D241" t="s">
        <v>21</v>
      </c>
      <c r="E241" t="s">
        <v>26</v>
      </c>
    </row>
    <row r="242" spans="1:5" x14ac:dyDescent="0.2">
      <c r="A242" t="s">
        <v>14</v>
      </c>
      <c r="B242" s="6">
        <v>960</v>
      </c>
      <c r="C242" s="1">
        <v>0.34499999999999997</v>
      </c>
      <c r="D242" t="s">
        <v>21</v>
      </c>
      <c r="E242" t="s">
        <v>26</v>
      </c>
    </row>
    <row r="243" spans="1:5" x14ac:dyDescent="0.2">
      <c r="A243" t="s">
        <v>14</v>
      </c>
      <c r="B243" s="6">
        <v>990</v>
      </c>
      <c r="C243" s="1">
        <v>0.34549999999999997</v>
      </c>
      <c r="D243" t="s">
        <v>21</v>
      </c>
      <c r="E243" t="s">
        <v>26</v>
      </c>
    </row>
    <row r="244" spans="1:5" x14ac:dyDescent="0.2">
      <c r="A244" t="s">
        <v>14</v>
      </c>
      <c r="B244" s="6">
        <v>1020</v>
      </c>
      <c r="C244" s="1">
        <v>0.34250000000000003</v>
      </c>
      <c r="D244" t="s">
        <v>21</v>
      </c>
      <c r="E244" t="s">
        <v>26</v>
      </c>
    </row>
    <row r="245" spans="1:5" x14ac:dyDescent="0.2">
      <c r="A245" t="s">
        <v>14</v>
      </c>
      <c r="B245" s="6">
        <v>1050</v>
      </c>
      <c r="C245" s="1">
        <v>0.33850000000000002</v>
      </c>
      <c r="D245" t="s">
        <v>21</v>
      </c>
      <c r="E245" t="s">
        <v>26</v>
      </c>
    </row>
    <row r="246" spans="1:5" x14ac:dyDescent="0.2">
      <c r="A246" t="s">
        <v>14</v>
      </c>
      <c r="B246" s="6">
        <v>1080</v>
      </c>
      <c r="C246" s="1">
        <v>0.33889999999999998</v>
      </c>
      <c r="D246" t="s">
        <v>21</v>
      </c>
      <c r="E246" t="s">
        <v>26</v>
      </c>
    </row>
    <row r="247" spans="1:5" x14ac:dyDescent="0.2">
      <c r="A247" t="s">
        <v>14</v>
      </c>
      <c r="B247" s="6">
        <v>1110</v>
      </c>
      <c r="C247" s="1">
        <v>0.34289999999999998</v>
      </c>
      <c r="D247" t="s">
        <v>21</v>
      </c>
      <c r="E247" t="s">
        <v>26</v>
      </c>
    </row>
    <row r="248" spans="1:5" x14ac:dyDescent="0.2">
      <c r="A248" t="s">
        <v>3</v>
      </c>
      <c r="B248" s="6">
        <v>0</v>
      </c>
      <c r="C248" s="7">
        <v>1.0121</v>
      </c>
      <c r="D248" t="s">
        <v>22</v>
      </c>
      <c r="E248" t="s">
        <v>27</v>
      </c>
    </row>
    <row r="249" spans="1:5" x14ac:dyDescent="0.2">
      <c r="A249" t="s">
        <v>3</v>
      </c>
      <c r="B249" s="6">
        <v>30</v>
      </c>
      <c r="C249" s="7">
        <v>1.0181</v>
      </c>
      <c r="D249" t="s">
        <v>22</v>
      </c>
      <c r="E249" t="s">
        <v>27</v>
      </c>
    </row>
    <row r="250" spans="1:5" x14ac:dyDescent="0.2">
      <c r="A250" t="s">
        <v>3</v>
      </c>
      <c r="B250" s="6">
        <v>60</v>
      </c>
      <c r="C250" s="7">
        <v>1.0371999999999999</v>
      </c>
      <c r="D250" t="s">
        <v>22</v>
      </c>
      <c r="E250" t="s">
        <v>27</v>
      </c>
    </row>
    <row r="251" spans="1:5" x14ac:dyDescent="0.2">
      <c r="A251" t="s">
        <v>3</v>
      </c>
      <c r="B251" s="6">
        <v>70</v>
      </c>
      <c r="C251" s="7">
        <v>1.0407999999999999</v>
      </c>
      <c r="D251" t="s">
        <v>22</v>
      </c>
      <c r="E251" t="s">
        <v>27</v>
      </c>
    </row>
    <row r="252" spans="1:5" x14ac:dyDescent="0.2">
      <c r="A252" t="s">
        <v>3</v>
      </c>
      <c r="B252" s="6">
        <v>100</v>
      </c>
      <c r="C252" s="7">
        <v>1.0576000000000001</v>
      </c>
      <c r="D252" t="s">
        <v>22</v>
      </c>
      <c r="E252" t="s">
        <v>27</v>
      </c>
    </row>
    <row r="253" spans="1:5" x14ac:dyDescent="0.2">
      <c r="A253" t="s">
        <v>3</v>
      </c>
      <c r="B253" s="6">
        <v>130</v>
      </c>
      <c r="C253" s="7">
        <v>1.0713999999999999</v>
      </c>
      <c r="D253" t="s">
        <v>22</v>
      </c>
      <c r="E253" t="s">
        <v>27</v>
      </c>
    </row>
    <row r="254" spans="1:5" x14ac:dyDescent="0.2">
      <c r="A254" t="s">
        <v>3</v>
      </c>
      <c r="B254" s="6">
        <v>160</v>
      </c>
      <c r="C254" s="7">
        <v>1.0871</v>
      </c>
      <c r="D254" t="s">
        <v>22</v>
      </c>
      <c r="E254" t="s">
        <v>27</v>
      </c>
    </row>
    <row r="255" spans="1:5" x14ac:dyDescent="0.2">
      <c r="A255" t="s">
        <v>3</v>
      </c>
      <c r="B255" s="6">
        <v>190</v>
      </c>
      <c r="C255" s="7">
        <v>1.1044</v>
      </c>
      <c r="D255" t="s">
        <v>22</v>
      </c>
      <c r="E255" t="s">
        <v>27</v>
      </c>
    </row>
    <row r="256" spans="1:5" x14ac:dyDescent="0.2">
      <c r="A256" t="s">
        <v>3</v>
      </c>
      <c r="B256" s="6">
        <v>200</v>
      </c>
      <c r="C256" s="7">
        <v>1.1138999999999999</v>
      </c>
      <c r="D256" t="s">
        <v>22</v>
      </c>
      <c r="E256" t="s">
        <v>27</v>
      </c>
    </row>
    <row r="257" spans="1:5" x14ac:dyDescent="0.2">
      <c r="A257" t="s">
        <v>3</v>
      </c>
      <c r="B257" s="6">
        <v>230</v>
      </c>
      <c r="C257" s="7">
        <v>1.1243000000000001</v>
      </c>
      <c r="D257" t="s">
        <v>22</v>
      </c>
      <c r="E257" t="s">
        <v>27</v>
      </c>
    </row>
    <row r="258" spans="1:5" x14ac:dyDescent="0.2">
      <c r="A258" t="s">
        <v>3</v>
      </c>
      <c r="B258" s="6">
        <v>240</v>
      </c>
      <c r="C258" s="7">
        <v>1.1397999999999999</v>
      </c>
      <c r="D258" t="s">
        <v>22</v>
      </c>
      <c r="E258" t="s">
        <v>27</v>
      </c>
    </row>
    <row r="259" spans="1:5" x14ac:dyDescent="0.2">
      <c r="A259" t="s">
        <v>3</v>
      </c>
      <c r="B259" s="6">
        <v>240</v>
      </c>
      <c r="C259" s="7">
        <v>1.1478999999999999</v>
      </c>
      <c r="D259" t="s">
        <v>22</v>
      </c>
      <c r="E259" t="s">
        <v>27</v>
      </c>
    </row>
    <row r="260" spans="1:5" x14ac:dyDescent="0.2">
      <c r="A260" t="s">
        <v>3</v>
      </c>
      <c r="B260" s="6">
        <v>270</v>
      </c>
      <c r="C260" s="7">
        <v>1.1675</v>
      </c>
      <c r="D260" t="s">
        <v>22</v>
      </c>
      <c r="E260" t="s">
        <v>27</v>
      </c>
    </row>
    <row r="261" spans="1:5" x14ac:dyDescent="0.2">
      <c r="A261" t="s">
        <v>3</v>
      </c>
      <c r="B261" s="6">
        <v>300</v>
      </c>
      <c r="C261" s="7">
        <v>1.1717</v>
      </c>
      <c r="D261" t="s">
        <v>22</v>
      </c>
      <c r="E261" t="s">
        <v>27</v>
      </c>
    </row>
    <row r="262" spans="1:5" x14ac:dyDescent="0.2">
      <c r="A262" t="s">
        <v>3</v>
      </c>
      <c r="B262" s="6">
        <v>330</v>
      </c>
      <c r="C262" s="7">
        <v>1.1726000000000001</v>
      </c>
      <c r="D262" t="s">
        <v>22</v>
      </c>
      <c r="E262" t="s">
        <v>27</v>
      </c>
    </row>
    <row r="263" spans="1:5" x14ac:dyDescent="0.2">
      <c r="A263" t="s">
        <v>3</v>
      </c>
      <c r="B263" s="6">
        <v>360</v>
      </c>
      <c r="C263" s="7">
        <v>1.1859</v>
      </c>
      <c r="D263" t="s">
        <v>22</v>
      </c>
      <c r="E263" t="s">
        <v>27</v>
      </c>
    </row>
    <row r="264" spans="1:5" x14ac:dyDescent="0.2">
      <c r="A264" t="s">
        <v>3</v>
      </c>
      <c r="B264" s="6">
        <v>390</v>
      </c>
      <c r="C264" s="7">
        <v>1.1946000000000001</v>
      </c>
      <c r="D264" t="s">
        <v>22</v>
      </c>
      <c r="E264" t="s">
        <v>27</v>
      </c>
    </row>
    <row r="265" spans="1:5" x14ac:dyDescent="0.2">
      <c r="A265" t="s">
        <v>3</v>
      </c>
      <c r="B265" s="6">
        <v>420</v>
      </c>
      <c r="C265" s="7">
        <v>1.1959</v>
      </c>
      <c r="D265" t="s">
        <v>22</v>
      </c>
      <c r="E265" t="s">
        <v>27</v>
      </c>
    </row>
    <row r="266" spans="1:5" x14ac:dyDescent="0.2">
      <c r="A266" t="s">
        <v>3</v>
      </c>
      <c r="B266" s="6">
        <v>450</v>
      </c>
      <c r="C266" s="7">
        <v>1.1972</v>
      </c>
      <c r="D266" t="s">
        <v>22</v>
      </c>
      <c r="E266" t="s">
        <v>27</v>
      </c>
    </row>
    <row r="267" spans="1:5" x14ac:dyDescent="0.2">
      <c r="A267" t="s">
        <v>3</v>
      </c>
      <c r="B267" s="6">
        <v>480</v>
      </c>
      <c r="C267" s="7">
        <v>1.2023999999999999</v>
      </c>
      <c r="D267" t="s">
        <v>22</v>
      </c>
      <c r="E267" t="s">
        <v>27</v>
      </c>
    </row>
    <row r="268" spans="1:5" x14ac:dyDescent="0.2">
      <c r="A268" t="s">
        <v>3</v>
      </c>
      <c r="B268" s="6">
        <v>510</v>
      </c>
      <c r="C268" s="7">
        <v>1.214</v>
      </c>
      <c r="D268" t="s">
        <v>22</v>
      </c>
      <c r="E268" t="s">
        <v>27</v>
      </c>
    </row>
    <row r="269" spans="1:5" x14ac:dyDescent="0.2">
      <c r="A269" t="s">
        <v>3</v>
      </c>
      <c r="B269" s="6">
        <v>540</v>
      </c>
      <c r="C269" s="7">
        <v>1.2134</v>
      </c>
      <c r="D269" t="s">
        <v>22</v>
      </c>
      <c r="E269" t="s">
        <v>27</v>
      </c>
    </row>
    <row r="270" spans="1:5" x14ac:dyDescent="0.2">
      <c r="A270" t="s">
        <v>3</v>
      </c>
      <c r="B270" s="6">
        <v>570</v>
      </c>
      <c r="C270" s="7">
        <v>1.2166999999999999</v>
      </c>
      <c r="D270" t="s">
        <v>22</v>
      </c>
      <c r="E270" t="s">
        <v>27</v>
      </c>
    </row>
    <row r="271" spans="1:5" x14ac:dyDescent="0.2">
      <c r="A271" t="s">
        <v>3</v>
      </c>
      <c r="B271" s="6">
        <v>600</v>
      </c>
      <c r="C271" s="7">
        <v>1.2203999999999999</v>
      </c>
      <c r="D271" t="s">
        <v>22</v>
      </c>
      <c r="E271" t="s">
        <v>27</v>
      </c>
    </row>
    <row r="272" spans="1:5" x14ac:dyDescent="0.2">
      <c r="A272" t="s">
        <v>3</v>
      </c>
      <c r="B272" s="6">
        <v>630</v>
      </c>
      <c r="C272" s="7">
        <v>1.2276</v>
      </c>
      <c r="D272" t="s">
        <v>22</v>
      </c>
      <c r="E272" t="s">
        <v>27</v>
      </c>
    </row>
    <row r="273" spans="1:5" x14ac:dyDescent="0.2">
      <c r="A273" t="s">
        <v>3</v>
      </c>
      <c r="B273" s="6">
        <v>660</v>
      </c>
      <c r="C273" s="7">
        <v>1.2329000000000001</v>
      </c>
      <c r="D273" t="s">
        <v>22</v>
      </c>
      <c r="E273" t="s">
        <v>27</v>
      </c>
    </row>
    <row r="274" spans="1:5" x14ac:dyDescent="0.2">
      <c r="A274" t="s">
        <v>3</v>
      </c>
      <c r="B274" s="6">
        <v>690</v>
      </c>
      <c r="C274" s="7">
        <v>1.2438</v>
      </c>
      <c r="D274" t="s">
        <v>22</v>
      </c>
      <c r="E274" t="s">
        <v>27</v>
      </c>
    </row>
    <row r="275" spans="1:5" x14ac:dyDescent="0.2">
      <c r="A275" t="s">
        <v>3</v>
      </c>
      <c r="B275" s="6">
        <v>720</v>
      </c>
      <c r="C275" s="7">
        <v>1.2509999999999999</v>
      </c>
      <c r="D275" t="s">
        <v>22</v>
      </c>
      <c r="E275" t="s">
        <v>27</v>
      </c>
    </row>
    <row r="276" spans="1:5" x14ac:dyDescent="0.2">
      <c r="A276" t="s">
        <v>3</v>
      </c>
      <c r="B276" s="6">
        <v>750</v>
      </c>
      <c r="C276" s="7">
        <v>1.2592000000000001</v>
      </c>
      <c r="D276" t="s">
        <v>22</v>
      </c>
      <c r="E276" t="s">
        <v>27</v>
      </c>
    </row>
    <row r="277" spans="1:5" x14ac:dyDescent="0.2">
      <c r="A277" t="s">
        <v>3</v>
      </c>
      <c r="B277" s="6">
        <v>780</v>
      </c>
      <c r="C277" s="7">
        <v>1.2629999999999999</v>
      </c>
      <c r="D277" t="s">
        <v>22</v>
      </c>
      <c r="E277" t="s">
        <v>27</v>
      </c>
    </row>
    <row r="278" spans="1:5" x14ac:dyDescent="0.2">
      <c r="A278" t="s">
        <v>3</v>
      </c>
      <c r="B278" s="6">
        <v>810</v>
      </c>
      <c r="C278" s="7">
        <v>1.2692000000000001</v>
      </c>
      <c r="D278" t="s">
        <v>22</v>
      </c>
      <c r="E278" t="s">
        <v>27</v>
      </c>
    </row>
    <row r="279" spans="1:5" x14ac:dyDescent="0.2">
      <c r="A279" t="s">
        <v>3</v>
      </c>
      <c r="B279" s="6">
        <v>840</v>
      </c>
      <c r="C279" s="7">
        <v>1.2825</v>
      </c>
      <c r="D279" t="s">
        <v>22</v>
      </c>
      <c r="E279" t="s">
        <v>27</v>
      </c>
    </row>
    <row r="280" spans="1:5" x14ac:dyDescent="0.2">
      <c r="A280" t="s">
        <v>3</v>
      </c>
      <c r="B280" s="6">
        <v>870</v>
      </c>
      <c r="C280" s="7">
        <v>1.2890999999999999</v>
      </c>
      <c r="D280" t="s">
        <v>22</v>
      </c>
      <c r="E280" t="s">
        <v>27</v>
      </c>
    </row>
    <row r="281" spans="1:5" x14ac:dyDescent="0.2">
      <c r="A281" t="s">
        <v>3</v>
      </c>
      <c r="B281" s="6">
        <v>900</v>
      </c>
      <c r="C281" s="7">
        <v>1.2961</v>
      </c>
      <c r="D281" t="s">
        <v>22</v>
      </c>
      <c r="E281" t="s">
        <v>27</v>
      </c>
    </row>
    <row r="282" spans="1:5" x14ac:dyDescent="0.2">
      <c r="A282" t="s">
        <v>3</v>
      </c>
      <c r="B282" s="6">
        <v>930</v>
      </c>
      <c r="C282" s="7">
        <v>1.3128</v>
      </c>
      <c r="D282" t="s">
        <v>22</v>
      </c>
      <c r="E282" t="s">
        <v>27</v>
      </c>
    </row>
    <row r="283" spans="1:5" x14ac:dyDescent="0.2">
      <c r="A283" t="s">
        <v>3</v>
      </c>
      <c r="B283" s="6">
        <v>960</v>
      </c>
      <c r="C283" s="7">
        <v>1.3180000000000001</v>
      </c>
      <c r="D283" t="s">
        <v>22</v>
      </c>
      <c r="E283" t="s">
        <v>27</v>
      </c>
    </row>
    <row r="284" spans="1:5" x14ac:dyDescent="0.2">
      <c r="A284" t="s">
        <v>3</v>
      </c>
      <c r="B284" s="6">
        <v>990</v>
      </c>
      <c r="C284" s="7">
        <v>1.3326</v>
      </c>
      <c r="D284" t="s">
        <v>22</v>
      </c>
      <c r="E284" t="s">
        <v>27</v>
      </c>
    </row>
    <row r="285" spans="1:5" x14ac:dyDescent="0.2">
      <c r="A285" t="s">
        <v>3</v>
      </c>
      <c r="B285" s="6">
        <v>1020</v>
      </c>
      <c r="C285" s="7">
        <v>1.3460000000000001</v>
      </c>
      <c r="D285" t="s">
        <v>22</v>
      </c>
      <c r="E285" t="s">
        <v>27</v>
      </c>
    </row>
    <row r="286" spans="1:5" x14ac:dyDescent="0.2">
      <c r="A286" t="s">
        <v>3</v>
      </c>
      <c r="B286" s="6">
        <v>1050</v>
      </c>
      <c r="C286" s="7">
        <v>1.3543000000000001</v>
      </c>
      <c r="D286" t="s">
        <v>22</v>
      </c>
      <c r="E286" t="s">
        <v>27</v>
      </c>
    </row>
    <row r="287" spans="1:5" x14ac:dyDescent="0.2">
      <c r="A287" t="s">
        <v>3</v>
      </c>
      <c r="B287" s="6">
        <v>1080</v>
      </c>
      <c r="C287" s="7">
        <v>1.3662000000000001</v>
      </c>
      <c r="D287" t="s">
        <v>22</v>
      </c>
      <c r="E287" t="s">
        <v>27</v>
      </c>
    </row>
    <row r="288" spans="1:5" x14ac:dyDescent="0.2">
      <c r="A288" t="s">
        <v>3</v>
      </c>
      <c r="B288" s="6">
        <v>1110</v>
      </c>
      <c r="C288" s="7">
        <v>1.3781000000000001</v>
      </c>
      <c r="D288" t="s">
        <v>22</v>
      </c>
      <c r="E288" t="s">
        <v>27</v>
      </c>
    </row>
    <row r="289" spans="1:5" x14ac:dyDescent="0.2">
      <c r="A289" t="s">
        <v>4</v>
      </c>
      <c r="B289" s="6">
        <v>0</v>
      </c>
      <c r="C289" s="7">
        <v>0.99919999999999998</v>
      </c>
      <c r="D289" t="s">
        <v>22</v>
      </c>
      <c r="E289" t="s">
        <v>27</v>
      </c>
    </row>
    <row r="290" spans="1:5" x14ac:dyDescent="0.2">
      <c r="A290" t="s">
        <v>4</v>
      </c>
      <c r="B290" s="6">
        <v>30</v>
      </c>
      <c r="C290" s="7">
        <v>0.99219999999999997</v>
      </c>
      <c r="D290" t="s">
        <v>22</v>
      </c>
      <c r="E290" t="s">
        <v>27</v>
      </c>
    </row>
    <row r="291" spans="1:5" x14ac:dyDescent="0.2">
      <c r="A291" t="s">
        <v>4</v>
      </c>
      <c r="B291" s="6">
        <v>60</v>
      </c>
      <c r="C291" s="7">
        <v>1.0118</v>
      </c>
      <c r="D291" t="s">
        <v>22</v>
      </c>
      <c r="E291" t="s">
        <v>27</v>
      </c>
    </row>
    <row r="292" spans="1:5" x14ac:dyDescent="0.2">
      <c r="A292" t="s">
        <v>4</v>
      </c>
      <c r="B292" s="6">
        <v>70</v>
      </c>
      <c r="C292" s="7">
        <v>1.0450999999999999</v>
      </c>
      <c r="D292" t="s">
        <v>22</v>
      </c>
      <c r="E292" t="s">
        <v>27</v>
      </c>
    </row>
    <row r="293" spans="1:5" x14ac:dyDescent="0.2">
      <c r="A293" t="s">
        <v>4</v>
      </c>
      <c r="B293" s="6">
        <v>100</v>
      </c>
      <c r="C293" s="7">
        <v>1.0315000000000001</v>
      </c>
      <c r="D293" t="s">
        <v>22</v>
      </c>
      <c r="E293" t="s">
        <v>27</v>
      </c>
    </row>
    <row r="294" spans="1:5" x14ac:dyDescent="0.2">
      <c r="A294" t="s">
        <v>4</v>
      </c>
      <c r="B294" s="6">
        <v>130</v>
      </c>
      <c r="C294" s="7">
        <v>1.046</v>
      </c>
      <c r="D294" t="s">
        <v>22</v>
      </c>
      <c r="E294" t="s">
        <v>27</v>
      </c>
    </row>
    <row r="295" spans="1:5" x14ac:dyDescent="0.2">
      <c r="A295" t="s">
        <v>4</v>
      </c>
      <c r="B295" s="6">
        <v>160</v>
      </c>
      <c r="C295" s="7">
        <v>1.0612999999999999</v>
      </c>
      <c r="D295" t="s">
        <v>22</v>
      </c>
      <c r="E295" t="s">
        <v>27</v>
      </c>
    </row>
    <row r="296" spans="1:5" x14ac:dyDescent="0.2">
      <c r="A296" t="s">
        <v>4</v>
      </c>
      <c r="B296" s="6">
        <v>190</v>
      </c>
      <c r="C296" s="7">
        <v>1.0734999999999999</v>
      </c>
      <c r="D296" t="s">
        <v>22</v>
      </c>
      <c r="E296" t="s">
        <v>27</v>
      </c>
    </row>
    <row r="297" spans="1:5" x14ac:dyDescent="0.2">
      <c r="A297" t="s">
        <v>4</v>
      </c>
      <c r="B297" s="6">
        <v>200</v>
      </c>
      <c r="C297" s="7">
        <v>1.0771999999999999</v>
      </c>
      <c r="D297" t="s">
        <v>22</v>
      </c>
      <c r="E297" t="s">
        <v>27</v>
      </c>
    </row>
    <row r="298" spans="1:5" x14ac:dyDescent="0.2">
      <c r="A298" t="s">
        <v>4</v>
      </c>
      <c r="B298" s="6">
        <v>230</v>
      </c>
      <c r="C298" s="7">
        <v>1.1011</v>
      </c>
      <c r="D298" t="s">
        <v>22</v>
      </c>
      <c r="E298" t="s">
        <v>27</v>
      </c>
    </row>
    <row r="299" spans="1:5" x14ac:dyDescent="0.2">
      <c r="A299" t="s">
        <v>4</v>
      </c>
      <c r="B299" s="6">
        <v>240</v>
      </c>
      <c r="C299" s="7">
        <v>1.1321000000000001</v>
      </c>
      <c r="D299" t="s">
        <v>22</v>
      </c>
      <c r="E299" t="s">
        <v>27</v>
      </c>
    </row>
    <row r="300" spans="1:5" x14ac:dyDescent="0.2">
      <c r="A300" t="s">
        <v>4</v>
      </c>
      <c r="B300" s="6">
        <v>240</v>
      </c>
      <c r="C300" s="7">
        <v>1.1224000000000001</v>
      </c>
      <c r="D300" t="s">
        <v>22</v>
      </c>
      <c r="E300" t="s">
        <v>27</v>
      </c>
    </row>
    <row r="301" spans="1:5" x14ac:dyDescent="0.2">
      <c r="A301" t="s">
        <v>4</v>
      </c>
      <c r="B301" s="6">
        <v>270</v>
      </c>
      <c r="C301" s="7">
        <v>1.1564000000000001</v>
      </c>
      <c r="D301" t="s">
        <v>22</v>
      </c>
      <c r="E301" t="s">
        <v>27</v>
      </c>
    </row>
    <row r="302" spans="1:5" x14ac:dyDescent="0.2">
      <c r="A302" t="s">
        <v>4</v>
      </c>
      <c r="B302" s="6">
        <v>300</v>
      </c>
      <c r="C302" s="7">
        <v>1.1447000000000001</v>
      </c>
      <c r="D302" t="s">
        <v>22</v>
      </c>
      <c r="E302" t="s">
        <v>27</v>
      </c>
    </row>
    <row r="303" spans="1:5" x14ac:dyDescent="0.2">
      <c r="A303" t="s">
        <v>4</v>
      </c>
      <c r="B303" s="6">
        <v>330</v>
      </c>
      <c r="C303" s="7">
        <v>1.1573</v>
      </c>
      <c r="D303" t="s">
        <v>22</v>
      </c>
      <c r="E303" t="s">
        <v>27</v>
      </c>
    </row>
    <row r="304" spans="1:5" x14ac:dyDescent="0.2">
      <c r="A304" t="s">
        <v>4</v>
      </c>
      <c r="B304" s="6">
        <v>360</v>
      </c>
      <c r="C304" s="7">
        <v>1.1648000000000001</v>
      </c>
      <c r="D304" t="s">
        <v>22</v>
      </c>
      <c r="E304" t="s">
        <v>27</v>
      </c>
    </row>
    <row r="305" spans="1:5" x14ac:dyDescent="0.2">
      <c r="A305" t="s">
        <v>4</v>
      </c>
      <c r="B305" s="6">
        <v>390</v>
      </c>
      <c r="C305" s="7">
        <v>1.1813</v>
      </c>
      <c r="D305" t="s">
        <v>22</v>
      </c>
      <c r="E305" t="s">
        <v>27</v>
      </c>
    </row>
    <row r="306" spans="1:5" x14ac:dyDescent="0.2">
      <c r="A306" t="s">
        <v>4</v>
      </c>
      <c r="B306" s="6">
        <v>420</v>
      </c>
      <c r="C306" s="7">
        <v>1.1839</v>
      </c>
      <c r="D306" t="s">
        <v>22</v>
      </c>
      <c r="E306" t="s">
        <v>27</v>
      </c>
    </row>
    <row r="307" spans="1:5" x14ac:dyDescent="0.2">
      <c r="A307" t="s">
        <v>4</v>
      </c>
      <c r="B307" s="6">
        <v>450</v>
      </c>
      <c r="C307" s="7">
        <v>1.1798</v>
      </c>
      <c r="D307" t="s">
        <v>22</v>
      </c>
      <c r="E307" t="s">
        <v>27</v>
      </c>
    </row>
    <row r="308" spans="1:5" x14ac:dyDescent="0.2">
      <c r="A308" t="s">
        <v>4</v>
      </c>
      <c r="B308" s="6">
        <v>480</v>
      </c>
      <c r="C308" s="7">
        <v>1.1890000000000001</v>
      </c>
      <c r="D308" t="s">
        <v>22</v>
      </c>
      <c r="E308" t="s">
        <v>27</v>
      </c>
    </row>
    <row r="309" spans="1:5" x14ac:dyDescent="0.2">
      <c r="A309" t="s">
        <v>4</v>
      </c>
      <c r="B309" s="6">
        <v>510</v>
      </c>
      <c r="C309" s="7">
        <v>1.2197</v>
      </c>
      <c r="D309" t="s">
        <v>22</v>
      </c>
      <c r="E309" t="s">
        <v>27</v>
      </c>
    </row>
    <row r="310" spans="1:5" x14ac:dyDescent="0.2">
      <c r="A310" t="s">
        <v>4</v>
      </c>
      <c r="B310" s="6">
        <v>540</v>
      </c>
      <c r="C310" s="7">
        <v>1.1931</v>
      </c>
      <c r="D310" t="s">
        <v>22</v>
      </c>
      <c r="E310" t="s">
        <v>27</v>
      </c>
    </row>
    <row r="311" spans="1:5" x14ac:dyDescent="0.2">
      <c r="A311" t="s">
        <v>4</v>
      </c>
      <c r="B311" s="6">
        <v>570</v>
      </c>
      <c r="C311" s="7">
        <v>1.2003999999999999</v>
      </c>
      <c r="D311" t="s">
        <v>22</v>
      </c>
      <c r="E311" t="s">
        <v>27</v>
      </c>
    </row>
    <row r="312" spans="1:5" x14ac:dyDescent="0.2">
      <c r="A312" t="s">
        <v>4</v>
      </c>
      <c r="B312" s="6">
        <v>600</v>
      </c>
      <c r="C312" s="7">
        <v>1.2077</v>
      </c>
      <c r="D312" t="s">
        <v>22</v>
      </c>
      <c r="E312" t="s">
        <v>27</v>
      </c>
    </row>
    <row r="313" spans="1:5" x14ac:dyDescent="0.2">
      <c r="A313" t="s">
        <v>4</v>
      </c>
      <c r="B313" s="6">
        <v>630</v>
      </c>
      <c r="C313" s="7">
        <v>1.2095</v>
      </c>
      <c r="D313" t="s">
        <v>22</v>
      </c>
      <c r="E313" t="s">
        <v>27</v>
      </c>
    </row>
    <row r="314" spans="1:5" x14ac:dyDescent="0.2">
      <c r="A314" t="s">
        <v>4</v>
      </c>
      <c r="B314" s="6">
        <v>660</v>
      </c>
      <c r="C314" s="7">
        <v>1.2148000000000001</v>
      </c>
      <c r="D314" t="s">
        <v>22</v>
      </c>
      <c r="E314" t="s">
        <v>27</v>
      </c>
    </row>
    <row r="315" spans="1:5" x14ac:dyDescent="0.2">
      <c r="A315" t="s">
        <v>4</v>
      </c>
      <c r="B315" s="6">
        <v>690</v>
      </c>
      <c r="C315" s="7">
        <v>1.2191000000000001</v>
      </c>
      <c r="D315" t="s">
        <v>22</v>
      </c>
      <c r="E315" t="s">
        <v>27</v>
      </c>
    </row>
    <row r="316" spans="1:5" x14ac:dyDescent="0.2">
      <c r="A316" t="s">
        <v>4</v>
      </c>
      <c r="B316" s="6">
        <v>720</v>
      </c>
      <c r="C316" s="7">
        <v>1.2294</v>
      </c>
      <c r="D316" t="s">
        <v>22</v>
      </c>
      <c r="E316" t="s">
        <v>27</v>
      </c>
    </row>
    <row r="317" spans="1:5" x14ac:dyDescent="0.2">
      <c r="A317" t="s">
        <v>4</v>
      </c>
      <c r="B317" s="6">
        <v>750</v>
      </c>
      <c r="C317" s="7">
        <v>1.2379</v>
      </c>
      <c r="D317" t="s">
        <v>22</v>
      </c>
      <c r="E317" t="s">
        <v>27</v>
      </c>
    </row>
    <row r="318" spans="1:5" x14ac:dyDescent="0.2">
      <c r="A318" t="s">
        <v>4</v>
      </c>
      <c r="B318" s="6">
        <v>780</v>
      </c>
      <c r="C318" s="7">
        <v>1.2481</v>
      </c>
      <c r="D318" t="s">
        <v>22</v>
      </c>
      <c r="E318" t="s">
        <v>27</v>
      </c>
    </row>
    <row r="319" spans="1:5" x14ac:dyDescent="0.2">
      <c r="A319" t="s">
        <v>4</v>
      </c>
      <c r="B319" s="6">
        <v>810</v>
      </c>
      <c r="C319" s="7">
        <v>1.2578</v>
      </c>
      <c r="D319" t="s">
        <v>22</v>
      </c>
      <c r="E319" t="s">
        <v>27</v>
      </c>
    </row>
    <row r="320" spans="1:5" x14ac:dyDescent="0.2">
      <c r="A320" t="s">
        <v>4</v>
      </c>
      <c r="B320" s="6">
        <v>840</v>
      </c>
      <c r="C320" s="7">
        <v>1.2685</v>
      </c>
      <c r="D320" t="s">
        <v>22</v>
      </c>
      <c r="E320" t="s">
        <v>27</v>
      </c>
    </row>
    <row r="321" spans="1:5" x14ac:dyDescent="0.2">
      <c r="A321" t="s">
        <v>4</v>
      </c>
      <c r="B321" s="6">
        <v>870</v>
      </c>
      <c r="C321" s="7">
        <v>1.2788999999999999</v>
      </c>
      <c r="D321" t="s">
        <v>22</v>
      </c>
      <c r="E321" t="s">
        <v>27</v>
      </c>
    </row>
    <row r="322" spans="1:5" x14ac:dyDescent="0.2">
      <c r="A322" t="s">
        <v>4</v>
      </c>
      <c r="B322" s="6">
        <v>900</v>
      </c>
      <c r="C322" s="7">
        <v>1.2917000000000001</v>
      </c>
      <c r="D322" t="s">
        <v>22</v>
      </c>
      <c r="E322" t="s">
        <v>27</v>
      </c>
    </row>
    <row r="323" spans="1:5" x14ac:dyDescent="0.2">
      <c r="A323" t="s">
        <v>4</v>
      </c>
      <c r="B323" s="6">
        <v>930</v>
      </c>
      <c r="C323" s="7">
        <v>1.3001</v>
      </c>
      <c r="D323" t="s">
        <v>22</v>
      </c>
      <c r="E323" t="s">
        <v>27</v>
      </c>
    </row>
    <row r="324" spans="1:5" x14ac:dyDescent="0.2">
      <c r="A324" t="s">
        <v>4</v>
      </c>
      <c r="B324" s="6">
        <v>960</v>
      </c>
      <c r="C324" s="7">
        <v>1.3091999999999999</v>
      </c>
      <c r="D324" t="s">
        <v>22</v>
      </c>
      <c r="E324" t="s">
        <v>27</v>
      </c>
    </row>
    <row r="325" spans="1:5" x14ac:dyDescent="0.2">
      <c r="A325" t="s">
        <v>4</v>
      </c>
      <c r="B325" s="6">
        <v>990</v>
      </c>
      <c r="C325" s="7">
        <v>1.3204</v>
      </c>
      <c r="D325" t="s">
        <v>22</v>
      </c>
      <c r="E325" t="s">
        <v>27</v>
      </c>
    </row>
    <row r="326" spans="1:5" x14ac:dyDescent="0.2">
      <c r="A326" t="s">
        <v>4</v>
      </c>
      <c r="B326" s="6">
        <v>1020</v>
      </c>
      <c r="C326" s="7">
        <v>1.3331</v>
      </c>
      <c r="D326" t="s">
        <v>22</v>
      </c>
      <c r="E326" t="s">
        <v>27</v>
      </c>
    </row>
    <row r="327" spans="1:5" x14ac:dyDescent="0.2">
      <c r="A327" t="s">
        <v>4</v>
      </c>
      <c r="B327" s="6">
        <v>1050</v>
      </c>
      <c r="C327" s="7">
        <v>1.3444</v>
      </c>
      <c r="D327" t="s">
        <v>22</v>
      </c>
      <c r="E327" t="s">
        <v>27</v>
      </c>
    </row>
    <row r="328" spans="1:5" x14ac:dyDescent="0.2">
      <c r="A328" t="s">
        <v>4</v>
      </c>
      <c r="B328" s="6">
        <v>1080</v>
      </c>
      <c r="C328" s="7">
        <v>1.3552</v>
      </c>
      <c r="D328" t="s">
        <v>22</v>
      </c>
      <c r="E328" t="s">
        <v>27</v>
      </c>
    </row>
    <row r="329" spans="1:5" x14ac:dyDescent="0.2">
      <c r="A329" t="s">
        <v>4</v>
      </c>
      <c r="B329" s="6">
        <v>1110</v>
      </c>
      <c r="C329" s="7">
        <v>1.3701000000000001</v>
      </c>
      <c r="D329" t="s">
        <v>22</v>
      </c>
      <c r="E329" t="s">
        <v>27</v>
      </c>
    </row>
    <row r="330" spans="1:5" x14ac:dyDescent="0.2">
      <c r="A330" t="s">
        <v>5</v>
      </c>
      <c r="B330" s="6">
        <v>0</v>
      </c>
      <c r="C330" s="7">
        <v>1.0079</v>
      </c>
      <c r="D330" t="s">
        <v>22</v>
      </c>
      <c r="E330" t="s">
        <v>27</v>
      </c>
    </row>
    <row r="331" spans="1:5" x14ac:dyDescent="0.2">
      <c r="A331" t="s">
        <v>5</v>
      </c>
      <c r="B331" s="6">
        <v>30</v>
      </c>
      <c r="C331" s="7">
        <v>0.998</v>
      </c>
      <c r="D331" t="s">
        <v>22</v>
      </c>
      <c r="E331" t="s">
        <v>27</v>
      </c>
    </row>
    <row r="332" spans="1:5" x14ac:dyDescent="0.2">
      <c r="A332" t="s">
        <v>5</v>
      </c>
      <c r="B332" s="6">
        <v>60</v>
      </c>
      <c r="C332" s="7">
        <v>1.0103</v>
      </c>
      <c r="D332" t="s">
        <v>22</v>
      </c>
      <c r="E332" t="s">
        <v>27</v>
      </c>
    </row>
    <row r="333" spans="1:5" x14ac:dyDescent="0.2">
      <c r="A333" t="s">
        <v>5</v>
      </c>
      <c r="B333" s="6">
        <v>70</v>
      </c>
      <c r="C333" s="7">
        <v>1.0442</v>
      </c>
      <c r="D333" t="s">
        <v>22</v>
      </c>
      <c r="E333" t="s">
        <v>27</v>
      </c>
    </row>
    <row r="334" spans="1:5" x14ac:dyDescent="0.2">
      <c r="A334" t="s">
        <v>5</v>
      </c>
      <c r="B334" s="6">
        <v>100</v>
      </c>
      <c r="C334" s="7">
        <v>1.0264</v>
      </c>
      <c r="D334" t="s">
        <v>22</v>
      </c>
      <c r="E334" t="s">
        <v>27</v>
      </c>
    </row>
    <row r="335" spans="1:5" x14ac:dyDescent="0.2">
      <c r="A335" t="s">
        <v>5</v>
      </c>
      <c r="B335" s="6">
        <v>130</v>
      </c>
      <c r="C335" s="7">
        <v>1.0392999999999999</v>
      </c>
      <c r="D335" t="s">
        <v>22</v>
      </c>
      <c r="E335" t="s">
        <v>27</v>
      </c>
    </row>
    <row r="336" spans="1:5" x14ac:dyDescent="0.2">
      <c r="A336" t="s">
        <v>5</v>
      </c>
      <c r="B336" s="6">
        <v>160</v>
      </c>
      <c r="C336" s="7">
        <v>1.0518000000000001</v>
      </c>
      <c r="D336" t="s">
        <v>22</v>
      </c>
      <c r="E336" t="s">
        <v>27</v>
      </c>
    </row>
    <row r="337" spans="1:5" x14ac:dyDescent="0.2">
      <c r="A337" t="s">
        <v>5</v>
      </c>
      <c r="B337" s="6">
        <v>190</v>
      </c>
      <c r="C337" s="7">
        <v>1.0669999999999999</v>
      </c>
      <c r="D337" t="s">
        <v>22</v>
      </c>
      <c r="E337" t="s">
        <v>27</v>
      </c>
    </row>
    <row r="338" spans="1:5" x14ac:dyDescent="0.2">
      <c r="A338" t="s">
        <v>5</v>
      </c>
      <c r="B338" s="6">
        <v>200</v>
      </c>
      <c r="C338" s="7">
        <v>1.0784</v>
      </c>
      <c r="D338" t="s">
        <v>22</v>
      </c>
      <c r="E338" t="s">
        <v>27</v>
      </c>
    </row>
    <row r="339" spans="1:5" x14ac:dyDescent="0.2">
      <c r="A339" t="s">
        <v>5</v>
      </c>
      <c r="B339" s="6">
        <v>230</v>
      </c>
      <c r="C339" s="7">
        <v>1.0911999999999999</v>
      </c>
      <c r="D339" t="s">
        <v>22</v>
      </c>
      <c r="E339" t="s">
        <v>27</v>
      </c>
    </row>
    <row r="340" spans="1:5" x14ac:dyDescent="0.2">
      <c r="A340" t="s">
        <v>5</v>
      </c>
      <c r="B340" s="6">
        <v>240</v>
      </c>
      <c r="C340" s="7">
        <v>1.1006</v>
      </c>
      <c r="D340" t="s">
        <v>22</v>
      </c>
      <c r="E340" t="s">
        <v>27</v>
      </c>
    </row>
    <row r="341" spans="1:5" x14ac:dyDescent="0.2">
      <c r="A341" t="s">
        <v>5</v>
      </c>
      <c r="B341" s="6">
        <v>240</v>
      </c>
      <c r="C341" s="7">
        <v>1.1197999999999999</v>
      </c>
      <c r="D341" t="s">
        <v>22</v>
      </c>
      <c r="E341" t="s">
        <v>27</v>
      </c>
    </row>
    <row r="342" spans="1:5" x14ac:dyDescent="0.2">
      <c r="A342" t="s">
        <v>5</v>
      </c>
      <c r="B342" s="6">
        <v>270</v>
      </c>
      <c r="C342" s="7">
        <v>1.1297999999999999</v>
      </c>
      <c r="D342" t="s">
        <v>22</v>
      </c>
      <c r="E342" t="s">
        <v>27</v>
      </c>
    </row>
    <row r="343" spans="1:5" x14ac:dyDescent="0.2">
      <c r="A343" t="s">
        <v>5</v>
      </c>
      <c r="B343" s="6">
        <v>300</v>
      </c>
      <c r="C343" s="7">
        <v>1.1426000000000001</v>
      </c>
      <c r="D343" t="s">
        <v>22</v>
      </c>
      <c r="E343" t="s">
        <v>27</v>
      </c>
    </row>
    <row r="344" spans="1:5" x14ac:dyDescent="0.2">
      <c r="A344" t="s">
        <v>5</v>
      </c>
      <c r="B344" s="6">
        <v>330</v>
      </c>
      <c r="C344" s="7">
        <v>1.1578999999999999</v>
      </c>
      <c r="D344" t="s">
        <v>22</v>
      </c>
      <c r="E344" t="s">
        <v>27</v>
      </c>
    </row>
    <row r="345" spans="1:5" x14ac:dyDescent="0.2">
      <c r="A345" t="s">
        <v>5</v>
      </c>
      <c r="B345" s="6">
        <v>360</v>
      </c>
      <c r="C345" s="7">
        <v>1.1712</v>
      </c>
      <c r="D345" t="s">
        <v>22</v>
      </c>
      <c r="E345" t="s">
        <v>27</v>
      </c>
    </row>
    <row r="346" spans="1:5" x14ac:dyDescent="0.2">
      <c r="A346" t="s">
        <v>5</v>
      </c>
      <c r="B346" s="6">
        <v>390</v>
      </c>
      <c r="C346" s="7">
        <v>1.1724000000000001</v>
      </c>
      <c r="D346" t="s">
        <v>22</v>
      </c>
      <c r="E346" t="s">
        <v>27</v>
      </c>
    </row>
    <row r="347" spans="1:5" x14ac:dyDescent="0.2">
      <c r="A347" t="s">
        <v>5</v>
      </c>
      <c r="B347" s="6">
        <v>420</v>
      </c>
      <c r="C347" s="7">
        <v>1.1769000000000001</v>
      </c>
      <c r="D347" t="s">
        <v>22</v>
      </c>
      <c r="E347" t="s">
        <v>27</v>
      </c>
    </row>
    <row r="348" spans="1:5" x14ac:dyDescent="0.2">
      <c r="A348" t="s">
        <v>5</v>
      </c>
      <c r="B348" s="6">
        <v>450</v>
      </c>
      <c r="C348" s="7">
        <v>1.1867000000000001</v>
      </c>
      <c r="D348" t="s">
        <v>22</v>
      </c>
      <c r="E348" t="s">
        <v>27</v>
      </c>
    </row>
    <row r="349" spans="1:5" x14ac:dyDescent="0.2">
      <c r="A349" t="s">
        <v>5</v>
      </c>
      <c r="B349" s="6">
        <v>480</v>
      </c>
      <c r="C349" s="7">
        <v>1.2025999999999999</v>
      </c>
      <c r="D349" t="s">
        <v>22</v>
      </c>
      <c r="E349" t="s">
        <v>27</v>
      </c>
    </row>
    <row r="350" spans="1:5" x14ac:dyDescent="0.2">
      <c r="A350" t="s">
        <v>5</v>
      </c>
      <c r="B350" s="6">
        <v>510</v>
      </c>
      <c r="C350" s="7">
        <v>1.2114</v>
      </c>
      <c r="D350" t="s">
        <v>22</v>
      </c>
      <c r="E350" t="s">
        <v>27</v>
      </c>
    </row>
    <row r="351" spans="1:5" x14ac:dyDescent="0.2">
      <c r="A351" t="s">
        <v>5</v>
      </c>
      <c r="B351" s="6">
        <v>540</v>
      </c>
      <c r="C351" s="7">
        <v>1.2132000000000001</v>
      </c>
      <c r="D351" t="s">
        <v>22</v>
      </c>
      <c r="E351" t="s">
        <v>27</v>
      </c>
    </row>
    <row r="352" spans="1:5" x14ac:dyDescent="0.2">
      <c r="A352" t="s">
        <v>5</v>
      </c>
      <c r="B352" s="6">
        <v>570</v>
      </c>
      <c r="C352" s="7">
        <v>1.2150000000000001</v>
      </c>
      <c r="D352" t="s">
        <v>22</v>
      </c>
      <c r="E352" t="s">
        <v>27</v>
      </c>
    </row>
    <row r="353" spans="1:5" x14ac:dyDescent="0.2">
      <c r="A353" t="s">
        <v>5</v>
      </c>
      <c r="B353" s="6">
        <v>600</v>
      </c>
      <c r="C353" s="7">
        <v>1.2212000000000001</v>
      </c>
      <c r="D353" t="s">
        <v>22</v>
      </c>
      <c r="E353" t="s">
        <v>27</v>
      </c>
    </row>
    <row r="354" spans="1:5" x14ac:dyDescent="0.2">
      <c r="A354" t="s">
        <v>5</v>
      </c>
      <c r="B354" s="6">
        <v>630</v>
      </c>
      <c r="C354" s="7">
        <v>1.2351000000000001</v>
      </c>
      <c r="D354" t="s">
        <v>22</v>
      </c>
      <c r="E354" t="s">
        <v>27</v>
      </c>
    </row>
    <row r="355" spans="1:5" x14ac:dyDescent="0.2">
      <c r="A355" t="s">
        <v>5</v>
      </c>
      <c r="B355" s="6">
        <v>660</v>
      </c>
      <c r="C355" s="7">
        <v>1.2402</v>
      </c>
      <c r="D355" t="s">
        <v>22</v>
      </c>
      <c r="E355" t="s">
        <v>27</v>
      </c>
    </row>
    <row r="356" spans="1:5" x14ac:dyDescent="0.2">
      <c r="A356" t="s">
        <v>5</v>
      </c>
      <c r="B356" s="6">
        <v>690</v>
      </c>
      <c r="C356" s="7">
        <v>1.2504999999999999</v>
      </c>
      <c r="D356" t="s">
        <v>22</v>
      </c>
      <c r="E356" t="s">
        <v>27</v>
      </c>
    </row>
    <row r="357" spans="1:5" x14ac:dyDescent="0.2">
      <c r="A357" t="s">
        <v>5</v>
      </c>
      <c r="B357" s="6">
        <v>720</v>
      </c>
      <c r="C357" s="7">
        <v>1.2555000000000001</v>
      </c>
      <c r="D357" t="s">
        <v>22</v>
      </c>
      <c r="E357" t="s">
        <v>27</v>
      </c>
    </row>
    <row r="358" spans="1:5" x14ac:dyDescent="0.2">
      <c r="A358" t="s">
        <v>5</v>
      </c>
      <c r="B358" s="6">
        <v>750</v>
      </c>
      <c r="C358" s="7">
        <v>1.2689999999999999</v>
      </c>
      <c r="D358" t="s">
        <v>22</v>
      </c>
      <c r="E358" t="s">
        <v>27</v>
      </c>
    </row>
    <row r="359" spans="1:5" x14ac:dyDescent="0.2">
      <c r="A359" t="s">
        <v>5</v>
      </c>
      <c r="B359" s="6">
        <v>780</v>
      </c>
      <c r="C359" s="7">
        <v>1.2790999999999999</v>
      </c>
      <c r="D359" t="s">
        <v>22</v>
      </c>
      <c r="E359" t="s">
        <v>27</v>
      </c>
    </row>
    <row r="360" spans="1:5" x14ac:dyDescent="0.2">
      <c r="A360" t="s">
        <v>5</v>
      </c>
      <c r="B360" s="6">
        <v>810</v>
      </c>
      <c r="C360" s="7">
        <v>1.2827</v>
      </c>
      <c r="D360" t="s">
        <v>22</v>
      </c>
      <c r="E360" t="s">
        <v>27</v>
      </c>
    </row>
    <row r="361" spans="1:5" x14ac:dyDescent="0.2">
      <c r="A361" t="s">
        <v>5</v>
      </c>
      <c r="B361" s="6">
        <v>840</v>
      </c>
      <c r="C361" s="7">
        <v>1.2957000000000001</v>
      </c>
      <c r="D361" t="s">
        <v>22</v>
      </c>
      <c r="E361" t="s">
        <v>27</v>
      </c>
    </row>
    <row r="362" spans="1:5" x14ac:dyDescent="0.2">
      <c r="A362" t="s">
        <v>5</v>
      </c>
      <c r="B362" s="6">
        <v>870</v>
      </c>
      <c r="C362" s="7">
        <v>1.3028</v>
      </c>
      <c r="D362" t="s">
        <v>22</v>
      </c>
      <c r="E362" t="s">
        <v>27</v>
      </c>
    </row>
    <row r="363" spans="1:5" x14ac:dyDescent="0.2">
      <c r="A363" t="s">
        <v>5</v>
      </c>
      <c r="B363" s="6">
        <v>900</v>
      </c>
      <c r="C363" s="7">
        <v>1.3137000000000001</v>
      </c>
      <c r="D363" t="s">
        <v>22</v>
      </c>
      <c r="E363" t="s">
        <v>27</v>
      </c>
    </row>
    <row r="364" spans="1:5" x14ac:dyDescent="0.2">
      <c r="A364" t="s">
        <v>5</v>
      </c>
      <c r="B364" s="6">
        <v>930</v>
      </c>
      <c r="C364" s="7">
        <v>1.3227</v>
      </c>
      <c r="D364" t="s">
        <v>22</v>
      </c>
      <c r="E364" t="s">
        <v>27</v>
      </c>
    </row>
    <row r="365" spans="1:5" x14ac:dyDescent="0.2">
      <c r="A365" t="s">
        <v>5</v>
      </c>
      <c r="B365" s="6">
        <v>960</v>
      </c>
      <c r="C365" s="7">
        <v>1.3355999999999999</v>
      </c>
      <c r="D365" t="s">
        <v>22</v>
      </c>
      <c r="E365" t="s">
        <v>27</v>
      </c>
    </row>
    <row r="366" spans="1:5" x14ac:dyDescent="0.2">
      <c r="A366" t="s">
        <v>5</v>
      </c>
      <c r="B366" s="6">
        <v>990</v>
      </c>
      <c r="C366" s="7">
        <v>1.3471</v>
      </c>
      <c r="D366" t="s">
        <v>22</v>
      </c>
      <c r="E366" t="s">
        <v>27</v>
      </c>
    </row>
    <row r="367" spans="1:5" x14ac:dyDescent="0.2">
      <c r="A367" t="s">
        <v>5</v>
      </c>
      <c r="B367" s="6">
        <v>1020</v>
      </c>
      <c r="C367" s="7">
        <v>1.3545</v>
      </c>
      <c r="D367" t="s">
        <v>22</v>
      </c>
      <c r="E367" t="s">
        <v>27</v>
      </c>
    </row>
    <row r="368" spans="1:5" x14ac:dyDescent="0.2">
      <c r="A368" t="s">
        <v>5</v>
      </c>
      <c r="B368" s="6">
        <v>1050</v>
      </c>
      <c r="C368" s="7">
        <v>1.3663000000000001</v>
      </c>
      <c r="D368" t="s">
        <v>22</v>
      </c>
      <c r="E368" t="s">
        <v>27</v>
      </c>
    </row>
    <row r="369" spans="1:5" x14ac:dyDescent="0.2">
      <c r="A369" t="s">
        <v>5</v>
      </c>
      <c r="B369" s="6">
        <v>1080</v>
      </c>
      <c r="C369" s="7">
        <v>1.3747</v>
      </c>
      <c r="D369" t="s">
        <v>22</v>
      </c>
      <c r="E369" t="s">
        <v>27</v>
      </c>
    </row>
    <row r="370" spans="1:5" x14ac:dyDescent="0.2">
      <c r="A370" t="s">
        <v>5</v>
      </c>
      <c r="B370" s="6">
        <v>1110</v>
      </c>
      <c r="C370" s="7">
        <v>1.3876999999999999</v>
      </c>
      <c r="D370" t="s">
        <v>22</v>
      </c>
      <c r="E370" t="s">
        <v>27</v>
      </c>
    </row>
    <row r="371" spans="1:5" x14ac:dyDescent="0.2">
      <c r="A371" t="s">
        <v>6</v>
      </c>
      <c r="B371" s="6">
        <v>0</v>
      </c>
      <c r="C371" s="1">
        <v>0.68340000000000001</v>
      </c>
      <c r="D371" t="s">
        <v>24</v>
      </c>
      <c r="E371" t="s">
        <v>27</v>
      </c>
    </row>
    <row r="372" spans="1:5" x14ac:dyDescent="0.2">
      <c r="A372" t="s">
        <v>6</v>
      </c>
      <c r="B372" s="6">
        <v>30</v>
      </c>
      <c r="C372" s="1">
        <v>0.69610000000000005</v>
      </c>
      <c r="D372" t="s">
        <v>24</v>
      </c>
      <c r="E372" t="s">
        <v>27</v>
      </c>
    </row>
    <row r="373" spans="1:5" x14ac:dyDescent="0.2">
      <c r="A373" t="s">
        <v>6</v>
      </c>
      <c r="B373" s="6">
        <v>60</v>
      </c>
      <c r="C373" s="1">
        <v>0.67200000000000004</v>
      </c>
      <c r="D373" t="s">
        <v>24</v>
      </c>
      <c r="E373" t="s">
        <v>27</v>
      </c>
    </row>
    <row r="374" spans="1:5" x14ac:dyDescent="0.2">
      <c r="A374" t="s">
        <v>6</v>
      </c>
      <c r="B374" s="6">
        <v>70</v>
      </c>
      <c r="C374" s="1">
        <v>0.71009999999999995</v>
      </c>
      <c r="D374" t="s">
        <v>24</v>
      </c>
      <c r="E374" t="s">
        <v>27</v>
      </c>
    </row>
    <row r="375" spans="1:5" x14ac:dyDescent="0.2">
      <c r="A375" t="s">
        <v>6</v>
      </c>
      <c r="B375" s="6">
        <v>100</v>
      </c>
      <c r="C375" s="1">
        <v>0.67559999999999998</v>
      </c>
      <c r="D375" t="s">
        <v>24</v>
      </c>
      <c r="E375" t="s">
        <v>27</v>
      </c>
    </row>
    <row r="376" spans="1:5" x14ac:dyDescent="0.2">
      <c r="A376" t="s">
        <v>6</v>
      </c>
      <c r="B376" s="6">
        <v>130</v>
      </c>
      <c r="C376" s="1">
        <v>0.67700000000000005</v>
      </c>
      <c r="D376" t="s">
        <v>24</v>
      </c>
      <c r="E376" t="s">
        <v>27</v>
      </c>
    </row>
    <row r="377" spans="1:5" x14ac:dyDescent="0.2">
      <c r="A377" t="s">
        <v>6</v>
      </c>
      <c r="B377" s="6">
        <v>160</v>
      </c>
      <c r="C377" s="1">
        <v>0.68069999999999997</v>
      </c>
      <c r="D377" t="s">
        <v>24</v>
      </c>
      <c r="E377" t="s">
        <v>27</v>
      </c>
    </row>
    <row r="378" spans="1:5" x14ac:dyDescent="0.2">
      <c r="A378" t="s">
        <v>6</v>
      </c>
      <c r="B378" s="6">
        <v>190</v>
      </c>
      <c r="C378" s="1">
        <v>0.68340000000000001</v>
      </c>
      <c r="D378" t="s">
        <v>24</v>
      </c>
      <c r="E378" t="s">
        <v>27</v>
      </c>
    </row>
    <row r="379" spans="1:5" x14ac:dyDescent="0.2">
      <c r="A379" t="s">
        <v>6</v>
      </c>
      <c r="B379" s="6">
        <v>200</v>
      </c>
      <c r="C379" s="1">
        <v>0.69040000000000001</v>
      </c>
      <c r="D379" t="s">
        <v>24</v>
      </c>
      <c r="E379" t="s">
        <v>27</v>
      </c>
    </row>
    <row r="380" spans="1:5" x14ac:dyDescent="0.2">
      <c r="A380" t="s">
        <v>6</v>
      </c>
      <c r="B380" s="6">
        <v>230</v>
      </c>
      <c r="C380" s="1">
        <v>0.70569999999999999</v>
      </c>
      <c r="D380" t="s">
        <v>24</v>
      </c>
      <c r="E380" t="s">
        <v>27</v>
      </c>
    </row>
    <row r="381" spans="1:5" x14ac:dyDescent="0.2">
      <c r="A381" t="s">
        <v>6</v>
      </c>
      <c r="B381" s="6">
        <v>240</v>
      </c>
      <c r="C381" s="1">
        <v>0.73680000000000001</v>
      </c>
      <c r="D381" t="s">
        <v>24</v>
      </c>
      <c r="E381" t="s">
        <v>27</v>
      </c>
    </row>
    <row r="382" spans="1:5" x14ac:dyDescent="0.2">
      <c r="A382" t="s">
        <v>6</v>
      </c>
      <c r="B382" s="6">
        <v>240</v>
      </c>
      <c r="C382" s="1">
        <v>0.71619999999999995</v>
      </c>
      <c r="D382" t="s">
        <v>24</v>
      </c>
      <c r="E382" t="s">
        <v>27</v>
      </c>
    </row>
    <row r="383" spans="1:5" x14ac:dyDescent="0.2">
      <c r="A383" t="s">
        <v>6</v>
      </c>
      <c r="B383" s="6">
        <v>270</v>
      </c>
      <c r="C383" s="1">
        <v>0.74390000000000001</v>
      </c>
      <c r="D383" t="s">
        <v>24</v>
      </c>
      <c r="E383" t="s">
        <v>27</v>
      </c>
    </row>
    <row r="384" spans="1:5" x14ac:dyDescent="0.2">
      <c r="A384" t="s">
        <v>6</v>
      </c>
      <c r="B384" s="6">
        <v>300</v>
      </c>
      <c r="C384" s="1">
        <v>0.72709999999999997</v>
      </c>
      <c r="D384" t="s">
        <v>24</v>
      </c>
      <c r="E384" t="s">
        <v>27</v>
      </c>
    </row>
    <row r="385" spans="1:5" x14ac:dyDescent="0.2">
      <c r="A385" t="s">
        <v>6</v>
      </c>
      <c r="B385" s="6">
        <v>330</v>
      </c>
      <c r="C385" s="1">
        <v>0.73629999999999995</v>
      </c>
      <c r="D385" t="s">
        <v>24</v>
      </c>
      <c r="E385" t="s">
        <v>27</v>
      </c>
    </row>
    <row r="386" spans="1:5" x14ac:dyDescent="0.2">
      <c r="A386" t="s">
        <v>6</v>
      </c>
      <c r="B386" s="6">
        <v>360</v>
      </c>
      <c r="C386" s="1">
        <v>0.7429</v>
      </c>
      <c r="D386" t="s">
        <v>24</v>
      </c>
      <c r="E386" t="s">
        <v>27</v>
      </c>
    </row>
    <row r="387" spans="1:5" x14ac:dyDescent="0.2">
      <c r="A387" t="s">
        <v>6</v>
      </c>
      <c r="B387" s="6">
        <v>390</v>
      </c>
      <c r="C387" s="1">
        <v>0.76680000000000004</v>
      </c>
      <c r="D387" t="s">
        <v>24</v>
      </c>
      <c r="E387" t="s">
        <v>27</v>
      </c>
    </row>
    <row r="388" spans="1:5" x14ac:dyDescent="0.2">
      <c r="A388" t="s">
        <v>6</v>
      </c>
      <c r="B388" s="6">
        <v>420</v>
      </c>
      <c r="C388" s="1">
        <v>0.76080000000000003</v>
      </c>
      <c r="D388" t="s">
        <v>24</v>
      </c>
      <c r="E388" t="s">
        <v>27</v>
      </c>
    </row>
    <row r="389" spans="1:5" x14ac:dyDescent="0.2">
      <c r="A389" t="s">
        <v>6</v>
      </c>
      <c r="B389" s="6">
        <v>450</v>
      </c>
      <c r="C389" s="1">
        <v>0.75939999999999996</v>
      </c>
      <c r="D389" t="s">
        <v>24</v>
      </c>
      <c r="E389" t="s">
        <v>27</v>
      </c>
    </row>
    <row r="390" spans="1:5" x14ac:dyDescent="0.2">
      <c r="A390" t="s">
        <v>6</v>
      </c>
      <c r="B390" s="6">
        <v>480</v>
      </c>
      <c r="C390" s="1">
        <v>0.75829999999999997</v>
      </c>
      <c r="D390" t="s">
        <v>24</v>
      </c>
      <c r="E390" t="s">
        <v>27</v>
      </c>
    </row>
    <row r="391" spans="1:5" x14ac:dyDescent="0.2">
      <c r="A391" t="s">
        <v>6</v>
      </c>
      <c r="B391" s="6">
        <v>510</v>
      </c>
      <c r="C391" s="1">
        <v>0.79549999999999998</v>
      </c>
      <c r="D391" t="s">
        <v>24</v>
      </c>
      <c r="E391" t="s">
        <v>27</v>
      </c>
    </row>
    <row r="392" spans="1:5" x14ac:dyDescent="0.2">
      <c r="A392" t="s">
        <v>6</v>
      </c>
      <c r="B392" s="6">
        <v>540</v>
      </c>
      <c r="C392" s="1">
        <v>0.76100000000000001</v>
      </c>
      <c r="D392" t="s">
        <v>24</v>
      </c>
      <c r="E392" t="s">
        <v>27</v>
      </c>
    </row>
    <row r="393" spans="1:5" x14ac:dyDescent="0.2">
      <c r="A393" t="s">
        <v>6</v>
      </c>
      <c r="B393" s="6">
        <v>570</v>
      </c>
      <c r="C393" s="1">
        <v>0.77129999999999999</v>
      </c>
      <c r="D393" t="s">
        <v>24</v>
      </c>
      <c r="E393" t="s">
        <v>27</v>
      </c>
    </row>
    <row r="394" spans="1:5" x14ac:dyDescent="0.2">
      <c r="A394" t="s">
        <v>6</v>
      </c>
      <c r="B394" s="6">
        <v>600</v>
      </c>
      <c r="C394" s="1">
        <v>0.77090000000000003</v>
      </c>
      <c r="D394" t="s">
        <v>24</v>
      </c>
      <c r="E394" t="s">
        <v>27</v>
      </c>
    </row>
    <row r="395" spans="1:5" x14ac:dyDescent="0.2">
      <c r="A395" t="s">
        <v>6</v>
      </c>
      <c r="B395" s="6">
        <v>630</v>
      </c>
      <c r="C395" s="1">
        <v>0.77239999999999998</v>
      </c>
      <c r="D395" t="s">
        <v>24</v>
      </c>
      <c r="E395" t="s">
        <v>27</v>
      </c>
    </row>
    <row r="396" spans="1:5" x14ac:dyDescent="0.2">
      <c r="A396" t="s">
        <v>6</v>
      </c>
      <c r="B396" s="6">
        <v>660</v>
      </c>
      <c r="C396" s="1">
        <v>0.77500000000000002</v>
      </c>
      <c r="D396" t="s">
        <v>24</v>
      </c>
      <c r="E396" t="s">
        <v>27</v>
      </c>
    </row>
    <row r="397" spans="1:5" x14ac:dyDescent="0.2">
      <c r="A397" t="s">
        <v>6</v>
      </c>
      <c r="B397" s="6">
        <v>690</v>
      </c>
      <c r="C397" s="1">
        <v>0.77359999999999995</v>
      </c>
      <c r="D397" t="s">
        <v>24</v>
      </c>
      <c r="E397" t="s">
        <v>27</v>
      </c>
    </row>
    <row r="398" spans="1:5" x14ac:dyDescent="0.2">
      <c r="A398" t="s">
        <v>6</v>
      </c>
      <c r="B398" s="6">
        <v>720</v>
      </c>
      <c r="C398" s="1">
        <v>0.77810000000000001</v>
      </c>
      <c r="D398" t="s">
        <v>24</v>
      </c>
      <c r="E398" t="s">
        <v>27</v>
      </c>
    </row>
    <row r="399" spans="1:5" x14ac:dyDescent="0.2">
      <c r="A399" t="s">
        <v>6</v>
      </c>
      <c r="B399" s="6">
        <v>750</v>
      </c>
      <c r="C399" s="1">
        <v>0.78280000000000005</v>
      </c>
      <c r="D399" t="s">
        <v>24</v>
      </c>
      <c r="E399" t="s">
        <v>27</v>
      </c>
    </row>
    <row r="400" spans="1:5" x14ac:dyDescent="0.2">
      <c r="A400" t="s">
        <v>6</v>
      </c>
      <c r="B400" s="6">
        <v>780</v>
      </c>
      <c r="C400" s="1">
        <v>0.78369999999999995</v>
      </c>
      <c r="D400" t="s">
        <v>24</v>
      </c>
      <c r="E400" t="s">
        <v>27</v>
      </c>
    </row>
    <row r="401" spans="1:5" x14ac:dyDescent="0.2">
      <c r="A401" t="s">
        <v>6</v>
      </c>
      <c r="B401" s="6">
        <v>810</v>
      </c>
      <c r="C401" s="1">
        <v>0.78910000000000002</v>
      </c>
      <c r="D401" t="s">
        <v>24</v>
      </c>
      <c r="E401" t="s">
        <v>27</v>
      </c>
    </row>
    <row r="402" spans="1:5" x14ac:dyDescent="0.2">
      <c r="A402" t="s">
        <v>6</v>
      </c>
      <c r="B402" s="6">
        <v>840</v>
      </c>
      <c r="C402" s="1">
        <v>0.79890000000000005</v>
      </c>
      <c r="D402" t="s">
        <v>24</v>
      </c>
      <c r="E402" t="s">
        <v>27</v>
      </c>
    </row>
    <row r="403" spans="1:5" x14ac:dyDescent="0.2">
      <c r="A403" t="s">
        <v>6</v>
      </c>
      <c r="B403" s="6">
        <v>870</v>
      </c>
      <c r="C403" s="1">
        <v>0.82289999999999996</v>
      </c>
      <c r="D403" t="s">
        <v>24</v>
      </c>
      <c r="E403" t="s">
        <v>27</v>
      </c>
    </row>
    <row r="404" spans="1:5" x14ac:dyDescent="0.2">
      <c r="A404" t="s">
        <v>6</v>
      </c>
      <c r="B404" s="6">
        <v>900</v>
      </c>
      <c r="C404" s="1">
        <v>0.84140000000000004</v>
      </c>
      <c r="D404" t="s">
        <v>24</v>
      </c>
      <c r="E404" t="s">
        <v>27</v>
      </c>
    </row>
    <row r="405" spans="1:5" x14ac:dyDescent="0.2">
      <c r="A405" t="s">
        <v>6</v>
      </c>
      <c r="B405" s="6">
        <v>930</v>
      </c>
      <c r="C405" s="1">
        <v>0.86309999999999998</v>
      </c>
      <c r="D405" t="s">
        <v>24</v>
      </c>
      <c r="E405" t="s">
        <v>27</v>
      </c>
    </row>
    <row r="406" spans="1:5" x14ac:dyDescent="0.2">
      <c r="A406" t="s">
        <v>6</v>
      </c>
      <c r="B406" s="6">
        <v>960</v>
      </c>
      <c r="C406" s="1">
        <v>0.88990000000000002</v>
      </c>
      <c r="D406" t="s">
        <v>24</v>
      </c>
      <c r="E406" t="s">
        <v>27</v>
      </c>
    </row>
    <row r="407" spans="1:5" x14ac:dyDescent="0.2">
      <c r="A407" t="s">
        <v>6</v>
      </c>
      <c r="B407" s="6">
        <v>990</v>
      </c>
      <c r="C407" s="1">
        <v>0.90849999999999997</v>
      </c>
      <c r="D407" t="s">
        <v>24</v>
      </c>
      <c r="E407" t="s">
        <v>27</v>
      </c>
    </row>
    <row r="408" spans="1:5" x14ac:dyDescent="0.2">
      <c r="A408" t="s">
        <v>6</v>
      </c>
      <c r="B408" s="6">
        <v>1020</v>
      </c>
      <c r="C408" s="1">
        <v>0.93059999999999998</v>
      </c>
      <c r="D408" t="s">
        <v>24</v>
      </c>
      <c r="E408" t="s">
        <v>27</v>
      </c>
    </row>
    <row r="409" spans="1:5" x14ac:dyDescent="0.2">
      <c r="A409" t="s">
        <v>6</v>
      </c>
      <c r="B409" s="6">
        <v>1050</v>
      </c>
      <c r="C409" s="1">
        <v>0.9607</v>
      </c>
      <c r="D409" t="s">
        <v>24</v>
      </c>
      <c r="E409" t="s">
        <v>27</v>
      </c>
    </row>
    <row r="410" spans="1:5" x14ac:dyDescent="0.2">
      <c r="A410" t="s">
        <v>6</v>
      </c>
      <c r="B410" s="6">
        <v>1080</v>
      </c>
      <c r="C410" s="1">
        <v>0.98260000000000003</v>
      </c>
      <c r="D410" t="s">
        <v>24</v>
      </c>
      <c r="E410" t="s">
        <v>27</v>
      </c>
    </row>
    <row r="411" spans="1:5" x14ac:dyDescent="0.2">
      <c r="A411" t="s">
        <v>6</v>
      </c>
      <c r="B411" s="6">
        <v>1110</v>
      </c>
      <c r="C411" s="1">
        <v>0.98829999999999996</v>
      </c>
      <c r="D411" t="s">
        <v>24</v>
      </c>
      <c r="E411" t="s">
        <v>27</v>
      </c>
    </row>
    <row r="412" spans="1:5" x14ac:dyDescent="0.2">
      <c r="A412" t="s">
        <v>7</v>
      </c>
      <c r="B412" s="6">
        <v>0</v>
      </c>
      <c r="C412" s="1">
        <v>0.58120000000000005</v>
      </c>
      <c r="D412" t="s">
        <v>24</v>
      </c>
      <c r="E412" t="s">
        <v>27</v>
      </c>
    </row>
    <row r="413" spans="1:5" x14ac:dyDescent="0.2">
      <c r="A413" t="s">
        <v>7</v>
      </c>
      <c r="B413" s="6">
        <v>30</v>
      </c>
      <c r="C413" s="1">
        <v>0.61699999999999999</v>
      </c>
      <c r="D413" t="s">
        <v>24</v>
      </c>
      <c r="E413" t="s">
        <v>27</v>
      </c>
    </row>
    <row r="414" spans="1:5" x14ac:dyDescent="0.2">
      <c r="A414" t="s">
        <v>7</v>
      </c>
      <c r="B414" s="6">
        <v>60</v>
      </c>
      <c r="C414" s="1">
        <v>0.61080000000000001</v>
      </c>
      <c r="D414" t="s">
        <v>24</v>
      </c>
      <c r="E414" t="s">
        <v>27</v>
      </c>
    </row>
    <row r="415" spans="1:5" x14ac:dyDescent="0.2">
      <c r="A415" t="s">
        <v>7</v>
      </c>
      <c r="B415" s="6">
        <v>70</v>
      </c>
      <c r="C415" s="1">
        <v>0.66010000000000002</v>
      </c>
      <c r="D415" t="s">
        <v>24</v>
      </c>
      <c r="E415" t="s">
        <v>27</v>
      </c>
    </row>
    <row r="416" spans="1:5" x14ac:dyDescent="0.2">
      <c r="A416" t="s">
        <v>7</v>
      </c>
      <c r="B416" s="6">
        <v>100</v>
      </c>
      <c r="C416" s="1">
        <v>0.63070000000000004</v>
      </c>
      <c r="D416" t="s">
        <v>24</v>
      </c>
      <c r="E416" t="s">
        <v>27</v>
      </c>
    </row>
    <row r="417" spans="1:5" x14ac:dyDescent="0.2">
      <c r="A417" t="s">
        <v>7</v>
      </c>
      <c r="B417" s="6">
        <v>130</v>
      </c>
      <c r="C417" s="1">
        <v>0.63460000000000005</v>
      </c>
      <c r="D417" t="s">
        <v>24</v>
      </c>
      <c r="E417" t="s">
        <v>27</v>
      </c>
    </row>
    <row r="418" spans="1:5" x14ac:dyDescent="0.2">
      <c r="A418" t="s">
        <v>7</v>
      </c>
      <c r="B418" s="6">
        <v>160</v>
      </c>
      <c r="C418" s="1">
        <v>0.64190000000000003</v>
      </c>
      <c r="D418" t="s">
        <v>24</v>
      </c>
      <c r="E418" t="s">
        <v>27</v>
      </c>
    </row>
    <row r="419" spans="1:5" x14ac:dyDescent="0.2">
      <c r="A419" t="s">
        <v>7</v>
      </c>
      <c r="B419" s="6">
        <v>190</v>
      </c>
      <c r="C419" s="1">
        <v>0.6522</v>
      </c>
      <c r="D419" t="s">
        <v>24</v>
      </c>
      <c r="E419" t="s">
        <v>27</v>
      </c>
    </row>
    <row r="420" spans="1:5" x14ac:dyDescent="0.2">
      <c r="A420" t="s">
        <v>7</v>
      </c>
      <c r="B420" s="6">
        <v>200</v>
      </c>
      <c r="C420" s="1">
        <v>0.65139999999999998</v>
      </c>
      <c r="D420" t="s">
        <v>24</v>
      </c>
      <c r="E420" t="s">
        <v>27</v>
      </c>
    </row>
    <row r="421" spans="1:5" x14ac:dyDescent="0.2">
      <c r="A421" t="s">
        <v>7</v>
      </c>
      <c r="B421" s="6">
        <v>230</v>
      </c>
      <c r="C421" s="1">
        <v>0.67230000000000001</v>
      </c>
      <c r="D421" t="s">
        <v>24</v>
      </c>
      <c r="E421" t="s">
        <v>27</v>
      </c>
    </row>
    <row r="422" spans="1:5" x14ac:dyDescent="0.2">
      <c r="A422" t="s">
        <v>7</v>
      </c>
      <c r="B422" s="6">
        <v>240</v>
      </c>
      <c r="C422" s="1">
        <v>0.67669999999999997</v>
      </c>
      <c r="D422" t="s">
        <v>24</v>
      </c>
      <c r="E422" t="s">
        <v>27</v>
      </c>
    </row>
    <row r="423" spans="1:5" x14ac:dyDescent="0.2">
      <c r="A423" t="s">
        <v>7</v>
      </c>
      <c r="B423" s="6">
        <v>240</v>
      </c>
      <c r="C423" s="1">
        <v>0.68500000000000005</v>
      </c>
      <c r="D423" t="s">
        <v>24</v>
      </c>
      <c r="E423" t="s">
        <v>27</v>
      </c>
    </row>
    <row r="424" spans="1:5" x14ac:dyDescent="0.2">
      <c r="A424" t="s">
        <v>7</v>
      </c>
      <c r="B424" s="6">
        <v>270</v>
      </c>
      <c r="C424" s="1">
        <v>0.68930000000000002</v>
      </c>
      <c r="D424" t="s">
        <v>24</v>
      </c>
      <c r="E424" t="s">
        <v>27</v>
      </c>
    </row>
    <row r="425" spans="1:5" x14ac:dyDescent="0.2">
      <c r="A425" t="s">
        <v>7</v>
      </c>
      <c r="B425" s="6">
        <v>300</v>
      </c>
      <c r="C425" s="1">
        <v>0.69640000000000002</v>
      </c>
      <c r="D425" t="s">
        <v>24</v>
      </c>
      <c r="E425" t="s">
        <v>27</v>
      </c>
    </row>
    <row r="426" spans="1:5" x14ac:dyDescent="0.2">
      <c r="A426" t="s">
        <v>7</v>
      </c>
      <c r="B426" s="6">
        <v>330</v>
      </c>
      <c r="C426" s="1">
        <v>0.70660000000000001</v>
      </c>
      <c r="D426" t="s">
        <v>24</v>
      </c>
      <c r="E426" t="s">
        <v>27</v>
      </c>
    </row>
    <row r="427" spans="1:5" x14ac:dyDescent="0.2">
      <c r="A427" t="s">
        <v>7</v>
      </c>
      <c r="B427" s="6">
        <v>360</v>
      </c>
      <c r="C427" s="1">
        <v>0.70630000000000004</v>
      </c>
      <c r="D427" t="s">
        <v>24</v>
      </c>
      <c r="E427" t="s">
        <v>27</v>
      </c>
    </row>
    <row r="428" spans="1:5" x14ac:dyDescent="0.2">
      <c r="A428" t="s">
        <v>7</v>
      </c>
      <c r="B428" s="6">
        <v>390</v>
      </c>
      <c r="C428" s="1">
        <v>0.70640000000000003</v>
      </c>
      <c r="D428" t="s">
        <v>24</v>
      </c>
      <c r="E428" t="s">
        <v>27</v>
      </c>
    </row>
    <row r="429" spans="1:5" x14ac:dyDescent="0.2">
      <c r="A429" t="s">
        <v>7</v>
      </c>
      <c r="B429" s="6">
        <v>420</v>
      </c>
      <c r="C429" s="1">
        <v>0.69330000000000003</v>
      </c>
      <c r="D429" t="s">
        <v>24</v>
      </c>
      <c r="E429" t="s">
        <v>27</v>
      </c>
    </row>
    <row r="430" spans="1:5" x14ac:dyDescent="0.2">
      <c r="A430" t="s">
        <v>7</v>
      </c>
      <c r="B430" s="6">
        <v>450</v>
      </c>
      <c r="C430" s="1">
        <v>0.72409999999999997</v>
      </c>
      <c r="D430" t="s">
        <v>24</v>
      </c>
      <c r="E430" t="s">
        <v>27</v>
      </c>
    </row>
    <row r="431" spans="1:5" x14ac:dyDescent="0.2">
      <c r="A431" t="s">
        <v>7</v>
      </c>
      <c r="B431" s="6">
        <v>480</v>
      </c>
      <c r="C431" s="1">
        <v>0.7288</v>
      </c>
      <c r="D431" t="s">
        <v>24</v>
      </c>
      <c r="E431" t="s">
        <v>27</v>
      </c>
    </row>
    <row r="432" spans="1:5" x14ac:dyDescent="0.2">
      <c r="A432" t="s">
        <v>7</v>
      </c>
      <c r="B432" s="6">
        <v>510</v>
      </c>
      <c r="C432" s="1">
        <v>0.72309999999999997</v>
      </c>
      <c r="D432" t="s">
        <v>24</v>
      </c>
      <c r="E432" t="s">
        <v>27</v>
      </c>
    </row>
    <row r="433" spans="1:5" x14ac:dyDescent="0.2">
      <c r="A433" t="s">
        <v>7</v>
      </c>
      <c r="B433" s="6">
        <v>540</v>
      </c>
      <c r="C433" s="1">
        <v>0.7198</v>
      </c>
      <c r="D433" t="s">
        <v>24</v>
      </c>
      <c r="E433" t="s">
        <v>27</v>
      </c>
    </row>
    <row r="434" spans="1:5" x14ac:dyDescent="0.2">
      <c r="A434" t="s">
        <v>7</v>
      </c>
      <c r="B434" s="6">
        <v>570</v>
      </c>
      <c r="C434" s="1">
        <v>0.73560000000000003</v>
      </c>
      <c r="D434" t="s">
        <v>24</v>
      </c>
      <c r="E434" t="s">
        <v>27</v>
      </c>
    </row>
    <row r="435" spans="1:5" x14ac:dyDescent="0.2">
      <c r="A435" t="s">
        <v>7</v>
      </c>
      <c r="B435" s="6">
        <v>600</v>
      </c>
      <c r="C435" s="1">
        <v>0.74139999999999995</v>
      </c>
      <c r="D435" t="s">
        <v>24</v>
      </c>
      <c r="E435" t="s">
        <v>27</v>
      </c>
    </row>
    <row r="436" spans="1:5" x14ac:dyDescent="0.2">
      <c r="A436" t="s">
        <v>7</v>
      </c>
      <c r="B436" s="6">
        <v>630</v>
      </c>
      <c r="C436" s="1">
        <v>0.74619999999999997</v>
      </c>
      <c r="D436" t="s">
        <v>24</v>
      </c>
      <c r="E436" t="s">
        <v>27</v>
      </c>
    </row>
    <row r="437" spans="1:5" x14ac:dyDescent="0.2">
      <c r="A437" t="s">
        <v>7</v>
      </c>
      <c r="B437" s="6">
        <v>660</v>
      </c>
      <c r="C437" s="1">
        <v>0.74509999999999998</v>
      </c>
      <c r="D437" t="s">
        <v>24</v>
      </c>
      <c r="E437" t="s">
        <v>27</v>
      </c>
    </row>
    <row r="438" spans="1:5" x14ac:dyDescent="0.2">
      <c r="A438" t="s">
        <v>7</v>
      </c>
      <c r="B438" s="6">
        <v>690</v>
      </c>
      <c r="C438" s="1">
        <v>0.75280000000000002</v>
      </c>
      <c r="D438" t="s">
        <v>24</v>
      </c>
      <c r="E438" t="s">
        <v>27</v>
      </c>
    </row>
    <row r="439" spans="1:5" x14ac:dyDescent="0.2">
      <c r="A439" t="s">
        <v>7</v>
      </c>
      <c r="B439" s="6">
        <v>720</v>
      </c>
      <c r="C439" s="1">
        <v>0.74939999999999996</v>
      </c>
      <c r="D439" t="s">
        <v>24</v>
      </c>
      <c r="E439" t="s">
        <v>27</v>
      </c>
    </row>
    <row r="440" spans="1:5" x14ac:dyDescent="0.2">
      <c r="A440" t="s">
        <v>7</v>
      </c>
      <c r="B440" s="6">
        <v>750</v>
      </c>
      <c r="C440" s="1">
        <v>0.75</v>
      </c>
      <c r="D440" t="s">
        <v>24</v>
      </c>
      <c r="E440" t="s">
        <v>27</v>
      </c>
    </row>
    <row r="441" spans="1:5" x14ac:dyDescent="0.2">
      <c r="A441" t="s">
        <v>7</v>
      </c>
      <c r="B441" s="6">
        <v>780</v>
      </c>
      <c r="C441" s="1">
        <v>0.75439999999999996</v>
      </c>
      <c r="D441" t="s">
        <v>24</v>
      </c>
      <c r="E441" t="s">
        <v>27</v>
      </c>
    </row>
    <row r="442" spans="1:5" x14ac:dyDescent="0.2">
      <c r="A442" t="s">
        <v>7</v>
      </c>
      <c r="B442" s="6">
        <v>810</v>
      </c>
      <c r="C442" s="1">
        <v>0.76160000000000005</v>
      </c>
      <c r="D442" t="s">
        <v>24</v>
      </c>
      <c r="E442" t="s">
        <v>27</v>
      </c>
    </row>
    <row r="443" spans="1:5" x14ac:dyDescent="0.2">
      <c r="A443" t="s">
        <v>7</v>
      </c>
      <c r="B443" s="6">
        <v>840</v>
      </c>
      <c r="C443" s="1">
        <v>0.76370000000000005</v>
      </c>
      <c r="D443" t="s">
        <v>24</v>
      </c>
      <c r="E443" t="s">
        <v>27</v>
      </c>
    </row>
    <row r="444" spans="1:5" x14ac:dyDescent="0.2">
      <c r="A444" t="s">
        <v>7</v>
      </c>
      <c r="B444" s="6">
        <v>870</v>
      </c>
      <c r="C444" s="1">
        <v>0.76370000000000005</v>
      </c>
      <c r="D444" t="s">
        <v>24</v>
      </c>
      <c r="E444" t="s">
        <v>27</v>
      </c>
    </row>
    <row r="445" spans="1:5" x14ac:dyDescent="0.2">
      <c r="A445" t="s">
        <v>7</v>
      </c>
      <c r="B445" s="6">
        <v>900</v>
      </c>
      <c r="C445" s="1">
        <v>0.78039999999999998</v>
      </c>
      <c r="D445" t="s">
        <v>24</v>
      </c>
      <c r="E445" t="s">
        <v>27</v>
      </c>
    </row>
    <row r="446" spans="1:5" x14ac:dyDescent="0.2">
      <c r="A446" t="s">
        <v>7</v>
      </c>
      <c r="B446" s="6">
        <v>930</v>
      </c>
      <c r="C446" s="1">
        <v>0.77359999999999995</v>
      </c>
      <c r="D446" t="s">
        <v>24</v>
      </c>
      <c r="E446" t="s">
        <v>27</v>
      </c>
    </row>
    <row r="447" spans="1:5" x14ac:dyDescent="0.2">
      <c r="A447" t="s">
        <v>7</v>
      </c>
      <c r="B447" s="6">
        <v>960</v>
      </c>
      <c r="C447" s="1">
        <v>0.79020000000000001</v>
      </c>
      <c r="D447" t="s">
        <v>24</v>
      </c>
      <c r="E447" t="s">
        <v>27</v>
      </c>
    </row>
    <row r="448" spans="1:5" x14ac:dyDescent="0.2">
      <c r="A448" t="s">
        <v>7</v>
      </c>
      <c r="B448" s="6">
        <v>990</v>
      </c>
      <c r="C448" s="1">
        <v>0.81379999999999997</v>
      </c>
      <c r="D448" t="s">
        <v>24</v>
      </c>
      <c r="E448" t="s">
        <v>27</v>
      </c>
    </row>
    <row r="449" spans="1:5" x14ac:dyDescent="0.2">
      <c r="A449" t="s">
        <v>7</v>
      </c>
      <c r="B449" s="6">
        <v>1020</v>
      </c>
      <c r="C449" s="1">
        <v>0.81850000000000001</v>
      </c>
      <c r="D449" t="s">
        <v>24</v>
      </c>
      <c r="E449" t="s">
        <v>27</v>
      </c>
    </row>
    <row r="450" spans="1:5" x14ac:dyDescent="0.2">
      <c r="A450" t="s">
        <v>7</v>
      </c>
      <c r="B450" s="6">
        <v>1050</v>
      </c>
      <c r="C450" s="1">
        <v>0.82579999999999998</v>
      </c>
      <c r="D450" t="s">
        <v>24</v>
      </c>
      <c r="E450" t="s">
        <v>27</v>
      </c>
    </row>
    <row r="451" spans="1:5" x14ac:dyDescent="0.2">
      <c r="A451" t="s">
        <v>7</v>
      </c>
      <c r="B451" s="6">
        <v>1080</v>
      </c>
      <c r="C451" s="1">
        <v>0.82879999999999998</v>
      </c>
      <c r="D451" t="s">
        <v>24</v>
      </c>
      <c r="E451" t="s">
        <v>27</v>
      </c>
    </row>
    <row r="452" spans="1:5" x14ac:dyDescent="0.2">
      <c r="A452" t="s">
        <v>7</v>
      </c>
      <c r="B452" s="6">
        <v>1110</v>
      </c>
      <c r="C452" s="1">
        <v>0.83579999999999999</v>
      </c>
      <c r="D452" t="s">
        <v>24</v>
      </c>
      <c r="E452" t="s">
        <v>27</v>
      </c>
    </row>
    <row r="453" spans="1:5" x14ac:dyDescent="0.2">
      <c r="A453" t="s">
        <v>8</v>
      </c>
      <c r="B453" s="6">
        <v>0</v>
      </c>
      <c r="C453" s="1">
        <v>0.70399999999999996</v>
      </c>
      <c r="D453" t="s">
        <v>24</v>
      </c>
      <c r="E453" t="s">
        <v>27</v>
      </c>
    </row>
    <row r="454" spans="1:5" x14ac:dyDescent="0.2">
      <c r="A454" t="s">
        <v>8</v>
      </c>
      <c r="B454" s="6">
        <v>30</v>
      </c>
      <c r="C454" s="1">
        <v>0.7147</v>
      </c>
      <c r="D454" t="s">
        <v>24</v>
      </c>
      <c r="E454" t="s">
        <v>27</v>
      </c>
    </row>
    <row r="455" spans="1:5" x14ac:dyDescent="0.2">
      <c r="A455" t="s">
        <v>8</v>
      </c>
      <c r="B455" s="6">
        <v>60</v>
      </c>
      <c r="C455" s="1">
        <v>0.69620000000000004</v>
      </c>
      <c r="D455" t="s">
        <v>24</v>
      </c>
      <c r="E455" t="s">
        <v>27</v>
      </c>
    </row>
    <row r="456" spans="1:5" x14ac:dyDescent="0.2">
      <c r="A456" t="s">
        <v>8</v>
      </c>
      <c r="B456" s="6">
        <v>70</v>
      </c>
      <c r="C456" s="1">
        <v>0.71530000000000005</v>
      </c>
      <c r="D456" t="s">
        <v>24</v>
      </c>
      <c r="E456" t="s">
        <v>27</v>
      </c>
    </row>
    <row r="457" spans="1:5" x14ac:dyDescent="0.2">
      <c r="A457" t="s">
        <v>8</v>
      </c>
      <c r="B457" s="6">
        <v>100</v>
      </c>
      <c r="C457" s="1">
        <v>0.70779999999999998</v>
      </c>
      <c r="D457" t="s">
        <v>24</v>
      </c>
      <c r="E457" t="s">
        <v>27</v>
      </c>
    </row>
    <row r="458" spans="1:5" x14ac:dyDescent="0.2">
      <c r="A458" t="s">
        <v>8</v>
      </c>
      <c r="B458" s="6">
        <v>130</v>
      </c>
      <c r="C458" s="1">
        <v>0.69189999999999996</v>
      </c>
      <c r="D458" t="s">
        <v>24</v>
      </c>
      <c r="E458" t="s">
        <v>27</v>
      </c>
    </row>
    <row r="459" spans="1:5" x14ac:dyDescent="0.2">
      <c r="A459" t="s">
        <v>8</v>
      </c>
      <c r="B459" s="6">
        <v>160</v>
      </c>
      <c r="C459" s="1">
        <v>0.69079999999999997</v>
      </c>
      <c r="D459" t="s">
        <v>24</v>
      </c>
      <c r="E459" t="s">
        <v>27</v>
      </c>
    </row>
    <row r="460" spans="1:5" x14ac:dyDescent="0.2">
      <c r="A460" t="s">
        <v>8</v>
      </c>
      <c r="B460" s="6">
        <v>190</v>
      </c>
      <c r="C460" s="1">
        <v>0.7016</v>
      </c>
      <c r="D460" t="s">
        <v>24</v>
      </c>
      <c r="E460" t="s">
        <v>27</v>
      </c>
    </row>
    <row r="461" spans="1:5" x14ac:dyDescent="0.2">
      <c r="A461" t="s">
        <v>8</v>
      </c>
      <c r="B461" s="6">
        <v>200</v>
      </c>
      <c r="C461" s="1">
        <v>0.68930000000000002</v>
      </c>
      <c r="D461" t="s">
        <v>24</v>
      </c>
      <c r="E461" t="s">
        <v>27</v>
      </c>
    </row>
    <row r="462" spans="1:5" x14ac:dyDescent="0.2">
      <c r="A462" t="s">
        <v>8</v>
      </c>
      <c r="B462" s="6">
        <v>230</v>
      </c>
      <c r="C462" s="1">
        <v>0.71779999999999999</v>
      </c>
      <c r="D462" t="s">
        <v>24</v>
      </c>
      <c r="E462" t="s">
        <v>27</v>
      </c>
    </row>
    <row r="463" spans="1:5" x14ac:dyDescent="0.2">
      <c r="A463" t="s">
        <v>8</v>
      </c>
      <c r="B463" s="6">
        <v>240</v>
      </c>
      <c r="C463" s="1">
        <v>0.69210000000000005</v>
      </c>
      <c r="D463" t="s">
        <v>24</v>
      </c>
      <c r="E463" t="s">
        <v>27</v>
      </c>
    </row>
    <row r="464" spans="1:5" x14ac:dyDescent="0.2">
      <c r="A464" t="s">
        <v>8</v>
      </c>
      <c r="B464" s="6">
        <v>240</v>
      </c>
      <c r="C464" s="1">
        <v>0.71760000000000002</v>
      </c>
      <c r="D464" t="s">
        <v>24</v>
      </c>
      <c r="E464" t="s">
        <v>27</v>
      </c>
    </row>
    <row r="465" spans="1:5" x14ac:dyDescent="0.2">
      <c r="A465" t="s">
        <v>8</v>
      </c>
      <c r="B465" s="6">
        <v>270</v>
      </c>
      <c r="C465" s="1">
        <v>0.70960000000000001</v>
      </c>
      <c r="D465" t="s">
        <v>24</v>
      </c>
      <c r="E465" t="s">
        <v>27</v>
      </c>
    </row>
    <row r="466" spans="1:5" x14ac:dyDescent="0.2">
      <c r="A466" t="s">
        <v>8</v>
      </c>
      <c r="B466" s="6">
        <v>300</v>
      </c>
      <c r="C466" s="1">
        <v>0.71030000000000004</v>
      </c>
      <c r="D466" t="s">
        <v>24</v>
      </c>
      <c r="E466" t="s">
        <v>27</v>
      </c>
    </row>
    <row r="467" spans="1:5" x14ac:dyDescent="0.2">
      <c r="A467" t="s">
        <v>8</v>
      </c>
      <c r="B467" s="6">
        <v>330</v>
      </c>
      <c r="C467" s="1">
        <v>0.71630000000000005</v>
      </c>
      <c r="D467" t="s">
        <v>24</v>
      </c>
      <c r="E467" t="s">
        <v>27</v>
      </c>
    </row>
    <row r="468" spans="1:5" x14ac:dyDescent="0.2">
      <c r="A468" t="s">
        <v>8</v>
      </c>
      <c r="B468" s="6">
        <v>360</v>
      </c>
      <c r="C468" s="1">
        <v>0.72030000000000005</v>
      </c>
      <c r="D468" t="s">
        <v>24</v>
      </c>
      <c r="E468" t="s">
        <v>27</v>
      </c>
    </row>
    <row r="469" spans="1:5" x14ac:dyDescent="0.2">
      <c r="A469" t="s">
        <v>8</v>
      </c>
      <c r="B469" s="6">
        <v>390</v>
      </c>
      <c r="C469" s="1">
        <v>0.70830000000000004</v>
      </c>
      <c r="D469" t="s">
        <v>24</v>
      </c>
      <c r="E469" t="s">
        <v>27</v>
      </c>
    </row>
    <row r="470" spans="1:5" x14ac:dyDescent="0.2">
      <c r="A470" t="s">
        <v>8</v>
      </c>
      <c r="B470" s="6">
        <v>420</v>
      </c>
      <c r="C470" s="1">
        <v>0.70540000000000003</v>
      </c>
      <c r="D470" t="s">
        <v>24</v>
      </c>
      <c r="E470" t="s">
        <v>27</v>
      </c>
    </row>
    <row r="471" spans="1:5" x14ac:dyDescent="0.2">
      <c r="A471" t="s">
        <v>8</v>
      </c>
      <c r="B471" s="6">
        <v>450</v>
      </c>
      <c r="C471" s="1">
        <v>0.72589999999999999</v>
      </c>
      <c r="D471" t="s">
        <v>24</v>
      </c>
      <c r="E471" t="s">
        <v>27</v>
      </c>
    </row>
    <row r="472" spans="1:5" x14ac:dyDescent="0.2">
      <c r="A472" t="s">
        <v>8</v>
      </c>
      <c r="B472" s="6">
        <v>480</v>
      </c>
      <c r="C472" s="1">
        <v>0.72509999999999997</v>
      </c>
      <c r="D472" t="s">
        <v>24</v>
      </c>
      <c r="E472" t="s">
        <v>27</v>
      </c>
    </row>
    <row r="473" spans="1:5" x14ac:dyDescent="0.2">
      <c r="A473" t="s">
        <v>8</v>
      </c>
      <c r="B473" s="6">
        <v>510</v>
      </c>
      <c r="C473" s="1">
        <v>0.72399999999999998</v>
      </c>
      <c r="D473" t="s">
        <v>24</v>
      </c>
      <c r="E473" t="s">
        <v>27</v>
      </c>
    </row>
    <row r="474" spans="1:5" x14ac:dyDescent="0.2">
      <c r="A474" t="s">
        <v>8</v>
      </c>
      <c r="B474" s="6">
        <v>540</v>
      </c>
      <c r="C474" s="1">
        <v>0.72909999999999997</v>
      </c>
      <c r="D474" t="s">
        <v>24</v>
      </c>
      <c r="E474" t="s">
        <v>27</v>
      </c>
    </row>
    <row r="475" spans="1:5" x14ac:dyDescent="0.2">
      <c r="A475" t="s">
        <v>8</v>
      </c>
      <c r="B475" s="6">
        <v>570</v>
      </c>
      <c r="C475" s="1">
        <v>0.72219999999999995</v>
      </c>
      <c r="D475" t="s">
        <v>24</v>
      </c>
      <c r="E475" t="s">
        <v>27</v>
      </c>
    </row>
    <row r="476" spans="1:5" x14ac:dyDescent="0.2">
      <c r="A476" t="s">
        <v>8</v>
      </c>
      <c r="B476" s="6">
        <v>600</v>
      </c>
      <c r="C476" s="1">
        <v>0.73329999999999995</v>
      </c>
      <c r="D476" t="s">
        <v>24</v>
      </c>
      <c r="E476" t="s">
        <v>27</v>
      </c>
    </row>
    <row r="477" spans="1:5" x14ac:dyDescent="0.2">
      <c r="A477" t="s">
        <v>8</v>
      </c>
      <c r="B477" s="6">
        <v>630</v>
      </c>
      <c r="C477" s="1">
        <v>0.73560000000000003</v>
      </c>
      <c r="D477" t="s">
        <v>24</v>
      </c>
      <c r="E477" t="s">
        <v>27</v>
      </c>
    </row>
    <row r="478" spans="1:5" x14ac:dyDescent="0.2">
      <c r="A478" t="s">
        <v>8</v>
      </c>
      <c r="B478" s="6">
        <v>660</v>
      </c>
      <c r="C478" s="1">
        <v>0.73070000000000002</v>
      </c>
      <c r="D478" t="s">
        <v>24</v>
      </c>
      <c r="E478" t="s">
        <v>27</v>
      </c>
    </row>
    <row r="479" spans="1:5" x14ac:dyDescent="0.2">
      <c r="A479" t="s">
        <v>8</v>
      </c>
      <c r="B479" s="6">
        <v>690</v>
      </c>
      <c r="C479" s="1">
        <v>0.71899999999999997</v>
      </c>
      <c r="D479" t="s">
        <v>24</v>
      </c>
      <c r="E479" t="s">
        <v>27</v>
      </c>
    </row>
    <row r="480" spans="1:5" x14ac:dyDescent="0.2">
      <c r="A480" t="s">
        <v>8</v>
      </c>
      <c r="B480" s="6">
        <v>720</v>
      </c>
      <c r="C480" s="1">
        <v>0.71879999999999999</v>
      </c>
      <c r="D480" t="s">
        <v>24</v>
      </c>
      <c r="E480" t="s">
        <v>27</v>
      </c>
    </row>
    <row r="481" spans="1:5" x14ac:dyDescent="0.2">
      <c r="A481" t="s">
        <v>8</v>
      </c>
      <c r="B481" s="6">
        <v>750</v>
      </c>
      <c r="C481" s="1">
        <v>0.71709999999999996</v>
      </c>
      <c r="D481" t="s">
        <v>24</v>
      </c>
      <c r="E481" t="s">
        <v>27</v>
      </c>
    </row>
    <row r="482" spans="1:5" x14ac:dyDescent="0.2">
      <c r="A482" t="s">
        <v>8</v>
      </c>
      <c r="B482" s="6">
        <v>780</v>
      </c>
      <c r="C482" s="1">
        <v>0.7097</v>
      </c>
      <c r="D482" t="s">
        <v>24</v>
      </c>
      <c r="E482" t="s">
        <v>27</v>
      </c>
    </row>
    <row r="483" spans="1:5" x14ac:dyDescent="0.2">
      <c r="A483" t="s">
        <v>8</v>
      </c>
      <c r="B483" s="6">
        <v>810</v>
      </c>
      <c r="C483" s="1">
        <v>0.71989999999999998</v>
      </c>
      <c r="D483" t="s">
        <v>24</v>
      </c>
      <c r="E483" t="s">
        <v>27</v>
      </c>
    </row>
    <row r="484" spans="1:5" x14ac:dyDescent="0.2">
      <c r="A484" t="s">
        <v>8</v>
      </c>
      <c r="B484" s="6">
        <v>840</v>
      </c>
      <c r="C484" s="1">
        <v>0.70120000000000005</v>
      </c>
      <c r="D484" t="s">
        <v>24</v>
      </c>
      <c r="E484" t="s">
        <v>27</v>
      </c>
    </row>
    <row r="485" spans="1:5" x14ac:dyDescent="0.2">
      <c r="A485" t="s">
        <v>8</v>
      </c>
      <c r="B485" s="6">
        <v>870</v>
      </c>
      <c r="C485" s="1">
        <v>0.69220000000000004</v>
      </c>
      <c r="D485" t="s">
        <v>24</v>
      </c>
      <c r="E485" t="s">
        <v>27</v>
      </c>
    </row>
    <row r="486" spans="1:5" x14ac:dyDescent="0.2">
      <c r="A486" t="s">
        <v>8</v>
      </c>
      <c r="B486" s="6">
        <v>900</v>
      </c>
      <c r="C486" s="1">
        <v>0.72409999999999997</v>
      </c>
      <c r="D486" t="s">
        <v>24</v>
      </c>
      <c r="E486" t="s">
        <v>27</v>
      </c>
    </row>
    <row r="487" spans="1:5" x14ac:dyDescent="0.2">
      <c r="A487" t="s">
        <v>8</v>
      </c>
      <c r="B487" s="6">
        <v>930</v>
      </c>
      <c r="C487" s="1">
        <v>0.69389999999999996</v>
      </c>
      <c r="D487" t="s">
        <v>24</v>
      </c>
      <c r="E487" t="s">
        <v>27</v>
      </c>
    </row>
    <row r="488" spans="1:5" x14ac:dyDescent="0.2">
      <c r="A488" t="s">
        <v>8</v>
      </c>
      <c r="B488" s="6">
        <v>960</v>
      </c>
      <c r="C488" s="1">
        <v>0.69269999999999998</v>
      </c>
      <c r="D488" t="s">
        <v>24</v>
      </c>
      <c r="E488" t="s">
        <v>27</v>
      </c>
    </row>
    <row r="489" spans="1:5" x14ac:dyDescent="0.2">
      <c r="A489" t="s">
        <v>8</v>
      </c>
      <c r="B489" s="6">
        <v>990</v>
      </c>
      <c r="C489" s="1">
        <v>0.70069999999999999</v>
      </c>
      <c r="D489" t="s">
        <v>24</v>
      </c>
      <c r="E489" t="s">
        <v>27</v>
      </c>
    </row>
    <row r="490" spans="1:5" x14ac:dyDescent="0.2">
      <c r="A490" t="s">
        <v>8</v>
      </c>
      <c r="B490" s="6">
        <v>1020</v>
      </c>
      <c r="C490" s="1">
        <v>0.72670000000000001</v>
      </c>
      <c r="D490" t="s">
        <v>24</v>
      </c>
      <c r="E490" t="s">
        <v>27</v>
      </c>
    </row>
    <row r="491" spans="1:5" x14ac:dyDescent="0.2">
      <c r="A491" t="s">
        <v>8</v>
      </c>
      <c r="B491" s="6">
        <v>1050</v>
      </c>
      <c r="C491" s="1">
        <v>0.76219999999999999</v>
      </c>
      <c r="D491" t="s">
        <v>24</v>
      </c>
      <c r="E491" t="s">
        <v>27</v>
      </c>
    </row>
    <row r="492" spans="1:5" x14ac:dyDescent="0.2">
      <c r="A492" t="s">
        <v>8</v>
      </c>
      <c r="B492" s="6">
        <v>1080</v>
      </c>
      <c r="C492" s="1">
        <v>0.80310000000000004</v>
      </c>
      <c r="D492" t="s">
        <v>24</v>
      </c>
      <c r="E492" t="s">
        <v>27</v>
      </c>
    </row>
    <row r="493" spans="1:5" x14ac:dyDescent="0.2">
      <c r="A493" t="s">
        <v>8</v>
      </c>
      <c r="B493" s="6">
        <v>1110</v>
      </c>
      <c r="C493" s="1">
        <v>0.84350000000000003</v>
      </c>
      <c r="D493" t="s">
        <v>24</v>
      </c>
      <c r="E49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sheetPr codeName="Sheet4" filterMode="1"/>
  <dimension ref="A1:O52"/>
  <sheetViews>
    <sheetView zoomScale="75" zoomScaleNormal="125" workbookViewId="0">
      <selection sqref="A1:O2"/>
    </sheetView>
  </sheetViews>
  <sheetFormatPr baseColWidth="10" defaultRowHeight="16" x14ac:dyDescent="0.2"/>
  <cols>
    <col min="1" max="1" width="21.1640625" customWidth="1"/>
    <col min="2" max="2" width="9.33203125" customWidth="1"/>
    <col min="3" max="3" width="15.33203125" customWidth="1"/>
  </cols>
  <sheetData>
    <row r="1" spans="1:15" s="3" customFormat="1" ht="21" x14ac:dyDescent="0.25">
      <c r="A1" s="4" t="s">
        <v>15</v>
      </c>
      <c r="B1" s="14" t="s">
        <v>2</v>
      </c>
      <c r="C1" s="14"/>
      <c r="D1" s="14" t="s">
        <v>0</v>
      </c>
      <c r="E1" s="14"/>
      <c r="F1" s="14"/>
      <c r="G1" s="14"/>
      <c r="H1" s="14"/>
      <c r="I1" s="14"/>
      <c r="J1" s="14" t="s">
        <v>1</v>
      </c>
      <c r="K1" s="14"/>
      <c r="L1" s="14"/>
      <c r="M1" s="14"/>
      <c r="N1" s="14"/>
      <c r="O1" s="14"/>
    </row>
    <row r="2" spans="1:15" s="2" customFormat="1" x14ac:dyDescent="0.2">
      <c r="A2" s="2" t="s">
        <v>15</v>
      </c>
      <c r="B2" s="2" t="s">
        <v>17</v>
      </c>
      <c r="C2" s="2" t="s">
        <v>16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x14ac:dyDescent="0.2">
      <c r="A3" s="5">
        <v>46036.551087962966</v>
      </c>
      <c r="B3" s="5"/>
      <c r="C3" s="6">
        <v>0</v>
      </c>
      <c r="D3" s="1">
        <v>0.33729999999999999</v>
      </c>
      <c r="E3" s="1">
        <v>0.34439999999999998</v>
      </c>
      <c r="F3" s="1">
        <v>0.37119999999999997</v>
      </c>
      <c r="G3" s="1">
        <v>0.36</v>
      </c>
      <c r="H3" s="1">
        <v>0.37219999999999998</v>
      </c>
      <c r="I3" s="1">
        <v>0.24390000000000001</v>
      </c>
      <c r="J3" s="1">
        <v>1.0121</v>
      </c>
      <c r="K3" s="1">
        <v>0.99919999999999998</v>
      </c>
      <c r="L3" s="1">
        <v>1.0079</v>
      </c>
      <c r="M3" s="1">
        <v>0.68340000000000001</v>
      </c>
      <c r="N3" s="1">
        <v>0.58120000000000005</v>
      </c>
      <c r="O3" s="1">
        <v>0.70399999999999996</v>
      </c>
    </row>
    <row r="4" spans="1:15" x14ac:dyDescent="0.2">
      <c r="C4" s="6">
        <v>30</v>
      </c>
      <c r="D4" s="1">
        <v>0.34920000000000001</v>
      </c>
      <c r="E4" s="1">
        <v>0.36109999999999998</v>
      </c>
      <c r="F4" s="1">
        <v>0.38769999999999999</v>
      </c>
      <c r="G4" s="1">
        <v>0.3614</v>
      </c>
      <c r="H4" s="1">
        <v>0.36570000000000003</v>
      </c>
      <c r="I4" s="1">
        <v>0.26669999999999999</v>
      </c>
      <c r="J4" s="1">
        <v>1.0181</v>
      </c>
      <c r="K4" s="1">
        <v>0.99219999999999997</v>
      </c>
      <c r="L4" s="1">
        <v>0.998</v>
      </c>
      <c r="M4" s="1">
        <v>0.69610000000000005</v>
      </c>
      <c r="N4" s="1">
        <v>0.61699999999999999</v>
      </c>
      <c r="O4" s="1">
        <v>0.7147</v>
      </c>
    </row>
    <row r="5" spans="1:15" x14ac:dyDescent="0.2">
      <c r="C5" s="6">
        <v>60</v>
      </c>
      <c r="D5" s="1">
        <v>0.36130000000000001</v>
      </c>
      <c r="E5" s="1">
        <v>0.36599999999999999</v>
      </c>
      <c r="F5" s="1">
        <v>0.39889999999999998</v>
      </c>
      <c r="G5" s="1">
        <v>0.35049999999999998</v>
      </c>
      <c r="H5" s="1">
        <v>0.35549999999999998</v>
      </c>
      <c r="I5" s="1">
        <v>0.27429999999999999</v>
      </c>
      <c r="J5" s="1">
        <v>1.0371999999999999</v>
      </c>
      <c r="K5" s="1">
        <v>1.0118</v>
      </c>
      <c r="L5" s="1">
        <v>1.0103</v>
      </c>
      <c r="M5" s="1">
        <v>0.67200000000000004</v>
      </c>
      <c r="N5" s="1">
        <v>0.61080000000000001</v>
      </c>
      <c r="O5" s="1">
        <v>0.69620000000000004</v>
      </c>
    </row>
    <row r="6" spans="1:15" hidden="1" x14ac:dyDescent="0.2"/>
    <row r="7" spans="1:15" x14ac:dyDescent="0.2">
      <c r="A7" s="5">
        <v>46036.601840277777</v>
      </c>
      <c r="C7" s="6">
        <f>C5+10</f>
        <v>70</v>
      </c>
      <c r="D7" s="1">
        <v>0.36720000000000003</v>
      </c>
      <c r="E7" s="1">
        <v>0.3962</v>
      </c>
      <c r="F7" s="1">
        <v>0.44140000000000001</v>
      </c>
      <c r="G7" s="1">
        <v>0.376</v>
      </c>
      <c r="H7" s="1">
        <v>0.39079999999999998</v>
      </c>
      <c r="I7" s="1">
        <v>0.2959</v>
      </c>
      <c r="J7" s="1">
        <v>1.0407999999999999</v>
      </c>
      <c r="K7" s="1">
        <v>1.0450999999999999</v>
      </c>
      <c r="L7" s="1">
        <v>1.0442</v>
      </c>
      <c r="M7" s="1">
        <v>0.71009999999999995</v>
      </c>
      <c r="N7" s="1">
        <v>0.66010000000000002</v>
      </c>
      <c r="O7" s="1">
        <v>0.71530000000000005</v>
      </c>
    </row>
    <row r="8" spans="1:15" x14ac:dyDescent="0.2">
      <c r="C8" s="6">
        <f>C7+30</f>
        <v>100</v>
      </c>
      <c r="D8" s="1">
        <v>0.38080000000000003</v>
      </c>
      <c r="E8" s="1">
        <v>0.37980000000000003</v>
      </c>
      <c r="F8" s="1">
        <v>0.41649999999999998</v>
      </c>
      <c r="G8" s="1">
        <v>0.35439999999999999</v>
      </c>
      <c r="H8" s="1">
        <v>0.36470000000000002</v>
      </c>
      <c r="I8" s="1">
        <v>0.28389999999999999</v>
      </c>
      <c r="J8" s="1">
        <v>1.0576000000000001</v>
      </c>
      <c r="K8" s="1">
        <v>1.0315000000000001</v>
      </c>
      <c r="L8" s="1">
        <v>1.0264</v>
      </c>
      <c r="M8" s="1">
        <v>0.67559999999999998</v>
      </c>
      <c r="N8" s="1">
        <v>0.63070000000000004</v>
      </c>
      <c r="O8" s="1">
        <v>0.70779999999999998</v>
      </c>
    </row>
    <row r="9" spans="1:15" x14ac:dyDescent="0.2">
      <c r="C9" s="6">
        <f t="shared" ref="C9:C11" si="0">C8+30</f>
        <v>130</v>
      </c>
      <c r="D9" s="1">
        <v>0.39179999999999998</v>
      </c>
      <c r="E9" s="1">
        <v>0.38819999999999999</v>
      </c>
      <c r="F9" s="1">
        <v>0.43230000000000002</v>
      </c>
      <c r="G9" s="1">
        <v>0.3463</v>
      </c>
      <c r="H9" s="1">
        <v>0.3594</v>
      </c>
      <c r="I9" s="1">
        <v>0.28710000000000002</v>
      </c>
      <c r="J9" s="1">
        <v>1.0713999999999999</v>
      </c>
      <c r="K9" s="1">
        <v>1.046</v>
      </c>
      <c r="L9" s="1">
        <v>1.0392999999999999</v>
      </c>
      <c r="M9" s="1">
        <v>0.67700000000000005</v>
      </c>
      <c r="N9" s="1">
        <v>0.63460000000000005</v>
      </c>
      <c r="O9" s="1">
        <v>0.69189999999999996</v>
      </c>
    </row>
    <row r="10" spans="1:15" x14ac:dyDescent="0.2">
      <c r="C10" s="6">
        <f t="shared" si="0"/>
        <v>160</v>
      </c>
      <c r="D10" s="1">
        <v>0.40660000000000002</v>
      </c>
      <c r="E10" s="1">
        <v>0.39600000000000002</v>
      </c>
      <c r="F10" s="1">
        <v>0.44700000000000001</v>
      </c>
      <c r="G10" s="1">
        <v>0.35110000000000002</v>
      </c>
      <c r="H10" s="1">
        <v>0.36299999999999999</v>
      </c>
      <c r="I10" s="1">
        <v>0.29499999999999998</v>
      </c>
      <c r="J10" s="1">
        <v>1.0871</v>
      </c>
      <c r="K10" s="1">
        <v>1.0612999999999999</v>
      </c>
      <c r="L10" s="1">
        <v>1.0518000000000001</v>
      </c>
      <c r="M10" s="1">
        <v>0.68069999999999997</v>
      </c>
      <c r="N10" s="1">
        <v>0.64190000000000003</v>
      </c>
      <c r="O10" s="1">
        <v>0.69079999999999997</v>
      </c>
    </row>
    <row r="11" spans="1:15" x14ac:dyDescent="0.2">
      <c r="C11" s="6">
        <f t="shared" si="0"/>
        <v>190</v>
      </c>
      <c r="D11" s="1">
        <v>0.41570000000000001</v>
      </c>
      <c r="E11" s="1">
        <v>0.4032</v>
      </c>
      <c r="F11" s="1">
        <v>0.46510000000000001</v>
      </c>
      <c r="G11" s="1">
        <v>0.35820000000000002</v>
      </c>
      <c r="H11" s="1">
        <v>0.36990000000000001</v>
      </c>
      <c r="I11" s="1">
        <v>0.29530000000000001</v>
      </c>
      <c r="J11" s="1">
        <v>1.1044</v>
      </c>
      <c r="K11" s="1">
        <v>1.0734999999999999</v>
      </c>
      <c r="L11" s="1">
        <v>1.0669999999999999</v>
      </c>
      <c r="M11" s="1">
        <v>0.68340000000000001</v>
      </c>
      <c r="N11" s="1">
        <v>0.6522</v>
      </c>
      <c r="O11" s="1">
        <v>0.7016</v>
      </c>
    </row>
    <row r="12" spans="1:15" hidden="1" x14ac:dyDescent="0.2"/>
    <row r="13" spans="1:15" x14ac:dyDescent="0.2">
      <c r="A13" s="5">
        <v>46036.69902777778</v>
      </c>
      <c r="C13" s="6">
        <f>C11+10</f>
        <v>200</v>
      </c>
      <c r="D13" s="1">
        <v>0.42399999999999999</v>
      </c>
      <c r="E13" s="1">
        <v>0.41839999999999999</v>
      </c>
      <c r="F13" s="1">
        <v>0.48320000000000002</v>
      </c>
      <c r="G13" s="1">
        <v>0.34839999999999999</v>
      </c>
      <c r="H13" s="1">
        <v>0.35980000000000001</v>
      </c>
      <c r="I13" s="1">
        <v>0.2802</v>
      </c>
      <c r="J13" s="1">
        <v>1.1138999999999999</v>
      </c>
      <c r="K13" s="1">
        <v>1.0771999999999999</v>
      </c>
      <c r="L13" s="1">
        <v>1.0784</v>
      </c>
      <c r="M13" s="1">
        <v>0.69040000000000001</v>
      </c>
      <c r="N13" s="1">
        <v>0.65139999999999998</v>
      </c>
      <c r="O13" s="1">
        <v>0.68930000000000002</v>
      </c>
    </row>
    <row r="14" spans="1:15" x14ac:dyDescent="0.2">
      <c r="C14" s="6">
        <f>C13+30</f>
        <v>230</v>
      </c>
      <c r="D14" s="1">
        <v>0.43519999999999998</v>
      </c>
      <c r="E14" s="1">
        <v>0.42359999999999998</v>
      </c>
      <c r="F14" s="1">
        <v>0.49059999999999998</v>
      </c>
      <c r="G14" s="1">
        <v>0.36730000000000002</v>
      </c>
      <c r="H14" s="1">
        <v>0.37459999999999999</v>
      </c>
      <c r="I14" s="1">
        <v>0.29260000000000003</v>
      </c>
      <c r="J14" s="1">
        <v>1.1243000000000001</v>
      </c>
      <c r="K14" s="1">
        <v>1.1011</v>
      </c>
      <c r="L14" s="1">
        <v>1.0911999999999999</v>
      </c>
      <c r="M14" s="1">
        <v>0.70569999999999999</v>
      </c>
      <c r="N14" s="1">
        <v>0.67230000000000001</v>
      </c>
      <c r="O14" s="1">
        <v>0.71779999999999999</v>
      </c>
    </row>
    <row r="15" spans="1:15" hidden="1" x14ac:dyDescent="0.2"/>
    <row r="16" spans="1:15" x14ac:dyDescent="0.2">
      <c r="A16" s="5">
        <v>46036.731481481482</v>
      </c>
      <c r="B16" s="5"/>
      <c r="C16" s="6">
        <v>240</v>
      </c>
      <c r="D16" s="1">
        <v>0.44579999999999997</v>
      </c>
      <c r="E16" s="1">
        <v>0.45390000000000003</v>
      </c>
      <c r="F16" s="1">
        <v>0.53459999999999996</v>
      </c>
      <c r="G16" s="1">
        <v>0.38019999999999998</v>
      </c>
      <c r="H16" s="1">
        <v>0.38290000000000002</v>
      </c>
      <c r="I16" s="1">
        <v>0.2898</v>
      </c>
      <c r="J16" s="1">
        <v>1.1397999999999999</v>
      </c>
      <c r="K16" s="1">
        <v>1.1321000000000001</v>
      </c>
      <c r="L16" s="1">
        <v>1.1006</v>
      </c>
      <c r="M16" s="1">
        <v>0.73680000000000001</v>
      </c>
      <c r="N16" s="1">
        <v>0.67669999999999997</v>
      </c>
      <c r="O16" s="1">
        <v>0.69210000000000005</v>
      </c>
    </row>
    <row r="17" spans="1:15" x14ac:dyDescent="0.2">
      <c r="C17" s="6">
        <v>240</v>
      </c>
      <c r="D17" s="1">
        <v>0.45150000000000001</v>
      </c>
      <c r="E17" s="1">
        <v>0.44019999999999998</v>
      </c>
      <c r="F17" s="1">
        <v>0.51459999999999995</v>
      </c>
      <c r="G17" s="1">
        <v>0.36890000000000001</v>
      </c>
      <c r="H17" s="1">
        <v>0.37480000000000002</v>
      </c>
      <c r="I17" s="1">
        <v>0.29039999999999999</v>
      </c>
      <c r="J17" s="1">
        <v>1.1478999999999999</v>
      </c>
      <c r="K17" s="1">
        <v>1.1224000000000001</v>
      </c>
      <c r="L17" s="1">
        <v>1.1197999999999999</v>
      </c>
      <c r="M17" s="1">
        <v>0.71619999999999995</v>
      </c>
      <c r="N17" s="1">
        <v>0.68500000000000005</v>
      </c>
      <c r="O17" s="1">
        <v>0.71760000000000002</v>
      </c>
    </row>
    <row r="18" spans="1:15" hidden="1" x14ac:dyDescent="0.2">
      <c r="C18" s="6"/>
    </row>
    <row r="19" spans="1:15" x14ac:dyDescent="0.2">
      <c r="A19" s="5">
        <v>46036.771296296298</v>
      </c>
      <c r="B19" s="5"/>
      <c r="C19" s="6">
        <f>C17+30</f>
        <v>270</v>
      </c>
      <c r="D19" s="1">
        <v>0.4703</v>
      </c>
      <c r="E19" s="1">
        <v>0.46850000000000003</v>
      </c>
      <c r="F19" s="1">
        <v>0.55940000000000001</v>
      </c>
      <c r="G19" s="1">
        <v>0.37740000000000001</v>
      </c>
      <c r="H19" s="1">
        <v>0.38019999999999998</v>
      </c>
      <c r="I19" s="1">
        <v>0.29260000000000003</v>
      </c>
      <c r="J19" s="1">
        <v>1.1675</v>
      </c>
      <c r="K19" s="1">
        <v>1.1564000000000001</v>
      </c>
      <c r="L19" s="1">
        <v>1.1297999999999999</v>
      </c>
      <c r="M19" s="1">
        <v>0.74390000000000001</v>
      </c>
      <c r="N19" s="1">
        <v>0.68930000000000002</v>
      </c>
      <c r="O19" s="1">
        <v>0.70960000000000001</v>
      </c>
    </row>
    <row r="20" spans="1:15" x14ac:dyDescent="0.2">
      <c r="C20" s="6">
        <f>C19+30</f>
        <v>300</v>
      </c>
      <c r="D20" s="1">
        <v>0.46920000000000001</v>
      </c>
      <c r="E20" s="1">
        <v>0.45810000000000001</v>
      </c>
      <c r="F20" s="1">
        <v>0.54249999999999998</v>
      </c>
      <c r="G20" s="1">
        <v>0.38059999999999999</v>
      </c>
      <c r="H20" s="1">
        <v>0.37990000000000002</v>
      </c>
      <c r="I20" s="1">
        <v>0.30220000000000002</v>
      </c>
      <c r="J20" s="1">
        <v>1.1717</v>
      </c>
      <c r="K20" s="1">
        <v>1.1447000000000001</v>
      </c>
      <c r="L20" s="1">
        <v>1.1426000000000001</v>
      </c>
      <c r="M20" s="1">
        <v>0.72709999999999997</v>
      </c>
      <c r="N20" s="1">
        <v>0.69640000000000002</v>
      </c>
      <c r="O20" s="1">
        <v>0.71030000000000004</v>
      </c>
    </row>
    <row r="21" spans="1:15" x14ac:dyDescent="0.2">
      <c r="C21" s="6">
        <f t="shared" ref="C21:C22" si="1">C20+30</f>
        <v>330</v>
      </c>
      <c r="D21" s="1">
        <v>0.47860000000000003</v>
      </c>
      <c r="E21" s="1">
        <v>0.46360000000000001</v>
      </c>
      <c r="F21" s="1">
        <v>0.55379999999999996</v>
      </c>
      <c r="G21" s="1">
        <v>0.38009999999999999</v>
      </c>
      <c r="H21" s="1">
        <v>0.37809999999999999</v>
      </c>
      <c r="I21" s="1">
        <v>0.3075</v>
      </c>
      <c r="J21" s="1">
        <v>1.1726000000000001</v>
      </c>
      <c r="K21" s="1">
        <v>1.1573</v>
      </c>
      <c r="L21" s="1">
        <v>1.1578999999999999</v>
      </c>
      <c r="M21" s="1">
        <v>0.73629999999999995</v>
      </c>
      <c r="N21" s="1">
        <v>0.70660000000000001</v>
      </c>
      <c r="O21" s="1">
        <v>0.71630000000000005</v>
      </c>
    </row>
    <row r="22" spans="1:15" x14ac:dyDescent="0.2">
      <c r="C22" s="6">
        <f t="shared" si="1"/>
        <v>360</v>
      </c>
      <c r="D22" s="1">
        <v>0.48649999999999999</v>
      </c>
      <c r="E22" s="1">
        <v>0.47010000000000002</v>
      </c>
      <c r="F22" s="1">
        <v>0.56530000000000002</v>
      </c>
      <c r="G22" s="1">
        <v>0.38329999999999997</v>
      </c>
      <c r="H22" s="1">
        <v>0.37919999999999998</v>
      </c>
      <c r="I22" s="1">
        <v>0.30609999999999998</v>
      </c>
      <c r="J22" s="1">
        <v>1.1859</v>
      </c>
      <c r="K22" s="1">
        <v>1.1648000000000001</v>
      </c>
      <c r="L22" s="1">
        <v>1.1712</v>
      </c>
      <c r="M22" s="1">
        <v>0.7429</v>
      </c>
      <c r="N22" s="1">
        <v>0.70630000000000004</v>
      </c>
      <c r="O22" s="1">
        <v>0.72030000000000005</v>
      </c>
    </row>
    <row r="23" spans="1:15" hidden="1" x14ac:dyDescent="0.2">
      <c r="C23" s="6"/>
    </row>
    <row r="24" spans="1:15" x14ac:dyDescent="0.2">
      <c r="A24" s="5">
        <v>46036.842407407406</v>
      </c>
      <c r="B24" s="5"/>
      <c r="C24" s="6">
        <f>C22+30</f>
        <v>390</v>
      </c>
      <c r="D24" s="1">
        <v>0.49990000000000001</v>
      </c>
      <c r="E24" s="1">
        <v>0.4829</v>
      </c>
      <c r="F24" s="1">
        <v>0.5877</v>
      </c>
      <c r="G24" s="1">
        <v>0.38819999999999999</v>
      </c>
      <c r="H24" s="1">
        <v>0.38080000000000003</v>
      </c>
      <c r="I24" s="1">
        <v>0.31359999999999999</v>
      </c>
      <c r="J24" s="1">
        <v>1.1946000000000001</v>
      </c>
      <c r="K24" s="1">
        <v>1.1813</v>
      </c>
      <c r="L24" s="1">
        <v>1.1724000000000001</v>
      </c>
      <c r="M24" s="1">
        <v>0.76680000000000004</v>
      </c>
      <c r="N24" s="1">
        <v>0.70640000000000003</v>
      </c>
      <c r="O24" s="1">
        <v>0.70830000000000004</v>
      </c>
    </row>
    <row r="25" spans="1:15" hidden="1" x14ac:dyDescent="0.2">
      <c r="C25" s="6"/>
    </row>
    <row r="26" spans="1:15" x14ac:dyDescent="0.2">
      <c r="A26" s="5">
        <v>46036.851481481484</v>
      </c>
      <c r="B26" s="5"/>
      <c r="C26" s="6">
        <f>C24+30</f>
        <v>420</v>
      </c>
      <c r="D26" s="1">
        <v>0.50349999999999995</v>
      </c>
      <c r="E26" s="1">
        <v>0.49619999999999997</v>
      </c>
      <c r="F26" s="1">
        <v>0.59099999999999997</v>
      </c>
      <c r="G26" s="1">
        <v>0.38319999999999999</v>
      </c>
      <c r="H26" s="1">
        <v>0.37509999999999999</v>
      </c>
      <c r="I26" s="1">
        <v>0.29649999999999999</v>
      </c>
      <c r="J26" s="1">
        <v>1.1959</v>
      </c>
      <c r="K26" s="1">
        <v>1.1839</v>
      </c>
      <c r="L26" s="1">
        <v>1.1769000000000001</v>
      </c>
      <c r="M26" s="1">
        <v>0.76080000000000003</v>
      </c>
      <c r="N26" s="1">
        <v>0.69330000000000003</v>
      </c>
      <c r="O26" s="1">
        <v>0.70540000000000003</v>
      </c>
    </row>
    <row r="27" spans="1:15" x14ac:dyDescent="0.2">
      <c r="C27" s="6">
        <f>C26+30</f>
        <v>450</v>
      </c>
      <c r="D27" s="1">
        <v>0.50770000000000004</v>
      </c>
      <c r="E27" s="1">
        <v>0.50090000000000001</v>
      </c>
      <c r="F27" s="1">
        <v>0.58989999999999998</v>
      </c>
      <c r="G27" s="1">
        <v>0.38840000000000002</v>
      </c>
      <c r="H27" s="1">
        <v>0.37959999999999999</v>
      </c>
      <c r="I27" s="1">
        <v>0.31319999999999998</v>
      </c>
      <c r="J27" s="1">
        <v>1.1972</v>
      </c>
      <c r="K27" s="1">
        <v>1.1798</v>
      </c>
      <c r="L27" s="1">
        <v>1.1867000000000001</v>
      </c>
      <c r="M27" s="1">
        <v>0.75939999999999996</v>
      </c>
      <c r="N27" s="1">
        <v>0.72409999999999997</v>
      </c>
      <c r="O27" s="1">
        <v>0.72589999999999999</v>
      </c>
    </row>
    <row r="28" spans="1:15" x14ac:dyDescent="0.2">
      <c r="C28" s="6">
        <f>C27+30</f>
        <v>480</v>
      </c>
      <c r="D28" s="1">
        <v>0.51619999999999999</v>
      </c>
      <c r="E28" s="1">
        <v>0.51290000000000002</v>
      </c>
      <c r="F28" s="1">
        <v>0.59960000000000002</v>
      </c>
      <c r="G28" s="1">
        <v>0.3891</v>
      </c>
      <c r="H28" s="1">
        <v>0.38080000000000003</v>
      </c>
      <c r="I28" s="1">
        <v>0.32250000000000001</v>
      </c>
      <c r="J28" s="1">
        <v>1.2023999999999999</v>
      </c>
      <c r="K28" s="1">
        <v>1.1890000000000001</v>
      </c>
      <c r="L28" s="1">
        <v>1.2025999999999999</v>
      </c>
      <c r="M28" s="1">
        <v>0.75829999999999997</v>
      </c>
      <c r="N28" s="1">
        <v>0.7288</v>
      </c>
      <c r="O28" s="1">
        <v>0.72509999999999997</v>
      </c>
    </row>
    <row r="29" spans="1:15" hidden="1" x14ac:dyDescent="0.2">
      <c r="C29" s="6"/>
    </row>
    <row r="30" spans="1:15" x14ac:dyDescent="0.2">
      <c r="A30" s="5">
        <v>46036.901134259257</v>
      </c>
      <c r="B30" s="5"/>
      <c r="C30" s="6">
        <f t="shared" ref="C30" si="2">C28+30</f>
        <v>510</v>
      </c>
      <c r="D30" s="1">
        <v>0.52880000000000005</v>
      </c>
      <c r="E30" s="1">
        <v>0.53990000000000005</v>
      </c>
      <c r="F30" s="1">
        <v>0.63629999999999998</v>
      </c>
      <c r="G30" s="1">
        <v>0.39839999999999998</v>
      </c>
      <c r="H30" s="1">
        <v>0.3821</v>
      </c>
      <c r="I30" s="1">
        <v>0.32300000000000001</v>
      </c>
      <c r="J30" s="1">
        <v>1.214</v>
      </c>
      <c r="K30" s="1">
        <v>1.2197</v>
      </c>
      <c r="L30" s="1">
        <v>1.2114</v>
      </c>
      <c r="M30" s="1">
        <v>0.79549999999999998</v>
      </c>
      <c r="N30" s="1">
        <v>0.72309999999999997</v>
      </c>
      <c r="O30" s="1">
        <v>0.72399999999999998</v>
      </c>
    </row>
    <row r="31" spans="1:15" x14ac:dyDescent="0.2">
      <c r="C31" s="6">
        <f>C30+30</f>
        <v>540</v>
      </c>
      <c r="D31" s="1">
        <v>0.53</v>
      </c>
      <c r="E31" s="1">
        <v>0.52610000000000001</v>
      </c>
      <c r="F31" s="1">
        <v>0.61739999999999995</v>
      </c>
      <c r="G31" s="1">
        <v>0.3871</v>
      </c>
      <c r="H31" s="1">
        <v>0.37209999999999999</v>
      </c>
      <c r="I31" s="1">
        <v>0.3206</v>
      </c>
      <c r="J31" s="1">
        <v>1.2134</v>
      </c>
      <c r="K31" s="1">
        <v>1.1931</v>
      </c>
      <c r="L31" s="1">
        <v>1.2132000000000001</v>
      </c>
      <c r="M31" s="1">
        <v>0.76100000000000001</v>
      </c>
      <c r="N31" s="1">
        <v>0.7198</v>
      </c>
      <c r="O31" s="1">
        <v>0.72909999999999997</v>
      </c>
    </row>
    <row r="32" spans="1:15" x14ac:dyDescent="0.2">
      <c r="C32" s="6">
        <f t="shared" ref="C32:C50" si="3">C31+30</f>
        <v>570</v>
      </c>
      <c r="D32" s="1">
        <v>0.53269999999999995</v>
      </c>
      <c r="E32" s="1">
        <v>0.54649999999999999</v>
      </c>
      <c r="F32" s="1">
        <v>0.62849999999999995</v>
      </c>
      <c r="G32" s="1">
        <v>0.37990000000000002</v>
      </c>
      <c r="H32" s="1">
        <v>0.36530000000000001</v>
      </c>
      <c r="I32" s="1">
        <v>0.32940000000000003</v>
      </c>
      <c r="J32" s="1">
        <v>1.2166999999999999</v>
      </c>
      <c r="K32" s="1">
        <v>1.2003999999999999</v>
      </c>
      <c r="L32" s="1">
        <v>1.2150000000000001</v>
      </c>
      <c r="M32" s="1">
        <v>0.77129999999999999</v>
      </c>
      <c r="N32" s="1">
        <v>0.73560000000000003</v>
      </c>
      <c r="O32" s="1">
        <v>0.72219999999999995</v>
      </c>
    </row>
    <row r="33" spans="3:15" x14ac:dyDescent="0.2">
      <c r="C33" s="6">
        <f t="shared" si="3"/>
        <v>600</v>
      </c>
      <c r="D33" s="1">
        <v>0.54479999999999995</v>
      </c>
      <c r="E33" s="1">
        <v>0.56359999999999999</v>
      </c>
      <c r="F33" s="1">
        <v>0.63639999999999997</v>
      </c>
      <c r="G33" s="1">
        <v>0.37419999999999998</v>
      </c>
      <c r="H33" s="1">
        <v>0.36130000000000001</v>
      </c>
      <c r="I33" s="1">
        <v>0.33189999999999997</v>
      </c>
      <c r="J33" s="1">
        <v>1.2203999999999999</v>
      </c>
      <c r="K33" s="1">
        <v>1.2077</v>
      </c>
      <c r="L33" s="1">
        <v>1.2212000000000001</v>
      </c>
      <c r="M33" s="1">
        <v>0.77090000000000003</v>
      </c>
      <c r="N33" s="1">
        <v>0.74139999999999995</v>
      </c>
      <c r="O33" s="1">
        <v>0.73329999999999995</v>
      </c>
    </row>
    <row r="34" spans="3:15" x14ac:dyDescent="0.2">
      <c r="C34" s="6">
        <f t="shared" si="3"/>
        <v>630</v>
      </c>
      <c r="D34" s="1">
        <v>0.55600000000000005</v>
      </c>
      <c r="E34" s="1">
        <v>0.57740000000000002</v>
      </c>
      <c r="F34" s="1">
        <v>0.64459999999999995</v>
      </c>
      <c r="G34" s="1">
        <v>0.37</v>
      </c>
      <c r="H34" s="1">
        <v>0.36020000000000002</v>
      </c>
      <c r="I34" s="1">
        <v>0.33960000000000001</v>
      </c>
      <c r="J34" s="1">
        <v>1.2276</v>
      </c>
      <c r="K34" s="1">
        <v>1.2095</v>
      </c>
      <c r="L34" s="1">
        <v>1.2351000000000001</v>
      </c>
      <c r="M34" s="1">
        <v>0.77239999999999998</v>
      </c>
      <c r="N34" s="1">
        <v>0.74619999999999997</v>
      </c>
      <c r="O34" s="1">
        <v>0.73560000000000003</v>
      </c>
    </row>
    <row r="35" spans="3:15" x14ac:dyDescent="0.2">
      <c r="C35" s="6">
        <f t="shared" si="3"/>
        <v>660</v>
      </c>
      <c r="D35" s="1">
        <v>0.57320000000000004</v>
      </c>
      <c r="E35" s="1">
        <v>0.59089999999999998</v>
      </c>
      <c r="F35" s="1">
        <v>0.64629999999999999</v>
      </c>
      <c r="G35" s="1">
        <v>0.36480000000000001</v>
      </c>
      <c r="H35" s="1">
        <v>0.35859999999999997</v>
      </c>
      <c r="I35" s="1">
        <v>0.34499999999999997</v>
      </c>
      <c r="J35" s="1">
        <v>1.2329000000000001</v>
      </c>
      <c r="K35" s="1">
        <v>1.2148000000000001</v>
      </c>
      <c r="L35" s="1">
        <v>1.2402</v>
      </c>
      <c r="M35" s="1">
        <v>0.77500000000000002</v>
      </c>
      <c r="N35" s="1">
        <v>0.74509999999999998</v>
      </c>
      <c r="O35" s="1">
        <v>0.73070000000000002</v>
      </c>
    </row>
    <row r="36" spans="3:15" x14ac:dyDescent="0.2">
      <c r="C36" s="6">
        <f t="shared" si="3"/>
        <v>690</v>
      </c>
      <c r="D36" s="1">
        <v>0.59570000000000001</v>
      </c>
      <c r="E36" s="1">
        <v>0.60409999999999997</v>
      </c>
      <c r="F36" s="1">
        <v>0.65810000000000002</v>
      </c>
      <c r="G36" s="1">
        <v>0.35610000000000003</v>
      </c>
      <c r="H36" s="1">
        <v>0.35370000000000001</v>
      </c>
      <c r="I36" s="1">
        <v>0.34720000000000001</v>
      </c>
      <c r="J36" s="1">
        <v>1.2438</v>
      </c>
      <c r="K36" s="1">
        <v>1.2191000000000001</v>
      </c>
      <c r="L36" s="1">
        <v>1.2504999999999999</v>
      </c>
      <c r="M36" s="1">
        <v>0.77359999999999995</v>
      </c>
      <c r="N36" s="1">
        <v>0.75280000000000002</v>
      </c>
      <c r="O36" s="1">
        <v>0.71899999999999997</v>
      </c>
    </row>
    <row r="37" spans="3:15" x14ac:dyDescent="0.2">
      <c r="C37" s="6">
        <f t="shared" si="3"/>
        <v>720</v>
      </c>
      <c r="D37" s="1">
        <v>0.61629999999999996</v>
      </c>
      <c r="E37" s="1">
        <v>0.6139</v>
      </c>
      <c r="F37" s="1">
        <v>0.66600000000000004</v>
      </c>
      <c r="G37" s="1">
        <v>0.34460000000000002</v>
      </c>
      <c r="H37" s="1">
        <v>0.34960000000000002</v>
      </c>
      <c r="I37" s="1">
        <v>0.3453</v>
      </c>
      <c r="J37" s="1">
        <v>1.2509999999999999</v>
      </c>
      <c r="K37" s="1">
        <v>1.2294</v>
      </c>
      <c r="L37" s="1">
        <v>1.2555000000000001</v>
      </c>
      <c r="M37" s="1">
        <v>0.77810000000000001</v>
      </c>
      <c r="N37" s="1">
        <v>0.74939999999999996</v>
      </c>
      <c r="O37" s="1">
        <v>0.71879999999999999</v>
      </c>
    </row>
    <row r="38" spans="3:15" x14ac:dyDescent="0.2">
      <c r="C38" s="6">
        <f t="shared" si="3"/>
        <v>750</v>
      </c>
      <c r="D38" s="1">
        <v>0.63</v>
      </c>
      <c r="E38" s="1">
        <v>0.621</v>
      </c>
      <c r="F38" s="1">
        <v>0.67020000000000002</v>
      </c>
      <c r="G38" s="1">
        <v>0.33260000000000001</v>
      </c>
      <c r="H38" s="1">
        <v>0.3458</v>
      </c>
      <c r="I38" s="1">
        <v>0.34739999999999999</v>
      </c>
      <c r="J38" s="1">
        <v>1.2592000000000001</v>
      </c>
      <c r="K38" s="1">
        <v>1.2379</v>
      </c>
      <c r="L38" s="1">
        <v>1.2689999999999999</v>
      </c>
      <c r="M38" s="1">
        <v>0.78280000000000005</v>
      </c>
      <c r="N38" s="1">
        <v>0.75</v>
      </c>
      <c r="O38" s="1">
        <v>0.71709999999999996</v>
      </c>
    </row>
    <row r="39" spans="3:15" x14ac:dyDescent="0.2">
      <c r="C39" s="6">
        <f t="shared" si="3"/>
        <v>780</v>
      </c>
      <c r="D39" s="1">
        <v>0.65149999999999997</v>
      </c>
      <c r="E39" s="1">
        <v>0.62880000000000003</v>
      </c>
      <c r="F39" s="1">
        <v>0.67700000000000005</v>
      </c>
      <c r="G39" s="1">
        <v>0.32379999999999998</v>
      </c>
      <c r="H39" s="1">
        <v>0.34229999999999999</v>
      </c>
      <c r="I39" s="1">
        <v>0.3488</v>
      </c>
      <c r="J39" s="1">
        <v>1.2629999999999999</v>
      </c>
      <c r="K39" s="1">
        <v>1.2481</v>
      </c>
      <c r="L39" s="1">
        <v>1.2790999999999999</v>
      </c>
      <c r="M39" s="1">
        <v>0.78369999999999995</v>
      </c>
      <c r="N39" s="1">
        <v>0.75439999999999996</v>
      </c>
      <c r="O39" s="1">
        <v>0.7097</v>
      </c>
    </row>
    <row r="40" spans="3:15" x14ac:dyDescent="0.2">
      <c r="C40" s="6">
        <f t="shared" si="3"/>
        <v>810</v>
      </c>
      <c r="D40" s="1">
        <v>0.66820000000000002</v>
      </c>
      <c r="E40" s="1">
        <v>0.6391</v>
      </c>
      <c r="F40" s="1">
        <v>0.68420000000000003</v>
      </c>
      <c r="G40" s="1">
        <v>0.31409999999999999</v>
      </c>
      <c r="H40" s="1">
        <v>0.3362</v>
      </c>
      <c r="I40" s="1">
        <v>0.35070000000000001</v>
      </c>
      <c r="J40" s="1">
        <v>1.2692000000000001</v>
      </c>
      <c r="K40" s="1">
        <v>1.2578</v>
      </c>
      <c r="L40" s="1">
        <v>1.2827</v>
      </c>
      <c r="M40" s="1">
        <v>0.78910000000000002</v>
      </c>
      <c r="N40" s="1">
        <v>0.76160000000000005</v>
      </c>
      <c r="O40" s="1">
        <v>0.71989999999999998</v>
      </c>
    </row>
    <row r="41" spans="3:15" x14ac:dyDescent="0.2">
      <c r="C41" s="6">
        <f t="shared" si="3"/>
        <v>840</v>
      </c>
      <c r="D41" s="1">
        <v>0.67749999999999999</v>
      </c>
      <c r="E41" s="1">
        <v>0.65359999999999996</v>
      </c>
      <c r="F41" s="1">
        <v>0.69199999999999995</v>
      </c>
      <c r="G41" s="1">
        <v>0.30420000000000003</v>
      </c>
      <c r="H41" s="1">
        <v>0.32890000000000003</v>
      </c>
      <c r="I41" s="1">
        <v>0.3488</v>
      </c>
      <c r="J41" s="1">
        <v>1.2825</v>
      </c>
      <c r="K41" s="1">
        <v>1.2685</v>
      </c>
      <c r="L41" s="1">
        <v>1.2957000000000001</v>
      </c>
      <c r="M41" s="1">
        <v>0.79890000000000005</v>
      </c>
      <c r="N41" s="1">
        <v>0.76370000000000005</v>
      </c>
      <c r="O41" s="1">
        <v>0.70120000000000005</v>
      </c>
    </row>
    <row r="42" spans="3:15" x14ac:dyDescent="0.2">
      <c r="C42" s="6">
        <f t="shared" si="3"/>
        <v>870</v>
      </c>
      <c r="D42" s="1">
        <v>0.68589999999999995</v>
      </c>
      <c r="E42" s="1">
        <v>0.66920000000000002</v>
      </c>
      <c r="F42" s="1">
        <v>0.69910000000000005</v>
      </c>
      <c r="G42" s="1">
        <v>0.29770000000000002</v>
      </c>
      <c r="H42" s="1">
        <v>0.32590000000000002</v>
      </c>
      <c r="I42" s="1">
        <v>0.34960000000000002</v>
      </c>
      <c r="J42" s="1">
        <v>1.2890999999999999</v>
      </c>
      <c r="K42" s="1">
        <v>1.2788999999999999</v>
      </c>
      <c r="L42" s="1">
        <v>1.3028</v>
      </c>
      <c r="M42" s="1">
        <v>0.82289999999999996</v>
      </c>
      <c r="N42" s="1">
        <v>0.76370000000000005</v>
      </c>
      <c r="O42" s="1">
        <v>0.69220000000000004</v>
      </c>
    </row>
    <row r="43" spans="3:15" x14ac:dyDescent="0.2">
      <c r="C43" s="6">
        <f t="shared" si="3"/>
        <v>900</v>
      </c>
      <c r="D43" s="1">
        <v>0.6946</v>
      </c>
      <c r="E43" s="1">
        <v>0.67900000000000005</v>
      </c>
      <c r="F43" s="1">
        <v>0.71060000000000001</v>
      </c>
      <c r="G43" s="1">
        <v>0.2944</v>
      </c>
      <c r="H43" s="1">
        <v>0.32</v>
      </c>
      <c r="I43" s="1">
        <v>0.35010000000000002</v>
      </c>
      <c r="J43" s="1">
        <v>1.2961</v>
      </c>
      <c r="K43" s="1">
        <v>1.2917000000000001</v>
      </c>
      <c r="L43" s="1">
        <v>1.3137000000000001</v>
      </c>
      <c r="M43" s="1">
        <v>0.84140000000000004</v>
      </c>
      <c r="N43" s="1">
        <v>0.78039999999999998</v>
      </c>
      <c r="O43" s="1">
        <v>0.72409999999999997</v>
      </c>
    </row>
    <row r="44" spans="3:15" x14ac:dyDescent="0.2">
      <c r="C44" s="6">
        <f t="shared" si="3"/>
        <v>930</v>
      </c>
      <c r="D44" s="1">
        <v>0.71179999999999999</v>
      </c>
      <c r="E44" s="1">
        <v>0.69159999999999999</v>
      </c>
      <c r="F44" s="1">
        <v>0.72089999999999999</v>
      </c>
      <c r="G44" s="1">
        <v>0.29070000000000001</v>
      </c>
      <c r="H44" s="1">
        <v>0.31709999999999999</v>
      </c>
      <c r="I44" s="1">
        <v>0.34860000000000002</v>
      </c>
      <c r="J44" s="1">
        <v>1.3128</v>
      </c>
      <c r="K44" s="1">
        <v>1.3001</v>
      </c>
      <c r="L44" s="1">
        <v>1.3227</v>
      </c>
      <c r="M44" s="1">
        <v>0.86309999999999998</v>
      </c>
      <c r="N44" s="1">
        <v>0.77359999999999995</v>
      </c>
      <c r="O44" s="1">
        <v>0.69389999999999996</v>
      </c>
    </row>
    <row r="45" spans="3:15" x14ac:dyDescent="0.2">
      <c r="C45" s="6">
        <f t="shared" si="3"/>
        <v>960</v>
      </c>
      <c r="D45" s="1">
        <v>0.70589999999999997</v>
      </c>
      <c r="E45" s="1">
        <v>0.70709999999999995</v>
      </c>
      <c r="F45" s="1">
        <v>0.72850000000000004</v>
      </c>
      <c r="G45" s="1">
        <v>0.2853</v>
      </c>
      <c r="H45" s="1">
        <v>0.31240000000000001</v>
      </c>
      <c r="I45" s="1">
        <v>0.34499999999999997</v>
      </c>
      <c r="J45" s="1">
        <v>1.3180000000000001</v>
      </c>
      <c r="K45" s="1">
        <v>1.3091999999999999</v>
      </c>
      <c r="L45" s="1">
        <v>1.3355999999999999</v>
      </c>
      <c r="M45" s="1">
        <v>0.88990000000000002</v>
      </c>
      <c r="N45" s="1">
        <v>0.79020000000000001</v>
      </c>
      <c r="O45" s="1">
        <v>0.69269999999999998</v>
      </c>
    </row>
    <row r="46" spans="3:15" x14ac:dyDescent="0.2">
      <c r="C46" s="6">
        <f t="shared" si="3"/>
        <v>990</v>
      </c>
      <c r="D46" s="1">
        <v>0.71699999999999997</v>
      </c>
      <c r="E46" s="1">
        <v>0.71560000000000001</v>
      </c>
      <c r="F46" s="1">
        <v>0.74029999999999996</v>
      </c>
      <c r="G46" s="1">
        <v>0.28199999999999997</v>
      </c>
      <c r="H46" s="1">
        <v>0.31009999999999999</v>
      </c>
      <c r="I46" s="1">
        <v>0.34549999999999997</v>
      </c>
      <c r="J46" s="1">
        <v>1.3326</v>
      </c>
      <c r="K46" s="1">
        <v>1.3204</v>
      </c>
      <c r="L46" s="1">
        <v>1.3471</v>
      </c>
      <c r="M46" s="1">
        <v>0.90849999999999997</v>
      </c>
      <c r="N46" s="1">
        <v>0.81379999999999997</v>
      </c>
      <c r="O46" s="1">
        <v>0.70069999999999999</v>
      </c>
    </row>
    <row r="47" spans="3:15" x14ac:dyDescent="0.2">
      <c r="C47" s="6">
        <f t="shared" si="3"/>
        <v>1020</v>
      </c>
      <c r="D47" s="1">
        <v>0.7258</v>
      </c>
      <c r="E47" s="1">
        <v>0.73199999999999998</v>
      </c>
      <c r="F47" s="1">
        <v>0.75070000000000003</v>
      </c>
      <c r="G47" s="1">
        <v>0.27750000000000002</v>
      </c>
      <c r="H47" s="1">
        <v>0.30599999999999999</v>
      </c>
      <c r="I47" s="1">
        <v>0.34250000000000003</v>
      </c>
      <c r="J47" s="1">
        <v>1.3460000000000001</v>
      </c>
      <c r="K47" s="1">
        <v>1.3331</v>
      </c>
      <c r="L47" s="1">
        <v>1.3545</v>
      </c>
      <c r="M47" s="1">
        <v>0.93059999999999998</v>
      </c>
      <c r="N47" s="1">
        <v>0.81850000000000001</v>
      </c>
      <c r="O47" s="1">
        <v>0.72670000000000001</v>
      </c>
    </row>
    <row r="48" spans="3:15" x14ac:dyDescent="0.2">
      <c r="C48" s="6">
        <f t="shared" si="3"/>
        <v>1050</v>
      </c>
      <c r="D48" s="1">
        <v>0.73609999999999998</v>
      </c>
      <c r="E48" s="1">
        <v>0.746</v>
      </c>
      <c r="F48" s="1">
        <v>0.76170000000000004</v>
      </c>
      <c r="G48" s="1">
        <v>0.27700000000000002</v>
      </c>
      <c r="H48" s="1">
        <v>0.30659999999999998</v>
      </c>
      <c r="I48" s="1">
        <v>0.33850000000000002</v>
      </c>
      <c r="J48" s="1">
        <v>1.3543000000000001</v>
      </c>
      <c r="K48" s="1">
        <v>1.3444</v>
      </c>
      <c r="L48" s="1">
        <v>1.3663000000000001</v>
      </c>
      <c r="M48" s="1">
        <v>0.9607</v>
      </c>
      <c r="N48" s="1">
        <v>0.82579999999999998</v>
      </c>
      <c r="O48" s="1">
        <v>0.76219999999999999</v>
      </c>
    </row>
    <row r="49" spans="3:15" x14ac:dyDescent="0.2">
      <c r="C49" s="6">
        <f t="shared" si="3"/>
        <v>1080</v>
      </c>
      <c r="D49" s="1">
        <v>0.74560000000000004</v>
      </c>
      <c r="E49" s="1">
        <v>0.74880000000000002</v>
      </c>
      <c r="F49" s="1">
        <v>0.76859999999999995</v>
      </c>
      <c r="G49" s="1">
        <v>0.27429999999999999</v>
      </c>
      <c r="H49" s="1">
        <v>0.30630000000000002</v>
      </c>
      <c r="I49" s="1">
        <v>0.33889999999999998</v>
      </c>
      <c r="J49" s="1">
        <v>1.3662000000000001</v>
      </c>
      <c r="K49" s="1">
        <v>1.3552</v>
      </c>
      <c r="L49" s="1">
        <v>1.3747</v>
      </c>
      <c r="M49" s="1">
        <v>0.98260000000000003</v>
      </c>
      <c r="N49" s="1">
        <v>0.82879999999999998</v>
      </c>
      <c r="O49" s="1">
        <v>0.80310000000000004</v>
      </c>
    </row>
    <row r="50" spans="3:15" x14ac:dyDescent="0.2">
      <c r="C50" s="6">
        <f t="shared" si="3"/>
        <v>1110</v>
      </c>
      <c r="D50" s="1">
        <v>0.75329999999999997</v>
      </c>
      <c r="E50" s="1">
        <v>0.75960000000000005</v>
      </c>
      <c r="F50" s="1">
        <v>0.77700000000000002</v>
      </c>
      <c r="G50" s="1">
        <v>0.27550000000000002</v>
      </c>
      <c r="H50" s="1">
        <v>0.30559999999999998</v>
      </c>
      <c r="I50" s="1">
        <v>0.34289999999999998</v>
      </c>
      <c r="J50" s="1">
        <v>1.3781000000000001</v>
      </c>
      <c r="K50" s="1">
        <v>1.3701000000000001</v>
      </c>
      <c r="L50" s="1">
        <v>1.3876999999999999</v>
      </c>
      <c r="M50" s="1">
        <v>0.98829999999999996</v>
      </c>
      <c r="N50" s="1">
        <v>0.83579999999999999</v>
      </c>
      <c r="O50" s="1">
        <v>0.84350000000000003</v>
      </c>
    </row>
    <row r="51" spans="3:15" x14ac:dyDescent="0.2">
      <c r="C51" s="6"/>
    </row>
    <row r="52" spans="3:15" x14ac:dyDescent="0.2">
      <c r="C52" s="6"/>
    </row>
  </sheetData>
  <autoFilter ref="A2:O50" xr:uid="{705389A8-7562-3D40-97E1-C56C6D6AA4D8}">
    <filterColumn colId="2">
      <customFilters>
        <customFilter operator="notEqual" val=" "/>
      </customFilters>
    </filterColumn>
  </autoFilter>
  <mergeCells count="3">
    <mergeCell ref="D1:I1"/>
    <mergeCell ref="J1:O1"/>
    <mergeCell ref="B1:C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r2</vt:lpstr>
      <vt:lpstr>Round2.raw</vt:lpstr>
      <vt:lpstr>r1</vt:lpstr>
      <vt:lpstr>Round1.raw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2026-02-25T00:25:42Z</dcterms:modified>
</cp:coreProperties>
</file>