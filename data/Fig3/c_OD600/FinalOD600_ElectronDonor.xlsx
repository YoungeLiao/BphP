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45F0C674-F8B4-A142-8FD4-FB33E37066CA}" xr6:coauthVersionLast="47" xr6:coauthVersionMax="47" xr10:uidLastSave="{00000000-0000-0000-0000-000000000000}"/>
  <bookViews>
    <workbookView xWindow="11160" yWindow="620" windowWidth="17480" windowHeight="15780" activeTab="2" xr2:uid="{4DAAA291-D2A9-624E-AEE3-2847BB5B34B5}"/>
  </bookViews>
  <sheets>
    <sheet name="OD600.r1" sheetId="1" r:id="rId1"/>
    <sheet name="BioSyn.r1" sheetId="2" r:id="rId2"/>
    <sheet name="BioSyn.r2" sheetId="3" r:id="rId3"/>
  </sheets>
  <definedNames>
    <definedName name="_xlnm._FilterDatabase" localSheetId="1" hidden="1">BioSyn.r1!$A$1:$F$97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13" i="1"/>
  <c r="F16" i="1"/>
  <c r="F19" i="1"/>
  <c r="F22" i="1"/>
  <c r="F25" i="1"/>
  <c r="F28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  <c r="F82" i="1"/>
  <c r="F85" i="1"/>
  <c r="F88" i="1"/>
  <c r="F91" i="1"/>
  <c r="F94" i="1"/>
  <c r="F97" i="1"/>
  <c r="F4" i="1"/>
</calcChain>
</file>

<file path=xl/sharedStrings.xml><?xml version="1.0" encoding="utf-8"?>
<sst xmlns="http://schemas.openxmlformats.org/spreadsheetml/2006/main" count="942" uniqueCount="99">
  <si>
    <t>pd.1_Dark</t>
  </si>
  <si>
    <t>pd.2_Dark</t>
  </si>
  <si>
    <t>pd.3_Dark</t>
  </si>
  <si>
    <t>mz.1_Dark</t>
  </si>
  <si>
    <t>mz.2_Dark</t>
  </si>
  <si>
    <t>mz.3_Dark</t>
  </si>
  <si>
    <t>am.1_Dark</t>
  </si>
  <si>
    <t>am.2_Dark</t>
  </si>
  <si>
    <t>am.3_Dark</t>
  </si>
  <si>
    <t>Syn.1_Dark</t>
  </si>
  <si>
    <t>Syn.2_Dark</t>
  </si>
  <si>
    <t>Syn.3_Dark</t>
  </si>
  <si>
    <t>pd.1_IR</t>
  </si>
  <si>
    <t>pd.2_IR</t>
  </si>
  <si>
    <t>pd.3_IR</t>
  </si>
  <si>
    <t>mz.1_IR</t>
  </si>
  <si>
    <t>mz.2_IR</t>
  </si>
  <si>
    <t>mz.3_IR</t>
  </si>
  <si>
    <t>Syn.1_IR</t>
  </si>
  <si>
    <t>Syn.2_IR</t>
  </si>
  <si>
    <t>Syn.3_IR</t>
  </si>
  <si>
    <t>Samples</t>
  </si>
  <si>
    <t>Light</t>
  </si>
  <si>
    <t>Strain</t>
  </si>
  <si>
    <t>r1</t>
  </si>
  <si>
    <t>r2</t>
  </si>
  <si>
    <t>r3</t>
  </si>
  <si>
    <t>r4</t>
  </si>
  <si>
    <t>Dark</t>
  </si>
  <si>
    <t>IR</t>
  </si>
  <si>
    <t>am.1_IR</t>
  </si>
  <si>
    <t>am.2_IR</t>
  </si>
  <si>
    <t>am.3_IR</t>
  </si>
  <si>
    <t>OD600</t>
  </si>
  <si>
    <t>Paracoccus</t>
  </si>
  <si>
    <t>Aliidiomarina</t>
  </si>
  <si>
    <t>Marinobacter</t>
  </si>
  <si>
    <t>Syncomm</t>
  </si>
  <si>
    <t>Batch</t>
  </si>
  <si>
    <t>BioSyn</t>
  </si>
  <si>
    <t>Mean_Cal</t>
  </si>
  <si>
    <t>Dark-P-C1</t>
  </si>
  <si>
    <t>Dark-P-C2</t>
  </si>
  <si>
    <t>Dark-P-C3</t>
  </si>
  <si>
    <t>Dark-P-Ac1</t>
  </si>
  <si>
    <t>Dark-P-Ac2</t>
  </si>
  <si>
    <t>Dark-P-Ac3</t>
  </si>
  <si>
    <t>Dark-P-S1</t>
  </si>
  <si>
    <t>Dark-P-S2</t>
  </si>
  <si>
    <t>Dark-P-S3</t>
  </si>
  <si>
    <t>IR-P-C1</t>
  </si>
  <si>
    <t>IR-P-C2</t>
  </si>
  <si>
    <t>IR-P-C3</t>
  </si>
  <si>
    <t>IR-P-Ac1</t>
  </si>
  <si>
    <t>IR-P-Ac2</t>
  </si>
  <si>
    <t>IR-P-Ac3</t>
  </si>
  <si>
    <t>IR-P-S1</t>
  </si>
  <si>
    <t>IR-P-S2</t>
  </si>
  <si>
    <t>IR-P-S3</t>
  </si>
  <si>
    <t>Dark-A-C1</t>
  </si>
  <si>
    <t>Dark-A-C2</t>
  </si>
  <si>
    <t>Dark-A-C3</t>
  </si>
  <si>
    <t>Dark-A-Ac1</t>
  </si>
  <si>
    <t>Dark-A-Ac2</t>
  </si>
  <si>
    <t>Dark-A-Ac3</t>
  </si>
  <si>
    <t>Dark-A-S1</t>
  </si>
  <si>
    <t>Dark-A-S2</t>
  </si>
  <si>
    <t>Dark-A-S3</t>
  </si>
  <si>
    <t>IR-A-C1</t>
  </si>
  <si>
    <t>IR-A-C2</t>
  </si>
  <si>
    <t>IR-A-C3</t>
  </si>
  <si>
    <t>IR-A-Ac1</t>
  </si>
  <si>
    <t>IR-A-Ac2</t>
  </si>
  <si>
    <t>IR-A-Ac3</t>
  </si>
  <si>
    <t>IR-A-S1</t>
  </si>
  <si>
    <t>IR-A-S2</t>
  </si>
  <si>
    <t>IR-A-S3</t>
  </si>
  <si>
    <t>Control</t>
  </si>
  <si>
    <t>Acetate</t>
  </si>
  <si>
    <t>Thiosulfate</t>
  </si>
  <si>
    <t>Dark-M-C1</t>
  </si>
  <si>
    <t>Dark-M-C2</t>
  </si>
  <si>
    <t>Dark-M-C3</t>
  </si>
  <si>
    <t>Dark-M-Ac1</t>
  </si>
  <si>
    <t>Dark-M-Ac2</t>
  </si>
  <si>
    <t>Dark-M-Ac3</t>
  </si>
  <si>
    <t>Dark-M-S1</t>
  </si>
  <si>
    <t>Dark-M-S2</t>
  </si>
  <si>
    <t>Dark-M-S3</t>
  </si>
  <si>
    <t>IR-M-C1</t>
  </si>
  <si>
    <t>IR-M-C2</t>
  </si>
  <si>
    <t>IR-M-C3</t>
  </si>
  <si>
    <t>IR-M-Ac1</t>
  </si>
  <si>
    <t>IR-M-Ac2</t>
  </si>
  <si>
    <t>IR-M-Ac3</t>
  </si>
  <si>
    <t>IR-M-S1</t>
  </si>
  <si>
    <t>IR-M-S2</t>
  </si>
  <si>
    <t>IR-M-S3</t>
  </si>
  <si>
    <t>Electron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</si>
</sst>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2E75-6973-B644-90B0-0DF029F0F1A3}">
  <dimension ref="A1:AB97"/>
  <sheetViews>
    <sheetView zoomScale="94" workbookViewId="0">
      <selection activeCell="F13" sqref="F13"/>
    </sheetView>
  </sheetViews>
  <sheetFormatPr baseColWidth="10" defaultRowHeight="16" x14ac:dyDescent="0.2"/>
  <cols>
    <col min="3" max="3" width="12.33203125" customWidth="1"/>
  </cols>
  <sheetData>
    <row r="1" spans="1:28" x14ac:dyDescent="0.2">
      <c r="A1" s="1" t="s">
        <v>21</v>
      </c>
      <c r="B1" s="1" t="s">
        <v>33</v>
      </c>
      <c r="C1" s="1" t="s">
        <v>23</v>
      </c>
      <c r="D1" s="1" t="s">
        <v>22</v>
      </c>
      <c r="E1" s="1" t="s">
        <v>38</v>
      </c>
      <c r="F1" s="1" t="s">
        <v>40</v>
      </c>
    </row>
    <row r="2" spans="1:28" x14ac:dyDescent="0.2">
      <c r="A2" t="s">
        <v>0</v>
      </c>
      <c r="B2">
        <v>0.1668</v>
      </c>
      <c r="C2" t="s">
        <v>34</v>
      </c>
      <c r="D2" t="s">
        <v>28</v>
      </c>
      <c r="E2" t="s">
        <v>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t="s">
        <v>1</v>
      </c>
      <c r="B3">
        <v>0.14219999999999999</v>
      </c>
      <c r="C3" t="s">
        <v>34</v>
      </c>
      <c r="D3" t="s">
        <v>28</v>
      </c>
      <c r="E3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2">
      <c r="A4" t="s">
        <v>2</v>
      </c>
      <c r="B4">
        <v>0.14349999999999999</v>
      </c>
      <c r="C4" t="s">
        <v>34</v>
      </c>
      <c r="D4" t="s">
        <v>28</v>
      </c>
      <c r="E4" t="s">
        <v>24</v>
      </c>
      <c r="F4" s="2">
        <f>AVERAGE(B2:B4)</f>
        <v>0.15083333333333335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x14ac:dyDescent="0.2">
      <c r="A5" t="s">
        <v>3</v>
      </c>
      <c r="B5">
        <v>0.15920000000000001</v>
      </c>
      <c r="C5" t="s">
        <v>36</v>
      </c>
      <c r="D5" t="s">
        <v>28</v>
      </c>
      <c r="E5" t="s">
        <v>24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x14ac:dyDescent="0.2">
      <c r="A6" t="s">
        <v>4</v>
      </c>
      <c r="B6">
        <v>0.15859999999999999</v>
      </c>
      <c r="C6" t="s">
        <v>36</v>
      </c>
      <c r="D6" t="s">
        <v>28</v>
      </c>
      <c r="E6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 x14ac:dyDescent="0.2">
      <c r="A7" t="s">
        <v>5</v>
      </c>
      <c r="B7">
        <v>0.2046</v>
      </c>
      <c r="C7" t="s">
        <v>36</v>
      </c>
      <c r="D7" t="s">
        <v>28</v>
      </c>
      <c r="E7" t="s">
        <v>24</v>
      </c>
      <c r="F7" s="2">
        <f t="shared" ref="F7" si="0">AVERAGE(B5:B7)</f>
        <v>0.17413333333333333</v>
      </c>
    </row>
    <row r="8" spans="1:28" x14ac:dyDescent="0.2">
      <c r="A8" t="s">
        <v>6</v>
      </c>
      <c r="B8">
        <v>0.13980000000000001</v>
      </c>
      <c r="C8" t="s">
        <v>35</v>
      </c>
      <c r="D8" t="s">
        <v>28</v>
      </c>
      <c r="E8" t="s">
        <v>24</v>
      </c>
      <c r="F8" s="1"/>
    </row>
    <row r="9" spans="1:28" x14ac:dyDescent="0.2">
      <c r="A9" t="s">
        <v>7</v>
      </c>
      <c r="B9">
        <v>0.1371</v>
      </c>
      <c r="C9" t="s">
        <v>35</v>
      </c>
      <c r="D9" t="s">
        <v>28</v>
      </c>
      <c r="E9" t="s">
        <v>24</v>
      </c>
      <c r="F9" s="2"/>
    </row>
    <row r="10" spans="1:28" x14ac:dyDescent="0.2">
      <c r="A10" t="s">
        <v>8</v>
      </c>
      <c r="B10">
        <v>0.13139999999999999</v>
      </c>
      <c r="C10" t="s">
        <v>35</v>
      </c>
      <c r="D10" t="s">
        <v>28</v>
      </c>
      <c r="E10" t="s">
        <v>24</v>
      </c>
      <c r="F10" s="2">
        <f t="shared" ref="F10" si="1">AVERAGE(B8:B10)</f>
        <v>0.1361</v>
      </c>
    </row>
    <row r="11" spans="1:28" x14ac:dyDescent="0.2">
      <c r="A11" t="s">
        <v>9</v>
      </c>
      <c r="B11">
        <v>0.16209999999999999</v>
      </c>
      <c r="C11" t="s">
        <v>37</v>
      </c>
      <c r="D11" t="s">
        <v>28</v>
      </c>
      <c r="E11" t="s">
        <v>24</v>
      </c>
      <c r="F11" s="1"/>
    </row>
    <row r="12" spans="1:28" x14ac:dyDescent="0.2">
      <c r="A12" t="s">
        <v>10</v>
      </c>
      <c r="B12">
        <v>0.16489999999999999</v>
      </c>
      <c r="C12" t="s">
        <v>37</v>
      </c>
      <c r="D12" t="s">
        <v>28</v>
      </c>
      <c r="E12" t="s">
        <v>24</v>
      </c>
      <c r="F12" s="2"/>
    </row>
    <row r="13" spans="1:28" x14ac:dyDescent="0.2">
      <c r="A13" t="s">
        <v>11</v>
      </c>
      <c r="B13">
        <v>0.2099</v>
      </c>
      <c r="C13" t="s">
        <v>37</v>
      </c>
      <c r="D13" t="s">
        <v>28</v>
      </c>
      <c r="E13" t="s">
        <v>24</v>
      </c>
      <c r="F13" s="2">
        <f t="shared" ref="F13" si="2">AVERAGE(B11:B13)</f>
        <v>0.17896666666666664</v>
      </c>
    </row>
    <row r="14" spans="1:28" x14ac:dyDescent="0.2">
      <c r="A14" t="s">
        <v>12</v>
      </c>
      <c r="B14">
        <v>0.13700000000000001</v>
      </c>
      <c r="C14" t="s">
        <v>34</v>
      </c>
      <c r="D14" t="s">
        <v>29</v>
      </c>
      <c r="E14" t="s">
        <v>24</v>
      </c>
      <c r="F14" s="1"/>
    </row>
    <row r="15" spans="1:28" x14ac:dyDescent="0.2">
      <c r="A15" t="s">
        <v>13</v>
      </c>
      <c r="B15">
        <v>0.15490000000000001</v>
      </c>
      <c r="C15" t="s">
        <v>34</v>
      </c>
      <c r="D15" t="s">
        <v>29</v>
      </c>
      <c r="E15" t="s">
        <v>24</v>
      </c>
      <c r="F15" s="2"/>
    </row>
    <row r="16" spans="1:28" x14ac:dyDescent="0.2">
      <c r="A16" t="s">
        <v>14</v>
      </c>
      <c r="B16">
        <v>0.21709999999999999</v>
      </c>
      <c r="C16" t="s">
        <v>34</v>
      </c>
      <c r="D16" t="s">
        <v>29</v>
      </c>
      <c r="E16" t="s">
        <v>24</v>
      </c>
      <c r="F16" s="2">
        <f t="shared" ref="F16" si="3">AVERAGE(B14:B16)</f>
        <v>0.16966666666666666</v>
      </c>
    </row>
    <row r="17" spans="1:6" x14ac:dyDescent="0.2">
      <c r="A17" t="s">
        <v>15</v>
      </c>
      <c r="B17">
        <v>0.18329999999999999</v>
      </c>
      <c r="C17" t="s">
        <v>36</v>
      </c>
      <c r="D17" t="s">
        <v>29</v>
      </c>
      <c r="E17" t="s">
        <v>24</v>
      </c>
      <c r="F17" s="1"/>
    </row>
    <row r="18" spans="1:6" x14ac:dyDescent="0.2">
      <c r="A18" t="s">
        <v>16</v>
      </c>
      <c r="B18">
        <v>0.19109999999999999</v>
      </c>
      <c r="C18" t="s">
        <v>36</v>
      </c>
      <c r="D18" t="s">
        <v>29</v>
      </c>
      <c r="E18" t="s">
        <v>24</v>
      </c>
      <c r="F18" s="2"/>
    </row>
    <row r="19" spans="1:6" x14ac:dyDescent="0.2">
      <c r="A19" t="s">
        <v>17</v>
      </c>
      <c r="B19">
        <v>0.19109999999999999</v>
      </c>
      <c r="C19" t="s">
        <v>36</v>
      </c>
      <c r="D19" t="s">
        <v>29</v>
      </c>
      <c r="E19" t="s">
        <v>24</v>
      </c>
      <c r="F19" s="2">
        <f t="shared" ref="F19" si="4">AVERAGE(B17:B19)</f>
        <v>0.18849999999999997</v>
      </c>
    </row>
    <row r="20" spans="1:6" x14ac:dyDescent="0.2">
      <c r="A20" t="s">
        <v>30</v>
      </c>
      <c r="B20">
        <v>0.12870000000000001</v>
      </c>
      <c r="C20" t="s">
        <v>35</v>
      </c>
      <c r="D20" t="s">
        <v>29</v>
      </c>
      <c r="E20" t="s">
        <v>24</v>
      </c>
      <c r="F20" s="1"/>
    </row>
    <row r="21" spans="1:6" x14ac:dyDescent="0.2">
      <c r="A21" t="s">
        <v>31</v>
      </c>
      <c r="B21">
        <v>0.1265</v>
      </c>
      <c r="C21" t="s">
        <v>35</v>
      </c>
      <c r="D21" t="s">
        <v>29</v>
      </c>
      <c r="E21" t="s">
        <v>24</v>
      </c>
      <c r="F21" s="2"/>
    </row>
    <row r="22" spans="1:6" x14ac:dyDescent="0.2">
      <c r="A22" t="s">
        <v>32</v>
      </c>
      <c r="B22">
        <v>0.1288</v>
      </c>
      <c r="C22" t="s">
        <v>35</v>
      </c>
      <c r="D22" t="s">
        <v>29</v>
      </c>
      <c r="E22" t="s">
        <v>24</v>
      </c>
      <c r="F22" s="2">
        <f t="shared" ref="F22" si="5">AVERAGE(B20:B22)</f>
        <v>0.128</v>
      </c>
    </row>
    <row r="23" spans="1:6" x14ac:dyDescent="0.2">
      <c r="A23" t="s">
        <v>18</v>
      </c>
      <c r="B23">
        <v>0.18190000000000001</v>
      </c>
      <c r="C23" t="s">
        <v>37</v>
      </c>
      <c r="D23" t="s">
        <v>29</v>
      </c>
      <c r="E23" t="s">
        <v>24</v>
      </c>
      <c r="F23" s="1"/>
    </row>
    <row r="24" spans="1:6" x14ac:dyDescent="0.2">
      <c r="A24" t="s">
        <v>19</v>
      </c>
      <c r="B24">
        <v>0.16439999999999999</v>
      </c>
      <c r="C24" t="s">
        <v>37</v>
      </c>
      <c r="D24" t="s">
        <v>29</v>
      </c>
      <c r="E24" t="s">
        <v>24</v>
      </c>
      <c r="F24" s="2"/>
    </row>
    <row r="25" spans="1:6" x14ac:dyDescent="0.2">
      <c r="A25" t="s">
        <v>20</v>
      </c>
      <c r="B25">
        <v>0.17330000000000001</v>
      </c>
      <c r="C25" t="s">
        <v>37</v>
      </c>
      <c r="D25" t="s">
        <v>29</v>
      </c>
      <c r="E25" t="s">
        <v>24</v>
      </c>
      <c r="F25" s="2">
        <f t="shared" ref="F25" si="6">AVERAGE(B23:B25)</f>
        <v>0.17320000000000002</v>
      </c>
    </row>
    <row r="26" spans="1:6" x14ac:dyDescent="0.2">
      <c r="A26" t="s">
        <v>0</v>
      </c>
      <c r="B26">
        <v>0.27179999999999999</v>
      </c>
      <c r="C26" t="s">
        <v>34</v>
      </c>
      <c r="D26" t="s">
        <v>28</v>
      </c>
      <c r="E26" t="s">
        <v>25</v>
      </c>
      <c r="F26" s="1"/>
    </row>
    <row r="27" spans="1:6" x14ac:dyDescent="0.2">
      <c r="A27" t="s">
        <v>1</v>
      </c>
      <c r="B27">
        <v>0.13650000000000001</v>
      </c>
      <c r="C27" t="s">
        <v>34</v>
      </c>
      <c r="D27" t="s">
        <v>28</v>
      </c>
      <c r="E27" t="s">
        <v>25</v>
      </c>
      <c r="F27" s="2"/>
    </row>
    <row r="28" spans="1:6" x14ac:dyDescent="0.2">
      <c r="A28" t="s">
        <v>2</v>
      </c>
      <c r="B28">
        <v>0.1386</v>
      </c>
      <c r="C28" t="s">
        <v>34</v>
      </c>
      <c r="D28" t="s">
        <v>28</v>
      </c>
      <c r="E28" t="s">
        <v>25</v>
      </c>
      <c r="F28" s="2">
        <f t="shared" ref="F28" si="7">AVERAGE(B26:B28)</f>
        <v>0.18229999999999999</v>
      </c>
    </row>
    <row r="29" spans="1:6" x14ac:dyDescent="0.2">
      <c r="A29" t="s">
        <v>3</v>
      </c>
      <c r="B29">
        <v>0.20150000000000001</v>
      </c>
      <c r="C29" t="s">
        <v>36</v>
      </c>
      <c r="D29" t="s">
        <v>28</v>
      </c>
      <c r="E29" t="s">
        <v>25</v>
      </c>
      <c r="F29" s="1"/>
    </row>
    <row r="30" spans="1:6" x14ac:dyDescent="0.2">
      <c r="A30" t="s">
        <v>4</v>
      </c>
      <c r="B30">
        <v>0.1825</v>
      </c>
      <c r="C30" t="s">
        <v>36</v>
      </c>
      <c r="D30" t="s">
        <v>28</v>
      </c>
      <c r="E30" t="s">
        <v>25</v>
      </c>
      <c r="F30" s="2"/>
    </row>
    <row r="31" spans="1:6" x14ac:dyDescent="0.2">
      <c r="A31" t="s">
        <v>5</v>
      </c>
      <c r="B31">
        <v>0.19450000000000001</v>
      </c>
      <c r="C31" t="s">
        <v>36</v>
      </c>
      <c r="D31" t="s">
        <v>28</v>
      </c>
      <c r="E31" t="s">
        <v>25</v>
      </c>
      <c r="F31" s="2">
        <f t="shared" ref="F31" si="8">AVERAGE(B29:B31)</f>
        <v>0.19283333333333333</v>
      </c>
    </row>
    <row r="32" spans="1:6" x14ac:dyDescent="0.2">
      <c r="A32" t="s">
        <v>6</v>
      </c>
      <c r="B32">
        <v>0.1363</v>
      </c>
      <c r="C32" t="s">
        <v>35</v>
      </c>
      <c r="D32" t="s">
        <v>28</v>
      </c>
      <c r="E32" t="s">
        <v>25</v>
      </c>
      <c r="F32" s="1"/>
    </row>
    <row r="33" spans="1:6" x14ac:dyDescent="0.2">
      <c r="A33" t="s">
        <v>7</v>
      </c>
      <c r="B33">
        <v>0.14000000000000001</v>
      </c>
      <c r="C33" t="s">
        <v>35</v>
      </c>
      <c r="D33" t="s">
        <v>28</v>
      </c>
      <c r="E33" t="s">
        <v>25</v>
      </c>
      <c r="F33" s="2"/>
    </row>
    <row r="34" spans="1:6" x14ac:dyDescent="0.2">
      <c r="A34" t="s">
        <v>8</v>
      </c>
      <c r="B34">
        <v>0.13159999999999999</v>
      </c>
      <c r="C34" t="s">
        <v>35</v>
      </c>
      <c r="D34" t="s">
        <v>28</v>
      </c>
      <c r="E34" t="s">
        <v>25</v>
      </c>
      <c r="F34" s="2">
        <f t="shared" ref="F34" si="9">AVERAGE(B32:B34)</f>
        <v>0.13596666666666665</v>
      </c>
    </row>
    <row r="35" spans="1:6" x14ac:dyDescent="0.2">
      <c r="A35" t="s">
        <v>9</v>
      </c>
      <c r="B35">
        <v>0.1772</v>
      </c>
      <c r="C35" t="s">
        <v>37</v>
      </c>
      <c r="D35" t="s">
        <v>28</v>
      </c>
      <c r="E35" t="s">
        <v>25</v>
      </c>
      <c r="F35" s="1"/>
    </row>
    <row r="36" spans="1:6" x14ac:dyDescent="0.2">
      <c r="A36" t="s">
        <v>10</v>
      </c>
      <c r="B36">
        <v>0.16</v>
      </c>
      <c r="C36" t="s">
        <v>37</v>
      </c>
      <c r="D36" t="s">
        <v>28</v>
      </c>
      <c r="E36" t="s">
        <v>25</v>
      </c>
      <c r="F36" s="2"/>
    </row>
    <row r="37" spans="1:6" x14ac:dyDescent="0.2">
      <c r="A37" t="s">
        <v>11</v>
      </c>
      <c r="B37">
        <v>0.1658</v>
      </c>
      <c r="C37" t="s">
        <v>37</v>
      </c>
      <c r="D37" t="s">
        <v>28</v>
      </c>
      <c r="E37" t="s">
        <v>25</v>
      </c>
      <c r="F37" s="2">
        <f t="shared" ref="F37" si="10">AVERAGE(B35:B37)</f>
        <v>0.16766666666666666</v>
      </c>
    </row>
    <row r="38" spans="1:6" x14ac:dyDescent="0.2">
      <c r="A38" t="s">
        <v>12</v>
      </c>
      <c r="B38">
        <v>0.14929999999999999</v>
      </c>
      <c r="C38" t="s">
        <v>34</v>
      </c>
      <c r="D38" t="s">
        <v>29</v>
      </c>
      <c r="E38" t="s">
        <v>25</v>
      </c>
      <c r="F38" s="1"/>
    </row>
    <row r="39" spans="1:6" x14ac:dyDescent="0.2">
      <c r="A39" t="s">
        <v>13</v>
      </c>
      <c r="B39">
        <v>0.1366</v>
      </c>
      <c r="C39" t="s">
        <v>34</v>
      </c>
      <c r="D39" t="s">
        <v>29</v>
      </c>
      <c r="E39" t="s">
        <v>25</v>
      </c>
      <c r="F39" s="2"/>
    </row>
    <row r="40" spans="1:6" x14ac:dyDescent="0.2">
      <c r="A40" t="s">
        <v>14</v>
      </c>
      <c r="B40">
        <v>0.18210000000000001</v>
      </c>
      <c r="C40" t="s">
        <v>34</v>
      </c>
      <c r="D40" t="s">
        <v>29</v>
      </c>
      <c r="E40" t="s">
        <v>25</v>
      </c>
      <c r="F40" s="2">
        <f t="shared" ref="F40" si="11">AVERAGE(B38:B40)</f>
        <v>0.156</v>
      </c>
    </row>
    <row r="41" spans="1:6" x14ac:dyDescent="0.2">
      <c r="A41" t="s">
        <v>15</v>
      </c>
      <c r="B41">
        <v>0.17680000000000001</v>
      </c>
      <c r="C41" t="s">
        <v>36</v>
      </c>
      <c r="D41" t="s">
        <v>29</v>
      </c>
      <c r="E41" t="s">
        <v>25</v>
      </c>
      <c r="F41" s="1"/>
    </row>
    <row r="42" spans="1:6" x14ac:dyDescent="0.2">
      <c r="A42" t="s">
        <v>16</v>
      </c>
      <c r="B42">
        <v>0.18140000000000001</v>
      </c>
      <c r="C42" t="s">
        <v>36</v>
      </c>
      <c r="D42" t="s">
        <v>29</v>
      </c>
      <c r="E42" t="s">
        <v>25</v>
      </c>
      <c r="F42" s="2"/>
    </row>
    <row r="43" spans="1:6" x14ac:dyDescent="0.2">
      <c r="A43" t="s">
        <v>17</v>
      </c>
      <c r="B43">
        <v>0.19059999999999999</v>
      </c>
      <c r="C43" t="s">
        <v>36</v>
      </c>
      <c r="D43" t="s">
        <v>29</v>
      </c>
      <c r="E43" t="s">
        <v>25</v>
      </c>
      <c r="F43" s="2">
        <f t="shared" ref="F43" si="12">AVERAGE(B41:B43)</f>
        <v>0.18293333333333331</v>
      </c>
    </row>
    <row r="44" spans="1:6" x14ac:dyDescent="0.2">
      <c r="A44" t="s">
        <v>30</v>
      </c>
      <c r="B44">
        <v>0.13700000000000001</v>
      </c>
      <c r="C44" t="s">
        <v>35</v>
      </c>
      <c r="D44" t="s">
        <v>29</v>
      </c>
      <c r="E44" t="s">
        <v>25</v>
      </c>
      <c r="F44" s="1"/>
    </row>
    <row r="45" spans="1:6" x14ac:dyDescent="0.2">
      <c r="A45" t="s">
        <v>31</v>
      </c>
      <c r="B45">
        <v>0.15140000000000001</v>
      </c>
      <c r="C45" t="s">
        <v>35</v>
      </c>
      <c r="D45" t="s">
        <v>29</v>
      </c>
      <c r="E45" t="s">
        <v>25</v>
      </c>
      <c r="F45" s="2"/>
    </row>
    <row r="46" spans="1:6" x14ac:dyDescent="0.2">
      <c r="A46" t="s">
        <v>32</v>
      </c>
      <c r="B46">
        <v>0.13689999999999999</v>
      </c>
      <c r="C46" t="s">
        <v>35</v>
      </c>
      <c r="D46" t="s">
        <v>29</v>
      </c>
      <c r="E46" t="s">
        <v>25</v>
      </c>
      <c r="F46" s="2">
        <f t="shared" ref="F46" si="13">AVERAGE(B44:B46)</f>
        <v>0.14176666666666668</v>
      </c>
    </row>
    <row r="47" spans="1:6" x14ac:dyDescent="0.2">
      <c r="A47" t="s">
        <v>18</v>
      </c>
      <c r="B47">
        <v>0.1704</v>
      </c>
      <c r="C47" t="s">
        <v>37</v>
      </c>
      <c r="D47" t="s">
        <v>29</v>
      </c>
      <c r="E47" t="s">
        <v>25</v>
      </c>
      <c r="F47" s="1"/>
    </row>
    <row r="48" spans="1:6" x14ac:dyDescent="0.2">
      <c r="A48" t="s">
        <v>19</v>
      </c>
      <c r="B48">
        <v>0.15840000000000001</v>
      </c>
      <c r="C48" t="s">
        <v>37</v>
      </c>
      <c r="D48" t="s">
        <v>29</v>
      </c>
      <c r="E48" t="s">
        <v>25</v>
      </c>
      <c r="F48" s="2"/>
    </row>
    <row r="49" spans="1:6" x14ac:dyDescent="0.2">
      <c r="A49" t="s">
        <v>20</v>
      </c>
      <c r="B49">
        <v>0.187</v>
      </c>
      <c r="C49" t="s">
        <v>37</v>
      </c>
      <c r="D49" t="s">
        <v>29</v>
      </c>
      <c r="E49" t="s">
        <v>25</v>
      </c>
      <c r="F49" s="2">
        <f t="shared" ref="F49" si="14">AVERAGE(B47:B49)</f>
        <v>0.17193333333333335</v>
      </c>
    </row>
    <row r="50" spans="1:6" x14ac:dyDescent="0.2">
      <c r="A50" t="s">
        <v>0</v>
      </c>
      <c r="B50">
        <v>0.20419999999999999</v>
      </c>
      <c r="C50" t="s">
        <v>34</v>
      </c>
      <c r="D50" t="s">
        <v>28</v>
      </c>
      <c r="E50" t="s">
        <v>26</v>
      </c>
      <c r="F50" s="1"/>
    </row>
    <row r="51" spans="1:6" x14ac:dyDescent="0.2">
      <c r="A51" t="s">
        <v>1</v>
      </c>
      <c r="B51">
        <v>0.1356</v>
      </c>
      <c r="C51" t="s">
        <v>34</v>
      </c>
      <c r="D51" t="s">
        <v>28</v>
      </c>
      <c r="E51" t="s">
        <v>26</v>
      </c>
      <c r="F51" s="2"/>
    </row>
    <row r="52" spans="1:6" x14ac:dyDescent="0.2">
      <c r="A52" t="s">
        <v>2</v>
      </c>
      <c r="B52">
        <v>0.13420000000000001</v>
      </c>
      <c r="C52" t="s">
        <v>34</v>
      </c>
      <c r="D52" t="s">
        <v>28</v>
      </c>
      <c r="E52" t="s">
        <v>26</v>
      </c>
      <c r="F52" s="2">
        <f t="shared" ref="F52" si="15">AVERAGE(B50:B52)</f>
        <v>0.158</v>
      </c>
    </row>
    <row r="53" spans="1:6" x14ac:dyDescent="0.2">
      <c r="A53" t="s">
        <v>3</v>
      </c>
      <c r="B53">
        <v>0.19350000000000001</v>
      </c>
      <c r="C53" t="s">
        <v>36</v>
      </c>
      <c r="D53" t="s">
        <v>28</v>
      </c>
      <c r="E53" t="s">
        <v>26</v>
      </c>
      <c r="F53" s="1"/>
    </row>
    <row r="54" spans="1:6" x14ac:dyDescent="0.2">
      <c r="A54" t="s">
        <v>4</v>
      </c>
      <c r="B54">
        <v>0.18190000000000001</v>
      </c>
      <c r="C54" t="s">
        <v>36</v>
      </c>
      <c r="D54" t="s">
        <v>28</v>
      </c>
      <c r="E54" t="s">
        <v>26</v>
      </c>
      <c r="F54" s="2"/>
    </row>
    <row r="55" spans="1:6" x14ac:dyDescent="0.2">
      <c r="A55" t="s">
        <v>5</v>
      </c>
      <c r="B55">
        <v>0.18490000000000001</v>
      </c>
      <c r="C55" t="s">
        <v>36</v>
      </c>
      <c r="D55" t="s">
        <v>28</v>
      </c>
      <c r="E55" t="s">
        <v>26</v>
      </c>
      <c r="F55" s="2">
        <f t="shared" ref="F55" si="16">AVERAGE(B53:B55)</f>
        <v>0.18676666666666666</v>
      </c>
    </row>
    <row r="56" spans="1:6" x14ac:dyDescent="0.2">
      <c r="A56" t="s">
        <v>6</v>
      </c>
      <c r="B56">
        <v>0.13220000000000001</v>
      </c>
      <c r="C56" t="s">
        <v>35</v>
      </c>
      <c r="D56" t="s">
        <v>28</v>
      </c>
      <c r="E56" t="s">
        <v>26</v>
      </c>
      <c r="F56" s="1"/>
    </row>
    <row r="57" spans="1:6" x14ac:dyDescent="0.2">
      <c r="A57" t="s">
        <v>7</v>
      </c>
      <c r="B57">
        <v>0.1434</v>
      </c>
      <c r="C57" t="s">
        <v>35</v>
      </c>
      <c r="D57" t="s">
        <v>28</v>
      </c>
      <c r="E57" t="s">
        <v>26</v>
      </c>
      <c r="F57" s="2"/>
    </row>
    <row r="58" spans="1:6" x14ac:dyDescent="0.2">
      <c r="A58" t="s">
        <v>8</v>
      </c>
      <c r="B58">
        <v>0.13170000000000001</v>
      </c>
      <c r="C58" t="s">
        <v>35</v>
      </c>
      <c r="D58" t="s">
        <v>28</v>
      </c>
      <c r="E58" t="s">
        <v>26</v>
      </c>
      <c r="F58" s="2">
        <f t="shared" ref="F58" si="17">AVERAGE(B56:B58)</f>
        <v>0.13576666666666667</v>
      </c>
    </row>
    <row r="59" spans="1:6" x14ac:dyDescent="0.2">
      <c r="A59" t="s">
        <v>9</v>
      </c>
      <c r="B59">
        <v>0.18140000000000001</v>
      </c>
      <c r="C59" t="s">
        <v>37</v>
      </c>
      <c r="D59" t="s">
        <v>28</v>
      </c>
      <c r="E59" t="s">
        <v>26</v>
      </c>
      <c r="F59" s="1"/>
    </row>
    <row r="60" spans="1:6" x14ac:dyDescent="0.2">
      <c r="A60" t="s">
        <v>10</v>
      </c>
      <c r="B60">
        <v>0.1542</v>
      </c>
      <c r="C60" t="s">
        <v>37</v>
      </c>
      <c r="D60" t="s">
        <v>28</v>
      </c>
      <c r="E60" t="s">
        <v>26</v>
      </c>
      <c r="F60" s="2"/>
    </row>
    <row r="61" spans="1:6" x14ac:dyDescent="0.2">
      <c r="A61" t="s">
        <v>11</v>
      </c>
      <c r="B61">
        <v>0.1487</v>
      </c>
      <c r="C61" t="s">
        <v>37</v>
      </c>
      <c r="D61" t="s">
        <v>28</v>
      </c>
      <c r="E61" t="s">
        <v>26</v>
      </c>
      <c r="F61" s="2">
        <f t="shared" ref="F61" si="18">AVERAGE(B59:B61)</f>
        <v>0.16143333333333335</v>
      </c>
    </row>
    <row r="62" spans="1:6" x14ac:dyDescent="0.2">
      <c r="A62" t="s">
        <v>12</v>
      </c>
      <c r="B62">
        <v>0.16880000000000001</v>
      </c>
      <c r="C62" t="s">
        <v>34</v>
      </c>
      <c r="D62" t="s">
        <v>29</v>
      </c>
      <c r="E62" t="s">
        <v>26</v>
      </c>
      <c r="F62" s="1"/>
    </row>
    <row r="63" spans="1:6" x14ac:dyDescent="0.2">
      <c r="A63" t="s">
        <v>13</v>
      </c>
      <c r="B63">
        <v>0.1318</v>
      </c>
      <c r="C63" t="s">
        <v>34</v>
      </c>
      <c r="D63" t="s">
        <v>29</v>
      </c>
      <c r="E63" t="s">
        <v>26</v>
      </c>
      <c r="F63" s="2"/>
    </row>
    <row r="64" spans="1:6" x14ac:dyDescent="0.2">
      <c r="A64" t="s">
        <v>14</v>
      </c>
      <c r="B64">
        <v>0.214</v>
      </c>
      <c r="C64" t="s">
        <v>34</v>
      </c>
      <c r="D64" t="s">
        <v>29</v>
      </c>
      <c r="E64" t="s">
        <v>26</v>
      </c>
      <c r="F64" s="2">
        <f t="shared" ref="F64" si="19">AVERAGE(B62:B64)</f>
        <v>0.17153333333333332</v>
      </c>
    </row>
    <row r="65" spans="1:6" x14ac:dyDescent="0.2">
      <c r="A65" t="s">
        <v>15</v>
      </c>
      <c r="B65">
        <v>0.19350000000000001</v>
      </c>
      <c r="C65" t="s">
        <v>36</v>
      </c>
      <c r="D65" t="s">
        <v>29</v>
      </c>
      <c r="E65" t="s">
        <v>26</v>
      </c>
      <c r="F65" s="1"/>
    </row>
    <row r="66" spans="1:6" x14ac:dyDescent="0.2">
      <c r="A66" t="s">
        <v>16</v>
      </c>
      <c r="B66">
        <v>0.1875</v>
      </c>
      <c r="C66" t="s">
        <v>36</v>
      </c>
      <c r="D66" t="s">
        <v>29</v>
      </c>
      <c r="E66" t="s">
        <v>26</v>
      </c>
      <c r="F66" s="2"/>
    </row>
    <row r="67" spans="1:6" x14ac:dyDescent="0.2">
      <c r="A67" t="s">
        <v>17</v>
      </c>
      <c r="B67">
        <v>0.17399999999999999</v>
      </c>
      <c r="C67" t="s">
        <v>36</v>
      </c>
      <c r="D67" t="s">
        <v>29</v>
      </c>
      <c r="E67" t="s">
        <v>26</v>
      </c>
      <c r="F67" s="2">
        <f t="shared" ref="F67" si="20">AVERAGE(B65:B67)</f>
        <v>0.18499999999999997</v>
      </c>
    </row>
    <row r="68" spans="1:6" x14ac:dyDescent="0.2">
      <c r="A68" t="s">
        <v>30</v>
      </c>
      <c r="B68">
        <v>0.14949999999999999</v>
      </c>
      <c r="C68" t="s">
        <v>35</v>
      </c>
      <c r="D68" t="s">
        <v>29</v>
      </c>
      <c r="E68" t="s">
        <v>26</v>
      </c>
      <c r="F68" s="1"/>
    </row>
    <row r="69" spans="1:6" x14ac:dyDescent="0.2">
      <c r="A69" t="s">
        <v>31</v>
      </c>
      <c r="B69">
        <v>0.15959999999999999</v>
      </c>
      <c r="C69" t="s">
        <v>35</v>
      </c>
      <c r="D69" t="s">
        <v>29</v>
      </c>
      <c r="E69" t="s">
        <v>26</v>
      </c>
      <c r="F69" s="2"/>
    </row>
    <row r="70" spans="1:6" x14ac:dyDescent="0.2">
      <c r="A70" t="s">
        <v>32</v>
      </c>
      <c r="B70">
        <v>0.13969999999999999</v>
      </c>
      <c r="C70" t="s">
        <v>35</v>
      </c>
      <c r="D70" t="s">
        <v>29</v>
      </c>
      <c r="E70" t="s">
        <v>26</v>
      </c>
      <c r="F70" s="2">
        <f t="shared" ref="F70" si="21">AVERAGE(B68:B70)</f>
        <v>0.14959999999999998</v>
      </c>
    </row>
    <row r="71" spans="1:6" x14ac:dyDescent="0.2">
      <c r="A71" t="s">
        <v>18</v>
      </c>
      <c r="B71">
        <v>0.14979999999999999</v>
      </c>
      <c r="C71" t="s">
        <v>37</v>
      </c>
      <c r="D71" t="s">
        <v>29</v>
      </c>
      <c r="E71" t="s">
        <v>26</v>
      </c>
      <c r="F71" s="1"/>
    </row>
    <row r="72" spans="1:6" x14ac:dyDescent="0.2">
      <c r="A72" t="s">
        <v>19</v>
      </c>
      <c r="B72">
        <v>0.14349999999999999</v>
      </c>
      <c r="C72" t="s">
        <v>37</v>
      </c>
      <c r="D72" t="s">
        <v>29</v>
      </c>
      <c r="E72" t="s">
        <v>26</v>
      </c>
      <c r="F72" s="2"/>
    </row>
    <row r="73" spans="1:6" x14ac:dyDescent="0.2">
      <c r="A73" t="s">
        <v>20</v>
      </c>
      <c r="B73">
        <v>0.15870000000000001</v>
      </c>
      <c r="C73" t="s">
        <v>37</v>
      </c>
      <c r="D73" t="s">
        <v>29</v>
      </c>
      <c r="E73" t="s">
        <v>26</v>
      </c>
      <c r="F73" s="2">
        <f t="shared" ref="F73" si="22">AVERAGE(B71:B73)</f>
        <v>0.15066666666666667</v>
      </c>
    </row>
    <row r="74" spans="1:6" x14ac:dyDescent="0.2">
      <c r="A74" t="s">
        <v>0</v>
      </c>
      <c r="B74">
        <v>0.17380000000000001</v>
      </c>
      <c r="C74" t="s">
        <v>34</v>
      </c>
      <c r="D74" t="s">
        <v>28</v>
      </c>
      <c r="E74" t="s">
        <v>27</v>
      </c>
      <c r="F74" s="1"/>
    </row>
    <row r="75" spans="1:6" x14ac:dyDescent="0.2">
      <c r="A75" t="s">
        <v>1</v>
      </c>
      <c r="B75">
        <v>0.13350000000000001</v>
      </c>
      <c r="C75" t="s">
        <v>34</v>
      </c>
      <c r="D75" t="s">
        <v>28</v>
      </c>
      <c r="E75" t="s">
        <v>27</v>
      </c>
      <c r="F75" s="2"/>
    </row>
    <row r="76" spans="1:6" x14ac:dyDescent="0.2">
      <c r="A76" t="s">
        <v>2</v>
      </c>
      <c r="B76">
        <v>0.13120000000000001</v>
      </c>
      <c r="C76" t="s">
        <v>34</v>
      </c>
      <c r="D76" t="s">
        <v>28</v>
      </c>
      <c r="E76" t="s">
        <v>27</v>
      </c>
      <c r="F76" s="2">
        <f t="shared" ref="F76" si="23">AVERAGE(B74:B76)</f>
        <v>0.14616666666666667</v>
      </c>
    </row>
    <row r="77" spans="1:6" x14ac:dyDescent="0.2">
      <c r="A77" t="s">
        <v>3</v>
      </c>
      <c r="B77">
        <v>0.2069</v>
      </c>
      <c r="C77" t="s">
        <v>36</v>
      </c>
      <c r="D77" t="s">
        <v>28</v>
      </c>
      <c r="E77" t="s">
        <v>27</v>
      </c>
      <c r="F77" s="1"/>
    </row>
    <row r="78" spans="1:6" x14ac:dyDescent="0.2">
      <c r="A78" t="s">
        <v>4</v>
      </c>
      <c r="B78">
        <v>0.19550000000000001</v>
      </c>
      <c r="C78" t="s">
        <v>36</v>
      </c>
      <c r="D78" t="s">
        <v>28</v>
      </c>
      <c r="E78" t="s">
        <v>27</v>
      </c>
      <c r="F78" s="2"/>
    </row>
    <row r="79" spans="1:6" x14ac:dyDescent="0.2">
      <c r="A79" t="s">
        <v>5</v>
      </c>
      <c r="B79">
        <v>0.1943</v>
      </c>
      <c r="C79" t="s">
        <v>36</v>
      </c>
      <c r="D79" t="s">
        <v>28</v>
      </c>
      <c r="E79" t="s">
        <v>27</v>
      </c>
      <c r="F79" s="2">
        <f t="shared" ref="F79" si="24">AVERAGE(B77:B79)</f>
        <v>0.19889999999999999</v>
      </c>
    </row>
    <row r="80" spans="1:6" x14ac:dyDescent="0.2">
      <c r="A80" t="s">
        <v>6</v>
      </c>
      <c r="B80">
        <v>0.13009999999999999</v>
      </c>
      <c r="C80" t="s">
        <v>35</v>
      </c>
      <c r="D80" t="s">
        <v>28</v>
      </c>
      <c r="E80" t="s">
        <v>27</v>
      </c>
      <c r="F80" s="1"/>
    </row>
    <row r="81" spans="1:6" x14ac:dyDescent="0.2">
      <c r="A81" t="s">
        <v>7</v>
      </c>
      <c r="B81">
        <v>0.14030000000000001</v>
      </c>
      <c r="C81" t="s">
        <v>35</v>
      </c>
      <c r="D81" t="s">
        <v>28</v>
      </c>
      <c r="E81" t="s">
        <v>27</v>
      </c>
      <c r="F81" s="2"/>
    </row>
    <row r="82" spans="1:6" x14ac:dyDescent="0.2">
      <c r="A82" t="s">
        <v>8</v>
      </c>
      <c r="B82">
        <v>0.1439</v>
      </c>
      <c r="C82" t="s">
        <v>35</v>
      </c>
      <c r="D82" t="s">
        <v>28</v>
      </c>
      <c r="E82" t="s">
        <v>27</v>
      </c>
      <c r="F82" s="2">
        <f t="shared" ref="F82" si="25">AVERAGE(B80:B82)</f>
        <v>0.1381</v>
      </c>
    </row>
    <row r="83" spans="1:6" x14ac:dyDescent="0.2">
      <c r="A83" t="s">
        <v>9</v>
      </c>
      <c r="B83">
        <v>0.17199999999999999</v>
      </c>
      <c r="C83" t="s">
        <v>37</v>
      </c>
      <c r="D83" t="s">
        <v>28</v>
      </c>
      <c r="E83" t="s">
        <v>27</v>
      </c>
      <c r="F83" s="1"/>
    </row>
    <row r="84" spans="1:6" x14ac:dyDescent="0.2">
      <c r="A84" t="s">
        <v>10</v>
      </c>
      <c r="B84">
        <v>0.14699999999999999</v>
      </c>
      <c r="C84" t="s">
        <v>37</v>
      </c>
      <c r="D84" t="s">
        <v>28</v>
      </c>
      <c r="E84" t="s">
        <v>27</v>
      </c>
      <c r="F84" s="2"/>
    </row>
    <row r="85" spans="1:6" x14ac:dyDescent="0.2">
      <c r="A85" t="s">
        <v>11</v>
      </c>
      <c r="B85">
        <v>0.159</v>
      </c>
      <c r="C85" t="s">
        <v>37</v>
      </c>
      <c r="D85" t="s">
        <v>28</v>
      </c>
      <c r="E85" t="s">
        <v>27</v>
      </c>
      <c r="F85" s="2">
        <f t="shared" ref="F85" si="26">AVERAGE(B83:B85)</f>
        <v>0.15933333333333333</v>
      </c>
    </row>
    <row r="86" spans="1:6" x14ac:dyDescent="0.2">
      <c r="A86" t="s">
        <v>12</v>
      </c>
      <c r="B86">
        <v>0.14749999999999999</v>
      </c>
      <c r="C86" t="s">
        <v>34</v>
      </c>
      <c r="D86" t="s">
        <v>29</v>
      </c>
      <c r="E86" t="s">
        <v>27</v>
      </c>
      <c r="F86" s="1"/>
    </row>
    <row r="87" spans="1:6" x14ac:dyDescent="0.2">
      <c r="A87" t="s">
        <v>13</v>
      </c>
      <c r="B87">
        <v>0.1236</v>
      </c>
      <c r="C87" t="s">
        <v>34</v>
      </c>
      <c r="D87" t="s">
        <v>29</v>
      </c>
      <c r="E87" t="s">
        <v>27</v>
      </c>
      <c r="F87" s="2"/>
    </row>
    <row r="88" spans="1:6" x14ac:dyDescent="0.2">
      <c r="A88" t="s">
        <v>14</v>
      </c>
      <c r="B88">
        <v>0.1986</v>
      </c>
      <c r="C88" t="s">
        <v>34</v>
      </c>
      <c r="D88" t="s">
        <v>29</v>
      </c>
      <c r="E88" t="s">
        <v>27</v>
      </c>
      <c r="F88" s="2">
        <f t="shared" ref="F88" si="27">AVERAGE(B86:B88)</f>
        <v>0.15656666666666666</v>
      </c>
    </row>
    <row r="89" spans="1:6" x14ac:dyDescent="0.2">
      <c r="A89" t="s">
        <v>15</v>
      </c>
      <c r="B89">
        <v>0.1991</v>
      </c>
      <c r="C89" t="s">
        <v>36</v>
      </c>
      <c r="D89" t="s">
        <v>29</v>
      </c>
      <c r="E89" t="s">
        <v>27</v>
      </c>
      <c r="F89" s="1"/>
    </row>
    <row r="90" spans="1:6" x14ac:dyDescent="0.2">
      <c r="A90" t="s">
        <v>16</v>
      </c>
      <c r="B90">
        <v>0.19500000000000001</v>
      </c>
      <c r="C90" t="s">
        <v>36</v>
      </c>
      <c r="D90" t="s">
        <v>29</v>
      </c>
      <c r="E90" t="s">
        <v>27</v>
      </c>
      <c r="F90" s="2"/>
    </row>
    <row r="91" spans="1:6" x14ac:dyDescent="0.2">
      <c r="A91" t="s">
        <v>17</v>
      </c>
      <c r="B91">
        <v>0.19139999999999999</v>
      </c>
      <c r="C91" t="s">
        <v>36</v>
      </c>
      <c r="D91" t="s">
        <v>29</v>
      </c>
      <c r="E91" t="s">
        <v>27</v>
      </c>
      <c r="F91" s="2">
        <f t="shared" ref="F91" si="28">AVERAGE(B89:B91)</f>
        <v>0.19516666666666668</v>
      </c>
    </row>
    <row r="92" spans="1:6" x14ac:dyDescent="0.2">
      <c r="A92" t="s">
        <v>30</v>
      </c>
      <c r="B92">
        <v>0.15820000000000001</v>
      </c>
      <c r="C92" t="s">
        <v>35</v>
      </c>
      <c r="D92" t="s">
        <v>29</v>
      </c>
      <c r="E92" t="s">
        <v>27</v>
      </c>
      <c r="F92" s="1"/>
    </row>
    <row r="93" spans="1:6" x14ac:dyDescent="0.2">
      <c r="A93" t="s">
        <v>31</v>
      </c>
      <c r="B93">
        <v>0.1585</v>
      </c>
      <c r="C93" t="s">
        <v>35</v>
      </c>
      <c r="D93" t="s">
        <v>29</v>
      </c>
      <c r="E93" t="s">
        <v>27</v>
      </c>
      <c r="F93" s="2"/>
    </row>
    <row r="94" spans="1:6" x14ac:dyDescent="0.2">
      <c r="A94" t="s">
        <v>32</v>
      </c>
      <c r="B94">
        <v>0.14480000000000001</v>
      </c>
      <c r="C94" t="s">
        <v>35</v>
      </c>
      <c r="D94" t="s">
        <v>29</v>
      </c>
      <c r="E94" t="s">
        <v>27</v>
      </c>
      <c r="F94" s="2">
        <f t="shared" ref="F94" si="29">AVERAGE(B92:B94)</f>
        <v>0.15383333333333335</v>
      </c>
    </row>
    <row r="95" spans="1:6" x14ac:dyDescent="0.2">
      <c r="A95" t="s">
        <v>18</v>
      </c>
      <c r="B95">
        <v>0.1444</v>
      </c>
      <c r="C95" t="s">
        <v>37</v>
      </c>
      <c r="D95" t="s">
        <v>29</v>
      </c>
      <c r="E95" t="s">
        <v>27</v>
      </c>
      <c r="F95" s="1"/>
    </row>
    <row r="96" spans="1:6" x14ac:dyDescent="0.2">
      <c r="A96" t="s">
        <v>19</v>
      </c>
      <c r="B96">
        <v>0.14860000000000001</v>
      </c>
      <c r="C96" t="s">
        <v>37</v>
      </c>
      <c r="D96" t="s">
        <v>29</v>
      </c>
      <c r="E96" t="s">
        <v>27</v>
      </c>
      <c r="F96" s="2"/>
    </row>
    <row r="97" spans="1:6" x14ac:dyDescent="0.2">
      <c r="A97" t="s">
        <v>20</v>
      </c>
      <c r="B97">
        <v>0.19620000000000001</v>
      </c>
      <c r="C97" t="s">
        <v>37</v>
      </c>
      <c r="D97" t="s">
        <v>29</v>
      </c>
      <c r="E97" t="s">
        <v>27</v>
      </c>
      <c r="F97" s="2">
        <f t="shared" ref="F97" si="30">AVERAGE(B95:B97)</f>
        <v>0.16306666666666669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055-45E9-7F40-AC2B-1CA787D676A0}">
  <dimension ref="A1:F55"/>
  <sheetViews>
    <sheetView workbookViewId="0">
      <selection sqref="A1:F55"/>
    </sheetView>
  </sheetViews>
  <sheetFormatPr baseColWidth="10" defaultRowHeight="16" x14ac:dyDescent="0.2"/>
  <cols>
    <col min="3" max="3" width="21" customWidth="1"/>
  </cols>
  <sheetData>
    <row r="1" spans="1:6" x14ac:dyDescent="0.2">
      <c r="A1" s="1" t="s">
        <v>21</v>
      </c>
      <c r="B1" s="1" t="s">
        <v>39</v>
      </c>
      <c r="C1" s="1" t="s">
        <v>23</v>
      </c>
      <c r="D1" s="1" t="s">
        <v>22</v>
      </c>
      <c r="E1" s="1" t="s">
        <v>98</v>
      </c>
      <c r="F1" s="1" t="s">
        <v>38</v>
      </c>
    </row>
    <row r="2" spans="1:6" x14ac:dyDescent="0.2">
      <c r="A2" t="s">
        <v>41</v>
      </c>
      <c r="B2">
        <v>5.1400000000000001E-2</v>
      </c>
      <c r="C2" t="s">
        <v>34</v>
      </c>
      <c r="D2" t="s">
        <v>28</v>
      </c>
      <c r="E2" t="s">
        <v>77</v>
      </c>
      <c r="F2" t="s">
        <v>24</v>
      </c>
    </row>
    <row r="3" spans="1:6" x14ac:dyDescent="0.2">
      <c r="A3" t="s">
        <v>42</v>
      </c>
      <c r="B3">
        <v>5.1699999999999996E-2</v>
      </c>
      <c r="C3" t="s">
        <v>34</v>
      </c>
      <c r="D3" t="s">
        <v>28</v>
      </c>
      <c r="E3" t="s">
        <v>77</v>
      </c>
      <c r="F3" t="s">
        <v>24</v>
      </c>
    </row>
    <row r="4" spans="1:6" x14ac:dyDescent="0.2">
      <c r="A4" t="s">
        <v>43</v>
      </c>
      <c r="B4">
        <v>4.8100000000000004E-2</v>
      </c>
      <c r="C4" t="s">
        <v>34</v>
      </c>
      <c r="D4" t="s">
        <v>28</v>
      </c>
      <c r="E4" t="s">
        <v>77</v>
      </c>
      <c r="F4" t="s">
        <v>24</v>
      </c>
    </row>
    <row r="5" spans="1:6" x14ac:dyDescent="0.2">
      <c r="A5" t="s">
        <v>44</v>
      </c>
      <c r="B5">
        <v>1.1099999999999999E-2</v>
      </c>
      <c r="C5" t="s">
        <v>34</v>
      </c>
      <c r="D5" t="s">
        <v>28</v>
      </c>
      <c r="E5" t="s">
        <v>78</v>
      </c>
      <c r="F5" t="s">
        <v>24</v>
      </c>
    </row>
    <row r="6" spans="1:6" x14ac:dyDescent="0.2">
      <c r="A6" t="s">
        <v>45</v>
      </c>
      <c r="B6">
        <v>4.519999999999999E-2</v>
      </c>
      <c r="C6" t="s">
        <v>34</v>
      </c>
      <c r="D6" t="s">
        <v>28</v>
      </c>
      <c r="E6" t="s">
        <v>78</v>
      </c>
      <c r="F6" t="s">
        <v>24</v>
      </c>
    </row>
    <row r="7" spans="1:6" x14ac:dyDescent="0.2">
      <c r="A7" t="s">
        <v>46</v>
      </c>
      <c r="B7">
        <v>4.2199999999999988E-2</v>
      </c>
      <c r="C7" t="s">
        <v>34</v>
      </c>
      <c r="D7" t="s">
        <v>28</v>
      </c>
      <c r="E7" t="s">
        <v>78</v>
      </c>
      <c r="F7" t="s">
        <v>24</v>
      </c>
    </row>
    <row r="8" spans="1:6" x14ac:dyDescent="0.2">
      <c r="A8" t="s">
        <v>47</v>
      </c>
      <c r="B8">
        <v>6.0299999999999992E-2</v>
      </c>
      <c r="C8" t="s">
        <v>34</v>
      </c>
      <c r="D8" t="s">
        <v>28</v>
      </c>
      <c r="E8" t="s">
        <v>79</v>
      </c>
      <c r="F8" t="s">
        <v>24</v>
      </c>
    </row>
    <row r="9" spans="1:6" x14ac:dyDescent="0.2">
      <c r="A9" t="s">
        <v>48</v>
      </c>
      <c r="B9">
        <v>5.4399999999999976E-2</v>
      </c>
      <c r="C9" t="s">
        <v>34</v>
      </c>
      <c r="D9" t="s">
        <v>28</v>
      </c>
      <c r="E9" t="s">
        <v>79</v>
      </c>
      <c r="F9" t="s">
        <v>24</v>
      </c>
    </row>
    <row r="10" spans="1:6" x14ac:dyDescent="0.2">
      <c r="A10" t="s">
        <v>49</v>
      </c>
      <c r="B10">
        <v>4.7199999999999992E-2</v>
      </c>
      <c r="C10" t="s">
        <v>34</v>
      </c>
      <c r="D10" t="s">
        <v>28</v>
      </c>
      <c r="E10" t="s">
        <v>79</v>
      </c>
      <c r="F10" t="s">
        <v>24</v>
      </c>
    </row>
    <row r="11" spans="1:6" x14ac:dyDescent="0.2">
      <c r="A11" t="s">
        <v>50</v>
      </c>
      <c r="B11">
        <v>-1.2999999999999956E-3</v>
      </c>
      <c r="C11" t="s">
        <v>34</v>
      </c>
      <c r="D11" t="s">
        <v>29</v>
      </c>
      <c r="E11" t="s">
        <v>77</v>
      </c>
      <c r="F11" t="s">
        <v>24</v>
      </c>
    </row>
    <row r="12" spans="1:6" x14ac:dyDescent="0.2">
      <c r="A12" t="s">
        <v>51</v>
      </c>
      <c r="B12">
        <v>4.7000000000000014E-2</v>
      </c>
      <c r="C12" t="s">
        <v>34</v>
      </c>
      <c r="D12" t="s">
        <v>29</v>
      </c>
      <c r="E12" t="s">
        <v>77</v>
      </c>
      <c r="F12" t="s">
        <v>24</v>
      </c>
    </row>
    <row r="13" spans="1:6" x14ac:dyDescent="0.2">
      <c r="A13" t="s">
        <v>52</v>
      </c>
      <c r="B13">
        <v>4.9200000000000021E-2</v>
      </c>
      <c r="C13" t="s">
        <v>34</v>
      </c>
      <c r="D13" t="s">
        <v>29</v>
      </c>
      <c r="E13" t="s">
        <v>77</v>
      </c>
      <c r="F13" t="s">
        <v>24</v>
      </c>
    </row>
    <row r="14" spans="1:6" x14ac:dyDescent="0.2">
      <c r="A14" t="s">
        <v>53</v>
      </c>
      <c r="B14">
        <v>5.9900000000000009E-2</v>
      </c>
      <c r="C14" t="s">
        <v>34</v>
      </c>
      <c r="D14" t="s">
        <v>29</v>
      </c>
      <c r="E14" t="s">
        <v>78</v>
      </c>
      <c r="F14" t="s">
        <v>24</v>
      </c>
    </row>
    <row r="15" spans="1:6" x14ac:dyDescent="0.2">
      <c r="A15" t="s">
        <v>54</v>
      </c>
      <c r="B15">
        <v>5.4899999999999977E-2</v>
      </c>
      <c r="C15" t="s">
        <v>34</v>
      </c>
      <c r="D15" t="s">
        <v>29</v>
      </c>
      <c r="E15" t="s">
        <v>78</v>
      </c>
      <c r="F15" t="s">
        <v>24</v>
      </c>
    </row>
    <row r="16" spans="1:6" x14ac:dyDescent="0.2">
      <c r="A16" t="s">
        <v>55</v>
      </c>
      <c r="B16">
        <v>4.9200000000000021E-2</v>
      </c>
      <c r="C16" t="s">
        <v>34</v>
      </c>
      <c r="D16" t="s">
        <v>29</v>
      </c>
      <c r="E16" t="s">
        <v>78</v>
      </c>
      <c r="F16" t="s">
        <v>24</v>
      </c>
    </row>
    <row r="17" spans="1:6" x14ac:dyDescent="0.2">
      <c r="A17" t="s">
        <v>56</v>
      </c>
      <c r="B17">
        <v>1.0099999999999998E-2</v>
      </c>
      <c r="C17" t="s">
        <v>34</v>
      </c>
      <c r="D17" t="s">
        <v>29</v>
      </c>
      <c r="E17" t="s">
        <v>79</v>
      </c>
      <c r="F17" t="s">
        <v>24</v>
      </c>
    </row>
    <row r="18" spans="1:6" x14ac:dyDescent="0.2">
      <c r="A18" t="s">
        <v>57</v>
      </c>
      <c r="B18">
        <v>6.6700000000000009E-2</v>
      </c>
      <c r="C18" t="s">
        <v>34</v>
      </c>
      <c r="D18" t="s">
        <v>29</v>
      </c>
      <c r="E18" t="s">
        <v>79</v>
      </c>
      <c r="F18" t="s">
        <v>24</v>
      </c>
    </row>
    <row r="19" spans="1:6" x14ac:dyDescent="0.2">
      <c r="A19" t="s">
        <v>58</v>
      </c>
      <c r="B19">
        <v>5.9499999999999997E-2</v>
      </c>
      <c r="C19" t="s">
        <v>34</v>
      </c>
      <c r="D19" t="s">
        <v>29</v>
      </c>
      <c r="E19" t="s">
        <v>79</v>
      </c>
      <c r="F19" t="s">
        <v>24</v>
      </c>
    </row>
    <row r="20" spans="1:6" x14ac:dyDescent="0.2">
      <c r="A20" t="s">
        <v>59</v>
      </c>
      <c r="B20">
        <v>5.4700000000000013E-2</v>
      </c>
      <c r="C20" t="s">
        <v>35</v>
      </c>
      <c r="D20" t="s">
        <v>28</v>
      </c>
      <c r="E20" t="s">
        <v>77</v>
      </c>
      <c r="F20" t="s">
        <v>24</v>
      </c>
    </row>
    <row r="21" spans="1:6" x14ac:dyDescent="0.2">
      <c r="A21" t="s">
        <v>60</v>
      </c>
      <c r="B21">
        <v>6.1100000000000015E-2</v>
      </c>
      <c r="C21" t="s">
        <v>35</v>
      </c>
      <c r="D21" t="s">
        <v>28</v>
      </c>
      <c r="E21" t="s">
        <v>77</v>
      </c>
      <c r="F21" t="s">
        <v>24</v>
      </c>
    </row>
    <row r="22" spans="1:6" x14ac:dyDescent="0.2">
      <c r="A22" t="s">
        <v>61</v>
      </c>
      <c r="B22">
        <v>5.33E-2</v>
      </c>
      <c r="C22" t="s">
        <v>35</v>
      </c>
      <c r="D22" t="s">
        <v>28</v>
      </c>
      <c r="E22" t="s">
        <v>77</v>
      </c>
      <c r="F22" t="s">
        <v>24</v>
      </c>
    </row>
    <row r="23" spans="1:6" x14ac:dyDescent="0.2">
      <c r="A23" t="s">
        <v>62</v>
      </c>
      <c r="B23">
        <v>3.6100000000000007E-2</v>
      </c>
      <c r="C23" t="s">
        <v>35</v>
      </c>
      <c r="D23" t="s">
        <v>28</v>
      </c>
      <c r="E23" t="s">
        <v>78</v>
      </c>
      <c r="F23" t="s">
        <v>24</v>
      </c>
    </row>
    <row r="24" spans="1:6" x14ac:dyDescent="0.2">
      <c r="A24" t="s">
        <v>63</v>
      </c>
      <c r="B24">
        <v>3.7000000000000005E-2</v>
      </c>
      <c r="C24" t="s">
        <v>35</v>
      </c>
      <c r="D24" t="s">
        <v>28</v>
      </c>
      <c r="E24" t="s">
        <v>78</v>
      </c>
      <c r="F24" t="s">
        <v>24</v>
      </c>
    </row>
    <row r="25" spans="1:6" x14ac:dyDescent="0.2">
      <c r="A25" t="s">
        <v>64</v>
      </c>
      <c r="B25">
        <v>4.0999999999999995E-2</v>
      </c>
      <c r="C25" t="s">
        <v>35</v>
      </c>
      <c r="D25" t="s">
        <v>28</v>
      </c>
      <c r="E25" t="s">
        <v>78</v>
      </c>
      <c r="F25" t="s">
        <v>24</v>
      </c>
    </row>
    <row r="26" spans="1:6" x14ac:dyDescent="0.2">
      <c r="A26" t="s">
        <v>65</v>
      </c>
      <c r="B26">
        <v>5.2500000000000005E-2</v>
      </c>
      <c r="C26" t="s">
        <v>35</v>
      </c>
      <c r="D26" t="s">
        <v>28</v>
      </c>
      <c r="E26" t="s">
        <v>79</v>
      </c>
      <c r="F26" t="s">
        <v>24</v>
      </c>
    </row>
    <row r="27" spans="1:6" x14ac:dyDescent="0.2">
      <c r="A27" t="s">
        <v>66</v>
      </c>
      <c r="B27">
        <v>5.6399999999999992E-2</v>
      </c>
      <c r="C27" t="s">
        <v>35</v>
      </c>
      <c r="D27" t="s">
        <v>28</v>
      </c>
      <c r="E27" t="s">
        <v>79</v>
      </c>
      <c r="F27" t="s">
        <v>24</v>
      </c>
    </row>
    <row r="28" spans="1:6" x14ac:dyDescent="0.2">
      <c r="A28" t="s">
        <v>67</v>
      </c>
      <c r="B28">
        <v>5.6099999999999997E-2</v>
      </c>
      <c r="C28" t="s">
        <v>35</v>
      </c>
      <c r="D28" t="s">
        <v>28</v>
      </c>
      <c r="E28" t="s">
        <v>79</v>
      </c>
      <c r="F28" t="s">
        <v>24</v>
      </c>
    </row>
    <row r="29" spans="1:6" x14ac:dyDescent="0.2">
      <c r="A29" t="s">
        <v>68</v>
      </c>
      <c r="B29">
        <v>5.6799999999999989E-2</v>
      </c>
      <c r="C29" t="s">
        <v>35</v>
      </c>
      <c r="D29" t="s">
        <v>29</v>
      </c>
      <c r="E29" t="s">
        <v>77</v>
      </c>
      <c r="F29" t="s">
        <v>24</v>
      </c>
    </row>
    <row r="30" spans="1:6" x14ac:dyDescent="0.2">
      <c r="A30" t="s">
        <v>69</v>
      </c>
      <c r="B30">
        <v>5.1500000000000004E-2</v>
      </c>
      <c r="C30" t="s">
        <v>35</v>
      </c>
      <c r="D30" t="s">
        <v>29</v>
      </c>
      <c r="E30" t="s">
        <v>77</v>
      </c>
      <c r="F30" t="s">
        <v>24</v>
      </c>
    </row>
    <row r="31" spans="1:6" x14ac:dyDescent="0.2">
      <c r="A31" t="s">
        <v>70</v>
      </c>
      <c r="B31">
        <v>4.8899999999999999E-2</v>
      </c>
      <c r="C31" t="s">
        <v>35</v>
      </c>
      <c r="D31" t="s">
        <v>29</v>
      </c>
      <c r="E31" t="s">
        <v>77</v>
      </c>
      <c r="F31" t="s">
        <v>24</v>
      </c>
    </row>
    <row r="32" spans="1:6" x14ac:dyDescent="0.2">
      <c r="A32" t="s">
        <v>71</v>
      </c>
      <c r="B32">
        <v>4.3099999999999999E-2</v>
      </c>
      <c r="C32" t="s">
        <v>35</v>
      </c>
      <c r="D32" t="s">
        <v>29</v>
      </c>
      <c r="E32" t="s">
        <v>78</v>
      </c>
      <c r="F32" t="s">
        <v>24</v>
      </c>
    </row>
    <row r="33" spans="1:6" x14ac:dyDescent="0.2">
      <c r="A33" t="s">
        <v>72</v>
      </c>
      <c r="B33">
        <v>4.3999999999999984E-2</v>
      </c>
      <c r="C33" t="s">
        <v>35</v>
      </c>
      <c r="D33" t="s">
        <v>29</v>
      </c>
      <c r="E33" t="s">
        <v>78</v>
      </c>
      <c r="F33" t="s">
        <v>24</v>
      </c>
    </row>
    <row r="34" spans="1:6" x14ac:dyDescent="0.2">
      <c r="A34" t="s">
        <v>73</v>
      </c>
      <c r="B34">
        <v>4.3500000000000011E-2</v>
      </c>
      <c r="C34" t="s">
        <v>35</v>
      </c>
      <c r="D34" t="s">
        <v>29</v>
      </c>
      <c r="E34" t="s">
        <v>78</v>
      </c>
      <c r="F34" t="s">
        <v>24</v>
      </c>
    </row>
    <row r="35" spans="1:6" x14ac:dyDescent="0.2">
      <c r="A35" t="s">
        <v>74</v>
      </c>
      <c r="B35">
        <v>7.17E-2</v>
      </c>
      <c r="C35" t="s">
        <v>35</v>
      </c>
      <c r="D35" t="s">
        <v>29</v>
      </c>
      <c r="E35" t="s">
        <v>79</v>
      </c>
      <c r="F35" t="s">
        <v>24</v>
      </c>
    </row>
    <row r="36" spans="1:6" x14ac:dyDescent="0.2">
      <c r="A36" t="s">
        <v>75</v>
      </c>
      <c r="B36">
        <v>6.9400000000000003E-2</v>
      </c>
      <c r="C36" t="s">
        <v>35</v>
      </c>
      <c r="D36" t="s">
        <v>29</v>
      </c>
      <c r="E36" t="s">
        <v>79</v>
      </c>
      <c r="F36" t="s">
        <v>24</v>
      </c>
    </row>
    <row r="37" spans="1:6" x14ac:dyDescent="0.2">
      <c r="A37" t="s">
        <v>76</v>
      </c>
      <c r="B37">
        <v>5.800000000000001E-2</v>
      </c>
      <c r="C37" t="s">
        <v>35</v>
      </c>
      <c r="D37" t="s">
        <v>29</v>
      </c>
      <c r="E37" t="s">
        <v>79</v>
      </c>
      <c r="F37" t="s">
        <v>24</v>
      </c>
    </row>
    <row r="38" spans="1:6" x14ac:dyDescent="0.2">
      <c r="A38" t="s">
        <v>80</v>
      </c>
      <c r="B38">
        <v>4.5600000000000002E-2</v>
      </c>
      <c r="C38" t="s">
        <v>36</v>
      </c>
      <c r="D38" t="s">
        <v>28</v>
      </c>
      <c r="E38" t="s">
        <v>77</v>
      </c>
      <c r="F38" t="s">
        <v>24</v>
      </c>
    </row>
    <row r="39" spans="1:6" x14ac:dyDescent="0.2">
      <c r="A39" t="s">
        <v>81</v>
      </c>
      <c r="B39">
        <v>5.6399999999999978E-2</v>
      </c>
      <c r="C39" t="s">
        <v>36</v>
      </c>
      <c r="D39" t="s">
        <v>28</v>
      </c>
      <c r="E39" t="s">
        <v>77</v>
      </c>
      <c r="F39" t="s">
        <v>24</v>
      </c>
    </row>
    <row r="40" spans="1:6" x14ac:dyDescent="0.2">
      <c r="A40" t="s">
        <v>82</v>
      </c>
      <c r="B40">
        <v>8.0399999999999971E-2</v>
      </c>
      <c r="C40" t="s">
        <v>36</v>
      </c>
      <c r="D40" t="s">
        <v>28</v>
      </c>
      <c r="E40" t="s">
        <v>77</v>
      </c>
      <c r="F40" t="s">
        <v>24</v>
      </c>
    </row>
    <row r="41" spans="1:6" x14ac:dyDescent="0.2">
      <c r="A41" t="s">
        <v>83</v>
      </c>
      <c r="B41">
        <v>3.4399999999999986E-2</v>
      </c>
      <c r="C41" t="s">
        <v>36</v>
      </c>
      <c r="D41" t="s">
        <v>28</v>
      </c>
      <c r="E41" t="s">
        <v>78</v>
      </c>
      <c r="F41" t="s">
        <v>24</v>
      </c>
    </row>
    <row r="42" spans="1:6" x14ac:dyDescent="0.2">
      <c r="A42" t="s">
        <v>84</v>
      </c>
      <c r="B42">
        <v>5.04E-2</v>
      </c>
      <c r="C42" t="s">
        <v>36</v>
      </c>
      <c r="D42" t="s">
        <v>28</v>
      </c>
      <c r="E42" t="s">
        <v>78</v>
      </c>
      <c r="F42" t="s">
        <v>24</v>
      </c>
    </row>
    <row r="43" spans="1:6" x14ac:dyDescent="0.2">
      <c r="A43" t="s">
        <v>85</v>
      </c>
      <c r="B43">
        <v>7.2899999999999993E-2</v>
      </c>
      <c r="C43" t="s">
        <v>36</v>
      </c>
      <c r="D43" t="s">
        <v>28</v>
      </c>
      <c r="E43" t="s">
        <v>78</v>
      </c>
      <c r="F43" t="s">
        <v>24</v>
      </c>
    </row>
    <row r="44" spans="1:6" x14ac:dyDescent="0.2">
      <c r="A44" t="s">
        <v>86</v>
      </c>
      <c r="B44">
        <v>4.300000000000001E-2</v>
      </c>
      <c r="C44" t="s">
        <v>36</v>
      </c>
      <c r="D44" t="s">
        <v>28</v>
      </c>
      <c r="E44" t="s">
        <v>79</v>
      </c>
      <c r="F44" t="s">
        <v>24</v>
      </c>
    </row>
    <row r="45" spans="1:6" x14ac:dyDescent="0.2">
      <c r="A45" t="s">
        <v>87</v>
      </c>
      <c r="B45">
        <v>4.3999999999999984E-2</v>
      </c>
      <c r="C45" t="s">
        <v>36</v>
      </c>
      <c r="D45" t="s">
        <v>28</v>
      </c>
      <c r="E45" t="s">
        <v>79</v>
      </c>
      <c r="F45" t="s">
        <v>24</v>
      </c>
    </row>
    <row r="46" spans="1:6" x14ac:dyDescent="0.2">
      <c r="A46" t="s">
        <v>88</v>
      </c>
      <c r="B46">
        <v>8.9200000000000002E-2</v>
      </c>
      <c r="C46" t="s">
        <v>36</v>
      </c>
      <c r="D46" t="s">
        <v>28</v>
      </c>
      <c r="E46" t="s">
        <v>79</v>
      </c>
      <c r="F46" t="s">
        <v>24</v>
      </c>
    </row>
    <row r="47" spans="1:6" x14ac:dyDescent="0.2">
      <c r="A47" t="s">
        <v>89</v>
      </c>
      <c r="B47">
        <v>4.2099999999999999E-2</v>
      </c>
      <c r="C47" t="s">
        <v>36</v>
      </c>
      <c r="D47" t="s">
        <v>29</v>
      </c>
      <c r="E47" t="s">
        <v>77</v>
      </c>
      <c r="F47" t="s">
        <v>24</v>
      </c>
    </row>
    <row r="48" spans="1:6" x14ac:dyDescent="0.2">
      <c r="A48" t="s">
        <v>90</v>
      </c>
      <c r="B48">
        <v>5.2299999999999985E-2</v>
      </c>
      <c r="C48" t="s">
        <v>36</v>
      </c>
      <c r="D48" t="s">
        <v>29</v>
      </c>
      <c r="E48" t="s">
        <v>77</v>
      </c>
      <c r="F48" t="s">
        <v>24</v>
      </c>
    </row>
    <row r="49" spans="1:6" x14ac:dyDescent="0.2">
      <c r="A49" t="s">
        <v>91</v>
      </c>
      <c r="B49">
        <v>6.4799999999999996E-2</v>
      </c>
      <c r="C49" t="s">
        <v>36</v>
      </c>
      <c r="D49" t="s">
        <v>29</v>
      </c>
      <c r="E49" t="s">
        <v>77</v>
      </c>
      <c r="F49" t="s">
        <v>24</v>
      </c>
    </row>
    <row r="50" spans="1:6" x14ac:dyDescent="0.2">
      <c r="A50" t="s">
        <v>92</v>
      </c>
      <c r="B50">
        <v>6.3100000000000017E-2</v>
      </c>
      <c r="C50" t="s">
        <v>36</v>
      </c>
      <c r="D50" t="s">
        <v>29</v>
      </c>
      <c r="E50" t="s">
        <v>78</v>
      </c>
      <c r="F50" t="s">
        <v>24</v>
      </c>
    </row>
    <row r="51" spans="1:6" x14ac:dyDescent="0.2">
      <c r="A51" t="s">
        <v>93</v>
      </c>
      <c r="B51">
        <v>6.1299999999999993E-2</v>
      </c>
      <c r="C51" t="s">
        <v>36</v>
      </c>
      <c r="D51" t="s">
        <v>29</v>
      </c>
      <c r="E51" t="s">
        <v>78</v>
      </c>
      <c r="F51" t="s">
        <v>24</v>
      </c>
    </row>
    <row r="52" spans="1:6" x14ac:dyDescent="0.2">
      <c r="A52" t="s">
        <v>94</v>
      </c>
      <c r="B52">
        <v>4.8199999999999993E-2</v>
      </c>
      <c r="C52" t="s">
        <v>36</v>
      </c>
      <c r="D52" t="s">
        <v>29</v>
      </c>
      <c r="E52" t="s">
        <v>78</v>
      </c>
      <c r="F52" t="s">
        <v>24</v>
      </c>
    </row>
    <row r="53" spans="1:6" x14ac:dyDescent="0.2">
      <c r="A53" t="s">
        <v>95</v>
      </c>
      <c r="B53">
        <v>6.9000000000000006E-2</v>
      </c>
      <c r="C53" t="s">
        <v>36</v>
      </c>
      <c r="D53" t="s">
        <v>29</v>
      </c>
      <c r="E53" t="s">
        <v>79</v>
      </c>
      <c r="F53" t="s">
        <v>24</v>
      </c>
    </row>
    <row r="54" spans="1:6" x14ac:dyDescent="0.2">
      <c r="A54" t="s">
        <v>96</v>
      </c>
      <c r="B54">
        <v>7.4899999999999994E-2</v>
      </c>
      <c r="C54" t="s">
        <v>36</v>
      </c>
      <c r="D54" t="s">
        <v>29</v>
      </c>
      <c r="E54" t="s">
        <v>79</v>
      </c>
      <c r="F54" t="s">
        <v>24</v>
      </c>
    </row>
    <row r="55" spans="1:6" x14ac:dyDescent="0.2">
      <c r="A55" t="s">
        <v>97</v>
      </c>
      <c r="B55">
        <v>7.2800000000000004E-2</v>
      </c>
      <c r="C55" t="s">
        <v>36</v>
      </c>
      <c r="D55" t="s">
        <v>29</v>
      </c>
      <c r="E55" t="s">
        <v>79</v>
      </c>
      <c r="F55" t="s">
        <v>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AAA9-B59C-834F-AA78-53E35C5DCDCE}">
  <dimension ref="A1:F55"/>
  <sheetViews>
    <sheetView tabSelected="1" topLeftCell="A13" workbookViewId="0">
      <selection activeCell="C22" sqref="C22"/>
    </sheetView>
  </sheetViews>
  <sheetFormatPr baseColWidth="10" defaultRowHeight="16" x14ac:dyDescent="0.2"/>
  <sheetData>
    <row r="1" spans="1:6" x14ac:dyDescent="0.2">
      <c r="A1" s="1" t="s">
        <v>21</v>
      </c>
      <c r="B1" s="1" t="s">
        <v>39</v>
      </c>
      <c r="C1" s="1" t="s">
        <v>23</v>
      </c>
      <c r="D1" s="1" t="s">
        <v>22</v>
      </c>
      <c r="E1" s="1" t="s">
        <v>98</v>
      </c>
      <c r="F1" s="1" t="s">
        <v>38</v>
      </c>
    </row>
    <row r="2" spans="1:6" x14ac:dyDescent="0.2">
      <c r="A2" t="s">
        <v>41</v>
      </c>
      <c r="B2">
        <v>7.870000000000002E-2</v>
      </c>
      <c r="C2" t="s">
        <v>34</v>
      </c>
      <c r="D2" t="s">
        <v>28</v>
      </c>
      <c r="E2" t="s">
        <v>77</v>
      </c>
      <c r="F2" t="s">
        <v>25</v>
      </c>
    </row>
    <row r="3" spans="1:6" x14ac:dyDescent="0.2">
      <c r="A3" t="s">
        <v>42</v>
      </c>
      <c r="B3">
        <v>6.6899999999999987E-2</v>
      </c>
      <c r="C3" t="s">
        <v>34</v>
      </c>
      <c r="D3" t="s">
        <v>28</v>
      </c>
      <c r="E3" t="s">
        <v>77</v>
      </c>
      <c r="F3" t="s">
        <v>25</v>
      </c>
    </row>
    <row r="4" spans="1:6" x14ac:dyDescent="0.2">
      <c r="A4" t="s">
        <v>43</v>
      </c>
      <c r="B4">
        <v>7.4500000000000011E-2</v>
      </c>
      <c r="C4" t="s">
        <v>34</v>
      </c>
      <c r="D4" t="s">
        <v>28</v>
      </c>
      <c r="E4" t="s">
        <v>77</v>
      </c>
      <c r="F4" t="s">
        <v>25</v>
      </c>
    </row>
    <row r="5" spans="1:6" x14ac:dyDescent="0.2">
      <c r="A5" t="s">
        <v>44</v>
      </c>
      <c r="B5">
        <v>8.9700000000000002E-2</v>
      </c>
      <c r="C5" t="s">
        <v>34</v>
      </c>
      <c r="D5" t="s">
        <v>28</v>
      </c>
      <c r="E5" t="s">
        <v>78</v>
      </c>
      <c r="F5" t="s">
        <v>25</v>
      </c>
    </row>
    <row r="6" spans="1:6" x14ac:dyDescent="0.2">
      <c r="A6" t="s">
        <v>45</v>
      </c>
      <c r="B6">
        <v>8.030000000000001E-2</v>
      </c>
      <c r="C6" t="s">
        <v>34</v>
      </c>
      <c r="D6" t="s">
        <v>28</v>
      </c>
      <c r="E6" t="s">
        <v>78</v>
      </c>
      <c r="F6" t="s">
        <v>25</v>
      </c>
    </row>
    <row r="7" spans="1:6" x14ac:dyDescent="0.2">
      <c r="A7" t="s">
        <v>46</v>
      </c>
      <c r="B7">
        <v>6.5699999999999981E-2</v>
      </c>
      <c r="C7" t="s">
        <v>34</v>
      </c>
      <c r="D7" t="s">
        <v>28</v>
      </c>
      <c r="E7" t="s">
        <v>78</v>
      </c>
      <c r="F7" t="s">
        <v>25</v>
      </c>
    </row>
    <row r="8" spans="1:6" x14ac:dyDescent="0.2">
      <c r="A8" t="s">
        <v>47</v>
      </c>
      <c r="B8">
        <v>8.6099999999999982E-2</v>
      </c>
      <c r="C8" t="s">
        <v>34</v>
      </c>
      <c r="D8" t="s">
        <v>28</v>
      </c>
      <c r="E8" t="s">
        <v>79</v>
      </c>
      <c r="F8" t="s">
        <v>25</v>
      </c>
    </row>
    <row r="9" spans="1:6" x14ac:dyDescent="0.2">
      <c r="A9" t="s">
        <v>48</v>
      </c>
      <c r="B9">
        <v>0.10390000000000002</v>
      </c>
      <c r="C9" t="s">
        <v>34</v>
      </c>
      <c r="D9" t="s">
        <v>28</v>
      </c>
      <c r="E9" t="s">
        <v>79</v>
      </c>
      <c r="F9" t="s">
        <v>25</v>
      </c>
    </row>
    <row r="10" spans="1:6" x14ac:dyDescent="0.2">
      <c r="A10" t="s">
        <v>49</v>
      </c>
      <c r="B10">
        <v>9.8899999999999988E-2</v>
      </c>
      <c r="C10" t="s">
        <v>34</v>
      </c>
      <c r="D10" t="s">
        <v>28</v>
      </c>
      <c r="E10" t="s">
        <v>79</v>
      </c>
      <c r="F10" t="s">
        <v>25</v>
      </c>
    </row>
    <row r="11" spans="1:6" x14ac:dyDescent="0.2">
      <c r="A11" t="s">
        <v>50</v>
      </c>
      <c r="B11">
        <v>7.569999999999999E-2</v>
      </c>
      <c r="C11" t="s">
        <v>34</v>
      </c>
      <c r="D11" t="s">
        <v>29</v>
      </c>
      <c r="E11" t="s">
        <v>77</v>
      </c>
      <c r="F11" t="s">
        <v>25</v>
      </c>
    </row>
    <row r="12" spans="1:6" x14ac:dyDescent="0.2">
      <c r="A12" t="s">
        <v>51</v>
      </c>
      <c r="B12">
        <v>5.6999999999999995E-2</v>
      </c>
      <c r="C12" t="s">
        <v>34</v>
      </c>
      <c r="D12" t="s">
        <v>29</v>
      </c>
      <c r="E12" t="s">
        <v>77</v>
      </c>
      <c r="F12" t="s">
        <v>25</v>
      </c>
    </row>
    <row r="13" spans="1:6" x14ac:dyDescent="0.2">
      <c r="A13" t="s">
        <v>52</v>
      </c>
      <c r="B13">
        <v>7.0400000000000018E-2</v>
      </c>
      <c r="C13" t="s">
        <v>34</v>
      </c>
      <c r="D13" t="s">
        <v>29</v>
      </c>
      <c r="E13" t="s">
        <v>77</v>
      </c>
      <c r="F13" t="s">
        <v>25</v>
      </c>
    </row>
    <row r="14" spans="1:6" x14ac:dyDescent="0.2">
      <c r="A14" t="s">
        <v>53</v>
      </c>
      <c r="B14">
        <v>8.4499999999999992E-2</v>
      </c>
      <c r="C14" t="s">
        <v>34</v>
      </c>
      <c r="D14" t="s">
        <v>29</v>
      </c>
      <c r="E14" t="s">
        <v>78</v>
      </c>
      <c r="F14" t="s">
        <v>25</v>
      </c>
    </row>
    <row r="15" spans="1:6" x14ac:dyDescent="0.2">
      <c r="A15" t="s">
        <v>54</v>
      </c>
      <c r="B15">
        <v>9.3400000000000011E-2</v>
      </c>
      <c r="C15" t="s">
        <v>34</v>
      </c>
      <c r="D15" t="s">
        <v>29</v>
      </c>
      <c r="E15" t="s">
        <v>78</v>
      </c>
      <c r="F15" t="s">
        <v>25</v>
      </c>
    </row>
    <row r="16" spans="1:6" x14ac:dyDescent="0.2">
      <c r="A16" t="s">
        <v>55</v>
      </c>
      <c r="B16">
        <v>8.829999999999999E-2</v>
      </c>
      <c r="C16" t="s">
        <v>34</v>
      </c>
      <c r="D16" t="s">
        <v>29</v>
      </c>
      <c r="E16" t="s">
        <v>78</v>
      </c>
      <c r="F16" t="s">
        <v>25</v>
      </c>
    </row>
    <row r="17" spans="1:6" x14ac:dyDescent="0.2">
      <c r="A17" t="s">
        <v>56</v>
      </c>
      <c r="B17">
        <v>0.11779999999999999</v>
      </c>
      <c r="C17" t="s">
        <v>34</v>
      </c>
      <c r="D17" t="s">
        <v>29</v>
      </c>
      <c r="E17" t="s">
        <v>79</v>
      </c>
      <c r="F17" t="s">
        <v>25</v>
      </c>
    </row>
    <row r="18" spans="1:6" x14ac:dyDescent="0.2">
      <c r="A18" t="s">
        <v>57</v>
      </c>
      <c r="B18">
        <v>0.10250000000000001</v>
      </c>
      <c r="C18" t="s">
        <v>34</v>
      </c>
      <c r="D18" t="s">
        <v>29</v>
      </c>
      <c r="E18" t="s">
        <v>79</v>
      </c>
      <c r="F18" t="s">
        <v>25</v>
      </c>
    </row>
    <row r="19" spans="1:6" x14ac:dyDescent="0.2">
      <c r="A19" t="s">
        <v>58</v>
      </c>
      <c r="B19">
        <v>0.1021</v>
      </c>
      <c r="C19" t="s">
        <v>34</v>
      </c>
      <c r="D19" t="s">
        <v>29</v>
      </c>
      <c r="E19" t="s">
        <v>79</v>
      </c>
      <c r="F19" t="s">
        <v>25</v>
      </c>
    </row>
    <row r="20" spans="1:6" x14ac:dyDescent="0.2">
      <c r="A20" t="s">
        <v>59</v>
      </c>
      <c r="B20">
        <v>7.6999999999999999E-2</v>
      </c>
      <c r="C20" t="s">
        <v>35</v>
      </c>
      <c r="D20" t="s">
        <v>28</v>
      </c>
      <c r="E20" t="s">
        <v>77</v>
      </c>
      <c r="F20" t="s">
        <v>25</v>
      </c>
    </row>
    <row r="21" spans="1:6" x14ac:dyDescent="0.2">
      <c r="A21" t="s">
        <v>60</v>
      </c>
      <c r="B21">
        <v>7.9899999999999985E-2</v>
      </c>
      <c r="C21" t="s">
        <v>35</v>
      </c>
      <c r="D21" t="s">
        <v>28</v>
      </c>
      <c r="E21" t="s">
        <v>77</v>
      </c>
      <c r="F21" t="s">
        <v>25</v>
      </c>
    </row>
    <row r="22" spans="1:6" x14ac:dyDescent="0.2">
      <c r="A22" t="s">
        <v>61</v>
      </c>
      <c r="B22">
        <v>7.9999999999999988E-2</v>
      </c>
      <c r="C22" t="s">
        <v>35</v>
      </c>
      <c r="D22" t="s">
        <v>28</v>
      </c>
      <c r="E22" t="s">
        <v>77</v>
      </c>
      <c r="F22" t="s">
        <v>25</v>
      </c>
    </row>
    <row r="23" spans="1:6" x14ac:dyDescent="0.2">
      <c r="A23" t="s">
        <v>62</v>
      </c>
      <c r="B23">
        <v>6.6199999999999995E-2</v>
      </c>
      <c r="C23" t="s">
        <v>35</v>
      </c>
      <c r="D23" t="s">
        <v>28</v>
      </c>
      <c r="E23" t="s">
        <v>78</v>
      </c>
      <c r="F23" t="s">
        <v>25</v>
      </c>
    </row>
    <row r="24" spans="1:6" x14ac:dyDescent="0.2">
      <c r="A24" t="s">
        <v>63</v>
      </c>
      <c r="B24">
        <v>7.8200000000000006E-2</v>
      </c>
      <c r="C24" t="s">
        <v>35</v>
      </c>
      <c r="D24" t="s">
        <v>28</v>
      </c>
      <c r="E24" t="s">
        <v>78</v>
      </c>
      <c r="F24" t="s">
        <v>25</v>
      </c>
    </row>
    <row r="25" spans="1:6" x14ac:dyDescent="0.2">
      <c r="A25" t="s">
        <v>64</v>
      </c>
      <c r="B25">
        <v>7.6700000000000004E-2</v>
      </c>
      <c r="C25" t="s">
        <v>35</v>
      </c>
      <c r="D25" t="s">
        <v>28</v>
      </c>
      <c r="E25" t="s">
        <v>78</v>
      </c>
      <c r="F25" t="s">
        <v>25</v>
      </c>
    </row>
    <row r="26" spans="1:6" x14ac:dyDescent="0.2">
      <c r="A26" t="s">
        <v>65</v>
      </c>
      <c r="B26">
        <v>7.7599999999999988E-2</v>
      </c>
      <c r="C26" t="s">
        <v>35</v>
      </c>
      <c r="D26" t="s">
        <v>28</v>
      </c>
      <c r="E26" t="s">
        <v>79</v>
      </c>
      <c r="F26" t="s">
        <v>25</v>
      </c>
    </row>
    <row r="27" spans="1:6" x14ac:dyDescent="0.2">
      <c r="A27" t="s">
        <v>66</v>
      </c>
      <c r="B27">
        <v>6.7699999999999982E-2</v>
      </c>
      <c r="C27" t="s">
        <v>35</v>
      </c>
      <c r="D27" t="s">
        <v>28</v>
      </c>
      <c r="E27" t="s">
        <v>79</v>
      </c>
      <c r="F27" t="s">
        <v>25</v>
      </c>
    </row>
    <row r="28" spans="1:6" x14ac:dyDescent="0.2">
      <c r="A28" t="s">
        <v>67</v>
      </c>
      <c r="B28">
        <v>6.2300000000000008E-2</v>
      </c>
      <c r="C28" t="s">
        <v>35</v>
      </c>
      <c r="D28" t="s">
        <v>28</v>
      </c>
      <c r="E28" t="s">
        <v>79</v>
      </c>
      <c r="F28" t="s">
        <v>25</v>
      </c>
    </row>
    <row r="29" spans="1:6" x14ac:dyDescent="0.2">
      <c r="A29" t="s">
        <v>68</v>
      </c>
      <c r="B29">
        <v>5.0700000000000009E-2</v>
      </c>
      <c r="C29" t="s">
        <v>35</v>
      </c>
      <c r="D29" t="s">
        <v>29</v>
      </c>
      <c r="E29" t="s">
        <v>77</v>
      </c>
      <c r="F29" t="s">
        <v>25</v>
      </c>
    </row>
    <row r="30" spans="1:6" x14ac:dyDescent="0.2">
      <c r="A30" t="s">
        <v>69</v>
      </c>
      <c r="B30">
        <v>5.4099999999999995E-2</v>
      </c>
      <c r="C30" t="s">
        <v>35</v>
      </c>
      <c r="D30" t="s">
        <v>29</v>
      </c>
      <c r="E30" t="s">
        <v>77</v>
      </c>
      <c r="F30" t="s">
        <v>25</v>
      </c>
    </row>
    <row r="31" spans="1:6" x14ac:dyDescent="0.2">
      <c r="A31" t="s">
        <v>70</v>
      </c>
      <c r="B31">
        <v>5.8399999999999994E-2</v>
      </c>
      <c r="C31" t="s">
        <v>35</v>
      </c>
      <c r="D31" t="s">
        <v>29</v>
      </c>
      <c r="E31" t="s">
        <v>77</v>
      </c>
      <c r="F31" t="s">
        <v>25</v>
      </c>
    </row>
    <row r="32" spans="1:6" x14ac:dyDescent="0.2">
      <c r="A32" t="s">
        <v>71</v>
      </c>
      <c r="B32">
        <v>8.4299999999999986E-2</v>
      </c>
      <c r="C32" t="s">
        <v>35</v>
      </c>
      <c r="D32" t="s">
        <v>29</v>
      </c>
      <c r="E32" t="s">
        <v>78</v>
      </c>
      <c r="F32" t="s">
        <v>25</v>
      </c>
    </row>
    <row r="33" spans="1:6" x14ac:dyDescent="0.2">
      <c r="A33" t="s">
        <v>72</v>
      </c>
      <c r="B33">
        <v>8.8599999999999998E-2</v>
      </c>
      <c r="C33" t="s">
        <v>35</v>
      </c>
      <c r="D33" t="s">
        <v>29</v>
      </c>
      <c r="E33" t="s">
        <v>78</v>
      </c>
      <c r="F33" t="s">
        <v>25</v>
      </c>
    </row>
    <row r="34" spans="1:6" x14ac:dyDescent="0.2">
      <c r="A34" t="s">
        <v>73</v>
      </c>
      <c r="B34">
        <v>8.7599999999999997E-2</v>
      </c>
      <c r="C34" t="s">
        <v>35</v>
      </c>
      <c r="D34" t="s">
        <v>29</v>
      </c>
      <c r="E34" t="s">
        <v>78</v>
      </c>
      <c r="F34" t="s">
        <v>25</v>
      </c>
    </row>
    <row r="35" spans="1:6" x14ac:dyDescent="0.2">
      <c r="A35" t="s">
        <v>74</v>
      </c>
      <c r="B35">
        <v>7.9999999999999988E-2</v>
      </c>
      <c r="C35" t="s">
        <v>35</v>
      </c>
      <c r="D35" t="s">
        <v>29</v>
      </c>
      <c r="E35" t="s">
        <v>79</v>
      </c>
      <c r="F35" t="s">
        <v>25</v>
      </c>
    </row>
    <row r="36" spans="1:6" x14ac:dyDescent="0.2">
      <c r="A36" t="s">
        <v>75</v>
      </c>
      <c r="B36">
        <v>0.10479999999999999</v>
      </c>
      <c r="C36" t="s">
        <v>35</v>
      </c>
      <c r="D36" t="s">
        <v>29</v>
      </c>
      <c r="E36" t="s">
        <v>79</v>
      </c>
      <c r="F36" t="s">
        <v>25</v>
      </c>
    </row>
    <row r="37" spans="1:6" x14ac:dyDescent="0.2">
      <c r="A37" t="s">
        <v>76</v>
      </c>
      <c r="B37">
        <v>9.6100000000000005E-2</v>
      </c>
      <c r="C37" t="s">
        <v>35</v>
      </c>
      <c r="D37" t="s">
        <v>29</v>
      </c>
      <c r="E37" t="s">
        <v>79</v>
      </c>
      <c r="F37" t="s">
        <v>25</v>
      </c>
    </row>
    <row r="38" spans="1:6" x14ac:dyDescent="0.2">
      <c r="A38" t="s">
        <v>80</v>
      </c>
      <c r="B38">
        <v>6.5399999999999986E-2</v>
      </c>
      <c r="C38" t="s">
        <v>36</v>
      </c>
      <c r="D38" t="s">
        <v>28</v>
      </c>
      <c r="E38" t="s">
        <v>77</v>
      </c>
      <c r="F38" t="s">
        <v>25</v>
      </c>
    </row>
    <row r="39" spans="1:6" x14ac:dyDescent="0.2">
      <c r="A39" t="s">
        <v>81</v>
      </c>
      <c r="B39">
        <v>7.1400000000000019E-2</v>
      </c>
      <c r="C39" t="s">
        <v>36</v>
      </c>
      <c r="D39" t="s">
        <v>28</v>
      </c>
      <c r="E39" t="s">
        <v>77</v>
      </c>
      <c r="F39" t="s">
        <v>25</v>
      </c>
    </row>
    <row r="40" spans="1:6" x14ac:dyDescent="0.2">
      <c r="A40" t="s">
        <v>82</v>
      </c>
      <c r="B40">
        <v>8.7600000000000011E-2</v>
      </c>
      <c r="C40" t="s">
        <v>36</v>
      </c>
      <c r="D40" t="s">
        <v>28</v>
      </c>
      <c r="E40" t="s">
        <v>77</v>
      </c>
      <c r="F40" t="s">
        <v>25</v>
      </c>
    </row>
    <row r="41" spans="1:6" x14ac:dyDescent="0.2">
      <c r="A41" t="s">
        <v>83</v>
      </c>
      <c r="B41">
        <v>5.149999999999999E-2</v>
      </c>
      <c r="C41" t="s">
        <v>36</v>
      </c>
      <c r="D41" t="s">
        <v>28</v>
      </c>
      <c r="E41" t="s">
        <v>78</v>
      </c>
      <c r="F41" t="s">
        <v>25</v>
      </c>
    </row>
    <row r="42" spans="1:6" x14ac:dyDescent="0.2">
      <c r="A42" t="s">
        <v>84</v>
      </c>
      <c r="B42">
        <v>6.0400000000000009E-2</v>
      </c>
      <c r="C42" t="s">
        <v>36</v>
      </c>
      <c r="D42" t="s">
        <v>28</v>
      </c>
      <c r="E42" t="s">
        <v>78</v>
      </c>
      <c r="F42" t="s">
        <v>25</v>
      </c>
    </row>
    <row r="43" spans="1:6" x14ac:dyDescent="0.2">
      <c r="A43" t="s">
        <v>85</v>
      </c>
      <c r="B43">
        <v>0.12260000000000001</v>
      </c>
      <c r="C43" t="s">
        <v>36</v>
      </c>
      <c r="D43" t="s">
        <v>28</v>
      </c>
      <c r="E43" t="s">
        <v>78</v>
      </c>
      <c r="F43" t="s">
        <v>25</v>
      </c>
    </row>
    <row r="44" spans="1:6" x14ac:dyDescent="0.2">
      <c r="A44" t="s">
        <v>86</v>
      </c>
      <c r="B44">
        <v>5.8300000000000018E-2</v>
      </c>
      <c r="C44" t="s">
        <v>36</v>
      </c>
      <c r="D44" t="s">
        <v>28</v>
      </c>
      <c r="E44" t="s">
        <v>79</v>
      </c>
      <c r="F44" t="s">
        <v>25</v>
      </c>
    </row>
    <row r="45" spans="1:6" x14ac:dyDescent="0.2">
      <c r="A45" t="s">
        <v>87</v>
      </c>
      <c r="B45">
        <v>7.7899999999999997E-2</v>
      </c>
      <c r="C45" t="s">
        <v>36</v>
      </c>
      <c r="D45" t="s">
        <v>28</v>
      </c>
      <c r="E45" t="s">
        <v>79</v>
      </c>
      <c r="F45" t="s">
        <v>25</v>
      </c>
    </row>
    <row r="46" spans="1:6" x14ac:dyDescent="0.2">
      <c r="A46" t="s">
        <v>88</v>
      </c>
      <c r="B46">
        <v>8.660000000000001E-2</v>
      </c>
      <c r="C46" t="s">
        <v>36</v>
      </c>
      <c r="D46" t="s">
        <v>28</v>
      </c>
      <c r="E46" t="s">
        <v>79</v>
      </c>
      <c r="F46" t="s">
        <v>25</v>
      </c>
    </row>
    <row r="47" spans="1:6" x14ac:dyDescent="0.2">
      <c r="A47" t="s">
        <v>89</v>
      </c>
      <c r="B47">
        <v>5.6100000000000011E-2</v>
      </c>
      <c r="C47" t="s">
        <v>36</v>
      </c>
      <c r="D47" t="s">
        <v>29</v>
      </c>
      <c r="E47" t="s">
        <v>77</v>
      </c>
      <c r="F47" t="s">
        <v>25</v>
      </c>
    </row>
    <row r="48" spans="1:6" x14ac:dyDescent="0.2">
      <c r="A48" t="s">
        <v>90</v>
      </c>
      <c r="B48">
        <v>6.2099999999999989E-2</v>
      </c>
      <c r="C48" t="s">
        <v>36</v>
      </c>
      <c r="D48" t="s">
        <v>29</v>
      </c>
      <c r="E48" t="s">
        <v>77</v>
      </c>
      <c r="F48" t="s">
        <v>25</v>
      </c>
    </row>
    <row r="49" spans="1:6" x14ac:dyDescent="0.2">
      <c r="A49" t="s">
        <v>91</v>
      </c>
      <c r="B49">
        <v>6.3900000000000012E-2</v>
      </c>
      <c r="C49" t="s">
        <v>36</v>
      </c>
      <c r="D49" t="s">
        <v>29</v>
      </c>
      <c r="E49" t="s">
        <v>77</v>
      </c>
      <c r="F49" t="s">
        <v>25</v>
      </c>
    </row>
    <row r="50" spans="1:6" x14ac:dyDescent="0.2">
      <c r="A50" t="s">
        <v>92</v>
      </c>
      <c r="B50">
        <v>6.9500000000000006E-2</v>
      </c>
      <c r="C50" t="s">
        <v>36</v>
      </c>
      <c r="D50" t="s">
        <v>29</v>
      </c>
      <c r="E50" t="s">
        <v>78</v>
      </c>
      <c r="F50" t="s">
        <v>25</v>
      </c>
    </row>
    <row r="51" spans="1:6" x14ac:dyDescent="0.2">
      <c r="A51" t="s">
        <v>93</v>
      </c>
      <c r="B51">
        <v>8.6900000000000005E-2</v>
      </c>
      <c r="C51" t="s">
        <v>36</v>
      </c>
      <c r="D51" t="s">
        <v>29</v>
      </c>
      <c r="E51" t="s">
        <v>78</v>
      </c>
      <c r="F51" t="s">
        <v>25</v>
      </c>
    </row>
    <row r="52" spans="1:6" x14ac:dyDescent="0.2">
      <c r="A52" t="s">
        <v>94</v>
      </c>
      <c r="B52">
        <v>7.3299999999999976E-2</v>
      </c>
      <c r="C52" t="s">
        <v>36</v>
      </c>
      <c r="D52" t="s">
        <v>29</v>
      </c>
      <c r="E52" t="s">
        <v>78</v>
      </c>
      <c r="F52" t="s">
        <v>25</v>
      </c>
    </row>
    <row r="53" spans="1:6" x14ac:dyDescent="0.2">
      <c r="A53" t="s">
        <v>95</v>
      </c>
      <c r="B53">
        <v>7.9399999999999998E-2</v>
      </c>
      <c r="C53" t="s">
        <v>36</v>
      </c>
      <c r="D53" t="s">
        <v>29</v>
      </c>
      <c r="E53" t="s">
        <v>79</v>
      </c>
      <c r="F53" t="s">
        <v>25</v>
      </c>
    </row>
    <row r="54" spans="1:6" x14ac:dyDescent="0.2">
      <c r="A54" t="s">
        <v>96</v>
      </c>
      <c r="B54">
        <v>0.1028</v>
      </c>
      <c r="C54" t="s">
        <v>36</v>
      </c>
      <c r="D54" t="s">
        <v>29</v>
      </c>
      <c r="E54" t="s">
        <v>79</v>
      </c>
      <c r="F54" t="s">
        <v>25</v>
      </c>
    </row>
    <row r="55" spans="1:6" x14ac:dyDescent="0.2">
      <c r="A55" t="s">
        <v>97</v>
      </c>
      <c r="B55">
        <v>0.14280000000000001</v>
      </c>
      <c r="C55" t="s">
        <v>36</v>
      </c>
      <c r="D55" t="s">
        <v>29</v>
      </c>
      <c r="E55" t="s">
        <v>79</v>
      </c>
      <c r="F55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OD600.r1</vt:lpstr>
      <vt:lpstr>BioSyn.r1</vt:lpstr>
      <vt:lpstr>BioSyn.r2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2026-01-29T01:04:05Z</dcterms:created>
  <dcterms:modified xsi:type="dcterms:W3CDTF">2026-02-15T13:48:01Z</dcterms:modified>
</cp:coreProperties>
</file>