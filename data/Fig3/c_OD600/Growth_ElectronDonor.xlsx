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86F2FAB6-1A13-4442-949D-EA689757521E}" xr6:coauthVersionLast="47" xr6:coauthVersionMax="47" xr10:uidLastSave="{00000000-0000-0000-0000-000000000000}"/>
  <bookViews>
    <workbookView xWindow="7780" yWindow="600" windowWidth="21520" windowHeight="15800" activeTab="1" xr2:uid="{F9ACF652-995A-9643-B8F2-2D60D5FB19A5}"/>
  </bookViews>
  <sheets>
    <sheet name="Round1" sheetId="1" r:id="rId1"/>
    <sheet name="Round2" sheetId="2" r:id="rId2"/>
  </sheets>
  <definedNames>
    <definedName name="_xlnm._FilterDatabase" localSheetId="1" hidden="1">Round2!$A$1:$G$289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2" i="2" l="1"/>
  <c r="D289" i="2"/>
  <c r="D288" i="2"/>
  <c r="D287" i="2"/>
  <c r="D145" i="2"/>
  <c r="D144" i="2"/>
  <c r="D143" i="2"/>
  <c r="D73" i="2"/>
  <c r="D72" i="2"/>
  <c r="D71" i="2"/>
  <c r="D217" i="2"/>
  <c r="D216" i="2"/>
  <c r="D215" i="2"/>
  <c r="D286" i="2"/>
  <c r="D285" i="2"/>
  <c r="D284" i="2"/>
  <c r="D142" i="2"/>
  <c r="D141" i="2"/>
  <c r="D140" i="2"/>
  <c r="D70" i="2"/>
  <c r="D69" i="2"/>
  <c r="D68" i="2"/>
  <c r="D214" i="2"/>
  <c r="D213" i="2"/>
  <c r="D212" i="2"/>
  <c r="D283" i="2"/>
  <c r="D282" i="2"/>
  <c r="D281" i="2"/>
  <c r="D139" i="2"/>
  <c r="D138" i="2"/>
  <c r="D137" i="2"/>
  <c r="D67" i="2"/>
  <c r="D66" i="2"/>
  <c r="D65" i="2"/>
  <c r="D211" i="2"/>
  <c r="D210" i="2"/>
  <c r="D209" i="2"/>
  <c r="D280" i="2"/>
  <c r="D279" i="2"/>
  <c r="D278" i="2"/>
  <c r="D136" i="2"/>
  <c r="D135" i="2"/>
  <c r="D134" i="2"/>
  <c r="D64" i="2"/>
  <c r="D63" i="2"/>
  <c r="D62" i="2"/>
  <c r="D208" i="2"/>
  <c r="D207" i="2"/>
  <c r="D206" i="2"/>
  <c r="D277" i="2"/>
  <c r="D276" i="2"/>
  <c r="D275" i="2"/>
  <c r="D133" i="2"/>
  <c r="D132" i="2"/>
  <c r="D131" i="2"/>
  <c r="D61" i="2"/>
  <c r="D60" i="2"/>
  <c r="D59" i="2"/>
  <c r="D205" i="2"/>
  <c r="D204" i="2"/>
  <c r="D203" i="2"/>
  <c r="D274" i="2"/>
  <c r="D273" i="2"/>
  <c r="D272" i="2"/>
  <c r="D130" i="2"/>
  <c r="D129" i="2"/>
  <c r="D128" i="2"/>
  <c r="D58" i="2"/>
  <c r="D57" i="2"/>
  <c r="D56" i="2"/>
  <c r="D202" i="2"/>
  <c r="D201" i="2"/>
  <c r="D200" i="2"/>
  <c r="D271" i="2"/>
  <c r="D270" i="2"/>
  <c r="D269" i="2"/>
  <c r="D127" i="2"/>
  <c r="D126" i="2"/>
  <c r="D125" i="2"/>
  <c r="D55" i="2"/>
  <c r="D54" i="2"/>
  <c r="D53" i="2"/>
  <c r="D199" i="2"/>
  <c r="D198" i="2"/>
  <c r="D197" i="2"/>
  <c r="D268" i="2"/>
  <c r="D267" i="2"/>
  <c r="D266" i="2"/>
  <c r="D124" i="2"/>
  <c r="D123" i="2"/>
  <c r="D122" i="2"/>
  <c r="D52" i="2"/>
  <c r="D51" i="2"/>
  <c r="D50" i="2"/>
  <c r="D196" i="2"/>
  <c r="D195" i="2"/>
  <c r="D194" i="2"/>
  <c r="D265" i="2"/>
  <c r="D264" i="2"/>
  <c r="D263" i="2"/>
  <c r="D121" i="2"/>
  <c r="D120" i="2"/>
  <c r="D119" i="2"/>
  <c r="D49" i="2"/>
  <c r="D48" i="2"/>
  <c r="D47" i="2"/>
  <c r="D193" i="2"/>
  <c r="D192" i="2"/>
  <c r="D191" i="2"/>
  <c r="D262" i="2"/>
  <c r="D261" i="2"/>
  <c r="D260" i="2"/>
  <c r="D118" i="2"/>
  <c r="D117" i="2"/>
  <c r="D116" i="2"/>
  <c r="D46" i="2"/>
  <c r="D45" i="2"/>
  <c r="D44" i="2"/>
  <c r="D190" i="2"/>
  <c r="D189" i="2"/>
  <c r="D188" i="2"/>
  <c r="D259" i="2"/>
  <c r="D258" i="2"/>
  <c r="D257" i="2"/>
  <c r="D115" i="2"/>
  <c r="D114" i="2"/>
  <c r="D113" i="2"/>
  <c r="D43" i="2"/>
  <c r="D42" i="2"/>
  <c r="D41" i="2"/>
  <c r="D187" i="2"/>
  <c r="D186" i="2"/>
  <c r="D185" i="2"/>
  <c r="D256" i="2"/>
  <c r="D255" i="2"/>
  <c r="D254" i="2"/>
  <c r="D112" i="2"/>
  <c r="D111" i="2"/>
  <c r="D110" i="2"/>
  <c r="D40" i="2"/>
  <c r="D39" i="2"/>
  <c r="D38" i="2"/>
  <c r="D184" i="2"/>
  <c r="D183" i="2"/>
  <c r="D253" i="2"/>
  <c r="D252" i="2"/>
  <c r="D251" i="2"/>
  <c r="D109" i="2"/>
  <c r="D108" i="2"/>
  <c r="D107" i="2"/>
  <c r="D37" i="2"/>
  <c r="D36" i="2"/>
  <c r="D35" i="2"/>
  <c r="D181" i="2"/>
  <c r="D180" i="2"/>
  <c r="D179" i="2"/>
  <c r="D250" i="2"/>
  <c r="D249" i="2"/>
  <c r="D248" i="2"/>
  <c r="D106" i="2"/>
  <c r="D105" i="2"/>
  <c r="D104" i="2"/>
  <c r="D34" i="2"/>
  <c r="D33" i="2"/>
  <c r="D32" i="2"/>
  <c r="D178" i="2"/>
  <c r="D177" i="2"/>
  <c r="D176" i="2"/>
  <c r="D247" i="2"/>
  <c r="D246" i="2"/>
  <c r="D245" i="2"/>
  <c r="D103" i="2"/>
  <c r="D102" i="2"/>
  <c r="D101" i="2"/>
  <c r="D31" i="2"/>
  <c r="D30" i="2"/>
  <c r="D29" i="2"/>
  <c r="D175" i="2"/>
  <c r="D174" i="2"/>
  <c r="D173" i="2"/>
  <c r="D244" i="2"/>
  <c r="D243" i="2"/>
  <c r="D242" i="2"/>
  <c r="D100" i="2"/>
  <c r="D99" i="2"/>
  <c r="D98" i="2"/>
  <c r="D28" i="2"/>
  <c r="D27" i="2"/>
  <c r="D26" i="2"/>
  <c r="D172" i="2"/>
  <c r="D171" i="2"/>
  <c r="D170" i="2"/>
  <c r="D241" i="2"/>
  <c r="D240" i="2"/>
  <c r="D239" i="2"/>
  <c r="D97" i="2"/>
  <c r="D96" i="2"/>
  <c r="D95" i="2"/>
  <c r="D25" i="2"/>
  <c r="D24" i="2"/>
  <c r="D23" i="2"/>
  <c r="D169" i="2"/>
  <c r="D168" i="2"/>
  <c r="D167" i="2"/>
  <c r="D238" i="2"/>
  <c r="D237" i="2"/>
  <c r="D236" i="2"/>
  <c r="D94" i="2"/>
  <c r="D93" i="2"/>
  <c r="D92" i="2"/>
  <c r="D22" i="2"/>
  <c r="D21" i="2"/>
  <c r="D20" i="2"/>
  <c r="D166" i="2"/>
  <c r="D165" i="2"/>
  <c r="D164" i="2"/>
  <c r="D86" i="2"/>
  <c r="D87" i="2"/>
  <c r="D88" i="2"/>
  <c r="D230" i="2"/>
  <c r="D231" i="2"/>
  <c r="D232" i="2"/>
  <c r="D161" i="2"/>
  <c r="D162" i="2"/>
  <c r="D163" i="2"/>
  <c r="D17" i="2"/>
  <c r="D18" i="2"/>
  <c r="D19" i="2"/>
  <c r="D89" i="2"/>
  <c r="D90" i="2"/>
  <c r="D91" i="2"/>
  <c r="D233" i="2"/>
  <c r="D234" i="2"/>
  <c r="D235" i="2"/>
  <c r="D16" i="2"/>
  <c r="D15" i="2"/>
  <c r="D14" i="2"/>
  <c r="D160" i="2"/>
  <c r="D159" i="2"/>
  <c r="D158" i="2"/>
  <c r="D229" i="2"/>
  <c r="D228" i="2"/>
  <c r="D227" i="2"/>
  <c r="D85" i="2"/>
  <c r="D84" i="2"/>
  <c r="D83" i="2"/>
  <c r="D13" i="2"/>
  <c r="D12" i="2"/>
  <c r="D11" i="2"/>
  <c r="D157" i="2"/>
  <c r="D156" i="2"/>
  <c r="D155" i="2"/>
  <c r="D226" i="2"/>
  <c r="D225" i="2"/>
  <c r="D224" i="2"/>
  <c r="D82" i="2"/>
  <c r="D81" i="2"/>
  <c r="D80" i="2"/>
  <c r="D10" i="2"/>
  <c r="D9" i="2"/>
  <c r="D8" i="2"/>
  <c r="D154" i="2"/>
  <c r="D153" i="2"/>
  <c r="D152" i="2"/>
  <c r="D223" i="2"/>
  <c r="D222" i="2"/>
  <c r="D221" i="2"/>
  <c r="D79" i="2"/>
  <c r="D78" i="2"/>
  <c r="D77" i="2"/>
  <c r="D7" i="2"/>
  <c r="D6" i="2"/>
  <c r="D5" i="2"/>
  <c r="D151" i="2"/>
  <c r="D150" i="2"/>
  <c r="D149" i="2"/>
  <c r="D220" i="2"/>
  <c r="D219" i="2"/>
  <c r="D218" i="2"/>
  <c r="D76" i="2"/>
  <c r="D75" i="2"/>
  <c r="D74" i="2"/>
  <c r="D4" i="2"/>
  <c r="D3" i="2"/>
  <c r="D2" i="2"/>
  <c r="D148" i="2"/>
  <c r="D147" i="2"/>
  <c r="D146" i="2"/>
  <c r="C74" i="1"/>
  <c r="C65" i="1"/>
  <c r="C47" i="1"/>
  <c r="C11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2" i="1"/>
</calcChain>
</file>

<file path=xl/sharedStrings.xml><?xml version="1.0" encoding="utf-8"?>
<sst xmlns="http://schemas.openxmlformats.org/spreadsheetml/2006/main" count="1598" uniqueCount="62">
  <si>
    <t>Samples</t>
  </si>
  <si>
    <t>Strain</t>
  </si>
  <si>
    <t>Light</t>
  </si>
  <si>
    <t>Paracoccus</t>
  </si>
  <si>
    <t>Dark</t>
  </si>
  <si>
    <t>Aliidiomarina</t>
  </si>
  <si>
    <t>Syn.1_Dark</t>
  </si>
  <si>
    <t>Syn.2_Dark</t>
  </si>
  <si>
    <t>Syn.3_Dark</t>
  </si>
  <si>
    <t>IR</t>
  </si>
  <si>
    <t>Syn.1_IR</t>
  </si>
  <si>
    <t>Syn.2_IR</t>
  </si>
  <si>
    <t>Syn.3_IR</t>
  </si>
  <si>
    <t>OD600</t>
  </si>
  <si>
    <t>Time</t>
  </si>
  <si>
    <t>Group</t>
  </si>
  <si>
    <t>pd.NA1_Dark</t>
  </si>
  <si>
    <t>pd.NA2_Dark</t>
  </si>
  <si>
    <t>pd.NA3_Dark</t>
  </si>
  <si>
    <t>am.NA1_Dark</t>
  </si>
  <si>
    <t>am.NA2_Dark</t>
  </si>
  <si>
    <t>am.NA3_Dark</t>
  </si>
  <si>
    <t>pa.NA1_Dark</t>
  </si>
  <si>
    <t>pa.NA2_Dark</t>
  </si>
  <si>
    <t>pa.NA3_Dark</t>
  </si>
  <si>
    <t>pd.NA1_IR</t>
  </si>
  <si>
    <t>pd.NA2_IR</t>
  </si>
  <si>
    <t>pd.NA3_IR</t>
  </si>
  <si>
    <t>am.NA1_IR</t>
  </si>
  <si>
    <t>am.NA2_IR</t>
  </si>
  <si>
    <t>am.NA3_IR</t>
  </si>
  <si>
    <t>pa.NA1_IR</t>
  </si>
  <si>
    <t>pa.NA2_IR</t>
  </si>
  <si>
    <t>pa.NA3_IR</t>
  </si>
  <si>
    <t>Substrate</t>
  </si>
  <si>
    <t>Control</t>
  </si>
  <si>
    <t>Marinobacter</t>
  </si>
  <si>
    <t>Acetate</t>
  </si>
  <si>
    <t>Thiosulfate</t>
  </si>
  <si>
    <t>Synthetic Community</t>
  </si>
  <si>
    <t>pd.1_Dark</t>
  </si>
  <si>
    <t>pd.2_Dark</t>
  </si>
  <si>
    <t>pd.3_Dark</t>
  </si>
  <si>
    <t>am.1_Dark</t>
  </si>
  <si>
    <t>am.2_Dark</t>
  </si>
  <si>
    <t>am.3_Dark</t>
  </si>
  <si>
    <t>pd.1_IR</t>
  </si>
  <si>
    <t>pd.2_IR</t>
  </si>
  <si>
    <t>pd.3_IR</t>
  </si>
  <si>
    <t>am.1_IR</t>
  </si>
  <si>
    <t>am.2_IR</t>
  </si>
  <si>
    <t>am.3_IR</t>
  </si>
  <si>
    <t>mz.1_Dark</t>
  </si>
  <si>
    <t>mz.2_Dark</t>
  </si>
  <si>
    <t>mz.3_Dark</t>
  </si>
  <si>
    <t>mz.1_IR</t>
  </si>
  <si>
    <t>mz.2_IR</t>
  </si>
  <si>
    <t>mz.3_IR</t>
  </si>
  <si>
    <t>pd.1_Dark_2.20</t>
  </si>
  <si>
    <t>pd.1_Dark_2.22</t>
  </si>
  <si>
    <t>pd.1_Dark_2.28</t>
  </si>
  <si>
    <t>pd.1_Dark_3.2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</si>
</sst>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0DEC-D826-344C-9CB4-65DA41A807AF}">
  <dimension ref="A1:G109"/>
  <sheetViews>
    <sheetView zoomScale="89" workbookViewId="0">
      <selection sqref="A1:G55"/>
    </sheetView>
  </sheetViews>
  <sheetFormatPr baseColWidth="10" defaultRowHeight="16" x14ac:dyDescent="0.2"/>
  <cols>
    <col min="4" max="4" width="27.6640625" customWidth="1"/>
    <col min="5" max="5" width="26.1640625" customWidth="1"/>
    <col min="6" max="6" width="14.6640625" customWidth="1"/>
  </cols>
  <sheetData>
    <row r="1" spans="1:7" ht="17" thickBot="1" x14ac:dyDescent="0.25">
      <c r="A1" s="1" t="s">
        <v>0</v>
      </c>
      <c r="B1" s="2" t="s">
        <v>14</v>
      </c>
      <c r="C1" s="1" t="s">
        <v>13</v>
      </c>
      <c r="D1" s="1" t="s">
        <v>15</v>
      </c>
      <c r="E1" s="1" t="s">
        <v>1</v>
      </c>
      <c r="F1" s="1" t="s">
        <v>34</v>
      </c>
      <c r="G1" s="1" t="s">
        <v>2</v>
      </c>
    </row>
    <row r="2" spans="1:7" x14ac:dyDescent="0.2">
      <c r="A2" t="s">
        <v>16</v>
      </c>
      <c r="B2">
        <v>0</v>
      </c>
      <c r="C2">
        <v>0.1338</v>
      </c>
      <c r="D2" t="str">
        <f>_xlfn.CONCAT(E2," (",F2," &amp; ",G2,")")</f>
        <v>Paracoccus (Control &amp; Dark)</v>
      </c>
      <c r="E2" t="s">
        <v>3</v>
      </c>
      <c r="F2" t="s">
        <v>35</v>
      </c>
      <c r="G2" t="s">
        <v>4</v>
      </c>
    </row>
    <row r="3" spans="1:7" x14ac:dyDescent="0.2">
      <c r="A3" t="s">
        <v>17</v>
      </c>
      <c r="B3">
        <v>0</v>
      </c>
      <c r="C3">
        <v>0.12870000000000001</v>
      </c>
      <c r="D3" t="str">
        <f t="shared" ref="D3:D66" si="0">_xlfn.CONCAT(E3," (",F3," &amp; ",G3,")")</f>
        <v>Paracoccus (Control &amp; Dark)</v>
      </c>
      <c r="E3" t="s">
        <v>3</v>
      </c>
      <c r="F3" t="s">
        <v>35</v>
      </c>
      <c r="G3" t="s">
        <v>4</v>
      </c>
    </row>
    <row r="4" spans="1:7" x14ac:dyDescent="0.2">
      <c r="A4" t="s">
        <v>18</v>
      </c>
      <c r="B4">
        <v>0</v>
      </c>
      <c r="C4">
        <v>0.1298</v>
      </c>
      <c r="D4" t="str">
        <f t="shared" si="0"/>
        <v>Paracoccus (Control &amp; Dark)</v>
      </c>
      <c r="E4" t="s">
        <v>3</v>
      </c>
      <c r="F4" t="s">
        <v>35</v>
      </c>
      <c r="G4" t="s">
        <v>4</v>
      </c>
    </row>
    <row r="5" spans="1:7" x14ac:dyDescent="0.2">
      <c r="A5" t="s">
        <v>19</v>
      </c>
      <c r="B5">
        <v>0</v>
      </c>
      <c r="C5">
        <v>0.1195</v>
      </c>
      <c r="D5" t="str">
        <f t="shared" si="0"/>
        <v>Aliidiomarina (Control &amp; Dark)</v>
      </c>
      <c r="E5" t="s">
        <v>5</v>
      </c>
      <c r="F5" t="s">
        <v>35</v>
      </c>
      <c r="G5" t="s">
        <v>4</v>
      </c>
    </row>
    <row r="6" spans="1:7" x14ac:dyDescent="0.2">
      <c r="A6" t="s">
        <v>20</v>
      </c>
      <c r="B6">
        <v>0</v>
      </c>
      <c r="C6">
        <v>0.1135</v>
      </c>
      <c r="D6" t="str">
        <f t="shared" si="0"/>
        <v>Aliidiomarina (Control &amp; Dark)</v>
      </c>
      <c r="E6" t="s">
        <v>5</v>
      </c>
      <c r="F6" t="s">
        <v>35</v>
      </c>
      <c r="G6" t="s">
        <v>4</v>
      </c>
    </row>
    <row r="7" spans="1:7" x14ac:dyDescent="0.2">
      <c r="A7" t="s">
        <v>21</v>
      </c>
      <c r="B7">
        <v>0</v>
      </c>
      <c r="C7">
        <v>0.11409999999999999</v>
      </c>
      <c r="D7" t="str">
        <f t="shared" si="0"/>
        <v>Aliidiomarina (Control &amp; Dark)</v>
      </c>
      <c r="E7" t="s">
        <v>5</v>
      </c>
      <c r="F7" t="s">
        <v>35</v>
      </c>
      <c r="G7" t="s">
        <v>4</v>
      </c>
    </row>
    <row r="8" spans="1:7" x14ac:dyDescent="0.2">
      <c r="A8" t="s">
        <v>22</v>
      </c>
      <c r="B8">
        <v>0</v>
      </c>
      <c r="C8">
        <v>0.14230000000000001</v>
      </c>
      <c r="D8" t="str">
        <f t="shared" si="0"/>
        <v>Marinobacter (Control &amp; Dark)</v>
      </c>
      <c r="E8" t="s">
        <v>36</v>
      </c>
      <c r="F8" t="s">
        <v>35</v>
      </c>
      <c r="G8" t="s">
        <v>4</v>
      </c>
    </row>
    <row r="9" spans="1:7" x14ac:dyDescent="0.2">
      <c r="A9" t="s">
        <v>23</v>
      </c>
      <c r="B9">
        <v>0</v>
      </c>
      <c r="C9">
        <v>0.14380000000000001</v>
      </c>
      <c r="D9" t="str">
        <f t="shared" si="0"/>
        <v>Marinobacter (Control &amp; Dark)</v>
      </c>
      <c r="E9" t="s">
        <v>36</v>
      </c>
      <c r="F9" t="s">
        <v>35</v>
      </c>
      <c r="G9" t="s">
        <v>4</v>
      </c>
    </row>
    <row r="10" spans="1:7" x14ac:dyDescent="0.2">
      <c r="A10" t="s">
        <v>24</v>
      </c>
      <c r="B10">
        <v>0</v>
      </c>
      <c r="C10">
        <v>0.14280000000000001</v>
      </c>
      <c r="D10" t="str">
        <f t="shared" si="0"/>
        <v>Marinobacter (Control &amp; Dark)</v>
      </c>
      <c r="E10" t="s">
        <v>36</v>
      </c>
      <c r="F10" t="s">
        <v>35</v>
      </c>
      <c r="G10" t="s">
        <v>4</v>
      </c>
    </row>
    <row r="11" spans="1:7" s="3" customFormat="1" x14ac:dyDescent="0.2">
      <c r="A11" t="s">
        <v>6</v>
      </c>
      <c r="B11">
        <v>0</v>
      </c>
      <c r="C11">
        <f>AVERAGE(C12:C13)</f>
        <v>0.14165</v>
      </c>
      <c r="D11" t="str">
        <f t="shared" si="0"/>
        <v>Paracoccus (Acetate &amp; Dark)</v>
      </c>
      <c r="E11" t="s">
        <v>3</v>
      </c>
      <c r="F11" t="s">
        <v>37</v>
      </c>
      <c r="G11" t="s">
        <v>4</v>
      </c>
    </row>
    <row r="12" spans="1:7" x14ac:dyDescent="0.2">
      <c r="A12" t="s">
        <v>7</v>
      </c>
      <c r="B12">
        <v>0</v>
      </c>
      <c r="C12">
        <v>0.14360000000000001</v>
      </c>
      <c r="D12" t="str">
        <f t="shared" si="0"/>
        <v>Paracoccus (Acetate &amp; Dark)</v>
      </c>
      <c r="E12" t="s">
        <v>3</v>
      </c>
      <c r="F12" t="s">
        <v>37</v>
      </c>
      <c r="G12" t="s">
        <v>4</v>
      </c>
    </row>
    <row r="13" spans="1:7" x14ac:dyDescent="0.2">
      <c r="A13" t="s">
        <v>8</v>
      </c>
      <c r="B13">
        <v>0</v>
      </c>
      <c r="C13">
        <v>0.13969999999999999</v>
      </c>
      <c r="D13" t="str">
        <f t="shared" si="0"/>
        <v>Paracoccus (Acetate &amp; Dark)</v>
      </c>
      <c r="E13" t="s">
        <v>3</v>
      </c>
      <c r="F13" t="s">
        <v>37</v>
      </c>
      <c r="G13" t="s">
        <v>4</v>
      </c>
    </row>
    <row r="14" spans="1:7" x14ac:dyDescent="0.2">
      <c r="A14" t="s">
        <v>25</v>
      </c>
      <c r="B14">
        <v>0</v>
      </c>
      <c r="C14">
        <v>0.1178</v>
      </c>
      <c r="D14" t="str">
        <f t="shared" si="0"/>
        <v>Aliidiomarina (Acetate &amp; Dark)</v>
      </c>
      <c r="E14" t="s">
        <v>5</v>
      </c>
      <c r="F14" t="s">
        <v>37</v>
      </c>
      <c r="G14" t="s">
        <v>4</v>
      </c>
    </row>
    <row r="15" spans="1:7" x14ac:dyDescent="0.2">
      <c r="A15" t="s">
        <v>26</v>
      </c>
      <c r="B15">
        <v>0</v>
      </c>
      <c r="C15">
        <v>0.1164</v>
      </c>
      <c r="D15" t="str">
        <f t="shared" si="0"/>
        <v>Aliidiomarina (Acetate &amp; Dark)</v>
      </c>
      <c r="E15" t="s">
        <v>5</v>
      </c>
      <c r="F15" t="s">
        <v>37</v>
      </c>
      <c r="G15" t="s">
        <v>4</v>
      </c>
    </row>
    <row r="16" spans="1:7" x14ac:dyDescent="0.2">
      <c r="A16" t="s">
        <v>27</v>
      </c>
      <c r="B16">
        <v>0</v>
      </c>
      <c r="C16">
        <v>0.11609999999999999</v>
      </c>
      <c r="D16" t="str">
        <f t="shared" si="0"/>
        <v>Aliidiomarina (Acetate &amp; Dark)</v>
      </c>
      <c r="E16" t="s">
        <v>5</v>
      </c>
      <c r="F16" t="s">
        <v>37</v>
      </c>
      <c r="G16" t="s">
        <v>4</v>
      </c>
    </row>
    <row r="17" spans="1:7" x14ac:dyDescent="0.2">
      <c r="A17" t="s">
        <v>28</v>
      </c>
      <c r="B17">
        <v>0</v>
      </c>
      <c r="C17">
        <v>0.14710000000000001</v>
      </c>
      <c r="D17" t="str">
        <f t="shared" si="0"/>
        <v>Marinobacter (Acetate &amp; Dark)</v>
      </c>
      <c r="E17" t="s">
        <v>36</v>
      </c>
      <c r="F17" t="s">
        <v>37</v>
      </c>
      <c r="G17" t="s">
        <v>4</v>
      </c>
    </row>
    <row r="18" spans="1:7" x14ac:dyDescent="0.2">
      <c r="A18" t="s">
        <v>29</v>
      </c>
      <c r="B18">
        <v>0</v>
      </c>
      <c r="C18">
        <v>0.1457</v>
      </c>
      <c r="D18" t="str">
        <f t="shared" si="0"/>
        <v>Marinobacter (Acetate &amp; Dark)</v>
      </c>
      <c r="E18" t="s">
        <v>36</v>
      </c>
      <c r="F18" t="s">
        <v>37</v>
      </c>
      <c r="G18" t="s">
        <v>4</v>
      </c>
    </row>
    <row r="19" spans="1:7" x14ac:dyDescent="0.2">
      <c r="A19" t="s">
        <v>30</v>
      </c>
      <c r="B19">
        <v>0</v>
      </c>
      <c r="C19">
        <v>0.14610000000000001</v>
      </c>
      <c r="D19" t="str">
        <f t="shared" si="0"/>
        <v>Marinobacter (Acetate &amp; Dark)</v>
      </c>
      <c r="E19" t="s">
        <v>36</v>
      </c>
      <c r="F19" t="s">
        <v>37</v>
      </c>
      <c r="G19" t="s">
        <v>4</v>
      </c>
    </row>
    <row r="20" spans="1:7" x14ac:dyDescent="0.2">
      <c r="A20" t="s">
        <v>31</v>
      </c>
      <c r="B20">
        <v>0</v>
      </c>
      <c r="C20">
        <v>0.13270000000000001</v>
      </c>
      <c r="D20" t="str">
        <f t="shared" si="0"/>
        <v>Paracoccus (Thiosulfate &amp; Dark)</v>
      </c>
      <c r="E20" t="s">
        <v>3</v>
      </c>
      <c r="F20" t="s">
        <v>38</v>
      </c>
      <c r="G20" t="s">
        <v>4</v>
      </c>
    </row>
    <row r="21" spans="1:7" x14ac:dyDescent="0.2">
      <c r="A21" t="s">
        <v>32</v>
      </c>
      <c r="B21">
        <v>0</v>
      </c>
      <c r="C21">
        <v>0.1341</v>
      </c>
      <c r="D21" t="str">
        <f t="shared" si="0"/>
        <v>Paracoccus (Thiosulfate &amp; Dark)</v>
      </c>
      <c r="E21" t="s">
        <v>3</v>
      </c>
      <c r="F21" t="s">
        <v>38</v>
      </c>
      <c r="G21" t="s">
        <v>4</v>
      </c>
    </row>
    <row r="22" spans="1:7" x14ac:dyDescent="0.2">
      <c r="A22" t="s">
        <v>33</v>
      </c>
      <c r="B22">
        <v>0</v>
      </c>
      <c r="C22">
        <v>0.13500000000000001</v>
      </c>
      <c r="D22" t="str">
        <f t="shared" si="0"/>
        <v>Paracoccus (Thiosulfate &amp; Dark)</v>
      </c>
      <c r="E22" t="s">
        <v>3</v>
      </c>
      <c r="F22" t="s">
        <v>38</v>
      </c>
      <c r="G22" t="s">
        <v>4</v>
      </c>
    </row>
    <row r="23" spans="1:7" x14ac:dyDescent="0.2">
      <c r="A23" t="s">
        <v>10</v>
      </c>
      <c r="B23">
        <v>0</v>
      </c>
      <c r="C23">
        <v>0.1143</v>
      </c>
      <c r="D23" t="str">
        <f t="shared" si="0"/>
        <v>Aliidiomarina (Thiosulfate &amp; Dark)</v>
      </c>
      <c r="E23" t="s">
        <v>5</v>
      </c>
      <c r="F23" t="s">
        <v>38</v>
      </c>
      <c r="G23" t="s">
        <v>4</v>
      </c>
    </row>
    <row r="24" spans="1:7" x14ac:dyDescent="0.2">
      <c r="A24" t="s">
        <v>11</v>
      </c>
      <c r="B24">
        <v>0</v>
      </c>
      <c r="C24">
        <v>0.1144</v>
      </c>
      <c r="D24" t="str">
        <f t="shared" si="0"/>
        <v>Aliidiomarina (Thiosulfate &amp; Dark)</v>
      </c>
      <c r="E24" t="s">
        <v>5</v>
      </c>
      <c r="F24" t="s">
        <v>38</v>
      </c>
      <c r="G24" t="s">
        <v>4</v>
      </c>
    </row>
    <row r="25" spans="1:7" x14ac:dyDescent="0.2">
      <c r="A25" t="s">
        <v>12</v>
      </c>
      <c r="B25">
        <v>0</v>
      </c>
      <c r="C25">
        <v>0.111</v>
      </c>
      <c r="D25" t="str">
        <f t="shared" si="0"/>
        <v>Aliidiomarina (Thiosulfate &amp; Dark)</v>
      </c>
      <c r="E25" t="s">
        <v>5</v>
      </c>
      <c r="F25" t="s">
        <v>38</v>
      </c>
      <c r="G25" t="s">
        <v>4</v>
      </c>
    </row>
    <row r="26" spans="1:7" x14ac:dyDescent="0.2">
      <c r="A26" t="s">
        <v>16</v>
      </c>
      <c r="B26">
        <v>0</v>
      </c>
      <c r="C26">
        <v>0.1452</v>
      </c>
      <c r="D26" t="str">
        <f t="shared" si="0"/>
        <v>Marinobacter (Thiosulfate &amp; Dark)</v>
      </c>
      <c r="E26" t="s">
        <v>36</v>
      </c>
      <c r="F26" t="s">
        <v>38</v>
      </c>
      <c r="G26" t="s">
        <v>4</v>
      </c>
    </row>
    <row r="27" spans="1:7" x14ac:dyDescent="0.2">
      <c r="A27" t="s">
        <v>17</v>
      </c>
      <c r="B27">
        <v>0</v>
      </c>
      <c r="C27">
        <v>0.14680000000000001</v>
      </c>
      <c r="D27" t="str">
        <f t="shared" si="0"/>
        <v>Marinobacter (Thiosulfate &amp; Dark)</v>
      </c>
      <c r="E27" t="s">
        <v>36</v>
      </c>
      <c r="F27" t="s">
        <v>38</v>
      </c>
      <c r="G27" t="s">
        <v>4</v>
      </c>
    </row>
    <row r="28" spans="1:7" x14ac:dyDescent="0.2">
      <c r="A28" t="s">
        <v>18</v>
      </c>
      <c r="B28">
        <v>0</v>
      </c>
      <c r="C28">
        <v>0.14360000000000001</v>
      </c>
      <c r="D28" t="str">
        <f t="shared" si="0"/>
        <v>Marinobacter (Thiosulfate &amp; Dark)</v>
      </c>
      <c r="E28" t="s">
        <v>36</v>
      </c>
      <c r="F28" t="s">
        <v>38</v>
      </c>
      <c r="G28" t="s">
        <v>4</v>
      </c>
    </row>
    <row r="29" spans="1:7" x14ac:dyDescent="0.2">
      <c r="A29" t="s">
        <v>19</v>
      </c>
      <c r="B29">
        <v>0</v>
      </c>
      <c r="C29">
        <v>0.1152</v>
      </c>
      <c r="D29" t="str">
        <f t="shared" si="0"/>
        <v>Paracoccus (Control &amp; IR)</v>
      </c>
      <c r="E29" t="s">
        <v>3</v>
      </c>
      <c r="F29" t="s">
        <v>35</v>
      </c>
      <c r="G29" t="s">
        <v>9</v>
      </c>
    </row>
    <row r="30" spans="1:7" x14ac:dyDescent="0.2">
      <c r="A30" t="s">
        <v>20</v>
      </c>
      <c r="B30">
        <v>0</v>
      </c>
      <c r="C30">
        <v>0.11609999999999999</v>
      </c>
      <c r="D30" t="str">
        <f t="shared" si="0"/>
        <v>Paracoccus (Control &amp; IR)</v>
      </c>
      <c r="E30" t="s">
        <v>3</v>
      </c>
      <c r="F30" t="s">
        <v>35</v>
      </c>
      <c r="G30" t="s">
        <v>9</v>
      </c>
    </row>
    <row r="31" spans="1:7" x14ac:dyDescent="0.2">
      <c r="A31" t="s">
        <v>21</v>
      </c>
      <c r="B31">
        <v>0</v>
      </c>
      <c r="C31">
        <v>0.1158</v>
      </c>
      <c r="D31" t="str">
        <f t="shared" si="0"/>
        <v>Paracoccus (Control &amp; IR)</v>
      </c>
      <c r="E31" t="s">
        <v>3</v>
      </c>
      <c r="F31" t="s">
        <v>35</v>
      </c>
      <c r="G31" t="s">
        <v>9</v>
      </c>
    </row>
    <row r="32" spans="1:7" x14ac:dyDescent="0.2">
      <c r="A32" t="s">
        <v>22</v>
      </c>
      <c r="B32">
        <v>0</v>
      </c>
      <c r="C32">
        <v>0.1323</v>
      </c>
      <c r="D32" t="str">
        <f t="shared" si="0"/>
        <v>Aliidiomarina (Control &amp; IR)</v>
      </c>
      <c r="E32" t="s">
        <v>5</v>
      </c>
      <c r="F32" t="s">
        <v>35</v>
      </c>
      <c r="G32" t="s">
        <v>9</v>
      </c>
    </row>
    <row r="33" spans="1:7" x14ac:dyDescent="0.2">
      <c r="A33" t="s">
        <v>23</v>
      </c>
      <c r="B33">
        <v>0</v>
      </c>
      <c r="C33">
        <v>0.14530000000000001</v>
      </c>
      <c r="D33" t="str">
        <f t="shared" si="0"/>
        <v>Aliidiomarina (Control &amp; IR)</v>
      </c>
      <c r="E33" t="s">
        <v>5</v>
      </c>
      <c r="F33" t="s">
        <v>35</v>
      </c>
      <c r="G33" t="s">
        <v>9</v>
      </c>
    </row>
    <row r="34" spans="1:7" x14ac:dyDescent="0.2">
      <c r="A34" t="s">
        <v>24</v>
      </c>
      <c r="B34">
        <v>0</v>
      </c>
      <c r="C34">
        <v>0.14460000000000001</v>
      </c>
      <c r="D34" t="str">
        <f t="shared" si="0"/>
        <v>Aliidiomarina (Control &amp; IR)</v>
      </c>
      <c r="E34" t="s">
        <v>5</v>
      </c>
      <c r="F34" t="s">
        <v>35</v>
      </c>
      <c r="G34" t="s">
        <v>9</v>
      </c>
    </row>
    <row r="35" spans="1:7" x14ac:dyDescent="0.2">
      <c r="A35" t="s">
        <v>6</v>
      </c>
      <c r="B35">
        <v>0</v>
      </c>
      <c r="C35">
        <v>0.1356</v>
      </c>
      <c r="D35" t="str">
        <f t="shared" si="0"/>
        <v>Marinobacter (Control &amp; IR)</v>
      </c>
      <c r="E35" t="s">
        <v>36</v>
      </c>
      <c r="F35" t="s">
        <v>35</v>
      </c>
      <c r="G35" t="s">
        <v>9</v>
      </c>
    </row>
    <row r="36" spans="1:7" x14ac:dyDescent="0.2">
      <c r="A36" t="s">
        <v>7</v>
      </c>
      <c r="B36">
        <v>0</v>
      </c>
      <c r="C36">
        <v>0.1411</v>
      </c>
      <c r="D36" t="str">
        <f t="shared" si="0"/>
        <v>Marinobacter (Control &amp; IR)</v>
      </c>
      <c r="E36" t="s">
        <v>36</v>
      </c>
      <c r="F36" t="s">
        <v>35</v>
      </c>
      <c r="G36" t="s">
        <v>9</v>
      </c>
    </row>
    <row r="37" spans="1:7" x14ac:dyDescent="0.2">
      <c r="A37" t="s">
        <v>8</v>
      </c>
      <c r="B37">
        <v>0</v>
      </c>
      <c r="C37">
        <v>0.14069999999999999</v>
      </c>
      <c r="D37" t="str">
        <f t="shared" si="0"/>
        <v>Marinobacter (Control &amp; IR)</v>
      </c>
      <c r="E37" t="s">
        <v>36</v>
      </c>
      <c r="F37" t="s">
        <v>35</v>
      </c>
      <c r="G37" t="s">
        <v>9</v>
      </c>
    </row>
    <row r="38" spans="1:7" x14ac:dyDescent="0.2">
      <c r="A38" t="s">
        <v>25</v>
      </c>
      <c r="B38">
        <v>0</v>
      </c>
      <c r="C38">
        <v>0.1326</v>
      </c>
      <c r="D38" t="str">
        <f t="shared" si="0"/>
        <v>Paracoccus (Acetate &amp; IR)</v>
      </c>
      <c r="E38" t="s">
        <v>3</v>
      </c>
      <c r="F38" t="s">
        <v>37</v>
      </c>
      <c r="G38" t="s">
        <v>9</v>
      </c>
    </row>
    <row r="39" spans="1:7" x14ac:dyDescent="0.2">
      <c r="A39" t="s">
        <v>26</v>
      </c>
      <c r="B39">
        <v>0</v>
      </c>
      <c r="C39">
        <v>0.1308</v>
      </c>
      <c r="D39" t="str">
        <f t="shared" si="0"/>
        <v>Paracoccus (Acetate &amp; IR)</v>
      </c>
      <c r="E39" t="s">
        <v>3</v>
      </c>
      <c r="F39" t="s">
        <v>37</v>
      </c>
      <c r="G39" t="s">
        <v>9</v>
      </c>
    </row>
    <row r="40" spans="1:7" x14ac:dyDescent="0.2">
      <c r="A40" t="s">
        <v>27</v>
      </c>
      <c r="B40">
        <v>0</v>
      </c>
      <c r="C40">
        <v>0.1328</v>
      </c>
      <c r="D40" t="str">
        <f t="shared" si="0"/>
        <v>Paracoccus (Acetate &amp; IR)</v>
      </c>
      <c r="E40" t="s">
        <v>3</v>
      </c>
      <c r="F40" t="s">
        <v>37</v>
      </c>
      <c r="G40" t="s">
        <v>9</v>
      </c>
    </row>
    <row r="41" spans="1:7" x14ac:dyDescent="0.2">
      <c r="A41" t="s">
        <v>28</v>
      </c>
      <c r="B41">
        <v>0</v>
      </c>
      <c r="C41">
        <v>0.11550000000000001</v>
      </c>
      <c r="D41" t="str">
        <f t="shared" si="0"/>
        <v>Aliidiomarina (Acetate &amp; IR)</v>
      </c>
      <c r="E41" t="s">
        <v>5</v>
      </c>
      <c r="F41" t="s">
        <v>37</v>
      </c>
      <c r="G41" t="s">
        <v>9</v>
      </c>
    </row>
    <row r="42" spans="1:7" x14ac:dyDescent="0.2">
      <c r="A42" t="s">
        <v>29</v>
      </c>
      <c r="B42">
        <v>0</v>
      </c>
      <c r="C42">
        <v>0.1174</v>
      </c>
      <c r="D42" t="str">
        <f t="shared" si="0"/>
        <v>Aliidiomarina (Acetate &amp; IR)</v>
      </c>
      <c r="E42" t="s">
        <v>5</v>
      </c>
      <c r="F42" t="s">
        <v>37</v>
      </c>
      <c r="G42" t="s">
        <v>9</v>
      </c>
    </row>
    <row r="43" spans="1:7" x14ac:dyDescent="0.2">
      <c r="A43" t="s">
        <v>30</v>
      </c>
      <c r="B43">
        <v>0</v>
      </c>
      <c r="C43">
        <v>0.1159</v>
      </c>
      <c r="D43" t="str">
        <f t="shared" si="0"/>
        <v>Aliidiomarina (Acetate &amp; IR)</v>
      </c>
      <c r="E43" t="s">
        <v>5</v>
      </c>
      <c r="F43" t="s">
        <v>37</v>
      </c>
      <c r="G43" t="s">
        <v>9</v>
      </c>
    </row>
    <row r="44" spans="1:7" x14ac:dyDescent="0.2">
      <c r="A44" t="s">
        <v>31</v>
      </c>
      <c r="B44">
        <v>0</v>
      </c>
      <c r="C44">
        <v>0.14369999999999999</v>
      </c>
      <c r="D44" t="str">
        <f t="shared" si="0"/>
        <v>Marinobacter (Acetate &amp; IR)</v>
      </c>
      <c r="E44" t="s">
        <v>36</v>
      </c>
      <c r="F44" t="s">
        <v>37</v>
      </c>
      <c r="G44" t="s">
        <v>9</v>
      </c>
    </row>
    <row r="45" spans="1:7" x14ac:dyDescent="0.2">
      <c r="A45" t="s">
        <v>32</v>
      </c>
      <c r="B45">
        <v>0</v>
      </c>
      <c r="C45">
        <v>0.1424</v>
      </c>
      <c r="D45" t="str">
        <f t="shared" si="0"/>
        <v>Marinobacter (Acetate &amp; IR)</v>
      </c>
      <c r="E45" t="s">
        <v>36</v>
      </c>
      <c r="F45" t="s">
        <v>37</v>
      </c>
      <c r="G45" t="s">
        <v>9</v>
      </c>
    </row>
    <row r="46" spans="1:7" x14ac:dyDescent="0.2">
      <c r="A46" t="s">
        <v>33</v>
      </c>
      <c r="B46">
        <v>0</v>
      </c>
      <c r="C46">
        <v>0.1464</v>
      </c>
      <c r="D46" t="str">
        <f t="shared" si="0"/>
        <v>Marinobacter (Acetate &amp; IR)</v>
      </c>
      <c r="E46" t="s">
        <v>36</v>
      </c>
      <c r="F46" t="s">
        <v>37</v>
      </c>
      <c r="G46" t="s">
        <v>9</v>
      </c>
    </row>
    <row r="47" spans="1:7" s="3" customFormat="1" x14ac:dyDescent="0.2">
      <c r="A47" s="3" t="s">
        <v>10</v>
      </c>
      <c r="B47" s="3">
        <v>0</v>
      </c>
      <c r="C47" s="3">
        <f>AVERAGE(C48:C49)</f>
        <v>0.14384999999999998</v>
      </c>
      <c r="D47" s="3" t="str">
        <f t="shared" si="0"/>
        <v>Paracoccus (Thiosulfate &amp; IR)</v>
      </c>
      <c r="E47" s="3" t="s">
        <v>3</v>
      </c>
      <c r="F47" s="3" t="s">
        <v>38</v>
      </c>
      <c r="G47" s="3" t="s">
        <v>9</v>
      </c>
    </row>
    <row r="48" spans="1:7" x14ac:dyDescent="0.2">
      <c r="A48" t="s">
        <v>11</v>
      </c>
      <c r="B48">
        <v>0</v>
      </c>
      <c r="C48">
        <v>0.1341</v>
      </c>
      <c r="D48" t="str">
        <f t="shared" si="0"/>
        <v>Paracoccus (Thiosulfate &amp; IR)</v>
      </c>
      <c r="E48" t="s">
        <v>3</v>
      </c>
      <c r="F48" t="s">
        <v>38</v>
      </c>
      <c r="G48" t="s">
        <v>9</v>
      </c>
    </row>
    <row r="49" spans="1:7" x14ac:dyDescent="0.2">
      <c r="A49" t="s">
        <v>12</v>
      </c>
      <c r="B49">
        <v>0</v>
      </c>
      <c r="C49">
        <v>0.15359999999999999</v>
      </c>
      <c r="D49" t="str">
        <f t="shared" si="0"/>
        <v>Paracoccus (Thiosulfate &amp; IR)</v>
      </c>
      <c r="E49" t="s">
        <v>3</v>
      </c>
      <c r="F49" t="s">
        <v>38</v>
      </c>
      <c r="G49" t="s">
        <v>9</v>
      </c>
    </row>
    <row r="50" spans="1:7" x14ac:dyDescent="0.2">
      <c r="A50" t="s">
        <v>16</v>
      </c>
      <c r="B50">
        <v>0</v>
      </c>
      <c r="C50">
        <v>0.1132</v>
      </c>
      <c r="D50" t="str">
        <f t="shared" si="0"/>
        <v>Aliidiomarina (Thiosulfate &amp; IR)</v>
      </c>
      <c r="E50" t="s">
        <v>5</v>
      </c>
      <c r="F50" t="s">
        <v>38</v>
      </c>
      <c r="G50" t="s">
        <v>9</v>
      </c>
    </row>
    <row r="51" spans="1:7" x14ac:dyDescent="0.2">
      <c r="A51" t="s">
        <v>17</v>
      </c>
      <c r="B51">
        <v>0</v>
      </c>
      <c r="C51">
        <v>0.1132</v>
      </c>
      <c r="D51" t="str">
        <f t="shared" si="0"/>
        <v>Aliidiomarina (Thiosulfate &amp; IR)</v>
      </c>
      <c r="E51" t="s">
        <v>5</v>
      </c>
      <c r="F51" t="s">
        <v>38</v>
      </c>
      <c r="G51" t="s">
        <v>9</v>
      </c>
    </row>
    <row r="52" spans="1:7" x14ac:dyDescent="0.2">
      <c r="A52" t="s">
        <v>18</v>
      </c>
      <c r="B52">
        <v>0</v>
      </c>
      <c r="C52">
        <v>0.11459999999999999</v>
      </c>
      <c r="D52" t="str">
        <f t="shared" si="0"/>
        <v>Aliidiomarina (Thiosulfate &amp; IR)</v>
      </c>
      <c r="E52" t="s">
        <v>5</v>
      </c>
      <c r="F52" t="s">
        <v>38</v>
      </c>
      <c r="G52" t="s">
        <v>9</v>
      </c>
    </row>
    <row r="53" spans="1:7" x14ac:dyDescent="0.2">
      <c r="A53" t="s">
        <v>19</v>
      </c>
      <c r="B53">
        <v>0</v>
      </c>
      <c r="C53">
        <v>0.14269999999999999</v>
      </c>
      <c r="D53" t="str">
        <f t="shared" si="0"/>
        <v>Marinobacter (Thiosulfate &amp; IR)</v>
      </c>
      <c r="E53" t="s">
        <v>36</v>
      </c>
      <c r="F53" t="s">
        <v>38</v>
      </c>
      <c r="G53" t="s">
        <v>9</v>
      </c>
    </row>
    <row r="54" spans="1:7" x14ac:dyDescent="0.2">
      <c r="A54" t="s">
        <v>20</v>
      </c>
      <c r="B54">
        <v>0</v>
      </c>
      <c r="C54">
        <v>0.1457</v>
      </c>
      <c r="D54" t="str">
        <f t="shared" si="0"/>
        <v>Marinobacter (Thiosulfate &amp; IR)</v>
      </c>
      <c r="E54" t="s">
        <v>36</v>
      </c>
      <c r="F54" t="s">
        <v>38</v>
      </c>
      <c r="G54" t="s">
        <v>9</v>
      </c>
    </row>
    <row r="55" spans="1:7" x14ac:dyDescent="0.2">
      <c r="A55" t="s">
        <v>21</v>
      </c>
      <c r="B55">
        <v>0</v>
      </c>
      <c r="C55">
        <v>0.1429</v>
      </c>
      <c r="D55" t="str">
        <f t="shared" si="0"/>
        <v>Marinobacter (Thiosulfate &amp; IR)</v>
      </c>
      <c r="E55" t="s">
        <v>36</v>
      </c>
      <c r="F55" t="s">
        <v>38</v>
      </c>
      <c r="G55" t="s">
        <v>9</v>
      </c>
    </row>
    <row r="56" spans="1:7" x14ac:dyDescent="0.2">
      <c r="A56" t="s">
        <v>22</v>
      </c>
      <c r="B56">
        <v>12</v>
      </c>
      <c r="C56">
        <v>0.1341</v>
      </c>
      <c r="D56" t="str">
        <f t="shared" si="0"/>
        <v>Paracoccus (Control &amp; Dark)</v>
      </c>
      <c r="E56" t="s">
        <v>3</v>
      </c>
      <c r="F56" t="s">
        <v>35</v>
      </c>
      <c r="G56" t="s">
        <v>4</v>
      </c>
    </row>
    <row r="57" spans="1:7" x14ac:dyDescent="0.2">
      <c r="A57" t="s">
        <v>23</v>
      </c>
      <c r="B57">
        <v>12</v>
      </c>
      <c r="C57">
        <v>0.13500000000000001</v>
      </c>
      <c r="D57" t="str">
        <f t="shared" si="0"/>
        <v>Paracoccus (Control &amp; Dark)</v>
      </c>
      <c r="E57" t="s">
        <v>3</v>
      </c>
      <c r="F57" t="s">
        <v>35</v>
      </c>
      <c r="G57" t="s">
        <v>4</v>
      </c>
    </row>
    <row r="58" spans="1:7" x14ac:dyDescent="0.2">
      <c r="A58" t="s">
        <v>24</v>
      </c>
      <c r="B58">
        <v>12</v>
      </c>
      <c r="C58">
        <v>0.13289999999999999</v>
      </c>
      <c r="D58" t="str">
        <f t="shared" si="0"/>
        <v>Paracoccus (Control &amp; Dark)</v>
      </c>
      <c r="E58" t="s">
        <v>3</v>
      </c>
      <c r="F58" t="s">
        <v>35</v>
      </c>
      <c r="G58" t="s">
        <v>4</v>
      </c>
    </row>
    <row r="59" spans="1:7" x14ac:dyDescent="0.2">
      <c r="A59" t="s">
        <v>6</v>
      </c>
      <c r="B59">
        <v>12</v>
      </c>
      <c r="C59">
        <v>0.1095</v>
      </c>
      <c r="D59" t="str">
        <f t="shared" si="0"/>
        <v>Aliidiomarina (Control &amp; Dark)</v>
      </c>
      <c r="E59" t="s">
        <v>5</v>
      </c>
      <c r="F59" t="s">
        <v>35</v>
      </c>
      <c r="G59" t="s">
        <v>4</v>
      </c>
    </row>
    <row r="60" spans="1:7" x14ac:dyDescent="0.2">
      <c r="A60" t="s">
        <v>7</v>
      </c>
      <c r="B60">
        <v>12</v>
      </c>
      <c r="C60">
        <v>0.1105</v>
      </c>
      <c r="D60" t="str">
        <f t="shared" si="0"/>
        <v>Aliidiomarina (Control &amp; Dark)</v>
      </c>
      <c r="E60" t="s">
        <v>5</v>
      </c>
      <c r="F60" t="s">
        <v>35</v>
      </c>
      <c r="G60" t="s">
        <v>4</v>
      </c>
    </row>
    <row r="61" spans="1:7" x14ac:dyDescent="0.2">
      <c r="A61" t="s">
        <v>8</v>
      </c>
      <c r="B61">
        <v>12</v>
      </c>
      <c r="C61">
        <v>0.1105</v>
      </c>
      <c r="D61" t="str">
        <f t="shared" si="0"/>
        <v>Aliidiomarina (Control &amp; Dark)</v>
      </c>
      <c r="E61" t="s">
        <v>5</v>
      </c>
      <c r="F61" t="s">
        <v>35</v>
      </c>
      <c r="G61" t="s">
        <v>4</v>
      </c>
    </row>
    <row r="62" spans="1:7" x14ac:dyDescent="0.2">
      <c r="A62" t="s">
        <v>25</v>
      </c>
      <c r="B62">
        <v>12</v>
      </c>
      <c r="C62">
        <v>0.14130000000000001</v>
      </c>
      <c r="D62" t="str">
        <f t="shared" si="0"/>
        <v>Marinobacter (Control &amp; Dark)</v>
      </c>
      <c r="E62" t="s">
        <v>36</v>
      </c>
      <c r="F62" t="s">
        <v>35</v>
      </c>
      <c r="G62" t="s">
        <v>4</v>
      </c>
    </row>
    <row r="63" spans="1:7" x14ac:dyDescent="0.2">
      <c r="A63" t="s">
        <v>26</v>
      </c>
      <c r="B63">
        <v>12</v>
      </c>
      <c r="C63">
        <v>0.1404</v>
      </c>
      <c r="D63" t="str">
        <f t="shared" si="0"/>
        <v>Marinobacter (Control &amp; Dark)</v>
      </c>
      <c r="E63" t="s">
        <v>36</v>
      </c>
      <c r="F63" t="s">
        <v>35</v>
      </c>
      <c r="G63" t="s">
        <v>4</v>
      </c>
    </row>
    <row r="64" spans="1:7" x14ac:dyDescent="0.2">
      <c r="A64" t="s">
        <v>27</v>
      </c>
      <c r="B64">
        <v>12</v>
      </c>
      <c r="C64">
        <v>0.1429</v>
      </c>
      <c r="D64" t="str">
        <f t="shared" si="0"/>
        <v>Marinobacter (Control &amp; Dark)</v>
      </c>
      <c r="E64" t="s">
        <v>36</v>
      </c>
      <c r="F64" t="s">
        <v>35</v>
      </c>
      <c r="G64" t="s">
        <v>4</v>
      </c>
    </row>
    <row r="65" spans="1:7" s="3" customFormat="1" x14ac:dyDescent="0.2">
      <c r="A65" s="3" t="s">
        <v>28</v>
      </c>
      <c r="B65" s="3">
        <v>12</v>
      </c>
      <c r="C65" s="3">
        <f>AVERAGE(C66:C67)</f>
        <v>0.13240000000000002</v>
      </c>
      <c r="D65" s="3" t="str">
        <f t="shared" si="0"/>
        <v>Paracoccus (Acetate &amp; Dark)</v>
      </c>
      <c r="E65" s="3" t="s">
        <v>3</v>
      </c>
      <c r="F65" s="3" t="s">
        <v>37</v>
      </c>
      <c r="G65" s="3" t="s">
        <v>4</v>
      </c>
    </row>
    <row r="66" spans="1:7" x14ac:dyDescent="0.2">
      <c r="A66" t="s">
        <v>29</v>
      </c>
      <c r="B66">
        <v>12</v>
      </c>
      <c r="C66">
        <v>0.1326</v>
      </c>
      <c r="D66" t="str">
        <f t="shared" si="0"/>
        <v>Paracoccus (Acetate &amp; Dark)</v>
      </c>
      <c r="E66" t="s">
        <v>3</v>
      </c>
      <c r="F66" t="s">
        <v>37</v>
      </c>
      <c r="G66" t="s">
        <v>4</v>
      </c>
    </row>
    <row r="67" spans="1:7" x14ac:dyDescent="0.2">
      <c r="A67" t="s">
        <v>30</v>
      </c>
      <c r="B67">
        <v>12</v>
      </c>
      <c r="C67">
        <v>0.13220000000000001</v>
      </c>
      <c r="D67" t="str">
        <f t="shared" ref="D67:D97" si="1">_xlfn.CONCAT(E67," (",F67," &amp; ",G67,")")</f>
        <v>Paracoccus (Acetate &amp; Dark)</v>
      </c>
      <c r="E67" t="s">
        <v>3</v>
      </c>
      <c r="F67" t="s">
        <v>37</v>
      </c>
      <c r="G67" t="s">
        <v>4</v>
      </c>
    </row>
    <row r="68" spans="1:7" x14ac:dyDescent="0.2">
      <c r="A68" t="s">
        <v>31</v>
      </c>
      <c r="B68">
        <v>12</v>
      </c>
      <c r="C68">
        <v>0.104</v>
      </c>
      <c r="D68" t="str">
        <f t="shared" si="1"/>
        <v>Aliidiomarina (Acetate &amp; Dark)</v>
      </c>
      <c r="E68" t="s">
        <v>5</v>
      </c>
      <c r="F68" t="s">
        <v>37</v>
      </c>
      <c r="G68" t="s">
        <v>4</v>
      </c>
    </row>
    <row r="69" spans="1:7" x14ac:dyDescent="0.2">
      <c r="A69" t="s">
        <v>32</v>
      </c>
      <c r="B69">
        <v>12</v>
      </c>
      <c r="C69">
        <v>0.1012</v>
      </c>
      <c r="D69" t="str">
        <f t="shared" si="1"/>
        <v>Aliidiomarina (Acetate &amp; Dark)</v>
      </c>
      <c r="E69" t="s">
        <v>5</v>
      </c>
      <c r="F69" t="s">
        <v>37</v>
      </c>
      <c r="G69" t="s">
        <v>4</v>
      </c>
    </row>
    <row r="70" spans="1:7" x14ac:dyDescent="0.2">
      <c r="A70" t="s">
        <v>33</v>
      </c>
      <c r="B70">
        <v>12</v>
      </c>
      <c r="C70">
        <v>0.10589999999999999</v>
      </c>
      <c r="D70" t="str">
        <f t="shared" si="1"/>
        <v>Aliidiomarina (Acetate &amp; Dark)</v>
      </c>
      <c r="E70" t="s">
        <v>5</v>
      </c>
      <c r="F70" t="s">
        <v>37</v>
      </c>
      <c r="G70" t="s">
        <v>4</v>
      </c>
    </row>
    <row r="71" spans="1:7" x14ac:dyDescent="0.2">
      <c r="A71" t="s">
        <v>10</v>
      </c>
      <c r="B71">
        <v>12</v>
      </c>
      <c r="C71">
        <v>0.14199999999999999</v>
      </c>
      <c r="D71" t="str">
        <f t="shared" si="1"/>
        <v>Marinobacter (Acetate &amp; Dark)</v>
      </c>
      <c r="E71" t="s">
        <v>36</v>
      </c>
      <c r="F71" t="s">
        <v>37</v>
      </c>
      <c r="G71" t="s">
        <v>4</v>
      </c>
    </row>
    <row r="72" spans="1:7" x14ac:dyDescent="0.2">
      <c r="A72" t="s">
        <v>11</v>
      </c>
      <c r="B72">
        <v>12</v>
      </c>
      <c r="C72">
        <v>0.1404</v>
      </c>
      <c r="D72" t="str">
        <f t="shared" si="1"/>
        <v>Marinobacter (Acetate &amp; Dark)</v>
      </c>
      <c r="E72" t="s">
        <v>36</v>
      </c>
      <c r="F72" t="s">
        <v>37</v>
      </c>
      <c r="G72" t="s">
        <v>4</v>
      </c>
    </row>
    <row r="73" spans="1:7" x14ac:dyDescent="0.2">
      <c r="A73" t="s">
        <v>12</v>
      </c>
      <c r="B73">
        <v>12</v>
      </c>
      <c r="C73">
        <v>0.13919999999999999</v>
      </c>
      <c r="D73" t="str">
        <f t="shared" si="1"/>
        <v>Marinobacter (Acetate &amp; Dark)</v>
      </c>
      <c r="E73" t="s">
        <v>36</v>
      </c>
      <c r="F73" t="s">
        <v>37</v>
      </c>
      <c r="G73" t="s">
        <v>4</v>
      </c>
    </row>
    <row r="74" spans="1:7" s="3" customFormat="1" x14ac:dyDescent="0.2">
      <c r="A74" s="3" t="s">
        <v>16</v>
      </c>
      <c r="B74" s="3">
        <v>12</v>
      </c>
      <c r="C74" s="3">
        <f>AVERAGE(C75:C76)</f>
        <v>0.1409</v>
      </c>
      <c r="D74" s="3" t="str">
        <f t="shared" si="1"/>
        <v>Paracoccus (Thiosulfate &amp; Dark)</v>
      </c>
      <c r="E74" s="3" t="s">
        <v>3</v>
      </c>
      <c r="F74" s="3" t="s">
        <v>38</v>
      </c>
      <c r="G74" s="3" t="s">
        <v>4</v>
      </c>
    </row>
    <row r="75" spans="1:7" x14ac:dyDescent="0.2">
      <c r="A75" t="s">
        <v>17</v>
      </c>
      <c r="B75">
        <v>12</v>
      </c>
      <c r="C75">
        <v>0.1472</v>
      </c>
      <c r="D75" t="str">
        <f t="shared" si="1"/>
        <v>Paracoccus (Thiosulfate &amp; Dark)</v>
      </c>
      <c r="E75" t="s">
        <v>3</v>
      </c>
      <c r="F75" t="s">
        <v>38</v>
      </c>
      <c r="G75" t="s">
        <v>4</v>
      </c>
    </row>
    <row r="76" spans="1:7" x14ac:dyDescent="0.2">
      <c r="A76" t="s">
        <v>18</v>
      </c>
      <c r="B76">
        <v>12</v>
      </c>
      <c r="C76">
        <v>0.1346</v>
      </c>
      <c r="D76" t="str">
        <f t="shared" si="1"/>
        <v>Paracoccus (Thiosulfate &amp; Dark)</v>
      </c>
      <c r="E76" t="s">
        <v>3</v>
      </c>
      <c r="F76" t="s">
        <v>38</v>
      </c>
      <c r="G76" t="s">
        <v>4</v>
      </c>
    </row>
    <row r="77" spans="1:7" x14ac:dyDescent="0.2">
      <c r="A77" t="s">
        <v>19</v>
      </c>
      <c r="B77">
        <v>12</v>
      </c>
      <c r="C77">
        <v>0.107</v>
      </c>
      <c r="D77" t="str">
        <f t="shared" si="1"/>
        <v>Aliidiomarina (Thiosulfate &amp; Dark)</v>
      </c>
      <c r="E77" t="s">
        <v>5</v>
      </c>
      <c r="F77" t="s">
        <v>38</v>
      </c>
      <c r="G77" t="s">
        <v>4</v>
      </c>
    </row>
    <row r="78" spans="1:7" x14ac:dyDescent="0.2">
      <c r="A78" t="s">
        <v>20</v>
      </c>
      <c r="B78">
        <v>12</v>
      </c>
      <c r="C78">
        <v>0.1046</v>
      </c>
      <c r="D78" t="str">
        <f t="shared" si="1"/>
        <v>Aliidiomarina (Thiosulfate &amp; Dark)</v>
      </c>
      <c r="E78" t="s">
        <v>5</v>
      </c>
      <c r="F78" t="s">
        <v>38</v>
      </c>
      <c r="G78" t="s">
        <v>4</v>
      </c>
    </row>
    <row r="79" spans="1:7" x14ac:dyDescent="0.2">
      <c r="A79" t="s">
        <v>21</v>
      </c>
      <c r="B79">
        <v>12</v>
      </c>
      <c r="C79">
        <v>0.1011</v>
      </c>
      <c r="D79" t="str">
        <f t="shared" si="1"/>
        <v>Aliidiomarina (Thiosulfate &amp; Dark)</v>
      </c>
      <c r="E79" t="s">
        <v>5</v>
      </c>
      <c r="F79" t="s">
        <v>38</v>
      </c>
      <c r="G79" t="s">
        <v>4</v>
      </c>
    </row>
    <row r="80" spans="1:7" x14ac:dyDescent="0.2">
      <c r="A80" t="s">
        <v>22</v>
      </c>
      <c r="B80">
        <v>12</v>
      </c>
      <c r="C80">
        <v>0.1401</v>
      </c>
      <c r="D80" t="str">
        <f t="shared" si="1"/>
        <v>Marinobacter (Thiosulfate &amp; Dark)</v>
      </c>
      <c r="E80" t="s">
        <v>36</v>
      </c>
      <c r="F80" t="s">
        <v>38</v>
      </c>
      <c r="G80" t="s">
        <v>4</v>
      </c>
    </row>
    <row r="81" spans="1:7" x14ac:dyDescent="0.2">
      <c r="A81" t="s">
        <v>23</v>
      </c>
      <c r="B81">
        <v>12</v>
      </c>
      <c r="C81">
        <v>0.14299999999999999</v>
      </c>
      <c r="D81" t="str">
        <f t="shared" si="1"/>
        <v>Marinobacter (Thiosulfate &amp; Dark)</v>
      </c>
      <c r="E81" t="s">
        <v>36</v>
      </c>
      <c r="F81" t="s">
        <v>38</v>
      </c>
      <c r="G81" t="s">
        <v>4</v>
      </c>
    </row>
    <row r="82" spans="1:7" x14ac:dyDescent="0.2">
      <c r="A82" t="s">
        <v>24</v>
      </c>
      <c r="B82">
        <v>12</v>
      </c>
      <c r="C82">
        <v>0.1389</v>
      </c>
      <c r="D82" t="str">
        <f t="shared" si="1"/>
        <v>Marinobacter (Thiosulfate &amp; Dark)</v>
      </c>
      <c r="E82" t="s">
        <v>36</v>
      </c>
      <c r="F82" t="s">
        <v>38</v>
      </c>
      <c r="G82" t="s">
        <v>4</v>
      </c>
    </row>
    <row r="83" spans="1:7" x14ac:dyDescent="0.2">
      <c r="A83" t="s">
        <v>6</v>
      </c>
      <c r="B83">
        <v>12</v>
      </c>
      <c r="C83">
        <v>0.1343</v>
      </c>
      <c r="D83" t="str">
        <f t="shared" si="1"/>
        <v>Paracoccus (Control &amp; IR)</v>
      </c>
      <c r="E83" t="s">
        <v>3</v>
      </c>
      <c r="F83" t="s">
        <v>35</v>
      </c>
      <c r="G83" t="s">
        <v>9</v>
      </c>
    </row>
    <row r="84" spans="1:7" x14ac:dyDescent="0.2">
      <c r="A84" t="s">
        <v>7</v>
      </c>
      <c r="B84">
        <v>12</v>
      </c>
      <c r="C84">
        <v>0.13120000000000001</v>
      </c>
      <c r="D84" t="str">
        <f t="shared" si="1"/>
        <v>Paracoccus (Control &amp; IR)</v>
      </c>
      <c r="E84" t="s">
        <v>3</v>
      </c>
      <c r="F84" t="s">
        <v>35</v>
      </c>
      <c r="G84" t="s">
        <v>9</v>
      </c>
    </row>
    <row r="85" spans="1:7" x14ac:dyDescent="0.2">
      <c r="A85" t="s">
        <v>8</v>
      </c>
      <c r="B85">
        <v>12</v>
      </c>
      <c r="C85">
        <v>0.1313</v>
      </c>
      <c r="D85" t="str">
        <f t="shared" si="1"/>
        <v>Paracoccus (Control &amp; IR)</v>
      </c>
      <c r="E85" t="s">
        <v>3</v>
      </c>
      <c r="F85" t="s">
        <v>35</v>
      </c>
      <c r="G85" t="s">
        <v>9</v>
      </c>
    </row>
    <row r="86" spans="1:7" x14ac:dyDescent="0.2">
      <c r="A86" t="s">
        <v>25</v>
      </c>
      <c r="B86">
        <v>12</v>
      </c>
      <c r="C86">
        <v>0.1084</v>
      </c>
      <c r="D86" t="str">
        <f t="shared" si="1"/>
        <v>Aliidiomarina (Control &amp; IR)</v>
      </c>
      <c r="E86" t="s">
        <v>5</v>
      </c>
      <c r="F86" t="s">
        <v>35</v>
      </c>
      <c r="G86" t="s">
        <v>9</v>
      </c>
    </row>
    <row r="87" spans="1:7" x14ac:dyDescent="0.2">
      <c r="A87" t="s">
        <v>26</v>
      </c>
      <c r="B87">
        <v>12</v>
      </c>
      <c r="C87">
        <v>0.1076</v>
      </c>
      <c r="D87" t="str">
        <f t="shared" si="1"/>
        <v>Aliidiomarina (Control &amp; IR)</v>
      </c>
      <c r="E87" t="s">
        <v>5</v>
      </c>
      <c r="F87" t="s">
        <v>35</v>
      </c>
      <c r="G87" t="s">
        <v>9</v>
      </c>
    </row>
    <row r="88" spans="1:7" x14ac:dyDescent="0.2">
      <c r="A88" t="s">
        <v>27</v>
      </c>
      <c r="B88">
        <v>12</v>
      </c>
      <c r="C88">
        <v>0.1077</v>
      </c>
      <c r="D88" t="str">
        <f t="shared" si="1"/>
        <v>Aliidiomarina (Control &amp; IR)</v>
      </c>
      <c r="E88" t="s">
        <v>5</v>
      </c>
      <c r="F88" t="s">
        <v>35</v>
      </c>
      <c r="G88" t="s">
        <v>9</v>
      </c>
    </row>
    <row r="89" spans="1:7" x14ac:dyDescent="0.2">
      <c r="A89" t="s">
        <v>28</v>
      </c>
      <c r="B89">
        <v>12</v>
      </c>
      <c r="C89">
        <v>0.13980000000000001</v>
      </c>
      <c r="D89" t="str">
        <f t="shared" si="1"/>
        <v>Marinobacter (Control &amp; IR)</v>
      </c>
      <c r="E89" t="s">
        <v>36</v>
      </c>
      <c r="F89" t="s">
        <v>35</v>
      </c>
      <c r="G89" t="s">
        <v>9</v>
      </c>
    </row>
    <row r="90" spans="1:7" x14ac:dyDescent="0.2">
      <c r="A90" t="s">
        <v>29</v>
      </c>
      <c r="B90">
        <v>12</v>
      </c>
      <c r="C90">
        <v>0.1431</v>
      </c>
      <c r="D90" t="str">
        <f t="shared" si="1"/>
        <v>Marinobacter (Control &amp; IR)</v>
      </c>
      <c r="E90" t="s">
        <v>36</v>
      </c>
      <c r="F90" t="s">
        <v>35</v>
      </c>
      <c r="G90" t="s">
        <v>9</v>
      </c>
    </row>
    <row r="91" spans="1:7" x14ac:dyDescent="0.2">
      <c r="A91" t="s">
        <v>30</v>
      </c>
      <c r="B91">
        <v>12</v>
      </c>
      <c r="C91">
        <v>0.1666</v>
      </c>
      <c r="D91" t="str">
        <f t="shared" si="1"/>
        <v>Marinobacter (Control &amp; IR)</v>
      </c>
      <c r="E91" t="s">
        <v>36</v>
      </c>
      <c r="F91" t="s">
        <v>35</v>
      </c>
      <c r="G91" t="s">
        <v>9</v>
      </c>
    </row>
    <row r="92" spans="1:7" x14ac:dyDescent="0.2">
      <c r="A92" t="s">
        <v>31</v>
      </c>
      <c r="B92">
        <v>12</v>
      </c>
      <c r="C92">
        <v>0.14130000000000001</v>
      </c>
      <c r="D92" t="str">
        <f t="shared" si="1"/>
        <v>Paracoccus (Acetate &amp; IR)</v>
      </c>
      <c r="E92" t="s">
        <v>3</v>
      </c>
      <c r="F92" t="s">
        <v>37</v>
      </c>
      <c r="G92" t="s">
        <v>9</v>
      </c>
    </row>
    <row r="93" spans="1:7" x14ac:dyDescent="0.2">
      <c r="A93" t="s">
        <v>32</v>
      </c>
      <c r="B93">
        <v>12</v>
      </c>
      <c r="C93">
        <v>0.15260000000000001</v>
      </c>
      <c r="D93" t="str">
        <f t="shared" si="1"/>
        <v>Paracoccus (Acetate &amp; IR)</v>
      </c>
      <c r="E93" t="s">
        <v>3</v>
      </c>
      <c r="F93" t="s">
        <v>37</v>
      </c>
      <c r="G93" t="s">
        <v>9</v>
      </c>
    </row>
    <row r="94" spans="1:7" x14ac:dyDescent="0.2">
      <c r="A94" t="s">
        <v>33</v>
      </c>
      <c r="B94">
        <v>12</v>
      </c>
      <c r="C94">
        <v>0.1351</v>
      </c>
      <c r="D94" t="str">
        <f t="shared" si="1"/>
        <v>Paracoccus (Acetate &amp; IR)</v>
      </c>
      <c r="E94" t="s">
        <v>3</v>
      </c>
      <c r="F94" t="s">
        <v>37</v>
      </c>
      <c r="G94" t="s">
        <v>9</v>
      </c>
    </row>
    <row r="95" spans="1:7" x14ac:dyDescent="0.2">
      <c r="A95" t="s">
        <v>10</v>
      </c>
      <c r="B95">
        <v>12</v>
      </c>
      <c r="C95">
        <v>0.1106</v>
      </c>
      <c r="D95" t="str">
        <f t="shared" si="1"/>
        <v>Aliidiomarina (Acetate &amp; IR)</v>
      </c>
      <c r="E95" t="s">
        <v>5</v>
      </c>
      <c r="F95" t="s">
        <v>37</v>
      </c>
      <c r="G95" t="s">
        <v>9</v>
      </c>
    </row>
    <row r="96" spans="1:7" x14ac:dyDescent="0.2">
      <c r="A96" t="s">
        <v>11</v>
      </c>
      <c r="B96">
        <v>12</v>
      </c>
      <c r="C96">
        <v>0.1101</v>
      </c>
      <c r="D96" t="str">
        <f t="shared" si="1"/>
        <v>Aliidiomarina (Acetate &amp; IR)</v>
      </c>
      <c r="E96" t="s">
        <v>5</v>
      </c>
      <c r="F96" t="s">
        <v>37</v>
      </c>
      <c r="G96" t="s">
        <v>9</v>
      </c>
    </row>
    <row r="97" spans="1:7" x14ac:dyDescent="0.2">
      <c r="A97" t="s">
        <v>12</v>
      </c>
      <c r="B97">
        <v>12</v>
      </c>
      <c r="C97">
        <v>0.1103</v>
      </c>
      <c r="D97" t="str">
        <f t="shared" si="1"/>
        <v>Aliidiomarina (Acetate &amp; IR)</v>
      </c>
      <c r="E97" t="s">
        <v>5</v>
      </c>
      <c r="F97" t="s">
        <v>37</v>
      </c>
      <c r="G97" t="s">
        <v>9</v>
      </c>
    </row>
    <row r="98" spans="1:7" x14ac:dyDescent="0.2">
      <c r="A98" t="s">
        <v>16</v>
      </c>
      <c r="B98">
        <v>12</v>
      </c>
      <c r="C98">
        <v>0.14149999999999999</v>
      </c>
      <c r="D98" t="str">
        <f t="shared" ref="D98:D109" si="2">_xlfn.CONCAT(E98," (",F98," &amp; ",G98,")")</f>
        <v>Marinobacter (Acetate &amp; IR)</v>
      </c>
      <c r="E98" t="s">
        <v>36</v>
      </c>
      <c r="F98" t="s">
        <v>37</v>
      </c>
      <c r="G98" t="s">
        <v>9</v>
      </c>
    </row>
    <row r="99" spans="1:7" x14ac:dyDescent="0.2">
      <c r="A99" t="s">
        <v>17</v>
      </c>
      <c r="B99">
        <v>12</v>
      </c>
      <c r="C99">
        <v>0.1426</v>
      </c>
      <c r="D99" t="str">
        <f t="shared" si="2"/>
        <v>Marinobacter (Acetate &amp; IR)</v>
      </c>
      <c r="E99" t="s">
        <v>36</v>
      </c>
      <c r="F99" t="s">
        <v>37</v>
      </c>
      <c r="G99" t="s">
        <v>9</v>
      </c>
    </row>
    <row r="100" spans="1:7" x14ac:dyDescent="0.2">
      <c r="A100" t="s">
        <v>18</v>
      </c>
      <c r="B100">
        <v>12</v>
      </c>
      <c r="C100">
        <v>0.16830000000000001</v>
      </c>
      <c r="D100" t="str">
        <f t="shared" si="2"/>
        <v>Marinobacter (Acetate &amp; IR)</v>
      </c>
      <c r="E100" t="s">
        <v>36</v>
      </c>
      <c r="F100" t="s">
        <v>37</v>
      </c>
      <c r="G100" t="s">
        <v>9</v>
      </c>
    </row>
    <row r="101" spans="1:7" x14ac:dyDescent="0.2">
      <c r="A101" t="s">
        <v>19</v>
      </c>
      <c r="B101">
        <v>12</v>
      </c>
      <c r="C101">
        <v>0.1376</v>
      </c>
      <c r="D101" t="str">
        <f t="shared" si="2"/>
        <v>Paracoccus (Thiosulfate &amp; IR)</v>
      </c>
      <c r="E101" t="s">
        <v>3</v>
      </c>
      <c r="F101" t="s">
        <v>38</v>
      </c>
      <c r="G101" t="s">
        <v>9</v>
      </c>
    </row>
    <row r="102" spans="1:7" x14ac:dyDescent="0.2">
      <c r="A102" t="s">
        <v>20</v>
      </c>
      <c r="B102">
        <v>12</v>
      </c>
      <c r="C102">
        <v>0.12989999999999999</v>
      </c>
      <c r="D102" t="str">
        <f t="shared" si="2"/>
        <v>Paracoccus (Thiosulfate &amp; IR)</v>
      </c>
      <c r="E102" t="s">
        <v>3</v>
      </c>
      <c r="F102" t="s">
        <v>38</v>
      </c>
      <c r="G102" t="s">
        <v>9</v>
      </c>
    </row>
    <row r="103" spans="1:7" x14ac:dyDescent="0.2">
      <c r="A103" t="s">
        <v>21</v>
      </c>
      <c r="B103">
        <v>12</v>
      </c>
      <c r="C103">
        <v>0.13650000000000001</v>
      </c>
      <c r="D103" t="str">
        <f t="shared" si="2"/>
        <v>Paracoccus (Thiosulfate &amp; IR)</v>
      </c>
      <c r="E103" t="s">
        <v>3</v>
      </c>
      <c r="F103" t="s">
        <v>38</v>
      </c>
      <c r="G103" t="s">
        <v>9</v>
      </c>
    </row>
    <row r="104" spans="1:7" x14ac:dyDescent="0.2">
      <c r="A104" t="s">
        <v>22</v>
      </c>
      <c r="B104">
        <v>12</v>
      </c>
      <c r="C104">
        <v>0.10680000000000001</v>
      </c>
      <c r="D104" t="str">
        <f t="shared" si="2"/>
        <v>Aliidiomarina (Thiosulfate &amp; IR)</v>
      </c>
      <c r="E104" t="s">
        <v>5</v>
      </c>
      <c r="F104" t="s">
        <v>38</v>
      </c>
      <c r="G104" t="s">
        <v>9</v>
      </c>
    </row>
    <row r="105" spans="1:7" x14ac:dyDescent="0.2">
      <c r="A105" t="s">
        <v>23</v>
      </c>
      <c r="B105">
        <v>12</v>
      </c>
      <c r="C105">
        <v>0.11840000000000001</v>
      </c>
      <c r="D105" t="str">
        <f t="shared" si="2"/>
        <v>Aliidiomarina (Thiosulfate &amp; IR)</v>
      </c>
      <c r="E105" t="s">
        <v>5</v>
      </c>
      <c r="F105" t="s">
        <v>38</v>
      </c>
      <c r="G105" t="s">
        <v>9</v>
      </c>
    </row>
    <row r="106" spans="1:7" x14ac:dyDescent="0.2">
      <c r="A106" t="s">
        <v>24</v>
      </c>
      <c r="B106">
        <v>12</v>
      </c>
      <c r="C106">
        <v>0.10580000000000001</v>
      </c>
      <c r="D106" t="str">
        <f t="shared" si="2"/>
        <v>Aliidiomarina (Thiosulfate &amp; IR)</v>
      </c>
      <c r="E106" t="s">
        <v>5</v>
      </c>
      <c r="F106" t="s">
        <v>38</v>
      </c>
      <c r="G106" t="s">
        <v>9</v>
      </c>
    </row>
    <row r="107" spans="1:7" x14ac:dyDescent="0.2">
      <c r="A107" t="s">
        <v>6</v>
      </c>
      <c r="B107">
        <v>12</v>
      </c>
      <c r="C107">
        <v>0.1363</v>
      </c>
      <c r="D107" t="str">
        <f t="shared" si="2"/>
        <v>Marinobacter (Thiosulfate &amp; IR)</v>
      </c>
      <c r="E107" t="s">
        <v>36</v>
      </c>
      <c r="F107" t="s">
        <v>38</v>
      </c>
      <c r="G107" t="s">
        <v>9</v>
      </c>
    </row>
    <row r="108" spans="1:7" x14ac:dyDescent="0.2">
      <c r="A108" t="s">
        <v>7</v>
      </c>
      <c r="B108">
        <v>12</v>
      </c>
      <c r="C108">
        <v>0.13900000000000001</v>
      </c>
      <c r="D108" t="str">
        <f t="shared" si="2"/>
        <v>Marinobacter (Thiosulfate &amp; IR)</v>
      </c>
      <c r="E108" t="s">
        <v>36</v>
      </c>
      <c r="F108" t="s">
        <v>38</v>
      </c>
      <c r="G108" t="s">
        <v>9</v>
      </c>
    </row>
    <row r="109" spans="1:7" x14ac:dyDescent="0.2">
      <c r="A109" t="s">
        <v>8</v>
      </c>
      <c r="B109">
        <v>12</v>
      </c>
      <c r="C109">
        <v>0.1893</v>
      </c>
      <c r="D109" t="str">
        <f t="shared" si="2"/>
        <v>Marinobacter (Thiosulfate &amp; IR)</v>
      </c>
      <c r="E109" t="s">
        <v>36</v>
      </c>
      <c r="F109" t="s">
        <v>38</v>
      </c>
      <c r="G109" t="s">
        <v>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557B-E276-AA4F-8382-CA2F2241A596}">
  <dimension ref="A1:G289"/>
  <sheetViews>
    <sheetView tabSelected="1" topLeftCell="A49" workbookViewId="0">
      <selection activeCell="B66" sqref="B66"/>
    </sheetView>
  </sheetViews>
  <sheetFormatPr baseColWidth="10" defaultRowHeight="16" x14ac:dyDescent="0.2"/>
  <cols>
    <col min="1" max="1" width="13.83203125" customWidth="1"/>
    <col min="4" max="4" width="28" customWidth="1"/>
    <col min="5" max="5" width="15.1640625" customWidth="1"/>
  </cols>
  <sheetData>
    <row r="1" spans="1:7" ht="17" thickBot="1" x14ac:dyDescent="0.25">
      <c r="A1" s="1" t="s">
        <v>0</v>
      </c>
      <c r="B1" s="2" t="s">
        <v>14</v>
      </c>
      <c r="C1" s="1" t="s">
        <v>13</v>
      </c>
      <c r="D1" s="1" t="s">
        <v>15</v>
      </c>
      <c r="E1" s="1" t="s">
        <v>1</v>
      </c>
      <c r="F1" s="1" t="s">
        <v>34</v>
      </c>
      <c r="G1" s="1" t="s">
        <v>2</v>
      </c>
    </row>
    <row r="2" spans="1:7" x14ac:dyDescent="0.2">
      <c r="A2" s="4" t="s">
        <v>43</v>
      </c>
      <c r="B2" s="4">
        <v>0</v>
      </c>
      <c r="C2">
        <v>0.1153</v>
      </c>
      <c r="D2" s="4" t="str">
        <f>_xlfn.CONCAT(E2," (",F2," &amp; ",G2,")")</f>
        <v>Aliidiomarina (Control &amp; Dark)</v>
      </c>
      <c r="E2" s="4" t="s">
        <v>5</v>
      </c>
      <c r="F2" s="4" t="s">
        <v>35</v>
      </c>
      <c r="G2" s="4" t="s">
        <v>4</v>
      </c>
    </row>
    <row r="3" spans="1:7" x14ac:dyDescent="0.2">
      <c r="A3" s="4" t="s">
        <v>44</v>
      </c>
      <c r="B3" s="4">
        <v>0</v>
      </c>
      <c r="C3">
        <v>0.1148</v>
      </c>
      <c r="D3" s="4" t="str">
        <f>_xlfn.CONCAT(E3," (",F3," &amp; ",G3,")")</f>
        <v>Aliidiomarina (Control &amp; Dark)</v>
      </c>
      <c r="E3" s="4" t="s">
        <v>5</v>
      </c>
      <c r="F3" s="4" t="s">
        <v>35</v>
      </c>
      <c r="G3" s="4" t="s">
        <v>4</v>
      </c>
    </row>
    <row r="4" spans="1:7" x14ac:dyDescent="0.2">
      <c r="A4" s="4" t="s">
        <v>45</v>
      </c>
      <c r="B4" s="4">
        <v>0</v>
      </c>
      <c r="C4">
        <v>0.1149</v>
      </c>
      <c r="D4" s="4" t="str">
        <f>_xlfn.CONCAT(E4," (",F4," &amp; ",G4,")")</f>
        <v>Aliidiomarina (Control &amp; Dark)</v>
      </c>
      <c r="E4" s="4" t="s">
        <v>5</v>
      </c>
      <c r="F4" s="4" t="s">
        <v>35</v>
      </c>
      <c r="G4" s="4" t="s">
        <v>4</v>
      </c>
    </row>
    <row r="5" spans="1:7" x14ac:dyDescent="0.2">
      <c r="A5" s="4" t="s">
        <v>49</v>
      </c>
      <c r="B5" s="4">
        <v>0</v>
      </c>
      <c r="C5">
        <v>0.1138</v>
      </c>
      <c r="D5" s="4" t="str">
        <f>_xlfn.CONCAT(E5," (",F5," &amp; ",G5,")")</f>
        <v>Aliidiomarina (Acetate &amp; Dark)</v>
      </c>
      <c r="E5" s="4" t="s">
        <v>5</v>
      </c>
      <c r="F5" s="4" t="s">
        <v>37</v>
      </c>
      <c r="G5" s="4" t="s">
        <v>4</v>
      </c>
    </row>
    <row r="6" spans="1:7" x14ac:dyDescent="0.2">
      <c r="A6" s="4" t="s">
        <v>50</v>
      </c>
      <c r="B6" s="4">
        <v>0</v>
      </c>
      <c r="C6">
        <v>0.113</v>
      </c>
      <c r="D6" s="4" t="str">
        <f>_xlfn.CONCAT(E6," (",F6," &amp; ",G6,")")</f>
        <v>Aliidiomarina (Acetate &amp; Dark)</v>
      </c>
      <c r="E6" s="4" t="s">
        <v>5</v>
      </c>
      <c r="F6" s="4" t="s">
        <v>37</v>
      </c>
      <c r="G6" s="4" t="s">
        <v>4</v>
      </c>
    </row>
    <row r="7" spans="1:7" x14ac:dyDescent="0.2">
      <c r="A7" s="4" t="s">
        <v>51</v>
      </c>
      <c r="B7" s="4">
        <v>0</v>
      </c>
      <c r="C7">
        <v>0.1135</v>
      </c>
      <c r="D7" s="4" t="str">
        <f>_xlfn.CONCAT(E7," (",F7," &amp; ",G7,")")</f>
        <v>Aliidiomarina (Acetate &amp; Dark)</v>
      </c>
      <c r="E7" s="4" t="s">
        <v>5</v>
      </c>
      <c r="F7" s="4" t="s">
        <v>37</v>
      </c>
      <c r="G7" s="4" t="s">
        <v>4</v>
      </c>
    </row>
    <row r="8" spans="1:7" x14ac:dyDescent="0.2">
      <c r="A8" s="4" t="s">
        <v>43</v>
      </c>
      <c r="B8" s="4">
        <v>0</v>
      </c>
      <c r="C8">
        <v>0.1145</v>
      </c>
      <c r="D8" s="4" t="str">
        <f>_xlfn.CONCAT(E8," (",F8," &amp; ",G8,")")</f>
        <v>Aliidiomarina (Thiosulfate &amp; Dark)</v>
      </c>
      <c r="E8" s="4" t="s">
        <v>5</v>
      </c>
      <c r="F8" s="4" t="s">
        <v>38</v>
      </c>
      <c r="G8" s="4" t="s">
        <v>4</v>
      </c>
    </row>
    <row r="9" spans="1:7" x14ac:dyDescent="0.2">
      <c r="A9" s="4" t="s">
        <v>44</v>
      </c>
      <c r="B9" s="4">
        <v>0</v>
      </c>
      <c r="C9">
        <v>0.1142</v>
      </c>
      <c r="D9" s="4" t="str">
        <f>_xlfn.CONCAT(E9," (",F9," &amp; ",G9,")")</f>
        <v>Aliidiomarina (Thiosulfate &amp; Dark)</v>
      </c>
      <c r="E9" s="4" t="s">
        <v>5</v>
      </c>
      <c r="F9" s="4" t="s">
        <v>38</v>
      </c>
      <c r="G9" s="4" t="s">
        <v>4</v>
      </c>
    </row>
    <row r="10" spans="1:7" x14ac:dyDescent="0.2">
      <c r="A10" s="4" t="s">
        <v>45</v>
      </c>
      <c r="B10" s="4">
        <v>0</v>
      </c>
      <c r="C10">
        <v>0.1177</v>
      </c>
      <c r="D10" s="4" t="str">
        <f>_xlfn.CONCAT(E10," (",F10," &amp; ",G10,")")</f>
        <v>Aliidiomarina (Thiosulfate &amp; Dark)</v>
      </c>
      <c r="E10" s="4" t="s">
        <v>5</v>
      </c>
      <c r="F10" s="4" t="s">
        <v>38</v>
      </c>
      <c r="G10" s="4" t="s">
        <v>4</v>
      </c>
    </row>
    <row r="11" spans="1:7" x14ac:dyDescent="0.2">
      <c r="A11" s="4" t="s">
        <v>49</v>
      </c>
      <c r="B11" s="4">
        <v>0</v>
      </c>
      <c r="C11">
        <v>0.1138</v>
      </c>
      <c r="D11" s="4" t="str">
        <f>_xlfn.CONCAT(E11," (",F11," &amp; ",G11,")")</f>
        <v>Aliidiomarina (Control &amp; IR)</v>
      </c>
      <c r="E11" s="4" t="s">
        <v>5</v>
      </c>
      <c r="F11" s="4" t="s">
        <v>35</v>
      </c>
      <c r="G11" s="4" t="s">
        <v>9</v>
      </c>
    </row>
    <row r="12" spans="1:7" x14ac:dyDescent="0.2">
      <c r="A12" s="4" t="s">
        <v>50</v>
      </c>
      <c r="B12" s="4">
        <v>0</v>
      </c>
      <c r="C12">
        <v>0.11409999999999999</v>
      </c>
      <c r="D12" s="4" t="str">
        <f>_xlfn.CONCAT(E12," (",F12," &amp; ",G12,")")</f>
        <v>Aliidiomarina (Control &amp; IR)</v>
      </c>
      <c r="E12" s="4" t="s">
        <v>5</v>
      </c>
      <c r="F12" s="4" t="s">
        <v>35</v>
      </c>
      <c r="G12" s="4" t="s">
        <v>9</v>
      </c>
    </row>
    <row r="13" spans="1:7" x14ac:dyDescent="0.2">
      <c r="A13" s="4" t="s">
        <v>51</v>
      </c>
      <c r="B13" s="4">
        <v>0</v>
      </c>
      <c r="C13">
        <v>0.11310000000000001</v>
      </c>
      <c r="D13" s="4" t="str">
        <f>_xlfn.CONCAT(E13," (",F13," &amp; ",G13,")")</f>
        <v>Aliidiomarina (Control &amp; IR)</v>
      </c>
      <c r="E13" s="4" t="s">
        <v>5</v>
      </c>
      <c r="F13" s="4" t="s">
        <v>35</v>
      </c>
      <c r="G13" s="4" t="s">
        <v>9</v>
      </c>
    </row>
    <row r="14" spans="1:7" x14ac:dyDescent="0.2">
      <c r="A14" s="4" t="s">
        <v>49</v>
      </c>
      <c r="B14" s="4">
        <v>0</v>
      </c>
      <c r="C14">
        <v>0.11459999999999999</v>
      </c>
      <c r="D14" s="4" t="str">
        <f>_xlfn.CONCAT(E14," (",F14," &amp; ",G14,")")</f>
        <v>Aliidiomarina (Acetate &amp; IR)</v>
      </c>
      <c r="E14" s="4" t="s">
        <v>5</v>
      </c>
      <c r="F14" s="4" t="s">
        <v>37</v>
      </c>
      <c r="G14" s="4" t="s">
        <v>9</v>
      </c>
    </row>
    <row r="15" spans="1:7" x14ac:dyDescent="0.2">
      <c r="A15" s="4" t="s">
        <v>50</v>
      </c>
      <c r="B15" s="4">
        <v>0</v>
      </c>
      <c r="C15">
        <v>0.1137</v>
      </c>
      <c r="D15" s="4" t="str">
        <f>_xlfn.CONCAT(E15," (",F15," &amp; ",G15,")")</f>
        <v>Aliidiomarina (Acetate &amp; IR)</v>
      </c>
      <c r="E15" s="4" t="s">
        <v>5</v>
      </c>
      <c r="F15" s="4" t="s">
        <v>37</v>
      </c>
      <c r="G15" s="4" t="s">
        <v>9</v>
      </c>
    </row>
    <row r="16" spans="1:7" x14ac:dyDescent="0.2">
      <c r="A16" s="4" t="s">
        <v>51</v>
      </c>
      <c r="B16" s="4">
        <v>0</v>
      </c>
      <c r="C16">
        <v>0.11409999999999999</v>
      </c>
      <c r="D16" s="4" t="str">
        <f>_xlfn.CONCAT(E16," (",F16," &amp; ",G16,")")</f>
        <v>Aliidiomarina (Acetate &amp; IR)</v>
      </c>
      <c r="E16" s="4" t="s">
        <v>5</v>
      </c>
      <c r="F16" s="4" t="s">
        <v>37</v>
      </c>
      <c r="G16" s="4" t="s">
        <v>9</v>
      </c>
    </row>
    <row r="17" spans="1:7" x14ac:dyDescent="0.2">
      <c r="A17" s="4" t="s">
        <v>49</v>
      </c>
      <c r="B17" s="4">
        <v>0</v>
      </c>
      <c r="C17">
        <v>0.1128</v>
      </c>
      <c r="D17" s="4" t="str">
        <f>_xlfn.CONCAT(E17," (",F17," &amp; ",G17,")")</f>
        <v>Aliidiomarina (Thiosulfate &amp; IR)</v>
      </c>
      <c r="E17" s="4" t="s">
        <v>5</v>
      </c>
      <c r="F17" s="4" t="s">
        <v>38</v>
      </c>
      <c r="G17" s="4" t="s">
        <v>9</v>
      </c>
    </row>
    <row r="18" spans="1:7" x14ac:dyDescent="0.2">
      <c r="A18" s="4" t="s">
        <v>50</v>
      </c>
      <c r="B18" s="4">
        <v>0</v>
      </c>
      <c r="C18">
        <v>0.1164</v>
      </c>
      <c r="D18" s="4" t="str">
        <f>_xlfn.CONCAT(E18," (",F18," &amp; ",G18,")")</f>
        <v>Aliidiomarina (Thiosulfate &amp; IR)</v>
      </c>
      <c r="E18" s="4" t="s">
        <v>5</v>
      </c>
      <c r="F18" s="4" t="s">
        <v>38</v>
      </c>
      <c r="G18" s="4" t="s">
        <v>9</v>
      </c>
    </row>
    <row r="19" spans="1:7" x14ac:dyDescent="0.2">
      <c r="A19" s="4" t="s">
        <v>51</v>
      </c>
      <c r="B19" s="4">
        <v>0</v>
      </c>
      <c r="C19">
        <v>0.1171</v>
      </c>
      <c r="D19" s="4" t="str">
        <f>_xlfn.CONCAT(E19," (",F19," &amp; ",G19,")")</f>
        <v>Aliidiomarina (Thiosulfate &amp; IR)</v>
      </c>
      <c r="E19" s="4" t="s">
        <v>5</v>
      </c>
      <c r="F19" s="4" t="s">
        <v>38</v>
      </c>
      <c r="G19" s="4" t="s">
        <v>9</v>
      </c>
    </row>
    <row r="20" spans="1:7" x14ac:dyDescent="0.2">
      <c r="A20" s="4" t="s">
        <v>43</v>
      </c>
      <c r="B20" s="4">
        <v>48</v>
      </c>
      <c r="C20">
        <v>0.1096</v>
      </c>
      <c r="D20" s="4" t="str">
        <f>_xlfn.CONCAT(E20," (",F20," &amp; ",G20,")")</f>
        <v>Aliidiomarina (Control &amp; Dark)</v>
      </c>
      <c r="E20" s="4" t="s">
        <v>5</v>
      </c>
      <c r="F20" s="4" t="s">
        <v>35</v>
      </c>
      <c r="G20" s="4" t="s">
        <v>4</v>
      </c>
    </row>
    <row r="21" spans="1:7" x14ac:dyDescent="0.2">
      <c r="A21" s="4" t="s">
        <v>44</v>
      </c>
      <c r="B21" s="4">
        <v>48</v>
      </c>
      <c r="C21">
        <v>0.1125</v>
      </c>
      <c r="D21" s="4" t="str">
        <f>_xlfn.CONCAT(E21," (",F21," &amp; ",G21,")")</f>
        <v>Aliidiomarina (Control &amp; Dark)</v>
      </c>
      <c r="E21" s="4" t="s">
        <v>5</v>
      </c>
      <c r="F21" s="4" t="s">
        <v>35</v>
      </c>
      <c r="G21" s="4" t="s">
        <v>4</v>
      </c>
    </row>
    <row r="22" spans="1:7" x14ac:dyDescent="0.2">
      <c r="A22" s="4" t="s">
        <v>45</v>
      </c>
      <c r="B22" s="4">
        <v>48</v>
      </c>
      <c r="C22">
        <v>0.114</v>
      </c>
      <c r="D22" s="4" t="str">
        <f>_xlfn.CONCAT(E22," (",F22," &amp; ",G22,")")</f>
        <v>Aliidiomarina (Control &amp; Dark)</v>
      </c>
      <c r="E22" s="4" t="s">
        <v>5</v>
      </c>
      <c r="F22" s="4" t="s">
        <v>35</v>
      </c>
      <c r="G22" s="4" t="s">
        <v>4</v>
      </c>
    </row>
    <row r="23" spans="1:7" x14ac:dyDescent="0.2">
      <c r="A23" s="4" t="s">
        <v>49</v>
      </c>
      <c r="B23" s="4">
        <v>48</v>
      </c>
      <c r="C23">
        <v>0.1158</v>
      </c>
      <c r="D23" s="4" t="str">
        <f>_xlfn.CONCAT(E23," (",F23," &amp; ",G23,")")</f>
        <v>Aliidiomarina (Acetate &amp; Dark)</v>
      </c>
      <c r="E23" s="4" t="s">
        <v>5</v>
      </c>
      <c r="F23" s="4" t="s">
        <v>37</v>
      </c>
      <c r="G23" s="4" t="s">
        <v>4</v>
      </c>
    </row>
    <row r="24" spans="1:7" x14ac:dyDescent="0.2">
      <c r="A24" s="4" t="s">
        <v>50</v>
      </c>
      <c r="B24" s="4">
        <v>48</v>
      </c>
      <c r="C24">
        <v>0.12280000000000001</v>
      </c>
      <c r="D24" s="4" t="str">
        <f>_xlfn.CONCAT(E24," (",F24," &amp; ",G24,")")</f>
        <v>Aliidiomarina (Acetate &amp; Dark)</v>
      </c>
      <c r="E24" s="4" t="s">
        <v>5</v>
      </c>
      <c r="F24" s="4" t="s">
        <v>37</v>
      </c>
      <c r="G24" s="4" t="s">
        <v>4</v>
      </c>
    </row>
    <row r="25" spans="1:7" x14ac:dyDescent="0.2">
      <c r="A25" s="4" t="s">
        <v>51</v>
      </c>
      <c r="B25" s="4">
        <v>48</v>
      </c>
      <c r="C25">
        <v>0.12590000000000001</v>
      </c>
      <c r="D25" s="4" t="str">
        <f>_xlfn.CONCAT(E25," (",F25," &amp; ",G25,")")</f>
        <v>Aliidiomarina (Acetate &amp; Dark)</v>
      </c>
      <c r="E25" s="4" t="s">
        <v>5</v>
      </c>
      <c r="F25" s="4" t="s">
        <v>37</v>
      </c>
      <c r="G25" s="4" t="s">
        <v>4</v>
      </c>
    </row>
    <row r="26" spans="1:7" x14ac:dyDescent="0.2">
      <c r="A26" s="4" t="s">
        <v>43</v>
      </c>
      <c r="B26" s="4">
        <v>48</v>
      </c>
      <c r="C26">
        <v>0.10879999999999999</v>
      </c>
      <c r="D26" s="4" t="str">
        <f>_xlfn.CONCAT(E26," (",F26," &amp; ",G26,")")</f>
        <v>Aliidiomarina (Thiosulfate &amp; Dark)</v>
      </c>
      <c r="E26" s="4" t="s">
        <v>5</v>
      </c>
      <c r="F26" s="4" t="s">
        <v>38</v>
      </c>
      <c r="G26" s="4" t="s">
        <v>4</v>
      </c>
    </row>
    <row r="27" spans="1:7" x14ac:dyDescent="0.2">
      <c r="A27" s="4" t="s">
        <v>44</v>
      </c>
      <c r="B27" s="4">
        <v>48</v>
      </c>
      <c r="C27">
        <v>0.10829999999999999</v>
      </c>
      <c r="D27" s="4" t="str">
        <f>_xlfn.CONCAT(E27," (",F27," &amp; ",G27,")")</f>
        <v>Aliidiomarina (Thiosulfate &amp; Dark)</v>
      </c>
      <c r="E27" s="4" t="s">
        <v>5</v>
      </c>
      <c r="F27" s="4" t="s">
        <v>38</v>
      </c>
      <c r="G27" s="4" t="s">
        <v>4</v>
      </c>
    </row>
    <row r="28" spans="1:7" x14ac:dyDescent="0.2">
      <c r="A28" s="4" t="s">
        <v>45</v>
      </c>
      <c r="B28" s="4">
        <v>48</v>
      </c>
      <c r="C28">
        <v>0.1115</v>
      </c>
      <c r="D28" s="4" t="str">
        <f>_xlfn.CONCAT(E28," (",F28," &amp; ",G28,")")</f>
        <v>Aliidiomarina (Thiosulfate &amp; Dark)</v>
      </c>
      <c r="E28" s="4" t="s">
        <v>5</v>
      </c>
      <c r="F28" s="4" t="s">
        <v>38</v>
      </c>
      <c r="G28" s="4" t="s">
        <v>4</v>
      </c>
    </row>
    <row r="29" spans="1:7" x14ac:dyDescent="0.2">
      <c r="A29" s="4" t="s">
        <v>49</v>
      </c>
      <c r="B29" s="4">
        <v>48</v>
      </c>
      <c r="C29">
        <v>0.1101</v>
      </c>
      <c r="D29" s="4" t="str">
        <f>_xlfn.CONCAT(E29," (",F29," &amp; ",G29,")")</f>
        <v>Aliidiomarina (Control &amp; IR)</v>
      </c>
      <c r="E29" s="4" t="s">
        <v>5</v>
      </c>
      <c r="F29" s="4" t="s">
        <v>35</v>
      </c>
      <c r="G29" s="4" t="s">
        <v>9</v>
      </c>
    </row>
    <row r="30" spans="1:7" x14ac:dyDescent="0.2">
      <c r="A30" s="4" t="s">
        <v>50</v>
      </c>
      <c r="B30" s="4">
        <v>48</v>
      </c>
      <c r="C30">
        <v>0.1106</v>
      </c>
      <c r="D30" s="4" t="str">
        <f>_xlfn.CONCAT(E30," (",F30," &amp; ",G30,")")</f>
        <v>Aliidiomarina (Control &amp; IR)</v>
      </c>
      <c r="E30" s="4" t="s">
        <v>5</v>
      </c>
      <c r="F30" s="4" t="s">
        <v>35</v>
      </c>
      <c r="G30" s="4" t="s">
        <v>9</v>
      </c>
    </row>
    <row r="31" spans="1:7" x14ac:dyDescent="0.2">
      <c r="A31" s="4" t="s">
        <v>51</v>
      </c>
      <c r="B31" s="4">
        <v>48</v>
      </c>
      <c r="C31">
        <v>0.1106</v>
      </c>
      <c r="D31" s="4" t="str">
        <f>_xlfn.CONCAT(E31," (",F31," &amp; ",G31,")")</f>
        <v>Aliidiomarina (Control &amp; IR)</v>
      </c>
      <c r="E31" s="4" t="s">
        <v>5</v>
      </c>
      <c r="F31" s="4" t="s">
        <v>35</v>
      </c>
      <c r="G31" s="4" t="s">
        <v>9</v>
      </c>
    </row>
    <row r="32" spans="1:7" x14ac:dyDescent="0.2">
      <c r="A32" s="4" t="s">
        <v>49</v>
      </c>
      <c r="B32" s="4">
        <v>48</v>
      </c>
      <c r="C32">
        <v>0.1094</v>
      </c>
      <c r="D32" s="4" t="str">
        <f>_xlfn.CONCAT(E32," (",F32," &amp; ",G32,")")</f>
        <v>Aliidiomarina (Acetate &amp; IR)</v>
      </c>
      <c r="E32" s="4" t="s">
        <v>5</v>
      </c>
      <c r="F32" s="4" t="s">
        <v>37</v>
      </c>
      <c r="G32" s="4" t="s">
        <v>9</v>
      </c>
    </row>
    <row r="33" spans="1:7" x14ac:dyDescent="0.2">
      <c r="A33" s="4" t="s">
        <v>50</v>
      </c>
      <c r="B33" s="4">
        <v>48</v>
      </c>
      <c r="C33">
        <v>0.1143</v>
      </c>
      <c r="D33" s="4" t="str">
        <f>_xlfn.CONCAT(E33," (",F33," &amp; ",G33,")")</f>
        <v>Aliidiomarina (Acetate &amp; IR)</v>
      </c>
      <c r="E33" s="4" t="s">
        <v>5</v>
      </c>
      <c r="F33" s="4" t="s">
        <v>37</v>
      </c>
      <c r="G33" s="4" t="s">
        <v>9</v>
      </c>
    </row>
    <row r="34" spans="1:7" x14ac:dyDescent="0.2">
      <c r="A34" s="4" t="s">
        <v>51</v>
      </c>
      <c r="B34" s="4">
        <v>48</v>
      </c>
      <c r="C34">
        <v>0.1245</v>
      </c>
      <c r="D34" s="4" t="str">
        <f>_xlfn.CONCAT(E34," (",F34," &amp; ",G34,")")</f>
        <v>Aliidiomarina (Acetate &amp; IR)</v>
      </c>
      <c r="E34" s="4" t="s">
        <v>5</v>
      </c>
      <c r="F34" s="4" t="s">
        <v>37</v>
      </c>
      <c r="G34" s="4" t="s">
        <v>9</v>
      </c>
    </row>
    <row r="35" spans="1:7" x14ac:dyDescent="0.2">
      <c r="A35" s="4" t="s">
        <v>49</v>
      </c>
      <c r="B35" s="4">
        <v>48</v>
      </c>
      <c r="C35">
        <v>0.1077</v>
      </c>
      <c r="D35" s="4" t="str">
        <f>_xlfn.CONCAT(E35," (",F35," &amp; ",G35,")")</f>
        <v>Aliidiomarina (Thiosulfate &amp; IR)</v>
      </c>
      <c r="E35" s="4" t="s">
        <v>5</v>
      </c>
      <c r="F35" s="4" t="s">
        <v>38</v>
      </c>
      <c r="G35" s="4" t="s">
        <v>9</v>
      </c>
    </row>
    <row r="36" spans="1:7" x14ac:dyDescent="0.2">
      <c r="A36" s="4" t="s">
        <v>50</v>
      </c>
      <c r="B36" s="4">
        <v>48</v>
      </c>
      <c r="C36">
        <v>0.1114</v>
      </c>
      <c r="D36" s="4" t="str">
        <f>_xlfn.CONCAT(E36," (",F36," &amp; ",G36,")")</f>
        <v>Aliidiomarina (Thiosulfate &amp; IR)</v>
      </c>
      <c r="E36" s="4" t="s">
        <v>5</v>
      </c>
      <c r="F36" s="4" t="s">
        <v>38</v>
      </c>
      <c r="G36" s="4" t="s">
        <v>9</v>
      </c>
    </row>
    <row r="37" spans="1:7" x14ac:dyDescent="0.2">
      <c r="A37" s="4" t="s">
        <v>51</v>
      </c>
      <c r="B37" s="4">
        <v>48</v>
      </c>
      <c r="C37">
        <v>0.112</v>
      </c>
      <c r="D37" s="4" t="str">
        <f>_xlfn.CONCAT(E37," (",F37," &amp; ",G37,")")</f>
        <v>Aliidiomarina (Thiosulfate &amp; IR)</v>
      </c>
      <c r="E37" s="4" t="s">
        <v>5</v>
      </c>
      <c r="F37" s="4" t="s">
        <v>38</v>
      </c>
      <c r="G37" s="4" t="s">
        <v>9</v>
      </c>
    </row>
    <row r="38" spans="1:7" x14ac:dyDescent="0.2">
      <c r="A38" s="4" t="s">
        <v>43</v>
      </c>
      <c r="B38" s="4">
        <v>144</v>
      </c>
      <c r="C38" s="4">
        <v>0.13420000000000001</v>
      </c>
      <c r="D38" s="4" t="str">
        <f>_xlfn.CONCAT(E38," (",F38," &amp; ",G38,")")</f>
        <v>Aliidiomarina (Control &amp; Dark)</v>
      </c>
      <c r="E38" s="4" t="s">
        <v>5</v>
      </c>
      <c r="F38" s="4" t="s">
        <v>35</v>
      </c>
      <c r="G38" s="4" t="s">
        <v>4</v>
      </c>
    </row>
    <row r="39" spans="1:7" x14ac:dyDescent="0.2">
      <c r="A39" s="4" t="s">
        <v>44</v>
      </c>
      <c r="B39" s="4">
        <v>144</v>
      </c>
      <c r="C39" s="4">
        <v>0.1183</v>
      </c>
      <c r="D39" s="4" t="str">
        <f>_xlfn.CONCAT(E39," (",F39," &amp; ",G39,")")</f>
        <v>Aliidiomarina (Control &amp; Dark)</v>
      </c>
      <c r="E39" s="4" t="s">
        <v>5</v>
      </c>
      <c r="F39" s="4" t="s">
        <v>35</v>
      </c>
      <c r="G39" s="4" t="s">
        <v>4</v>
      </c>
    </row>
    <row r="40" spans="1:7" x14ac:dyDescent="0.2">
      <c r="A40" s="4" t="s">
        <v>45</v>
      </c>
      <c r="B40" s="4">
        <v>144</v>
      </c>
      <c r="C40" s="4">
        <v>0.1036</v>
      </c>
      <c r="D40" s="4" t="str">
        <f>_xlfn.CONCAT(E40," (",F40," &amp; ",G40,")")</f>
        <v>Aliidiomarina (Control &amp; Dark)</v>
      </c>
      <c r="E40" s="4" t="s">
        <v>5</v>
      </c>
      <c r="F40" s="4" t="s">
        <v>35</v>
      </c>
      <c r="G40" s="4" t="s">
        <v>4</v>
      </c>
    </row>
    <row r="41" spans="1:7" x14ac:dyDescent="0.2">
      <c r="A41" s="4" t="s">
        <v>49</v>
      </c>
      <c r="B41" s="4">
        <v>144</v>
      </c>
      <c r="C41" s="4">
        <v>0.12720000000000001</v>
      </c>
      <c r="D41" s="4" t="str">
        <f>_xlfn.CONCAT(E41," (",F41," &amp; ",G41,")")</f>
        <v>Aliidiomarina (Acetate &amp; Dark)</v>
      </c>
      <c r="E41" s="4" t="s">
        <v>5</v>
      </c>
      <c r="F41" s="4" t="s">
        <v>37</v>
      </c>
      <c r="G41" s="4" t="s">
        <v>4</v>
      </c>
    </row>
    <row r="42" spans="1:7" x14ac:dyDescent="0.2">
      <c r="A42" s="4" t="s">
        <v>50</v>
      </c>
      <c r="B42" s="4">
        <v>144</v>
      </c>
      <c r="C42" s="4">
        <v>0.13239999999999999</v>
      </c>
      <c r="D42" s="4" t="str">
        <f>_xlfn.CONCAT(E42," (",F42," &amp; ",G42,")")</f>
        <v>Aliidiomarina (Acetate &amp; Dark)</v>
      </c>
      <c r="E42" s="4" t="s">
        <v>5</v>
      </c>
      <c r="F42" s="4" t="s">
        <v>37</v>
      </c>
      <c r="G42" s="4" t="s">
        <v>4</v>
      </c>
    </row>
    <row r="43" spans="1:7" x14ac:dyDescent="0.2">
      <c r="A43" s="4" t="s">
        <v>51</v>
      </c>
      <c r="B43" s="4">
        <v>144</v>
      </c>
      <c r="C43" s="4">
        <v>0.13600000000000001</v>
      </c>
      <c r="D43" s="4" t="str">
        <f>_xlfn.CONCAT(E43," (",F43," &amp; ",G43,")")</f>
        <v>Aliidiomarina (Acetate &amp; Dark)</v>
      </c>
      <c r="E43" s="4" t="s">
        <v>5</v>
      </c>
      <c r="F43" s="4" t="s">
        <v>37</v>
      </c>
      <c r="G43" s="4" t="s">
        <v>4</v>
      </c>
    </row>
    <row r="44" spans="1:7" x14ac:dyDescent="0.2">
      <c r="A44" s="4" t="s">
        <v>43</v>
      </c>
      <c r="B44" s="4">
        <v>144</v>
      </c>
      <c r="C44" s="4">
        <v>0.10009999999999999</v>
      </c>
      <c r="D44" s="4" t="str">
        <f>_xlfn.CONCAT(E44," (",F44," &amp; ",G44,")")</f>
        <v>Aliidiomarina (Thiosulfate &amp; Dark)</v>
      </c>
      <c r="E44" s="4" t="s">
        <v>5</v>
      </c>
      <c r="F44" s="4" t="s">
        <v>38</v>
      </c>
      <c r="G44" s="4" t="s">
        <v>4</v>
      </c>
    </row>
    <row r="45" spans="1:7" x14ac:dyDescent="0.2">
      <c r="A45" s="4" t="s">
        <v>44</v>
      </c>
      <c r="B45" s="4">
        <v>144</v>
      </c>
      <c r="C45" s="4">
        <v>0.1012</v>
      </c>
      <c r="D45" s="4" t="str">
        <f>_xlfn.CONCAT(E45," (",F45," &amp; ",G45,")")</f>
        <v>Aliidiomarina (Thiosulfate &amp; Dark)</v>
      </c>
      <c r="E45" s="4" t="s">
        <v>5</v>
      </c>
      <c r="F45" s="4" t="s">
        <v>38</v>
      </c>
      <c r="G45" s="4" t="s">
        <v>4</v>
      </c>
    </row>
    <row r="46" spans="1:7" x14ac:dyDescent="0.2">
      <c r="A46" s="4" t="s">
        <v>45</v>
      </c>
      <c r="B46" s="4">
        <v>144</v>
      </c>
      <c r="C46" s="4">
        <v>0.10199999999999999</v>
      </c>
      <c r="D46" s="4" t="str">
        <f>_xlfn.CONCAT(E46," (",F46," &amp; ",G46,")")</f>
        <v>Aliidiomarina (Thiosulfate &amp; Dark)</v>
      </c>
      <c r="E46" s="4" t="s">
        <v>5</v>
      </c>
      <c r="F46" s="4" t="s">
        <v>38</v>
      </c>
      <c r="G46" s="4" t="s">
        <v>4</v>
      </c>
    </row>
    <row r="47" spans="1:7" x14ac:dyDescent="0.2">
      <c r="A47" s="4" t="s">
        <v>49</v>
      </c>
      <c r="B47" s="4">
        <v>144</v>
      </c>
      <c r="C47" s="4">
        <v>0.1037</v>
      </c>
      <c r="D47" s="4" t="str">
        <f>_xlfn.CONCAT(E47," (",F47," &amp; ",G47,")")</f>
        <v>Aliidiomarina (Control &amp; IR)</v>
      </c>
      <c r="E47" s="4" t="s">
        <v>5</v>
      </c>
      <c r="F47" s="4" t="s">
        <v>35</v>
      </c>
      <c r="G47" s="4" t="s">
        <v>9</v>
      </c>
    </row>
    <row r="48" spans="1:7" x14ac:dyDescent="0.2">
      <c r="A48" s="4" t="s">
        <v>50</v>
      </c>
      <c r="B48" s="4">
        <v>144</v>
      </c>
      <c r="C48" s="4">
        <v>0.1026</v>
      </c>
      <c r="D48" s="4" t="str">
        <f>_xlfn.CONCAT(E48," (",F48," &amp; ",G48,")")</f>
        <v>Aliidiomarina (Control &amp; IR)</v>
      </c>
      <c r="E48" s="4" t="s">
        <v>5</v>
      </c>
      <c r="F48" s="4" t="s">
        <v>35</v>
      </c>
      <c r="G48" s="4" t="s">
        <v>9</v>
      </c>
    </row>
    <row r="49" spans="1:7" x14ac:dyDescent="0.2">
      <c r="A49" s="4" t="s">
        <v>51</v>
      </c>
      <c r="B49" s="4">
        <v>144</v>
      </c>
      <c r="C49" s="4">
        <v>0.1033</v>
      </c>
      <c r="D49" s="4" t="str">
        <f>_xlfn.CONCAT(E49," (",F49," &amp; ",G49,")")</f>
        <v>Aliidiomarina (Control &amp; IR)</v>
      </c>
      <c r="E49" s="4" t="s">
        <v>5</v>
      </c>
      <c r="F49" s="4" t="s">
        <v>35</v>
      </c>
      <c r="G49" s="4" t="s">
        <v>9</v>
      </c>
    </row>
    <row r="50" spans="1:7" x14ac:dyDescent="0.2">
      <c r="A50" s="4" t="s">
        <v>49</v>
      </c>
      <c r="B50" s="4">
        <v>144</v>
      </c>
      <c r="C50" s="4">
        <v>0.1384</v>
      </c>
      <c r="D50" s="4" t="str">
        <f>_xlfn.CONCAT(E50," (",F50," &amp; ",G50,")")</f>
        <v>Aliidiomarina (Acetate &amp; IR)</v>
      </c>
      <c r="E50" s="4" t="s">
        <v>5</v>
      </c>
      <c r="F50" s="4" t="s">
        <v>37</v>
      </c>
      <c r="G50" s="4" t="s">
        <v>9</v>
      </c>
    </row>
    <row r="51" spans="1:7" x14ac:dyDescent="0.2">
      <c r="A51" s="4" t="s">
        <v>50</v>
      </c>
      <c r="B51" s="4">
        <v>144</v>
      </c>
      <c r="C51" s="4">
        <v>0.1439</v>
      </c>
      <c r="D51" s="4" t="str">
        <f>_xlfn.CONCAT(E51," (",F51," &amp; ",G51,")")</f>
        <v>Aliidiomarina (Acetate &amp; IR)</v>
      </c>
      <c r="E51" s="4" t="s">
        <v>5</v>
      </c>
      <c r="F51" s="4" t="s">
        <v>37</v>
      </c>
      <c r="G51" s="4" t="s">
        <v>9</v>
      </c>
    </row>
    <row r="52" spans="1:7" x14ac:dyDescent="0.2">
      <c r="A52" s="4" t="s">
        <v>51</v>
      </c>
      <c r="B52" s="4">
        <v>144</v>
      </c>
      <c r="C52" s="4">
        <v>0.1285</v>
      </c>
      <c r="D52" s="4" t="str">
        <f>_xlfn.CONCAT(E52," (",F52," &amp; ",G52,")")</f>
        <v>Aliidiomarina (Acetate &amp; IR)</v>
      </c>
      <c r="E52" s="4" t="s">
        <v>5</v>
      </c>
      <c r="F52" s="4" t="s">
        <v>37</v>
      </c>
      <c r="G52" s="4" t="s">
        <v>9</v>
      </c>
    </row>
    <row r="53" spans="1:7" x14ac:dyDescent="0.2">
      <c r="A53" s="4" t="s">
        <v>49</v>
      </c>
      <c r="B53" s="4">
        <v>144</v>
      </c>
      <c r="C53" s="4">
        <v>9.98E-2</v>
      </c>
      <c r="D53" s="4" t="str">
        <f>_xlfn.CONCAT(E53," (",F53," &amp; ",G53,")")</f>
        <v>Aliidiomarina (Thiosulfate &amp; IR)</v>
      </c>
      <c r="E53" s="4" t="s">
        <v>5</v>
      </c>
      <c r="F53" s="4" t="s">
        <v>38</v>
      </c>
      <c r="G53" s="4" t="s">
        <v>9</v>
      </c>
    </row>
    <row r="54" spans="1:7" x14ac:dyDescent="0.2">
      <c r="A54" s="4" t="s">
        <v>50</v>
      </c>
      <c r="B54" s="4">
        <v>144</v>
      </c>
      <c r="C54" s="4">
        <v>0.1014</v>
      </c>
      <c r="D54" s="4" t="str">
        <f>_xlfn.CONCAT(E54," (",F54," &amp; ",G54,")")</f>
        <v>Aliidiomarina (Thiosulfate &amp; IR)</v>
      </c>
      <c r="E54" s="4" t="s">
        <v>5</v>
      </c>
      <c r="F54" s="4" t="s">
        <v>38</v>
      </c>
      <c r="G54" s="4" t="s">
        <v>9</v>
      </c>
    </row>
    <row r="55" spans="1:7" x14ac:dyDescent="0.2">
      <c r="A55" s="4" t="s">
        <v>51</v>
      </c>
      <c r="B55" s="4">
        <v>144</v>
      </c>
      <c r="C55" s="4">
        <v>0.10589999999999999</v>
      </c>
      <c r="D55" s="4" t="str">
        <f>_xlfn.CONCAT(E55," (",F55," &amp; ",G55,")")</f>
        <v>Aliidiomarina (Thiosulfate &amp; IR)</v>
      </c>
      <c r="E55" s="4" t="s">
        <v>5</v>
      </c>
      <c r="F55" s="4" t="s">
        <v>38</v>
      </c>
      <c r="G55" s="4" t="s">
        <v>9</v>
      </c>
    </row>
    <row r="56" spans="1:7" x14ac:dyDescent="0.2">
      <c r="A56" s="4" t="s">
        <v>43</v>
      </c>
      <c r="B56" s="4">
        <v>192</v>
      </c>
      <c r="C56" s="4">
        <v>0.1051</v>
      </c>
      <c r="D56" s="4" t="str">
        <f>_xlfn.CONCAT(E56," (",F56," &amp; ",G56,")")</f>
        <v>Aliidiomarina (Control &amp; Dark)</v>
      </c>
      <c r="E56" s="4" t="s">
        <v>5</v>
      </c>
      <c r="F56" s="4" t="s">
        <v>35</v>
      </c>
      <c r="G56" s="4" t="s">
        <v>4</v>
      </c>
    </row>
    <row r="57" spans="1:7" x14ac:dyDescent="0.2">
      <c r="A57" s="4" t="s">
        <v>44</v>
      </c>
      <c r="B57" s="4">
        <v>192</v>
      </c>
      <c r="C57" s="4">
        <v>0.1024</v>
      </c>
      <c r="D57" s="4" t="str">
        <f>_xlfn.CONCAT(E57," (",F57," &amp; ",G57,")")</f>
        <v>Aliidiomarina (Control &amp; Dark)</v>
      </c>
      <c r="E57" s="4" t="s">
        <v>5</v>
      </c>
      <c r="F57" s="4" t="s">
        <v>35</v>
      </c>
      <c r="G57" s="4" t="s">
        <v>4</v>
      </c>
    </row>
    <row r="58" spans="1:7" x14ac:dyDescent="0.2">
      <c r="A58" s="4" t="s">
        <v>45</v>
      </c>
      <c r="B58" s="4">
        <v>192</v>
      </c>
      <c r="C58" s="4">
        <v>0.1038</v>
      </c>
      <c r="D58" s="4" t="str">
        <f>_xlfn.CONCAT(E58," (",F58," &amp; ",G58,")")</f>
        <v>Aliidiomarina (Control &amp; Dark)</v>
      </c>
      <c r="E58" s="4" t="s">
        <v>5</v>
      </c>
      <c r="F58" s="4" t="s">
        <v>35</v>
      </c>
      <c r="G58" s="4" t="s">
        <v>4</v>
      </c>
    </row>
    <row r="59" spans="1:7" x14ac:dyDescent="0.2">
      <c r="A59" s="4" t="s">
        <v>49</v>
      </c>
      <c r="B59" s="4">
        <v>192</v>
      </c>
      <c r="C59" s="4">
        <v>0.17019999999999999</v>
      </c>
      <c r="D59" s="4" t="str">
        <f>_xlfn.CONCAT(E59," (",F59," &amp; ",G59,")")</f>
        <v>Aliidiomarina (Acetate &amp; Dark)</v>
      </c>
      <c r="E59" s="4" t="s">
        <v>5</v>
      </c>
      <c r="F59" s="4" t="s">
        <v>37</v>
      </c>
      <c r="G59" s="4" t="s">
        <v>4</v>
      </c>
    </row>
    <row r="60" spans="1:7" x14ac:dyDescent="0.2">
      <c r="A60" s="4" t="s">
        <v>50</v>
      </c>
      <c r="B60" s="4">
        <v>192</v>
      </c>
      <c r="C60" s="4">
        <v>0.1739</v>
      </c>
      <c r="D60" s="4" t="str">
        <f>_xlfn.CONCAT(E60," (",F60," &amp; ",G60,")")</f>
        <v>Aliidiomarina (Acetate &amp; Dark)</v>
      </c>
      <c r="E60" s="4" t="s">
        <v>5</v>
      </c>
      <c r="F60" s="4" t="s">
        <v>37</v>
      </c>
      <c r="G60" s="4" t="s">
        <v>4</v>
      </c>
    </row>
    <row r="61" spans="1:7" x14ac:dyDescent="0.2">
      <c r="A61" s="4" t="s">
        <v>51</v>
      </c>
      <c r="B61" s="4">
        <v>192</v>
      </c>
      <c r="C61" s="4">
        <v>0.1762</v>
      </c>
      <c r="D61" s="4" t="str">
        <f>_xlfn.CONCAT(E61," (",F61," &amp; ",G61,")")</f>
        <v>Aliidiomarina (Acetate &amp; Dark)</v>
      </c>
      <c r="E61" s="4" t="s">
        <v>5</v>
      </c>
      <c r="F61" s="4" t="s">
        <v>37</v>
      </c>
      <c r="G61" s="4" t="s">
        <v>4</v>
      </c>
    </row>
    <row r="62" spans="1:7" x14ac:dyDescent="0.2">
      <c r="A62" s="4" t="s">
        <v>43</v>
      </c>
      <c r="B62" s="4">
        <v>192</v>
      </c>
      <c r="C62" s="4">
        <v>0.1018</v>
      </c>
      <c r="D62" s="4" t="str">
        <f>_xlfn.CONCAT(E62," (",F62," &amp; ",G62,")")</f>
        <v>Aliidiomarina (Thiosulfate &amp; Dark)</v>
      </c>
      <c r="E62" s="4" t="s">
        <v>5</v>
      </c>
      <c r="F62" s="4" t="s">
        <v>38</v>
      </c>
      <c r="G62" s="4" t="s">
        <v>4</v>
      </c>
    </row>
    <row r="63" spans="1:7" x14ac:dyDescent="0.2">
      <c r="A63" s="4" t="s">
        <v>44</v>
      </c>
      <c r="B63" s="4">
        <v>192</v>
      </c>
      <c r="C63" s="4">
        <v>0.1014</v>
      </c>
      <c r="D63" s="4" t="str">
        <f>_xlfn.CONCAT(E63," (",F63," &amp; ",G63,")")</f>
        <v>Aliidiomarina (Thiosulfate &amp; Dark)</v>
      </c>
      <c r="E63" s="4" t="s">
        <v>5</v>
      </c>
      <c r="F63" s="4" t="s">
        <v>38</v>
      </c>
      <c r="G63" s="4" t="s">
        <v>4</v>
      </c>
    </row>
    <row r="64" spans="1:7" x14ac:dyDescent="0.2">
      <c r="A64" s="4" t="s">
        <v>45</v>
      </c>
      <c r="B64" s="4">
        <v>192</v>
      </c>
      <c r="C64" s="4">
        <v>0.1024</v>
      </c>
      <c r="D64" s="4" t="str">
        <f>_xlfn.CONCAT(E64," (",F64," &amp; ",G64,")")</f>
        <v>Aliidiomarina (Thiosulfate &amp; Dark)</v>
      </c>
      <c r="E64" s="4" t="s">
        <v>5</v>
      </c>
      <c r="F64" s="4" t="s">
        <v>38</v>
      </c>
      <c r="G64" s="4" t="s">
        <v>4</v>
      </c>
    </row>
    <row r="65" spans="1:7" x14ac:dyDescent="0.2">
      <c r="A65" s="4" t="s">
        <v>49</v>
      </c>
      <c r="B65" s="4">
        <v>192</v>
      </c>
      <c r="C65" s="4">
        <v>0.1017</v>
      </c>
      <c r="D65" s="4" t="str">
        <f>_xlfn.CONCAT(E65," (",F65," &amp; ",G65,")")</f>
        <v>Aliidiomarina (Control &amp; IR)</v>
      </c>
      <c r="E65" s="4" t="s">
        <v>5</v>
      </c>
      <c r="F65" s="4" t="s">
        <v>35</v>
      </c>
      <c r="G65" s="4" t="s">
        <v>9</v>
      </c>
    </row>
    <row r="66" spans="1:7" x14ac:dyDescent="0.2">
      <c r="A66" s="4" t="s">
        <v>50</v>
      </c>
      <c r="B66" s="4">
        <v>192</v>
      </c>
      <c r="C66" s="4">
        <v>9.9199999999999997E-2</v>
      </c>
      <c r="D66" s="4" t="str">
        <f>_xlfn.CONCAT(E66," (",F66," &amp; ",G66,")")</f>
        <v>Aliidiomarina (Control &amp; IR)</v>
      </c>
      <c r="E66" s="4" t="s">
        <v>5</v>
      </c>
      <c r="F66" s="4" t="s">
        <v>35</v>
      </c>
      <c r="G66" s="4" t="s">
        <v>9</v>
      </c>
    </row>
    <row r="67" spans="1:7" x14ac:dyDescent="0.2">
      <c r="A67" s="4" t="s">
        <v>51</v>
      </c>
      <c r="B67" s="4">
        <v>192</v>
      </c>
      <c r="C67" s="4">
        <v>0.10349999999999999</v>
      </c>
      <c r="D67" s="4" t="str">
        <f>_xlfn.CONCAT(E67," (",F67," &amp; ",G67,")")</f>
        <v>Aliidiomarina (Control &amp; IR)</v>
      </c>
      <c r="E67" s="4" t="s">
        <v>5</v>
      </c>
      <c r="F67" s="4" t="s">
        <v>35</v>
      </c>
      <c r="G67" s="4" t="s">
        <v>9</v>
      </c>
    </row>
    <row r="68" spans="1:7" x14ac:dyDescent="0.2">
      <c r="A68" s="4" t="s">
        <v>49</v>
      </c>
      <c r="B68" s="4">
        <v>192</v>
      </c>
      <c r="C68" s="4">
        <v>0.18010000000000001</v>
      </c>
      <c r="D68" s="4" t="str">
        <f>_xlfn.CONCAT(E68," (",F68," &amp; ",G68,")")</f>
        <v>Aliidiomarina (Acetate &amp; IR)</v>
      </c>
      <c r="E68" s="4" t="s">
        <v>5</v>
      </c>
      <c r="F68" s="4" t="s">
        <v>37</v>
      </c>
      <c r="G68" s="4" t="s">
        <v>9</v>
      </c>
    </row>
    <row r="69" spans="1:7" x14ac:dyDescent="0.2">
      <c r="A69" s="4" t="s">
        <v>50</v>
      </c>
      <c r="B69" s="4">
        <v>192</v>
      </c>
      <c r="C69" s="4">
        <v>0.18779999999999999</v>
      </c>
      <c r="D69" s="4" t="str">
        <f>_xlfn.CONCAT(E69," (",F69," &amp; ",G69,")")</f>
        <v>Aliidiomarina (Acetate &amp; IR)</v>
      </c>
      <c r="E69" s="4" t="s">
        <v>5</v>
      </c>
      <c r="F69" s="4" t="s">
        <v>37</v>
      </c>
      <c r="G69" s="4" t="s">
        <v>9</v>
      </c>
    </row>
    <row r="70" spans="1:7" x14ac:dyDescent="0.2">
      <c r="A70" s="4" t="s">
        <v>51</v>
      </c>
      <c r="B70" s="4">
        <v>192</v>
      </c>
      <c r="C70" s="4">
        <v>0.1691</v>
      </c>
      <c r="D70" s="4" t="str">
        <f>_xlfn.CONCAT(E70," (",F70," &amp; ",G70,")")</f>
        <v>Aliidiomarina (Acetate &amp; IR)</v>
      </c>
      <c r="E70" s="4" t="s">
        <v>5</v>
      </c>
      <c r="F70" s="4" t="s">
        <v>37</v>
      </c>
      <c r="G70" s="4" t="s">
        <v>9</v>
      </c>
    </row>
    <row r="71" spans="1:7" x14ac:dyDescent="0.2">
      <c r="A71" s="4" t="s">
        <v>49</v>
      </c>
      <c r="B71" s="4">
        <v>192</v>
      </c>
      <c r="C71" s="4">
        <v>0.1017</v>
      </c>
      <c r="D71" s="4" t="str">
        <f>_xlfn.CONCAT(E71," (",F71," &amp; ",G71,")")</f>
        <v>Aliidiomarina (Thiosulfate &amp; IR)</v>
      </c>
      <c r="E71" s="4" t="s">
        <v>5</v>
      </c>
      <c r="F71" s="4" t="s">
        <v>38</v>
      </c>
      <c r="G71" s="4" t="s">
        <v>9</v>
      </c>
    </row>
    <row r="72" spans="1:7" x14ac:dyDescent="0.2">
      <c r="A72" s="4" t="s">
        <v>50</v>
      </c>
      <c r="B72" s="4">
        <v>192</v>
      </c>
      <c r="C72" s="4">
        <v>0.1047</v>
      </c>
      <c r="D72" s="4" t="str">
        <f>_xlfn.CONCAT(E72," (",F72," &amp; ",G72,")")</f>
        <v>Aliidiomarina (Thiosulfate &amp; IR)</v>
      </c>
      <c r="E72" s="4" t="s">
        <v>5</v>
      </c>
      <c r="F72" s="4" t="s">
        <v>38</v>
      </c>
      <c r="G72" s="4" t="s">
        <v>9</v>
      </c>
    </row>
    <row r="73" spans="1:7" x14ac:dyDescent="0.2">
      <c r="A73" s="4" t="s">
        <v>51</v>
      </c>
      <c r="B73" s="4">
        <v>192</v>
      </c>
      <c r="C73" s="4">
        <v>0.1053</v>
      </c>
      <c r="D73" s="4" t="str">
        <f>_xlfn.CONCAT(E73," (",F73," &amp; ",G73,")")</f>
        <v>Aliidiomarina (Thiosulfate &amp; IR)</v>
      </c>
      <c r="E73" s="4" t="s">
        <v>5</v>
      </c>
      <c r="F73" s="4" t="s">
        <v>38</v>
      </c>
      <c r="G73" s="4" t="s">
        <v>9</v>
      </c>
    </row>
    <row r="74" spans="1:7" x14ac:dyDescent="0.2">
      <c r="A74" s="4" t="s">
        <v>52</v>
      </c>
      <c r="B74" s="4">
        <v>0</v>
      </c>
      <c r="C74">
        <v>0.15920000000000001</v>
      </c>
      <c r="D74" s="4" t="str">
        <f>_xlfn.CONCAT(E74," (",F74," &amp; ",G74,")")</f>
        <v>Marinobacter (Control &amp; Dark)</v>
      </c>
      <c r="E74" s="4" t="s">
        <v>36</v>
      </c>
      <c r="F74" s="4" t="s">
        <v>35</v>
      </c>
      <c r="G74" s="4" t="s">
        <v>4</v>
      </c>
    </row>
    <row r="75" spans="1:7" x14ac:dyDescent="0.2">
      <c r="A75" s="4" t="s">
        <v>53</v>
      </c>
      <c r="B75" s="4">
        <v>0</v>
      </c>
      <c r="C75">
        <v>0.15959999999999999</v>
      </c>
      <c r="D75" s="4" t="str">
        <f>_xlfn.CONCAT(E75," (",F75," &amp; ",G75,")")</f>
        <v>Marinobacter (Control &amp; Dark)</v>
      </c>
      <c r="E75" s="4" t="s">
        <v>36</v>
      </c>
      <c r="F75" s="4" t="s">
        <v>35</v>
      </c>
      <c r="G75" s="4" t="s">
        <v>4</v>
      </c>
    </row>
    <row r="76" spans="1:7" x14ac:dyDescent="0.2">
      <c r="A76" s="4" t="s">
        <v>54</v>
      </c>
      <c r="B76" s="4">
        <v>0</v>
      </c>
      <c r="C76">
        <v>0.15709999999999999</v>
      </c>
      <c r="D76" s="4" t="str">
        <f>_xlfn.CONCAT(E76," (",F76," &amp; ",G76,")")</f>
        <v>Marinobacter (Control &amp; Dark)</v>
      </c>
      <c r="E76" s="4" t="s">
        <v>36</v>
      </c>
      <c r="F76" s="4" t="s">
        <v>35</v>
      </c>
      <c r="G76" s="4" t="s">
        <v>4</v>
      </c>
    </row>
    <row r="77" spans="1:7" x14ac:dyDescent="0.2">
      <c r="A77" s="4" t="s">
        <v>55</v>
      </c>
      <c r="B77" s="4">
        <v>0</v>
      </c>
      <c r="C77">
        <v>0.15609999999999999</v>
      </c>
      <c r="D77" s="4" t="str">
        <f>_xlfn.CONCAT(E77," (",F77," &amp; ",G77,")")</f>
        <v>Marinobacter (Acetate &amp; Dark)</v>
      </c>
      <c r="E77" s="4" t="s">
        <v>36</v>
      </c>
      <c r="F77" s="4" t="s">
        <v>37</v>
      </c>
      <c r="G77" s="4" t="s">
        <v>4</v>
      </c>
    </row>
    <row r="78" spans="1:7" x14ac:dyDescent="0.2">
      <c r="A78" s="4" t="s">
        <v>56</v>
      </c>
      <c r="B78" s="4">
        <v>0</v>
      </c>
      <c r="C78">
        <v>0.16159999999999999</v>
      </c>
      <c r="D78" s="4" t="str">
        <f>_xlfn.CONCAT(E78," (",F78," &amp; ",G78,")")</f>
        <v>Marinobacter (Acetate &amp; Dark)</v>
      </c>
      <c r="E78" s="4" t="s">
        <v>36</v>
      </c>
      <c r="F78" s="4" t="s">
        <v>37</v>
      </c>
      <c r="G78" s="4" t="s">
        <v>4</v>
      </c>
    </row>
    <row r="79" spans="1:7" x14ac:dyDescent="0.2">
      <c r="A79" s="4" t="s">
        <v>57</v>
      </c>
      <c r="B79" s="4">
        <v>0</v>
      </c>
      <c r="C79">
        <v>0.15870000000000001</v>
      </c>
      <c r="D79" s="4" t="str">
        <f>_xlfn.CONCAT(E79," (",F79," &amp; ",G79,")")</f>
        <v>Marinobacter (Acetate &amp; Dark)</v>
      </c>
      <c r="E79" s="4" t="s">
        <v>36</v>
      </c>
      <c r="F79" s="4" t="s">
        <v>37</v>
      </c>
      <c r="G79" s="4" t="s">
        <v>4</v>
      </c>
    </row>
    <row r="80" spans="1:7" x14ac:dyDescent="0.2">
      <c r="A80" s="4" t="s">
        <v>52</v>
      </c>
      <c r="B80" s="4">
        <v>0</v>
      </c>
      <c r="C80">
        <v>0.15859999999999999</v>
      </c>
      <c r="D80" s="4" t="str">
        <f>_xlfn.CONCAT(E80," (",F80," &amp; ",G80,")")</f>
        <v>Marinobacter (Thiosulfate &amp; Dark)</v>
      </c>
      <c r="E80" s="4" t="s">
        <v>36</v>
      </c>
      <c r="F80" s="4" t="s">
        <v>38</v>
      </c>
      <c r="G80" s="4" t="s">
        <v>4</v>
      </c>
    </row>
    <row r="81" spans="1:7" x14ac:dyDescent="0.2">
      <c r="A81" s="4" t="s">
        <v>53</v>
      </c>
      <c r="B81" s="4">
        <v>0</v>
      </c>
      <c r="C81">
        <v>0.1583</v>
      </c>
      <c r="D81" s="4" t="str">
        <f>_xlfn.CONCAT(E81," (",F81," &amp; ",G81,")")</f>
        <v>Marinobacter (Thiosulfate &amp; Dark)</v>
      </c>
      <c r="E81" s="4" t="s">
        <v>36</v>
      </c>
      <c r="F81" s="4" t="s">
        <v>38</v>
      </c>
      <c r="G81" s="4" t="s">
        <v>4</v>
      </c>
    </row>
    <row r="82" spans="1:7" x14ac:dyDescent="0.2">
      <c r="A82" s="4" t="s">
        <v>54</v>
      </c>
      <c r="B82" s="4">
        <v>0</v>
      </c>
      <c r="C82">
        <v>0.16139999999999999</v>
      </c>
      <c r="D82" s="4" t="str">
        <f>_xlfn.CONCAT(E82," (",F82," &amp; ",G82,")")</f>
        <v>Marinobacter (Thiosulfate &amp; Dark)</v>
      </c>
      <c r="E82" s="4" t="s">
        <v>36</v>
      </c>
      <c r="F82" s="4" t="s">
        <v>38</v>
      </c>
      <c r="G82" s="4" t="s">
        <v>4</v>
      </c>
    </row>
    <row r="83" spans="1:7" x14ac:dyDescent="0.2">
      <c r="A83" s="4" t="s">
        <v>55</v>
      </c>
      <c r="B83" s="4">
        <v>0</v>
      </c>
      <c r="C83">
        <v>0.15659999999999999</v>
      </c>
      <c r="D83" s="4" t="str">
        <f>_xlfn.CONCAT(E83," (",F83," &amp; ",G83,")")</f>
        <v>Marinobacter (Control &amp; IR)</v>
      </c>
      <c r="E83" s="4" t="s">
        <v>36</v>
      </c>
      <c r="F83" s="4" t="s">
        <v>35</v>
      </c>
      <c r="G83" s="4" t="s">
        <v>9</v>
      </c>
    </row>
    <row r="84" spans="1:7" x14ac:dyDescent="0.2">
      <c r="A84" s="4" t="s">
        <v>56</v>
      </c>
      <c r="B84" s="4">
        <v>0</v>
      </c>
      <c r="C84">
        <v>0.15659999999999999</v>
      </c>
      <c r="D84" s="4" t="str">
        <f>_xlfn.CONCAT(E84," (",F84," &amp; ",G84,")")</f>
        <v>Marinobacter (Control &amp; IR)</v>
      </c>
      <c r="E84" s="4" t="s">
        <v>36</v>
      </c>
      <c r="F84" s="4" t="s">
        <v>35</v>
      </c>
      <c r="G84" s="4" t="s">
        <v>9</v>
      </c>
    </row>
    <row r="85" spans="1:7" x14ac:dyDescent="0.2">
      <c r="A85" s="4" t="s">
        <v>57</v>
      </c>
      <c r="B85" s="4">
        <v>0</v>
      </c>
      <c r="C85">
        <v>0.15989999999999999</v>
      </c>
      <c r="D85" s="4" t="str">
        <f>_xlfn.CONCAT(E85," (",F85," &amp; ",G85,")")</f>
        <v>Marinobacter (Control &amp; IR)</v>
      </c>
      <c r="E85" s="4" t="s">
        <v>36</v>
      </c>
      <c r="F85" s="4" t="s">
        <v>35</v>
      </c>
      <c r="G85" s="4" t="s">
        <v>9</v>
      </c>
    </row>
    <row r="86" spans="1:7" x14ac:dyDescent="0.2">
      <c r="A86" s="4" t="s">
        <v>55</v>
      </c>
      <c r="B86" s="4">
        <v>0</v>
      </c>
      <c r="C86">
        <v>0.16</v>
      </c>
      <c r="D86" s="4" t="str">
        <f>_xlfn.CONCAT(E86," (",F86," &amp; ",G86,")")</f>
        <v>Marinobacter (Acetate &amp; IR)</v>
      </c>
      <c r="E86" s="4" t="s">
        <v>36</v>
      </c>
      <c r="F86" s="4" t="s">
        <v>37</v>
      </c>
      <c r="G86" s="4" t="s">
        <v>9</v>
      </c>
    </row>
    <row r="87" spans="1:7" x14ac:dyDescent="0.2">
      <c r="A87" s="4" t="s">
        <v>56</v>
      </c>
      <c r="B87" s="4">
        <v>0</v>
      </c>
      <c r="C87">
        <v>0.15409999999999999</v>
      </c>
      <c r="D87" s="4" t="str">
        <f>_xlfn.CONCAT(E87," (",F87," &amp; ",G87,")")</f>
        <v>Marinobacter (Acetate &amp; IR)</v>
      </c>
      <c r="E87" s="4" t="s">
        <v>36</v>
      </c>
      <c r="F87" s="4" t="s">
        <v>37</v>
      </c>
      <c r="G87" s="4" t="s">
        <v>9</v>
      </c>
    </row>
    <row r="88" spans="1:7" x14ac:dyDescent="0.2">
      <c r="A88" s="4" t="s">
        <v>57</v>
      </c>
      <c r="B88" s="4">
        <v>0</v>
      </c>
      <c r="C88">
        <v>0.1578</v>
      </c>
      <c r="D88" s="4" t="str">
        <f>_xlfn.CONCAT(E88," (",F88," &amp; ",G88,")")</f>
        <v>Marinobacter (Acetate &amp; IR)</v>
      </c>
      <c r="E88" s="4" t="s">
        <v>36</v>
      </c>
      <c r="F88" s="4" t="s">
        <v>37</v>
      </c>
      <c r="G88" s="4" t="s">
        <v>9</v>
      </c>
    </row>
    <row r="89" spans="1:7" x14ac:dyDescent="0.2">
      <c r="A89" s="4" t="s">
        <v>55</v>
      </c>
      <c r="B89" s="4">
        <v>0</v>
      </c>
      <c r="C89">
        <v>0.16089999999999999</v>
      </c>
      <c r="D89" s="4" t="str">
        <f>_xlfn.CONCAT(E89," (",F89," &amp; ",G89,")")</f>
        <v>Marinobacter (Thiosulfate &amp; IR)</v>
      </c>
      <c r="E89" s="4" t="s">
        <v>36</v>
      </c>
      <c r="F89" s="4" t="s">
        <v>38</v>
      </c>
      <c r="G89" s="4" t="s">
        <v>9</v>
      </c>
    </row>
    <row r="90" spans="1:7" x14ac:dyDescent="0.2">
      <c r="A90" s="4" t="s">
        <v>56</v>
      </c>
      <c r="B90" s="4">
        <v>0</v>
      </c>
      <c r="C90">
        <v>0.15909999999999999</v>
      </c>
      <c r="D90" s="4" t="str">
        <f>_xlfn.CONCAT(E90," (",F90," &amp; ",G90,")")</f>
        <v>Marinobacter (Thiosulfate &amp; IR)</v>
      </c>
      <c r="E90" s="4" t="s">
        <v>36</v>
      </c>
      <c r="F90" s="4" t="s">
        <v>38</v>
      </c>
      <c r="G90" s="4" t="s">
        <v>9</v>
      </c>
    </row>
    <row r="91" spans="1:7" x14ac:dyDescent="0.2">
      <c r="A91" s="4" t="s">
        <v>57</v>
      </c>
      <c r="B91" s="4">
        <v>0</v>
      </c>
      <c r="C91">
        <v>0.17480000000000001</v>
      </c>
      <c r="D91" s="4" t="str">
        <f>_xlfn.CONCAT(E91," (",F91," &amp; ",G91,")")</f>
        <v>Marinobacter (Thiosulfate &amp; IR)</v>
      </c>
      <c r="E91" s="4" t="s">
        <v>36</v>
      </c>
      <c r="F91" s="4" t="s">
        <v>38</v>
      </c>
      <c r="G91" s="4" t="s">
        <v>9</v>
      </c>
    </row>
    <row r="92" spans="1:7" x14ac:dyDescent="0.2">
      <c r="A92" s="4" t="s">
        <v>52</v>
      </c>
      <c r="B92" s="4">
        <v>48</v>
      </c>
      <c r="C92">
        <v>0.13980000000000001</v>
      </c>
      <c r="D92" s="4" t="str">
        <f>_xlfn.CONCAT(E92," (",F92," &amp; ",G92,")")</f>
        <v>Marinobacter (Control &amp; Dark)</v>
      </c>
      <c r="E92" s="4" t="s">
        <v>36</v>
      </c>
      <c r="F92" s="4" t="s">
        <v>35</v>
      </c>
      <c r="G92" s="4" t="s">
        <v>4</v>
      </c>
    </row>
    <row r="93" spans="1:7" x14ac:dyDescent="0.2">
      <c r="A93" s="4" t="s">
        <v>53</v>
      </c>
      <c r="B93" s="4">
        <v>48</v>
      </c>
      <c r="C93">
        <v>0.14119999999999999</v>
      </c>
      <c r="D93" s="4" t="str">
        <f>_xlfn.CONCAT(E93," (",F93," &amp; ",G93,")")</f>
        <v>Marinobacter (Control &amp; Dark)</v>
      </c>
      <c r="E93" s="4" t="s">
        <v>36</v>
      </c>
      <c r="F93" s="4" t="s">
        <v>35</v>
      </c>
      <c r="G93" s="4" t="s">
        <v>4</v>
      </c>
    </row>
    <row r="94" spans="1:7" x14ac:dyDescent="0.2">
      <c r="A94" s="4" t="s">
        <v>54</v>
      </c>
      <c r="B94" s="4">
        <v>48</v>
      </c>
      <c r="C94">
        <v>0.14380000000000001</v>
      </c>
      <c r="D94" s="4" t="str">
        <f>_xlfn.CONCAT(E94," (",F94," &amp; ",G94,")")</f>
        <v>Marinobacter (Control &amp; Dark)</v>
      </c>
      <c r="E94" s="4" t="s">
        <v>36</v>
      </c>
      <c r="F94" s="4" t="s">
        <v>35</v>
      </c>
      <c r="G94" s="4" t="s">
        <v>4</v>
      </c>
    </row>
    <row r="95" spans="1:7" x14ac:dyDescent="0.2">
      <c r="A95" s="4" t="s">
        <v>55</v>
      </c>
      <c r="B95" s="4">
        <v>48</v>
      </c>
      <c r="C95">
        <v>0.14699999999999999</v>
      </c>
      <c r="D95" s="4" t="str">
        <f>_xlfn.CONCAT(E95," (",F95," &amp; ",G95,")")</f>
        <v>Marinobacter (Acetate &amp; Dark)</v>
      </c>
      <c r="E95" s="4" t="s">
        <v>36</v>
      </c>
      <c r="F95" s="4" t="s">
        <v>37</v>
      </c>
      <c r="G95" s="4" t="s">
        <v>4</v>
      </c>
    </row>
    <row r="96" spans="1:7" x14ac:dyDescent="0.2">
      <c r="A96" s="4" t="s">
        <v>56</v>
      </c>
      <c r="B96" s="4">
        <v>48</v>
      </c>
      <c r="C96">
        <v>0.15160000000000001</v>
      </c>
      <c r="D96" s="4" t="str">
        <f>_xlfn.CONCAT(E96," (",F96," &amp; ",G96,")")</f>
        <v>Marinobacter (Acetate &amp; Dark)</v>
      </c>
      <c r="E96" s="4" t="s">
        <v>36</v>
      </c>
      <c r="F96" s="4" t="s">
        <v>37</v>
      </c>
      <c r="G96" s="4" t="s">
        <v>4</v>
      </c>
    </row>
    <row r="97" spans="1:7" x14ac:dyDescent="0.2">
      <c r="A97" s="4" t="s">
        <v>57</v>
      </c>
      <c r="B97" s="4">
        <v>48</v>
      </c>
      <c r="C97">
        <v>0.15240000000000001</v>
      </c>
      <c r="D97" s="4" t="str">
        <f>_xlfn.CONCAT(E97," (",F97," &amp; ",G97,")")</f>
        <v>Marinobacter (Acetate &amp; Dark)</v>
      </c>
      <c r="E97" s="4" t="s">
        <v>36</v>
      </c>
      <c r="F97" s="4" t="s">
        <v>37</v>
      </c>
      <c r="G97" s="4" t="s">
        <v>4</v>
      </c>
    </row>
    <row r="98" spans="1:7" x14ac:dyDescent="0.2">
      <c r="A98" s="4" t="s">
        <v>52</v>
      </c>
      <c r="B98" s="4">
        <v>48</v>
      </c>
      <c r="C98">
        <v>0.14219999999999999</v>
      </c>
      <c r="D98" s="4" t="str">
        <f>_xlfn.CONCAT(E98," (",F98," &amp; ",G98,")")</f>
        <v>Marinobacter (Thiosulfate &amp; Dark)</v>
      </c>
      <c r="E98" s="4" t="s">
        <v>36</v>
      </c>
      <c r="F98" s="4" t="s">
        <v>38</v>
      </c>
      <c r="G98" s="4" t="s">
        <v>4</v>
      </c>
    </row>
    <row r="99" spans="1:7" x14ac:dyDescent="0.2">
      <c r="A99" s="4" t="s">
        <v>53</v>
      </c>
      <c r="B99" s="4">
        <v>48</v>
      </c>
      <c r="C99">
        <v>0.1444</v>
      </c>
      <c r="D99" s="4" t="str">
        <f>_xlfn.CONCAT(E99," (",F99," &amp; ",G99,")")</f>
        <v>Marinobacter (Thiosulfate &amp; Dark)</v>
      </c>
      <c r="E99" s="4" t="s">
        <v>36</v>
      </c>
      <c r="F99" s="4" t="s">
        <v>38</v>
      </c>
      <c r="G99" s="4" t="s">
        <v>4</v>
      </c>
    </row>
    <row r="100" spans="1:7" x14ac:dyDescent="0.2">
      <c r="A100" s="4" t="s">
        <v>54</v>
      </c>
      <c r="B100" s="4">
        <v>48</v>
      </c>
      <c r="C100">
        <v>0.1449</v>
      </c>
      <c r="D100" s="4" t="str">
        <f>_xlfn.CONCAT(E100," (",F100," &amp; ",G100,")")</f>
        <v>Marinobacter (Thiosulfate &amp; Dark)</v>
      </c>
      <c r="E100" s="4" t="s">
        <v>36</v>
      </c>
      <c r="F100" s="4" t="s">
        <v>38</v>
      </c>
      <c r="G100" s="4" t="s">
        <v>4</v>
      </c>
    </row>
    <row r="101" spans="1:7" x14ac:dyDescent="0.2">
      <c r="A101" s="4" t="s">
        <v>55</v>
      </c>
      <c r="B101" s="4">
        <v>48</v>
      </c>
      <c r="C101">
        <v>0.14599999999999999</v>
      </c>
      <c r="D101" s="4" t="str">
        <f>_xlfn.CONCAT(E101," (",F101," &amp; ",G101,")")</f>
        <v>Marinobacter (Control &amp; IR)</v>
      </c>
      <c r="E101" s="4" t="s">
        <v>36</v>
      </c>
      <c r="F101" s="4" t="s">
        <v>35</v>
      </c>
      <c r="G101" s="4" t="s">
        <v>9</v>
      </c>
    </row>
    <row r="102" spans="1:7" x14ac:dyDescent="0.2">
      <c r="A102" s="4" t="s">
        <v>56</v>
      </c>
      <c r="B102" s="4">
        <v>48</v>
      </c>
      <c r="C102">
        <v>0.1409</v>
      </c>
      <c r="D102" s="4" t="str">
        <f>_xlfn.CONCAT(E102," (",F102," &amp; ",G102,")")</f>
        <v>Marinobacter (Control &amp; IR)</v>
      </c>
      <c r="E102" s="4" t="s">
        <v>36</v>
      </c>
      <c r="F102" s="4" t="s">
        <v>35</v>
      </c>
      <c r="G102" s="4" t="s">
        <v>9</v>
      </c>
    </row>
    <row r="103" spans="1:7" x14ac:dyDescent="0.2">
      <c r="A103" s="4" t="s">
        <v>57</v>
      </c>
      <c r="B103" s="4">
        <v>48</v>
      </c>
      <c r="C103">
        <v>0.1434</v>
      </c>
      <c r="D103" s="4" t="str">
        <f>_xlfn.CONCAT(E103," (",F103," &amp; ",G103,")")</f>
        <v>Marinobacter (Control &amp; IR)</v>
      </c>
      <c r="E103" s="4" t="s">
        <v>36</v>
      </c>
      <c r="F103" s="4" t="s">
        <v>35</v>
      </c>
      <c r="G103" s="4" t="s">
        <v>9</v>
      </c>
    </row>
    <row r="104" spans="1:7" x14ac:dyDescent="0.2">
      <c r="A104" s="4" t="s">
        <v>55</v>
      </c>
      <c r="B104" s="4">
        <v>48</v>
      </c>
      <c r="C104">
        <v>0.14860000000000001</v>
      </c>
      <c r="D104" s="4" t="str">
        <f>_xlfn.CONCAT(E104," (",F104," &amp; ",G104,")")</f>
        <v>Marinobacter (Acetate &amp; IR)</v>
      </c>
      <c r="E104" s="4" t="s">
        <v>36</v>
      </c>
      <c r="F104" s="4" t="s">
        <v>37</v>
      </c>
      <c r="G104" s="4" t="s">
        <v>9</v>
      </c>
    </row>
    <row r="105" spans="1:7" x14ac:dyDescent="0.2">
      <c r="A105" s="4" t="s">
        <v>56</v>
      </c>
      <c r="B105" s="4">
        <v>48</v>
      </c>
      <c r="C105">
        <v>0.1457</v>
      </c>
      <c r="D105" s="4" t="str">
        <f>_xlfn.CONCAT(E105," (",F105," &amp; ",G105,")")</f>
        <v>Marinobacter (Acetate &amp; IR)</v>
      </c>
      <c r="E105" s="4" t="s">
        <v>36</v>
      </c>
      <c r="F105" s="4" t="s">
        <v>37</v>
      </c>
      <c r="G105" s="4" t="s">
        <v>9</v>
      </c>
    </row>
    <row r="106" spans="1:7" x14ac:dyDescent="0.2">
      <c r="A106" s="4" t="s">
        <v>57</v>
      </c>
      <c r="B106" s="4">
        <v>48</v>
      </c>
      <c r="C106">
        <v>0.151</v>
      </c>
      <c r="D106" s="4" t="str">
        <f>_xlfn.CONCAT(E106," (",F106," &amp; ",G106,")")</f>
        <v>Marinobacter (Acetate &amp; IR)</v>
      </c>
      <c r="E106" s="4" t="s">
        <v>36</v>
      </c>
      <c r="F106" s="4" t="s">
        <v>37</v>
      </c>
      <c r="G106" s="4" t="s">
        <v>9</v>
      </c>
    </row>
    <row r="107" spans="1:7" x14ac:dyDescent="0.2">
      <c r="A107" s="4" t="s">
        <v>55</v>
      </c>
      <c r="B107" s="4">
        <v>48</v>
      </c>
      <c r="C107">
        <v>0.14530000000000001</v>
      </c>
      <c r="D107" s="4" t="str">
        <f>_xlfn.CONCAT(E107," (",F107," &amp; ",G107,")")</f>
        <v>Marinobacter (Thiosulfate &amp; IR)</v>
      </c>
      <c r="E107" s="4" t="s">
        <v>36</v>
      </c>
      <c r="F107" s="4" t="s">
        <v>38</v>
      </c>
      <c r="G107" s="4" t="s">
        <v>9</v>
      </c>
    </row>
    <row r="108" spans="1:7" x14ac:dyDescent="0.2">
      <c r="A108" s="4" t="s">
        <v>56</v>
      </c>
      <c r="B108" s="4">
        <v>48</v>
      </c>
      <c r="C108">
        <v>0.14460000000000001</v>
      </c>
      <c r="D108" s="4" t="str">
        <f>_xlfn.CONCAT(E108," (",F108," &amp; ",G108,")")</f>
        <v>Marinobacter (Thiosulfate &amp; IR)</v>
      </c>
      <c r="E108" s="4" t="s">
        <v>36</v>
      </c>
      <c r="F108" s="4" t="s">
        <v>38</v>
      </c>
      <c r="G108" s="4" t="s">
        <v>9</v>
      </c>
    </row>
    <row r="109" spans="1:7" x14ac:dyDescent="0.2">
      <c r="A109" s="4" t="s">
        <v>57</v>
      </c>
      <c r="B109" s="4">
        <v>48</v>
      </c>
      <c r="C109">
        <v>0.14499999999999999</v>
      </c>
      <c r="D109" s="4" t="str">
        <f>_xlfn.CONCAT(E109," (",F109," &amp; ",G109,")")</f>
        <v>Marinobacter (Thiosulfate &amp; IR)</v>
      </c>
      <c r="E109" s="4" t="s">
        <v>36</v>
      </c>
      <c r="F109" s="4" t="s">
        <v>38</v>
      </c>
      <c r="G109" s="4" t="s">
        <v>9</v>
      </c>
    </row>
    <row r="110" spans="1:7" x14ac:dyDescent="0.2">
      <c r="A110" s="4" t="s">
        <v>52</v>
      </c>
      <c r="B110" s="4">
        <v>144</v>
      </c>
      <c r="C110" s="4">
        <v>0.13220000000000001</v>
      </c>
      <c r="D110" s="4" t="str">
        <f>_xlfn.CONCAT(E110," (",F110," &amp; ",G110,")")</f>
        <v>Marinobacter (Control &amp; Dark)</v>
      </c>
      <c r="E110" s="4" t="s">
        <v>36</v>
      </c>
      <c r="F110" s="4" t="s">
        <v>35</v>
      </c>
      <c r="G110" s="4" t="s">
        <v>4</v>
      </c>
    </row>
    <row r="111" spans="1:7" x14ac:dyDescent="0.2">
      <c r="A111" s="4" t="s">
        <v>53</v>
      </c>
      <c r="B111" s="4">
        <v>144</v>
      </c>
      <c r="C111" s="4">
        <v>0.10199999999999999</v>
      </c>
      <c r="D111" s="4" t="str">
        <f>_xlfn.CONCAT(E111," (",F111," &amp; ",G111,")")</f>
        <v>Marinobacter (Control &amp; Dark)</v>
      </c>
      <c r="E111" s="4" t="s">
        <v>36</v>
      </c>
      <c r="F111" s="4" t="s">
        <v>35</v>
      </c>
      <c r="G111" s="4" t="s">
        <v>4</v>
      </c>
    </row>
    <row r="112" spans="1:7" x14ac:dyDescent="0.2">
      <c r="A112" s="4" t="s">
        <v>54</v>
      </c>
      <c r="B112" s="4">
        <v>144</v>
      </c>
      <c r="C112" s="4">
        <v>0.10539999999999999</v>
      </c>
      <c r="D112" s="4" t="str">
        <f>_xlfn.CONCAT(E112," (",F112," &amp; ",G112,")")</f>
        <v>Marinobacter (Control &amp; Dark)</v>
      </c>
      <c r="E112" s="4" t="s">
        <v>36</v>
      </c>
      <c r="F112" s="4" t="s">
        <v>35</v>
      </c>
      <c r="G112" s="4" t="s">
        <v>4</v>
      </c>
    </row>
    <row r="113" spans="1:7" x14ac:dyDescent="0.2">
      <c r="A113" s="4" t="s">
        <v>55</v>
      </c>
      <c r="B113" s="4">
        <v>144</v>
      </c>
      <c r="C113" s="4">
        <v>0.15379999999999999</v>
      </c>
      <c r="D113" s="4" t="str">
        <f>_xlfn.CONCAT(E113," (",F113," &amp; ",G113,")")</f>
        <v>Marinobacter (Acetate &amp; Dark)</v>
      </c>
      <c r="E113" s="4" t="s">
        <v>36</v>
      </c>
      <c r="F113" s="4" t="s">
        <v>37</v>
      </c>
      <c r="G113" s="4" t="s">
        <v>4</v>
      </c>
    </row>
    <row r="114" spans="1:7" x14ac:dyDescent="0.2">
      <c r="A114" s="4" t="s">
        <v>56</v>
      </c>
      <c r="B114" s="4">
        <v>144</v>
      </c>
      <c r="C114" s="4">
        <v>0.13900000000000001</v>
      </c>
      <c r="D114" s="4" t="str">
        <f>_xlfn.CONCAT(E114," (",F114," &amp; ",G114,")")</f>
        <v>Marinobacter (Acetate &amp; Dark)</v>
      </c>
      <c r="E114" s="4" t="s">
        <v>36</v>
      </c>
      <c r="F114" s="4" t="s">
        <v>37</v>
      </c>
      <c r="G114" s="4" t="s">
        <v>4</v>
      </c>
    </row>
    <row r="115" spans="1:7" x14ac:dyDescent="0.2">
      <c r="A115" s="4" t="s">
        <v>57</v>
      </c>
      <c r="B115" s="4">
        <v>144</v>
      </c>
      <c r="C115" s="4">
        <v>0.1527</v>
      </c>
      <c r="D115" s="4" t="str">
        <f>_xlfn.CONCAT(E115," (",F115," &amp; ",G115,")")</f>
        <v>Marinobacter (Acetate &amp; Dark)</v>
      </c>
      <c r="E115" s="4" t="s">
        <v>36</v>
      </c>
      <c r="F115" s="4" t="s">
        <v>37</v>
      </c>
      <c r="G115" s="4" t="s">
        <v>4</v>
      </c>
    </row>
    <row r="116" spans="1:7" x14ac:dyDescent="0.2">
      <c r="A116" s="4" t="s">
        <v>52</v>
      </c>
      <c r="B116" s="4">
        <v>144</v>
      </c>
      <c r="C116" s="4">
        <v>0.1022</v>
      </c>
      <c r="D116" s="4" t="str">
        <f>_xlfn.CONCAT(E116," (",F116," &amp; ",G116,")")</f>
        <v>Marinobacter (Thiosulfate &amp; Dark)</v>
      </c>
      <c r="E116" s="4" t="s">
        <v>36</v>
      </c>
      <c r="F116" s="4" t="s">
        <v>38</v>
      </c>
      <c r="G116" s="4" t="s">
        <v>4</v>
      </c>
    </row>
    <row r="117" spans="1:7" x14ac:dyDescent="0.2">
      <c r="A117" s="4" t="s">
        <v>53</v>
      </c>
      <c r="B117" s="4">
        <v>144</v>
      </c>
      <c r="C117" s="4">
        <v>0.1037</v>
      </c>
      <c r="D117" s="4" t="str">
        <f>_xlfn.CONCAT(E117," (",F117," &amp; ",G117,")")</f>
        <v>Marinobacter (Thiosulfate &amp; Dark)</v>
      </c>
      <c r="E117" s="4" t="s">
        <v>36</v>
      </c>
      <c r="F117" s="4" t="s">
        <v>38</v>
      </c>
      <c r="G117" s="4" t="s">
        <v>4</v>
      </c>
    </row>
    <row r="118" spans="1:7" x14ac:dyDescent="0.2">
      <c r="A118" s="4" t="s">
        <v>54</v>
      </c>
      <c r="B118" s="4">
        <v>144</v>
      </c>
      <c r="C118" s="4">
        <v>9.6500000000000002E-2</v>
      </c>
      <c r="D118" s="4" t="str">
        <f>_xlfn.CONCAT(E118," (",F118," &amp; ",G118,")")</f>
        <v>Marinobacter (Thiosulfate &amp; Dark)</v>
      </c>
      <c r="E118" s="4" t="s">
        <v>36</v>
      </c>
      <c r="F118" s="4" t="s">
        <v>38</v>
      </c>
      <c r="G118" s="4" t="s">
        <v>4</v>
      </c>
    </row>
    <row r="119" spans="1:7" x14ac:dyDescent="0.2">
      <c r="A119" s="4" t="s">
        <v>55</v>
      </c>
      <c r="B119" s="4">
        <v>144</v>
      </c>
      <c r="C119" s="4">
        <v>0.12139999999999999</v>
      </c>
      <c r="D119" s="4" t="str">
        <f>_xlfn.CONCAT(E119," (",F119," &amp; ",G119,")")</f>
        <v>Marinobacter (Control &amp; IR)</v>
      </c>
      <c r="E119" s="4" t="s">
        <v>36</v>
      </c>
      <c r="F119" s="4" t="s">
        <v>35</v>
      </c>
      <c r="G119" s="4" t="s">
        <v>9</v>
      </c>
    </row>
    <row r="120" spans="1:7" x14ac:dyDescent="0.2">
      <c r="A120" s="4" t="s">
        <v>56</v>
      </c>
      <c r="B120" s="4">
        <v>144</v>
      </c>
      <c r="C120" s="4">
        <v>0.12280000000000001</v>
      </c>
      <c r="D120" s="4" t="str">
        <f>_xlfn.CONCAT(E120," (",F120," &amp; ",G120,")")</f>
        <v>Marinobacter (Control &amp; IR)</v>
      </c>
      <c r="E120" s="4" t="s">
        <v>36</v>
      </c>
      <c r="F120" s="4" t="s">
        <v>35</v>
      </c>
      <c r="G120" s="4" t="s">
        <v>9</v>
      </c>
    </row>
    <row r="121" spans="1:7" x14ac:dyDescent="0.2">
      <c r="A121" s="4" t="s">
        <v>57</v>
      </c>
      <c r="B121" s="4">
        <v>144</v>
      </c>
      <c r="C121" s="4">
        <v>0.12720000000000001</v>
      </c>
      <c r="D121" s="4" t="str">
        <f>_xlfn.CONCAT(E121," (",F121," &amp; ",G121,")")</f>
        <v>Marinobacter (Control &amp; IR)</v>
      </c>
      <c r="E121" s="4" t="s">
        <v>36</v>
      </c>
      <c r="F121" s="4" t="s">
        <v>35</v>
      </c>
      <c r="G121" s="4" t="s">
        <v>9</v>
      </c>
    </row>
    <row r="122" spans="1:7" x14ac:dyDescent="0.2">
      <c r="A122" s="4" t="s">
        <v>55</v>
      </c>
      <c r="B122" s="4">
        <v>144</v>
      </c>
      <c r="C122" s="4">
        <v>0.12920000000000001</v>
      </c>
      <c r="D122" s="4" t="str">
        <f>_xlfn.CONCAT(E122," (",F122," &amp; ",G122,")")</f>
        <v>Marinobacter (Acetate &amp; IR)</v>
      </c>
      <c r="E122" s="4" t="s">
        <v>36</v>
      </c>
      <c r="F122" s="4" t="s">
        <v>37</v>
      </c>
      <c r="G122" s="4" t="s">
        <v>9</v>
      </c>
    </row>
    <row r="123" spans="1:7" x14ac:dyDescent="0.2">
      <c r="A123" s="4" t="s">
        <v>56</v>
      </c>
      <c r="B123" s="4">
        <v>144</v>
      </c>
      <c r="C123" s="4">
        <v>0.13719999999999999</v>
      </c>
      <c r="D123" s="4" t="str">
        <f>_xlfn.CONCAT(E123," (",F123," &amp; ",G123,")")</f>
        <v>Marinobacter (Acetate &amp; IR)</v>
      </c>
      <c r="E123" s="4" t="s">
        <v>36</v>
      </c>
      <c r="F123" s="4" t="s">
        <v>37</v>
      </c>
      <c r="G123" s="4" t="s">
        <v>9</v>
      </c>
    </row>
    <row r="124" spans="1:7" x14ac:dyDescent="0.2">
      <c r="A124" s="4" t="s">
        <v>57</v>
      </c>
      <c r="B124" s="4">
        <v>144</v>
      </c>
      <c r="C124" s="4">
        <v>0.1457</v>
      </c>
      <c r="D124" s="4" t="str">
        <f>_xlfn.CONCAT(E124," (",F124," &amp; ",G124,")")</f>
        <v>Marinobacter (Acetate &amp; IR)</v>
      </c>
      <c r="E124" s="4" t="s">
        <v>36</v>
      </c>
      <c r="F124" s="4" t="s">
        <v>37</v>
      </c>
      <c r="G124" s="4" t="s">
        <v>9</v>
      </c>
    </row>
    <row r="125" spans="1:7" x14ac:dyDescent="0.2">
      <c r="A125" s="4" t="s">
        <v>55</v>
      </c>
      <c r="B125" s="4">
        <v>144</v>
      </c>
      <c r="C125" s="4">
        <v>9.8199999999999996E-2</v>
      </c>
      <c r="D125" s="4" t="str">
        <f>_xlfn.CONCAT(E125," (",F125," &amp; ",G125,")")</f>
        <v>Marinobacter (Thiosulfate &amp; IR)</v>
      </c>
      <c r="E125" s="4" t="s">
        <v>36</v>
      </c>
      <c r="F125" s="4" t="s">
        <v>38</v>
      </c>
      <c r="G125" s="4" t="s">
        <v>9</v>
      </c>
    </row>
    <row r="126" spans="1:7" x14ac:dyDescent="0.2">
      <c r="A126" s="4" t="s">
        <v>56</v>
      </c>
      <c r="B126" s="4">
        <v>144</v>
      </c>
      <c r="C126" s="4">
        <v>9.8000000000000004E-2</v>
      </c>
      <c r="D126" s="4" t="str">
        <f>_xlfn.CONCAT(E126," (",F126," &amp; ",G126,")")</f>
        <v>Marinobacter (Thiosulfate &amp; IR)</v>
      </c>
      <c r="E126" s="4" t="s">
        <v>36</v>
      </c>
      <c r="F126" s="4" t="s">
        <v>38</v>
      </c>
      <c r="G126" s="4" t="s">
        <v>9</v>
      </c>
    </row>
    <row r="127" spans="1:7" x14ac:dyDescent="0.2">
      <c r="A127" s="4" t="s">
        <v>57</v>
      </c>
      <c r="B127" s="4">
        <v>144</v>
      </c>
      <c r="C127" s="4">
        <v>0.10299999999999999</v>
      </c>
      <c r="D127" s="4" t="str">
        <f>_xlfn.CONCAT(E127," (",F127," &amp; ",G127,")")</f>
        <v>Marinobacter (Thiosulfate &amp; IR)</v>
      </c>
      <c r="E127" s="4" t="s">
        <v>36</v>
      </c>
      <c r="F127" s="4" t="s">
        <v>38</v>
      </c>
      <c r="G127" s="4" t="s">
        <v>9</v>
      </c>
    </row>
    <row r="128" spans="1:7" x14ac:dyDescent="0.2">
      <c r="A128" s="4" t="s">
        <v>52</v>
      </c>
      <c r="B128" s="4">
        <v>192</v>
      </c>
      <c r="C128" s="4">
        <v>0.1449</v>
      </c>
      <c r="D128" s="4" t="str">
        <f>_xlfn.CONCAT(E128," (",F128," &amp; ",G128,")")</f>
        <v>Marinobacter (Control &amp; Dark)</v>
      </c>
      <c r="E128" s="4" t="s">
        <v>36</v>
      </c>
      <c r="F128" s="4" t="s">
        <v>35</v>
      </c>
      <c r="G128" s="4" t="s">
        <v>4</v>
      </c>
    </row>
    <row r="129" spans="1:7" x14ac:dyDescent="0.2">
      <c r="A129" s="4" t="s">
        <v>53</v>
      </c>
      <c r="B129" s="4">
        <v>192</v>
      </c>
      <c r="C129" s="4">
        <v>0.1439</v>
      </c>
      <c r="D129" s="4" t="str">
        <f>_xlfn.CONCAT(E129," (",F129," &amp; ",G129,")")</f>
        <v>Marinobacter (Control &amp; Dark)</v>
      </c>
      <c r="E129" s="4" t="s">
        <v>36</v>
      </c>
      <c r="F129" s="4" t="s">
        <v>35</v>
      </c>
      <c r="G129" s="4" t="s">
        <v>4</v>
      </c>
    </row>
    <row r="130" spans="1:7" x14ac:dyDescent="0.2">
      <c r="A130" s="4" t="s">
        <v>54</v>
      </c>
      <c r="B130" s="4">
        <v>192</v>
      </c>
      <c r="C130" s="4">
        <v>0.14030000000000001</v>
      </c>
      <c r="D130" s="4" t="str">
        <f>_xlfn.CONCAT(E130," (",F130," &amp; ",G130,")")</f>
        <v>Marinobacter (Control &amp; Dark)</v>
      </c>
      <c r="E130" s="4" t="s">
        <v>36</v>
      </c>
      <c r="F130" s="4" t="s">
        <v>35</v>
      </c>
      <c r="G130" s="4" t="s">
        <v>4</v>
      </c>
    </row>
    <row r="131" spans="1:7" x14ac:dyDescent="0.2">
      <c r="A131" s="4" t="s">
        <v>55</v>
      </c>
      <c r="B131" s="4">
        <v>192</v>
      </c>
      <c r="C131" s="4">
        <v>0.30959999999999999</v>
      </c>
      <c r="D131" s="4" t="str">
        <f>_xlfn.CONCAT(E131," (",F131," &amp; ",G131,")")</f>
        <v>Marinobacter (Acetate &amp; Dark)</v>
      </c>
      <c r="E131" s="4" t="s">
        <v>36</v>
      </c>
      <c r="F131" s="4" t="s">
        <v>37</v>
      </c>
      <c r="G131" s="4" t="s">
        <v>4</v>
      </c>
    </row>
    <row r="132" spans="1:7" x14ac:dyDescent="0.2">
      <c r="A132" s="4" t="s">
        <v>56</v>
      </c>
      <c r="B132" s="4">
        <v>192</v>
      </c>
      <c r="C132" s="4">
        <v>0.22819999999999999</v>
      </c>
      <c r="D132" s="4" t="str">
        <f>_xlfn.CONCAT(E132," (",F132," &amp; ",G132,")")</f>
        <v>Marinobacter (Acetate &amp; Dark)</v>
      </c>
      <c r="E132" s="4" t="s">
        <v>36</v>
      </c>
      <c r="F132" s="4" t="s">
        <v>37</v>
      </c>
      <c r="G132" s="4" t="s">
        <v>4</v>
      </c>
    </row>
    <row r="133" spans="1:7" x14ac:dyDescent="0.2">
      <c r="A133" s="4" t="s">
        <v>57</v>
      </c>
      <c r="B133" s="4">
        <v>192</v>
      </c>
      <c r="C133" s="4">
        <v>0.2802</v>
      </c>
      <c r="D133" s="4" t="str">
        <f>_xlfn.CONCAT(E133," (",F133," &amp; ",G133,")")</f>
        <v>Marinobacter (Acetate &amp; Dark)</v>
      </c>
      <c r="E133" s="4" t="s">
        <v>36</v>
      </c>
      <c r="F133" s="4" t="s">
        <v>37</v>
      </c>
      <c r="G133" s="4" t="s">
        <v>4</v>
      </c>
    </row>
    <row r="134" spans="1:7" x14ac:dyDescent="0.2">
      <c r="A134" s="4" t="s">
        <v>52</v>
      </c>
      <c r="B134" s="4">
        <v>192</v>
      </c>
      <c r="C134" s="4">
        <v>0.1502</v>
      </c>
      <c r="D134" s="4" t="str">
        <f>_xlfn.CONCAT(E134," (",F134," &amp; ",G134,")")</f>
        <v>Marinobacter (Thiosulfate &amp; Dark)</v>
      </c>
      <c r="E134" s="4" t="s">
        <v>36</v>
      </c>
      <c r="F134" s="4" t="s">
        <v>38</v>
      </c>
      <c r="G134" s="4" t="s">
        <v>4</v>
      </c>
    </row>
    <row r="135" spans="1:7" x14ac:dyDescent="0.2">
      <c r="A135" s="4" t="s">
        <v>53</v>
      </c>
      <c r="B135" s="4">
        <v>192</v>
      </c>
      <c r="C135" s="4">
        <v>0.14910000000000001</v>
      </c>
      <c r="D135" s="4" t="str">
        <f>_xlfn.CONCAT(E135," (",F135," &amp; ",G135,")")</f>
        <v>Marinobacter (Thiosulfate &amp; Dark)</v>
      </c>
      <c r="E135" s="4" t="s">
        <v>36</v>
      </c>
      <c r="F135" s="4" t="s">
        <v>38</v>
      </c>
      <c r="G135" s="4" t="s">
        <v>4</v>
      </c>
    </row>
    <row r="136" spans="1:7" x14ac:dyDescent="0.2">
      <c r="A136" s="4" t="s">
        <v>54</v>
      </c>
      <c r="B136" s="4">
        <v>192</v>
      </c>
      <c r="C136" s="4">
        <v>0.14990000000000001</v>
      </c>
      <c r="D136" s="4" t="str">
        <f>_xlfn.CONCAT(E136," (",F136," &amp; ",G136,")")</f>
        <v>Marinobacter (Thiosulfate &amp; Dark)</v>
      </c>
      <c r="E136" s="4" t="s">
        <v>36</v>
      </c>
      <c r="F136" s="4" t="s">
        <v>38</v>
      </c>
      <c r="G136" s="4" t="s">
        <v>4</v>
      </c>
    </row>
    <row r="137" spans="1:7" x14ac:dyDescent="0.2">
      <c r="A137" s="4" t="s">
        <v>55</v>
      </c>
      <c r="B137" s="4">
        <v>192</v>
      </c>
      <c r="C137" s="4">
        <v>0.14419999999999999</v>
      </c>
      <c r="D137" s="4" t="str">
        <f>_xlfn.CONCAT(E137," (",F137," &amp; ",G137,")")</f>
        <v>Marinobacter (Control &amp; IR)</v>
      </c>
      <c r="E137" s="4" t="s">
        <v>36</v>
      </c>
      <c r="F137" s="4" t="s">
        <v>35</v>
      </c>
      <c r="G137" s="4" t="s">
        <v>9</v>
      </c>
    </row>
    <row r="138" spans="1:7" x14ac:dyDescent="0.2">
      <c r="A138" s="4" t="s">
        <v>56</v>
      </c>
      <c r="B138" s="4">
        <v>192</v>
      </c>
      <c r="C138" s="4">
        <v>0.14000000000000001</v>
      </c>
      <c r="D138" s="4" t="str">
        <f>_xlfn.CONCAT(E138," (",F138," &amp; ",G138,")")</f>
        <v>Marinobacter (Control &amp; IR)</v>
      </c>
      <c r="E138" s="4" t="s">
        <v>36</v>
      </c>
      <c r="F138" s="4" t="s">
        <v>35</v>
      </c>
      <c r="G138" s="4" t="s">
        <v>9</v>
      </c>
    </row>
    <row r="139" spans="1:7" x14ac:dyDescent="0.2">
      <c r="A139" s="4" t="s">
        <v>57</v>
      </c>
      <c r="B139" s="4">
        <v>192</v>
      </c>
      <c r="C139" s="4">
        <v>0.14249999999999999</v>
      </c>
      <c r="D139" s="4" t="str">
        <f>_xlfn.CONCAT(E139," (",F139," &amp; ",G139,")")</f>
        <v>Marinobacter (Control &amp; IR)</v>
      </c>
      <c r="E139" s="4" t="s">
        <v>36</v>
      </c>
      <c r="F139" s="4" t="s">
        <v>35</v>
      </c>
      <c r="G139" s="4" t="s">
        <v>9</v>
      </c>
    </row>
    <row r="140" spans="1:7" x14ac:dyDescent="0.2">
      <c r="A140" s="4" t="s">
        <v>55</v>
      </c>
      <c r="B140" s="4">
        <v>192</v>
      </c>
      <c r="C140" s="4">
        <v>0.24610000000000001</v>
      </c>
      <c r="D140" s="4" t="str">
        <f>_xlfn.CONCAT(E140," (",F140," &amp; ",G140,")")</f>
        <v>Marinobacter (Acetate &amp; IR)</v>
      </c>
      <c r="E140" s="4" t="s">
        <v>36</v>
      </c>
      <c r="F140" s="4" t="s">
        <v>37</v>
      </c>
      <c r="G140" s="4" t="s">
        <v>9</v>
      </c>
    </row>
    <row r="141" spans="1:7" x14ac:dyDescent="0.2">
      <c r="A141" s="4" t="s">
        <v>56</v>
      </c>
      <c r="B141" s="4">
        <v>192</v>
      </c>
      <c r="C141" s="4">
        <v>0.24970000000000001</v>
      </c>
      <c r="D141" s="4" t="str">
        <f>_xlfn.CONCAT(E141," (",F141," &amp; ",G141,")")</f>
        <v>Marinobacter (Acetate &amp; IR)</v>
      </c>
      <c r="E141" s="4" t="s">
        <v>36</v>
      </c>
      <c r="F141" s="4" t="s">
        <v>37</v>
      </c>
      <c r="G141" s="4" t="s">
        <v>9</v>
      </c>
    </row>
    <row r="142" spans="1:7" x14ac:dyDescent="0.2">
      <c r="A142" s="4" t="s">
        <v>57</v>
      </c>
      <c r="B142" s="4">
        <v>192</v>
      </c>
      <c r="C142" s="4">
        <v>0.2384</v>
      </c>
      <c r="D142" s="4" t="str">
        <f>_xlfn.CONCAT(E142," (",F142," &amp; ",G142,")")</f>
        <v>Marinobacter (Acetate &amp; IR)</v>
      </c>
      <c r="E142" s="4" t="s">
        <v>36</v>
      </c>
      <c r="F142" s="4" t="s">
        <v>37</v>
      </c>
      <c r="G142" s="4" t="s">
        <v>9</v>
      </c>
    </row>
    <row r="143" spans="1:7" x14ac:dyDescent="0.2">
      <c r="A143" s="4" t="s">
        <v>55</v>
      </c>
      <c r="B143" s="4">
        <v>192</v>
      </c>
      <c r="C143" s="4">
        <v>0.13719999999999999</v>
      </c>
      <c r="D143" s="4" t="str">
        <f>_xlfn.CONCAT(E143," (",F143," &amp; ",G143,")")</f>
        <v>Marinobacter (Thiosulfate &amp; IR)</v>
      </c>
      <c r="E143" s="4" t="s">
        <v>36</v>
      </c>
      <c r="F143" s="4" t="s">
        <v>38</v>
      </c>
      <c r="G143" s="4" t="s">
        <v>9</v>
      </c>
    </row>
    <row r="144" spans="1:7" x14ac:dyDescent="0.2">
      <c r="A144" s="4" t="s">
        <v>56</v>
      </c>
      <c r="B144" s="4">
        <v>192</v>
      </c>
      <c r="C144" s="4">
        <v>0.1424</v>
      </c>
      <c r="D144" s="4" t="str">
        <f>_xlfn.CONCAT(E144," (",F144," &amp; ",G144,")")</f>
        <v>Marinobacter (Thiosulfate &amp; IR)</v>
      </c>
      <c r="E144" s="4" t="s">
        <v>36</v>
      </c>
      <c r="F144" s="4" t="s">
        <v>38</v>
      </c>
      <c r="G144" s="4" t="s">
        <v>9</v>
      </c>
    </row>
    <row r="145" spans="1:7" x14ac:dyDescent="0.2">
      <c r="A145" s="4" t="s">
        <v>57</v>
      </c>
      <c r="B145" s="4">
        <v>192</v>
      </c>
      <c r="C145" s="4">
        <v>0.14280000000000001</v>
      </c>
      <c r="D145" s="4" t="str">
        <f>_xlfn.CONCAT(E145," (",F145," &amp; ",G145,")")</f>
        <v>Marinobacter (Thiosulfate &amp; IR)</v>
      </c>
      <c r="E145" s="4" t="s">
        <v>36</v>
      </c>
      <c r="F145" s="4" t="s">
        <v>38</v>
      </c>
      <c r="G145" s="4" t="s">
        <v>9</v>
      </c>
    </row>
    <row r="146" spans="1:7" x14ac:dyDescent="0.2">
      <c r="A146" s="4" t="s">
        <v>58</v>
      </c>
      <c r="B146" s="4">
        <v>0</v>
      </c>
      <c r="C146" s="4">
        <v>0.12470000000000001</v>
      </c>
      <c r="D146" s="4" t="str">
        <f>_xlfn.CONCAT(E146," (",F146," &amp; ",G146,")")</f>
        <v>Paracoccus (Control &amp; Dark)</v>
      </c>
      <c r="E146" s="4" t="s">
        <v>3</v>
      </c>
      <c r="F146" s="4" t="s">
        <v>35</v>
      </c>
      <c r="G146" s="4" t="s">
        <v>4</v>
      </c>
    </row>
    <row r="147" spans="1:7" x14ac:dyDescent="0.2">
      <c r="A147" s="4" t="s">
        <v>41</v>
      </c>
      <c r="B147" s="4">
        <v>0</v>
      </c>
      <c r="C147" s="4">
        <v>0.1249</v>
      </c>
      <c r="D147" s="4" t="str">
        <f>_xlfn.CONCAT(E147," (",F147," &amp; ",G147,")")</f>
        <v>Paracoccus (Control &amp; Dark)</v>
      </c>
      <c r="E147" s="4" t="s">
        <v>3</v>
      </c>
      <c r="F147" s="4" t="s">
        <v>35</v>
      </c>
      <c r="G147" s="4" t="s">
        <v>4</v>
      </c>
    </row>
    <row r="148" spans="1:7" x14ac:dyDescent="0.2">
      <c r="A148" s="4" t="s">
        <v>42</v>
      </c>
      <c r="B148" s="4">
        <v>0</v>
      </c>
      <c r="C148" s="4">
        <v>0.1244</v>
      </c>
      <c r="D148" s="4" t="str">
        <f>_xlfn.CONCAT(E148," (",F148," &amp; ",G148,")")</f>
        <v>Paracoccus (Control &amp; Dark)</v>
      </c>
      <c r="E148" s="4" t="s">
        <v>3</v>
      </c>
      <c r="F148" s="4" t="s">
        <v>35</v>
      </c>
      <c r="G148" s="4" t="s">
        <v>4</v>
      </c>
    </row>
    <row r="149" spans="1:7" x14ac:dyDescent="0.2">
      <c r="A149" s="4" t="s">
        <v>46</v>
      </c>
      <c r="B149" s="4">
        <v>0</v>
      </c>
      <c r="C149" s="4">
        <v>0.14019999999999999</v>
      </c>
      <c r="D149" s="4" t="str">
        <f>_xlfn.CONCAT(E149," (",F149," &amp; ",G149,")")</f>
        <v>Paracoccus (Acetate &amp; Dark)</v>
      </c>
      <c r="E149" s="4" t="s">
        <v>3</v>
      </c>
      <c r="F149" s="4" t="s">
        <v>37</v>
      </c>
      <c r="G149" s="4" t="s">
        <v>4</v>
      </c>
    </row>
    <row r="150" spans="1:7" x14ac:dyDescent="0.2">
      <c r="A150" s="4" t="s">
        <v>47</v>
      </c>
      <c r="B150" s="4">
        <v>0</v>
      </c>
      <c r="C150" s="4">
        <v>0.13100000000000001</v>
      </c>
      <c r="D150" s="4" t="str">
        <f>_xlfn.CONCAT(E150," (",F150," &amp; ",G150,")")</f>
        <v>Paracoccus (Acetate &amp; Dark)</v>
      </c>
      <c r="E150" s="4" t="s">
        <v>3</v>
      </c>
      <c r="F150" s="4" t="s">
        <v>37</v>
      </c>
      <c r="G150" s="4" t="s">
        <v>4</v>
      </c>
    </row>
    <row r="151" spans="1:7" x14ac:dyDescent="0.2">
      <c r="A151" s="4" t="s">
        <v>48</v>
      </c>
      <c r="B151" s="4">
        <v>0</v>
      </c>
      <c r="C151" s="4">
        <v>0.13639999999999999</v>
      </c>
      <c r="D151" s="4" t="str">
        <f>_xlfn.CONCAT(E151," (",F151," &amp; ",G151,")")</f>
        <v>Paracoccus (Acetate &amp; Dark)</v>
      </c>
      <c r="E151" s="4" t="s">
        <v>3</v>
      </c>
      <c r="F151" s="4" t="s">
        <v>37</v>
      </c>
      <c r="G151" s="4" t="s">
        <v>4</v>
      </c>
    </row>
    <row r="152" spans="1:7" x14ac:dyDescent="0.2">
      <c r="A152" s="4" t="s">
        <v>40</v>
      </c>
      <c r="B152" s="4">
        <v>0</v>
      </c>
      <c r="C152" s="4">
        <v>0.1517</v>
      </c>
      <c r="D152" s="4" t="str">
        <f>_xlfn.CONCAT(E152," (",F152," &amp; ",G152,")")</f>
        <v>Paracoccus (Thiosulfate &amp; Dark)</v>
      </c>
      <c r="E152" s="4" t="s">
        <v>3</v>
      </c>
      <c r="F152" s="4" t="s">
        <v>38</v>
      </c>
      <c r="G152" s="4" t="s">
        <v>4</v>
      </c>
    </row>
    <row r="153" spans="1:7" x14ac:dyDescent="0.2">
      <c r="A153" s="4" t="s">
        <v>41</v>
      </c>
      <c r="B153" s="4">
        <v>0</v>
      </c>
      <c r="C153" s="4">
        <v>0.12189999999999999</v>
      </c>
      <c r="D153" s="4" t="str">
        <f>_xlfn.CONCAT(E153," (",F153," &amp; ",G153,")")</f>
        <v>Paracoccus (Thiosulfate &amp; Dark)</v>
      </c>
      <c r="E153" s="4" t="s">
        <v>3</v>
      </c>
      <c r="F153" s="4" t="s">
        <v>38</v>
      </c>
      <c r="G153" s="4" t="s">
        <v>4</v>
      </c>
    </row>
    <row r="154" spans="1:7" x14ac:dyDescent="0.2">
      <c r="A154" s="4" t="s">
        <v>42</v>
      </c>
      <c r="B154" s="4">
        <v>0</v>
      </c>
      <c r="C154" s="4">
        <v>0.12509999999999999</v>
      </c>
      <c r="D154" s="4" t="str">
        <f>_xlfn.CONCAT(E154," (",F154," &amp; ",G154,")")</f>
        <v>Paracoccus (Thiosulfate &amp; Dark)</v>
      </c>
      <c r="E154" s="4" t="s">
        <v>3</v>
      </c>
      <c r="F154" s="4" t="s">
        <v>38</v>
      </c>
      <c r="G154" s="4" t="s">
        <v>4</v>
      </c>
    </row>
    <row r="155" spans="1:7" x14ac:dyDescent="0.2">
      <c r="A155" s="4" t="s">
        <v>46</v>
      </c>
      <c r="B155" s="4">
        <v>0</v>
      </c>
      <c r="C155" s="4">
        <v>0.1429</v>
      </c>
      <c r="D155" s="4" t="str">
        <f>_xlfn.CONCAT(E155," (",F155," &amp; ",G155,")")</f>
        <v>Paracoccus (Control &amp; IR)</v>
      </c>
      <c r="E155" s="4" t="s">
        <v>3</v>
      </c>
      <c r="F155" s="4" t="s">
        <v>35</v>
      </c>
      <c r="G155" s="4" t="s">
        <v>9</v>
      </c>
    </row>
    <row r="156" spans="1:7" x14ac:dyDescent="0.2">
      <c r="A156" s="4" t="s">
        <v>47</v>
      </c>
      <c r="B156" s="4">
        <v>0</v>
      </c>
      <c r="C156" s="4">
        <v>0.13830000000000001</v>
      </c>
      <c r="D156" s="4" t="str">
        <f>_xlfn.CONCAT(E156," (",F156," &amp; ",G156,")")</f>
        <v>Paracoccus (Control &amp; IR)</v>
      </c>
      <c r="E156" s="4" t="s">
        <v>3</v>
      </c>
      <c r="F156" s="4" t="s">
        <v>35</v>
      </c>
      <c r="G156" s="4" t="s">
        <v>9</v>
      </c>
    </row>
    <row r="157" spans="1:7" x14ac:dyDescent="0.2">
      <c r="A157" s="4" t="s">
        <v>48</v>
      </c>
      <c r="B157" s="4">
        <v>0</v>
      </c>
      <c r="C157" s="4">
        <v>0.15459999999999999</v>
      </c>
      <c r="D157" s="4" t="str">
        <f>_xlfn.CONCAT(E157," (",F157," &amp; ",G157,")")</f>
        <v>Paracoccus (Control &amp; IR)</v>
      </c>
      <c r="E157" s="4" t="s">
        <v>3</v>
      </c>
      <c r="F157" s="4" t="s">
        <v>35</v>
      </c>
      <c r="G157" s="4" t="s">
        <v>9</v>
      </c>
    </row>
    <row r="158" spans="1:7" x14ac:dyDescent="0.2">
      <c r="A158" s="4" t="s">
        <v>46</v>
      </c>
      <c r="B158" s="4">
        <v>0</v>
      </c>
      <c r="C158" s="4">
        <v>0.12429999999999999</v>
      </c>
      <c r="D158" s="4" t="str">
        <f>_xlfn.CONCAT(E158," (",F158," &amp; ",G158,")")</f>
        <v>Paracoccus (Acetate &amp; IR)</v>
      </c>
      <c r="E158" s="4" t="s">
        <v>3</v>
      </c>
      <c r="F158" s="4" t="s">
        <v>37</v>
      </c>
      <c r="G158" s="4" t="s">
        <v>9</v>
      </c>
    </row>
    <row r="159" spans="1:7" x14ac:dyDescent="0.2">
      <c r="A159" s="4" t="s">
        <v>47</v>
      </c>
      <c r="B159" s="4">
        <v>0</v>
      </c>
      <c r="C159" s="4">
        <v>0.12820000000000001</v>
      </c>
      <c r="D159" s="4" t="str">
        <f>_xlfn.CONCAT(E159," (",F159," &amp; ",G159,")")</f>
        <v>Paracoccus (Acetate &amp; IR)</v>
      </c>
      <c r="E159" s="4" t="s">
        <v>3</v>
      </c>
      <c r="F159" s="4" t="s">
        <v>37</v>
      </c>
      <c r="G159" s="4" t="s">
        <v>9</v>
      </c>
    </row>
    <row r="160" spans="1:7" x14ac:dyDescent="0.2">
      <c r="A160" s="4" t="s">
        <v>48</v>
      </c>
      <c r="B160" s="4">
        <v>0</v>
      </c>
      <c r="C160" s="4">
        <v>0.12509999999999999</v>
      </c>
      <c r="D160" s="4" t="str">
        <f>_xlfn.CONCAT(E160," (",F160," &amp; ",G160,")")</f>
        <v>Paracoccus (Acetate &amp; IR)</v>
      </c>
      <c r="E160" s="4" t="s">
        <v>3</v>
      </c>
      <c r="F160" s="4" t="s">
        <v>37</v>
      </c>
      <c r="G160" s="4" t="s">
        <v>9</v>
      </c>
    </row>
    <row r="161" spans="1:7" x14ac:dyDescent="0.2">
      <c r="A161" s="4" t="s">
        <v>46</v>
      </c>
      <c r="B161" s="4">
        <v>0</v>
      </c>
      <c r="C161" s="4">
        <v>0.1263</v>
      </c>
      <c r="D161" s="4" t="str">
        <f>_xlfn.CONCAT(E161," (",F161," &amp; ",G161,")")</f>
        <v>Paracoccus (Thiosulfate &amp; IR)</v>
      </c>
      <c r="E161" s="4" t="s">
        <v>3</v>
      </c>
      <c r="F161" s="4" t="s">
        <v>38</v>
      </c>
      <c r="G161" s="4" t="s">
        <v>9</v>
      </c>
    </row>
    <row r="162" spans="1:7" x14ac:dyDescent="0.2">
      <c r="A162" s="4" t="s">
        <v>47</v>
      </c>
      <c r="B162" s="4">
        <v>0</v>
      </c>
      <c r="C162" s="4">
        <v>0.1258</v>
      </c>
      <c r="D162" s="4" t="str">
        <f>_xlfn.CONCAT(E162," (",F162," &amp; ",G162,")")</f>
        <v>Paracoccus (Thiosulfate &amp; IR)</v>
      </c>
      <c r="E162" s="4" t="s">
        <v>3</v>
      </c>
      <c r="F162" s="4" t="s">
        <v>38</v>
      </c>
      <c r="G162" s="4" t="s">
        <v>9</v>
      </c>
    </row>
    <row r="163" spans="1:7" x14ac:dyDescent="0.2">
      <c r="A163" s="4" t="s">
        <v>48</v>
      </c>
      <c r="B163" s="4">
        <v>0</v>
      </c>
      <c r="C163" s="4">
        <v>0.128</v>
      </c>
      <c r="D163" s="4" t="str">
        <f>_xlfn.CONCAT(E163," (",F163," &amp; ",G163,")")</f>
        <v>Paracoccus (Thiosulfate &amp; IR)</v>
      </c>
      <c r="E163" s="4" t="s">
        <v>3</v>
      </c>
      <c r="F163" s="4" t="s">
        <v>38</v>
      </c>
      <c r="G163" s="4" t="s">
        <v>9</v>
      </c>
    </row>
    <row r="164" spans="1:7" x14ac:dyDescent="0.2">
      <c r="A164" s="4" t="s">
        <v>59</v>
      </c>
      <c r="B164" s="4">
        <v>48</v>
      </c>
      <c r="C164">
        <v>0.1119</v>
      </c>
      <c r="D164" s="4" t="str">
        <f>_xlfn.CONCAT(E164," (",F164," &amp; ",G164,")")</f>
        <v>Paracoccus (Control &amp; Dark)</v>
      </c>
      <c r="E164" s="4" t="s">
        <v>3</v>
      </c>
      <c r="F164" s="4" t="s">
        <v>35</v>
      </c>
      <c r="G164" s="4" t="s">
        <v>4</v>
      </c>
    </row>
    <row r="165" spans="1:7" x14ac:dyDescent="0.2">
      <c r="A165" s="4" t="s">
        <v>41</v>
      </c>
      <c r="B165" s="4">
        <v>48</v>
      </c>
      <c r="C165">
        <v>0.11070000000000001</v>
      </c>
      <c r="D165" s="4" t="str">
        <f>_xlfn.CONCAT(E165," (",F165," &amp; ",G165,")")</f>
        <v>Paracoccus (Control &amp; Dark)</v>
      </c>
      <c r="E165" s="4" t="s">
        <v>3</v>
      </c>
      <c r="F165" s="4" t="s">
        <v>35</v>
      </c>
      <c r="G165" s="4" t="s">
        <v>4</v>
      </c>
    </row>
    <row r="166" spans="1:7" x14ac:dyDescent="0.2">
      <c r="A166" s="4" t="s">
        <v>42</v>
      </c>
      <c r="B166" s="4">
        <v>48</v>
      </c>
      <c r="C166">
        <v>0.10920000000000001</v>
      </c>
      <c r="D166" s="4" t="str">
        <f>_xlfn.CONCAT(E166," (",F166," &amp; ",G166,")")</f>
        <v>Paracoccus (Control &amp; Dark)</v>
      </c>
      <c r="E166" s="4" t="s">
        <v>3</v>
      </c>
      <c r="F166" s="4" t="s">
        <v>35</v>
      </c>
      <c r="G166" s="4" t="s">
        <v>4</v>
      </c>
    </row>
    <row r="167" spans="1:7" x14ac:dyDescent="0.2">
      <c r="A167" s="4" t="s">
        <v>46</v>
      </c>
      <c r="B167" s="4">
        <v>48</v>
      </c>
      <c r="C167">
        <v>0.16539999999999999</v>
      </c>
      <c r="D167" s="4" t="str">
        <f>_xlfn.CONCAT(E167," (",F167," &amp; ",G167,")")</f>
        <v>Paracoccus (Acetate &amp; Dark)</v>
      </c>
      <c r="E167" s="4" t="s">
        <v>3</v>
      </c>
      <c r="F167" s="4" t="s">
        <v>37</v>
      </c>
      <c r="G167" s="4" t="s">
        <v>4</v>
      </c>
    </row>
    <row r="168" spans="1:7" x14ac:dyDescent="0.2">
      <c r="A168" s="4" t="s">
        <v>47</v>
      </c>
      <c r="B168" s="4">
        <v>48</v>
      </c>
      <c r="C168">
        <v>0.1137</v>
      </c>
      <c r="D168" s="4" t="str">
        <f>_xlfn.CONCAT(E168," (",F168," &amp; ",G168,")")</f>
        <v>Paracoccus (Acetate &amp; Dark)</v>
      </c>
      <c r="E168" s="4" t="s">
        <v>3</v>
      </c>
      <c r="F168" s="4" t="s">
        <v>37</v>
      </c>
      <c r="G168" s="4" t="s">
        <v>4</v>
      </c>
    </row>
    <row r="169" spans="1:7" x14ac:dyDescent="0.2">
      <c r="A169" s="4" t="s">
        <v>48</v>
      </c>
      <c r="B169" s="4">
        <v>48</v>
      </c>
      <c r="C169">
        <v>0.1186</v>
      </c>
      <c r="D169" s="4" t="str">
        <f>_xlfn.CONCAT(E169," (",F169," &amp; ",G169,")")</f>
        <v>Paracoccus (Acetate &amp; Dark)</v>
      </c>
      <c r="E169" s="4" t="s">
        <v>3</v>
      </c>
      <c r="F169" s="4" t="s">
        <v>37</v>
      </c>
      <c r="G169" s="4" t="s">
        <v>4</v>
      </c>
    </row>
    <row r="170" spans="1:7" x14ac:dyDescent="0.2">
      <c r="A170" s="4" t="s">
        <v>40</v>
      </c>
      <c r="B170" s="4">
        <v>48</v>
      </c>
      <c r="C170">
        <v>0.182</v>
      </c>
      <c r="D170" s="4" t="str">
        <f>_xlfn.CONCAT(E170," (",F170," &amp; ",G170,")")</f>
        <v>Paracoccus (Thiosulfate &amp; Dark)</v>
      </c>
      <c r="E170" s="4" t="s">
        <v>3</v>
      </c>
      <c r="F170" s="4" t="s">
        <v>38</v>
      </c>
      <c r="G170" s="4" t="s">
        <v>4</v>
      </c>
    </row>
    <row r="171" spans="1:7" x14ac:dyDescent="0.2">
      <c r="A171" s="4" t="s">
        <v>41</v>
      </c>
      <c r="B171" s="4">
        <v>48</v>
      </c>
      <c r="C171">
        <v>0.1132</v>
      </c>
      <c r="D171" s="4" t="str">
        <f>_xlfn.CONCAT(E171," (",F171," &amp; ",G171,")")</f>
        <v>Paracoccus (Thiosulfate &amp; Dark)</v>
      </c>
      <c r="E171" s="4" t="s">
        <v>3</v>
      </c>
      <c r="F171" s="4" t="s">
        <v>38</v>
      </c>
      <c r="G171" s="4" t="s">
        <v>4</v>
      </c>
    </row>
    <row r="172" spans="1:7" x14ac:dyDescent="0.2">
      <c r="A172" s="4" t="s">
        <v>42</v>
      </c>
      <c r="B172" s="4">
        <v>48</v>
      </c>
      <c r="C172">
        <v>0.1089</v>
      </c>
      <c r="D172" s="4" t="str">
        <f>_xlfn.CONCAT(E172," (",F172," &amp; ",G172,")")</f>
        <v>Paracoccus (Thiosulfate &amp; Dark)</v>
      </c>
      <c r="E172" s="4" t="s">
        <v>3</v>
      </c>
      <c r="F172" s="4" t="s">
        <v>38</v>
      </c>
      <c r="G172" s="4" t="s">
        <v>4</v>
      </c>
    </row>
    <row r="173" spans="1:7" x14ac:dyDescent="0.2">
      <c r="A173" s="4" t="s">
        <v>46</v>
      </c>
      <c r="B173" s="4">
        <v>48</v>
      </c>
      <c r="C173">
        <v>0.1157</v>
      </c>
      <c r="D173" s="4" t="str">
        <f>_xlfn.CONCAT(E173," (",F173," &amp; ",G173,")")</f>
        <v>Paracoccus (Control &amp; IR)</v>
      </c>
      <c r="E173" s="4" t="s">
        <v>3</v>
      </c>
      <c r="F173" s="4" t="s">
        <v>35</v>
      </c>
      <c r="G173" s="4" t="s">
        <v>9</v>
      </c>
    </row>
    <row r="174" spans="1:7" x14ac:dyDescent="0.2">
      <c r="A174" s="4" t="s">
        <v>47</v>
      </c>
      <c r="B174" s="4">
        <v>48</v>
      </c>
      <c r="C174">
        <v>0.11749999999999999</v>
      </c>
      <c r="D174" s="4" t="str">
        <f>_xlfn.CONCAT(E174," (",F174," &amp; ",G174,")")</f>
        <v>Paracoccus (Control &amp; IR)</v>
      </c>
      <c r="E174" s="4" t="s">
        <v>3</v>
      </c>
      <c r="F174" s="4" t="s">
        <v>35</v>
      </c>
      <c r="G174" s="4" t="s">
        <v>9</v>
      </c>
    </row>
    <row r="175" spans="1:7" x14ac:dyDescent="0.2">
      <c r="A175" s="4" t="s">
        <v>48</v>
      </c>
      <c r="B175" s="4">
        <v>48</v>
      </c>
      <c r="C175">
        <v>0.1197</v>
      </c>
      <c r="D175" s="4" t="str">
        <f>_xlfn.CONCAT(E175," (",F175," &amp; ",G175,")")</f>
        <v>Paracoccus (Control &amp; IR)</v>
      </c>
      <c r="E175" s="4" t="s">
        <v>3</v>
      </c>
      <c r="F175" s="4" t="s">
        <v>35</v>
      </c>
      <c r="G175" s="4" t="s">
        <v>9</v>
      </c>
    </row>
    <row r="176" spans="1:7" x14ac:dyDescent="0.2">
      <c r="A176" s="4" t="s">
        <v>46</v>
      </c>
      <c r="B176" s="4">
        <v>48</v>
      </c>
      <c r="C176">
        <v>0.11269999999999999</v>
      </c>
      <c r="D176" s="4" t="str">
        <f>_xlfn.CONCAT(E176," (",F176," &amp; ",G176,")")</f>
        <v>Paracoccus (Acetate &amp; IR)</v>
      </c>
      <c r="E176" s="4" t="s">
        <v>3</v>
      </c>
      <c r="F176" s="4" t="s">
        <v>37</v>
      </c>
      <c r="G176" s="4" t="s">
        <v>9</v>
      </c>
    </row>
    <row r="177" spans="1:7" x14ac:dyDescent="0.2">
      <c r="A177" s="4" t="s">
        <v>47</v>
      </c>
      <c r="B177" s="4">
        <v>48</v>
      </c>
      <c r="C177">
        <v>0.1137</v>
      </c>
      <c r="D177" s="4" t="str">
        <f>_xlfn.CONCAT(E177," (",F177," &amp; ",G177,")")</f>
        <v>Paracoccus (Acetate &amp; IR)</v>
      </c>
      <c r="E177" s="4" t="s">
        <v>3</v>
      </c>
      <c r="F177" s="4" t="s">
        <v>37</v>
      </c>
      <c r="G177" s="4" t="s">
        <v>9</v>
      </c>
    </row>
    <row r="178" spans="1:7" x14ac:dyDescent="0.2">
      <c r="A178" s="4" t="s">
        <v>48</v>
      </c>
      <c r="B178" s="4">
        <v>48</v>
      </c>
      <c r="C178">
        <v>0.10929999999999999</v>
      </c>
      <c r="D178" s="4" t="str">
        <f>_xlfn.CONCAT(E178," (",F178," &amp; ",G178,")")</f>
        <v>Paracoccus (Acetate &amp; IR)</v>
      </c>
      <c r="E178" s="4" t="s">
        <v>3</v>
      </c>
      <c r="F178" s="4" t="s">
        <v>37</v>
      </c>
      <c r="G178" s="4" t="s">
        <v>9</v>
      </c>
    </row>
    <row r="179" spans="1:7" x14ac:dyDescent="0.2">
      <c r="A179" s="4" t="s">
        <v>46</v>
      </c>
      <c r="B179" s="4">
        <v>48</v>
      </c>
      <c r="C179">
        <v>0.10539999999999999</v>
      </c>
      <c r="D179" s="4" t="str">
        <f>_xlfn.CONCAT(E179," (",F179," &amp; ",G179,")")</f>
        <v>Paracoccus (Thiosulfate &amp; IR)</v>
      </c>
      <c r="E179" s="4" t="s">
        <v>3</v>
      </c>
      <c r="F179" s="4" t="s">
        <v>38</v>
      </c>
      <c r="G179" s="4" t="s">
        <v>9</v>
      </c>
    </row>
    <row r="180" spans="1:7" x14ac:dyDescent="0.2">
      <c r="A180" s="4" t="s">
        <v>47</v>
      </c>
      <c r="B180" s="4">
        <v>48</v>
      </c>
      <c r="C180">
        <v>0.1135</v>
      </c>
      <c r="D180" s="4" t="str">
        <f>_xlfn.CONCAT(E180," (",F180," &amp; ",G180,")")</f>
        <v>Paracoccus (Thiosulfate &amp; IR)</v>
      </c>
      <c r="E180" s="4" t="s">
        <v>3</v>
      </c>
      <c r="F180" s="4" t="s">
        <v>38</v>
      </c>
      <c r="G180" s="4" t="s">
        <v>9</v>
      </c>
    </row>
    <row r="181" spans="1:7" x14ac:dyDescent="0.2">
      <c r="A181" s="4" t="s">
        <v>48</v>
      </c>
      <c r="B181" s="4">
        <v>48</v>
      </c>
      <c r="C181">
        <v>0.11210000000000001</v>
      </c>
      <c r="D181" s="4" t="str">
        <f>_xlfn.CONCAT(E181," (",F181," &amp; ",G181,")")</f>
        <v>Paracoccus (Thiosulfate &amp; IR)</v>
      </c>
      <c r="E181" s="4" t="s">
        <v>3</v>
      </c>
      <c r="F181" s="4" t="s">
        <v>38</v>
      </c>
      <c r="G181" s="4" t="s">
        <v>9</v>
      </c>
    </row>
    <row r="182" spans="1:7" x14ac:dyDescent="0.2">
      <c r="A182" s="4" t="s">
        <v>60</v>
      </c>
      <c r="B182" s="4">
        <v>144</v>
      </c>
      <c r="C182" s="4">
        <v>0.1019</v>
      </c>
      <c r="D182" s="4" t="str">
        <f>_xlfn.CONCAT(E182," (",F182," &amp; ",G182,")")</f>
        <v>Paracoccus (Control &amp; Dark)</v>
      </c>
      <c r="E182" s="4" t="s">
        <v>3</v>
      </c>
      <c r="F182" s="4" t="s">
        <v>35</v>
      </c>
      <c r="G182" s="4" t="s">
        <v>4</v>
      </c>
    </row>
    <row r="183" spans="1:7" x14ac:dyDescent="0.2">
      <c r="A183" s="4" t="s">
        <v>41</v>
      </c>
      <c r="B183" s="4">
        <v>144</v>
      </c>
      <c r="C183" s="4">
        <v>0.1017</v>
      </c>
      <c r="D183" s="4" t="str">
        <f>_xlfn.CONCAT(E183," (",F183," &amp; ",G183,")")</f>
        <v>Paracoccus (Control &amp; Dark)</v>
      </c>
      <c r="E183" s="4" t="s">
        <v>3</v>
      </c>
      <c r="F183" s="4" t="s">
        <v>35</v>
      </c>
      <c r="G183" s="4" t="s">
        <v>4</v>
      </c>
    </row>
    <row r="184" spans="1:7" x14ac:dyDescent="0.2">
      <c r="A184" s="4" t="s">
        <v>42</v>
      </c>
      <c r="B184" s="4">
        <v>144</v>
      </c>
      <c r="C184" s="4">
        <v>9.4E-2</v>
      </c>
      <c r="D184" s="4" t="str">
        <f>_xlfn.CONCAT(E184," (",F184," &amp; ",G184,")")</f>
        <v>Paracoccus (Control &amp; Dark)</v>
      </c>
      <c r="E184" s="4" t="s">
        <v>3</v>
      </c>
      <c r="F184" s="4" t="s">
        <v>35</v>
      </c>
      <c r="G184" s="4" t="s">
        <v>4</v>
      </c>
    </row>
    <row r="185" spans="1:7" x14ac:dyDescent="0.2">
      <c r="A185" s="4" t="s">
        <v>46</v>
      </c>
      <c r="B185" s="4">
        <v>144</v>
      </c>
      <c r="C185" s="4">
        <v>0.1525</v>
      </c>
      <c r="D185" s="4" t="str">
        <f>_xlfn.CONCAT(E185," (",F185," &amp; ",G185,")")</f>
        <v>Paracoccus (Acetate &amp; Dark)</v>
      </c>
      <c r="E185" s="4" t="s">
        <v>3</v>
      </c>
      <c r="F185" s="4" t="s">
        <v>37</v>
      </c>
      <c r="G185" s="4" t="s">
        <v>4</v>
      </c>
    </row>
    <row r="186" spans="1:7" x14ac:dyDescent="0.2">
      <c r="A186" s="4" t="s">
        <v>47</v>
      </c>
      <c r="B186" s="4">
        <v>144</v>
      </c>
      <c r="C186" s="4">
        <v>0.16320000000000001</v>
      </c>
      <c r="D186" s="4" t="str">
        <f>_xlfn.CONCAT(E186," (",F186," &amp; ",G186,")")</f>
        <v>Paracoccus (Acetate &amp; Dark)</v>
      </c>
      <c r="E186" s="4" t="s">
        <v>3</v>
      </c>
      <c r="F186" s="4" t="s">
        <v>37</v>
      </c>
      <c r="G186" s="4" t="s">
        <v>4</v>
      </c>
    </row>
    <row r="187" spans="1:7" x14ac:dyDescent="0.2">
      <c r="A187" s="4" t="s">
        <v>48</v>
      </c>
      <c r="B187" s="4">
        <v>144</v>
      </c>
      <c r="C187" s="4">
        <v>0.16339999999999999</v>
      </c>
      <c r="D187" s="4" t="str">
        <f>_xlfn.CONCAT(E187," (",F187," &amp; ",G187,")")</f>
        <v>Paracoccus (Acetate &amp; Dark)</v>
      </c>
      <c r="E187" s="4" t="s">
        <v>3</v>
      </c>
      <c r="F187" s="4" t="s">
        <v>37</v>
      </c>
      <c r="G187" s="4" t="s">
        <v>4</v>
      </c>
    </row>
    <row r="188" spans="1:7" x14ac:dyDescent="0.2">
      <c r="A188" s="4" t="s">
        <v>40</v>
      </c>
      <c r="B188" s="4">
        <v>144</v>
      </c>
      <c r="C188" s="4">
        <v>0.1046</v>
      </c>
      <c r="D188" s="4" t="str">
        <f>_xlfn.CONCAT(E188," (",F188," &amp; ",G188,")")</f>
        <v>Paracoccus (Thiosulfate &amp; Dark)</v>
      </c>
      <c r="E188" s="4" t="s">
        <v>3</v>
      </c>
      <c r="F188" s="4" t="s">
        <v>38</v>
      </c>
      <c r="G188" s="4" t="s">
        <v>4</v>
      </c>
    </row>
    <row r="189" spans="1:7" x14ac:dyDescent="0.2">
      <c r="A189" s="4" t="s">
        <v>41</v>
      </c>
      <c r="B189" s="4">
        <v>144</v>
      </c>
      <c r="C189" s="4">
        <v>9.7199999999999995E-2</v>
      </c>
      <c r="D189" s="4" t="str">
        <f>_xlfn.CONCAT(E189," (",F189," &amp; ",G189,")")</f>
        <v>Paracoccus (Thiosulfate &amp; Dark)</v>
      </c>
      <c r="E189" s="4" t="s">
        <v>3</v>
      </c>
      <c r="F189" s="4" t="s">
        <v>38</v>
      </c>
      <c r="G189" s="4" t="s">
        <v>4</v>
      </c>
    </row>
    <row r="190" spans="1:7" x14ac:dyDescent="0.2">
      <c r="A190" s="4" t="s">
        <v>42</v>
      </c>
      <c r="B190" s="4">
        <v>144</v>
      </c>
      <c r="C190" s="4">
        <v>9.6100000000000005E-2</v>
      </c>
      <c r="D190" s="4" t="str">
        <f>_xlfn.CONCAT(E190," (",F190," &amp; ",G190,")")</f>
        <v>Paracoccus (Thiosulfate &amp; Dark)</v>
      </c>
      <c r="E190" s="4" t="s">
        <v>3</v>
      </c>
      <c r="F190" s="4" t="s">
        <v>38</v>
      </c>
      <c r="G190" s="4" t="s">
        <v>4</v>
      </c>
    </row>
    <row r="191" spans="1:7" x14ac:dyDescent="0.2">
      <c r="A191" s="4" t="s">
        <v>46</v>
      </c>
      <c r="B191" s="4">
        <v>144</v>
      </c>
      <c r="C191" s="4">
        <v>0.1123</v>
      </c>
      <c r="D191" s="4" t="str">
        <f>_xlfn.CONCAT(E191," (",F191," &amp; ",G191,")")</f>
        <v>Paracoccus (Control &amp; IR)</v>
      </c>
      <c r="E191" s="4" t="s">
        <v>3</v>
      </c>
      <c r="F191" s="4" t="s">
        <v>35</v>
      </c>
      <c r="G191" s="4" t="s">
        <v>9</v>
      </c>
    </row>
    <row r="192" spans="1:7" x14ac:dyDescent="0.2">
      <c r="A192" s="4" t="s">
        <v>47</v>
      </c>
      <c r="B192" s="4">
        <v>144</v>
      </c>
      <c r="C192" s="4">
        <v>9.6000000000000002E-2</v>
      </c>
      <c r="D192" s="4" t="str">
        <f>_xlfn.CONCAT(E192," (",F192," &amp; ",G192,")")</f>
        <v>Paracoccus (Control &amp; IR)</v>
      </c>
      <c r="E192" s="4" t="s">
        <v>3</v>
      </c>
      <c r="F192" s="4" t="s">
        <v>35</v>
      </c>
      <c r="G192" s="4" t="s">
        <v>9</v>
      </c>
    </row>
    <row r="193" spans="1:7" x14ac:dyDescent="0.2">
      <c r="A193" s="4" t="s">
        <v>48</v>
      </c>
      <c r="B193" s="4">
        <v>144</v>
      </c>
      <c r="C193" s="4">
        <v>9.3600000000000003E-2</v>
      </c>
      <c r="D193" s="4" t="str">
        <f>_xlfn.CONCAT(E193," (",F193," &amp; ",G193,")")</f>
        <v>Paracoccus (Control &amp; IR)</v>
      </c>
      <c r="E193" s="4" t="s">
        <v>3</v>
      </c>
      <c r="F193" s="4" t="s">
        <v>35</v>
      </c>
      <c r="G193" s="4" t="s">
        <v>9</v>
      </c>
    </row>
    <row r="194" spans="1:7" x14ac:dyDescent="0.2">
      <c r="A194" s="4" t="s">
        <v>46</v>
      </c>
      <c r="B194" s="4">
        <v>144</v>
      </c>
      <c r="C194" s="4">
        <v>0.16350000000000001</v>
      </c>
      <c r="D194" s="4" t="str">
        <f>_xlfn.CONCAT(E194," (",F194," &amp; ",G194,")")</f>
        <v>Paracoccus (Acetate &amp; IR)</v>
      </c>
      <c r="E194" s="4" t="s">
        <v>3</v>
      </c>
      <c r="F194" s="4" t="s">
        <v>37</v>
      </c>
      <c r="G194" s="4" t="s">
        <v>9</v>
      </c>
    </row>
    <row r="195" spans="1:7" x14ac:dyDescent="0.2">
      <c r="A195" s="4" t="s">
        <v>47</v>
      </c>
      <c r="B195" s="4">
        <v>144</v>
      </c>
      <c r="C195" s="4">
        <v>0.1598</v>
      </c>
      <c r="D195" s="4" t="str">
        <f>_xlfn.CONCAT(E195," (",F195," &amp; ",G195,")")</f>
        <v>Paracoccus (Acetate &amp; IR)</v>
      </c>
      <c r="E195" s="4" t="s">
        <v>3</v>
      </c>
      <c r="F195" s="4" t="s">
        <v>37</v>
      </c>
      <c r="G195" s="4" t="s">
        <v>9</v>
      </c>
    </row>
    <row r="196" spans="1:7" x14ac:dyDescent="0.2">
      <c r="A196" s="4" t="s">
        <v>48</v>
      </c>
      <c r="B196" s="4">
        <v>144</v>
      </c>
      <c r="C196" s="4">
        <v>0.14580000000000001</v>
      </c>
      <c r="D196" s="4" t="str">
        <f>_xlfn.CONCAT(E196," (",F196," &amp; ",G196,")")</f>
        <v>Paracoccus (Acetate &amp; IR)</v>
      </c>
      <c r="E196" s="4" t="s">
        <v>3</v>
      </c>
      <c r="F196" s="4" t="s">
        <v>37</v>
      </c>
      <c r="G196" s="4" t="s">
        <v>9</v>
      </c>
    </row>
    <row r="197" spans="1:7" x14ac:dyDescent="0.2">
      <c r="A197" s="4" t="s">
        <v>46</v>
      </c>
      <c r="B197" s="4">
        <v>144</v>
      </c>
      <c r="C197" s="4">
        <v>0.1244</v>
      </c>
      <c r="D197" s="4" t="str">
        <f>_xlfn.CONCAT(E197," (",F197," &amp; ",G197,")")</f>
        <v>Paracoccus (Thiosulfate &amp; IR)</v>
      </c>
      <c r="E197" s="4" t="s">
        <v>3</v>
      </c>
      <c r="F197" s="4" t="s">
        <v>38</v>
      </c>
      <c r="G197" s="4" t="s">
        <v>9</v>
      </c>
    </row>
    <row r="198" spans="1:7" x14ac:dyDescent="0.2">
      <c r="A198" s="4" t="s">
        <v>47</v>
      </c>
      <c r="B198" s="4">
        <v>144</v>
      </c>
      <c r="C198" s="4">
        <v>0.1123</v>
      </c>
      <c r="D198" s="4" t="str">
        <f>_xlfn.CONCAT(E198," (",F198," &amp; ",G198,")")</f>
        <v>Paracoccus (Thiosulfate &amp; IR)</v>
      </c>
      <c r="E198" s="4" t="s">
        <v>3</v>
      </c>
      <c r="F198" s="4" t="s">
        <v>38</v>
      </c>
      <c r="G198" s="4" t="s">
        <v>9</v>
      </c>
    </row>
    <row r="199" spans="1:7" x14ac:dyDescent="0.2">
      <c r="A199" s="4" t="s">
        <v>48</v>
      </c>
      <c r="B199" s="4">
        <v>144</v>
      </c>
      <c r="C199" s="4">
        <v>0.15390000000000001</v>
      </c>
      <c r="D199" s="4" t="str">
        <f>_xlfn.CONCAT(E199," (",F199," &amp; ",G199,")")</f>
        <v>Paracoccus (Thiosulfate &amp; IR)</v>
      </c>
      <c r="E199" s="4" t="s">
        <v>3</v>
      </c>
      <c r="F199" s="4" t="s">
        <v>38</v>
      </c>
      <c r="G199" s="4" t="s">
        <v>9</v>
      </c>
    </row>
    <row r="200" spans="1:7" x14ac:dyDescent="0.2">
      <c r="A200" s="4" t="s">
        <v>61</v>
      </c>
      <c r="B200" s="4">
        <v>192</v>
      </c>
      <c r="C200" s="4">
        <v>0.18779999999999999</v>
      </c>
      <c r="D200" s="4" t="str">
        <f>_xlfn.CONCAT(E200," (",F200," &amp; ",G200,")")</f>
        <v>Paracoccus (Control &amp; Dark)</v>
      </c>
      <c r="E200" s="4" t="s">
        <v>3</v>
      </c>
      <c r="F200" s="4" t="s">
        <v>35</v>
      </c>
      <c r="G200" s="4" t="s">
        <v>4</v>
      </c>
    </row>
    <row r="201" spans="1:7" x14ac:dyDescent="0.2">
      <c r="A201" s="4" t="s">
        <v>41</v>
      </c>
      <c r="B201" s="4">
        <v>192</v>
      </c>
      <c r="C201" s="4">
        <v>0.1067</v>
      </c>
      <c r="D201" s="4" t="str">
        <f>_xlfn.CONCAT(E201," (",F201," &amp; ",G201,")")</f>
        <v>Paracoccus (Control &amp; Dark)</v>
      </c>
      <c r="E201" s="4" t="s">
        <v>3</v>
      </c>
      <c r="F201" s="4" t="s">
        <v>35</v>
      </c>
      <c r="G201" s="4" t="s">
        <v>4</v>
      </c>
    </row>
    <row r="202" spans="1:7" x14ac:dyDescent="0.2">
      <c r="A202" s="4" t="s">
        <v>42</v>
      </c>
      <c r="B202" s="4">
        <v>192</v>
      </c>
      <c r="C202" s="4">
        <v>0.1099</v>
      </c>
      <c r="D202" s="4" t="str">
        <f>_xlfn.CONCAT(E202," (",F202," &amp; ",G202,")")</f>
        <v>Paracoccus (Control &amp; Dark)</v>
      </c>
      <c r="E202" s="4" t="s">
        <v>3</v>
      </c>
      <c r="F202" s="4" t="s">
        <v>35</v>
      </c>
      <c r="G202" s="4" t="s">
        <v>4</v>
      </c>
    </row>
    <row r="203" spans="1:7" x14ac:dyDescent="0.2">
      <c r="A203" s="4" t="s">
        <v>46</v>
      </c>
      <c r="B203" s="4">
        <v>192</v>
      </c>
      <c r="C203" s="4">
        <v>0.25590000000000002</v>
      </c>
      <c r="D203" s="4" t="str">
        <f>_xlfn.CONCAT(E203," (",F203," &amp; ",G203,")")</f>
        <v>Paracoccus (Acetate &amp; Dark)</v>
      </c>
      <c r="E203" s="4" t="s">
        <v>3</v>
      </c>
      <c r="F203" s="4" t="s">
        <v>37</v>
      </c>
      <c r="G203" s="4" t="s">
        <v>4</v>
      </c>
    </row>
    <row r="204" spans="1:7" x14ac:dyDescent="0.2">
      <c r="A204" s="4" t="s">
        <v>47</v>
      </c>
      <c r="B204" s="4">
        <v>192</v>
      </c>
      <c r="C204" s="4">
        <v>0.1951</v>
      </c>
      <c r="D204" s="4" t="str">
        <f>_xlfn.CONCAT(E204," (",F204," &amp; ",G204,")")</f>
        <v>Paracoccus (Acetate &amp; Dark)</v>
      </c>
      <c r="E204" s="4" t="s">
        <v>3</v>
      </c>
      <c r="F204" s="4" t="s">
        <v>37</v>
      </c>
      <c r="G204" s="4" t="s">
        <v>4</v>
      </c>
    </row>
    <row r="205" spans="1:7" x14ac:dyDescent="0.2">
      <c r="A205" s="4" t="s">
        <v>48</v>
      </c>
      <c r="B205" s="4">
        <v>192</v>
      </c>
      <c r="C205" s="4">
        <v>0.1792</v>
      </c>
      <c r="D205" s="4" t="str">
        <f>_xlfn.CONCAT(E205," (",F205," &amp; ",G205,")")</f>
        <v>Paracoccus (Acetate &amp; Dark)</v>
      </c>
      <c r="E205" s="4" t="s">
        <v>3</v>
      </c>
      <c r="F205" s="4" t="s">
        <v>37</v>
      </c>
      <c r="G205" s="4" t="s">
        <v>4</v>
      </c>
    </row>
    <row r="206" spans="1:7" x14ac:dyDescent="0.2">
      <c r="A206" s="4" t="s">
        <v>40</v>
      </c>
      <c r="B206" s="4">
        <v>192</v>
      </c>
      <c r="C206" s="4">
        <v>0.11</v>
      </c>
      <c r="D206" s="4" t="str">
        <f>_xlfn.CONCAT(E206," (",F206," &amp; ",G206,")")</f>
        <v>Paracoccus (Thiosulfate &amp; Dark)</v>
      </c>
      <c r="E206" s="4" t="s">
        <v>3</v>
      </c>
      <c r="F206" s="4" t="s">
        <v>38</v>
      </c>
      <c r="G206" s="4" t="s">
        <v>4</v>
      </c>
    </row>
    <row r="207" spans="1:7" x14ac:dyDescent="0.2">
      <c r="A207" s="4" t="s">
        <v>41</v>
      </c>
      <c r="B207" s="4">
        <v>192</v>
      </c>
      <c r="C207" s="4">
        <v>0.1109</v>
      </c>
      <c r="D207" s="4" t="str">
        <f>_xlfn.CONCAT(E207," (",F207," &amp; ",G207,")")</f>
        <v>Paracoccus (Thiosulfate &amp; Dark)</v>
      </c>
      <c r="E207" s="4" t="s">
        <v>3</v>
      </c>
      <c r="F207" s="4" t="s">
        <v>38</v>
      </c>
      <c r="G207" s="4" t="s">
        <v>4</v>
      </c>
    </row>
    <row r="208" spans="1:7" x14ac:dyDescent="0.2">
      <c r="A208" s="4" t="s">
        <v>42</v>
      </c>
      <c r="B208" s="4">
        <v>192</v>
      </c>
      <c r="C208" s="4">
        <v>0.1095</v>
      </c>
      <c r="D208" s="4" t="str">
        <f>_xlfn.CONCAT(E208," (",F208," &amp; ",G208,")")</f>
        <v>Paracoccus (Thiosulfate &amp; Dark)</v>
      </c>
      <c r="E208" s="4" t="s">
        <v>3</v>
      </c>
      <c r="F208" s="4" t="s">
        <v>38</v>
      </c>
      <c r="G208" s="4" t="s">
        <v>4</v>
      </c>
    </row>
    <row r="209" spans="1:7" x14ac:dyDescent="0.2">
      <c r="A209" s="4" t="s">
        <v>46</v>
      </c>
      <c r="B209" s="4">
        <v>192</v>
      </c>
      <c r="C209" s="4">
        <v>0.1186</v>
      </c>
      <c r="D209" s="4" t="str">
        <f>_xlfn.CONCAT(E209," (",F209," &amp; ",G209,")")</f>
        <v>Paracoccus (Control &amp; IR)</v>
      </c>
      <c r="E209" s="4" t="s">
        <v>3</v>
      </c>
      <c r="F209" s="4" t="s">
        <v>35</v>
      </c>
      <c r="G209" s="4" t="s">
        <v>9</v>
      </c>
    </row>
    <row r="210" spans="1:7" x14ac:dyDescent="0.2">
      <c r="A210" s="4" t="s">
        <v>47</v>
      </c>
      <c r="B210" s="4">
        <v>192</v>
      </c>
      <c r="C210" s="4">
        <v>0.1158</v>
      </c>
      <c r="D210" s="4" t="str">
        <f>_xlfn.CONCAT(E210," (",F210," &amp; ",G210,")")</f>
        <v>Paracoccus (Control &amp; IR)</v>
      </c>
      <c r="E210" s="4" t="s">
        <v>3</v>
      </c>
      <c r="F210" s="4" t="s">
        <v>35</v>
      </c>
      <c r="G210" s="4" t="s">
        <v>9</v>
      </c>
    </row>
    <row r="211" spans="1:7" x14ac:dyDescent="0.2">
      <c r="A211" s="4" t="s">
        <v>48</v>
      </c>
      <c r="B211" s="4">
        <v>192</v>
      </c>
      <c r="C211" s="4">
        <v>0.1211</v>
      </c>
      <c r="D211" s="4" t="str">
        <f>_xlfn.CONCAT(E211," (",F211," &amp; ",G211,")")</f>
        <v>Paracoccus (Control &amp; IR)</v>
      </c>
      <c r="E211" s="4" t="s">
        <v>3</v>
      </c>
      <c r="F211" s="4" t="s">
        <v>35</v>
      </c>
      <c r="G211" s="4" t="s">
        <v>9</v>
      </c>
    </row>
    <row r="212" spans="1:7" x14ac:dyDescent="0.2">
      <c r="A212" s="4" t="s">
        <v>46</v>
      </c>
      <c r="B212" s="4">
        <v>192</v>
      </c>
      <c r="C212" s="4">
        <v>0.191</v>
      </c>
      <c r="D212" s="4" t="str">
        <f>_xlfn.CONCAT(E212," (",F212," &amp; ",G212,")")</f>
        <v>Paracoccus (Acetate &amp; IR)</v>
      </c>
      <c r="E212" s="4" t="s">
        <v>3</v>
      </c>
      <c r="F212" s="4" t="s">
        <v>37</v>
      </c>
      <c r="G212" s="4" t="s">
        <v>9</v>
      </c>
    </row>
    <row r="213" spans="1:7" x14ac:dyDescent="0.2">
      <c r="A213" s="4" t="s">
        <v>47</v>
      </c>
      <c r="B213" s="4">
        <v>192</v>
      </c>
      <c r="C213" s="4">
        <v>0.19220000000000001</v>
      </c>
      <c r="D213" s="4" t="str">
        <f>_xlfn.CONCAT(E213," (",F213," &amp; ",G213,")")</f>
        <v>Paracoccus (Acetate &amp; IR)</v>
      </c>
      <c r="E213" s="4" t="s">
        <v>3</v>
      </c>
      <c r="F213" s="4" t="s">
        <v>37</v>
      </c>
      <c r="G213" s="4" t="s">
        <v>9</v>
      </c>
    </row>
    <row r="214" spans="1:7" x14ac:dyDescent="0.2">
      <c r="A214" s="4" t="s">
        <v>48</v>
      </c>
      <c r="B214" s="4">
        <v>192</v>
      </c>
      <c r="C214" s="4">
        <v>0.18099999999999999</v>
      </c>
      <c r="D214" s="4" t="str">
        <f>_xlfn.CONCAT(E214," (",F214," &amp; ",G214,")")</f>
        <v>Paracoccus (Acetate &amp; IR)</v>
      </c>
      <c r="E214" s="4" t="s">
        <v>3</v>
      </c>
      <c r="F214" s="4" t="s">
        <v>37</v>
      </c>
      <c r="G214" s="4" t="s">
        <v>9</v>
      </c>
    </row>
    <row r="215" spans="1:7" x14ac:dyDescent="0.2">
      <c r="A215" s="4" t="s">
        <v>46</v>
      </c>
      <c r="B215" s="4">
        <v>192</v>
      </c>
      <c r="C215" s="4">
        <v>0.1048</v>
      </c>
      <c r="D215" s="4" t="str">
        <f>_xlfn.CONCAT(E215," (",F215," &amp; ",G215,")")</f>
        <v>Paracoccus (Thiosulfate &amp; IR)</v>
      </c>
      <c r="E215" s="4" t="s">
        <v>3</v>
      </c>
      <c r="F215" s="4" t="s">
        <v>38</v>
      </c>
      <c r="G215" s="4" t="s">
        <v>9</v>
      </c>
    </row>
    <row r="216" spans="1:7" x14ac:dyDescent="0.2">
      <c r="A216" s="4" t="s">
        <v>47</v>
      </c>
      <c r="B216" s="4">
        <v>192</v>
      </c>
      <c r="C216" s="4">
        <v>0.1075</v>
      </c>
      <c r="D216" s="4" t="str">
        <f>_xlfn.CONCAT(E216," (",F216," &amp; ",G216,")")</f>
        <v>Paracoccus (Thiosulfate &amp; IR)</v>
      </c>
      <c r="E216" s="4" t="s">
        <v>3</v>
      </c>
      <c r="F216" s="4" t="s">
        <v>38</v>
      </c>
      <c r="G216" s="4" t="s">
        <v>9</v>
      </c>
    </row>
    <row r="217" spans="1:7" x14ac:dyDescent="0.2">
      <c r="A217" s="4" t="s">
        <v>48</v>
      </c>
      <c r="B217" s="4">
        <v>192</v>
      </c>
      <c r="C217" s="4">
        <v>0.10489999999999999</v>
      </c>
      <c r="D217" s="4" t="str">
        <f>_xlfn.CONCAT(E217," (",F217," &amp; ",G217,")")</f>
        <v>Paracoccus (Thiosulfate &amp; IR)</v>
      </c>
      <c r="E217" s="4" t="s">
        <v>3</v>
      </c>
      <c r="F217" s="4" t="s">
        <v>38</v>
      </c>
      <c r="G217" s="4" t="s">
        <v>9</v>
      </c>
    </row>
    <row r="218" spans="1:7" x14ac:dyDescent="0.2">
      <c r="A218" s="4" t="s">
        <v>6</v>
      </c>
      <c r="B218" s="4">
        <v>0</v>
      </c>
      <c r="C218">
        <v>0.13739999999999999</v>
      </c>
      <c r="D218" s="4" t="str">
        <f>_xlfn.CONCAT(E218," (",F218," &amp; ",G218,")")</f>
        <v>Synthetic Community (Control &amp; Dark)</v>
      </c>
      <c r="E218" s="4" t="s">
        <v>39</v>
      </c>
      <c r="F218" s="4" t="s">
        <v>35</v>
      </c>
      <c r="G218" s="4" t="s">
        <v>4</v>
      </c>
    </row>
    <row r="219" spans="1:7" x14ac:dyDescent="0.2">
      <c r="A219" s="4" t="s">
        <v>7</v>
      </c>
      <c r="B219" s="4">
        <v>0</v>
      </c>
      <c r="C219">
        <v>0.1384</v>
      </c>
      <c r="D219" s="4" t="str">
        <f>_xlfn.CONCAT(E219," (",F219," &amp; ",G219,")")</f>
        <v>Synthetic Community (Control &amp; Dark)</v>
      </c>
      <c r="E219" s="4" t="s">
        <v>39</v>
      </c>
      <c r="F219" s="4" t="s">
        <v>35</v>
      </c>
      <c r="G219" s="4" t="s">
        <v>4</v>
      </c>
    </row>
    <row r="220" spans="1:7" x14ac:dyDescent="0.2">
      <c r="A220" s="4" t="s">
        <v>8</v>
      </c>
      <c r="B220" s="4">
        <v>0</v>
      </c>
      <c r="C220">
        <v>0.13539999999999999</v>
      </c>
      <c r="D220" s="4" t="str">
        <f>_xlfn.CONCAT(E220," (",F220," &amp; ",G220,")")</f>
        <v>Synthetic Community (Control &amp; Dark)</v>
      </c>
      <c r="E220" s="4" t="s">
        <v>39</v>
      </c>
      <c r="F220" s="4" t="s">
        <v>35</v>
      </c>
      <c r="G220" s="4" t="s">
        <v>4</v>
      </c>
    </row>
    <row r="221" spans="1:7" x14ac:dyDescent="0.2">
      <c r="A221" s="4" t="s">
        <v>10</v>
      </c>
      <c r="B221" s="4">
        <v>0</v>
      </c>
      <c r="C221">
        <v>0.13900000000000001</v>
      </c>
      <c r="D221" s="4" t="str">
        <f>_xlfn.CONCAT(E221," (",F221," &amp; ",G221,")")</f>
        <v>Synthetic Community (Acetate &amp; Dark)</v>
      </c>
      <c r="E221" s="4" t="s">
        <v>39</v>
      </c>
      <c r="F221" s="4" t="s">
        <v>37</v>
      </c>
      <c r="G221" s="4" t="s">
        <v>4</v>
      </c>
    </row>
    <row r="222" spans="1:7" x14ac:dyDescent="0.2">
      <c r="A222" s="4" t="s">
        <v>11</v>
      </c>
      <c r="B222" s="4">
        <v>0</v>
      </c>
      <c r="C222">
        <v>0.13450000000000001</v>
      </c>
      <c r="D222" s="4" t="str">
        <f>_xlfn.CONCAT(E222," (",F222," &amp; ",G222,")")</f>
        <v>Synthetic Community (Acetate &amp; Dark)</v>
      </c>
      <c r="E222" s="4" t="s">
        <v>39</v>
      </c>
      <c r="F222" s="4" t="s">
        <v>37</v>
      </c>
      <c r="G222" s="4" t="s">
        <v>4</v>
      </c>
    </row>
    <row r="223" spans="1:7" x14ac:dyDescent="0.2">
      <c r="A223" s="4" t="s">
        <v>12</v>
      </c>
      <c r="B223" s="4">
        <v>0</v>
      </c>
      <c r="C223">
        <v>0.13370000000000001</v>
      </c>
      <c r="D223" s="4" t="str">
        <f>_xlfn.CONCAT(E223," (",F223," &amp; ",G223,")")</f>
        <v>Synthetic Community (Acetate &amp; Dark)</v>
      </c>
      <c r="E223" s="4" t="s">
        <v>39</v>
      </c>
      <c r="F223" s="4" t="s">
        <v>37</v>
      </c>
      <c r="G223" s="4" t="s">
        <v>4</v>
      </c>
    </row>
    <row r="224" spans="1:7" x14ac:dyDescent="0.2">
      <c r="A224" s="4" t="s">
        <v>6</v>
      </c>
      <c r="B224" s="4">
        <v>0</v>
      </c>
      <c r="C224">
        <v>0.13039999999999999</v>
      </c>
      <c r="D224" s="4" t="str">
        <f>_xlfn.CONCAT(E224," (",F224," &amp; ",G224,")")</f>
        <v>Synthetic Community (Thiosulfate &amp; Dark)</v>
      </c>
      <c r="E224" s="4" t="s">
        <v>39</v>
      </c>
      <c r="F224" s="4" t="s">
        <v>38</v>
      </c>
      <c r="G224" s="4" t="s">
        <v>4</v>
      </c>
    </row>
    <row r="225" spans="1:7" x14ac:dyDescent="0.2">
      <c r="A225" s="4" t="s">
        <v>7</v>
      </c>
      <c r="B225" s="4">
        <v>0</v>
      </c>
      <c r="C225">
        <v>0.13400000000000001</v>
      </c>
      <c r="D225" s="4" t="str">
        <f>_xlfn.CONCAT(E225," (",F225," &amp; ",G225,")")</f>
        <v>Synthetic Community (Thiosulfate &amp; Dark)</v>
      </c>
      <c r="E225" s="4" t="s">
        <v>39</v>
      </c>
      <c r="F225" s="4" t="s">
        <v>38</v>
      </c>
      <c r="G225" s="4" t="s">
        <v>4</v>
      </c>
    </row>
    <row r="226" spans="1:7" x14ac:dyDescent="0.2">
      <c r="A226" s="4" t="s">
        <v>8</v>
      </c>
      <c r="B226" s="4">
        <v>0</v>
      </c>
      <c r="C226">
        <v>0.1318</v>
      </c>
      <c r="D226" s="4" t="str">
        <f>_xlfn.CONCAT(E226," (",F226," &amp; ",G226,")")</f>
        <v>Synthetic Community (Thiosulfate &amp; Dark)</v>
      </c>
      <c r="E226" s="4" t="s">
        <v>39</v>
      </c>
      <c r="F226" s="4" t="s">
        <v>38</v>
      </c>
      <c r="G226" s="4" t="s">
        <v>4</v>
      </c>
    </row>
    <row r="227" spans="1:7" x14ac:dyDescent="0.2">
      <c r="A227" s="4" t="s">
        <v>10</v>
      </c>
      <c r="B227" s="4">
        <v>0</v>
      </c>
      <c r="C227" s="4">
        <v>0.13789999999999999</v>
      </c>
      <c r="D227" s="4" t="str">
        <f>_xlfn.CONCAT(E227," (",F227," &amp; ",G227,")")</f>
        <v>Synthetic Community (Control &amp; IR)</v>
      </c>
      <c r="E227" s="4" t="s">
        <v>39</v>
      </c>
      <c r="F227" s="4" t="s">
        <v>35</v>
      </c>
      <c r="G227" s="4" t="s">
        <v>9</v>
      </c>
    </row>
    <row r="228" spans="1:7" x14ac:dyDescent="0.2">
      <c r="A228" s="4" t="s">
        <v>11</v>
      </c>
      <c r="B228" s="4">
        <v>0</v>
      </c>
      <c r="C228" s="4">
        <v>0.1348</v>
      </c>
      <c r="D228" s="4" t="str">
        <f>_xlfn.CONCAT(E228," (",F228," &amp; ",G228,")")</f>
        <v>Synthetic Community (Control &amp; IR)</v>
      </c>
      <c r="E228" s="4" t="s">
        <v>39</v>
      </c>
      <c r="F228" s="4" t="s">
        <v>35</v>
      </c>
      <c r="G228" s="4" t="s">
        <v>9</v>
      </c>
    </row>
    <row r="229" spans="1:7" x14ac:dyDescent="0.2">
      <c r="A229" s="4" t="s">
        <v>12</v>
      </c>
      <c r="B229" s="4">
        <v>0</v>
      </c>
      <c r="C229" s="4">
        <v>0.13719999999999999</v>
      </c>
      <c r="D229" s="4" t="str">
        <f>_xlfn.CONCAT(E229," (",F229," &amp; ",G229,")")</f>
        <v>Synthetic Community (Control &amp; IR)</v>
      </c>
      <c r="E229" s="4" t="s">
        <v>39</v>
      </c>
      <c r="F229" s="4" t="s">
        <v>35</v>
      </c>
      <c r="G229" s="4" t="s">
        <v>9</v>
      </c>
    </row>
    <row r="230" spans="1:7" x14ac:dyDescent="0.2">
      <c r="A230" s="4" t="s">
        <v>10</v>
      </c>
      <c r="B230" s="4">
        <v>0</v>
      </c>
      <c r="C230">
        <v>0.1326</v>
      </c>
      <c r="D230" s="4" t="str">
        <f>_xlfn.CONCAT(E230," (",F230," &amp; ",G230,")")</f>
        <v>Synthetic Community (Acetate &amp; IR)</v>
      </c>
      <c r="E230" s="4" t="s">
        <v>39</v>
      </c>
      <c r="F230" s="4" t="s">
        <v>37</v>
      </c>
      <c r="G230" s="4" t="s">
        <v>9</v>
      </c>
    </row>
    <row r="231" spans="1:7" x14ac:dyDescent="0.2">
      <c r="A231" s="4" t="s">
        <v>11</v>
      </c>
      <c r="B231" s="4">
        <v>0</v>
      </c>
      <c r="C231">
        <v>0.13669999999999999</v>
      </c>
      <c r="D231" s="4" t="str">
        <f>_xlfn.CONCAT(E231," (",F231," &amp; ",G231,")")</f>
        <v>Synthetic Community (Acetate &amp; IR)</v>
      </c>
      <c r="E231" s="4" t="s">
        <v>39</v>
      </c>
      <c r="F231" s="4" t="s">
        <v>37</v>
      </c>
      <c r="G231" s="4" t="s">
        <v>9</v>
      </c>
    </row>
    <row r="232" spans="1:7" x14ac:dyDescent="0.2">
      <c r="A232" s="4" t="s">
        <v>12</v>
      </c>
      <c r="B232" s="4">
        <v>0</v>
      </c>
      <c r="C232">
        <v>0.14169999999999999</v>
      </c>
      <c r="D232" s="4" t="str">
        <f>_xlfn.CONCAT(E232," (",F232," &amp; ",G232,")")</f>
        <v>Synthetic Community (Acetate &amp; IR)</v>
      </c>
      <c r="E232" s="4" t="s">
        <v>39</v>
      </c>
      <c r="F232" s="4" t="s">
        <v>37</v>
      </c>
      <c r="G232" s="4" t="s">
        <v>9</v>
      </c>
    </row>
    <row r="233" spans="1:7" x14ac:dyDescent="0.2">
      <c r="A233" s="4" t="s">
        <v>10</v>
      </c>
      <c r="B233" s="4">
        <v>0</v>
      </c>
      <c r="C233">
        <v>0.13730000000000001</v>
      </c>
      <c r="D233" s="4" t="str">
        <f>_xlfn.CONCAT(E233," (",F233," &amp; ",G233,")")</f>
        <v>Synthetic Community (Thiosulfate &amp; IR)</v>
      </c>
      <c r="E233" s="4" t="s">
        <v>39</v>
      </c>
      <c r="F233" s="4" t="s">
        <v>38</v>
      </c>
      <c r="G233" s="4" t="s">
        <v>9</v>
      </c>
    </row>
    <row r="234" spans="1:7" x14ac:dyDescent="0.2">
      <c r="A234" s="4" t="s">
        <v>11</v>
      </c>
      <c r="B234" s="4">
        <v>0</v>
      </c>
      <c r="C234">
        <v>0.13250000000000001</v>
      </c>
      <c r="D234" s="4" t="str">
        <f>_xlfn.CONCAT(E234," (",F234," &amp; ",G234,")")</f>
        <v>Synthetic Community (Thiosulfate &amp; IR)</v>
      </c>
      <c r="E234" s="4" t="s">
        <v>39</v>
      </c>
      <c r="F234" s="4" t="s">
        <v>38</v>
      </c>
      <c r="G234" s="4" t="s">
        <v>9</v>
      </c>
    </row>
    <row r="235" spans="1:7" x14ac:dyDescent="0.2">
      <c r="A235" s="4" t="s">
        <v>12</v>
      </c>
      <c r="B235" s="4">
        <v>0</v>
      </c>
      <c r="C235">
        <v>0.1338</v>
      </c>
      <c r="D235" s="4" t="str">
        <f>_xlfn.CONCAT(E235," (",F235," &amp; ",G235,")")</f>
        <v>Synthetic Community (Thiosulfate &amp; IR)</v>
      </c>
      <c r="E235" s="4" t="s">
        <v>39</v>
      </c>
      <c r="F235" s="4" t="s">
        <v>38</v>
      </c>
      <c r="G235" s="4" t="s">
        <v>9</v>
      </c>
    </row>
    <row r="236" spans="1:7" x14ac:dyDescent="0.2">
      <c r="A236" s="4" t="s">
        <v>6</v>
      </c>
      <c r="B236" s="4">
        <v>48</v>
      </c>
      <c r="C236">
        <v>0.1288</v>
      </c>
      <c r="D236" s="4" t="str">
        <f>_xlfn.CONCAT(E236," (",F236," &amp; ",G236,")")</f>
        <v>Synthetic Community (Control &amp; Dark)</v>
      </c>
      <c r="E236" s="4" t="s">
        <v>39</v>
      </c>
      <c r="F236" s="4" t="s">
        <v>35</v>
      </c>
      <c r="G236" s="4" t="s">
        <v>4</v>
      </c>
    </row>
    <row r="237" spans="1:7" x14ac:dyDescent="0.2">
      <c r="A237" s="4" t="s">
        <v>7</v>
      </c>
      <c r="B237" s="4">
        <v>48</v>
      </c>
      <c r="C237">
        <v>0.12659999999999999</v>
      </c>
      <c r="D237" s="4" t="str">
        <f>_xlfn.CONCAT(E237," (",F237," &amp; ",G237,")")</f>
        <v>Synthetic Community (Control &amp; Dark)</v>
      </c>
      <c r="E237" s="4" t="s">
        <v>39</v>
      </c>
      <c r="F237" s="4" t="s">
        <v>35</v>
      </c>
      <c r="G237" s="4" t="s">
        <v>4</v>
      </c>
    </row>
    <row r="238" spans="1:7" x14ac:dyDescent="0.2">
      <c r="A238" s="4" t="s">
        <v>8</v>
      </c>
      <c r="B238" s="4">
        <v>48</v>
      </c>
      <c r="C238">
        <v>0.13639999999999999</v>
      </c>
      <c r="D238" s="4" t="str">
        <f>_xlfn.CONCAT(E238," (",F238," &amp; ",G238,")")</f>
        <v>Synthetic Community (Control &amp; Dark)</v>
      </c>
      <c r="E238" s="4" t="s">
        <v>39</v>
      </c>
      <c r="F238" s="4" t="s">
        <v>35</v>
      </c>
      <c r="G238" s="4" t="s">
        <v>4</v>
      </c>
    </row>
    <row r="239" spans="1:7" x14ac:dyDescent="0.2">
      <c r="A239" s="4" t="s">
        <v>10</v>
      </c>
      <c r="B239" s="4">
        <v>48</v>
      </c>
      <c r="C239">
        <v>0.1502</v>
      </c>
      <c r="D239" s="4" t="str">
        <f>_xlfn.CONCAT(E239," (",F239," &amp; ",G239,")")</f>
        <v>Synthetic Community (Acetate &amp; Dark)</v>
      </c>
      <c r="E239" s="4" t="s">
        <v>39</v>
      </c>
      <c r="F239" s="4" t="s">
        <v>37</v>
      </c>
      <c r="G239" s="4" t="s">
        <v>4</v>
      </c>
    </row>
    <row r="240" spans="1:7" x14ac:dyDescent="0.2">
      <c r="A240" s="4" t="s">
        <v>11</v>
      </c>
      <c r="B240" s="4">
        <v>48</v>
      </c>
      <c r="C240">
        <v>0.1313</v>
      </c>
      <c r="D240" s="4" t="str">
        <f>_xlfn.CONCAT(E240," (",F240," &amp; ",G240,")")</f>
        <v>Synthetic Community (Acetate &amp; Dark)</v>
      </c>
      <c r="E240" s="4" t="s">
        <v>39</v>
      </c>
      <c r="F240" s="4" t="s">
        <v>37</v>
      </c>
      <c r="G240" s="4" t="s">
        <v>4</v>
      </c>
    </row>
    <row r="241" spans="1:7" x14ac:dyDescent="0.2">
      <c r="A241" s="4" t="s">
        <v>12</v>
      </c>
      <c r="B241" s="4">
        <v>48</v>
      </c>
      <c r="C241">
        <v>0.1157</v>
      </c>
      <c r="D241" s="4" t="str">
        <f>_xlfn.CONCAT(E241," (",F241," &amp; ",G241,")")</f>
        <v>Synthetic Community (Acetate &amp; Dark)</v>
      </c>
      <c r="E241" s="4" t="s">
        <v>39</v>
      </c>
      <c r="F241" s="4" t="s">
        <v>37</v>
      </c>
      <c r="G241" s="4" t="s">
        <v>4</v>
      </c>
    </row>
    <row r="242" spans="1:7" x14ac:dyDescent="0.2">
      <c r="A242" s="4" t="s">
        <v>6</v>
      </c>
      <c r="B242" s="4">
        <v>48</v>
      </c>
      <c r="C242">
        <v>0.1217</v>
      </c>
      <c r="D242" s="4" t="str">
        <f>_xlfn.CONCAT(E242," (",F242," &amp; ",G242,")")</f>
        <v>Synthetic Community (Thiosulfate &amp; Dark)</v>
      </c>
      <c r="E242" s="4" t="s">
        <v>39</v>
      </c>
      <c r="F242" s="4" t="s">
        <v>38</v>
      </c>
      <c r="G242" s="4" t="s">
        <v>4</v>
      </c>
    </row>
    <row r="243" spans="1:7" x14ac:dyDescent="0.2">
      <c r="A243" s="4" t="s">
        <v>7</v>
      </c>
      <c r="B243" s="4">
        <v>48</v>
      </c>
      <c r="C243">
        <v>0.1215</v>
      </c>
      <c r="D243" s="4" t="str">
        <f>_xlfn.CONCAT(E243," (",F243," &amp; ",G243,")")</f>
        <v>Synthetic Community (Thiosulfate &amp; Dark)</v>
      </c>
      <c r="E243" s="4" t="s">
        <v>39</v>
      </c>
      <c r="F243" s="4" t="s">
        <v>38</v>
      </c>
      <c r="G243" s="4" t="s">
        <v>4</v>
      </c>
    </row>
    <row r="244" spans="1:7" x14ac:dyDescent="0.2">
      <c r="A244" s="4" t="s">
        <v>8</v>
      </c>
      <c r="B244" s="4">
        <v>48</v>
      </c>
      <c r="C244">
        <v>0.11749999999999999</v>
      </c>
      <c r="D244" s="4" t="str">
        <f>_xlfn.CONCAT(E244," (",F244," &amp; ",G244,")")</f>
        <v>Synthetic Community (Thiosulfate &amp; Dark)</v>
      </c>
      <c r="E244" s="4" t="s">
        <v>39</v>
      </c>
      <c r="F244" s="4" t="s">
        <v>38</v>
      </c>
      <c r="G244" s="4" t="s">
        <v>4</v>
      </c>
    </row>
    <row r="245" spans="1:7" x14ac:dyDescent="0.2">
      <c r="A245" s="4" t="s">
        <v>10</v>
      </c>
      <c r="B245" s="4">
        <v>48</v>
      </c>
      <c r="C245">
        <v>0.1401</v>
      </c>
      <c r="D245" s="4" t="str">
        <f>_xlfn.CONCAT(E245," (",F245," &amp; ",G245,")")</f>
        <v>Synthetic Community (Control &amp; IR)</v>
      </c>
      <c r="E245" s="4" t="s">
        <v>39</v>
      </c>
      <c r="F245" s="4" t="s">
        <v>35</v>
      </c>
      <c r="G245" s="4" t="s">
        <v>9</v>
      </c>
    </row>
    <row r="246" spans="1:7" x14ac:dyDescent="0.2">
      <c r="A246" s="4" t="s">
        <v>11</v>
      </c>
      <c r="B246" s="4">
        <v>48</v>
      </c>
      <c r="C246">
        <v>0.13569999999999999</v>
      </c>
      <c r="D246" s="4" t="str">
        <f>_xlfn.CONCAT(E246," (",F246," &amp; ",G246,")")</f>
        <v>Synthetic Community (Control &amp; IR)</v>
      </c>
      <c r="E246" s="4" t="s">
        <v>39</v>
      </c>
      <c r="F246" s="4" t="s">
        <v>35</v>
      </c>
      <c r="G246" s="4" t="s">
        <v>9</v>
      </c>
    </row>
    <row r="247" spans="1:7" x14ac:dyDescent="0.2">
      <c r="A247" s="4" t="s">
        <v>12</v>
      </c>
      <c r="B247" s="4">
        <v>48</v>
      </c>
      <c r="C247">
        <v>0.12039999999999999</v>
      </c>
      <c r="D247" s="4" t="str">
        <f>_xlfn.CONCAT(E247," (",F247," &amp; ",G247,")")</f>
        <v>Synthetic Community (Control &amp; IR)</v>
      </c>
      <c r="E247" s="4" t="s">
        <v>39</v>
      </c>
      <c r="F247" s="4" t="s">
        <v>35</v>
      </c>
      <c r="G247" s="4" t="s">
        <v>9</v>
      </c>
    </row>
    <row r="248" spans="1:7" x14ac:dyDescent="0.2">
      <c r="A248" s="4" t="s">
        <v>10</v>
      </c>
      <c r="B248" s="4">
        <v>48</v>
      </c>
      <c r="C248">
        <v>0.1487</v>
      </c>
      <c r="D248" s="4" t="str">
        <f>_xlfn.CONCAT(E248," (",F248," &amp; ",G248,")")</f>
        <v>Synthetic Community (Acetate &amp; IR)</v>
      </c>
      <c r="E248" s="4" t="s">
        <v>39</v>
      </c>
      <c r="F248" s="4" t="s">
        <v>37</v>
      </c>
      <c r="G248" s="4" t="s">
        <v>9</v>
      </c>
    </row>
    <row r="249" spans="1:7" x14ac:dyDescent="0.2">
      <c r="A249" s="4" t="s">
        <v>11</v>
      </c>
      <c r="B249" s="4">
        <v>48</v>
      </c>
      <c r="C249">
        <v>0.12770000000000001</v>
      </c>
      <c r="D249" s="4" t="str">
        <f>_xlfn.CONCAT(E249," (",F249," &amp; ",G249,")")</f>
        <v>Synthetic Community (Acetate &amp; IR)</v>
      </c>
      <c r="E249" s="4" t="s">
        <v>39</v>
      </c>
      <c r="F249" s="4" t="s">
        <v>37</v>
      </c>
      <c r="G249" s="4" t="s">
        <v>9</v>
      </c>
    </row>
    <row r="250" spans="1:7" x14ac:dyDescent="0.2">
      <c r="A250" s="4" t="s">
        <v>12</v>
      </c>
      <c r="B250" s="4">
        <v>48</v>
      </c>
      <c r="C250">
        <v>0.13830000000000001</v>
      </c>
      <c r="D250" s="4" t="str">
        <f>_xlfn.CONCAT(E250," (",F250," &amp; ",G250,")")</f>
        <v>Synthetic Community (Acetate &amp; IR)</v>
      </c>
      <c r="E250" s="4" t="s">
        <v>39</v>
      </c>
      <c r="F250" s="4" t="s">
        <v>37</v>
      </c>
      <c r="G250" s="4" t="s">
        <v>9</v>
      </c>
    </row>
    <row r="251" spans="1:7" x14ac:dyDescent="0.2">
      <c r="A251" s="4" t="s">
        <v>10</v>
      </c>
      <c r="B251" s="4">
        <v>48</v>
      </c>
      <c r="C251">
        <v>0.123</v>
      </c>
      <c r="D251" s="4" t="str">
        <f>_xlfn.CONCAT(E251," (",F251," &amp; ",G251,")")</f>
        <v>Synthetic Community (Thiosulfate &amp; IR)</v>
      </c>
      <c r="E251" s="4" t="s">
        <v>39</v>
      </c>
      <c r="F251" s="4" t="s">
        <v>38</v>
      </c>
      <c r="G251" s="4" t="s">
        <v>9</v>
      </c>
    </row>
    <row r="252" spans="1:7" x14ac:dyDescent="0.2">
      <c r="A252" s="4" t="s">
        <v>11</v>
      </c>
      <c r="B252" s="4">
        <v>48</v>
      </c>
      <c r="C252">
        <v>0.11990000000000001</v>
      </c>
      <c r="D252" s="4" t="str">
        <f>_xlfn.CONCAT(E252," (",F252," &amp; ",G252,")")</f>
        <v>Synthetic Community (Thiosulfate &amp; IR)</v>
      </c>
      <c r="E252" s="4" t="s">
        <v>39</v>
      </c>
      <c r="F252" s="4" t="s">
        <v>38</v>
      </c>
      <c r="G252" s="4" t="s">
        <v>9</v>
      </c>
    </row>
    <row r="253" spans="1:7" x14ac:dyDescent="0.2">
      <c r="A253" s="4" t="s">
        <v>12</v>
      </c>
      <c r="B253" s="4">
        <v>48</v>
      </c>
      <c r="C253">
        <v>0.1537</v>
      </c>
      <c r="D253" s="4" t="str">
        <f>_xlfn.CONCAT(E253," (",F253," &amp; ",G253,")")</f>
        <v>Synthetic Community (Thiosulfate &amp; IR)</v>
      </c>
      <c r="E253" s="4" t="s">
        <v>39</v>
      </c>
      <c r="F253" s="4" t="s">
        <v>38</v>
      </c>
      <c r="G253" s="4" t="s">
        <v>9</v>
      </c>
    </row>
    <row r="254" spans="1:7" x14ac:dyDescent="0.2">
      <c r="A254" s="4" t="s">
        <v>6</v>
      </c>
      <c r="B254" s="4">
        <v>144</v>
      </c>
      <c r="C254" s="4">
        <v>0.17219999999999999</v>
      </c>
      <c r="D254" s="4" t="str">
        <f>_xlfn.CONCAT(E254," (",F254," &amp; ",G254,")")</f>
        <v>Synthetic Community (Control &amp; Dark)</v>
      </c>
      <c r="E254" s="4" t="s">
        <v>39</v>
      </c>
      <c r="F254" s="4" t="s">
        <v>35</v>
      </c>
      <c r="G254" s="4" t="s">
        <v>4</v>
      </c>
    </row>
    <row r="255" spans="1:7" x14ac:dyDescent="0.2">
      <c r="A255" s="4" t="s">
        <v>7</v>
      </c>
      <c r="B255" s="4">
        <v>144</v>
      </c>
      <c r="C255" s="4">
        <v>0.1028</v>
      </c>
      <c r="D255" s="4" t="str">
        <f>_xlfn.CONCAT(E255," (",F255," &amp; ",G255,")")</f>
        <v>Synthetic Community (Control &amp; Dark)</v>
      </c>
      <c r="E255" s="4" t="s">
        <v>39</v>
      </c>
      <c r="F255" s="4" t="s">
        <v>35</v>
      </c>
      <c r="G255" s="4" t="s">
        <v>4</v>
      </c>
    </row>
    <row r="256" spans="1:7" x14ac:dyDescent="0.2">
      <c r="A256" s="4" t="s">
        <v>8</v>
      </c>
      <c r="B256" s="4">
        <v>144</v>
      </c>
      <c r="C256" s="4">
        <v>0.1041</v>
      </c>
      <c r="D256" s="4" t="str">
        <f>_xlfn.CONCAT(E256," (",F256," &amp; ",G256,")")</f>
        <v>Synthetic Community (Control &amp; Dark)</v>
      </c>
      <c r="E256" s="4" t="s">
        <v>39</v>
      </c>
      <c r="F256" s="4" t="s">
        <v>35</v>
      </c>
      <c r="G256" s="4" t="s">
        <v>4</v>
      </c>
    </row>
    <row r="257" spans="1:7" x14ac:dyDescent="0.2">
      <c r="A257" s="4" t="s">
        <v>10</v>
      </c>
      <c r="B257" s="4">
        <v>144</v>
      </c>
      <c r="C257" s="4">
        <v>0.14829999999999999</v>
      </c>
      <c r="D257" s="4" t="str">
        <f>_xlfn.CONCAT(E257," (",F257," &amp; ",G257,")")</f>
        <v>Synthetic Community (Acetate &amp; Dark)</v>
      </c>
      <c r="E257" s="4" t="s">
        <v>39</v>
      </c>
      <c r="F257" s="4" t="s">
        <v>37</v>
      </c>
      <c r="G257" s="4" t="s">
        <v>4</v>
      </c>
    </row>
    <row r="258" spans="1:7" x14ac:dyDescent="0.2">
      <c r="A258" s="4" t="s">
        <v>11</v>
      </c>
      <c r="B258" s="4">
        <v>144</v>
      </c>
      <c r="C258" s="4">
        <v>0.1462</v>
      </c>
      <c r="D258" s="4" t="str">
        <f>_xlfn.CONCAT(E258," (",F258," &amp; ",G258,")")</f>
        <v>Synthetic Community (Acetate &amp; Dark)</v>
      </c>
      <c r="E258" s="4" t="s">
        <v>39</v>
      </c>
      <c r="F258" s="4" t="s">
        <v>37</v>
      </c>
      <c r="G258" s="4" t="s">
        <v>4</v>
      </c>
    </row>
    <row r="259" spans="1:7" x14ac:dyDescent="0.2">
      <c r="A259" s="4" t="s">
        <v>12</v>
      </c>
      <c r="B259" s="4">
        <v>144</v>
      </c>
      <c r="C259" s="4">
        <v>0.13339999999999999</v>
      </c>
      <c r="D259" s="4" t="str">
        <f>_xlfn.CONCAT(E259," (",F259," &amp; ",G259,")")</f>
        <v>Synthetic Community (Acetate &amp; Dark)</v>
      </c>
      <c r="E259" s="4" t="s">
        <v>39</v>
      </c>
      <c r="F259" s="4" t="s">
        <v>37</v>
      </c>
      <c r="G259" s="4" t="s">
        <v>4</v>
      </c>
    </row>
    <row r="260" spans="1:7" x14ac:dyDescent="0.2">
      <c r="A260" s="4" t="s">
        <v>6</v>
      </c>
      <c r="B260" s="4">
        <v>144</v>
      </c>
      <c r="C260" s="4">
        <v>0.1017</v>
      </c>
      <c r="D260" s="4" t="str">
        <f>_xlfn.CONCAT(E260," (",F260," &amp; ",G260,")")</f>
        <v>Synthetic Community (Thiosulfate &amp; Dark)</v>
      </c>
      <c r="E260" s="4" t="s">
        <v>39</v>
      </c>
      <c r="F260" s="4" t="s">
        <v>38</v>
      </c>
      <c r="G260" s="4" t="s">
        <v>4</v>
      </c>
    </row>
    <row r="261" spans="1:7" x14ac:dyDescent="0.2">
      <c r="A261" s="4" t="s">
        <v>7</v>
      </c>
      <c r="B261" s="4">
        <v>144</v>
      </c>
      <c r="C261" s="4">
        <v>0.1017</v>
      </c>
      <c r="D261" s="4" t="str">
        <f>_xlfn.CONCAT(E261," (",F261," &amp; ",G261,")")</f>
        <v>Synthetic Community (Thiosulfate &amp; Dark)</v>
      </c>
      <c r="E261" s="4" t="s">
        <v>39</v>
      </c>
      <c r="F261" s="4" t="s">
        <v>38</v>
      </c>
      <c r="G261" s="4" t="s">
        <v>4</v>
      </c>
    </row>
    <row r="262" spans="1:7" x14ac:dyDescent="0.2">
      <c r="A262" s="4" t="s">
        <v>8</v>
      </c>
      <c r="B262" s="4">
        <v>144</v>
      </c>
      <c r="C262" s="4">
        <v>0.1008</v>
      </c>
      <c r="D262" s="4" t="str">
        <f>_xlfn.CONCAT(E262," (",F262," &amp; ",G262,")")</f>
        <v>Synthetic Community (Thiosulfate &amp; Dark)</v>
      </c>
      <c r="E262" s="4" t="s">
        <v>39</v>
      </c>
      <c r="F262" s="4" t="s">
        <v>38</v>
      </c>
      <c r="G262" s="4" t="s">
        <v>4</v>
      </c>
    </row>
    <row r="263" spans="1:7" x14ac:dyDescent="0.2">
      <c r="A263" s="4" t="s">
        <v>10</v>
      </c>
      <c r="B263" s="4">
        <v>144</v>
      </c>
      <c r="C263" s="4">
        <v>0.11559999999999999</v>
      </c>
      <c r="D263" s="4" t="str">
        <f>_xlfn.CONCAT(E263," (",F263," &amp; ",G263,")")</f>
        <v>Synthetic Community (Control &amp; IR)</v>
      </c>
      <c r="E263" s="4" t="s">
        <v>39</v>
      </c>
      <c r="F263" s="4" t="s">
        <v>35</v>
      </c>
      <c r="G263" s="4" t="s">
        <v>9</v>
      </c>
    </row>
    <row r="264" spans="1:7" x14ac:dyDescent="0.2">
      <c r="A264" s="4" t="s">
        <v>11</v>
      </c>
      <c r="B264" s="4">
        <v>144</v>
      </c>
      <c r="C264" s="4">
        <v>0.11840000000000001</v>
      </c>
      <c r="D264" s="4" t="str">
        <f>_xlfn.CONCAT(E264," (",F264," &amp; ",G264,")")</f>
        <v>Synthetic Community (Control &amp; IR)</v>
      </c>
      <c r="E264" s="4" t="s">
        <v>39</v>
      </c>
      <c r="F264" s="4" t="s">
        <v>35</v>
      </c>
      <c r="G264" s="4" t="s">
        <v>9</v>
      </c>
    </row>
    <row r="265" spans="1:7" x14ac:dyDescent="0.2">
      <c r="A265" s="4" t="s">
        <v>12</v>
      </c>
      <c r="B265" s="4">
        <v>144</v>
      </c>
      <c r="C265" s="4">
        <v>0.1169</v>
      </c>
      <c r="D265" s="4" t="str">
        <f>_xlfn.CONCAT(E265," (",F265," &amp; ",G265,")")</f>
        <v>Synthetic Community (Control &amp; IR)</v>
      </c>
      <c r="E265" s="4" t="s">
        <v>39</v>
      </c>
      <c r="F265" s="4" t="s">
        <v>35</v>
      </c>
      <c r="G265" s="4" t="s">
        <v>9</v>
      </c>
    </row>
    <row r="266" spans="1:7" x14ac:dyDescent="0.2">
      <c r="A266" s="4" t="s">
        <v>10</v>
      </c>
      <c r="B266" s="4">
        <v>144</v>
      </c>
      <c r="C266" s="4">
        <v>0.14319999999999999</v>
      </c>
      <c r="D266" s="4" t="str">
        <f>_xlfn.CONCAT(E266," (",F266," &amp; ",G266,")")</f>
        <v>Synthetic Community (Acetate &amp; IR)</v>
      </c>
      <c r="E266" s="4" t="s">
        <v>39</v>
      </c>
      <c r="F266" s="4" t="s">
        <v>37</v>
      </c>
      <c r="G266" s="4" t="s">
        <v>9</v>
      </c>
    </row>
    <row r="267" spans="1:7" x14ac:dyDescent="0.2">
      <c r="A267" s="4" t="s">
        <v>11</v>
      </c>
      <c r="B267" s="4">
        <v>144</v>
      </c>
      <c r="C267" s="4">
        <v>0.1489</v>
      </c>
      <c r="D267" s="4" t="str">
        <f>_xlfn.CONCAT(E267," (",F267," &amp; ",G267,")")</f>
        <v>Synthetic Community (Acetate &amp; IR)</v>
      </c>
      <c r="E267" s="4" t="s">
        <v>39</v>
      </c>
      <c r="F267" s="4" t="s">
        <v>37</v>
      </c>
      <c r="G267" s="4" t="s">
        <v>9</v>
      </c>
    </row>
    <row r="268" spans="1:7" x14ac:dyDescent="0.2">
      <c r="A268" s="4" t="s">
        <v>12</v>
      </c>
      <c r="B268" s="4">
        <v>144</v>
      </c>
      <c r="C268" s="4">
        <v>0.15179999999999999</v>
      </c>
      <c r="D268" s="4" t="str">
        <f>_xlfn.CONCAT(E268," (",F268," &amp; ",G268,")")</f>
        <v>Synthetic Community (Acetate &amp; IR)</v>
      </c>
      <c r="E268" s="4" t="s">
        <v>39</v>
      </c>
      <c r="F268" s="4" t="s">
        <v>37</v>
      </c>
      <c r="G268" s="4" t="s">
        <v>9</v>
      </c>
    </row>
    <row r="269" spans="1:7" x14ac:dyDescent="0.2">
      <c r="A269" s="4" t="s">
        <v>10</v>
      </c>
      <c r="B269" s="4">
        <v>144</v>
      </c>
      <c r="C269" s="4">
        <v>0.10580000000000001</v>
      </c>
      <c r="D269" s="4" t="str">
        <f>_xlfn.CONCAT(E269," (",F269," &amp; ",G269,")")</f>
        <v>Synthetic Community (Thiosulfate &amp; IR)</v>
      </c>
      <c r="E269" s="4" t="s">
        <v>39</v>
      </c>
      <c r="F269" s="4" t="s">
        <v>38</v>
      </c>
      <c r="G269" s="4" t="s">
        <v>9</v>
      </c>
    </row>
    <row r="270" spans="1:7" x14ac:dyDescent="0.2">
      <c r="A270" s="4" t="s">
        <v>11</v>
      </c>
      <c r="B270" s="4">
        <v>144</v>
      </c>
      <c r="C270" s="4">
        <v>0.12479999999999999</v>
      </c>
      <c r="D270" s="4" t="str">
        <f>_xlfn.CONCAT(E270," (",F270," &amp; ",G270,")")</f>
        <v>Synthetic Community (Thiosulfate &amp; IR)</v>
      </c>
      <c r="E270" s="4" t="s">
        <v>39</v>
      </c>
      <c r="F270" s="4" t="s">
        <v>38</v>
      </c>
      <c r="G270" s="4" t="s">
        <v>9</v>
      </c>
    </row>
    <row r="271" spans="1:7" x14ac:dyDescent="0.2">
      <c r="A271" s="4" t="s">
        <v>12</v>
      </c>
      <c r="B271" s="4">
        <v>144</v>
      </c>
      <c r="C271" s="4">
        <v>0.12130000000000001</v>
      </c>
      <c r="D271" s="4" t="str">
        <f>_xlfn.CONCAT(E271," (",F271," &amp; ",G271,")")</f>
        <v>Synthetic Community (Thiosulfate &amp; IR)</v>
      </c>
      <c r="E271" s="4" t="s">
        <v>39</v>
      </c>
      <c r="F271" s="4" t="s">
        <v>38</v>
      </c>
      <c r="G271" s="4" t="s">
        <v>9</v>
      </c>
    </row>
    <row r="272" spans="1:7" x14ac:dyDescent="0.2">
      <c r="A272" s="4" t="s">
        <v>6</v>
      </c>
      <c r="B272" s="4">
        <v>192</v>
      </c>
      <c r="C272" s="4">
        <v>0.1295</v>
      </c>
      <c r="D272" s="4" t="str">
        <f>_xlfn.CONCAT(E272," (",F272," &amp; ",G272,")")</f>
        <v>Synthetic Community (Control &amp; Dark)</v>
      </c>
      <c r="E272" s="4" t="s">
        <v>39</v>
      </c>
      <c r="F272" s="4" t="s">
        <v>35</v>
      </c>
      <c r="G272" s="4" t="s">
        <v>4</v>
      </c>
    </row>
    <row r="273" spans="1:7" x14ac:dyDescent="0.2">
      <c r="A273" s="4" t="s">
        <v>7</v>
      </c>
      <c r="B273" s="4">
        <v>192</v>
      </c>
      <c r="C273" s="4">
        <v>0.12609999999999999</v>
      </c>
      <c r="D273" s="4" t="str">
        <f>_xlfn.CONCAT(E273," (",F273," &amp; ",G273,")")</f>
        <v>Synthetic Community (Control &amp; Dark)</v>
      </c>
      <c r="E273" s="4" t="s">
        <v>39</v>
      </c>
      <c r="F273" s="4" t="s">
        <v>35</v>
      </c>
      <c r="G273" s="4" t="s">
        <v>4</v>
      </c>
    </row>
    <row r="274" spans="1:7" x14ac:dyDescent="0.2">
      <c r="A274" s="4" t="s">
        <v>8</v>
      </c>
      <c r="B274" s="4">
        <v>192</v>
      </c>
      <c r="C274" s="4">
        <v>0.1215</v>
      </c>
      <c r="D274" s="4" t="str">
        <f>_xlfn.CONCAT(E274," (",F274," &amp; ",G274,")")</f>
        <v>Synthetic Community (Control &amp; Dark)</v>
      </c>
      <c r="E274" s="4" t="s">
        <v>39</v>
      </c>
      <c r="F274" s="4" t="s">
        <v>35</v>
      </c>
      <c r="G274" s="4" t="s">
        <v>4</v>
      </c>
    </row>
    <row r="275" spans="1:7" x14ac:dyDescent="0.2">
      <c r="A275" s="4" t="s">
        <v>10</v>
      </c>
      <c r="B275" s="4">
        <v>192</v>
      </c>
      <c r="C275" s="4">
        <v>0.19589999999999999</v>
      </c>
      <c r="D275" s="4" t="str">
        <f>_xlfn.CONCAT(E275," (",F275," &amp; ",G275,")")</f>
        <v>Synthetic Community (Acetate &amp; Dark)</v>
      </c>
      <c r="E275" s="4" t="s">
        <v>39</v>
      </c>
      <c r="F275" s="4" t="s">
        <v>37</v>
      </c>
      <c r="G275" s="4" t="s">
        <v>4</v>
      </c>
    </row>
    <row r="276" spans="1:7" x14ac:dyDescent="0.2">
      <c r="A276" s="4" t="s">
        <v>11</v>
      </c>
      <c r="B276" s="4">
        <v>192</v>
      </c>
      <c r="C276" s="4">
        <v>0.19750000000000001</v>
      </c>
      <c r="D276" s="4" t="str">
        <f>_xlfn.CONCAT(E276," (",F276," &amp; ",G276,")")</f>
        <v>Synthetic Community (Acetate &amp; Dark)</v>
      </c>
      <c r="E276" s="4" t="s">
        <v>39</v>
      </c>
      <c r="F276" s="4" t="s">
        <v>37</v>
      </c>
      <c r="G276" s="4" t="s">
        <v>4</v>
      </c>
    </row>
    <row r="277" spans="1:7" x14ac:dyDescent="0.2">
      <c r="A277" s="4" t="s">
        <v>12</v>
      </c>
      <c r="B277" s="4">
        <v>192</v>
      </c>
      <c r="C277" s="4">
        <v>0.19769999999999999</v>
      </c>
      <c r="D277" s="4" t="str">
        <f>_xlfn.CONCAT(E277," (",F277," &amp; ",G277,")")</f>
        <v>Synthetic Community (Acetate &amp; Dark)</v>
      </c>
      <c r="E277" s="4" t="s">
        <v>39</v>
      </c>
      <c r="F277" s="4" t="s">
        <v>37</v>
      </c>
      <c r="G277" s="4" t="s">
        <v>4</v>
      </c>
    </row>
    <row r="278" spans="1:7" x14ac:dyDescent="0.2">
      <c r="A278" s="4" t="s">
        <v>6</v>
      </c>
      <c r="B278" s="4">
        <v>192</v>
      </c>
      <c r="C278" s="4">
        <v>0.1198</v>
      </c>
      <c r="D278" s="4" t="str">
        <f>_xlfn.CONCAT(E278," (",F278," &amp; ",G278,")")</f>
        <v>Synthetic Community (Thiosulfate &amp; Dark)</v>
      </c>
      <c r="E278" s="4" t="s">
        <v>39</v>
      </c>
      <c r="F278" s="4" t="s">
        <v>38</v>
      </c>
      <c r="G278" s="4" t="s">
        <v>4</v>
      </c>
    </row>
    <row r="279" spans="1:7" x14ac:dyDescent="0.2">
      <c r="A279" s="4" t="s">
        <v>7</v>
      </c>
      <c r="B279" s="4">
        <v>192</v>
      </c>
      <c r="C279" s="4">
        <v>0.1197</v>
      </c>
      <c r="D279" s="4" t="str">
        <f>_xlfn.CONCAT(E279," (",F279," &amp; ",G279,")")</f>
        <v>Synthetic Community (Thiosulfate &amp; Dark)</v>
      </c>
      <c r="E279" s="4" t="s">
        <v>39</v>
      </c>
      <c r="F279" s="4" t="s">
        <v>38</v>
      </c>
      <c r="G279" s="4" t="s">
        <v>4</v>
      </c>
    </row>
    <row r="280" spans="1:7" x14ac:dyDescent="0.2">
      <c r="A280" s="4" t="s">
        <v>8</v>
      </c>
      <c r="B280" s="4">
        <v>192</v>
      </c>
      <c r="C280" s="4">
        <v>0.1158</v>
      </c>
      <c r="D280" s="4" t="str">
        <f>_xlfn.CONCAT(E280," (",F280," &amp; ",G280,")")</f>
        <v>Synthetic Community (Thiosulfate &amp; Dark)</v>
      </c>
      <c r="E280" s="4" t="s">
        <v>39</v>
      </c>
      <c r="F280" s="4" t="s">
        <v>38</v>
      </c>
      <c r="G280" s="4" t="s">
        <v>4</v>
      </c>
    </row>
    <row r="281" spans="1:7" x14ac:dyDescent="0.2">
      <c r="A281" s="4" t="s">
        <v>10</v>
      </c>
      <c r="B281" s="4">
        <v>192</v>
      </c>
      <c r="C281" s="4">
        <v>0.12239999999999999</v>
      </c>
      <c r="D281" s="4" t="str">
        <f>_xlfn.CONCAT(E281," (",F281," &amp; ",G281,")")</f>
        <v>Synthetic Community (Control &amp; IR)</v>
      </c>
      <c r="E281" s="4" t="s">
        <v>39</v>
      </c>
      <c r="F281" s="4" t="s">
        <v>35</v>
      </c>
      <c r="G281" s="4" t="s">
        <v>9</v>
      </c>
    </row>
    <row r="282" spans="1:7" x14ac:dyDescent="0.2">
      <c r="A282" s="4" t="s">
        <v>11</v>
      </c>
      <c r="B282" s="4">
        <v>192</v>
      </c>
      <c r="C282" s="4">
        <v>0.1207</v>
      </c>
      <c r="D282" s="4" t="str">
        <f>_xlfn.CONCAT(E282," (",F282," &amp; ",G282,")")</f>
        <v>Synthetic Community (Control &amp; IR)</v>
      </c>
      <c r="E282" s="4" t="s">
        <v>39</v>
      </c>
      <c r="F282" s="4" t="s">
        <v>35</v>
      </c>
      <c r="G282" s="4" t="s">
        <v>9</v>
      </c>
    </row>
    <row r="283" spans="1:7" x14ac:dyDescent="0.2">
      <c r="A283" s="4" t="s">
        <v>12</v>
      </c>
      <c r="B283" s="4">
        <v>192</v>
      </c>
      <c r="C283" s="4">
        <v>0.12280000000000001</v>
      </c>
      <c r="D283" s="4" t="str">
        <f>_xlfn.CONCAT(E283," (",F283," &amp; ",G283,")")</f>
        <v>Synthetic Community (Control &amp; IR)</v>
      </c>
      <c r="E283" s="4" t="s">
        <v>39</v>
      </c>
      <c r="F283" s="4" t="s">
        <v>35</v>
      </c>
      <c r="G283" s="4" t="s">
        <v>9</v>
      </c>
    </row>
    <row r="284" spans="1:7" x14ac:dyDescent="0.2">
      <c r="A284" s="4" t="s">
        <v>10</v>
      </c>
      <c r="B284" s="4">
        <v>192</v>
      </c>
      <c r="C284" s="4">
        <v>0.2009</v>
      </c>
      <c r="D284" s="4" t="str">
        <f>_xlfn.CONCAT(E284," (",F284," &amp; ",G284,")")</f>
        <v>Synthetic Community (Acetate &amp; IR)</v>
      </c>
      <c r="E284" s="4" t="s">
        <v>39</v>
      </c>
      <c r="F284" s="4" t="s">
        <v>37</v>
      </c>
      <c r="G284" s="4" t="s">
        <v>9</v>
      </c>
    </row>
    <row r="285" spans="1:7" x14ac:dyDescent="0.2">
      <c r="A285" s="4" t="s">
        <v>11</v>
      </c>
      <c r="B285" s="4">
        <v>192</v>
      </c>
      <c r="C285" s="4">
        <v>0.20180000000000001</v>
      </c>
      <c r="D285" s="4" t="str">
        <f>_xlfn.CONCAT(E285," (",F285," &amp; ",G285,")")</f>
        <v>Synthetic Community (Acetate &amp; IR)</v>
      </c>
      <c r="E285" s="4" t="s">
        <v>39</v>
      </c>
      <c r="F285" s="4" t="s">
        <v>37</v>
      </c>
      <c r="G285" s="4" t="s">
        <v>9</v>
      </c>
    </row>
    <row r="286" spans="1:7" x14ac:dyDescent="0.2">
      <c r="A286" s="4" t="s">
        <v>12</v>
      </c>
      <c r="B286" s="4">
        <v>192</v>
      </c>
      <c r="C286" s="4">
        <v>0.21740000000000001</v>
      </c>
      <c r="D286" s="4" t="str">
        <f>_xlfn.CONCAT(E286," (",F286," &amp; ",G286,")")</f>
        <v>Synthetic Community (Acetate &amp; IR)</v>
      </c>
      <c r="E286" s="4" t="s">
        <v>39</v>
      </c>
      <c r="F286" s="4" t="s">
        <v>37</v>
      </c>
      <c r="G286" s="4" t="s">
        <v>9</v>
      </c>
    </row>
    <row r="287" spans="1:7" x14ac:dyDescent="0.2">
      <c r="A287" s="4" t="s">
        <v>10</v>
      </c>
      <c r="B287" s="4">
        <v>192</v>
      </c>
      <c r="C287" s="4">
        <v>0.11799999999999999</v>
      </c>
      <c r="D287" s="4" t="str">
        <f>_xlfn.CONCAT(E287," (",F287," &amp; ",G287,")")</f>
        <v>Synthetic Community (Thiosulfate &amp; IR)</v>
      </c>
      <c r="E287" s="4" t="s">
        <v>39</v>
      </c>
      <c r="F287" s="4" t="s">
        <v>38</v>
      </c>
      <c r="G287" s="4" t="s">
        <v>9</v>
      </c>
    </row>
    <row r="288" spans="1:7" x14ac:dyDescent="0.2">
      <c r="A288" s="4" t="s">
        <v>11</v>
      </c>
      <c r="B288" s="4">
        <v>192</v>
      </c>
      <c r="C288" s="4">
        <v>0.11</v>
      </c>
      <c r="D288" s="4" t="str">
        <f>_xlfn.CONCAT(E288," (",F288," &amp; ",G288,")")</f>
        <v>Synthetic Community (Thiosulfate &amp; IR)</v>
      </c>
      <c r="E288" s="4" t="s">
        <v>39</v>
      </c>
      <c r="F288" s="4" t="s">
        <v>38</v>
      </c>
      <c r="G288" s="4" t="s">
        <v>9</v>
      </c>
    </row>
    <row r="289" spans="1:7" x14ac:dyDescent="0.2">
      <c r="A289" s="4" t="s">
        <v>12</v>
      </c>
      <c r="B289" s="4">
        <v>192</v>
      </c>
      <c r="C289" s="4">
        <v>0.11559999999999999</v>
      </c>
      <c r="D289" s="4" t="str">
        <f>_xlfn.CONCAT(E289," (",F289," &amp; ",G289,")")</f>
        <v>Synthetic Community (Thiosulfate &amp; IR)</v>
      </c>
      <c r="E289" s="4" t="s">
        <v>39</v>
      </c>
      <c r="F289" s="4" t="s">
        <v>38</v>
      </c>
      <c r="G289" s="4" t="s">
        <v>9</v>
      </c>
    </row>
  </sheetData>
  <sortState xmlns:xlrd2="http://schemas.microsoft.com/office/spreadsheetml/2017/richdata2" ref="A2:G289">
    <sortCondition ref="E1:E2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Round1</vt:lpstr>
      <vt:lpstr>Round2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2026-01-29T15:54:50Z</dcterms:created>
  <dcterms:modified xsi:type="dcterms:W3CDTF">2026-03-05T03:04:34Z</dcterms:modified>
</cp:coreProperties>
</file>