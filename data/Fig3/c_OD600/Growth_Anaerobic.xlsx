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B65ADA81-5E5F-5541-A049-024A499BF0AE}" xr6:coauthVersionLast="47" xr6:coauthVersionMax="47" xr10:uidLastSave="{00000000-0000-0000-0000-000000000000}"/>
  <bookViews>
    <workbookView xWindow="7280" yWindow="600" windowWidth="21520" windowHeight="15800" xr2:uid="{F9ACF652-995A-9643-B8F2-2D60D5FB19A5}"/>
  </bookViews>
  <sheets>
    <sheet name="Round1" sheetId="1" r:id="rId1"/>
    <sheet name="Round2-TBD" sheetId="2" r:id="rId2"/>
  </sheets>
  <definedNames>
    <definedName name="_xlnm._FilterDatabase" localSheetId="1" hidden="1">'Round2-TBD'!$A$1:$G$289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2" i="1"/>
  <c r="D182" i="2"/>
  <c r="D289" i="2"/>
  <c r="D288" i="2"/>
  <c r="D287" i="2"/>
  <c r="D145" i="2"/>
  <c r="D144" i="2"/>
  <c r="D143" i="2"/>
  <c r="D73" i="2"/>
  <c r="D72" i="2"/>
  <c r="D71" i="2"/>
  <c r="D217" i="2"/>
  <c r="D216" i="2"/>
  <c r="D215" i="2"/>
  <c r="D286" i="2"/>
  <c r="D285" i="2"/>
  <c r="D284" i="2"/>
  <c r="D142" i="2"/>
  <c r="D141" i="2"/>
  <c r="D140" i="2"/>
  <c r="D70" i="2"/>
  <c r="D69" i="2"/>
  <c r="D68" i="2"/>
  <c r="D214" i="2"/>
  <c r="D213" i="2"/>
  <c r="D212" i="2"/>
  <c r="D283" i="2"/>
  <c r="D282" i="2"/>
  <c r="D281" i="2"/>
  <c r="D139" i="2"/>
  <c r="D138" i="2"/>
  <c r="D137" i="2"/>
  <c r="D67" i="2"/>
  <c r="D66" i="2"/>
  <c r="D65" i="2"/>
  <c r="D211" i="2"/>
  <c r="D210" i="2"/>
  <c r="D209" i="2"/>
  <c r="D280" i="2"/>
  <c r="D279" i="2"/>
  <c r="D278" i="2"/>
  <c r="D136" i="2"/>
  <c r="D135" i="2"/>
  <c r="D134" i="2"/>
  <c r="D64" i="2"/>
  <c r="D63" i="2"/>
  <c r="D62" i="2"/>
  <c r="D208" i="2"/>
  <c r="D207" i="2"/>
  <c r="D206" i="2"/>
  <c r="D277" i="2"/>
  <c r="D276" i="2"/>
  <c r="D275" i="2"/>
  <c r="D133" i="2"/>
  <c r="D132" i="2"/>
  <c r="D131" i="2"/>
  <c r="D61" i="2"/>
  <c r="D60" i="2"/>
  <c r="D59" i="2"/>
  <c r="D205" i="2"/>
  <c r="D204" i="2"/>
  <c r="D203" i="2"/>
  <c r="D274" i="2"/>
  <c r="D273" i="2"/>
  <c r="D272" i="2"/>
  <c r="D130" i="2"/>
  <c r="D129" i="2"/>
  <c r="D128" i="2"/>
  <c r="D58" i="2"/>
  <c r="D57" i="2"/>
  <c r="D56" i="2"/>
  <c r="D202" i="2"/>
  <c r="D201" i="2"/>
  <c r="D200" i="2"/>
  <c r="D271" i="2"/>
  <c r="D270" i="2"/>
  <c r="D269" i="2"/>
  <c r="D127" i="2"/>
  <c r="D126" i="2"/>
  <c r="D125" i="2"/>
  <c r="D55" i="2"/>
  <c r="D54" i="2"/>
  <c r="D53" i="2"/>
  <c r="D199" i="2"/>
  <c r="D198" i="2"/>
  <c r="D197" i="2"/>
  <c r="D268" i="2"/>
  <c r="D267" i="2"/>
  <c r="D266" i="2"/>
  <c r="D124" i="2"/>
  <c r="D123" i="2"/>
  <c r="D122" i="2"/>
  <c r="D52" i="2"/>
  <c r="D51" i="2"/>
  <c r="D50" i="2"/>
  <c r="D196" i="2"/>
  <c r="D195" i="2"/>
  <c r="D194" i="2"/>
  <c r="D265" i="2"/>
  <c r="D264" i="2"/>
  <c r="D263" i="2"/>
  <c r="D121" i="2"/>
  <c r="D120" i="2"/>
  <c r="D119" i="2"/>
  <c r="D49" i="2"/>
  <c r="D48" i="2"/>
  <c r="D47" i="2"/>
  <c r="D193" i="2"/>
  <c r="D192" i="2"/>
  <c r="D191" i="2"/>
  <c r="D262" i="2"/>
  <c r="D261" i="2"/>
  <c r="D260" i="2"/>
  <c r="D118" i="2"/>
  <c r="D117" i="2"/>
  <c r="D116" i="2"/>
  <c r="D46" i="2"/>
  <c r="D45" i="2"/>
  <c r="D44" i="2"/>
  <c r="D190" i="2"/>
  <c r="D189" i="2"/>
  <c r="D188" i="2"/>
  <c r="D259" i="2"/>
  <c r="D258" i="2"/>
  <c r="D257" i="2"/>
  <c r="D115" i="2"/>
  <c r="D114" i="2"/>
  <c r="D113" i="2"/>
  <c r="D43" i="2"/>
  <c r="D42" i="2"/>
  <c r="D41" i="2"/>
  <c r="D187" i="2"/>
  <c r="D186" i="2"/>
  <c r="D185" i="2"/>
  <c r="D256" i="2"/>
  <c r="D255" i="2"/>
  <c r="D254" i="2"/>
  <c r="D112" i="2"/>
  <c r="D111" i="2"/>
  <c r="D110" i="2"/>
  <c r="D40" i="2"/>
  <c r="D39" i="2"/>
  <c r="D38" i="2"/>
  <c r="D184" i="2"/>
  <c r="D183" i="2"/>
  <c r="D253" i="2"/>
  <c r="D252" i="2"/>
  <c r="D251" i="2"/>
  <c r="D109" i="2"/>
  <c r="D108" i="2"/>
  <c r="D107" i="2"/>
  <c r="D37" i="2"/>
  <c r="D36" i="2"/>
  <c r="D35" i="2"/>
  <c r="D181" i="2"/>
  <c r="D180" i="2"/>
  <c r="D179" i="2"/>
  <c r="D250" i="2"/>
  <c r="D249" i="2"/>
  <c r="D248" i="2"/>
  <c r="D106" i="2"/>
  <c r="D105" i="2"/>
  <c r="D104" i="2"/>
  <c r="D34" i="2"/>
  <c r="D33" i="2"/>
  <c r="D32" i="2"/>
  <c r="D178" i="2"/>
  <c r="D177" i="2"/>
  <c r="D176" i="2"/>
  <c r="D247" i="2"/>
  <c r="D246" i="2"/>
  <c r="D245" i="2"/>
  <c r="D103" i="2"/>
  <c r="D102" i="2"/>
  <c r="D101" i="2"/>
  <c r="D31" i="2"/>
  <c r="D30" i="2"/>
  <c r="D29" i="2"/>
  <c r="D175" i="2"/>
  <c r="D174" i="2"/>
  <c r="D173" i="2"/>
  <c r="D244" i="2"/>
  <c r="D243" i="2"/>
  <c r="D242" i="2"/>
  <c r="D100" i="2"/>
  <c r="D99" i="2"/>
  <c r="D98" i="2"/>
  <c r="D28" i="2"/>
  <c r="D27" i="2"/>
  <c r="D26" i="2"/>
  <c r="D172" i="2"/>
  <c r="D171" i="2"/>
  <c r="D170" i="2"/>
  <c r="D241" i="2"/>
  <c r="D240" i="2"/>
  <c r="D239" i="2"/>
  <c r="D97" i="2"/>
  <c r="D96" i="2"/>
  <c r="D95" i="2"/>
  <c r="D25" i="2"/>
  <c r="D24" i="2"/>
  <c r="D23" i="2"/>
  <c r="D169" i="2"/>
  <c r="D168" i="2"/>
  <c r="D167" i="2"/>
  <c r="D238" i="2"/>
  <c r="D237" i="2"/>
  <c r="D236" i="2"/>
  <c r="D94" i="2"/>
  <c r="D93" i="2"/>
  <c r="D92" i="2"/>
  <c r="D22" i="2"/>
  <c r="D21" i="2"/>
  <c r="D20" i="2"/>
  <c r="D166" i="2"/>
  <c r="D165" i="2"/>
  <c r="D164" i="2"/>
  <c r="D86" i="2"/>
  <c r="D87" i="2"/>
  <c r="D88" i="2"/>
  <c r="D230" i="2"/>
  <c r="D231" i="2"/>
  <c r="D232" i="2"/>
  <c r="D161" i="2"/>
  <c r="D162" i="2"/>
  <c r="D163" i="2"/>
  <c r="D17" i="2"/>
  <c r="D18" i="2"/>
  <c r="D19" i="2"/>
  <c r="D89" i="2"/>
  <c r="D90" i="2"/>
  <c r="D91" i="2"/>
  <c r="D233" i="2"/>
  <c r="D234" i="2"/>
  <c r="D235" i="2"/>
  <c r="D16" i="2"/>
  <c r="D15" i="2"/>
  <c r="D14" i="2"/>
  <c r="D160" i="2"/>
  <c r="D159" i="2"/>
  <c r="D158" i="2"/>
  <c r="D229" i="2"/>
  <c r="D228" i="2"/>
  <c r="D227" i="2"/>
  <c r="D85" i="2"/>
  <c r="D84" i="2"/>
  <c r="D83" i="2"/>
  <c r="D13" i="2"/>
  <c r="D12" i="2"/>
  <c r="D11" i="2"/>
  <c r="D157" i="2"/>
  <c r="D156" i="2"/>
  <c r="D155" i="2"/>
  <c r="D226" i="2"/>
  <c r="D225" i="2"/>
  <c r="D224" i="2"/>
  <c r="D82" i="2"/>
  <c r="D81" i="2"/>
  <c r="D80" i="2"/>
  <c r="D10" i="2"/>
  <c r="D9" i="2"/>
  <c r="D8" i="2"/>
  <c r="D154" i="2"/>
  <c r="D153" i="2"/>
  <c r="D152" i="2"/>
  <c r="D223" i="2"/>
  <c r="D222" i="2"/>
  <c r="D221" i="2"/>
  <c r="D79" i="2"/>
  <c r="D78" i="2"/>
  <c r="D77" i="2"/>
  <c r="D7" i="2"/>
  <c r="D6" i="2"/>
  <c r="D5" i="2"/>
  <c r="D151" i="2"/>
  <c r="D150" i="2"/>
  <c r="D149" i="2"/>
  <c r="D220" i="2"/>
  <c r="D219" i="2"/>
  <c r="D218" i="2"/>
  <c r="D76" i="2"/>
  <c r="D75" i="2"/>
  <c r="D74" i="2"/>
  <c r="D4" i="2"/>
  <c r="D3" i="2"/>
  <c r="D2" i="2"/>
  <c r="D148" i="2"/>
  <c r="D147" i="2"/>
  <c r="D146" i="2"/>
  <c r="C23" i="1"/>
  <c r="C14" i="1"/>
</calcChain>
</file>

<file path=xl/sharedStrings.xml><?xml version="1.0" encoding="utf-8"?>
<sst xmlns="http://schemas.openxmlformats.org/spreadsheetml/2006/main" count="1336" uniqueCount="62">
  <si>
    <t>Samples</t>
  </si>
  <si>
    <t>Strain</t>
  </si>
  <si>
    <t>Light</t>
  </si>
  <si>
    <t>Paracoccus</t>
  </si>
  <si>
    <t>Dark</t>
  </si>
  <si>
    <t>Aliidiomarina</t>
  </si>
  <si>
    <t>Syn.1_Dark</t>
  </si>
  <si>
    <t>Syn.2_Dark</t>
  </si>
  <si>
    <t>Syn.3_Dark</t>
  </si>
  <si>
    <t>IR</t>
  </si>
  <si>
    <t>Syn.1_IR</t>
  </si>
  <si>
    <t>Syn.2_IR</t>
  </si>
  <si>
    <t>Syn.3_IR</t>
  </si>
  <si>
    <t>OD600</t>
  </si>
  <si>
    <t>Time</t>
  </si>
  <si>
    <t>Group</t>
  </si>
  <si>
    <t>pd.NA1_Dark</t>
  </si>
  <si>
    <t>pd.NA2_Dark</t>
  </si>
  <si>
    <t>pd.NA3_Dark</t>
  </si>
  <si>
    <t>am.NA1_Dark</t>
  </si>
  <si>
    <t>am.NA2_Dark</t>
  </si>
  <si>
    <t>am.NA3_Dark</t>
  </si>
  <si>
    <t>pa.NA1_Dark</t>
  </si>
  <si>
    <t>pa.NA2_Dark</t>
  </si>
  <si>
    <t>pa.NA3_Dark</t>
  </si>
  <si>
    <t>pd.NA1_IR</t>
  </si>
  <si>
    <t>pd.NA2_IR</t>
  </si>
  <si>
    <t>pd.NA3_IR</t>
  </si>
  <si>
    <t>am.NA1_IR</t>
  </si>
  <si>
    <t>am.NA2_IR</t>
  </si>
  <si>
    <t>am.NA3_IR</t>
  </si>
  <si>
    <t>pa.NA1_IR</t>
  </si>
  <si>
    <t>pa.NA2_IR</t>
  </si>
  <si>
    <t>pa.NA3_IR</t>
  </si>
  <si>
    <t>Substrate</t>
  </si>
  <si>
    <t>Control</t>
  </si>
  <si>
    <t>Marinobacter</t>
  </si>
  <si>
    <t>Acetate</t>
  </si>
  <si>
    <t>Thiosulfate</t>
  </si>
  <si>
    <t>Synthetic Community</t>
  </si>
  <si>
    <t>pd.1_Dark</t>
  </si>
  <si>
    <t>pd.2_Dark</t>
  </si>
  <si>
    <t>pd.3_Dark</t>
  </si>
  <si>
    <t>am.1_Dark</t>
  </si>
  <si>
    <t>am.2_Dark</t>
  </si>
  <si>
    <t>am.3_Dark</t>
  </si>
  <si>
    <t>pd.1_IR</t>
  </si>
  <si>
    <t>pd.2_IR</t>
  </si>
  <si>
    <t>pd.3_IR</t>
  </si>
  <si>
    <t>am.1_IR</t>
  </si>
  <si>
    <t>am.2_IR</t>
  </si>
  <si>
    <t>am.3_IR</t>
  </si>
  <si>
    <t>mz.1_Dark</t>
  </si>
  <si>
    <t>mz.2_Dark</t>
  </si>
  <si>
    <t>mz.3_Dark</t>
  </si>
  <si>
    <t>mz.1_IR</t>
  </si>
  <si>
    <t>mz.2_IR</t>
  </si>
  <si>
    <t>mz.3_IR</t>
  </si>
  <si>
    <t>pd.1_Dark_2.20</t>
  </si>
  <si>
    <t>pd.1_Dark_2.22</t>
  </si>
  <si>
    <t>pd.1_Dark_2.28</t>
  </si>
  <si>
    <t>pd.1_Dark_3.2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</si>
</sst>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0DEC-D826-344C-9CB4-65DA41A807AF}">
  <dimension ref="A1:F58"/>
  <sheetViews>
    <sheetView tabSelected="1" zoomScale="89" workbookViewId="0">
      <selection activeCell="D6" sqref="D6"/>
    </sheetView>
  </sheetViews>
  <sheetFormatPr baseColWidth="10" defaultRowHeight="16" x14ac:dyDescent="0.2"/>
  <cols>
    <col min="1" max="1" width="15.83203125" customWidth="1"/>
    <col min="2" max="2" width="11.83203125" customWidth="1"/>
    <col min="3" max="3" width="16.33203125" customWidth="1"/>
    <col min="4" max="4" width="27.6640625" customWidth="1"/>
    <col min="5" max="5" width="26.1640625" customWidth="1"/>
    <col min="6" max="6" width="14.6640625" customWidth="1"/>
  </cols>
  <sheetData>
    <row r="1" spans="1:6" ht="17" thickBot="1" x14ac:dyDescent="0.25">
      <c r="A1" s="1" t="s">
        <v>0</v>
      </c>
      <c r="B1" s="2" t="s">
        <v>14</v>
      </c>
      <c r="C1" s="1" t="s">
        <v>13</v>
      </c>
      <c r="D1" s="1" t="s">
        <v>15</v>
      </c>
      <c r="E1" s="1" t="s">
        <v>1</v>
      </c>
      <c r="F1" s="1" t="s">
        <v>2</v>
      </c>
    </row>
    <row r="2" spans="1:6" x14ac:dyDescent="0.2">
      <c r="A2" t="s">
        <v>16</v>
      </c>
      <c r="B2">
        <v>0</v>
      </c>
      <c r="C2">
        <v>0.1338</v>
      </c>
      <c r="D2" t="str">
        <f>_xlfn.CONCAT(E2," (",F2,")")</f>
        <v>Paracoccus (Thiosulfate)</v>
      </c>
      <c r="E2" t="s">
        <v>3</v>
      </c>
      <c r="F2" t="s">
        <v>38</v>
      </c>
    </row>
    <row r="3" spans="1:6" x14ac:dyDescent="0.2">
      <c r="A3" t="s">
        <v>19</v>
      </c>
      <c r="B3">
        <v>0</v>
      </c>
      <c r="C3">
        <v>0.1195</v>
      </c>
      <c r="D3" t="str">
        <f t="shared" ref="D3:D16" si="0">_xlfn.CONCAT(E3," (",F3,")")</f>
        <v>Aliidiomarina (Thiosulfate)</v>
      </c>
      <c r="E3" t="s">
        <v>5</v>
      </c>
      <c r="F3" t="s">
        <v>38</v>
      </c>
    </row>
    <row r="4" spans="1:6" x14ac:dyDescent="0.2">
      <c r="A4" t="s">
        <v>24</v>
      </c>
      <c r="B4">
        <v>0</v>
      </c>
      <c r="C4">
        <v>0.14280000000000001</v>
      </c>
      <c r="D4" t="str">
        <f t="shared" si="0"/>
        <v>Marinobacter (Thiosulfate)</v>
      </c>
      <c r="E4" t="s">
        <v>36</v>
      </c>
      <c r="F4" t="s">
        <v>38</v>
      </c>
    </row>
    <row r="5" spans="1:6" x14ac:dyDescent="0.2">
      <c r="A5" t="s">
        <v>22</v>
      </c>
      <c r="B5">
        <v>12</v>
      </c>
      <c r="C5">
        <v>0.1341</v>
      </c>
      <c r="D5" t="str">
        <f t="shared" si="0"/>
        <v>Paracoccus (Thiosulfate)</v>
      </c>
      <c r="E5" t="s">
        <v>3</v>
      </c>
      <c r="F5" t="s">
        <v>38</v>
      </c>
    </row>
    <row r="6" spans="1:6" x14ac:dyDescent="0.2">
      <c r="A6" t="s">
        <v>23</v>
      </c>
      <c r="B6">
        <v>12</v>
      </c>
      <c r="C6">
        <v>0.13500000000000001</v>
      </c>
      <c r="D6" t="str">
        <f t="shared" si="0"/>
        <v>Paracoccus (Thiosulfate)</v>
      </c>
      <c r="E6" t="s">
        <v>3</v>
      </c>
      <c r="F6" t="s">
        <v>38</v>
      </c>
    </row>
    <row r="7" spans="1:6" x14ac:dyDescent="0.2">
      <c r="A7" t="s">
        <v>24</v>
      </c>
      <c r="B7">
        <v>12</v>
      </c>
      <c r="C7">
        <v>0.13289999999999999</v>
      </c>
      <c r="D7" t="str">
        <f t="shared" si="0"/>
        <v>Paracoccus (Thiosulfate)</v>
      </c>
      <c r="E7" t="s">
        <v>3</v>
      </c>
      <c r="F7" t="s">
        <v>38</v>
      </c>
    </row>
    <row r="8" spans="1:6" x14ac:dyDescent="0.2">
      <c r="A8" t="s">
        <v>6</v>
      </c>
      <c r="B8">
        <v>12</v>
      </c>
      <c r="C8">
        <v>0.1095</v>
      </c>
      <c r="D8" t="str">
        <f t="shared" si="0"/>
        <v>Aliidiomarina (Thiosulfate)</v>
      </c>
      <c r="E8" t="s">
        <v>5</v>
      </c>
      <c r="F8" t="s">
        <v>38</v>
      </c>
    </row>
    <row r="9" spans="1:6" x14ac:dyDescent="0.2">
      <c r="A9" t="s">
        <v>7</v>
      </c>
      <c r="B9">
        <v>12</v>
      </c>
      <c r="C9">
        <v>0.1105</v>
      </c>
      <c r="D9" t="str">
        <f t="shared" si="0"/>
        <v>Aliidiomarina (Thiosulfate)</v>
      </c>
      <c r="E9" t="s">
        <v>5</v>
      </c>
      <c r="F9" t="s">
        <v>38</v>
      </c>
    </row>
    <row r="10" spans="1:6" x14ac:dyDescent="0.2">
      <c r="A10" t="s">
        <v>8</v>
      </c>
      <c r="B10">
        <v>12</v>
      </c>
      <c r="C10">
        <v>0.1105</v>
      </c>
      <c r="D10" t="str">
        <f t="shared" si="0"/>
        <v>Aliidiomarina (Thiosulfate)</v>
      </c>
      <c r="E10" t="s">
        <v>5</v>
      </c>
      <c r="F10" t="s">
        <v>38</v>
      </c>
    </row>
    <row r="11" spans="1:6" x14ac:dyDescent="0.2">
      <c r="A11" t="s">
        <v>25</v>
      </c>
      <c r="B11">
        <v>12</v>
      </c>
      <c r="C11">
        <v>0.14130000000000001</v>
      </c>
      <c r="D11" t="str">
        <f t="shared" si="0"/>
        <v>Marinobacter (Thiosulfate)</v>
      </c>
      <c r="E11" t="s">
        <v>36</v>
      </c>
      <c r="F11" t="s">
        <v>38</v>
      </c>
    </row>
    <row r="12" spans="1:6" x14ac:dyDescent="0.2">
      <c r="A12" t="s">
        <v>26</v>
      </c>
      <c r="B12">
        <v>12</v>
      </c>
      <c r="C12">
        <v>0.1404</v>
      </c>
      <c r="D12" t="str">
        <f t="shared" si="0"/>
        <v>Marinobacter (Thiosulfate)</v>
      </c>
      <c r="E12" t="s">
        <v>36</v>
      </c>
      <c r="F12" t="s">
        <v>38</v>
      </c>
    </row>
    <row r="13" spans="1:6" x14ac:dyDescent="0.2">
      <c r="A13" t="s">
        <v>27</v>
      </c>
      <c r="B13">
        <v>12</v>
      </c>
      <c r="C13">
        <v>0.1429</v>
      </c>
      <c r="D13" t="str">
        <f t="shared" si="0"/>
        <v>Marinobacter (Thiosulfate)</v>
      </c>
      <c r="E13" t="s">
        <v>36</v>
      </c>
      <c r="F13" t="s">
        <v>38</v>
      </c>
    </row>
    <row r="14" spans="1:6" s="3" customFormat="1" x14ac:dyDescent="0.2">
      <c r="A14" s="3" t="s">
        <v>28</v>
      </c>
      <c r="B14" s="3">
        <v>12</v>
      </c>
      <c r="C14" s="3">
        <f>AVERAGE(C15:C16)</f>
        <v>0.13240000000000002</v>
      </c>
      <c r="D14" t="str">
        <f t="shared" si="0"/>
        <v>Paracoccus (Thiosulfate)</v>
      </c>
      <c r="E14" s="3" t="s">
        <v>3</v>
      </c>
      <c r="F14" t="s">
        <v>38</v>
      </c>
    </row>
    <row r="15" spans="1:6" x14ac:dyDescent="0.2">
      <c r="A15" t="s">
        <v>29</v>
      </c>
      <c r="B15">
        <v>12</v>
      </c>
      <c r="C15">
        <v>0.1326</v>
      </c>
      <c r="D15" t="str">
        <f t="shared" si="0"/>
        <v>Paracoccus (Thiosulfate)</v>
      </c>
      <c r="E15" t="s">
        <v>3</v>
      </c>
      <c r="F15" t="s">
        <v>38</v>
      </c>
    </row>
    <row r="16" spans="1:6" x14ac:dyDescent="0.2">
      <c r="A16" t="s">
        <v>30</v>
      </c>
      <c r="B16">
        <v>12</v>
      </c>
      <c r="C16">
        <v>0.13220000000000001</v>
      </c>
      <c r="D16" t="str">
        <f t="shared" si="0"/>
        <v>Paracoccus (Thiosulfate)</v>
      </c>
      <c r="E16" t="s">
        <v>3</v>
      </c>
      <c r="F16" t="s">
        <v>38</v>
      </c>
    </row>
    <row r="17" spans="1:6" x14ac:dyDescent="0.2">
      <c r="A17" t="s">
        <v>31</v>
      </c>
      <c r="B17">
        <v>12</v>
      </c>
      <c r="C17">
        <v>0.104</v>
      </c>
      <c r="D17" t="str">
        <f t="shared" ref="D17:D58" si="1">_xlfn.CONCAT(E17," (",F17,")")</f>
        <v>Aliidiomarina (Thiosulfate)</v>
      </c>
      <c r="E17" t="s">
        <v>5</v>
      </c>
      <c r="F17" t="s">
        <v>38</v>
      </c>
    </row>
    <row r="18" spans="1:6" x14ac:dyDescent="0.2">
      <c r="A18" t="s">
        <v>32</v>
      </c>
      <c r="B18">
        <v>12</v>
      </c>
      <c r="C18">
        <v>0.1012</v>
      </c>
      <c r="D18" t="str">
        <f t="shared" si="1"/>
        <v>Aliidiomarina (Thiosulfate)</v>
      </c>
      <c r="E18" t="s">
        <v>5</v>
      </c>
      <c r="F18" t="s">
        <v>38</v>
      </c>
    </row>
    <row r="19" spans="1:6" x14ac:dyDescent="0.2">
      <c r="A19" t="s">
        <v>33</v>
      </c>
      <c r="B19">
        <v>12</v>
      </c>
      <c r="C19">
        <v>0.10589999999999999</v>
      </c>
      <c r="D19" t="str">
        <f t="shared" si="1"/>
        <v>Aliidiomarina (Thiosulfate)</v>
      </c>
      <c r="E19" t="s">
        <v>5</v>
      </c>
      <c r="F19" t="s">
        <v>38</v>
      </c>
    </row>
    <row r="20" spans="1:6" x14ac:dyDescent="0.2">
      <c r="A20" t="s">
        <v>10</v>
      </c>
      <c r="B20">
        <v>12</v>
      </c>
      <c r="C20">
        <v>0.14199999999999999</v>
      </c>
      <c r="D20" t="str">
        <f t="shared" si="1"/>
        <v>Marinobacter (Thiosulfate)</v>
      </c>
      <c r="E20" t="s">
        <v>36</v>
      </c>
      <c r="F20" t="s">
        <v>38</v>
      </c>
    </row>
    <row r="21" spans="1:6" x14ac:dyDescent="0.2">
      <c r="A21" t="s">
        <v>11</v>
      </c>
      <c r="B21">
        <v>12</v>
      </c>
      <c r="C21">
        <v>0.1404</v>
      </c>
      <c r="D21" t="str">
        <f t="shared" si="1"/>
        <v>Marinobacter (Thiosulfate)</v>
      </c>
      <c r="E21" t="s">
        <v>36</v>
      </c>
      <c r="F21" t="s">
        <v>38</v>
      </c>
    </row>
    <row r="22" spans="1:6" x14ac:dyDescent="0.2">
      <c r="A22" t="s">
        <v>12</v>
      </c>
      <c r="B22">
        <v>12</v>
      </c>
      <c r="C22">
        <v>0.13919999999999999</v>
      </c>
      <c r="D22" t="str">
        <f t="shared" si="1"/>
        <v>Marinobacter (Thiosulfate)</v>
      </c>
      <c r="E22" t="s">
        <v>36</v>
      </c>
      <c r="F22" t="s">
        <v>38</v>
      </c>
    </row>
    <row r="23" spans="1:6" s="3" customFormat="1" x14ac:dyDescent="0.2">
      <c r="A23" s="3" t="s">
        <v>16</v>
      </c>
      <c r="B23" s="3">
        <v>12</v>
      </c>
      <c r="C23" s="3">
        <f>AVERAGE(C24:C25)</f>
        <v>0.1409</v>
      </c>
      <c r="D23" t="str">
        <f t="shared" si="1"/>
        <v>Paracoccus (Thiosulfate)</v>
      </c>
      <c r="E23" s="3" t="s">
        <v>3</v>
      </c>
      <c r="F23" t="s">
        <v>38</v>
      </c>
    </row>
    <row r="24" spans="1:6" x14ac:dyDescent="0.2">
      <c r="A24" t="s">
        <v>17</v>
      </c>
      <c r="B24">
        <v>12</v>
      </c>
      <c r="C24">
        <v>0.1472</v>
      </c>
      <c r="D24" t="str">
        <f t="shared" si="1"/>
        <v>Paracoccus (Thiosulfate)</v>
      </c>
      <c r="E24" t="s">
        <v>3</v>
      </c>
      <c r="F24" t="s">
        <v>38</v>
      </c>
    </row>
    <row r="25" spans="1:6" x14ac:dyDescent="0.2">
      <c r="A25" t="s">
        <v>18</v>
      </c>
      <c r="B25">
        <v>12</v>
      </c>
      <c r="C25">
        <v>0.1346</v>
      </c>
      <c r="D25" t="str">
        <f t="shared" si="1"/>
        <v>Paracoccus (Thiosulfate)</v>
      </c>
      <c r="E25" t="s">
        <v>3</v>
      </c>
      <c r="F25" t="s">
        <v>38</v>
      </c>
    </row>
    <row r="26" spans="1:6" x14ac:dyDescent="0.2">
      <c r="A26" t="s">
        <v>19</v>
      </c>
      <c r="B26">
        <v>12</v>
      </c>
      <c r="C26">
        <v>0.107</v>
      </c>
      <c r="D26" t="str">
        <f t="shared" si="1"/>
        <v>Aliidiomarina (Thiosulfate)</v>
      </c>
      <c r="E26" t="s">
        <v>5</v>
      </c>
      <c r="F26" t="s">
        <v>38</v>
      </c>
    </row>
    <row r="27" spans="1:6" x14ac:dyDescent="0.2">
      <c r="A27" t="s">
        <v>20</v>
      </c>
      <c r="B27">
        <v>12</v>
      </c>
      <c r="C27">
        <v>0.1046</v>
      </c>
      <c r="D27" t="str">
        <f t="shared" si="1"/>
        <v>Aliidiomarina (Thiosulfate)</v>
      </c>
      <c r="E27" t="s">
        <v>5</v>
      </c>
      <c r="F27" t="s">
        <v>38</v>
      </c>
    </row>
    <row r="28" spans="1:6" x14ac:dyDescent="0.2">
      <c r="A28" t="s">
        <v>21</v>
      </c>
      <c r="B28">
        <v>12</v>
      </c>
      <c r="C28">
        <v>0.1011</v>
      </c>
      <c r="D28" t="str">
        <f t="shared" si="1"/>
        <v>Aliidiomarina (Thiosulfate)</v>
      </c>
      <c r="E28" t="s">
        <v>5</v>
      </c>
      <c r="F28" t="s">
        <v>38</v>
      </c>
    </row>
    <row r="29" spans="1:6" x14ac:dyDescent="0.2">
      <c r="A29" t="s">
        <v>22</v>
      </c>
      <c r="B29">
        <v>12</v>
      </c>
      <c r="C29">
        <v>0.1401</v>
      </c>
      <c r="D29" t="str">
        <f t="shared" si="1"/>
        <v>Marinobacter (Thiosulfate)</v>
      </c>
      <c r="E29" t="s">
        <v>36</v>
      </c>
      <c r="F29" t="s">
        <v>38</v>
      </c>
    </row>
    <row r="30" spans="1:6" x14ac:dyDescent="0.2">
      <c r="A30" t="s">
        <v>23</v>
      </c>
      <c r="B30">
        <v>12</v>
      </c>
      <c r="C30">
        <v>0.14299999999999999</v>
      </c>
      <c r="D30" t="str">
        <f t="shared" si="1"/>
        <v>Marinobacter (Thiosulfate)</v>
      </c>
      <c r="E30" t="s">
        <v>36</v>
      </c>
      <c r="F30" t="s">
        <v>38</v>
      </c>
    </row>
    <row r="31" spans="1:6" x14ac:dyDescent="0.2">
      <c r="A31" t="s">
        <v>24</v>
      </c>
      <c r="B31">
        <v>12</v>
      </c>
      <c r="C31">
        <v>0.1389</v>
      </c>
      <c r="D31" t="str">
        <f t="shared" si="1"/>
        <v>Marinobacter (Thiosulfate)</v>
      </c>
      <c r="E31" t="s">
        <v>36</v>
      </c>
      <c r="F31" t="s">
        <v>38</v>
      </c>
    </row>
    <row r="32" spans="1:6" x14ac:dyDescent="0.2">
      <c r="A32" t="s">
        <v>6</v>
      </c>
      <c r="B32">
        <v>12</v>
      </c>
      <c r="C32">
        <v>0.1343</v>
      </c>
      <c r="D32" t="str">
        <f t="shared" si="1"/>
        <v>Paracoccus (Thiosulfate)</v>
      </c>
      <c r="E32" t="s">
        <v>3</v>
      </c>
      <c r="F32" t="s">
        <v>38</v>
      </c>
    </row>
    <row r="33" spans="1:6" x14ac:dyDescent="0.2">
      <c r="A33" t="s">
        <v>7</v>
      </c>
      <c r="B33">
        <v>12</v>
      </c>
      <c r="C33">
        <v>0.13120000000000001</v>
      </c>
      <c r="D33" t="str">
        <f t="shared" si="1"/>
        <v>Paracoccus (Thiosulfate)</v>
      </c>
      <c r="E33" t="s">
        <v>3</v>
      </c>
      <c r="F33" t="s">
        <v>38</v>
      </c>
    </row>
    <row r="34" spans="1:6" x14ac:dyDescent="0.2">
      <c r="A34" t="s">
        <v>8</v>
      </c>
      <c r="B34">
        <v>12</v>
      </c>
      <c r="C34">
        <v>0.1313</v>
      </c>
      <c r="D34" t="str">
        <f t="shared" si="1"/>
        <v>Paracoccus (Thiosulfate)</v>
      </c>
      <c r="E34" t="s">
        <v>3</v>
      </c>
      <c r="F34" t="s">
        <v>38</v>
      </c>
    </row>
    <row r="35" spans="1:6" x14ac:dyDescent="0.2">
      <c r="A35" t="s">
        <v>25</v>
      </c>
      <c r="B35">
        <v>12</v>
      </c>
      <c r="C35">
        <v>0.1084</v>
      </c>
      <c r="D35" t="str">
        <f t="shared" si="1"/>
        <v>Aliidiomarina (Thiosulfate)</v>
      </c>
      <c r="E35" t="s">
        <v>5</v>
      </c>
      <c r="F35" t="s">
        <v>38</v>
      </c>
    </row>
    <row r="36" spans="1:6" x14ac:dyDescent="0.2">
      <c r="A36" t="s">
        <v>26</v>
      </c>
      <c r="B36">
        <v>12</v>
      </c>
      <c r="C36">
        <v>0.1076</v>
      </c>
      <c r="D36" t="str">
        <f t="shared" si="1"/>
        <v>Aliidiomarina (Thiosulfate)</v>
      </c>
      <c r="E36" t="s">
        <v>5</v>
      </c>
      <c r="F36" t="s">
        <v>38</v>
      </c>
    </row>
    <row r="37" spans="1:6" x14ac:dyDescent="0.2">
      <c r="A37" t="s">
        <v>27</v>
      </c>
      <c r="B37">
        <v>12</v>
      </c>
      <c r="C37">
        <v>0.1077</v>
      </c>
      <c r="D37" t="str">
        <f t="shared" si="1"/>
        <v>Aliidiomarina (Thiosulfate)</v>
      </c>
      <c r="E37" t="s">
        <v>5</v>
      </c>
      <c r="F37" t="s">
        <v>38</v>
      </c>
    </row>
    <row r="38" spans="1:6" x14ac:dyDescent="0.2">
      <c r="A38" t="s">
        <v>28</v>
      </c>
      <c r="B38">
        <v>12</v>
      </c>
      <c r="C38">
        <v>0.13980000000000001</v>
      </c>
      <c r="D38" t="str">
        <f t="shared" si="1"/>
        <v>Marinobacter (Thiosulfate)</v>
      </c>
      <c r="E38" t="s">
        <v>36</v>
      </c>
      <c r="F38" t="s">
        <v>38</v>
      </c>
    </row>
    <row r="39" spans="1:6" x14ac:dyDescent="0.2">
      <c r="A39" t="s">
        <v>29</v>
      </c>
      <c r="B39">
        <v>12</v>
      </c>
      <c r="C39">
        <v>0.1431</v>
      </c>
      <c r="D39" t="str">
        <f t="shared" si="1"/>
        <v>Marinobacter (Thiosulfate)</v>
      </c>
      <c r="E39" t="s">
        <v>36</v>
      </c>
      <c r="F39" t="s">
        <v>38</v>
      </c>
    </row>
    <row r="40" spans="1:6" x14ac:dyDescent="0.2">
      <c r="A40" t="s">
        <v>30</v>
      </c>
      <c r="B40">
        <v>12</v>
      </c>
      <c r="C40">
        <v>0.1666</v>
      </c>
      <c r="D40" t="str">
        <f t="shared" si="1"/>
        <v>Marinobacter (Thiosulfate)</v>
      </c>
      <c r="E40" t="s">
        <v>36</v>
      </c>
      <c r="F40" t="s">
        <v>38</v>
      </c>
    </row>
    <row r="41" spans="1:6" x14ac:dyDescent="0.2">
      <c r="A41" t="s">
        <v>31</v>
      </c>
      <c r="B41">
        <v>12</v>
      </c>
      <c r="C41">
        <v>0.14130000000000001</v>
      </c>
      <c r="D41" t="str">
        <f t="shared" si="1"/>
        <v>Paracoccus (Thiosulfate)</v>
      </c>
      <c r="E41" t="s">
        <v>3</v>
      </c>
      <c r="F41" t="s">
        <v>38</v>
      </c>
    </row>
    <row r="42" spans="1:6" x14ac:dyDescent="0.2">
      <c r="A42" t="s">
        <v>32</v>
      </c>
      <c r="B42">
        <v>12</v>
      </c>
      <c r="C42">
        <v>0.15260000000000001</v>
      </c>
      <c r="D42" t="str">
        <f t="shared" si="1"/>
        <v>Paracoccus (Thiosulfate)</v>
      </c>
      <c r="E42" t="s">
        <v>3</v>
      </c>
      <c r="F42" t="s">
        <v>38</v>
      </c>
    </row>
    <row r="43" spans="1:6" x14ac:dyDescent="0.2">
      <c r="A43" t="s">
        <v>33</v>
      </c>
      <c r="B43">
        <v>12</v>
      </c>
      <c r="C43">
        <v>0.1351</v>
      </c>
      <c r="D43" t="str">
        <f t="shared" si="1"/>
        <v>Paracoccus (Thiosulfate)</v>
      </c>
      <c r="E43" t="s">
        <v>3</v>
      </c>
      <c r="F43" t="s">
        <v>38</v>
      </c>
    </row>
    <row r="44" spans="1:6" x14ac:dyDescent="0.2">
      <c r="A44" t="s">
        <v>10</v>
      </c>
      <c r="B44">
        <v>12</v>
      </c>
      <c r="C44">
        <v>0.1106</v>
      </c>
      <c r="D44" t="str">
        <f t="shared" si="1"/>
        <v>Aliidiomarina (Thiosulfate)</v>
      </c>
      <c r="E44" t="s">
        <v>5</v>
      </c>
      <c r="F44" t="s">
        <v>38</v>
      </c>
    </row>
    <row r="45" spans="1:6" x14ac:dyDescent="0.2">
      <c r="A45" t="s">
        <v>11</v>
      </c>
      <c r="B45">
        <v>12</v>
      </c>
      <c r="C45">
        <v>0.1101</v>
      </c>
      <c r="D45" t="str">
        <f t="shared" si="1"/>
        <v>Aliidiomarina (Thiosulfate)</v>
      </c>
      <c r="E45" t="s">
        <v>5</v>
      </c>
      <c r="F45" t="s">
        <v>38</v>
      </c>
    </row>
    <row r="46" spans="1:6" x14ac:dyDescent="0.2">
      <c r="A46" t="s">
        <v>12</v>
      </c>
      <c r="B46">
        <v>12</v>
      </c>
      <c r="C46">
        <v>0.1103</v>
      </c>
      <c r="D46" t="str">
        <f t="shared" si="1"/>
        <v>Aliidiomarina (Thiosulfate)</v>
      </c>
      <c r="E46" t="s">
        <v>5</v>
      </c>
      <c r="F46" t="s">
        <v>38</v>
      </c>
    </row>
    <row r="47" spans="1:6" x14ac:dyDescent="0.2">
      <c r="A47" t="s">
        <v>16</v>
      </c>
      <c r="B47">
        <v>12</v>
      </c>
      <c r="C47">
        <v>0.14149999999999999</v>
      </c>
      <c r="D47" t="str">
        <f t="shared" si="1"/>
        <v>Marinobacter (Thiosulfate)</v>
      </c>
      <c r="E47" t="s">
        <v>36</v>
      </c>
      <c r="F47" t="s">
        <v>38</v>
      </c>
    </row>
    <row r="48" spans="1:6" x14ac:dyDescent="0.2">
      <c r="A48" t="s">
        <v>17</v>
      </c>
      <c r="B48">
        <v>12</v>
      </c>
      <c r="C48">
        <v>0.1426</v>
      </c>
      <c r="D48" t="str">
        <f t="shared" si="1"/>
        <v>Marinobacter (Thiosulfate)</v>
      </c>
      <c r="E48" t="s">
        <v>36</v>
      </c>
      <c r="F48" t="s">
        <v>38</v>
      </c>
    </row>
    <row r="49" spans="1:6" x14ac:dyDescent="0.2">
      <c r="A49" t="s">
        <v>18</v>
      </c>
      <c r="B49">
        <v>12</v>
      </c>
      <c r="C49">
        <v>0.16830000000000001</v>
      </c>
      <c r="D49" t="str">
        <f t="shared" si="1"/>
        <v>Marinobacter (Thiosulfate)</v>
      </c>
      <c r="E49" t="s">
        <v>36</v>
      </c>
      <c r="F49" t="s">
        <v>38</v>
      </c>
    </row>
    <row r="50" spans="1:6" x14ac:dyDescent="0.2">
      <c r="A50" t="s">
        <v>19</v>
      </c>
      <c r="B50">
        <v>12</v>
      </c>
      <c r="C50">
        <v>0.1376</v>
      </c>
      <c r="D50" t="str">
        <f t="shared" si="1"/>
        <v>Paracoccus (Thiosulfate)</v>
      </c>
      <c r="E50" t="s">
        <v>3</v>
      </c>
      <c r="F50" t="s">
        <v>38</v>
      </c>
    </row>
    <row r="51" spans="1:6" x14ac:dyDescent="0.2">
      <c r="A51" t="s">
        <v>20</v>
      </c>
      <c r="B51">
        <v>12</v>
      </c>
      <c r="C51">
        <v>0.12989999999999999</v>
      </c>
      <c r="D51" t="str">
        <f t="shared" si="1"/>
        <v>Paracoccus (Thiosulfate)</v>
      </c>
      <c r="E51" t="s">
        <v>3</v>
      </c>
      <c r="F51" t="s">
        <v>38</v>
      </c>
    </row>
    <row r="52" spans="1:6" x14ac:dyDescent="0.2">
      <c r="A52" t="s">
        <v>21</v>
      </c>
      <c r="B52">
        <v>12</v>
      </c>
      <c r="C52">
        <v>0.13650000000000001</v>
      </c>
      <c r="D52" t="str">
        <f t="shared" si="1"/>
        <v>Paracoccus (Thiosulfate)</v>
      </c>
      <c r="E52" t="s">
        <v>3</v>
      </c>
      <c r="F52" t="s">
        <v>38</v>
      </c>
    </row>
    <row r="53" spans="1:6" x14ac:dyDescent="0.2">
      <c r="A53" t="s">
        <v>22</v>
      </c>
      <c r="B53">
        <v>12</v>
      </c>
      <c r="C53">
        <v>0.10680000000000001</v>
      </c>
      <c r="D53" t="str">
        <f t="shared" si="1"/>
        <v>Aliidiomarina (Thiosulfate)</v>
      </c>
      <c r="E53" t="s">
        <v>5</v>
      </c>
      <c r="F53" t="s">
        <v>38</v>
      </c>
    </row>
    <row r="54" spans="1:6" x14ac:dyDescent="0.2">
      <c r="A54" t="s">
        <v>23</v>
      </c>
      <c r="B54">
        <v>12</v>
      </c>
      <c r="C54">
        <v>0.11840000000000001</v>
      </c>
      <c r="D54" t="str">
        <f t="shared" si="1"/>
        <v>Aliidiomarina (Thiosulfate)</v>
      </c>
      <c r="E54" t="s">
        <v>5</v>
      </c>
      <c r="F54" t="s">
        <v>38</v>
      </c>
    </row>
    <row r="55" spans="1:6" x14ac:dyDescent="0.2">
      <c r="A55" t="s">
        <v>24</v>
      </c>
      <c r="B55">
        <v>12</v>
      </c>
      <c r="C55">
        <v>0.10580000000000001</v>
      </c>
      <c r="D55" t="str">
        <f t="shared" si="1"/>
        <v>Aliidiomarina (Thiosulfate)</v>
      </c>
      <c r="E55" t="s">
        <v>5</v>
      </c>
      <c r="F55" t="s">
        <v>38</v>
      </c>
    </row>
    <row r="56" spans="1:6" x14ac:dyDescent="0.2">
      <c r="A56" t="s">
        <v>6</v>
      </c>
      <c r="B56">
        <v>12</v>
      </c>
      <c r="C56">
        <v>0.1363</v>
      </c>
      <c r="D56" t="str">
        <f t="shared" si="1"/>
        <v>Marinobacter (Thiosulfate)</v>
      </c>
      <c r="E56" t="s">
        <v>36</v>
      </c>
      <c r="F56" t="s">
        <v>38</v>
      </c>
    </row>
    <row r="57" spans="1:6" x14ac:dyDescent="0.2">
      <c r="A57" t="s">
        <v>7</v>
      </c>
      <c r="B57">
        <v>12</v>
      </c>
      <c r="C57">
        <v>0.13900000000000001</v>
      </c>
      <c r="D57" t="str">
        <f t="shared" si="1"/>
        <v>Marinobacter (Thiosulfate)</v>
      </c>
      <c r="E57" t="s">
        <v>36</v>
      </c>
      <c r="F57" t="s">
        <v>38</v>
      </c>
    </row>
    <row r="58" spans="1:6" x14ac:dyDescent="0.2">
      <c r="A58" t="s">
        <v>8</v>
      </c>
      <c r="B58">
        <v>12</v>
      </c>
      <c r="C58">
        <v>0.1893</v>
      </c>
      <c r="D58" t="str">
        <f t="shared" si="1"/>
        <v>Marinobacter (Thiosulfate)</v>
      </c>
      <c r="E58" t="s">
        <v>36</v>
      </c>
      <c r="F58" t="s">
        <v>38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557B-E276-AA4F-8382-CA2F2241A596}">
  <dimension ref="A1:G289"/>
  <sheetViews>
    <sheetView topLeftCell="A19" workbookViewId="0">
      <selection activeCell="E62" sqref="E62"/>
    </sheetView>
  </sheetViews>
  <sheetFormatPr baseColWidth="10" defaultRowHeight="16" x14ac:dyDescent="0.2"/>
  <cols>
    <col min="1" max="1" width="13.83203125" customWidth="1"/>
    <col min="4" max="4" width="28" customWidth="1"/>
    <col min="5" max="5" width="15.1640625" customWidth="1"/>
  </cols>
  <sheetData>
    <row r="1" spans="1:7" ht="17" thickBot="1" x14ac:dyDescent="0.25">
      <c r="A1" s="1" t="s">
        <v>0</v>
      </c>
      <c r="B1" s="2" t="s">
        <v>14</v>
      </c>
      <c r="C1" s="1" t="s">
        <v>13</v>
      </c>
      <c r="D1" s="1" t="s">
        <v>15</v>
      </c>
      <c r="E1" s="1" t="s">
        <v>1</v>
      </c>
      <c r="F1" s="1" t="s">
        <v>34</v>
      </c>
      <c r="G1" s="1" t="s">
        <v>2</v>
      </c>
    </row>
    <row r="2" spans="1:7" x14ac:dyDescent="0.2">
      <c r="A2" t="s">
        <v>43</v>
      </c>
      <c r="B2">
        <v>0</v>
      </c>
      <c r="C2">
        <v>0.1153</v>
      </c>
      <c r="D2" t="str">
        <f t="shared" ref="D2:D65" si="0">_xlfn.CONCAT(E2," (",F2," &amp; ",G2,")")</f>
        <v>Aliidiomarina (Control &amp; Dark)</v>
      </c>
      <c r="E2" t="s">
        <v>5</v>
      </c>
      <c r="F2" t="s">
        <v>35</v>
      </c>
      <c r="G2" t="s">
        <v>4</v>
      </c>
    </row>
    <row r="3" spans="1:7" x14ac:dyDescent="0.2">
      <c r="A3" t="s">
        <v>44</v>
      </c>
      <c r="B3">
        <v>0</v>
      </c>
      <c r="C3">
        <v>0.1148</v>
      </c>
      <c r="D3" t="str">
        <f t="shared" si="0"/>
        <v>Aliidiomarina (Control &amp; Dark)</v>
      </c>
      <c r="E3" t="s">
        <v>5</v>
      </c>
      <c r="F3" t="s">
        <v>35</v>
      </c>
      <c r="G3" t="s">
        <v>4</v>
      </c>
    </row>
    <row r="4" spans="1:7" x14ac:dyDescent="0.2">
      <c r="A4" t="s">
        <v>45</v>
      </c>
      <c r="B4">
        <v>0</v>
      </c>
      <c r="C4">
        <v>0.1149</v>
      </c>
      <c r="D4" t="str">
        <f t="shared" si="0"/>
        <v>Aliidiomarina (Control &amp; Dark)</v>
      </c>
      <c r="E4" t="s">
        <v>5</v>
      </c>
      <c r="F4" t="s">
        <v>35</v>
      </c>
      <c r="G4" t="s">
        <v>4</v>
      </c>
    </row>
    <row r="5" spans="1:7" x14ac:dyDescent="0.2">
      <c r="A5" t="s">
        <v>49</v>
      </c>
      <c r="B5">
        <v>0</v>
      </c>
      <c r="C5">
        <v>0.1138</v>
      </c>
      <c r="D5" t="str">
        <f t="shared" si="0"/>
        <v>Aliidiomarina (Acetate &amp; Dark)</v>
      </c>
      <c r="E5" t="s">
        <v>5</v>
      </c>
      <c r="F5" t="s">
        <v>37</v>
      </c>
      <c r="G5" t="s">
        <v>4</v>
      </c>
    </row>
    <row r="6" spans="1:7" x14ac:dyDescent="0.2">
      <c r="A6" t="s">
        <v>50</v>
      </c>
      <c r="B6">
        <v>0</v>
      </c>
      <c r="C6">
        <v>0.113</v>
      </c>
      <c r="D6" t="str">
        <f t="shared" si="0"/>
        <v>Aliidiomarina (Acetate &amp; Dark)</v>
      </c>
      <c r="E6" t="s">
        <v>5</v>
      </c>
      <c r="F6" t="s">
        <v>37</v>
      </c>
      <c r="G6" t="s">
        <v>4</v>
      </c>
    </row>
    <row r="7" spans="1:7" x14ac:dyDescent="0.2">
      <c r="A7" t="s">
        <v>51</v>
      </c>
      <c r="B7">
        <v>0</v>
      </c>
      <c r="C7">
        <v>0.1135</v>
      </c>
      <c r="D7" t="str">
        <f t="shared" si="0"/>
        <v>Aliidiomarina (Acetate &amp; Dark)</v>
      </c>
      <c r="E7" t="s">
        <v>5</v>
      </c>
      <c r="F7" t="s">
        <v>37</v>
      </c>
      <c r="G7" t="s">
        <v>4</v>
      </c>
    </row>
    <row r="8" spans="1:7" x14ac:dyDescent="0.2">
      <c r="A8" t="s">
        <v>43</v>
      </c>
      <c r="B8">
        <v>0</v>
      </c>
      <c r="C8">
        <v>0.1145</v>
      </c>
      <c r="D8" t="str">
        <f t="shared" si="0"/>
        <v>Aliidiomarina (Thiosulfate &amp; Dark)</v>
      </c>
      <c r="E8" t="s">
        <v>5</v>
      </c>
      <c r="F8" t="s">
        <v>38</v>
      </c>
      <c r="G8" t="s">
        <v>4</v>
      </c>
    </row>
    <row r="9" spans="1:7" x14ac:dyDescent="0.2">
      <c r="A9" t="s">
        <v>44</v>
      </c>
      <c r="B9">
        <v>0</v>
      </c>
      <c r="C9">
        <v>0.1142</v>
      </c>
      <c r="D9" t="str">
        <f t="shared" si="0"/>
        <v>Aliidiomarina (Thiosulfate &amp; Dark)</v>
      </c>
      <c r="E9" t="s">
        <v>5</v>
      </c>
      <c r="F9" t="s">
        <v>38</v>
      </c>
      <c r="G9" t="s">
        <v>4</v>
      </c>
    </row>
    <row r="10" spans="1:7" x14ac:dyDescent="0.2">
      <c r="A10" t="s">
        <v>45</v>
      </c>
      <c r="B10">
        <v>0</v>
      </c>
      <c r="C10">
        <v>0.1177</v>
      </c>
      <c r="D10" t="str">
        <f t="shared" si="0"/>
        <v>Aliidiomarina (Thiosulfate &amp; Dark)</v>
      </c>
      <c r="E10" t="s">
        <v>5</v>
      </c>
      <c r="F10" t="s">
        <v>38</v>
      </c>
      <c r="G10" t="s">
        <v>4</v>
      </c>
    </row>
    <row r="11" spans="1:7" x14ac:dyDescent="0.2">
      <c r="A11" t="s">
        <v>49</v>
      </c>
      <c r="B11">
        <v>0</v>
      </c>
      <c r="C11">
        <v>0.1138</v>
      </c>
      <c r="D11" t="str">
        <f t="shared" si="0"/>
        <v>Aliidiomarina (Control &amp; IR)</v>
      </c>
      <c r="E11" t="s">
        <v>5</v>
      </c>
      <c r="F11" t="s">
        <v>35</v>
      </c>
      <c r="G11" t="s">
        <v>9</v>
      </c>
    </row>
    <row r="12" spans="1:7" x14ac:dyDescent="0.2">
      <c r="A12" t="s">
        <v>50</v>
      </c>
      <c r="B12">
        <v>0</v>
      </c>
      <c r="C12">
        <v>0.11409999999999999</v>
      </c>
      <c r="D12" t="str">
        <f t="shared" si="0"/>
        <v>Aliidiomarina (Control &amp; IR)</v>
      </c>
      <c r="E12" t="s">
        <v>5</v>
      </c>
      <c r="F12" t="s">
        <v>35</v>
      </c>
      <c r="G12" t="s">
        <v>9</v>
      </c>
    </row>
    <row r="13" spans="1:7" x14ac:dyDescent="0.2">
      <c r="A13" t="s">
        <v>51</v>
      </c>
      <c r="B13">
        <v>0</v>
      </c>
      <c r="C13">
        <v>0.11310000000000001</v>
      </c>
      <c r="D13" t="str">
        <f t="shared" si="0"/>
        <v>Aliidiomarina (Control &amp; IR)</v>
      </c>
      <c r="E13" t="s">
        <v>5</v>
      </c>
      <c r="F13" t="s">
        <v>35</v>
      </c>
      <c r="G13" t="s">
        <v>9</v>
      </c>
    </row>
    <row r="14" spans="1:7" x14ac:dyDescent="0.2">
      <c r="A14" t="s">
        <v>49</v>
      </c>
      <c r="B14">
        <v>0</v>
      </c>
      <c r="C14">
        <v>0.11459999999999999</v>
      </c>
      <c r="D14" t="str">
        <f t="shared" si="0"/>
        <v>Aliidiomarina (Acetate &amp; IR)</v>
      </c>
      <c r="E14" t="s">
        <v>5</v>
      </c>
      <c r="F14" t="s">
        <v>37</v>
      </c>
      <c r="G14" t="s">
        <v>9</v>
      </c>
    </row>
    <row r="15" spans="1:7" x14ac:dyDescent="0.2">
      <c r="A15" t="s">
        <v>50</v>
      </c>
      <c r="B15">
        <v>0</v>
      </c>
      <c r="C15">
        <v>0.1137</v>
      </c>
      <c r="D15" t="str">
        <f t="shared" si="0"/>
        <v>Aliidiomarina (Acetate &amp; IR)</v>
      </c>
      <c r="E15" t="s">
        <v>5</v>
      </c>
      <c r="F15" t="s">
        <v>37</v>
      </c>
      <c r="G15" t="s">
        <v>9</v>
      </c>
    </row>
    <row r="16" spans="1:7" x14ac:dyDescent="0.2">
      <c r="A16" t="s">
        <v>51</v>
      </c>
      <c r="B16">
        <v>0</v>
      </c>
      <c r="C16">
        <v>0.11409999999999999</v>
      </c>
      <c r="D16" t="str">
        <f t="shared" si="0"/>
        <v>Aliidiomarina (Acetate &amp; IR)</v>
      </c>
      <c r="E16" t="s">
        <v>5</v>
      </c>
      <c r="F16" t="s">
        <v>37</v>
      </c>
      <c r="G16" t="s">
        <v>9</v>
      </c>
    </row>
    <row r="17" spans="1:7" x14ac:dyDescent="0.2">
      <c r="A17" t="s">
        <v>49</v>
      </c>
      <c r="B17">
        <v>0</v>
      </c>
      <c r="C17">
        <v>0.1128</v>
      </c>
      <c r="D17" t="str">
        <f t="shared" si="0"/>
        <v>Aliidiomarina (Thiosulfate &amp; IR)</v>
      </c>
      <c r="E17" t="s">
        <v>5</v>
      </c>
      <c r="F17" t="s">
        <v>38</v>
      </c>
      <c r="G17" t="s">
        <v>9</v>
      </c>
    </row>
    <row r="18" spans="1:7" x14ac:dyDescent="0.2">
      <c r="A18" t="s">
        <v>50</v>
      </c>
      <c r="B18">
        <v>0</v>
      </c>
      <c r="C18">
        <v>0.1164</v>
      </c>
      <c r="D18" t="str">
        <f t="shared" si="0"/>
        <v>Aliidiomarina (Thiosulfate &amp; IR)</v>
      </c>
      <c r="E18" t="s">
        <v>5</v>
      </c>
      <c r="F18" t="s">
        <v>38</v>
      </c>
      <c r="G18" t="s">
        <v>9</v>
      </c>
    </row>
    <row r="19" spans="1:7" x14ac:dyDescent="0.2">
      <c r="A19" t="s">
        <v>51</v>
      </c>
      <c r="B19">
        <v>0</v>
      </c>
      <c r="C19">
        <v>0.1171</v>
      </c>
      <c r="D19" t="str">
        <f t="shared" si="0"/>
        <v>Aliidiomarina (Thiosulfate &amp; IR)</v>
      </c>
      <c r="E19" t="s">
        <v>5</v>
      </c>
      <c r="F19" t="s">
        <v>38</v>
      </c>
      <c r="G19" t="s">
        <v>9</v>
      </c>
    </row>
    <row r="20" spans="1:7" x14ac:dyDescent="0.2">
      <c r="A20" t="s">
        <v>43</v>
      </c>
      <c r="B20">
        <v>48</v>
      </c>
      <c r="C20">
        <v>0.1096</v>
      </c>
      <c r="D20" t="str">
        <f t="shared" si="0"/>
        <v>Aliidiomarina (Control &amp; Dark)</v>
      </c>
      <c r="E20" t="s">
        <v>5</v>
      </c>
      <c r="F20" t="s">
        <v>35</v>
      </c>
      <c r="G20" t="s">
        <v>4</v>
      </c>
    </row>
    <row r="21" spans="1:7" x14ac:dyDescent="0.2">
      <c r="A21" t="s">
        <v>44</v>
      </c>
      <c r="B21">
        <v>48</v>
      </c>
      <c r="C21">
        <v>0.1125</v>
      </c>
      <c r="D21" t="str">
        <f t="shared" si="0"/>
        <v>Aliidiomarina (Control &amp; Dark)</v>
      </c>
      <c r="E21" t="s">
        <v>5</v>
      </c>
      <c r="F21" t="s">
        <v>35</v>
      </c>
      <c r="G21" t="s">
        <v>4</v>
      </c>
    </row>
    <row r="22" spans="1:7" x14ac:dyDescent="0.2">
      <c r="A22" t="s">
        <v>45</v>
      </c>
      <c r="B22">
        <v>48</v>
      </c>
      <c r="C22">
        <v>0.114</v>
      </c>
      <c r="D22" t="str">
        <f t="shared" si="0"/>
        <v>Aliidiomarina (Control &amp; Dark)</v>
      </c>
      <c r="E22" t="s">
        <v>5</v>
      </c>
      <c r="F22" t="s">
        <v>35</v>
      </c>
      <c r="G22" t="s">
        <v>4</v>
      </c>
    </row>
    <row r="23" spans="1:7" x14ac:dyDescent="0.2">
      <c r="A23" t="s">
        <v>49</v>
      </c>
      <c r="B23">
        <v>48</v>
      </c>
      <c r="C23">
        <v>0.1158</v>
      </c>
      <c r="D23" t="str">
        <f t="shared" si="0"/>
        <v>Aliidiomarina (Acetate &amp; Dark)</v>
      </c>
      <c r="E23" t="s">
        <v>5</v>
      </c>
      <c r="F23" t="s">
        <v>37</v>
      </c>
      <c r="G23" t="s">
        <v>4</v>
      </c>
    </row>
    <row r="24" spans="1:7" x14ac:dyDescent="0.2">
      <c r="A24" t="s">
        <v>50</v>
      </c>
      <c r="B24">
        <v>48</v>
      </c>
      <c r="C24">
        <v>0.12280000000000001</v>
      </c>
      <c r="D24" t="str">
        <f t="shared" si="0"/>
        <v>Aliidiomarina (Acetate &amp; Dark)</v>
      </c>
      <c r="E24" t="s">
        <v>5</v>
      </c>
      <c r="F24" t="s">
        <v>37</v>
      </c>
      <c r="G24" t="s">
        <v>4</v>
      </c>
    </row>
    <row r="25" spans="1:7" x14ac:dyDescent="0.2">
      <c r="A25" t="s">
        <v>51</v>
      </c>
      <c r="B25">
        <v>48</v>
      </c>
      <c r="C25">
        <v>0.12590000000000001</v>
      </c>
      <c r="D25" t="str">
        <f t="shared" si="0"/>
        <v>Aliidiomarina (Acetate &amp; Dark)</v>
      </c>
      <c r="E25" t="s">
        <v>5</v>
      </c>
      <c r="F25" t="s">
        <v>37</v>
      </c>
      <c r="G25" t="s">
        <v>4</v>
      </c>
    </row>
    <row r="26" spans="1:7" x14ac:dyDescent="0.2">
      <c r="A26" t="s">
        <v>43</v>
      </c>
      <c r="B26">
        <v>48</v>
      </c>
      <c r="C26">
        <v>0.10879999999999999</v>
      </c>
      <c r="D26" t="str">
        <f t="shared" si="0"/>
        <v>Aliidiomarina (Thiosulfate &amp; Dark)</v>
      </c>
      <c r="E26" t="s">
        <v>5</v>
      </c>
      <c r="F26" t="s">
        <v>38</v>
      </c>
      <c r="G26" t="s">
        <v>4</v>
      </c>
    </row>
    <row r="27" spans="1:7" x14ac:dyDescent="0.2">
      <c r="A27" t="s">
        <v>44</v>
      </c>
      <c r="B27">
        <v>48</v>
      </c>
      <c r="C27">
        <v>0.10829999999999999</v>
      </c>
      <c r="D27" t="str">
        <f t="shared" si="0"/>
        <v>Aliidiomarina (Thiosulfate &amp; Dark)</v>
      </c>
      <c r="E27" t="s">
        <v>5</v>
      </c>
      <c r="F27" t="s">
        <v>38</v>
      </c>
      <c r="G27" t="s">
        <v>4</v>
      </c>
    </row>
    <row r="28" spans="1:7" x14ac:dyDescent="0.2">
      <c r="A28" t="s">
        <v>45</v>
      </c>
      <c r="B28">
        <v>48</v>
      </c>
      <c r="C28">
        <v>0.1115</v>
      </c>
      <c r="D28" t="str">
        <f t="shared" si="0"/>
        <v>Aliidiomarina (Thiosulfate &amp; Dark)</v>
      </c>
      <c r="E28" t="s">
        <v>5</v>
      </c>
      <c r="F28" t="s">
        <v>38</v>
      </c>
      <c r="G28" t="s">
        <v>4</v>
      </c>
    </row>
    <row r="29" spans="1:7" x14ac:dyDescent="0.2">
      <c r="A29" t="s">
        <v>49</v>
      </c>
      <c r="B29">
        <v>48</v>
      </c>
      <c r="C29">
        <v>0.1101</v>
      </c>
      <c r="D29" t="str">
        <f t="shared" si="0"/>
        <v>Aliidiomarina (Control &amp; IR)</v>
      </c>
      <c r="E29" t="s">
        <v>5</v>
      </c>
      <c r="F29" t="s">
        <v>35</v>
      </c>
      <c r="G29" t="s">
        <v>9</v>
      </c>
    </row>
    <row r="30" spans="1:7" x14ac:dyDescent="0.2">
      <c r="A30" t="s">
        <v>50</v>
      </c>
      <c r="B30">
        <v>48</v>
      </c>
      <c r="C30">
        <v>0.1106</v>
      </c>
      <c r="D30" t="str">
        <f t="shared" si="0"/>
        <v>Aliidiomarina (Control &amp; IR)</v>
      </c>
      <c r="E30" t="s">
        <v>5</v>
      </c>
      <c r="F30" t="s">
        <v>35</v>
      </c>
      <c r="G30" t="s">
        <v>9</v>
      </c>
    </row>
    <row r="31" spans="1:7" x14ac:dyDescent="0.2">
      <c r="A31" t="s">
        <v>51</v>
      </c>
      <c r="B31">
        <v>48</v>
      </c>
      <c r="C31">
        <v>0.1106</v>
      </c>
      <c r="D31" t="str">
        <f t="shared" si="0"/>
        <v>Aliidiomarina (Control &amp; IR)</v>
      </c>
      <c r="E31" t="s">
        <v>5</v>
      </c>
      <c r="F31" t="s">
        <v>35</v>
      </c>
      <c r="G31" t="s">
        <v>9</v>
      </c>
    </row>
    <row r="32" spans="1:7" x14ac:dyDescent="0.2">
      <c r="A32" t="s">
        <v>49</v>
      </c>
      <c r="B32">
        <v>48</v>
      </c>
      <c r="C32">
        <v>0.1094</v>
      </c>
      <c r="D32" t="str">
        <f t="shared" si="0"/>
        <v>Aliidiomarina (Acetate &amp; IR)</v>
      </c>
      <c r="E32" t="s">
        <v>5</v>
      </c>
      <c r="F32" t="s">
        <v>37</v>
      </c>
      <c r="G32" t="s">
        <v>9</v>
      </c>
    </row>
    <row r="33" spans="1:7" x14ac:dyDescent="0.2">
      <c r="A33" t="s">
        <v>50</v>
      </c>
      <c r="B33">
        <v>48</v>
      </c>
      <c r="C33">
        <v>0.1143</v>
      </c>
      <c r="D33" t="str">
        <f t="shared" si="0"/>
        <v>Aliidiomarina (Acetate &amp; IR)</v>
      </c>
      <c r="E33" t="s">
        <v>5</v>
      </c>
      <c r="F33" t="s">
        <v>37</v>
      </c>
      <c r="G33" t="s">
        <v>9</v>
      </c>
    </row>
    <row r="34" spans="1:7" x14ac:dyDescent="0.2">
      <c r="A34" t="s">
        <v>51</v>
      </c>
      <c r="B34">
        <v>48</v>
      </c>
      <c r="C34">
        <v>0.1245</v>
      </c>
      <c r="D34" t="str">
        <f t="shared" si="0"/>
        <v>Aliidiomarina (Acetate &amp; IR)</v>
      </c>
      <c r="E34" t="s">
        <v>5</v>
      </c>
      <c r="F34" t="s">
        <v>37</v>
      </c>
      <c r="G34" t="s">
        <v>9</v>
      </c>
    </row>
    <row r="35" spans="1:7" x14ac:dyDescent="0.2">
      <c r="A35" t="s">
        <v>49</v>
      </c>
      <c r="B35">
        <v>48</v>
      </c>
      <c r="C35">
        <v>0.1077</v>
      </c>
      <c r="D35" t="str">
        <f t="shared" si="0"/>
        <v>Aliidiomarina (Thiosulfate &amp; IR)</v>
      </c>
      <c r="E35" t="s">
        <v>5</v>
      </c>
      <c r="F35" t="s">
        <v>38</v>
      </c>
      <c r="G35" t="s">
        <v>9</v>
      </c>
    </row>
    <row r="36" spans="1:7" x14ac:dyDescent="0.2">
      <c r="A36" t="s">
        <v>50</v>
      </c>
      <c r="B36">
        <v>48</v>
      </c>
      <c r="C36">
        <v>0.1114</v>
      </c>
      <c r="D36" t="str">
        <f t="shared" si="0"/>
        <v>Aliidiomarina (Thiosulfate &amp; IR)</v>
      </c>
      <c r="E36" t="s">
        <v>5</v>
      </c>
      <c r="F36" t="s">
        <v>38</v>
      </c>
      <c r="G36" t="s">
        <v>9</v>
      </c>
    </row>
    <row r="37" spans="1:7" x14ac:dyDescent="0.2">
      <c r="A37" t="s">
        <v>51</v>
      </c>
      <c r="B37">
        <v>48</v>
      </c>
      <c r="C37">
        <v>0.112</v>
      </c>
      <c r="D37" t="str">
        <f t="shared" si="0"/>
        <v>Aliidiomarina (Thiosulfate &amp; IR)</v>
      </c>
      <c r="E37" t="s">
        <v>5</v>
      </c>
      <c r="F37" t="s">
        <v>38</v>
      </c>
      <c r="G37" t="s">
        <v>9</v>
      </c>
    </row>
    <row r="38" spans="1:7" x14ac:dyDescent="0.2">
      <c r="A38" t="s">
        <v>43</v>
      </c>
      <c r="B38">
        <v>144</v>
      </c>
      <c r="C38">
        <v>0.13420000000000001</v>
      </c>
      <c r="D38" t="str">
        <f t="shared" si="0"/>
        <v>Aliidiomarina (Control &amp; Dark)</v>
      </c>
      <c r="E38" t="s">
        <v>5</v>
      </c>
      <c r="F38" t="s">
        <v>35</v>
      </c>
      <c r="G38" t="s">
        <v>4</v>
      </c>
    </row>
    <row r="39" spans="1:7" x14ac:dyDescent="0.2">
      <c r="A39" t="s">
        <v>44</v>
      </c>
      <c r="B39">
        <v>144</v>
      </c>
      <c r="C39">
        <v>0.1183</v>
      </c>
      <c r="D39" t="str">
        <f t="shared" si="0"/>
        <v>Aliidiomarina (Control &amp; Dark)</v>
      </c>
      <c r="E39" t="s">
        <v>5</v>
      </c>
      <c r="F39" t="s">
        <v>35</v>
      </c>
      <c r="G39" t="s">
        <v>4</v>
      </c>
    </row>
    <row r="40" spans="1:7" x14ac:dyDescent="0.2">
      <c r="A40" t="s">
        <v>45</v>
      </c>
      <c r="B40">
        <v>144</v>
      </c>
      <c r="C40">
        <v>0.1036</v>
      </c>
      <c r="D40" t="str">
        <f t="shared" si="0"/>
        <v>Aliidiomarina (Control &amp; Dark)</v>
      </c>
      <c r="E40" t="s">
        <v>5</v>
      </c>
      <c r="F40" t="s">
        <v>35</v>
      </c>
      <c r="G40" t="s">
        <v>4</v>
      </c>
    </row>
    <row r="41" spans="1:7" x14ac:dyDescent="0.2">
      <c r="A41" t="s">
        <v>49</v>
      </c>
      <c r="B41">
        <v>144</v>
      </c>
      <c r="C41">
        <v>0.12720000000000001</v>
      </c>
      <c r="D41" t="str">
        <f t="shared" si="0"/>
        <v>Aliidiomarina (Acetate &amp; Dark)</v>
      </c>
      <c r="E41" t="s">
        <v>5</v>
      </c>
      <c r="F41" t="s">
        <v>37</v>
      </c>
      <c r="G41" t="s">
        <v>4</v>
      </c>
    </row>
    <row r="42" spans="1:7" x14ac:dyDescent="0.2">
      <c r="A42" t="s">
        <v>50</v>
      </c>
      <c r="B42">
        <v>144</v>
      </c>
      <c r="C42">
        <v>0.13239999999999999</v>
      </c>
      <c r="D42" t="str">
        <f t="shared" si="0"/>
        <v>Aliidiomarina (Acetate &amp; Dark)</v>
      </c>
      <c r="E42" t="s">
        <v>5</v>
      </c>
      <c r="F42" t="s">
        <v>37</v>
      </c>
      <c r="G42" t="s">
        <v>4</v>
      </c>
    </row>
    <row r="43" spans="1:7" x14ac:dyDescent="0.2">
      <c r="A43" t="s">
        <v>51</v>
      </c>
      <c r="B43">
        <v>144</v>
      </c>
      <c r="C43">
        <v>0.13600000000000001</v>
      </c>
      <c r="D43" t="str">
        <f t="shared" si="0"/>
        <v>Aliidiomarina (Acetate &amp; Dark)</v>
      </c>
      <c r="E43" t="s">
        <v>5</v>
      </c>
      <c r="F43" t="s">
        <v>37</v>
      </c>
      <c r="G43" t="s">
        <v>4</v>
      </c>
    </row>
    <row r="44" spans="1:7" x14ac:dyDescent="0.2">
      <c r="A44" t="s">
        <v>43</v>
      </c>
      <c r="B44">
        <v>144</v>
      </c>
      <c r="C44">
        <v>0.10009999999999999</v>
      </c>
      <c r="D44" t="str">
        <f t="shared" si="0"/>
        <v>Aliidiomarina (Thiosulfate &amp; Dark)</v>
      </c>
      <c r="E44" t="s">
        <v>5</v>
      </c>
      <c r="F44" t="s">
        <v>38</v>
      </c>
      <c r="G44" t="s">
        <v>4</v>
      </c>
    </row>
    <row r="45" spans="1:7" x14ac:dyDescent="0.2">
      <c r="A45" t="s">
        <v>44</v>
      </c>
      <c r="B45">
        <v>144</v>
      </c>
      <c r="C45">
        <v>0.1012</v>
      </c>
      <c r="D45" t="str">
        <f t="shared" si="0"/>
        <v>Aliidiomarina (Thiosulfate &amp; Dark)</v>
      </c>
      <c r="E45" t="s">
        <v>5</v>
      </c>
      <c r="F45" t="s">
        <v>38</v>
      </c>
      <c r="G45" t="s">
        <v>4</v>
      </c>
    </row>
    <row r="46" spans="1:7" x14ac:dyDescent="0.2">
      <c r="A46" t="s">
        <v>45</v>
      </c>
      <c r="B46">
        <v>144</v>
      </c>
      <c r="C46">
        <v>0.10199999999999999</v>
      </c>
      <c r="D46" t="str">
        <f t="shared" si="0"/>
        <v>Aliidiomarina (Thiosulfate &amp; Dark)</v>
      </c>
      <c r="E46" t="s">
        <v>5</v>
      </c>
      <c r="F46" t="s">
        <v>38</v>
      </c>
      <c r="G46" t="s">
        <v>4</v>
      </c>
    </row>
    <row r="47" spans="1:7" x14ac:dyDescent="0.2">
      <c r="A47" t="s">
        <v>49</v>
      </c>
      <c r="B47">
        <v>144</v>
      </c>
      <c r="C47">
        <v>0.1037</v>
      </c>
      <c r="D47" t="str">
        <f t="shared" si="0"/>
        <v>Aliidiomarina (Control &amp; IR)</v>
      </c>
      <c r="E47" t="s">
        <v>5</v>
      </c>
      <c r="F47" t="s">
        <v>35</v>
      </c>
      <c r="G47" t="s">
        <v>9</v>
      </c>
    </row>
    <row r="48" spans="1:7" x14ac:dyDescent="0.2">
      <c r="A48" t="s">
        <v>50</v>
      </c>
      <c r="B48">
        <v>144</v>
      </c>
      <c r="C48">
        <v>0.1026</v>
      </c>
      <c r="D48" t="str">
        <f t="shared" si="0"/>
        <v>Aliidiomarina (Control &amp; IR)</v>
      </c>
      <c r="E48" t="s">
        <v>5</v>
      </c>
      <c r="F48" t="s">
        <v>35</v>
      </c>
      <c r="G48" t="s">
        <v>9</v>
      </c>
    </row>
    <row r="49" spans="1:7" x14ac:dyDescent="0.2">
      <c r="A49" t="s">
        <v>51</v>
      </c>
      <c r="B49">
        <v>144</v>
      </c>
      <c r="C49">
        <v>0.1033</v>
      </c>
      <c r="D49" t="str">
        <f t="shared" si="0"/>
        <v>Aliidiomarina (Control &amp; IR)</v>
      </c>
      <c r="E49" t="s">
        <v>5</v>
      </c>
      <c r="F49" t="s">
        <v>35</v>
      </c>
      <c r="G49" t="s">
        <v>9</v>
      </c>
    </row>
    <row r="50" spans="1:7" x14ac:dyDescent="0.2">
      <c r="A50" t="s">
        <v>49</v>
      </c>
      <c r="B50">
        <v>144</v>
      </c>
      <c r="C50">
        <v>0.1384</v>
      </c>
      <c r="D50" t="str">
        <f t="shared" si="0"/>
        <v>Aliidiomarina (Acetate &amp; IR)</v>
      </c>
      <c r="E50" t="s">
        <v>5</v>
      </c>
      <c r="F50" t="s">
        <v>37</v>
      </c>
      <c r="G50" t="s">
        <v>9</v>
      </c>
    </row>
    <row r="51" spans="1:7" x14ac:dyDescent="0.2">
      <c r="A51" t="s">
        <v>50</v>
      </c>
      <c r="B51">
        <v>144</v>
      </c>
      <c r="C51">
        <v>0.1439</v>
      </c>
      <c r="D51" t="str">
        <f t="shared" si="0"/>
        <v>Aliidiomarina (Acetate &amp; IR)</v>
      </c>
      <c r="E51" t="s">
        <v>5</v>
      </c>
      <c r="F51" t="s">
        <v>37</v>
      </c>
      <c r="G51" t="s">
        <v>9</v>
      </c>
    </row>
    <row r="52" spans="1:7" x14ac:dyDescent="0.2">
      <c r="A52" t="s">
        <v>51</v>
      </c>
      <c r="B52">
        <v>144</v>
      </c>
      <c r="C52">
        <v>0.1285</v>
      </c>
      <c r="D52" t="str">
        <f t="shared" si="0"/>
        <v>Aliidiomarina (Acetate &amp; IR)</v>
      </c>
      <c r="E52" t="s">
        <v>5</v>
      </c>
      <c r="F52" t="s">
        <v>37</v>
      </c>
      <c r="G52" t="s">
        <v>9</v>
      </c>
    </row>
    <row r="53" spans="1:7" x14ac:dyDescent="0.2">
      <c r="A53" t="s">
        <v>49</v>
      </c>
      <c r="B53">
        <v>144</v>
      </c>
      <c r="C53">
        <v>9.98E-2</v>
      </c>
      <c r="D53" t="str">
        <f t="shared" si="0"/>
        <v>Aliidiomarina (Thiosulfate &amp; IR)</v>
      </c>
      <c r="E53" t="s">
        <v>5</v>
      </c>
      <c r="F53" t="s">
        <v>38</v>
      </c>
      <c r="G53" t="s">
        <v>9</v>
      </c>
    </row>
    <row r="54" spans="1:7" x14ac:dyDescent="0.2">
      <c r="A54" t="s">
        <v>50</v>
      </c>
      <c r="B54">
        <v>144</v>
      </c>
      <c r="C54">
        <v>0.1014</v>
      </c>
      <c r="D54" t="str">
        <f t="shared" si="0"/>
        <v>Aliidiomarina (Thiosulfate &amp; IR)</v>
      </c>
      <c r="E54" t="s">
        <v>5</v>
      </c>
      <c r="F54" t="s">
        <v>38</v>
      </c>
      <c r="G54" t="s">
        <v>9</v>
      </c>
    </row>
    <row r="55" spans="1:7" x14ac:dyDescent="0.2">
      <c r="A55" t="s">
        <v>51</v>
      </c>
      <c r="B55">
        <v>144</v>
      </c>
      <c r="C55">
        <v>0.10589999999999999</v>
      </c>
      <c r="D55" t="str">
        <f t="shared" si="0"/>
        <v>Aliidiomarina (Thiosulfate &amp; IR)</v>
      </c>
      <c r="E55" t="s">
        <v>5</v>
      </c>
      <c r="F55" t="s">
        <v>38</v>
      </c>
      <c r="G55" t="s">
        <v>9</v>
      </c>
    </row>
    <row r="56" spans="1:7" x14ac:dyDescent="0.2">
      <c r="A56" t="s">
        <v>43</v>
      </c>
      <c r="B56">
        <v>192</v>
      </c>
      <c r="C56">
        <v>0.1051</v>
      </c>
      <c r="D56" t="str">
        <f t="shared" si="0"/>
        <v>Aliidiomarina (Control &amp; Dark)</v>
      </c>
      <c r="E56" t="s">
        <v>5</v>
      </c>
      <c r="F56" t="s">
        <v>35</v>
      </c>
      <c r="G56" t="s">
        <v>4</v>
      </c>
    </row>
    <row r="57" spans="1:7" x14ac:dyDescent="0.2">
      <c r="A57" t="s">
        <v>44</v>
      </c>
      <c r="B57">
        <v>192</v>
      </c>
      <c r="C57">
        <v>0.1024</v>
      </c>
      <c r="D57" t="str">
        <f t="shared" si="0"/>
        <v>Aliidiomarina (Control &amp; Dark)</v>
      </c>
      <c r="E57" t="s">
        <v>5</v>
      </c>
      <c r="F57" t="s">
        <v>35</v>
      </c>
      <c r="G57" t="s">
        <v>4</v>
      </c>
    </row>
    <row r="58" spans="1:7" x14ac:dyDescent="0.2">
      <c r="A58" t="s">
        <v>45</v>
      </c>
      <c r="B58">
        <v>192</v>
      </c>
      <c r="C58">
        <v>0.1038</v>
      </c>
      <c r="D58" t="str">
        <f t="shared" si="0"/>
        <v>Aliidiomarina (Control &amp; Dark)</v>
      </c>
      <c r="E58" t="s">
        <v>5</v>
      </c>
      <c r="F58" t="s">
        <v>35</v>
      </c>
      <c r="G58" t="s">
        <v>4</v>
      </c>
    </row>
    <row r="59" spans="1:7" x14ac:dyDescent="0.2">
      <c r="A59" t="s">
        <v>49</v>
      </c>
      <c r="B59">
        <v>192</v>
      </c>
      <c r="C59">
        <v>0.17019999999999999</v>
      </c>
      <c r="D59" t="str">
        <f t="shared" si="0"/>
        <v>Aliidiomarina (Acetate &amp; Dark)</v>
      </c>
      <c r="E59" t="s">
        <v>5</v>
      </c>
      <c r="F59" t="s">
        <v>37</v>
      </c>
      <c r="G59" t="s">
        <v>4</v>
      </c>
    </row>
    <row r="60" spans="1:7" x14ac:dyDescent="0.2">
      <c r="A60" t="s">
        <v>50</v>
      </c>
      <c r="B60">
        <v>192</v>
      </c>
      <c r="C60">
        <v>0.1739</v>
      </c>
      <c r="D60" t="str">
        <f t="shared" si="0"/>
        <v>Aliidiomarina (Acetate &amp; Dark)</v>
      </c>
      <c r="E60" t="s">
        <v>5</v>
      </c>
      <c r="F60" t="s">
        <v>37</v>
      </c>
      <c r="G60" t="s">
        <v>4</v>
      </c>
    </row>
    <row r="61" spans="1:7" x14ac:dyDescent="0.2">
      <c r="A61" t="s">
        <v>51</v>
      </c>
      <c r="B61">
        <v>192</v>
      </c>
      <c r="C61">
        <v>0.1762</v>
      </c>
      <c r="D61" t="str">
        <f t="shared" si="0"/>
        <v>Aliidiomarina (Acetate &amp; Dark)</v>
      </c>
      <c r="E61" t="s">
        <v>5</v>
      </c>
      <c r="F61" t="s">
        <v>37</v>
      </c>
      <c r="G61" t="s">
        <v>4</v>
      </c>
    </row>
    <row r="62" spans="1:7" x14ac:dyDescent="0.2">
      <c r="A62" t="s">
        <v>43</v>
      </c>
      <c r="B62">
        <v>192</v>
      </c>
      <c r="C62">
        <v>0.1018</v>
      </c>
      <c r="D62" t="str">
        <f t="shared" si="0"/>
        <v>Aliidiomarina (Thiosulfate &amp; Dark)</v>
      </c>
      <c r="E62" t="s">
        <v>5</v>
      </c>
      <c r="F62" t="s">
        <v>38</v>
      </c>
      <c r="G62" t="s">
        <v>4</v>
      </c>
    </row>
    <row r="63" spans="1:7" x14ac:dyDescent="0.2">
      <c r="A63" t="s">
        <v>44</v>
      </c>
      <c r="B63">
        <v>192</v>
      </c>
      <c r="C63">
        <v>0.1014</v>
      </c>
      <c r="D63" t="str">
        <f t="shared" si="0"/>
        <v>Aliidiomarina (Thiosulfate &amp; Dark)</v>
      </c>
      <c r="E63" t="s">
        <v>5</v>
      </c>
      <c r="F63" t="s">
        <v>38</v>
      </c>
      <c r="G63" t="s">
        <v>4</v>
      </c>
    </row>
    <row r="64" spans="1:7" x14ac:dyDescent="0.2">
      <c r="A64" t="s">
        <v>45</v>
      </c>
      <c r="B64">
        <v>192</v>
      </c>
      <c r="C64">
        <v>0.1024</v>
      </c>
      <c r="D64" t="str">
        <f t="shared" si="0"/>
        <v>Aliidiomarina (Thiosulfate &amp; Dark)</v>
      </c>
      <c r="E64" t="s">
        <v>5</v>
      </c>
      <c r="F64" t="s">
        <v>38</v>
      </c>
      <c r="G64" t="s">
        <v>4</v>
      </c>
    </row>
    <row r="65" spans="1:7" x14ac:dyDescent="0.2">
      <c r="A65" t="s">
        <v>49</v>
      </c>
      <c r="B65">
        <v>192</v>
      </c>
      <c r="C65">
        <v>0.1017</v>
      </c>
      <c r="D65" t="str">
        <f t="shared" si="0"/>
        <v>Aliidiomarina (Control &amp; IR)</v>
      </c>
      <c r="E65" t="s">
        <v>5</v>
      </c>
      <c r="F65" t="s">
        <v>35</v>
      </c>
      <c r="G65" t="s">
        <v>9</v>
      </c>
    </row>
    <row r="66" spans="1:7" x14ac:dyDescent="0.2">
      <c r="A66" t="s">
        <v>50</v>
      </c>
      <c r="B66">
        <v>192</v>
      </c>
      <c r="C66">
        <v>9.9199999999999997E-2</v>
      </c>
      <c r="D66" t="str">
        <f t="shared" ref="D66:D129" si="1">_xlfn.CONCAT(E66," (",F66," &amp; ",G66,")")</f>
        <v>Aliidiomarina (Control &amp; IR)</v>
      </c>
      <c r="E66" t="s">
        <v>5</v>
      </c>
      <c r="F66" t="s">
        <v>35</v>
      </c>
      <c r="G66" t="s">
        <v>9</v>
      </c>
    </row>
    <row r="67" spans="1:7" x14ac:dyDescent="0.2">
      <c r="A67" t="s">
        <v>51</v>
      </c>
      <c r="B67">
        <v>192</v>
      </c>
      <c r="C67">
        <v>0.10349999999999999</v>
      </c>
      <c r="D67" t="str">
        <f t="shared" si="1"/>
        <v>Aliidiomarina (Control &amp; IR)</v>
      </c>
      <c r="E67" t="s">
        <v>5</v>
      </c>
      <c r="F67" t="s">
        <v>35</v>
      </c>
      <c r="G67" t="s">
        <v>9</v>
      </c>
    </row>
    <row r="68" spans="1:7" x14ac:dyDescent="0.2">
      <c r="A68" t="s">
        <v>49</v>
      </c>
      <c r="B68">
        <v>192</v>
      </c>
      <c r="C68">
        <v>0.18010000000000001</v>
      </c>
      <c r="D68" t="str">
        <f t="shared" si="1"/>
        <v>Aliidiomarina (Acetate &amp; IR)</v>
      </c>
      <c r="E68" t="s">
        <v>5</v>
      </c>
      <c r="F68" t="s">
        <v>37</v>
      </c>
      <c r="G68" t="s">
        <v>9</v>
      </c>
    </row>
    <row r="69" spans="1:7" x14ac:dyDescent="0.2">
      <c r="A69" t="s">
        <v>50</v>
      </c>
      <c r="B69">
        <v>192</v>
      </c>
      <c r="C69">
        <v>0.18779999999999999</v>
      </c>
      <c r="D69" t="str">
        <f t="shared" si="1"/>
        <v>Aliidiomarina (Acetate &amp; IR)</v>
      </c>
      <c r="E69" t="s">
        <v>5</v>
      </c>
      <c r="F69" t="s">
        <v>37</v>
      </c>
      <c r="G69" t="s">
        <v>9</v>
      </c>
    </row>
    <row r="70" spans="1:7" x14ac:dyDescent="0.2">
      <c r="A70" t="s">
        <v>51</v>
      </c>
      <c r="B70">
        <v>192</v>
      </c>
      <c r="C70">
        <v>0.1691</v>
      </c>
      <c r="D70" t="str">
        <f t="shared" si="1"/>
        <v>Aliidiomarina (Acetate &amp; IR)</v>
      </c>
      <c r="E70" t="s">
        <v>5</v>
      </c>
      <c r="F70" t="s">
        <v>37</v>
      </c>
      <c r="G70" t="s">
        <v>9</v>
      </c>
    </row>
    <row r="71" spans="1:7" x14ac:dyDescent="0.2">
      <c r="A71" t="s">
        <v>49</v>
      </c>
      <c r="B71">
        <v>192</v>
      </c>
      <c r="C71">
        <v>0.1017</v>
      </c>
      <c r="D71" t="str">
        <f t="shared" si="1"/>
        <v>Aliidiomarina (Thiosulfate &amp; IR)</v>
      </c>
      <c r="E71" t="s">
        <v>5</v>
      </c>
      <c r="F71" t="s">
        <v>38</v>
      </c>
      <c r="G71" t="s">
        <v>9</v>
      </c>
    </row>
    <row r="72" spans="1:7" x14ac:dyDescent="0.2">
      <c r="A72" t="s">
        <v>50</v>
      </c>
      <c r="B72">
        <v>192</v>
      </c>
      <c r="C72">
        <v>0.1047</v>
      </c>
      <c r="D72" t="str">
        <f t="shared" si="1"/>
        <v>Aliidiomarina (Thiosulfate &amp; IR)</v>
      </c>
      <c r="E72" t="s">
        <v>5</v>
      </c>
      <c r="F72" t="s">
        <v>38</v>
      </c>
      <c r="G72" t="s">
        <v>9</v>
      </c>
    </row>
    <row r="73" spans="1:7" x14ac:dyDescent="0.2">
      <c r="A73" t="s">
        <v>51</v>
      </c>
      <c r="B73">
        <v>192</v>
      </c>
      <c r="C73">
        <v>0.1053</v>
      </c>
      <c r="D73" t="str">
        <f t="shared" si="1"/>
        <v>Aliidiomarina (Thiosulfate &amp; IR)</v>
      </c>
      <c r="E73" t="s">
        <v>5</v>
      </c>
      <c r="F73" t="s">
        <v>38</v>
      </c>
      <c r="G73" t="s">
        <v>9</v>
      </c>
    </row>
    <row r="74" spans="1:7" x14ac:dyDescent="0.2">
      <c r="A74" t="s">
        <v>52</v>
      </c>
      <c r="B74">
        <v>0</v>
      </c>
      <c r="C74">
        <v>0.15920000000000001</v>
      </c>
      <c r="D74" t="str">
        <f t="shared" si="1"/>
        <v>Marinobacter (Control &amp; Dark)</v>
      </c>
      <c r="E74" t="s">
        <v>36</v>
      </c>
      <c r="F74" t="s">
        <v>35</v>
      </c>
      <c r="G74" t="s">
        <v>4</v>
      </c>
    </row>
    <row r="75" spans="1:7" x14ac:dyDescent="0.2">
      <c r="A75" t="s">
        <v>53</v>
      </c>
      <c r="B75">
        <v>0</v>
      </c>
      <c r="C75">
        <v>0.15959999999999999</v>
      </c>
      <c r="D75" t="str">
        <f t="shared" si="1"/>
        <v>Marinobacter (Control &amp; Dark)</v>
      </c>
      <c r="E75" t="s">
        <v>36</v>
      </c>
      <c r="F75" t="s">
        <v>35</v>
      </c>
      <c r="G75" t="s">
        <v>4</v>
      </c>
    </row>
    <row r="76" spans="1:7" x14ac:dyDescent="0.2">
      <c r="A76" t="s">
        <v>54</v>
      </c>
      <c r="B76">
        <v>0</v>
      </c>
      <c r="C76">
        <v>0.15709999999999999</v>
      </c>
      <c r="D76" t="str">
        <f t="shared" si="1"/>
        <v>Marinobacter (Control &amp; Dark)</v>
      </c>
      <c r="E76" t="s">
        <v>36</v>
      </c>
      <c r="F76" t="s">
        <v>35</v>
      </c>
      <c r="G76" t="s">
        <v>4</v>
      </c>
    </row>
    <row r="77" spans="1:7" x14ac:dyDescent="0.2">
      <c r="A77" t="s">
        <v>55</v>
      </c>
      <c r="B77">
        <v>0</v>
      </c>
      <c r="C77">
        <v>0.15609999999999999</v>
      </c>
      <c r="D77" t="str">
        <f t="shared" si="1"/>
        <v>Marinobacter (Acetate &amp; Dark)</v>
      </c>
      <c r="E77" t="s">
        <v>36</v>
      </c>
      <c r="F77" t="s">
        <v>37</v>
      </c>
      <c r="G77" t="s">
        <v>4</v>
      </c>
    </row>
    <row r="78" spans="1:7" x14ac:dyDescent="0.2">
      <c r="A78" t="s">
        <v>56</v>
      </c>
      <c r="B78">
        <v>0</v>
      </c>
      <c r="C78">
        <v>0.16159999999999999</v>
      </c>
      <c r="D78" t="str">
        <f t="shared" si="1"/>
        <v>Marinobacter (Acetate &amp; Dark)</v>
      </c>
      <c r="E78" t="s">
        <v>36</v>
      </c>
      <c r="F78" t="s">
        <v>37</v>
      </c>
      <c r="G78" t="s">
        <v>4</v>
      </c>
    </row>
    <row r="79" spans="1:7" x14ac:dyDescent="0.2">
      <c r="A79" t="s">
        <v>57</v>
      </c>
      <c r="B79">
        <v>0</v>
      </c>
      <c r="C79">
        <v>0.15870000000000001</v>
      </c>
      <c r="D79" t="str">
        <f t="shared" si="1"/>
        <v>Marinobacter (Acetate &amp; Dark)</v>
      </c>
      <c r="E79" t="s">
        <v>36</v>
      </c>
      <c r="F79" t="s">
        <v>37</v>
      </c>
      <c r="G79" t="s">
        <v>4</v>
      </c>
    </row>
    <row r="80" spans="1:7" x14ac:dyDescent="0.2">
      <c r="A80" t="s">
        <v>52</v>
      </c>
      <c r="B80">
        <v>0</v>
      </c>
      <c r="C80">
        <v>0.15859999999999999</v>
      </c>
      <c r="D80" t="str">
        <f t="shared" si="1"/>
        <v>Marinobacter (Thiosulfate &amp; Dark)</v>
      </c>
      <c r="E80" t="s">
        <v>36</v>
      </c>
      <c r="F80" t="s">
        <v>38</v>
      </c>
      <c r="G80" t="s">
        <v>4</v>
      </c>
    </row>
    <row r="81" spans="1:7" x14ac:dyDescent="0.2">
      <c r="A81" t="s">
        <v>53</v>
      </c>
      <c r="B81">
        <v>0</v>
      </c>
      <c r="C81">
        <v>0.1583</v>
      </c>
      <c r="D81" t="str">
        <f t="shared" si="1"/>
        <v>Marinobacter (Thiosulfate &amp; Dark)</v>
      </c>
      <c r="E81" t="s">
        <v>36</v>
      </c>
      <c r="F81" t="s">
        <v>38</v>
      </c>
      <c r="G81" t="s">
        <v>4</v>
      </c>
    </row>
    <row r="82" spans="1:7" x14ac:dyDescent="0.2">
      <c r="A82" t="s">
        <v>54</v>
      </c>
      <c r="B82">
        <v>0</v>
      </c>
      <c r="C82">
        <v>0.16139999999999999</v>
      </c>
      <c r="D82" t="str">
        <f t="shared" si="1"/>
        <v>Marinobacter (Thiosulfate &amp; Dark)</v>
      </c>
      <c r="E82" t="s">
        <v>36</v>
      </c>
      <c r="F82" t="s">
        <v>38</v>
      </c>
      <c r="G82" t="s">
        <v>4</v>
      </c>
    </row>
    <row r="83" spans="1:7" x14ac:dyDescent="0.2">
      <c r="A83" t="s">
        <v>55</v>
      </c>
      <c r="B83">
        <v>0</v>
      </c>
      <c r="C83">
        <v>0.15659999999999999</v>
      </c>
      <c r="D83" t="str">
        <f t="shared" si="1"/>
        <v>Marinobacter (Control &amp; IR)</v>
      </c>
      <c r="E83" t="s">
        <v>36</v>
      </c>
      <c r="F83" t="s">
        <v>35</v>
      </c>
      <c r="G83" t="s">
        <v>9</v>
      </c>
    </row>
    <row r="84" spans="1:7" x14ac:dyDescent="0.2">
      <c r="A84" t="s">
        <v>56</v>
      </c>
      <c r="B84">
        <v>0</v>
      </c>
      <c r="C84">
        <v>0.15659999999999999</v>
      </c>
      <c r="D84" t="str">
        <f t="shared" si="1"/>
        <v>Marinobacter (Control &amp; IR)</v>
      </c>
      <c r="E84" t="s">
        <v>36</v>
      </c>
      <c r="F84" t="s">
        <v>35</v>
      </c>
      <c r="G84" t="s">
        <v>9</v>
      </c>
    </row>
    <row r="85" spans="1:7" x14ac:dyDescent="0.2">
      <c r="A85" t="s">
        <v>57</v>
      </c>
      <c r="B85">
        <v>0</v>
      </c>
      <c r="C85">
        <v>0.15989999999999999</v>
      </c>
      <c r="D85" t="str">
        <f t="shared" si="1"/>
        <v>Marinobacter (Control &amp; IR)</v>
      </c>
      <c r="E85" t="s">
        <v>36</v>
      </c>
      <c r="F85" t="s">
        <v>35</v>
      </c>
      <c r="G85" t="s">
        <v>9</v>
      </c>
    </row>
    <row r="86" spans="1:7" x14ac:dyDescent="0.2">
      <c r="A86" t="s">
        <v>55</v>
      </c>
      <c r="B86">
        <v>0</v>
      </c>
      <c r="C86">
        <v>0.16</v>
      </c>
      <c r="D86" t="str">
        <f t="shared" si="1"/>
        <v>Marinobacter (Acetate &amp; IR)</v>
      </c>
      <c r="E86" t="s">
        <v>36</v>
      </c>
      <c r="F86" t="s">
        <v>37</v>
      </c>
      <c r="G86" t="s">
        <v>9</v>
      </c>
    </row>
    <row r="87" spans="1:7" x14ac:dyDescent="0.2">
      <c r="A87" t="s">
        <v>56</v>
      </c>
      <c r="B87">
        <v>0</v>
      </c>
      <c r="C87">
        <v>0.15409999999999999</v>
      </c>
      <c r="D87" t="str">
        <f t="shared" si="1"/>
        <v>Marinobacter (Acetate &amp; IR)</v>
      </c>
      <c r="E87" t="s">
        <v>36</v>
      </c>
      <c r="F87" t="s">
        <v>37</v>
      </c>
      <c r="G87" t="s">
        <v>9</v>
      </c>
    </row>
    <row r="88" spans="1:7" x14ac:dyDescent="0.2">
      <c r="A88" t="s">
        <v>57</v>
      </c>
      <c r="B88">
        <v>0</v>
      </c>
      <c r="C88">
        <v>0.1578</v>
      </c>
      <c r="D88" t="str">
        <f t="shared" si="1"/>
        <v>Marinobacter (Acetate &amp; IR)</v>
      </c>
      <c r="E88" t="s">
        <v>36</v>
      </c>
      <c r="F88" t="s">
        <v>37</v>
      </c>
      <c r="G88" t="s">
        <v>9</v>
      </c>
    </row>
    <row r="89" spans="1:7" x14ac:dyDescent="0.2">
      <c r="A89" t="s">
        <v>55</v>
      </c>
      <c r="B89">
        <v>0</v>
      </c>
      <c r="C89">
        <v>0.16089999999999999</v>
      </c>
      <c r="D89" t="str">
        <f t="shared" si="1"/>
        <v>Marinobacter (Thiosulfate &amp; IR)</v>
      </c>
      <c r="E89" t="s">
        <v>36</v>
      </c>
      <c r="F89" t="s">
        <v>38</v>
      </c>
      <c r="G89" t="s">
        <v>9</v>
      </c>
    </row>
    <row r="90" spans="1:7" x14ac:dyDescent="0.2">
      <c r="A90" t="s">
        <v>56</v>
      </c>
      <c r="B90">
        <v>0</v>
      </c>
      <c r="C90">
        <v>0.15909999999999999</v>
      </c>
      <c r="D90" t="str">
        <f t="shared" si="1"/>
        <v>Marinobacter (Thiosulfate &amp; IR)</v>
      </c>
      <c r="E90" t="s">
        <v>36</v>
      </c>
      <c r="F90" t="s">
        <v>38</v>
      </c>
      <c r="G90" t="s">
        <v>9</v>
      </c>
    </row>
    <row r="91" spans="1:7" x14ac:dyDescent="0.2">
      <c r="A91" t="s">
        <v>57</v>
      </c>
      <c r="B91">
        <v>0</v>
      </c>
      <c r="C91">
        <v>0.17480000000000001</v>
      </c>
      <c r="D91" t="str">
        <f t="shared" si="1"/>
        <v>Marinobacter (Thiosulfate &amp; IR)</v>
      </c>
      <c r="E91" t="s">
        <v>36</v>
      </c>
      <c r="F91" t="s">
        <v>38</v>
      </c>
      <c r="G91" t="s">
        <v>9</v>
      </c>
    </row>
    <row r="92" spans="1:7" x14ac:dyDescent="0.2">
      <c r="A92" t="s">
        <v>52</v>
      </c>
      <c r="B92">
        <v>48</v>
      </c>
      <c r="C92">
        <v>0.13980000000000001</v>
      </c>
      <c r="D92" t="str">
        <f t="shared" si="1"/>
        <v>Marinobacter (Control &amp; Dark)</v>
      </c>
      <c r="E92" t="s">
        <v>36</v>
      </c>
      <c r="F92" t="s">
        <v>35</v>
      </c>
      <c r="G92" t="s">
        <v>4</v>
      </c>
    </row>
    <row r="93" spans="1:7" x14ac:dyDescent="0.2">
      <c r="A93" t="s">
        <v>53</v>
      </c>
      <c r="B93">
        <v>48</v>
      </c>
      <c r="C93">
        <v>0.14119999999999999</v>
      </c>
      <c r="D93" t="str">
        <f t="shared" si="1"/>
        <v>Marinobacter (Control &amp; Dark)</v>
      </c>
      <c r="E93" t="s">
        <v>36</v>
      </c>
      <c r="F93" t="s">
        <v>35</v>
      </c>
      <c r="G93" t="s">
        <v>4</v>
      </c>
    </row>
    <row r="94" spans="1:7" x14ac:dyDescent="0.2">
      <c r="A94" t="s">
        <v>54</v>
      </c>
      <c r="B94">
        <v>48</v>
      </c>
      <c r="C94">
        <v>0.14380000000000001</v>
      </c>
      <c r="D94" t="str">
        <f t="shared" si="1"/>
        <v>Marinobacter (Control &amp; Dark)</v>
      </c>
      <c r="E94" t="s">
        <v>36</v>
      </c>
      <c r="F94" t="s">
        <v>35</v>
      </c>
      <c r="G94" t="s">
        <v>4</v>
      </c>
    </row>
    <row r="95" spans="1:7" x14ac:dyDescent="0.2">
      <c r="A95" t="s">
        <v>55</v>
      </c>
      <c r="B95">
        <v>48</v>
      </c>
      <c r="C95">
        <v>0.14699999999999999</v>
      </c>
      <c r="D95" t="str">
        <f t="shared" si="1"/>
        <v>Marinobacter (Acetate &amp; Dark)</v>
      </c>
      <c r="E95" t="s">
        <v>36</v>
      </c>
      <c r="F95" t="s">
        <v>37</v>
      </c>
      <c r="G95" t="s">
        <v>4</v>
      </c>
    </row>
    <row r="96" spans="1:7" x14ac:dyDescent="0.2">
      <c r="A96" t="s">
        <v>56</v>
      </c>
      <c r="B96">
        <v>48</v>
      </c>
      <c r="C96">
        <v>0.15160000000000001</v>
      </c>
      <c r="D96" t="str">
        <f t="shared" si="1"/>
        <v>Marinobacter (Acetate &amp; Dark)</v>
      </c>
      <c r="E96" t="s">
        <v>36</v>
      </c>
      <c r="F96" t="s">
        <v>37</v>
      </c>
      <c r="G96" t="s">
        <v>4</v>
      </c>
    </row>
    <row r="97" spans="1:7" x14ac:dyDescent="0.2">
      <c r="A97" t="s">
        <v>57</v>
      </c>
      <c r="B97">
        <v>48</v>
      </c>
      <c r="C97">
        <v>0.15240000000000001</v>
      </c>
      <c r="D97" t="str">
        <f t="shared" si="1"/>
        <v>Marinobacter (Acetate &amp; Dark)</v>
      </c>
      <c r="E97" t="s">
        <v>36</v>
      </c>
      <c r="F97" t="s">
        <v>37</v>
      </c>
      <c r="G97" t="s">
        <v>4</v>
      </c>
    </row>
    <row r="98" spans="1:7" x14ac:dyDescent="0.2">
      <c r="A98" t="s">
        <v>52</v>
      </c>
      <c r="B98">
        <v>48</v>
      </c>
      <c r="C98">
        <v>0.14219999999999999</v>
      </c>
      <c r="D98" t="str">
        <f t="shared" si="1"/>
        <v>Marinobacter (Thiosulfate &amp; Dark)</v>
      </c>
      <c r="E98" t="s">
        <v>36</v>
      </c>
      <c r="F98" t="s">
        <v>38</v>
      </c>
      <c r="G98" t="s">
        <v>4</v>
      </c>
    </row>
    <row r="99" spans="1:7" x14ac:dyDescent="0.2">
      <c r="A99" t="s">
        <v>53</v>
      </c>
      <c r="B99">
        <v>48</v>
      </c>
      <c r="C99">
        <v>0.1444</v>
      </c>
      <c r="D99" t="str">
        <f t="shared" si="1"/>
        <v>Marinobacter (Thiosulfate &amp; Dark)</v>
      </c>
      <c r="E99" t="s">
        <v>36</v>
      </c>
      <c r="F99" t="s">
        <v>38</v>
      </c>
      <c r="G99" t="s">
        <v>4</v>
      </c>
    </row>
    <row r="100" spans="1:7" x14ac:dyDescent="0.2">
      <c r="A100" t="s">
        <v>54</v>
      </c>
      <c r="B100">
        <v>48</v>
      </c>
      <c r="C100">
        <v>0.1449</v>
      </c>
      <c r="D100" t="str">
        <f t="shared" si="1"/>
        <v>Marinobacter (Thiosulfate &amp; Dark)</v>
      </c>
      <c r="E100" t="s">
        <v>36</v>
      </c>
      <c r="F100" t="s">
        <v>38</v>
      </c>
      <c r="G100" t="s">
        <v>4</v>
      </c>
    </row>
    <row r="101" spans="1:7" x14ac:dyDescent="0.2">
      <c r="A101" t="s">
        <v>55</v>
      </c>
      <c r="B101">
        <v>48</v>
      </c>
      <c r="C101">
        <v>0.14599999999999999</v>
      </c>
      <c r="D101" t="str">
        <f t="shared" si="1"/>
        <v>Marinobacter (Control &amp; IR)</v>
      </c>
      <c r="E101" t="s">
        <v>36</v>
      </c>
      <c r="F101" t="s">
        <v>35</v>
      </c>
      <c r="G101" t="s">
        <v>9</v>
      </c>
    </row>
    <row r="102" spans="1:7" x14ac:dyDescent="0.2">
      <c r="A102" t="s">
        <v>56</v>
      </c>
      <c r="B102">
        <v>48</v>
      </c>
      <c r="C102">
        <v>0.1409</v>
      </c>
      <c r="D102" t="str">
        <f t="shared" si="1"/>
        <v>Marinobacter (Control &amp; IR)</v>
      </c>
      <c r="E102" t="s">
        <v>36</v>
      </c>
      <c r="F102" t="s">
        <v>35</v>
      </c>
      <c r="G102" t="s">
        <v>9</v>
      </c>
    </row>
    <row r="103" spans="1:7" x14ac:dyDescent="0.2">
      <c r="A103" t="s">
        <v>57</v>
      </c>
      <c r="B103">
        <v>48</v>
      </c>
      <c r="C103">
        <v>0.1434</v>
      </c>
      <c r="D103" t="str">
        <f t="shared" si="1"/>
        <v>Marinobacter (Control &amp; IR)</v>
      </c>
      <c r="E103" t="s">
        <v>36</v>
      </c>
      <c r="F103" t="s">
        <v>35</v>
      </c>
      <c r="G103" t="s">
        <v>9</v>
      </c>
    </row>
    <row r="104" spans="1:7" x14ac:dyDescent="0.2">
      <c r="A104" t="s">
        <v>55</v>
      </c>
      <c r="B104">
        <v>48</v>
      </c>
      <c r="C104">
        <v>0.14860000000000001</v>
      </c>
      <c r="D104" t="str">
        <f t="shared" si="1"/>
        <v>Marinobacter (Acetate &amp; IR)</v>
      </c>
      <c r="E104" t="s">
        <v>36</v>
      </c>
      <c r="F104" t="s">
        <v>37</v>
      </c>
      <c r="G104" t="s">
        <v>9</v>
      </c>
    </row>
    <row r="105" spans="1:7" x14ac:dyDescent="0.2">
      <c r="A105" t="s">
        <v>56</v>
      </c>
      <c r="B105">
        <v>48</v>
      </c>
      <c r="C105">
        <v>0.1457</v>
      </c>
      <c r="D105" t="str">
        <f t="shared" si="1"/>
        <v>Marinobacter (Acetate &amp; IR)</v>
      </c>
      <c r="E105" t="s">
        <v>36</v>
      </c>
      <c r="F105" t="s">
        <v>37</v>
      </c>
      <c r="G105" t="s">
        <v>9</v>
      </c>
    </row>
    <row r="106" spans="1:7" x14ac:dyDescent="0.2">
      <c r="A106" t="s">
        <v>57</v>
      </c>
      <c r="B106">
        <v>48</v>
      </c>
      <c r="C106">
        <v>0.151</v>
      </c>
      <c r="D106" t="str">
        <f t="shared" si="1"/>
        <v>Marinobacter (Acetate &amp; IR)</v>
      </c>
      <c r="E106" t="s">
        <v>36</v>
      </c>
      <c r="F106" t="s">
        <v>37</v>
      </c>
      <c r="G106" t="s">
        <v>9</v>
      </c>
    </row>
    <row r="107" spans="1:7" x14ac:dyDescent="0.2">
      <c r="A107" t="s">
        <v>55</v>
      </c>
      <c r="B107">
        <v>48</v>
      </c>
      <c r="C107">
        <v>0.14530000000000001</v>
      </c>
      <c r="D107" t="str">
        <f t="shared" si="1"/>
        <v>Marinobacter (Thiosulfate &amp; IR)</v>
      </c>
      <c r="E107" t="s">
        <v>36</v>
      </c>
      <c r="F107" t="s">
        <v>38</v>
      </c>
      <c r="G107" t="s">
        <v>9</v>
      </c>
    </row>
    <row r="108" spans="1:7" x14ac:dyDescent="0.2">
      <c r="A108" t="s">
        <v>56</v>
      </c>
      <c r="B108">
        <v>48</v>
      </c>
      <c r="C108">
        <v>0.14460000000000001</v>
      </c>
      <c r="D108" t="str">
        <f t="shared" si="1"/>
        <v>Marinobacter (Thiosulfate &amp; IR)</v>
      </c>
      <c r="E108" t="s">
        <v>36</v>
      </c>
      <c r="F108" t="s">
        <v>38</v>
      </c>
      <c r="G108" t="s">
        <v>9</v>
      </c>
    </row>
    <row r="109" spans="1:7" x14ac:dyDescent="0.2">
      <c r="A109" t="s">
        <v>57</v>
      </c>
      <c r="B109">
        <v>48</v>
      </c>
      <c r="C109">
        <v>0.14499999999999999</v>
      </c>
      <c r="D109" t="str">
        <f t="shared" si="1"/>
        <v>Marinobacter (Thiosulfate &amp; IR)</v>
      </c>
      <c r="E109" t="s">
        <v>36</v>
      </c>
      <c r="F109" t="s">
        <v>38</v>
      </c>
      <c r="G109" t="s">
        <v>9</v>
      </c>
    </row>
    <row r="110" spans="1:7" x14ac:dyDescent="0.2">
      <c r="A110" t="s">
        <v>52</v>
      </c>
      <c r="B110">
        <v>144</v>
      </c>
      <c r="C110">
        <v>0.13220000000000001</v>
      </c>
      <c r="D110" t="str">
        <f t="shared" si="1"/>
        <v>Marinobacter (Control &amp; Dark)</v>
      </c>
      <c r="E110" t="s">
        <v>36</v>
      </c>
      <c r="F110" t="s">
        <v>35</v>
      </c>
      <c r="G110" t="s">
        <v>4</v>
      </c>
    </row>
    <row r="111" spans="1:7" x14ac:dyDescent="0.2">
      <c r="A111" t="s">
        <v>53</v>
      </c>
      <c r="B111">
        <v>144</v>
      </c>
      <c r="C111">
        <v>0.10199999999999999</v>
      </c>
      <c r="D111" t="str">
        <f t="shared" si="1"/>
        <v>Marinobacter (Control &amp; Dark)</v>
      </c>
      <c r="E111" t="s">
        <v>36</v>
      </c>
      <c r="F111" t="s">
        <v>35</v>
      </c>
      <c r="G111" t="s">
        <v>4</v>
      </c>
    </row>
    <row r="112" spans="1:7" x14ac:dyDescent="0.2">
      <c r="A112" t="s">
        <v>54</v>
      </c>
      <c r="B112">
        <v>144</v>
      </c>
      <c r="C112">
        <v>0.10539999999999999</v>
      </c>
      <c r="D112" t="str">
        <f t="shared" si="1"/>
        <v>Marinobacter (Control &amp; Dark)</v>
      </c>
      <c r="E112" t="s">
        <v>36</v>
      </c>
      <c r="F112" t="s">
        <v>35</v>
      </c>
      <c r="G112" t="s">
        <v>4</v>
      </c>
    </row>
    <row r="113" spans="1:7" x14ac:dyDescent="0.2">
      <c r="A113" t="s">
        <v>55</v>
      </c>
      <c r="B113">
        <v>144</v>
      </c>
      <c r="C113">
        <v>0.15379999999999999</v>
      </c>
      <c r="D113" t="str">
        <f t="shared" si="1"/>
        <v>Marinobacter (Acetate &amp; Dark)</v>
      </c>
      <c r="E113" t="s">
        <v>36</v>
      </c>
      <c r="F113" t="s">
        <v>37</v>
      </c>
      <c r="G113" t="s">
        <v>4</v>
      </c>
    </row>
    <row r="114" spans="1:7" x14ac:dyDescent="0.2">
      <c r="A114" t="s">
        <v>56</v>
      </c>
      <c r="B114">
        <v>144</v>
      </c>
      <c r="C114">
        <v>0.13900000000000001</v>
      </c>
      <c r="D114" t="str">
        <f t="shared" si="1"/>
        <v>Marinobacter (Acetate &amp; Dark)</v>
      </c>
      <c r="E114" t="s">
        <v>36</v>
      </c>
      <c r="F114" t="s">
        <v>37</v>
      </c>
      <c r="G114" t="s">
        <v>4</v>
      </c>
    </row>
    <row r="115" spans="1:7" x14ac:dyDescent="0.2">
      <c r="A115" t="s">
        <v>57</v>
      </c>
      <c r="B115">
        <v>144</v>
      </c>
      <c r="C115">
        <v>0.1527</v>
      </c>
      <c r="D115" t="str">
        <f t="shared" si="1"/>
        <v>Marinobacter (Acetate &amp; Dark)</v>
      </c>
      <c r="E115" t="s">
        <v>36</v>
      </c>
      <c r="F115" t="s">
        <v>37</v>
      </c>
      <c r="G115" t="s">
        <v>4</v>
      </c>
    </row>
    <row r="116" spans="1:7" x14ac:dyDescent="0.2">
      <c r="A116" t="s">
        <v>52</v>
      </c>
      <c r="B116">
        <v>144</v>
      </c>
      <c r="C116">
        <v>0.1022</v>
      </c>
      <c r="D116" t="str">
        <f t="shared" si="1"/>
        <v>Marinobacter (Thiosulfate &amp; Dark)</v>
      </c>
      <c r="E116" t="s">
        <v>36</v>
      </c>
      <c r="F116" t="s">
        <v>38</v>
      </c>
      <c r="G116" t="s">
        <v>4</v>
      </c>
    </row>
    <row r="117" spans="1:7" x14ac:dyDescent="0.2">
      <c r="A117" t="s">
        <v>53</v>
      </c>
      <c r="B117">
        <v>144</v>
      </c>
      <c r="C117">
        <v>0.1037</v>
      </c>
      <c r="D117" t="str">
        <f t="shared" si="1"/>
        <v>Marinobacter (Thiosulfate &amp; Dark)</v>
      </c>
      <c r="E117" t="s">
        <v>36</v>
      </c>
      <c r="F117" t="s">
        <v>38</v>
      </c>
      <c r="G117" t="s">
        <v>4</v>
      </c>
    </row>
    <row r="118" spans="1:7" x14ac:dyDescent="0.2">
      <c r="A118" t="s">
        <v>54</v>
      </c>
      <c r="B118">
        <v>144</v>
      </c>
      <c r="C118">
        <v>9.6500000000000002E-2</v>
      </c>
      <c r="D118" t="str">
        <f t="shared" si="1"/>
        <v>Marinobacter (Thiosulfate &amp; Dark)</v>
      </c>
      <c r="E118" t="s">
        <v>36</v>
      </c>
      <c r="F118" t="s">
        <v>38</v>
      </c>
      <c r="G118" t="s">
        <v>4</v>
      </c>
    </row>
    <row r="119" spans="1:7" x14ac:dyDescent="0.2">
      <c r="A119" t="s">
        <v>55</v>
      </c>
      <c r="B119">
        <v>144</v>
      </c>
      <c r="C119">
        <v>0.12139999999999999</v>
      </c>
      <c r="D119" t="str">
        <f t="shared" si="1"/>
        <v>Marinobacter (Control &amp; IR)</v>
      </c>
      <c r="E119" t="s">
        <v>36</v>
      </c>
      <c r="F119" t="s">
        <v>35</v>
      </c>
      <c r="G119" t="s">
        <v>9</v>
      </c>
    </row>
    <row r="120" spans="1:7" x14ac:dyDescent="0.2">
      <c r="A120" t="s">
        <v>56</v>
      </c>
      <c r="B120">
        <v>144</v>
      </c>
      <c r="C120">
        <v>0.12280000000000001</v>
      </c>
      <c r="D120" t="str">
        <f t="shared" si="1"/>
        <v>Marinobacter (Control &amp; IR)</v>
      </c>
      <c r="E120" t="s">
        <v>36</v>
      </c>
      <c r="F120" t="s">
        <v>35</v>
      </c>
      <c r="G120" t="s">
        <v>9</v>
      </c>
    </row>
    <row r="121" spans="1:7" x14ac:dyDescent="0.2">
      <c r="A121" t="s">
        <v>57</v>
      </c>
      <c r="B121">
        <v>144</v>
      </c>
      <c r="C121">
        <v>0.12720000000000001</v>
      </c>
      <c r="D121" t="str">
        <f t="shared" si="1"/>
        <v>Marinobacter (Control &amp; IR)</v>
      </c>
      <c r="E121" t="s">
        <v>36</v>
      </c>
      <c r="F121" t="s">
        <v>35</v>
      </c>
      <c r="G121" t="s">
        <v>9</v>
      </c>
    </row>
    <row r="122" spans="1:7" x14ac:dyDescent="0.2">
      <c r="A122" t="s">
        <v>55</v>
      </c>
      <c r="B122">
        <v>144</v>
      </c>
      <c r="C122">
        <v>0.12920000000000001</v>
      </c>
      <c r="D122" t="str">
        <f t="shared" si="1"/>
        <v>Marinobacter (Acetate &amp; IR)</v>
      </c>
      <c r="E122" t="s">
        <v>36</v>
      </c>
      <c r="F122" t="s">
        <v>37</v>
      </c>
      <c r="G122" t="s">
        <v>9</v>
      </c>
    </row>
    <row r="123" spans="1:7" x14ac:dyDescent="0.2">
      <c r="A123" t="s">
        <v>56</v>
      </c>
      <c r="B123">
        <v>144</v>
      </c>
      <c r="C123">
        <v>0.13719999999999999</v>
      </c>
      <c r="D123" t="str">
        <f t="shared" si="1"/>
        <v>Marinobacter (Acetate &amp; IR)</v>
      </c>
      <c r="E123" t="s">
        <v>36</v>
      </c>
      <c r="F123" t="s">
        <v>37</v>
      </c>
      <c r="G123" t="s">
        <v>9</v>
      </c>
    </row>
    <row r="124" spans="1:7" x14ac:dyDescent="0.2">
      <c r="A124" t="s">
        <v>57</v>
      </c>
      <c r="B124">
        <v>144</v>
      </c>
      <c r="C124">
        <v>0.1457</v>
      </c>
      <c r="D124" t="str">
        <f t="shared" si="1"/>
        <v>Marinobacter (Acetate &amp; IR)</v>
      </c>
      <c r="E124" t="s">
        <v>36</v>
      </c>
      <c r="F124" t="s">
        <v>37</v>
      </c>
      <c r="G124" t="s">
        <v>9</v>
      </c>
    </row>
    <row r="125" spans="1:7" x14ac:dyDescent="0.2">
      <c r="A125" t="s">
        <v>55</v>
      </c>
      <c r="B125">
        <v>144</v>
      </c>
      <c r="C125">
        <v>9.8199999999999996E-2</v>
      </c>
      <c r="D125" t="str">
        <f t="shared" si="1"/>
        <v>Marinobacter (Thiosulfate &amp; IR)</v>
      </c>
      <c r="E125" t="s">
        <v>36</v>
      </c>
      <c r="F125" t="s">
        <v>38</v>
      </c>
      <c r="G125" t="s">
        <v>9</v>
      </c>
    </row>
    <row r="126" spans="1:7" x14ac:dyDescent="0.2">
      <c r="A126" t="s">
        <v>56</v>
      </c>
      <c r="B126">
        <v>144</v>
      </c>
      <c r="C126">
        <v>9.8000000000000004E-2</v>
      </c>
      <c r="D126" t="str">
        <f t="shared" si="1"/>
        <v>Marinobacter (Thiosulfate &amp; IR)</v>
      </c>
      <c r="E126" t="s">
        <v>36</v>
      </c>
      <c r="F126" t="s">
        <v>38</v>
      </c>
      <c r="G126" t="s">
        <v>9</v>
      </c>
    </row>
    <row r="127" spans="1:7" x14ac:dyDescent="0.2">
      <c r="A127" t="s">
        <v>57</v>
      </c>
      <c r="B127">
        <v>144</v>
      </c>
      <c r="C127">
        <v>0.10299999999999999</v>
      </c>
      <c r="D127" t="str">
        <f t="shared" si="1"/>
        <v>Marinobacter (Thiosulfate &amp; IR)</v>
      </c>
      <c r="E127" t="s">
        <v>36</v>
      </c>
      <c r="F127" t="s">
        <v>38</v>
      </c>
      <c r="G127" t="s">
        <v>9</v>
      </c>
    </row>
    <row r="128" spans="1:7" x14ac:dyDescent="0.2">
      <c r="A128" t="s">
        <v>52</v>
      </c>
      <c r="B128">
        <v>192</v>
      </c>
      <c r="C128">
        <v>0.1449</v>
      </c>
      <c r="D128" t="str">
        <f t="shared" si="1"/>
        <v>Marinobacter (Control &amp; Dark)</v>
      </c>
      <c r="E128" t="s">
        <v>36</v>
      </c>
      <c r="F128" t="s">
        <v>35</v>
      </c>
      <c r="G128" t="s">
        <v>4</v>
      </c>
    </row>
    <row r="129" spans="1:7" x14ac:dyDescent="0.2">
      <c r="A129" t="s">
        <v>53</v>
      </c>
      <c r="B129">
        <v>192</v>
      </c>
      <c r="C129">
        <v>0.1439</v>
      </c>
      <c r="D129" t="str">
        <f t="shared" si="1"/>
        <v>Marinobacter (Control &amp; Dark)</v>
      </c>
      <c r="E129" t="s">
        <v>36</v>
      </c>
      <c r="F129" t="s">
        <v>35</v>
      </c>
      <c r="G129" t="s">
        <v>4</v>
      </c>
    </row>
    <row r="130" spans="1:7" x14ac:dyDescent="0.2">
      <c r="A130" t="s">
        <v>54</v>
      </c>
      <c r="B130">
        <v>192</v>
      </c>
      <c r="C130">
        <v>0.14030000000000001</v>
      </c>
      <c r="D130" t="str">
        <f t="shared" ref="D130:D193" si="2">_xlfn.CONCAT(E130," (",F130," &amp; ",G130,")")</f>
        <v>Marinobacter (Control &amp; Dark)</v>
      </c>
      <c r="E130" t="s">
        <v>36</v>
      </c>
      <c r="F130" t="s">
        <v>35</v>
      </c>
      <c r="G130" t="s">
        <v>4</v>
      </c>
    </row>
    <row r="131" spans="1:7" x14ac:dyDescent="0.2">
      <c r="A131" t="s">
        <v>55</v>
      </c>
      <c r="B131">
        <v>192</v>
      </c>
      <c r="C131">
        <v>0.30959999999999999</v>
      </c>
      <c r="D131" t="str">
        <f t="shared" si="2"/>
        <v>Marinobacter (Acetate &amp; Dark)</v>
      </c>
      <c r="E131" t="s">
        <v>36</v>
      </c>
      <c r="F131" t="s">
        <v>37</v>
      </c>
      <c r="G131" t="s">
        <v>4</v>
      </c>
    </row>
    <row r="132" spans="1:7" x14ac:dyDescent="0.2">
      <c r="A132" t="s">
        <v>56</v>
      </c>
      <c r="B132">
        <v>192</v>
      </c>
      <c r="C132">
        <v>0.22819999999999999</v>
      </c>
      <c r="D132" t="str">
        <f t="shared" si="2"/>
        <v>Marinobacter (Acetate &amp; Dark)</v>
      </c>
      <c r="E132" t="s">
        <v>36</v>
      </c>
      <c r="F132" t="s">
        <v>37</v>
      </c>
      <c r="G132" t="s">
        <v>4</v>
      </c>
    </row>
    <row r="133" spans="1:7" x14ac:dyDescent="0.2">
      <c r="A133" t="s">
        <v>57</v>
      </c>
      <c r="B133">
        <v>192</v>
      </c>
      <c r="C133">
        <v>0.2802</v>
      </c>
      <c r="D133" t="str">
        <f t="shared" si="2"/>
        <v>Marinobacter (Acetate &amp; Dark)</v>
      </c>
      <c r="E133" t="s">
        <v>36</v>
      </c>
      <c r="F133" t="s">
        <v>37</v>
      </c>
      <c r="G133" t="s">
        <v>4</v>
      </c>
    </row>
    <row r="134" spans="1:7" x14ac:dyDescent="0.2">
      <c r="A134" t="s">
        <v>52</v>
      </c>
      <c r="B134">
        <v>192</v>
      </c>
      <c r="C134">
        <v>0.1502</v>
      </c>
      <c r="D134" t="str">
        <f t="shared" si="2"/>
        <v>Marinobacter (Thiosulfate &amp; Dark)</v>
      </c>
      <c r="E134" t="s">
        <v>36</v>
      </c>
      <c r="F134" t="s">
        <v>38</v>
      </c>
      <c r="G134" t="s">
        <v>4</v>
      </c>
    </row>
    <row r="135" spans="1:7" x14ac:dyDescent="0.2">
      <c r="A135" t="s">
        <v>53</v>
      </c>
      <c r="B135">
        <v>192</v>
      </c>
      <c r="C135">
        <v>0.14910000000000001</v>
      </c>
      <c r="D135" t="str">
        <f t="shared" si="2"/>
        <v>Marinobacter (Thiosulfate &amp; Dark)</v>
      </c>
      <c r="E135" t="s">
        <v>36</v>
      </c>
      <c r="F135" t="s">
        <v>38</v>
      </c>
      <c r="G135" t="s">
        <v>4</v>
      </c>
    </row>
    <row r="136" spans="1:7" x14ac:dyDescent="0.2">
      <c r="A136" t="s">
        <v>54</v>
      </c>
      <c r="B136">
        <v>192</v>
      </c>
      <c r="C136">
        <v>0.14990000000000001</v>
      </c>
      <c r="D136" t="str">
        <f t="shared" si="2"/>
        <v>Marinobacter (Thiosulfate &amp; Dark)</v>
      </c>
      <c r="E136" t="s">
        <v>36</v>
      </c>
      <c r="F136" t="s">
        <v>38</v>
      </c>
      <c r="G136" t="s">
        <v>4</v>
      </c>
    </row>
    <row r="137" spans="1:7" x14ac:dyDescent="0.2">
      <c r="A137" t="s">
        <v>55</v>
      </c>
      <c r="B137">
        <v>192</v>
      </c>
      <c r="C137">
        <v>0.14419999999999999</v>
      </c>
      <c r="D137" t="str">
        <f t="shared" si="2"/>
        <v>Marinobacter (Control &amp; IR)</v>
      </c>
      <c r="E137" t="s">
        <v>36</v>
      </c>
      <c r="F137" t="s">
        <v>35</v>
      </c>
      <c r="G137" t="s">
        <v>9</v>
      </c>
    </row>
    <row r="138" spans="1:7" x14ac:dyDescent="0.2">
      <c r="A138" t="s">
        <v>56</v>
      </c>
      <c r="B138">
        <v>192</v>
      </c>
      <c r="C138">
        <v>0.14000000000000001</v>
      </c>
      <c r="D138" t="str">
        <f t="shared" si="2"/>
        <v>Marinobacter (Control &amp; IR)</v>
      </c>
      <c r="E138" t="s">
        <v>36</v>
      </c>
      <c r="F138" t="s">
        <v>35</v>
      </c>
      <c r="G138" t="s">
        <v>9</v>
      </c>
    </row>
    <row r="139" spans="1:7" x14ac:dyDescent="0.2">
      <c r="A139" t="s">
        <v>57</v>
      </c>
      <c r="B139">
        <v>192</v>
      </c>
      <c r="C139">
        <v>0.14249999999999999</v>
      </c>
      <c r="D139" t="str">
        <f t="shared" si="2"/>
        <v>Marinobacter (Control &amp; IR)</v>
      </c>
      <c r="E139" t="s">
        <v>36</v>
      </c>
      <c r="F139" t="s">
        <v>35</v>
      </c>
      <c r="G139" t="s">
        <v>9</v>
      </c>
    </row>
    <row r="140" spans="1:7" x14ac:dyDescent="0.2">
      <c r="A140" t="s">
        <v>55</v>
      </c>
      <c r="B140">
        <v>192</v>
      </c>
      <c r="C140">
        <v>0.24610000000000001</v>
      </c>
      <c r="D140" t="str">
        <f t="shared" si="2"/>
        <v>Marinobacter (Acetate &amp; IR)</v>
      </c>
      <c r="E140" t="s">
        <v>36</v>
      </c>
      <c r="F140" t="s">
        <v>37</v>
      </c>
      <c r="G140" t="s">
        <v>9</v>
      </c>
    </row>
    <row r="141" spans="1:7" x14ac:dyDescent="0.2">
      <c r="A141" t="s">
        <v>56</v>
      </c>
      <c r="B141">
        <v>192</v>
      </c>
      <c r="C141">
        <v>0.24970000000000001</v>
      </c>
      <c r="D141" t="str">
        <f t="shared" si="2"/>
        <v>Marinobacter (Acetate &amp; IR)</v>
      </c>
      <c r="E141" t="s">
        <v>36</v>
      </c>
      <c r="F141" t="s">
        <v>37</v>
      </c>
      <c r="G141" t="s">
        <v>9</v>
      </c>
    </row>
    <row r="142" spans="1:7" x14ac:dyDescent="0.2">
      <c r="A142" t="s">
        <v>57</v>
      </c>
      <c r="B142">
        <v>192</v>
      </c>
      <c r="C142">
        <v>0.2384</v>
      </c>
      <c r="D142" t="str">
        <f t="shared" si="2"/>
        <v>Marinobacter (Acetate &amp; IR)</v>
      </c>
      <c r="E142" t="s">
        <v>36</v>
      </c>
      <c r="F142" t="s">
        <v>37</v>
      </c>
      <c r="G142" t="s">
        <v>9</v>
      </c>
    </row>
    <row r="143" spans="1:7" x14ac:dyDescent="0.2">
      <c r="A143" t="s">
        <v>55</v>
      </c>
      <c r="B143">
        <v>192</v>
      </c>
      <c r="C143">
        <v>0.13719999999999999</v>
      </c>
      <c r="D143" t="str">
        <f t="shared" si="2"/>
        <v>Marinobacter (Thiosulfate &amp; IR)</v>
      </c>
      <c r="E143" t="s">
        <v>36</v>
      </c>
      <c r="F143" t="s">
        <v>38</v>
      </c>
      <c r="G143" t="s">
        <v>9</v>
      </c>
    </row>
    <row r="144" spans="1:7" x14ac:dyDescent="0.2">
      <c r="A144" t="s">
        <v>56</v>
      </c>
      <c r="B144">
        <v>192</v>
      </c>
      <c r="C144">
        <v>0.1424</v>
      </c>
      <c r="D144" t="str">
        <f t="shared" si="2"/>
        <v>Marinobacter (Thiosulfate &amp; IR)</v>
      </c>
      <c r="E144" t="s">
        <v>36</v>
      </c>
      <c r="F144" t="s">
        <v>38</v>
      </c>
      <c r="G144" t="s">
        <v>9</v>
      </c>
    </row>
    <row r="145" spans="1:7" x14ac:dyDescent="0.2">
      <c r="A145" t="s">
        <v>57</v>
      </c>
      <c r="B145">
        <v>192</v>
      </c>
      <c r="C145">
        <v>0.14280000000000001</v>
      </c>
      <c r="D145" t="str">
        <f t="shared" si="2"/>
        <v>Marinobacter (Thiosulfate &amp; IR)</v>
      </c>
      <c r="E145" t="s">
        <v>36</v>
      </c>
      <c r="F145" t="s">
        <v>38</v>
      </c>
      <c r="G145" t="s">
        <v>9</v>
      </c>
    </row>
    <row r="146" spans="1:7" x14ac:dyDescent="0.2">
      <c r="A146" t="s">
        <v>58</v>
      </c>
      <c r="B146">
        <v>0</v>
      </c>
      <c r="C146">
        <v>0.12470000000000001</v>
      </c>
      <c r="D146" t="str">
        <f t="shared" si="2"/>
        <v>Paracoccus (Control &amp; Dark)</v>
      </c>
      <c r="E146" t="s">
        <v>3</v>
      </c>
      <c r="F146" t="s">
        <v>35</v>
      </c>
      <c r="G146" t="s">
        <v>4</v>
      </c>
    </row>
    <row r="147" spans="1:7" x14ac:dyDescent="0.2">
      <c r="A147" t="s">
        <v>41</v>
      </c>
      <c r="B147">
        <v>0</v>
      </c>
      <c r="C147">
        <v>0.1249</v>
      </c>
      <c r="D147" t="str">
        <f t="shared" si="2"/>
        <v>Paracoccus (Control &amp; Dark)</v>
      </c>
      <c r="E147" t="s">
        <v>3</v>
      </c>
      <c r="F147" t="s">
        <v>35</v>
      </c>
      <c r="G147" t="s">
        <v>4</v>
      </c>
    </row>
    <row r="148" spans="1:7" x14ac:dyDescent="0.2">
      <c r="A148" t="s">
        <v>42</v>
      </c>
      <c r="B148">
        <v>0</v>
      </c>
      <c r="C148">
        <v>0.1244</v>
      </c>
      <c r="D148" t="str">
        <f t="shared" si="2"/>
        <v>Paracoccus (Control &amp; Dark)</v>
      </c>
      <c r="E148" t="s">
        <v>3</v>
      </c>
      <c r="F148" t="s">
        <v>35</v>
      </c>
      <c r="G148" t="s">
        <v>4</v>
      </c>
    </row>
    <row r="149" spans="1:7" x14ac:dyDescent="0.2">
      <c r="A149" t="s">
        <v>46</v>
      </c>
      <c r="B149">
        <v>0</v>
      </c>
      <c r="C149">
        <v>0.14019999999999999</v>
      </c>
      <c r="D149" t="str">
        <f t="shared" si="2"/>
        <v>Paracoccus (Acetate &amp; Dark)</v>
      </c>
      <c r="E149" t="s">
        <v>3</v>
      </c>
      <c r="F149" t="s">
        <v>37</v>
      </c>
      <c r="G149" t="s">
        <v>4</v>
      </c>
    </row>
    <row r="150" spans="1:7" x14ac:dyDescent="0.2">
      <c r="A150" t="s">
        <v>47</v>
      </c>
      <c r="B150">
        <v>0</v>
      </c>
      <c r="C150">
        <v>0.13100000000000001</v>
      </c>
      <c r="D150" t="str">
        <f t="shared" si="2"/>
        <v>Paracoccus (Acetate &amp; Dark)</v>
      </c>
      <c r="E150" t="s">
        <v>3</v>
      </c>
      <c r="F150" t="s">
        <v>37</v>
      </c>
      <c r="G150" t="s">
        <v>4</v>
      </c>
    </row>
    <row r="151" spans="1:7" x14ac:dyDescent="0.2">
      <c r="A151" t="s">
        <v>48</v>
      </c>
      <c r="B151">
        <v>0</v>
      </c>
      <c r="C151">
        <v>0.13639999999999999</v>
      </c>
      <c r="D151" t="str">
        <f t="shared" si="2"/>
        <v>Paracoccus (Acetate &amp; Dark)</v>
      </c>
      <c r="E151" t="s">
        <v>3</v>
      </c>
      <c r="F151" t="s">
        <v>37</v>
      </c>
      <c r="G151" t="s">
        <v>4</v>
      </c>
    </row>
    <row r="152" spans="1:7" x14ac:dyDescent="0.2">
      <c r="A152" t="s">
        <v>40</v>
      </c>
      <c r="B152">
        <v>0</v>
      </c>
      <c r="C152">
        <v>0.1517</v>
      </c>
      <c r="D152" t="str">
        <f t="shared" si="2"/>
        <v>Paracoccus (Thiosulfate &amp; Dark)</v>
      </c>
      <c r="E152" t="s">
        <v>3</v>
      </c>
      <c r="F152" t="s">
        <v>38</v>
      </c>
      <c r="G152" t="s">
        <v>4</v>
      </c>
    </row>
    <row r="153" spans="1:7" x14ac:dyDescent="0.2">
      <c r="A153" t="s">
        <v>41</v>
      </c>
      <c r="B153">
        <v>0</v>
      </c>
      <c r="C153">
        <v>0.12189999999999999</v>
      </c>
      <c r="D153" t="str">
        <f t="shared" si="2"/>
        <v>Paracoccus (Thiosulfate &amp; Dark)</v>
      </c>
      <c r="E153" t="s">
        <v>3</v>
      </c>
      <c r="F153" t="s">
        <v>38</v>
      </c>
      <c r="G153" t="s">
        <v>4</v>
      </c>
    </row>
    <row r="154" spans="1:7" x14ac:dyDescent="0.2">
      <c r="A154" t="s">
        <v>42</v>
      </c>
      <c r="B154">
        <v>0</v>
      </c>
      <c r="C154">
        <v>0.12509999999999999</v>
      </c>
      <c r="D154" t="str">
        <f t="shared" si="2"/>
        <v>Paracoccus (Thiosulfate &amp; Dark)</v>
      </c>
      <c r="E154" t="s">
        <v>3</v>
      </c>
      <c r="F154" t="s">
        <v>38</v>
      </c>
      <c r="G154" t="s">
        <v>4</v>
      </c>
    </row>
    <row r="155" spans="1:7" x14ac:dyDescent="0.2">
      <c r="A155" t="s">
        <v>46</v>
      </c>
      <c r="B155">
        <v>0</v>
      </c>
      <c r="C155">
        <v>0.1429</v>
      </c>
      <c r="D155" t="str">
        <f t="shared" si="2"/>
        <v>Paracoccus (Control &amp; IR)</v>
      </c>
      <c r="E155" t="s">
        <v>3</v>
      </c>
      <c r="F155" t="s">
        <v>35</v>
      </c>
      <c r="G155" t="s">
        <v>9</v>
      </c>
    </row>
    <row r="156" spans="1:7" x14ac:dyDescent="0.2">
      <c r="A156" t="s">
        <v>47</v>
      </c>
      <c r="B156">
        <v>0</v>
      </c>
      <c r="C156">
        <v>0.13830000000000001</v>
      </c>
      <c r="D156" t="str">
        <f t="shared" si="2"/>
        <v>Paracoccus (Control &amp; IR)</v>
      </c>
      <c r="E156" t="s">
        <v>3</v>
      </c>
      <c r="F156" t="s">
        <v>35</v>
      </c>
      <c r="G156" t="s">
        <v>9</v>
      </c>
    </row>
    <row r="157" spans="1:7" x14ac:dyDescent="0.2">
      <c r="A157" t="s">
        <v>48</v>
      </c>
      <c r="B157">
        <v>0</v>
      </c>
      <c r="C157">
        <v>0.15459999999999999</v>
      </c>
      <c r="D157" t="str">
        <f t="shared" si="2"/>
        <v>Paracoccus (Control &amp; IR)</v>
      </c>
      <c r="E157" t="s">
        <v>3</v>
      </c>
      <c r="F157" t="s">
        <v>35</v>
      </c>
      <c r="G157" t="s">
        <v>9</v>
      </c>
    </row>
    <row r="158" spans="1:7" x14ac:dyDescent="0.2">
      <c r="A158" t="s">
        <v>46</v>
      </c>
      <c r="B158">
        <v>0</v>
      </c>
      <c r="C158">
        <v>0.12429999999999999</v>
      </c>
      <c r="D158" t="str">
        <f t="shared" si="2"/>
        <v>Paracoccus (Acetate &amp; IR)</v>
      </c>
      <c r="E158" t="s">
        <v>3</v>
      </c>
      <c r="F158" t="s">
        <v>37</v>
      </c>
      <c r="G158" t="s">
        <v>9</v>
      </c>
    </row>
    <row r="159" spans="1:7" x14ac:dyDescent="0.2">
      <c r="A159" t="s">
        <v>47</v>
      </c>
      <c r="B159">
        <v>0</v>
      </c>
      <c r="C159">
        <v>0.12820000000000001</v>
      </c>
      <c r="D159" t="str">
        <f t="shared" si="2"/>
        <v>Paracoccus (Acetate &amp; IR)</v>
      </c>
      <c r="E159" t="s">
        <v>3</v>
      </c>
      <c r="F159" t="s">
        <v>37</v>
      </c>
      <c r="G159" t="s">
        <v>9</v>
      </c>
    </row>
    <row r="160" spans="1:7" x14ac:dyDescent="0.2">
      <c r="A160" t="s">
        <v>48</v>
      </c>
      <c r="B160">
        <v>0</v>
      </c>
      <c r="C160">
        <v>0.12509999999999999</v>
      </c>
      <c r="D160" t="str">
        <f t="shared" si="2"/>
        <v>Paracoccus (Acetate &amp; IR)</v>
      </c>
      <c r="E160" t="s">
        <v>3</v>
      </c>
      <c r="F160" t="s">
        <v>37</v>
      </c>
      <c r="G160" t="s">
        <v>9</v>
      </c>
    </row>
    <row r="161" spans="1:7" x14ac:dyDescent="0.2">
      <c r="A161" t="s">
        <v>46</v>
      </c>
      <c r="B161">
        <v>0</v>
      </c>
      <c r="C161">
        <v>0.1263</v>
      </c>
      <c r="D161" t="str">
        <f t="shared" si="2"/>
        <v>Paracoccus (Thiosulfate &amp; IR)</v>
      </c>
      <c r="E161" t="s">
        <v>3</v>
      </c>
      <c r="F161" t="s">
        <v>38</v>
      </c>
      <c r="G161" t="s">
        <v>9</v>
      </c>
    </row>
    <row r="162" spans="1:7" x14ac:dyDescent="0.2">
      <c r="A162" t="s">
        <v>47</v>
      </c>
      <c r="B162">
        <v>0</v>
      </c>
      <c r="C162">
        <v>0.1258</v>
      </c>
      <c r="D162" t="str">
        <f t="shared" si="2"/>
        <v>Paracoccus (Thiosulfate &amp; IR)</v>
      </c>
      <c r="E162" t="s">
        <v>3</v>
      </c>
      <c r="F162" t="s">
        <v>38</v>
      </c>
      <c r="G162" t="s">
        <v>9</v>
      </c>
    </row>
    <row r="163" spans="1:7" x14ac:dyDescent="0.2">
      <c r="A163" t="s">
        <v>48</v>
      </c>
      <c r="B163">
        <v>0</v>
      </c>
      <c r="C163">
        <v>0.128</v>
      </c>
      <c r="D163" t="str">
        <f t="shared" si="2"/>
        <v>Paracoccus (Thiosulfate &amp; IR)</v>
      </c>
      <c r="E163" t="s">
        <v>3</v>
      </c>
      <c r="F163" t="s">
        <v>38</v>
      </c>
      <c r="G163" t="s">
        <v>9</v>
      </c>
    </row>
    <row r="164" spans="1:7" x14ac:dyDescent="0.2">
      <c r="A164" t="s">
        <v>59</v>
      </c>
      <c r="B164">
        <v>48</v>
      </c>
      <c r="C164">
        <v>0.1119</v>
      </c>
      <c r="D164" t="str">
        <f t="shared" si="2"/>
        <v>Paracoccus (Control &amp; Dark)</v>
      </c>
      <c r="E164" t="s">
        <v>3</v>
      </c>
      <c r="F164" t="s">
        <v>35</v>
      </c>
      <c r="G164" t="s">
        <v>4</v>
      </c>
    </row>
    <row r="165" spans="1:7" x14ac:dyDescent="0.2">
      <c r="A165" t="s">
        <v>41</v>
      </c>
      <c r="B165">
        <v>48</v>
      </c>
      <c r="C165">
        <v>0.11070000000000001</v>
      </c>
      <c r="D165" t="str">
        <f t="shared" si="2"/>
        <v>Paracoccus (Control &amp; Dark)</v>
      </c>
      <c r="E165" t="s">
        <v>3</v>
      </c>
      <c r="F165" t="s">
        <v>35</v>
      </c>
      <c r="G165" t="s">
        <v>4</v>
      </c>
    </row>
    <row r="166" spans="1:7" x14ac:dyDescent="0.2">
      <c r="A166" t="s">
        <v>42</v>
      </c>
      <c r="B166">
        <v>48</v>
      </c>
      <c r="C166">
        <v>0.10920000000000001</v>
      </c>
      <c r="D166" t="str">
        <f t="shared" si="2"/>
        <v>Paracoccus (Control &amp; Dark)</v>
      </c>
      <c r="E166" t="s">
        <v>3</v>
      </c>
      <c r="F166" t="s">
        <v>35</v>
      </c>
      <c r="G166" t="s">
        <v>4</v>
      </c>
    </row>
    <row r="167" spans="1:7" x14ac:dyDescent="0.2">
      <c r="A167" t="s">
        <v>46</v>
      </c>
      <c r="B167">
        <v>48</v>
      </c>
      <c r="C167">
        <v>0.16539999999999999</v>
      </c>
      <c r="D167" t="str">
        <f t="shared" si="2"/>
        <v>Paracoccus (Acetate &amp; Dark)</v>
      </c>
      <c r="E167" t="s">
        <v>3</v>
      </c>
      <c r="F167" t="s">
        <v>37</v>
      </c>
      <c r="G167" t="s">
        <v>4</v>
      </c>
    </row>
    <row r="168" spans="1:7" x14ac:dyDescent="0.2">
      <c r="A168" t="s">
        <v>47</v>
      </c>
      <c r="B168">
        <v>48</v>
      </c>
      <c r="C168">
        <v>0.1137</v>
      </c>
      <c r="D168" t="str">
        <f t="shared" si="2"/>
        <v>Paracoccus (Acetate &amp; Dark)</v>
      </c>
      <c r="E168" t="s">
        <v>3</v>
      </c>
      <c r="F168" t="s">
        <v>37</v>
      </c>
      <c r="G168" t="s">
        <v>4</v>
      </c>
    </row>
    <row r="169" spans="1:7" x14ac:dyDescent="0.2">
      <c r="A169" t="s">
        <v>48</v>
      </c>
      <c r="B169">
        <v>48</v>
      </c>
      <c r="C169">
        <v>0.1186</v>
      </c>
      <c r="D169" t="str">
        <f t="shared" si="2"/>
        <v>Paracoccus (Acetate &amp; Dark)</v>
      </c>
      <c r="E169" t="s">
        <v>3</v>
      </c>
      <c r="F169" t="s">
        <v>37</v>
      </c>
      <c r="G169" t="s">
        <v>4</v>
      </c>
    </row>
    <row r="170" spans="1:7" x14ac:dyDescent="0.2">
      <c r="A170" t="s">
        <v>40</v>
      </c>
      <c r="B170">
        <v>48</v>
      </c>
      <c r="C170">
        <v>0.182</v>
      </c>
      <c r="D170" t="str">
        <f t="shared" si="2"/>
        <v>Paracoccus (Thiosulfate &amp; Dark)</v>
      </c>
      <c r="E170" t="s">
        <v>3</v>
      </c>
      <c r="F170" t="s">
        <v>38</v>
      </c>
      <c r="G170" t="s">
        <v>4</v>
      </c>
    </row>
    <row r="171" spans="1:7" x14ac:dyDescent="0.2">
      <c r="A171" t="s">
        <v>41</v>
      </c>
      <c r="B171">
        <v>48</v>
      </c>
      <c r="C171">
        <v>0.1132</v>
      </c>
      <c r="D171" t="str">
        <f t="shared" si="2"/>
        <v>Paracoccus (Thiosulfate &amp; Dark)</v>
      </c>
      <c r="E171" t="s">
        <v>3</v>
      </c>
      <c r="F171" t="s">
        <v>38</v>
      </c>
      <c r="G171" t="s">
        <v>4</v>
      </c>
    </row>
    <row r="172" spans="1:7" x14ac:dyDescent="0.2">
      <c r="A172" t="s">
        <v>42</v>
      </c>
      <c r="B172">
        <v>48</v>
      </c>
      <c r="C172">
        <v>0.1089</v>
      </c>
      <c r="D172" t="str">
        <f t="shared" si="2"/>
        <v>Paracoccus (Thiosulfate &amp; Dark)</v>
      </c>
      <c r="E172" t="s">
        <v>3</v>
      </c>
      <c r="F172" t="s">
        <v>38</v>
      </c>
      <c r="G172" t="s">
        <v>4</v>
      </c>
    </row>
    <row r="173" spans="1:7" x14ac:dyDescent="0.2">
      <c r="A173" t="s">
        <v>46</v>
      </c>
      <c r="B173">
        <v>48</v>
      </c>
      <c r="C173">
        <v>0.1157</v>
      </c>
      <c r="D173" t="str">
        <f t="shared" si="2"/>
        <v>Paracoccus (Control &amp; IR)</v>
      </c>
      <c r="E173" t="s">
        <v>3</v>
      </c>
      <c r="F173" t="s">
        <v>35</v>
      </c>
      <c r="G173" t="s">
        <v>9</v>
      </c>
    </row>
    <row r="174" spans="1:7" x14ac:dyDescent="0.2">
      <c r="A174" t="s">
        <v>47</v>
      </c>
      <c r="B174">
        <v>48</v>
      </c>
      <c r="C174">
        <v>0.11749999999999999</v>
      </c>
      <c r="D174" t="str">
        <f t="shared" si="2"/>
        <v>Paracoccus (Control &amp; IR)</v>
      </c>
      <c r="E174" t="s">
        <v>3</v>
      </c>
      <c r="F174" t="s">
        <v>35</v>
      </c>
      <c r="G174" t="s">
        <v>9</v>
      </c>
    </row>
    <row r="175" spans="1:7" x14ac:dyDescent="0.2">
      <c r="A175" t="s">
        <v>48</v>
      </c>
      <c r="B175">
        <v>48</v>
      </c>
      <c r="C175">
        <v>0.1197</v>
      </c>
      <c r="D175" t="str">
        <f t="shared" si="2"/>
        <v>Paracoccus (Control &amp; IR)</v>
      </c>
      <c r="E175" t="s">
        <v>3</v>
      </c>
      <c r="F175" t="s">
        <v>35</v>
      </c>
      <c r="G175" t="s">
        <v>9</v>
      </c>
    </row>
    <row r="176" spans="1:7" x14ac:dyDescent="0.2">
      <c r="A176" t="s">
        <v>46</v>
      </c>
      <c r="B176">
        <v>48</v>
      </c>
      <c r="C176">
        <v>0.11269999999999999</v>
      </c>
      <c r="D176" t="str">
        <f t="shared" si="2"/>
        <v>Paracoccus (Acetate &amp; IR)</v>
      </c>
      <c r="E176" t="s">
        <v>3</v>
      </c>
      <c r="F176" t="s">
        <v>37</v>
      </c>
      <c r="G176" t="s">
        <v>9</v>
      </c>
    </row>
    <row r="177" spans="1:7" x14ac:dyDescent="0.2">
      <c r="A177" t="s">
        <v>47</v>
      </c>
      <c r="B177">
        <v>48</v>
      </c>
      <c r="C177">
        <v>0.1137</v>
      </c>
      <c r="D177" t="str">
        <f t="shared" si="2"/>
        <v>Paracoccus (Acetate &amp; IR)</v>
      </c>
      <c r="E177" t="s">
        <v>3</v>
      </c>
      <c r="F177" t="s">
        <v>37</v>
      </c>
      <c r="G177" t="s">
        <v>9</v>
      </c>
    </row>
    <row r="178" spans="1:7" x14ac:dyDescent="0.2">
      <c r="A178" t="s">
        <v>48</v>
      </c>
      <c r="B178">
        <v>48</v>
      </c>
      <c r="C178">
        <v>0.10929999999999999</v>
      </c>
      <c r="D178" t="str">
        <f t="shared" si="2"/>
        <v>Paracoccus (Acetate &amp; IR)</v>
      </c>
      <c r="E178" t="s">
        <v>3</v>
      </c>
      <c r="F178" t="s">
        <v>37</v>
      </c>
      <c r="G178" t="s">
        <v>9</v>
      </c>
    </row>
    <row r="179" spans="1:7" x14ac:dyDescent="0.2">
      <c r="A179" t="s">
        <v>46</v>
      </c>
      <c r="B179">
        <v>48</v>
      </c>
      <c r="C179">
        <v>0.10539999999999999</v>
      </c>
      <c r="D179" t="str">
        <f t="shared" si="2"/>
        <v>Paracoccus (Thiosulfate &amp; IR)</v>
      </c>
      <c r="E179" t="s">
        <v>3</v>
      </c>
      <c r="F179" t="s">
        <v>38</v>
      </c>
      <c r="G179" t="s">
        <v>9</v>
      </c>
    </row>
    <row r="180" spans="1:7" x14ac:dyDescent="0.2">
      <c r="A180" t="s">
        <v>47</v>
      </c>
      <c r="B180">
        <v>48</v>
      </c>
      <c r="C180">
        <v>0.1135</v>
      </c>
      <c r="D180" t="str">
        <f t="shared" si="2"/>
        <v>Paracoccus (Thiosulfate &amp; IR)</v>
      </c>
      <c r="E180" t="s">
        <v>3</v>
      </c>
      <c r="F180" t="s">
        <v>38</v>
      </c>
      <c r="G180" t="s">
        <v>9</v>
      </c>
    </row>
    <row r="181" spans="1:7" x14ac:dyDescent="0.2">
      <c r="A181" t="s">
        <v>48</v>
      </c>
      <c r="B181">
        <v>48</v>
      </c>
      <c r="C181">
        <v>0.11210000000000001</v>
      </c>
      <c r="D181" t="str">
        <f t="shared" si="2"/>
        <v>Paracoccus (Thiosulfate &amp; IR)</v>
      </c>
      <c r="E181" t="s">
        <v>3</v>
      </c>
      <c r="F181" t="s">
        <v>38</v>
      </c>
      <c r="G181" t="s">
        <v>9</v>
      </c>
    </row>
    <row r="182" spans="1:7" x14ac:dyDescent="0.2">
      <c r="A182" t="s">
        <v>60</v>
      </c>
      <c r="B182">
        <v>144</v>
      </c>
      <c r="C182">
        <v>0.1019</v>
      </c>
      <c r="D182" t="str">
        <f t="shared" si="2"/>
        <v>Paracoccus (Control &amp; Dark)</v>
      </c>
      <c r="E182" t="s">
        <v>3</v>
      </c>
      <c r="F182" t="s">
        <v>35</v>
      </c>
      <c r="G182" t="s">
        <v>4</v>
      </c>
    </row>
    <row r="183" spans="1:7" x14ac:dyDescent="0.2">
      <c r="A183" t="s">
        <v>41</v>
      </c>
      <c r="B183">
        <v>144</v>
      </c>
      <c r="C183">
        <v>0.1017</v>
      </c>
      <c r="D183" t="str">
        <f t="shared" si="2"/>
        <v>Paracoccus (Control &amp; Dark)</v>
      </c>
      <c r="E183" t="s">
        <v>3</v>
      </c>
      <c r="F183" t="s">
        <v>35</v>
      </c>
      <c r="G183" t="s">
        <v>4</v>
      </c>
    </row>
    <row r="184" spans="1:7" x14ac:dyDescent="0.2">
      <c r="A184" t="s">
        <v>42</v>
      </c>
      <c r="B184">
        <v>144</v>
      </c>
      <c r="C184">
        <v>9.4E-2</v>
      </c>
      <c r="D184" t="str">
        <f t="shared" si="2"/>
        <v>Paracoccus (Control &amp; Dark)</v>
      </c>
      <c r="E184" t="s">
        <v>3</v>
      </c>
      <c r="F184" t="s">
        <v>35</v>
      </c>
      <c r="G184" t="s">
        <v>4</v>
      </c>
    </row>
    <row r="185" spans="1:7" x14ac:dyDescent="0.2">
      <c r="A185" t="s">
        <v>46</v>
      </c>
      <c r="B185">
        <v>144</v>
      </c>
      <c r="C185">
        <v>0.1525</v>
      </c>
      <c r="D185" t="str">
        <f t="shared" si="2"/>
        <v>Paracoccus (Acetate &amp; Dark)</v>
      </c>
      <c r="E185" t="s">
        <v>3</v>
      </c>
      <c r="F185" t="s">
        <v>37</v>
      </c>
      <c r="G185" t="s">
        <v>4</v>
      </c>
    </row>
    <row r="186" spans="1:7" x14ac:dyDescent="0.2">
      <c r="A186" t="s">
        <v>47</v>
      </c>
      <c r="B186">
        <v>144</v>
      </c>
      <c r="C186">
        <v>0.16320000000000001</v>
      </c>
      <c r="D186" t="str">
        <f t="shared" si="2"/>
        <v>Paracoccus (Acetate &amp; Dark)</v>
      </c>
      <c r="E186" t="s">
        <v>3</v>
      </c>
      <c r="F186" t="s">
        <v>37</v>
      </c>
      <c r="G186" t="s">
        <v>4</v>
      </c>
    </row>
    <row r="187" spans="1:7" x14ac:dyDescent="0.2">
      <c r="A187" t="s">
        <v>48</v>
      </c>
      <c r="B187">
        <v>144</v>
      </c>
      <c r="C187">
        <v>0.16339999999999999</v>
      </c>
      <c r="D187" t="str">
        <f t="shared" si="2"/>
        <v>Paracoccus (Acetate &amp; Dark)</v>
      </c>
      <c r="E187" t="s">
        <v>3</v>
      </c>
      <c r="F187" t="s">
        <v>37</v>
      </c>
      <c r="G187" t="s">
        <v>4</v>
      </c>
    </row>
    <row r="188" spans="1:7" x14ac:dyDescent="0.2">
      <c r="A188" t="s">
        <v>40</v>
      </c>
      <c r="B188">
        <v>144</v>
      </c>
      <c r="C188">
        <v>0.1046</v>
      </c>
      <c r="D188" t="str">
        <f t="shared" si="2"/>
        <v>Paracoccus (Thiosulfate &amp; Dark)</v>
      </c>
      <c r="E188" t="s">
        <v>3</v>
      </c>
      <c r="F188" t="s">
        <v>38</v>
      </c>
      <c r="G188" t="s">
        <v>4</v>
      </c>
    </row>
    <row r="189" spans="1:7" x14ac:dyDescent="0.2">
      <c r="A189" t="s">
        <v>41</v>
      </c>
      <c r="B189">
        <v>144</v>
      </c>
      <c r="C189">
        <v>9.7199999999999995E-2</v>
      </c>
      <c r="D189" t="str">
        <f t="shared" si="2"/>
        <v>Paracoccus (Thiosulfate &amp; Dark)</v>
      </c>
      <c r="E189" t="s">
        <v>3</v>
      </c>
      <c r="F189" t="s">
        <v>38</v>
      </c>
      <c r="G189" t="s">
        <v>4</v>
      </c>
    </row>
    <row r="190" spans="1:7" x14ac:dyDescent="0.2">
      <c r="A190" t="s">
        <v>42</v>
      </c>
      <c r="B190">
        <v>144</v>
      </c>
      <c r="C190">
        <v>9.6100000000000005E-2</v>
      </c>
      <c r="D190" t="str">
        <f t="shared" si="2"/>
        <v>Paracoccus (Thiosulfate &amp; Dark)</v>
      </c>
      <c r="E190" t="s">
        <v>3</v>
      </c>
      <c r="F190" t="s">
        <v>38</v>
      </c>
      <c r="G190" t="s">
        <v>4</v>
      </c>
    </row>
    <row r="191" spans="1:7" x14ac:dyDescent="0.2">
      <c r="A191" t="s">
        <v>46</v>
      </c>
      <c r="B191">
        <v>144</v>
      </c>
      <c r="C191">
        <v>0.1123</v>
      </c>
      <c r="D191" t="str">
        <f t="shared" si="2"/>
        <v>Paracoccus (Control &amp; IR)</v>
      </c>
      <c r="E191" t="s">
        <v>3</v>
      </c>
      <c r="F191" t="s">
        <v>35</v>
      </c>
      <c r="G191" t="s">
        <v>9</v>
      </c>
    </row>
    <row r="192" spans="1:7" x14ac:dyDescent="0.2">
      <c r="A192" t="s">
        <v>47</v>
      </c>
      <c r="B192">
        <v>144</v>
      </c>
      <c r="C192">
        <v>9.6000000000000002E-2</v>
      </c>
      <c r="D192" t="str">
        <f t="shared" si="2"/>
        <v>Paracoccus (Control &amp; IR)</v>
      </c>
      <c r="E192" t="s">
        <v>3</v>
      </c>
      <c r="F192" t="s">
        <v>35</v>
      </c>
      <c r="G192" t="s">
        <v>9</v>
      </c>
    </row>
    <row r="193" spans="1:7" x14ac:dyDescent="0.2">
      <c r="A193" t="s">
        <v>48</v>
      </c>
      <c r="B193">
        <v>144</v>
      </c>
      <c r="C193">
        <v>9.3600000000000003E-2</v>
      </c>
      <c r="D193" t="str">
        <f t="shared" si="2"/>
        <v>Paracoccus (Control &amp; IR)</v>
      </c>
      <c r="E193" t="s">
        <v>3</v>
      </c>
      <c r="F193" t="s">
        <v>35</v>
      </c>
      <c r="G193" t="s">
        <v>9</v>
      </c>
    </row>
    <row r="194" spans="1:7" x14ac:dyDescent="0.2">
      <c r="A194" t="s">
        <v>46</v>
      </c>
      <c r="B194">
        <v>144</v>
      </c>
      <c r="C194">
        <v>0.16350000000000001</v>
      </c>
      <c r="D194" t="str">
        <f t="shared" ref="D194:D257" si="3">_xlfn.CONCAT(E194," (",F194," &amp; ",G194,")")</f>
        <v>Paracoccus (Acetate &amp; IR)</v>
      </c>
      <c r="E194" t="s">
        <v>3</v>
      </c>
      <c r="F194" t="s">
        <v>37</v>
      </c>
      <c r="G194" t="s">
        <v>9</v>
      </c>
    </row>
    <row r="195" spans="1:7" x14ac:dyDescent="0.2">
      <c r="A195" t="s">
        <v>47</v>
      </c>
      <c r="B195">
        <v>144</v>
      </c>
      <c r="C195">
        <v>0.1598</v>
      </c>
      <c r="D195" t="str">
        <f t="shared" si="3"/>
        <v>Paracoccus (Acetate &amp; IR)</v>
      </c>
      <c r="E195" t="s">
        <v>3</v>
      </c>
      <c r="F195" t="s">
        <v>37</v>
      </c>
      <c r="G195" t="s">
        <v>9</v>
      </c>
    </row>
    <row r="196" spans="1:7" x14ac:dyDescent="0.2">
      <c r="A196" t="s">
        <v>48</v>
      </c>
      <c r="B196">
        <v>144</v>
      </c>
      <c r="C196">
        <v>0.14580000000000001</v>
      </c>
      <c r="D196" t="str">
        <f t="shared" si="3"/>
        <v>Paracoccus (Acetate &amp; IR)</v>
      </c>
      <c r="E196" t="s">
        <v>3</v>
      </c>
      <c r="F196" t="s">
        <v>37</v>
      </c>
      <c r="G196" t="s">
        <v>9</v>
      </c>
    </row>
    <row r="197" spans="1:7" x14ac:dyDescent="0.2">
      <c r="A197" t="s">
        <v>46</v>
      </c>
      <c r="B197">
        <v>144</v>
      </c>
      <c r="C197">
        <v>0.1244</v>
      </c>
      <c r="D197" t="str">
        <f t="shared" si="3"/>
        <v>Paracoccus (Thiosulfate &amp; IR)</v>
      </c>
      <c r="E197" t="s">
        <v>3</v>
      </c>
      <c r="F197" t="s">
        <v>38</v>
      </c>
      <c r="G197" t="s">
        <v>9</v>
      </c>
    </row>
    <row r="198" spans="1:7" x14ac:dyDescent="0.2">
      <c r="A198" t="s">
        <v>47</v>
      </c>
      <c r="B198">
        <v>144</v>
      </c>
      <c r="C198">
        <v>0.1123</v>
      </c>
      <c r="D198" t="str">
        <f t="shared" si="3"/>
        <v>Paracoccus (Thiosulfate &amp; IR)</v>
      </c>
      <c r="E198" t="s">
        <v>3</v>
      </c>
      <c r="F198" t="s">
        <v>38</v>
      </c>
      <c r="G198" t="s">
        <v>9</v>
      </c>
    </row>
    <row r="199" spans="1:7" x14ac:dyDescent="0.2">
      <c r="A199" t="s">
        <v>48</v>
      </c>
      <c r="B199">
        <v>144</v>
      </c>
      <c r="C199">
        <v>0.15390000000000001</v>
      </c>
      <c r="D199" t="str">
        <f t="shared" si="3"/>
        <v>Paracoccus (Thiosulfate &amp; IR)</v>
      </c>
      <c r="E199" t="s">
        <v>3</v>
      </c>
      <c r="F199" t="s">
        <v>38</v>
      </c>
      <c r="G199" t="s">
        <v>9</v>
      </c>
    </row>
    <row r="200" spans="1:7" x14ac:dyDescent="0.2">
      <c r="A200" t="s">
        <v>61</v>
      </c>
      <c r="B200">
        <v>192</v>
      </c>
      <c r="C200">
        <v>0.18779999999999999</v>
      </c>
      <c r="D200" t="str">
        <f t="shared" si="3"/>
        <v>Paracoccus (Control &amp; Dark)</v>
      </c>
      <c r="E200" t="s">
        <v>3</v>
      </c>
      <c r="F200" t="s">
        <v>35</v>
      </c>
      <c r="G200" t="s">
        <v>4</v>
      </c>
    </row>
    <row r="201" spans="1:7" x14ac:dyDescent="0.2">
      <c r="A201" t="s">
        <v>41</v>
      </c>
      <c r="B201">
        <v>192</v>
      </c>
      <c r="C201">
        <v>0.1067</v>
      </c>
      <c r="D201" t="str">
        <f t="shared" si="3"/>
        <v>Paracoccus (Control &amp; Dark)</v>
      </c>
      <c r="E201" t="s">
        <v>3</v>
      </c>
      <c r="F201" t="s">
        <v>35</v>
      </c>
      <c r="G201" t="s">
        <v>4</v>
      </c>
    </row>
    <row r="202" spans="1:7" x14ac:dyDescent="0.2">
      <c r="A202" t="s">
        <v>42</v>
      </c>
      <c r="B202">
        <v>192</v>
      </c>
      <c r="C202">
        <v>0.1099</v>
      </c>
      <c r="D202" t="str">
        <f t="shared" si="3"/>
        <v>Paracoccus (Control &amp; Dark)</v>
      </c>
      <c r="E202" t="s">
        <v>3</v>
      </c>
      <c r="F202" t="s">
        <v>35</v>
      </c>
      <c r="G202" t="s">
        <v>4</v>
      </c>
    </row>
    <row r="203" spans="1:7" x14ac:dyDescent="0.2">
      <c r="A203" t="s">
        <v>46</v>
      </c>
      <c r="B203">
        <v>192</v>
      </c>
      <c r="C203">
        <v>0.25590000000000002</v>
      </c>
      <c r="D203" t="str">
        <f t="shared" si="3"/>
        <v>Paracoccus (Acetate &amp; Dark)</v>
      </c>
      <c r="E203" t="s">
        <v>3</v>
      </c>
      <c r="F203" t="s">
        <v>37</v>
      </c>
      <c r="G203" t="s">
        <v>4</v>
      </c>
    </row>
    <row r="204" spans="1:7" x14ac:dyDescent="0.2">
      <c r="A204" t="s">
        <v>47</v>
      </c>
      <c r="B204">
        <v>192</v>
      </c>
      <c r="C204">
        <v>0.1951</v>
      </c>
      <c r="D204" t="str">
        <f t="shared" si="3"/>
        <v>Paracoccus (Acetate &amp; Dark)</v>
      </c>
      <c r="E204" t="s">
        <v>3</v>
      </c>
      <c r="F204" t="s">
        <v>37</v>
      </c>
      <c r="G204" t="s">
        <v>4</v>
      </c>
    </row>
    <row r="205" spans="1:7" x14ac:dyDescent="0.2">
      <c r="A205" t="s">
        <v>48</v>
      </c>
      <c r="B205">
        <v>192</v>
      </c>
      <c r="C205">
        <v>0.1792</v>
      </c>
      <c r="D205" t="str">
        <f t="shared" si="3"/>
        <v>Paracoccus (Acetate &amp; Dark)</v>
      </c>
      <c r="E205" t="s">
        <v>3</v>
      </c>
      <c r="F205" t="s">
        <v>37</v>
      </c>
      <c r="G205" t="s">
        <v>4</v>
      </c>
    </row>
    <row r="206" spans="1:7" x14ac:dyDescent="0.2">
      <c r="A206" t="s">
        <v>40</v>
      </c>
      <c r="B206">
        <v>192</v>
      </c>
      <c r="C206">
        <v>0.11</v>
      </c>
      <c r="D206" t="str">
        <f t="shared" si="3"/>
        <v>Paracoccus (Thiosulfate &amp; Dark)</v>
      </c>
      <c r="E206" t="s">
        <v>3</v>
      </c>
      <c r="F206" t="s">
        <v>38</v>
      </c>
      <c r="G206" t="s">
        <v>4</v>
      </c>
    </row>
    <row r="207" spans="1:7" x14ac:dyDescent="0.2">
      <c r="A207" t="s">
        <v>41</v>
      </c>
      <c r="B207">
        <v>192</v>
      </c>
      <c r="C207">
        <v>0.1109</v>
      </c>
      <c r="D207" t="str">
        <f t="shared" si="3"/>
        <v>Paracoccus (Thiosulfate &amp; Dark)</v>
      </c>
      <c r="E207" t="s">
        <v>3</v>
      </c>
      <c r="F207" t="s">
        <v>38</v>
      </c>
      <c r="G207" t="s">
        <v>4</v>
      </c>
    </row>
    <row r="208" spans="1:7" x14ac:dyDescent="0.2">
      <c r="A208" t="s">
        <v>42</v>
      </c>
      <c r="B208">
        <v>192</v>
      </c>
      <c r="C208">
        <v>0.1095</v>
      </c>
      <c r="D208" t="str">
        <f t="shared" si="3"/>
        <v>Paracoccus (Thiosulfate &amp; Dark)</v>
      </c>
      <c r="E208" t="s">
        <v>3</v>
      </c>
      <c r="F208" t="s">
        <v>38</v>
      </c>
      <c r="G208" t="s">
        <v>4</v>
      </c>
    </row>
    <row r="209" spans="1:7" x14ac:dyDescent="0.2">
      <c r="A209" t="s">
        <v>46</v>
      </c>
      <c r="B209">
        <v>192</v>
      </c>
      <c r="C209">
        <v>0.1186</v>
      </c>
      <c r="D209" t="str">
        <f t="shared" si="3"/>
        <v>Paracoccus (Control &amp; IR)</v>
      </c>
      <c r="E209" t="s">
        <v>3</v>
      </c>
      <c r="F209" t="s">
        <v>35</v>
      </c>
      <c r="G209" t="s">
        <v>9</v>
      </c>
    </row>
    <row r="210" spans="1:7" x14ac:dyDescent="0.2">
      <c r="A210" t="s">
        <v>47</v>
      </c>
      <c r="B210">
        <v>192</v>
      </c>
      <c r="C210">
        <v>0.1158</v>
      </c>
      <c r="D210" t="str">
        <f t="shared" si="3"/>
        <v>Paracoccus (Control &amp; IR)</v>
      </c>
      <c r="E210" t="s">
        <v>3</v>
      </c>
      <c r="F210" t="s">
        <v>35</v>
      </c>
      <c r="G210" t="s">
        <v>9</v>
      </c>
    </row>
    <row r="211" spans="1:7" x14ac:dyDescent="0.2">
      <c r="A211" t="s">
        <v>48</v>
      </c>
      <c r="B211">
        <v>192</v>
      </c>
      <c r="C211">
        <v>0.1211</v>
      </c>
      <c r="D211" t="str">
        <f t="shared" si="3"/>
        <v>Paracoccus (Control &amp; IR)</v>
      </c>
      <c r="E211" t="s">
        <v>3</v>
      </c>
      <c r="F211" t="s">
        <v>35</v>
      </c>
      <c r="G211" t="s">
        <v>9</v>
      </c>
    </row>
    <row r="212" spans="1:7" x14ac:dyDescent="0.2">
      <c r="A212" t="s">
        <v>46</v>
      </c>
      <c r="B212">
        <v>192</v>
      </c>
      <c r="C212">
        <v>0.191</v>
      </c>
      <c r="D212" t="str">
        <f t="shared" si="3"/>
        <v>Paracoccus (Acetate &amp; IR)</v>
      </c>
      <c r="E212" t="s">
        <v>3</v>
      </c>
      <c r="F212" t="s">
        <v>37</v>
      </c>
      <c r="G212" t="s">
        <v>9</v>
      </c>
    </row>
    <row r="213" spans="1:7" x14ac:dyDescent="0.2">
      <c r="A213" t="s">
        <v>47</v>
      </c>
      <c r="B213">
        <v>192</v>
      </c>
      <c r="C213">
        <v>0.19220000000000001</v>
      </c>
      <c r="D213" t="str">
        <f t="shared" si="3"/>
        <v>Paracoccus (Acetate &amp; IR)</v>
      </c>
      <c r="E213" t="s">
        <v>3</v>
      </c>
      <c r="F213" t="s">
        <v>37</v>
      </c>
      <c r="G213" t="s">
        <v>9</v>
      </c>
    </row>
    <row r="214" spans="1:7" x14ac:dyDescent="0.2">
      <c r="A214" t="s">
        <v>48</v>
      </c>
      <c r="B214">
        <v>192</v>
      </c>
      <c r="C214">
        <v>0.18099999999999999</v>
      </c>
      <c r="D214" t="str">
        <f t="shared" si="3"/>
        <v>Paracoccus (Acetate &amp; IR)</v>
      </c>
      <c r="E214" t="s">
        <v>3</v>
      </c>
      <c r="F214" t="s">
        <v>37</v>
      </c>
      <c r="G214" t="s">
        <v>9</v>
      </c>
    </row>
    <row r="215" spans="1:7" x14ac:dyDescent="0.2">
      <c r="A215" t="s">
        <v>46</v>
      </c>
      <c r="B215">
        <v>192</v>
      </c>
      <c r="C215">
        <v>0.1048</v>
      </c>
      <c r="D215" t="str">
        <f t="shared" si="3"/>
        <v>Paracoccus (Thiosulfate &amp; IR)</v>
      </c>
      <c r="E215" t="s">
        <v>3</v>
      </c>
      <c r="F215" t="s">
        <v>38</v>
      </c>
      <c r="G215" t="s">
        <v>9</v>
      </c>
    </row>
    <row r="216" spans="1:7" x14ac:dyDescent="0.2">
      <c r="A216" t="s">
        <v>47</v>
      </c>
      <c r="B216">
        <v>192</v>
      </c>
      <c r="C216">
        <v>0.1075</v>
      </c>
      <c r="D216" t="str">
        <f t="shared" si="3"/>
        <v>Paracoccus (Thiosulfate &amp; IR)</v>
      </c>
      <c r="E216" t="s">
        <v>3</v>
      </c>
      <c r="F216" t="s">
        <v>38</v>
      </c>
      <c r="G216" t="s">
        <v>9</v>
      </c>
    </row>
    <row r="217" spans="1:7" x14ac:dyDescent="0.2">
      <c r="A217" t="s">
        <v>48</v>
      </c>
      <c r="B217">
        <v>192</v>
      </c>
      <c r="C217">
        <v>0.10489999999999999</v>
      </c>
      <c r="D217" t="str">
        <f t="shared" si="3"/>
        <v>Paracoccus (Thiosulfate &amp; IR)</v>
      </c>
      <c r="E217" t="s">
        <v>3</v>
      </c>
      <c r="F217" t="s">
        <v>38</v>
      </c>
      <c r="G217" t="s">
        <v>9</v>
      </c>
    </row>
    <row r="218" spans="1:7" x14ac:dyDescent="0.2">
      <c r="A218" t="s">
        <v>6</v>
      </c>
      <c r="B218">
        <v>0</v>
      </c>
      <c r="C218">
        <v>0.13739999999999999</v>
      </c>
      <c r="D218" t="str">
        <f t="shared" si="3"/>
        <v>Synthetic Community (Control &amp; Dark)</v>
      </c>
      <c r="E218" t="s">
        <v>39</v>
      </c>
      <c r="F218" t="s">
        <v>35</v>
      </c>
      <c r="G218" t="s">
        <v>4</v>
      </c>
    </row>
    <row r="219" spans="1:7" x14ac:dyDescent="0.2">
      <c r="A219" t="s">
        <v>7</v>
      </c>
      <c r="B219">
        <v>0</v>
      </c>
      <c r="C219">
        <v>0.1384</v>
      </c>
      <c r="D219" t="str">
        <f t="shared" si="3"/>
        <v>Synthetic Community (Control &amp; Dark)</v>
      </c>
      <c r="E219" t="s">
        <v>39</v>
      </c>
      <c r="F219" t="s">
        <v>35</v>
      </c>
      <c r="G219" t="s">
        <v>4</v>
      </c>
    </row>
    <row r="220" spans="1:7" x14ac:dyDescent="0.2">
      <c r="A220" t="s">
        <v>8</v>
      </c>
      <c r="B220">
        <v>0</v>
      </c>
      <c r="C220">
        <v>0.13539999999999999</v>
      </c>
      <c r="D220" t="str">
        <f t="shared" si="3"/>
        <v>Synthetic Community (Control &amp; Dark)</v>
      </c>
      <c r="E220" t="s">
        <v>39</v>
      </c>
      <c r="F220" t="s">
        <v>35</v>
      </c>
      <c r="G220" t="s">
        <v>4</v>
      </c>
    </row>
    <row r="221" spans="1:7" x14ac:dyDescent="0.2">
      <c r="A221" t="s">
        <v>10</v>
      </c>
      <c r="B221">
        <v>0</v>
      </c>
      <c r="C221">
        <v>0.13900000000000001</v>
      </c>
      <c r="D221" t="str">
        <f t="shared" si="3"/>
        <v>Synthetic Community (Acetate &amp; Dark)</v>
      </c>
      <c r="E221" t="s">
        <v>39</v>
      </c>
      <c r="F221" t="s">
        <v>37</v>
      </c>
      <c r="G221" t="s">
        <v>4</v>
      </c>
    </row>
    <row r="222" spans="1:7" x14ac:dyDescent="0.2">
      <c r="A222" t="s">
        <v>11</v>
      </c>
      <c r="B222">
        <v>0</v>
      </c>
      <c r="C222">
        <v>0.13450000000000001</v>
      </c>
      <c r="D222" t="str">
        <f t="shared" si="3"/>
        <v>Synthetic Community (Acetate &amp; Dark)</v>
      </c>
      <c r="E222" t="s">
        <v>39</v>
      </c>
      <c r="F222" t="s">
        <v>37</v>
      </c>
      <c r="G222" t="s">
        <v>4</v>
      </c>
    </row>
    <row r="223" spans="1:7" x14ac:dyDescent="0.2">
      <c r="A223" t="s">
        <v>12</v>
      </c>
      <c r="B223">
        <v>0</v>
      </c>
      <c r="C223">
        <v>0.13370000000000001</v>
      </c>
      <c r="D223" t="str">
        <f t="shared" si="3"/>
        <v>Synthetic Community (Acetate &amp; Dark)</v>
      </c>
      <c r="E223" t="s">
        <v>39</v>
      </c>
      <c r="F223" t="s">
        <v>37</v>
      </c>
      <c r="G223" t="s">
        <v>4</v>
      </c>
    </row>
    <row r="224" spans="1:7" x14ac:dyDescent="0.2">
      <c r="A224" t="s">
        <v>6</v>
      </c>
      <c r="B224">
        <v>0</v>
      </c>
      <c r="C224">
        <v>0.13039999999999999</v>
      </c>
      <c r="D224" t="str">
        <f t="shared" si="3"/>
        <v>Synthetic Community (Thiosulfate &amp; Dark)</v>
      </c>
      <c r="E224" t="s">
        <v>39</v>
      </c>
      <c r="F224" t="s">
        <v>38</v>
      </c>
      <c r="G224" t="s">
        <v>4</v>
      </c>
    </row>
    <row r="225" spans="1:7" x14ac:dyDescent="0.2">
      <c r="A225" t="s">
        <v>7</v>
      </c>
      <c r="B225">
        <v>0</v>
      </c>
      <c r="C225">
        <v>0.13400000000000001</v>
      </c>
      <c r="D225" t="str">
        <f t="shared" si="3"/>
        <v>Synthetic Community (Thiosulfate &amp; Dark)</v>
      </c>
      <c r="E225" t="s">
        <v>39</v>
      </c>
      <c r="F225" t="s">
        <v>38</v>
      </c>
      <c r="G225" t="s">
        <v>4</v>
      </c>
    </row>
    <row r="226" spans="1:7" x14ac:dyDescent="0.2">
      <c r="A226" t="s">
        <v>8</v>
      </c>
      <c r="B226">
        <v>0</v>
      </c>
      <c r="C226">
        <v>0.1318</v>
      </c>
      <c r="D226" t="str">
        <f t="shared" si="3"/>
        <v>Synthetic Community (Thiosulfate &amp; Dark)</v>
      </c>
      <c r="E226" t="s">
        <v>39</v>
      </c>
      <c r="F226" t="s">
        <v>38</v>
      </c>
      <c r="G226" t="s">
        <v>4</v>
      </c>
    </row>
    <row r="227" spans="1:7" x14ac:dyDescent="0.2">
      <c r="A227" t="s">
        <v>10</v>
      </c>
      <c r="B227">
        <v>0</v>
      </c>
      <c r="C227">
        <v>0.13789999999999999</v>
      </c>
      <c r="D227" t="str">
        <f t="shared" si="3"/>
        <v>Synthetic Community (Control &amp; IR)</v>
      </c>
      <c r="E227" t="s">
        <v>39</v>
      </c>
      <c r="F227" t="s">
        <v>35</v>
      </c>
      <c r="G227" t="s">
        <v>9</v>
      </c>
    </row>
    <row r="228" spans="1:7" x14ac:dyDescent="0.2">
      <c r="A228" t="s">
        <v>11</v>
      </c>
      <c r="B228">
        <v>0</v>
      </c>
      <c r="C228">
        <v>0.1348</v>
      </c>
      <c r="D228" t="str">
        <f t="shared" si="3"/>
        <v>Synthetic Community (Control &amp; IR)</v>
      </c>
      <c r="E228" t="s">
        <v>39</v>
      </c>
      <c r="F228" t="s">
        <v>35</v>
      </c>
      <c r="G228" t="s">
        <v>9</v>
      </c>
    </row>
    <row r="229" spans="1:7" x14ac:dyDescent="0.2">
      <c r="A229" t="s">
        <v>12</v>
      </c>
      <c r="B229">
        <v>0</v>
      </c>
      <c r="C229">
        <v>0.13719999999999999</v>
      </c>
      <c r="D229" t="str">
        <f t="shared" si="3"/>
        <v>Synthetic Community (Control &amp; IR)</v>
      </c>
      <c r="E229" t="s">
        <v>39</v>
      </c>
      <c r="F229" t="s">
        <v>35</v>
      </c>
      <c r="G229" t="s">
        <v>9</v>
      </c>
    </row>
    <row r="230" spans="1:7" x14ac:dyDescent="0.2">
      <c r="A230" t="s">
        <v>10</v>
      </c>
      <c r="B230">
        <v>0</v>
      </c>
      <c r="C230">
        <v>0.1326</v>
      </c>
      <c r="D230" t="str">
        <f t="shared" si="3"/>
        <v>Synthetic Community (Acetate &amp; IR)</v>
      </c>
      <c r="E230" t="s">
        <v>39</v>
      </c>
      <c r="F230" t="s">
        <v>37</v>
      </c>
      <c r="G230" t="s">
        <v>9</v>
      </c>
    </row>
    <row r="231" spans="1:7" x14ac:dyDescent="0.2">
      <c r="A231" t="s">
        <v>11</v>
      </c>
      <c r="B231">
        <v>0</v>
      </c>
      <c r="C231">
        <v>0.13669999999999999</v>
      </c>
      <c r="D231" t="str">
        <f t="shared" si="3"/>
        <v>Synthetic Community (Acetate &amp; IR)</v>
      </c>
      <c r="E231" t="s">
        <v>39</v>
      </c>
      <c r="F231" t="s">
        <v>37</v>
      </c>
      <c r="G231" t="s">
        <v>9</v>
      </c>
    </row>
    <row r="232" spans="1:7" x14ac:dyDescent="0.2">
      <c r="A232" t="s">
        <v>12</v>
      </c>
      <c r="B232">
        <v>0</v>
      </c>
      <c r="C232">
        <v>0.14169999999999999</v>
      </c>
      <c r="D232" t="str">
        <f t="shared" si="3"/>
        <v>Synthetic Community (Acetate &amp; IR)</v>
      </c>
      <c r="E232" t="s">
        <v>39</v>
      </c>
      <c r="F232" t="s">
        <v>37</v>
      </c>
      <c r="G232" t="s">
        <v>9</v>
      </c>
    </row>
    <row r="233" spans="1:7" x14ac:dyDescent="0.2">
      <c r="A233" t="s">
        <v>10</v>
      </c>
      <c r="B233">
        <v>0</v>
      </c>
      <c r="C233">
        <v>0.13730000000000001</v>
      </c>
      <c r="D233" t="str">
        <f t="shared" si="3"/>
        <v>Synthetic Community (Thiosulfate &amp; IR)</v>
      </c>
      <c r="E233" t="s">
        <v>39</v>
      </c>
      <c r="F233" t="s">
        <v>38</v>
      </c>
      <c r="G233" t="s">
        <v>9</v>
      </c>
    </row>
    <row r="234" spans="1:7" x14ac:dyDescent="0.2">
      <c r="A234" t="s">
        <v>11</v>
      </c>
      <c r="B234">
        <v>0</v>
      </c>
      <c r="C234">
        <v>0.13250000000000001</v>
      </c>
      <c r="D234" t="str">
        <f t="shared" si="3"/>
        <v>Synthetic Community (Thiosulfate &amp; IR)</v>
      </c>
      <c r="E234" t="s">
        <v>39</v>
      </c>
      <c r="F234" t="s">
        <v>38</v>
      </c>
      <c r="G234" t="s">
        <v>9</v>
      </c>
    </row>
    <row r="235" spans="1:7" x14ac:dyDescent="0.2">
      <c r="A235" t="s">
        <v>12</v>
      </c>
      <c r="B235">
        <v>0</v>
      </c>
      <c r="C235">
        <v>0.1338</v>
      </c>
      <c r="D235" t="str">
        <f t="shared" si="3"/>
        <v>Synthetic Community (Thiosulfate &amp; IR)</v>
      </c>
      <c r="E235" t="s">
        <v>39</v>
      </c>
      <c r="F235" t="s">
        <v>38</v>
      </c>
      <c r="G235" t="s">
        <v>9</v>
      </c>
    </row>
    <row r="236" spans="1:7" x14ac:dyDescent="0.2">
      <c r="A236" t="s">
        <v>6</v>
      </c>
      <c r="B236">
        <v>48</v>
      </c>
      <c r="C236">
        <v>0.1288</v>
      </c>
      <c r="D236" t="str">
        <f t="shared" si="3"/>
        <v>Synthetic Community (Control &amp; Dark)</v>
      </c>
      <c r="E236" t="s">
        <v>39</v>
      </c>
      <c r="F236" t="s">
        <v>35</v>
      </c>
      <c r="G236" t="s">
        <v>4</v>
      </c>
    </row>
    <row r="237" spans="1:7" x14ac:dyDescent="0.2">
      <c r="A237" t="s">
        <v>7</v>
      </c>
      <c r="B237">
        <v>48</v>
      </c>
      <c r="C237">
        <v>0.12659999999999999</v>
      </c>
      <c r="D237" t="str">
        <f t="shared" si="3"/>
        <v>Synthetic Community (Control &amp; Dark)</v>
      </c>
      <c r="E237" t="s">
        <v>39</v>
      </c>
      <c r="F237" t="s">
        <v>35</v>
      </c>
      <c r="G237" t="s">
        <v>4</v>
      </c>
    </row>
    <row r="238" spans="1:7" x14ac:dyDescent="0.2">
      <c r="A238" t="s">
        <v>8</v>
      </c>
      <c r="B238">
        <v>48</v>
      </c>
      <c r="C238">
        <v>0.13639999999999999</v>
      </c>
      <c r="D238" t="str">
        <f t="shared" si="3"/>
        <v>Synthetic Community (Control &amp; Dark)</v>
      </c>
      <c r="E238" t="s">
        <v>39</v>
      </c>
      <c r="F238" t="s">
        <v>35</v>
      </c>
      <c r="G238" t="s">
        <v>4</v>
      </c>
    </row>
    <row r="239" spans="1:7" x14ac:dyDescent="0.2">
      <c r="A239" t="s">
        <v>10</v>
      </c>
      <c r="B239">
        <v>48</v>
      </c>
      <c r="C239">
        <v>0.1502</v>
      </c>
      <c r="D239" t="str">
        <f t="shared" si="3"/>
        <v>Synthetic Community (Acetate &amp; Dark)</v>
      </c>
      <c r="E239" t="s">
        <v>39</v>
      </c>
      <c r="F239" t="s">
        <v>37</v>
      </c>
      <c r="G239" t="s">
        <v>4</v>
      </c>
    </row>
    <row r="240" spans="1:7" x14ac:dyDescent="0.2">
      <c r="A240" t="s">
        <v>11</v>
      </c>
      <c r="B240">
        <v>48</v>
      </c>
      <c r="C240">
        <v>0.1313</v>
      </c>
      <c r="D240" t="str">
        <f t="shared" si="3"/>
        <v>Synthetic Community (Acetate &amp; Dark)</v>
      </c>
      <c r="E240" t="s">
        <v>39</v>
      </c>
      <c r="F240" t="s">
        <v>37</v>
      </c>
      <c r="G240" t="s">
        <v>4</v>
      </c>
    </row>
    <row r="241" spans="1:7" x14ac:dyDescent="0.2">
      <c r="A241" t="s">
        <v>12</v>
      </c>
      <c r="B241">
        <v>48</v>
      </c>
      <c r="C241">
        <v>0.1157</v>
      </c>
      <c r="D241" t="str">
        <f t="shared" si="3"/>
        <v>Synthetic Community (Acetate &amp; Dark)</v>
      </c>
      <c r="E241" t="s">
        <v>39</v>
      </c>
      <c r="F241" t="s">
        <v>37</v>
      </c>
      <c r="G241" t="s">
        <v>4</v>
      </c>
    </row>
    <row r="242" spans="1:7" x14ac:dyDescent="0.2">
      <c r="A242" t="s">
        <v>6</v>
      </c>
      <c r="B242">
        <v>48</v>
      </c>
      <c r="C242">
        <v>0.1217</v>
      </c>
      <c r="D242" t="str">
        <f t="shared" si="3"/>
        <v>Synthetic Community (Thiosulfate &amp; Dark)</v>
      </c>
      <c r="E242" t="s">
        <v>39</v>
      </c>
      <c r="F242" t="s">
        <v>38</v>
      </c>
      <c r="G242" t="s">
        <v>4</v>
      </c>
    </row>
    <row r="243" spans="1:7" x14ac:dyDescent="0.2">
      <c r="A243" t="s">
        <v>7</v>
      </c>
      <c r="B243">
        <v>48</v>
      </c>
      <c r="C243">
        <v>0.1215</v>
      </c>
      <c r="D243" t="str">
        <f t="shared" si="3"/>
        <v>Synthetic Community (Thiosulfate &amp; Dark)</v>
      </c>
      <c r="E243" t="s">
        <v>39</v>
      </c>
      <c r="F243" t="s">
        <v>38</v>
      </c>
      <c r="G243" t="s">
        <v>4</v>
      </c>
    </row>
    <row r="244" spans="1:7" x14ac:dyDescent="0.2">
      <c r="A244" t="s">
        <v>8</v>
      </c>
      <c r="B244">
        <v>48</v>
      </c>
      <c r="C244">
        <v>0.11749999999999999</v>
      </c>
      <c r="D244" t="str">
        <f t="shared" si="3"/>
        <v>Synthetic Community (Thiosulfate &amp; Dark)</v>
      </c>
      <c r="E244" t="s">
        <v>39</v>
      </c>
      <c r="F244" t="s">
        <v>38</v>
      </c>
      <c r="G244" t="s">
        <v>4</v>
      </c>
    </row>
    <row r="245" spans="1:7" x14ac:dyDescent="0.2">
      <c r="A245" t="s">
        <v>10</v>
      </c>
      <c r="B245">
        <v>48</v>
      </c>
      <c r="C245">
        <v>0.1401</v>
      </c>
      <c r="D245" t="str">
        <f t="shared" si="3"/>
        <v>Synthetic Community (Control &amp; IR)</v>
      </c>
      <c r="E245" t="s">
        <v>39</v>
      </c>
      <c r="F245" t="s">
        <v>35</v>
      </c>
      <c r="G245" t="s">
        <v>9</v>
      </c>
    </row>
    <row r="246" spans="1:7" x14ac:dyDescent="0.2">
      <c r="A246" t="s">
        <v>11</v>
      </c>
      <c r="B246">
        <v>48</v>
      </c>
      <c r="C246">
        <v>0.13569999999999999</v>
      </c>
      <c r="D246" t="str">
        <f t="shared" si="3"/>
        <v>Synthetic Community (Control &amp; IR)</v>
      </c>
      <c r="E246" t="s">
        <v>39</v>
      </c>
      <c r="F246" t="s">
        <v>35</v>
      </c>
      <c r="G246" t="s">
        <v>9</v>
      </c>
    </row>
    <row r="247" spans="1:7" x14ac:dyDescent="0.2">
      <c r="A247" t="s">
        <v>12</v>
      </c>
      <c r="B247">
        <v>48</v>
      </c>
      <c r="C247">
        <v>0.12039999999999999</v>
      </c>
      <c r="D247" t="str">
        <f t="shared" si="3"/>
        <v>Synthetic Community (Control &amp; IR)</v>
      </c>
      <c r="E247" t="s">
        <v>39</v>
      </c>
      <c r="F247" t="s">
        <v>35</v>
      </c>
      <c r="G247" t="s">
        <v>9</v>
      </c>
    </row>
    <row r="248" spans="1:7" x14ac:dyDescent="0.2">
      <c r="A248" t="s">
        <v>10</v>
      </c>
      <c r="B248">
        <v>48</v>
      </c>
      <c r="C248">
        <v>0.1487</v>
      </c>
      <c r="D248" t="str">
        <f t="shared" si="3"/>
        <v>Synthetic Community (Acetate &amp; IR)</v>
      </c>
      <c r="E248" t="s">
        <v>39</v>
      </c>
      <c r="F248" t="s">
        <v>37</v>
      </c>
      <c r="G248" t="s">
        <v>9</v>
      </c>
    </row>
    <row r="249" spans="1:7" x14ac:dyDescent="0.2">
      <c r="A249" t="s">
        <v>11</v>
      </c>
      <c r="B249">
        <v>48</v>
      </c>
      <c r="C249">
        <v>0.12770000000000001</v>
      </c>
      <c r="D249" t="str">
        <f t="shared" si="3"/>
        <v>Synthetic Community (Acetate &amp; IR)</v>
      </c>
      <c r="E249" t="s">
        <v>39</v>
      </c>
      <c r="F249" t="s">
        <v>37</v>
      </c>
      <c r="G249" t="s">
        <v>9</v>
      </c>
    </row>
    <row r="250" spans="1:7" x14ac:dyDescent="0.2">
      <c r="A250" t="s">
        <v>12</v>
      </c>
      <c r="B250">
        <v>48</v>
      </c>
      <c r="C250">
        <v>0.13830000000000001</v>
      </c>
      <c r="D250" t="str">
        <f t="shared" si="3"/>
        <v>Synthetic Community (Acetate &amp; IR)</v>
      </c>
      <c r="E250" t="s">
        <v>39</v>
      </c>
      <c r="F250" t="s">
        <v>37</v>
      </c>
      <c r="G250" t="s">
        <v>9</v>
      </c>
    </row>
    <row r="251" spans="1:7" x14ac:dyDescent="0.2">
      <c r="A251" t="s">
        <v>10</v>
      </c>
      <c r="B251">
        <v>48</v>
      </c>
      <c r="C251">
        <v>0.123</v>
      </c>
      <c r="D251" t="str">
        <f t="shared" si="3"/>
        <v>Synthetic Community (Thiosulfate &amp; IR)</v>
      </c>
      <c r="E251" t="s">
        <v>39</v>
      </c>
      <c r="F251" t="s">
        <v>38</v>
      </c>
      <c r="G251" t="s">
        <v>9</v>
      </c>
    </row>
    <row r="252" spans="1:7" x14ac:dyDescent="0.2">
      <c r="A252" t="s">
        <v>11</v>
      </c>
      <c r="B252">
        <v>48</v>
      </c>
      <c r="C252">
        <v>0.11990000000000001</v>
      </c>
      <c r="D252" t="str">
        <f t="shared" si="3"/>
        <v>Synthetic Community (Thiosulfate &amp; IR)</v>
      </c>
      <c r="E252" t="s">
        <v>39</v>
      </c>
      <c r="F252" t="s">
        <v>38</v>
      </c>
      <c r="G252" t="s">
        <v>9</v>
      </c>
    </row>
    <row r="253" spans="1:7" x14ac:dyDescent="0.2">
      <c r="A253" t="s">
        <v>12</v>
      </c>
      <c r="B253">
        <v>48</v>
      </c>
      <c r="C253">
        <v>0.1537</v>
      </c>
      <c r="D253" t="str">
        <f t="shared" si="3"/>
        <v>Synthetic Community (Thiosulfate &amp; IR)</v>
      </c>
      <c r="E253" t="s">
        <v>39</v>
      </c>
      <c r="F253" t="s">
        <v>38</v>
      </c>
      <c r="G253" t="s">
        <v>9</v>
      </c>
    </row>
    <row r="254" spans="1:7" x14ac:dyDescent="0.2">
      <c r="A254" t="s">
        <v>6</v>
      </c>
      <c r="B254">
        <v>144</v>
      </c>
      <c r="C254">
        <v>0.17219999999999999</v>
      </c>
      <c r="D254" t="str">
        <f t="shared" si="3"/>
        <v>Synthetic Community (Control &amp; Dark)</v>
      </c>
      <c r="E254" t="s">
        <v>39</v>
      </c>
      <c r="F254" t="s">
        <v>35</v>
      </c>
      <c r="G254" t="s">
        <v>4</v>
      </c>
    </row>
    <row r="255" spans="1:7" x14ac:dyDescent="0.2">
      <c r="A255" t="s">
        <v>7</v>
      </c>
      <c r="B255">
        <v>144</v>
      </c>
      <c r="C255">
        <v>0.1028</v>
      </c>
      <c r="D255" t="str">
        <f t="shared" si="3"/>
        <v>Synthetic Community (Control &amp; Dark)</v>
      </c>
      <c r="E255" t="s">
        <v>39</v>
      </c>
      <c r="F255" t="s">
        <v>35</v>
      </c>
      <c r="G255" t="s">
        <v>4</v>
      </c>
    </row>
    <row r="256" spans="1:7" x14ac:dyDescent="0.2">
      <c r="A256" t="s">
        <v>8</v>
      </c>
      <c r="B256">
        <v>144</v>
      </c>
      <c r="C256">
        <v>0.1041</v>
      </c>
      <c r="D256" t="str">
        <f t="shared" si="3"/>
        <v>Synthetic Community (Control &amp; Dark)</v>
      </c>
      <c r="E256" t="s">
        <v>39</v>
      </c>
      <c r="F256" t="s">
        <v>35</v>
      </c>
      <c r="G256" t="s">
        <v>4</v>
      </c>
    </row>
    <row r="257" spans="1:7" x14ac:dyDescent="0.2">
      <c r="A257" t="s">
        <v>10</v>
      </c>
      <c r="B257">
        <v>144</v>
      </c>
      <c r="C257">
        <v>0.14829999999999999</v>
      </c>
      <c r="D257" t="str">
        <f t="shared" si="3"/>
        <v>Synthetic Community (Acetate &amp; Dark)</v>
      </c>
      <c r="E257" t="s">
        <v>39</v>
      </c>
      <c r="F257" t="s">
        <v>37</v>
      </c>
      <c r="G257" t="s">
        <v>4</v>
      </c>
    </row>
    <row r="258" spans="1:7" x14ac:dyDescent="0.2">
      <c r="A258" t="s">
        <v>11</v>
      </c>
      <c r="B258">
        <v>144</v>
      </c>
      <c r="C258">
        <v>0.1462</v>
      </c>
      <c r="D258" t="str">
        <f t="shared" ref="D258:D321" si="4">_xlfn.CONCAT(E258," (",F258," &amp; ",G258,")")</f>
        <v>Synthetic Community (Acetate &amp; Dark)</v>
      </c>
      <c r="E258" t="s">
        <v>39</v>
      </c>
      <c r="F258" t="s">
        <v>37</v>
      </c>
      <c r="G258" t="s">
        <v>4</v>
      </c>
    </row>
    <row r="259" spans="1:7" x14ac:dyDescent="0.2">
      <c r="A259" t="s">
        <v>12</v>
      </c>
      <c r="B259">
        <v>144</v>
      </c>
      <c r="C259">
        <v>0.13339999999999999</v>
      </c>
      <c r="D259" t="str">
        <f t="shared" si="4"/>
        <v>Synthetic Community (Acetate &amp; Dark)</v>
      </c>
      <c r="E259" t="s">
        <v>39</v>
      </c>
      <c r="F259" t="s">
        <v>37</v>
      </c>
      <c r="G259" t="s">
        <v>4</v>
      </c>
    </row>
    <row r="260" spans="1:7" x14ac:dyDescent="0.2">
      <c r="A260" t="s">
        <v>6</v>
      </c>
      <c r="B260">
        <v>144</v>
      </c>
      <c r="C260">
        <v>0.1017</v>
      </c>
      <c r="D260" t="str">
        <f t="shared" si="4"/>
        <v>Synthetic Community (Thiosulfate &amp; Dark)</v>
      </c>
      <c r="E260" t="s">
        <v>39</v>
      </c>
      <c r="F260" t="s">
        <v>38</v>
      </c>
      <c r="G260" t="s">
        <v>4</v>
      </c>
    </row>
    <row r="261" spans="1:7" x14ac:dyDescent="0.2">
      <c r="A261" t="s">
        <v>7</v>
      </c>
      <c r="B261">
        <v>144</v>
      </c>
      <c r="C261">
        <v>0.1017</v>
      </c>
      <c r="D261" t="str">
        <f t="shared" si="4"/>
        <v>Synthetic Community (Thiosulfate &amp; Dark)</v>
      </c>
      <c r="E261" t="s">
        <v>39</v>
      </c>
      <c r="F261" t="s">
        <v>38</v>
      </c>
      <c r="G261" t="s">
        <v>4</v>
      </c>
    </row>
    <row r="262" spans="1:7" x14ac:dyDescent="0.2">
      <c r="A262" t="s">
        <v>8</v>
      </c>
      <c r="B262">
        <v>144</v>
      </c>
      <c r="C262">
        <v>0.1008</v>
      </c>
      <c r="D262" t="str">
        <f t="shared" si="4"/>
        <v>Synthetic Community (Thiosulfate &amp; Dark)</v>
      </c>
      <c r="E262" t="s">
        <v>39</v>
      </c>
      <c r="F262" t="s">
        <v>38</v>
      </c>
      <c r="G262" t="s">
        <v>4</v>
      </c>
    </row>
    <row r="263" spans="1:7" x14ac:dyDescent="0.2">
      <c r="A263" t="s">
        <v>10</v>
      </c>
      <c r="B263">
        <v>144</v>
      </c>
      <c r="C263">
        <v>0.11559999999999999</v>
      </c>
      <c r="D263" t="str">
        <f t="shared" si="4"/>
        <v>Synthetic Community (Control &amp; IR)</v>
      </c>
      <c r="E263" t="s">
        <v>39</v>
      </c>
      <c r="F263" t="s">
        <v>35</v>
      </c>
      <c r="G263" t="s">
        <v>9</v>
      </c>
    </row>
    <row r="264" spans="1:7" x14ac:dyDescent="0.2">
      <c r="A264" t="s">
        <v>11</v>
      </c>
      <c r="B264">
        <v>144</v>
      </c>
      <c r="C264">
        <v>0.11840000000000001</v>
      </c>
      <c r="D264" t="str">
        <f t="shared" si="4"/>
        <v>Synthetic Community (Control &amp; IR)</v>
      </c>
      <c r="E264" t="s">
        <v>39</v>
      </c>
      <c r="F264" t="s">
        <v>35</v>
      </c>
      <c r="G264" t="s">
        <v>9</v>
      </c>
    </row>
    <row r="265" spans="1:7" x14ac:dyDescent="0.2">
      <c r="A265" t="s">
        <v>12</v>
      </c>
      <c r="B265">
        <v>144</v>
      </c>
      <c r="C265">
        <v>0.1169</v>
      </c>
      <c r="D265" t="str">
        <f t="shared" si="4"/>
        <v>Synthetic Community (Control &amp; IR)</v>
      </c>
      <c r="E265" t="s">
        <v>39</v>
      </c>
      <c r="F265" t="s">
        <v>35</v>
      </c>
      <c r="G265" t="s">
        <v>9</v>
      </c>
    </row>
    <row r="266" spans="1:7" x14ac:dyDescent="0.2">
      <c r="A266" t="s">
        <v>10</v>
      </c>
      <c r="B266">
        <v>144</v>
      </c>
      <c r="C266">
        <v>0.14319999999999999</v>
      </c>
      <c r="D266" t="str">
        <f t="shared" si="4"/>
        <v>Synthetic Community (Acetate &amp; IR)</v>
      </c>
      <c r="E266" t="s">
        <v>39</v>
      </c>
      <c r="F266" t="s">
        <v>37</v>
      </c>
      <c r="G266" t="s">
        <v>9</v>
      </c>
    </row>
    <row r="267" spans="1:7" x14ac:dyDescent="0.2">
      <c r="A267" t="s">
        <v>11</v>
      </c>
      <c r="B267">
        <v>144</v>
      </c>
      <c r="C267">
        <v>0.1489</v>
      </c>
      <c r="D267" t="str">
        <f t="shared" si="4"/>
        <v>Synthetic Community (Acetate &amp; IR)</v>
      </c>
      <c r="E267" t="s">
        <v>39</v>
      </c>
      <c r="F267" t="s">
        <v>37</v>
      </c>
      <c r="G267" t="s">
        <v>9</v>
      </c>
    </row>
    <row r="268" spans="1:7" x14ac:dyDescent="0.2">
      <c r="A268" t="s">
        <v>12</v>
      </c>
      <c r="B268">
        <v>144</v>
      </c>
      <c r="C268">
        <v>0.15179999999999999</v>
      </c>
      <c r="D268" t="str">
        <f t="shared" si="4"/>
        <v>Synthetic Community (Acetate &amp; IR)</v>
      </c>
      <c r="E268" t="s">
        <v>39</v>
      </c>
      <c r="F268" t="s">
        <v>37</v>
      </c>
      <c r="G268" t="s">
        <v>9</v>
      </c>
    </row>
    <row r="269" spans="1:7" x14ac:dyDescent="0.2">
      <c r="A269" t="s">
        <v>10</v>
      </c>
      <c r="B269">
        <v>144</v>
      </c>
      <c r="C269">
        <v>0.10580000000000001</v>
      </c>
      <c r="D269" t="str">
        <f t="shared" si="4"/>
        <v>Synthetic Community (Thiosulfate &amp; IR)</v>
      </c>
      <c r="E269" t="s">
        <v>39</v>
      </c>
      <c r="F269" t="s">
        <v>38</v>
      </c>
      <c r="G269" t="s">
        <v>9</v>
      </c>
    </row>
    <row r="270" spans="1:7" x14ac:dyDescent="0.2">
      <c r="A270" t="s">
        <v>11</v>
      </c>
      <c r="B270">
        <v>144</v>
      </c>
      <c r="C270">
        <v>0.12479999999999999</v>
      </c>
      <c r="D270" t="str">
        <f t="shared" si="4"/>
        <v>Synthetic Community (Thiosulfate &amp; IR)</v>
      </c>
      <c r="E270" t="s">
        <v>39</v>
      </c>
      <c r="F270" t="s">
        <v>38</v>
      </c>
      <c r="G270" t="s">
        <v>9</v>
      </c>
    </row>
    <row r="271" spans="1:7" x14ac:dyDescent="0.2">
      <c r="A271" t="s">
        <v>12</v>
      </c>
      <c r="B271">
        <v>144</v>
      </c>
      <c r="C271">
        <v>0.12130000000000001</v>
      </c>
      <c r="D271" t="str">
        <f t="shared" si="4"/>
        <v>Synthetic Community (Thiosulfate &amp; IR)</v>
      </c>
      <c r="E271" t="s">
        <v>39</v>
      </c>
      <c r="F271" t="s">
        <v>38</v>
      </c>
      <c r="G271" t="s">
        <v>9</v>
      </c>
    </row>
    <row r="272" spans="1:7" x14ac:dyDescent="0.2">
      <c r="A272" t="s">
        <v>6</v>
      </c>
      <c r="B272">
        <v>192</v>
      </c>
      <c r="C272">
        <v>0.1295</v>
      </c>
      <c r="D272" t="str">
        <f t="shared" si="4"/>
        <v>Synthetic Community (Control &amp; Dark)</v>
      </c>
      <c r="E272" t="s">
        <v>39</v>
      </c>
      <c r="F272" t="s">
        <v>35</v>
      </c>
      <c r="G272" t="s">
        <v>4</v>
      </c>
    </row>
    <row r="273" spans="1:7" x14ac:dyDescent="0.2">
      <c r="A273" t="s">
        <v>7</v>
      </c>
      <c r="B273">
        <v>192</v>
      </c>
      <c r="C273">
        <v>0.12609999999999999</v>
      </c>
      <c r="D273" t="str">
        <f t="shared" si="4"/>
        <v>Synthetic Community (Control &amp; Dark)</v>
      </c>
      <c r="E273" t="s">
        <v>39</v>
      </c>
      <c r="F273" t="s">
        <v>35</v>
      </c>
      <c r="G273" t="s">
        <v>4</v>
      </c>
    </row>
    <row r="274" spans="1:7" x14ac:dyDescent="0.2">
      <c r="A274" t="s">
        <v>8</v>
      </c>
      <c r="B274">
        <v>192</v>
      </c>
      <c r="C274">
        <v>0.1215</v>
      </c>
      <c r="D274" t="str">
        <f t="shared" si="4"/>
        <v>Synthetic Community (Control &amp; Dark)</v>
      </c>
      <c r="E274" t="s">
        <v>39</v>
      </c>
      <c r="F274" t="s">
        <v>35</v>
      </c>
      <c r="G274" t="s">
        <v>4</v>
      </c>
    </row>
    <row r="275" spans="1:7" x14ac:dyDescent="0.2">
      <c r="A275" t="s">
        <v>10</v>
      </c>
      <c r="B275">
        <v>192</v>
      </c>
      <c r="C275">
        <v>0.19589999999999999</v>
      </c>
      <c r="D275" t="str">
        <f t="shared" si="4"/>
        <v>Synthetic Community (Acetate &amp; Dark)</v>
      </c>
      <c r="E275" t="s">
        <v>39</v>
      </c>
      <c r="F275" t="s">
        <v>37</v>
      </c>
      <c r="G275" t="s">
        <v>4</v>
      </c>
    </row>
    <row r="276" spans="1:7" x14ac:dyDescent="0.2">
      <c r="A276" t="s">
        <v>11</v>
      </c>
      <c r="B276">
        <v>192</v>
      </c>
      <c r="C276">
        <v>0.19750000000000001</v>
      </c>
      <c r="D276" t="str">
        <f t="shared" si="4"/>
        <v>Synthetic Community (Acetate &amp; Dark)</v>
      </c>
      <c r="E276" t="s">
        <v>39</v>
      </c>
      <c r="F276" t="s">
        <v>37</v>
      </c>
      <c r="G276" t="s">
        <v>4</v>
      </c>
    </row>
    <row r="277" spans="1:7" x14ac:dyDescent="0.2">
      <c r="A277" t="s">
        <v>12</v>
      </c>
      <c r="B277">
        <v>192</v>
      </c>
      <c r="C277">
        <v>0.19769999999999999</v>
      </c>
      <c r="D277" t="str">
        <f t="shared" si="4"/>
        <v>Synthetic Community (Acetate &amp; Dark)</v>
      </c>
      <c r="E277" t="s">
        <v>39</v>
      </c>
      <c r="F277" t="s">
        <v>37</v>
      </c>
      <c r="G277" t="s">
        <v>4</v>
      </c>
    </row>
    <row r="278" spans="1:7" x14ac:dyDescent="0.2">
      <c r="A278" t="s">
        <v>6</v>
      </c>
      <c r="B278">
        <v>192</v>
      </c>
      <c r="C278">
        <v>0.1198</v>
      </c>
      <c r="D278" t="str">
        <f t="shared" si="4"/>
        <v>Synthetic Community (Thiosulfate &amp; Dark)</v>
      </c>
      <c r="E278" t="s">
        <v>39</v>
      </c>
      <c r="F278" t="s">
        <v>38</v>
      </c>
      <c r="G278" t="s">
        <v>4</v>
      </c>
    </row>
    <row r="279" spans="1:7" x14ac:dyDescent="0.2">
      <c r="A279" t="s">
        <v>7</v>
      </c>
      <c r="B279">
        <v>192</v>
      </c>
      <c r="C279">
        <v>0.1197</v>
      </c>
      <c r="D279" t="str">
        <f t="shared" si="4"/>
        <v>Synthetic Community (Thiosulfate &amp; Dark)</v>
      </c>
      <c r="E279" t="s">
        <v>39</v>
      </c>
      <c r="F279" t="s">
        <v>38</v>
      </c>
      <c r="G279" t="s">
        <v>4</v>
      </c>
    </row>
    <row r="280" spans="1:7" x14ac:dyDescent="0.2">
      <c r="A280" t="s">
        <v>8</v>
      </c>
      <c r="B280">
        <v>192</v>
      </c>
      <c r="C280">
        <v>0.1158</v>
      </c>
      <c r="D280" t="str">
        <f t="shared" si="4"/>
        <v>Synthetic Community (Thiosulfate &amp; Dark)</v>
      </c>
      <c r="E280" t="s">
        <v>39</v>
      </c>
      <c r="F280" t="s">
        <v>38</v>
      </c>
      <c r="G280" t="s">
        <v>4</v>
      </c>
    </row>
    <row r="281" spans="1:7" x14ac:dyDescent="0.2">
      <c r="A281" t="s">
        <v>10</v>
      </c>
      <c r="B281">
        <v>192</v>
      </c>
      <c r="C281">
        <v>0.12239999999999999</v>
      </c>
      <c r="D281" t="str">
        <f t="shared" si="4"/>
        <v>Synthetic Community (Control &amp; IR)</v>
      </c>
      <c r="E281" t="s">
        <v>39</v>
      </c>
      <c r="F281" t="s">
        <v>35</v>
      </c>
      <c r="G281" t="s">
        <v>9</v>
      </c>
    </row>
    <row r="282" spans="1:7" x14ac:dyDescent="0.2">
      <c r="A282" t="s">
        <v>11</v>
      </c>
      <c r="B282">
        <v>192</v>
      </c>
      <c r="C282">
        <v>0.1207</v>
      </c>
      <c r="D282" t="str">
        <f t="shared" si="4"/>
        <v>Synthetic Community (Control &amp; IR)</v>
      </c>
      <c r="E282" t="s">
        <v>39</v>
      </c>
      <c r="F282" t="s">
        <v>35</v>
      </c>
      <c r="G282" t="s">
        <v>9</v>
      </c>
    </row>
    <row r="283" spans="1:7" x14ac:dyDescent="0.2">
      <c r="A283" t="s">
        <v>12</v>
      </c>
      <c r="B283">
        <v>192</v>
      </c>
      <c r="C283">
        <v>0.12280000000000001</v>
      </c>
      <c r="D283" t="str">
        <f t="shared" si="4"/>
        <v>Synthetic Community (Control &amp; IR)</v>
      </c>
      <c r="E283" t="s">
        <v>39</v>
      </c>
      <c r="F283" t="s">
        <v>35</v>
      </c>
      <c r="G283" t="s">
        <v>9</v>
      </c>
    </row>
    <row r="284" spans="1:7" x14ac:dyDescent="0.2">
      <c r="A284" t="s">
        <v>10</v>
      </c>
      <c r="B284">
        <v>192</v>
      </c>
      <c r="C284">
        <v>0.2009</v>
      </c>
      <c r="D284" t="str">
        <f t="shared" si="4"/>
        <v>Synthetic Community (Acetate &amp; IR)</v>
      </c>
      <c r="E284" t="s">
        <v>39</v>
      </c>
      <c r="F284" t="s">
        <v>37</v>
      </c>
      <c r="G284" t="s">
        <v>9</v>
      </c>
    </row>
    <row r="285" spans="1:7" x14ac:dyDescent="0.2">
      <c r="A285" t="s">
        <v>11</v>
      </c>
      <c r="B285">
        <v>192</v>
      </c>
      <c r="C285">
        <v>0.20180000000000001</v>
      </c>
      <c r="D285" t="str">
        <f t="shared" si="4"/>
        <v>Synthetic Community (Acetate &amp; IR)</v>
      </c>
      <c r="E285" t="s">
        <v>39</v>
      </c>
      <c r="F285" t="s">
        <v>37</v>
      </c>
      <c r="G285" t="s">
        <v>9</v>
      </c>
    </row>
    <row r="286" spans="1:7" x14ac:dyDescent="0.2">
      <c r="A286" t="s">
        <v>12</v>
      </c>
      <c r="B286">
        <v>192</v>
      </c>
      <c r="C286">
        <v>0.21740000000000001</v>
      </c>
      <c r="D286" t="str">
        <f t="shared" si="4"/>
        <v>Synthetic Community (Acetate &amp; IR)</v>
      </c>
      <c r="E286" t="s">
        <v>39</v>
      </c>
      <c r="F286" t="s">
        <v>37</v>
      </c>
      <c r="G286" t="s">
        <v>9</v>
      </c>
    </row>
    <row r="287" spans="1:7" x14ac:dyDescent="0.2">
      <c r="A287" t="s">
        <v>10</v>
      </c>
      <c r="B287">
        <v>192</v>
      </c>
      <c r="C287">
        <v>0.11799999999999999</v>
      </c>
      <c r="D287" t="str">
        <f t="shared" si="4"/>
        <v>Synthetic Community (Thiosulfate &amp; IR)</v>
      </c>
      <c r="E287" t="s">
        <v>39</v>
      </c>
      <c r="F287" t="s">
        <v>38</v>
      </c>
      <c r="G287" t="s">
        <v>9</v>
      </c>
    </row>
    <row r="288" spans="1:7" x14ac:dyDescent="0.2">
      <c r="A288" t="s">
        <v>11</v>
      </c>
      <c r="B288">
        <v>192</v>
      </c>
      <c r="C288">
        <v>0.11</v>
      </c>
      <c r="D288" t="str">
        <f t="shared" si="4"/>
        <v>Synthetic Community (Thiosulfate &amp; IR)</v>
      </c>
      <c r="E288" t="s">
        <v>39</v>
      </c>
      <c r="F288" t="s">
        <v>38</v>
      </c>
      <c r="G288" t="s">
        <v>9</v>
      </c>
    </row>
    <row r="289" spans="1:7" x14ac:dyDescent="0.2">
      <c r="A289" t="s">
        <v>12</v>
      </c>
      <c r="B289">
        <v>192</v>
      </c>
      <c r="C289">
        <v>0.11559999999999999</v>
      </c>
      <c r="D289" t="str">
        <f t="shared" si="4"/>
        <v>Synthetic Community (Thiosulfate &amp; IR)</v>
      </c>
      <c r="E289" t="s">
        <v>39</v>
      </c>
      <c r="F289" t="s">
        <v>38</v>
      </c>
      <c r="G289" t="s">
        <v>9</v>
      </c>
    </row>
  </sheetData>
  <sortState xmlns:xlrd2="http://schemas.microsoft.com/office/spreadsheetml/2017/richdata2" ref="A2:G289">
    <sortCondition ref="E1:E2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Round1</vt:lpstr>
      <vt:lpstr>Round2-TBD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2026-01-29T15:54:50Z</dcterms:created>
  <dcterms:modified xsi:type="dcterms:W3CDTF">2026-03-18T10:26:58Z</dcterms:modified>
</cp:coreProperties>
</file>