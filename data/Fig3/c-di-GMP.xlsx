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3/"/>
    </mc:Choice>
  </mc:AlternateContent>
  <xr:revisionPtr revIDLastSave="0" documentId="13_ncr:1_{7E909E76-B20C-B743-8C53-792AD7BF9F02}" xr6:coauthVersionLast="47" xr6:coauthVersionMax="47" xr10:uidLastSave="{00000000-0000-0000-0000-000000000000}"/>
  <bookViews>
    <workbookView xWindow="580" yWindow="600" windowWidth="11420" windowHeight="15920" xr2:uid="{FCD1C787-D617-F941-A6E2-17432271DDD7}"/>
  </bookViews>
  <sheets>
    <sheet name="barplot" sheetId="4" r:id="rId1"/>
    <sheet name="boxplot" sheetId="5" r:id="rId2"/>
    <sheet name="R4" sheetId="3" r:id="rId3"/>
    <sheet name="R3" sheetId="2" r:id="rId4"/>
    <sheet name="R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E11" i="4"/>
  <c r="E12" i="4"/>
  <c r="E13" i="4"/>
  <c r="E8" i="4"/>
  <c r="E9" i="4"/>
  <c r="E11" i="5"/>
  <c r="E10" i="5"/>
  <c r="E8" i="5"/>
  <c r="C19" i="5"/>
  <c r="D19" i="5" s="1"/>
  <c r="E19" i="5" s="1"/>
  <c r="C18" i="5"/>
  <c r="D18" i="5" s="1"/>
  <c r="E18" i="5" s="1"/>
  <c r="C17" i="5"/>
  <c r="D17" i="5" s="1"/>
  <c r="E17" i="5" s="1"/>
  <c r="D16" i="5"/>
  <c r="E16" i="5" s="1"/>
  <c r="C16" i="5"/>
  <c r="C15" i="5"/>
  <c r="D15" i="5" s="1"/>
  <c r="E15" i="5" s="1"/>
  <c r="C14" i="5"/>
  <c r="D14" i="5" s="1"/>
  <c r="E14" i="5" s="1"/>
  <c r="D13" i="5"/>
  <c r="C13" i="5"/>
  <c r="D12" i="5"/>
  <c r="E12" i="5" s="1"/>
  <c r="C12" i="5"/>
  <c r="C11" i="5"/>
  <c r="D11" i="5" s="1"/>
  <c r="C10" i="5"/>
  <c r="D10" i="5" s="1"/>
  <c r="E9" i="5"/>
  <c r="D9" i="5"/>
  <c r="C9" i="5"/>
  <c r="C8" i="5"/>
  <c r="D8" i="5" s="1"/>
  <c r="E7" i="5"/>
  <c r="D7" i="5"/>
  <c r="C7" i="5"/>
  <c r="E6" i="5"/>
  <c r="D6" i="5"/>
  <c r="C6" i="5"/>
  <c r="C5" i="5"/>
  <c r="D5" i="5" s="1"/>
  <c r="E5" i="5" s="1"/>
  <c r="C4" i="5"/>
  <c r="D4" i="5" s="1"/>
  <c r="E4" i="5" s="1"/>
  <c r="C3" i="5"/>
  <c r="D3" i="5" s="1"/>
  <c r="E3" i="5" s="1"/>
  <c r="D2" i="5"/>
  <c r="E2" i="5" s="1"/>
  <c r="C2" i="5"/>
  <c r="E17" i="4"/>
  <c r="E18" i="4"/>
  <c r="C14" i="4"/>
  <c r="D14" i="4" s="1"/>
  <c r="E14" i="4" s="1"/>
  <c r="C15" i="4"/>
  <c r="D15" i="4" s="1"/>
  <c r="E15" i="4" s="1"/>
  <c r="C16" i="4"/>
  <c r="D16" i="4" s="1"/>
  <c r="E16" i="4" s="1"/>
  <c r="C17" i="4"/>
  <c r="D17" i="4" s="1"/>
  <c r="C18" i="4"/>
  <c r="D18" i="4" s="1"/>
  <c r="C19" i="4"/>
  <c r="D19" i="4" s="1"/>
  <c r="E19" i="4" s="1"/>
  <c r="C2" i="4"/>
  <c r="D2" i="4" s="1"/>
  <c r="E2" i="4" s="1"/>
  <c r="C3" i="4"/>
  <c r="D3" i="4" s="1"/>
  <c r="E3" i="4" s="1"/>
  <c r="C4" i="4"/>
  <c r="D4" i="4" s="1"/>
  <c r="E4" i="4" s="1"/>
  <c r="C5" i="4"/>
  <c r="D5" i="4" s="1"/>
  <c r="E5" i="4" s="1"/>
  <c r="C6" i="4"/>
  <c r="D6" i="4" s="1"/>
  <c r="E6" i="4" s="1"/>
  <c r="C7" i="4"/>
  <c r="D7" i="4" s="1"/>
  <c r="E7" i="4" s="1"/>
  <c r="C8" i="4"/>
  <c r="D8" i="4" s="1"/>
  <c r="C13" i="4"/>
  <c r="D13" i="4" s="1"/>
  <c r="C12" i="4"/>
  <c r="D12" i="4" s="1"/>
  <c r="C9" i="4"/>
  <c r="D9" i="4" s="1"/>
  <c r="C11" i="4"/>
  <c r="D11" i="4" s="1"/>
  <c r="C10" i="4"/>
  <c r="D10" i="4" s="1"/>
  <c r="C33" i="3"/>
  <c r="D33" i="3" s="1"/>
  <c r="E33" i="3" s="1"/>
  <c r="C34" i="3"/>
  <c r="D34" i="3" s="1"/>
  <c r="E34" i="3" s="1"/>
  <c r="C35" i="3"/>
  <c r="D35" i="3" s="1"/>
  <c r="E35" i="3" s="1"/>
  <c r="C36" i="3"/>
  <c r="D36" i="3" s="1"/>
  <c r="E36" i="3" s="1"/>
  <c r="C37" i="3"/>
  <c r="D37" i="3" s="1"/>
  <c r="E37" i="3" s="1"/>
  <c r="C38" i="3"/>
  <c r="D38" i="3" s="1"/>
  <c r="E38" i="3" s="1"/>
  <c r="C45" i="3"/>
  <c r="D45" i="3" s="1"/>
  <c r="E45" i="3" s="1"/>
  <c r="C46" i="3"/>
  <c r="D46" i="3" s="1"/>
  <c r="E46" i="3" s="1"/>
  <c r="C47" i="3"/>
  <c r="D47" i="3" s="1"/>
  <c r="E47" i="3" s="1"/>
  <c r="C48" i="3"/>
  <c r="D48" i="3" s="1"/>
  <c r="E48" i="3" s="1"/>
  <c r="C49" i="3"/>
  <c r="D49" i="3" s="1"/>
  <c r="E49" i="3" s="1"/>
  <c r="C50" i="3"/>
  <c r="D50" i="3" s="1"/>
  <c r="E50" i="3" s="1"/>
  <c r="C20" i="3"/>
  <c r="D20" i="3" s="1"/>
  <c r="E20" i="3" s="1"/>
  <c r="C15" i="3"/>
  <c r="D15" i="3" s="1"/>
  <c r="E15" i="3" s="1"/>
  <c r="C16" i="3"/>
  <c r="D16" i="3" s="1"/>
  <c r="E16" i="3" s="1"/>
  <c r="C17" i="3"/>
  <c r="D17" i="3" s="1"/>
  <c r="E17" i="3" s="1"/>
  <c r="C18" i="3"/>
  <c r="D18" i="3" s="1"/>
  <c r="E18" i="3" s="1"/>
  <c r="C19" i="3"/>
  <c r="D19" i="3" s="1"/>
  <c r="E19" i="3" s="1"/>
  <c r="E5" i="2"/>
  <c r="C44" i="3"/>
  <c r="D44" i="3" s="1"/>
  <c r="E44" i="3" s="1"/>
  <c r="C43" i="3"/>
  <c r="D43" i="3" s="1"/>
  <c r="E43" i="3" s="1"/>
  <c r="C42" i="3"/>
  <c r="D42" i="3" s="1"/>
  <c r="E42" i="3" s="1"/>
  <c r="C41" i="3"/>
  <c r="D41" i="3" s="1"/>
  <c r="E41" i="3" s="1"/>
  <c r="C40" i="3"/>
  <c r="D40" i="3" s="1"/>
  <c r="E40" i="3" s="1"/>
  <c r="C39" i="3"/>
  <c r="D39" i="3" s="1"/>
  <c r="E39" i="3" s="1"/>
  <c r="C6" i="2"/>
  <c r="D6" i="2" s="1"/>
  <c r="E6" i="2" s="1"/>
  <c r="F6" i="2" s="1"/>
  <c r="C13" i="3"/>
  <c r="D13" i="3" s="1"/>
  <c r="E13" i="3" s="1"/>
  <c r="C14" i="3"/>
  <c r="D14" i="3" s="1"/>
  <c r="E14" i="3" s="1"/>
  <c r="C10" i="3"/>
  <c r="D10" i="3" s="1"/>
  <c r="E10" i="3" s="1"/>
  <c r="C11" i="3"/>
  <c r="D11" i="3" s="1"/>
  <c r="E11" i="3" s="1"/>
  <c r="F9" i="3" s="1"/>
  <c r="C12" i="3"/>
  <c r="D12" i="3" s="1"/>
  <c r="E12" i="3" s="1"/>
  <c r="C9" i="3"/>
  <c r="D9" i="3" s="1"/>
  <c r="E9" i="3" s="1"/>
  <c r="E11" i="1"/>
  <c r="D11" i="1"/>
  <c r="F29" i="2"/>
  <c r="F26" i="2"/>
  <c r="F23" i="2"/>
  <c r="F20" i="2"/>
  <c r="F17" i="2"/>
  <c r="F14" i="2"/>
  <c r="F11" i="2"/>
  <c r="F8" i="2"/>
  <c r="F2" i="2"/>
  <c r="C3" i="2"/>
  <c r="D3" i="2" s="1"/>
  <c r="E3" i="2" s="1"/>
  <c r="C4" i="2"/>
  <c r="D4" i="2" s="1"/>
  <c r="E4" i="2" s="1"/>
  <c r="C5" i="2"/>
  <c r="D5" i="2" s="1"/>
  <c r="C7" i="2"/>
  <c r="D7" i="2" s="1"/>
  <c r="E7" i="2" s="1"/>
  <c r="C8" i="2"/>
  <c r="D8" i="2" s="1"/>
  <c r="E8" i="2" s="1"/>
  <c r="C9" i="2"/>
  <c r="D9" i="2" s="1"/>
  <c r="E9" i="2" s="1"/>
  <c r="C10" i="2"/>
  <c r="D10" i="2" s="1"/>
  <c r="E10" i="2" s="1"/>
  <c r="C11" i="2"/>
  <c r="D11" i="2" s="1"/>
  <c r="E11" i="2" s="1"/>
  <c r="C12" i="2"/>
  <c r="D12" i="2" s="1"/>
  <c r="E12" i="2" s="1"/>
  <c r="C13" i="2"/>
  <c r="D13" i="2" s="1"/>
  <c r="E13" i="2" s="1"/>
  <c r="C14" i="2"/>
  <c r="D14" i="2" s="1"/>
  <c r="E14" i="2" s="1"/>
  <c r="C15" i="2"/>
  <c r="D15" i="2" s="1"/>
  <c r="E15" i="2" s="1"/>
  <c r="C16" i="2"/>
  <c r="D16" i="2" s="1"/>
  <c r="E16" i="2" s="1"/>
  <c r="C17" i="2"/>
  <c r="D17" i="2" s="1"/>
  <c r="E17" i="2" s="1"/>
  <c r="C18" i="2"/>
  <c r="D18" i="2" s="1"/>
  <c r="E18" i="2" s="1"/>
  <c r="C19" i="2"/>
  <c r="D19" i="2" s="1"/>
  <c r="E19" i="2" s="1"/>
  <c r="C20" i="2"/>
  <c r="D20" i="2" s="1"/>
  <c r="E20" i="2" s="1"/>
  <c r="C21" i="2"/>
  <c r="D21" i="2" s="1"/>
  <c r="E21" i="2" s="1"/>
  <c r="C22" i="2"/>
  <c r="D22" i="2" s="1"/>
  <c r="E22" i="2" s="1"/>
  <c r="C23" i="2"/>
  <c r="D23" i="2" s="1"/>
  <c r="E23" i="2" s="1"/>
  <c r="C24" i="2"/>
  <c r="D24" i="2" s="1"/>
  <c r="E24" i="2" s="1"/>
  <c r="C25" i="2"/>
  <c r="D25" i="2" s="1"/>
  <c r="E25" i="2" s="1"/>
  <c r="C26" i="2"/>
  <c r="D26" i="2" s="1"/>
  <c r="E26" i="2" s="1"/>
  <c r="C27" i="2"/>
  <c r="D27" i="2" s="1"/>
  <c r="E27" i="2" s="1"/>
  <c r="C28" i="2"/>
  <c r="D28" i="2" s="1"/>
  <c r="E28" i="2" s="1"/>
  <c r="C29" i="2"/>
  <c r="D29" i="2" s="1"/>
  <c r="E29" i="2" s="1"/>
  <c r="C30" i="2"/>
  <c r="D30" i="2" s="1"/>
  <c r="E30" i="2" s="1"/>
  <c r="C31" i="2"/>
  <c r="D31" i="2" s="1"/>
  <c r="E31" i="2" s="1"/>
  <c r="C2" i="2"/>
  <c r="D2" i="2" s="1"/>
  <c r="E2" i="2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5" i="1"/>
  <c r="D6" i="1"/>
  <c r="D7" i="1"/>
  <c r="D8" i="1"/>
  <c r="D9" i="1"/>
  <c r="D12" i="1"/>
  <c r="D13" i="1"/>
  <c r="D15" i="1"/>
  <c r="D16" i="1"/>
  <c r="D17" i="1"/>
  <c r="D20" i="1"/>
  <c r="D21" i="1"/>
  <c r="D22" i="1"/>
  <c r="D23" i="1"/>
  <c r="D24" i="1"/>
  <c r="D25" i="1"/>
  <c r="D28" i="1"/>
  <c r="D29" i="1"/>
  <c r="D30" i="1"/>
  <c r="D31" i="1"/>
  <c r="D2" i="1"/>
  <c r="C3" i="1"/>
  <c r="D3" i="1" s="1"/>
  <c r="C4" i="1"/>
  <c r="D4" i="1" s="1"/>
  <c r="C5" i="1"/>
  <c r="C6" i="1"/>
  <c r="C7" i="1"/>
  <c r="C8" i="1"/>
  <c r="C9" i="1"/>
  <c r="C10" i="1"/>
  <c r="D10" i="1" s="1"/>
  <c r="C11" i="1"/>
  <c r="C12" i="1"/>
  <c r="C13" i="1"/>
  <c r="C14" i="1"/>
  <c r="D14" i="1" s="1"/>
  <c r="C15" i="1"/>
  <c r="C16" i="1"/>
  <c r="C17" i="1"/>
  <c r="C18" i="1"/>
  <c r="D18" i="1" s="1"/>
  <c r="C19" i="1"/>
  <c r="D19" i="1" s="1"/>
  <c r="C20" i="1"/>
  <c r="C21" i="1"/>
  <c r="C22" i="1"/>
  <c r="C23" i="1"/>
  <c r="C24" i="1"/>
  <c r="C25" i="1"/>
  <c r="C26" i="1"/>
  <c r="D26" i="1" s="1"/>
  <c r="C27" i="1"/>
  <c r="D27" i="1" s="1"/>
  <c r="C28" i="1"/>
  <c r="C29" i="1"/>
  <c r="C30" i="1"/>
  <c r="C31" i="1"/>
  <c r="C2" i="1"/>
  <c r="F12" i="3" l="1"/>
</calcChain>
</file>

<file path=xl/sharedStrings.xml><?xml version="1.0" encoding="utf-8"?>
<sst xmlns="http://schemas.openxmlformats.org/spreadsheetml/2006/main" count="381" uniqueCount="86">
  <si>
    <t>B1 (D)</t>
  </si>
  <si>
    <t>B2</t>
  </si>
  <si>
    <t>B3</t>
  </si>
  <si>
    <t>B4</t>
  </si>
  <si>
    <t>B5</t>
  </si>
  <si>
    <t>B6</t>
  </si>
  <si>
    <t>C1 (A)</t>
  </si>
  <si>
    <t>C2</t>
  </si>
  <si>
    <t>C3</t>
  </si>
  <si>
    <t>C4</t>
  </si>
  <si>
    <t>C5</t>
  </si>
  <si>
    <t>C6</t>
  </si>
  <si>
    <t>D1 (P)</t>
  </si>
  <si>
    <t>D2</t>
  </si>
  <si>
    <t>D3</t>
  </si>
  <si>
    <t>D4</t>
  </si>
  <si>
    <t>D5</t>
  </si>
  <si>
    <t>D6</t>
  </si>
  <si>
    <t>E1  (H)</t>
  </si>
  <si>
    <t>E2</t>
  </si>
  <si>
    <t>E3</t>
  </si>
  <si>
    <t>E4</t>
  </si>
  <si>
    <t>E5</t>
  </si>
  <si>
    <t>E6</t>
  </si>
  <si>
    <t>F1 (M)</t>
  </si>
  <si>
    <t>F2</t>
  </si>
  <si>
    <t>F3</t>
  </si>
  <si>
    <t>F4</t>
  </si>
  <si>
    <t>F5</t>
  </si>
  <si>
    <t>F6</t>
  </si>
  <si>
    <t>Samples</t>
  </si>
  <si>
    <t>Raw</t>
  </si>
  <si>
    <t>Strain</t>
  </si>
  <si>
    <t>Light</t>
  </si>
  <si>
    <t>Dark</t>
  </si>
  <si>
    <t>IR</t>
  </si>
  <si>
    <t>Deinococcus</t>
  </si>
  <si>
    <t>Aliidiomarina</t>
  </si>
  <si>
    <t>Paracoccus</t>
  </si>
  <si>
    <t>Halomonas</t>
  </si>
  <si>
    <t>Marinobacter</t>
  </si>
  <si>
    <t>OD600</t>
  </si>
  <si>
    <t>BCA_Not_Applied</t>
  </si>
  <si>
    <t>cdigmp.1.linear</t>
  </si>
  <si>
    <t>cdigmp.2.power</t>
  </si>
  <si>
    <t>cdigmp.3.log</t>
  </si>
  <si>
    <t>Abs450</t>
  </si>
  <si>
    <t>D-D2</t>
  </si>
  <si>
    <t>D-D3</t>
  </si>
  <si>
    <t>I-D1</t>
  </si>
  <si>
    <t>I-D2</t>
  </si>
  <si>
    <t>I-D3</t>
  </si>
  <si>
    <t>D-A1</t>
  </si>
  <si>
    <t>D-A2</t>
  </si>
  <si>
    <t>D-A3</t>
  </si>
  <si>
    <t>I-A1</t>
  </si>
  <si>
    <t>I-A2</t>
  </si>
  <si>
    <t>I-A3</t>
  </si>
  <si>
    <t>D-P1</t>
  </si>
  <si>
    <t>D-P2</t>
  </si>
  <si>
    <t>D-P3</t>
  </si>
  <si>
    <t>I-P1</t>
  </si>
  <si>
    <t>I-P2</t>
  </si>
  <si>
    <t>I-P3</t>
  </si>
  <si>
    <t>D-H1</t>
  </si>
  <si>
    <t>D-H2</t>
  </si>
  <si>
    <t>D-H3</t>
  </si>
  <si>
    <t>I-H1</t>
  </si>
  <si>
    <t>I-H2</t>
  </si>
  <si>
    <t>I-H3</t>
  </si>
  <si>
    <t>D-M1</t>
  </si>
  <si>
    <t>D-M2</t>
  </si>
  <si>
    <t>D-M3</t>
  </si>
  <si>
    <t>I-M1</t>
  </si>
  <si>
    <t>I-M2</t>
  </si>
  <si>
    <t>I-M3</t>
  </si>
  <si>
    <t>D-D1</t>
  </si>
  <si>
    <t xml:space="preserve"> -logitAbs</t>
  </si>
  <si>
    <t>LogCon</t>
  </si>
  <si>
    <t>Con.origin</t>
  </si>
  <si>
    <t>MEAN</t>
  </si>
  <si>
    <t>D-D1_0820</t>
  </si>
  <si>
    <t>LogitAbs</t>
  </si>
  <si>
    <t>Control</t>
  </si>
  <si>
    <t>Concentration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</si>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</sst>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0" fillId="5" borderId="0" xfId="0" applyFill="1"/>
    <xf numFmtId="0" fontId="5" fillId="5" borderId="0" xfId="0" applyFont="1" applyFill="1"/>
    <xf numFmtId="0" fontId="1" fillId="0" borderId="0" xfId="0" applyFont="1" applyFill="1"/>
    <xf numFmtId="0" fontId="0" fillId="0" borderId="0" xfId="0" applyFill="1"/>
    <xf numFmtId="0" fontId="2" fillId="4" borderId="0" xfId="0" applyFont="1" applyFill="1"/>
    <xf numFmtId="0" fontId="2" fillId="0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0" borderId="0" xfId="0" applyFont="1"/>
    <xf numFmtId="0" fontId="5" fillId="4" borderId="0" xfId="0" applyFont="1" applyFill="1"/>
    <xf numFmtId="0" fontId="5" fillId="0" borderId="0" xfId="0" applyFont="1"/>
    <xf numFmtId="0" fontId="6" fillId="0" borderId="0" xfId="0" applyFont="1" applyFill="1"/>
    <xf numFmtId="164" fontId="6" fillId="0" borderId="0" xfId="0" applyNumberFormat="1" applyFont="1"/>
    <xf numFmtId="0" fontId="5" fillId="0" borderId="0" xfId="0" applyFont="1" applyFill="1"/>
    <xf numFmtId="164" fontId="5" fillId="0" borderId="0" xfId="0" applyNumberFormat="1" applyFont="1"/>
    <xf numFmtId="0" fontId="2" fillId="6" borderId="0" xfId="0" applyFont="1" applyFill="1"/>
    <xf numFmtId="0" fontId="0" fillId="6" borderId="0" xfId="0" applyFill="1"/>
    <xf numFmtId="164" fontId="0" fillId="6" borderId="0" xfId="0" applyNumberFormat="1" applyFill="1"/>
    <xf numFmtId="164" fontId="0" fillId="4" borderId="0" xfId="0" applyNumberFormat="1" applyFill="1"/>
    <xf numFmtId="164" fontId="5" fillId="4" borderId="0" xfId="0" applyNumberFormat="1" applyFont="1" applyFill="1"/>
    <xf numFmtId="0" fontId="0" fillId="0" borderId="0" xfId="0" applyFont="1"/>
    <xf numFmtId="0" fontId="0" fillId="4" borderId="0" xfId="0" applyFont="1" applyFill="1"/>
    <xf numFmtId="0" fontId="1" fillId="4" borderId="0" xfId="0" applyFont="1" applyFill="1"/>
    <xf numFmtId="0" fontId="0" fillId="3" borderId="0" xfId="0" applyFont="1" applyFill="1"/>
    <xf numFmtId="164" fontId="5" fillId="0" borderId="0" xfId="0" applyNumberFormat="1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E13A-0F17-7A40-BFD0-E29E5B5D63D7}">
  <dimension ref="A1:H20"/>
  <sheetViews>
    <sheetView tabSelected="1" workbookViewId="0">
      <selection activeCell="E8" sqref="E8"/>
    </sheetView>
  </sheetViews>
  <sheetFormatPr baseColWidth="10" defaultRowHeight="16" x14ac:dyDescent="0.2"/>
  <sheetData>
    <row r="1" spans="1:8" x14ac:dyDescent="0.2">
      <c r="A1" s="1" t="s">
        <v>30</v>
      </c>
      <c r="B1" s="1" t="s">
        <v>31</v>
      </c>
      <c r="C1" s="1" t="s">
        <v>82</v>
      </c>
      <c r="D1" s="1" t="s">
        <v>78</v>
      </c>
      <c r="E1" s="1" t="s">
        <v>84</v>
      </c>
      <c r="F1" s="1" t="s">
        <v>32</v>
      </c>
      <c r="G1" s="1" t="s">
        <v>33</v>
      </c>
      <c r="H1" s="1" t="s">
        <v>41</v>
      </c>
    </row>
    <row r="2" spans="1:8" x14ac:dyDescent="0.2">
      <c r="A2" s="28" t="s">
        <v>76</v>
      </c>
      <c r="B2" s="16">
        <v>1.9113</v>
      </c>
      <c r="C2" s="21">
        <f t="shared" ref="C2:C8" si="0">LN(B2/1.9385)/(1-B2/1.9385)</f>
        <v>-1.0070820596564962</v>
      </c>
      <c r="D2" s="21">
        <f t="shared" ref="D2:D7" si="1">-0.5777*C2+1.1326</f>
        <v>1.714391305863558</v>
      </c>
      <c r="E2" s="32">
        <f>5*10^(D2)</f>
        <v>259.03670683111415</v>
      </c>
      <c r="F2" t="s">
        <v>36</v>
      </c>
      <c r="G2" t="s">
        <v>34</v>
      </c>
    </row>
    <row r="3" spans="1:8" x14ac:dyDescent="0.2">
      <c r="A3" s="28" t="s">
        <v>47</v>
      </c>
      <c r="B3" s="16">
        <v>1.7323999999999999</v>
      </c>
      <c r="C3" s="21">
        <f t="shared" si="0"/>
        <v>-1.0572560919608827</v>
      </c>
      <c r="D3" s="21">
        <f t="shared" si="1"/>
        <v>1.743376844325802</v>
      </c>
      <c r="E3" s="32">
        <f t="shared" ref="E3:E7" si="2">5*10^(D3)</f>
        <v>276.91523420346653</v>
      </c>
      <c r="F3" t="s">
        <v>36</v>
      </c>
      <c r="G3" t="s">
        <v>34</v>
      </c>
    </row>
    <row r="4" spans="1:8" x14ac:dyDescent="0.2">
      <c r="A4" s="28" t="s">
        <v>48</v>
      </c>
      <c r="B4" s="16">
        <v>1.8218000000000001</v>
      </c>
      <c r="C4" s="21">
        <f t="shared" si="0"/>
        <v>-1.0313659651270937</v>
      </c>
      <c r="D4" s="21">
        <f t="shared" si="1"/>
        <v>1.728420118053922</v>
      </c>
      <c r="E4" s="32">
        <f t="shared" si="2"/>
        <v>267.54086223696112</v>
      </c>
      <c r="F4" t="s">
        <v>36</v>
      </c>
      <c r="G4" t="s">
        <v>34</v>
      </c>
    </row>
    <row r="5" spans="1:8" x14ac:dyDescent="0.2">
      <c r="A5" s="28" t="s">
        <v>49</v>
      </c>
      <c r="B5" s="16">
        <v>1.909</v>
      </c>
      <c r="C5" s="21">
        <f t="shared" si="0"/>
        <v>-1.00768706329764</v>
      </c>
      <c r="D5" s="21">
        <f t="shared" si="1"/>
        <v>1.7147408164670468</v>
      </c>
      <c r="E5" s="32">
        <f t="shared" si="2"/>
        <v>259.24525775680149</v>
      </c>
      <c r="F5" t="s">
        <v>36</v>
      </c>
      <c r="G5" t="s">
        <v>35</v>
      </c>
    </row>
    <row r="6" spans="1:8" x14ac:dyDescent="0.2">
      <c r="A6" s="28" t="s">
        <v>50</v>
      </c>
      <c r="B6" s="16">
        <v>1.7470000000000001</v>
      </c>
      <c r="C6" s="21">
        <f t="shared" si="0"/>
        <v>-1.0529086447246656</v>
      </c>
      <c r="D6" s="21">
        <f t="shared" si="1"/>
        <v>1.7408653240574394</v>
      </c>
      <c r="E6" s="32">
        <f t="shared" si="2"/>
        <v>275.31845793392756</v>
      </c>
      <c r="F6" t="s">
        <v>36</v>
      </c>
      <c r="G6" t="s">
        <v>35</v>
      </c>
    </row>
    <row r="7" spans="1:8" x14ac:dyDescent="0.2">
      <c r="A7" s="28" t="s">
        <v>51</v>
      </c>
      <c r="B7" s="16">
        <v>1.7524</v>
      </c>
      <c r="C7" s="21">
        <f t="shared" si="0"/>
        <v>-1.0513128316520663</v>
      </c>
      <c r="D7" s="21">
        <f t="shared" si="1"/>
        <v>1.7399434228453989</v>
      </c>
      <c r="E7" s="32">
        <f t="shared" si="2"/>
        <v>274.73464389532558</v>
      </c>
      <c r="F7" t="s">
        <v>36</v>
      </c>
      <c r="G7" t="s">
        <v>35</v>
      </c>
    </row>
    <row r="8" spans="1:8" x14ac:dyDescent="0.2">
      <c r="A8" s="29" t="s">
        <v>52</v>
      </c>
      <c r="B8" s="21">
        <v>9.0700000000000003E-2</v>
      </c>
      <c r="C8" s="21">
        <f t="shared" si="0"/>
        <v>-3.2124174084751633</v>
      </c>
      <c r="D8" s="21">
        <f t="shared" ref="D8:D19" si="3">-0.5777*C8+1.1326</f>
        <v>2.9884135368761018</v>
      </c>
      <c r="E8" s="32">
        <f>10^(D8)</f>
        <v>973.67391855608628</v>
      </c>
      <c r="F8" t="s">
        <v>37</v>
      </c>
      <c r="G8" t="s">
        <v>34</v>
      </c>
    </row>
    <row r="9" spans="1:8" x14ac:dyDescent="0.2">
      <c r="A9" s="29" t="s">
        <v>53</v>
      </c>
      <c r="B9" s="21">
        <v>6.3799999999999996E-2</v>
      </c>
      <c r="C9" s="21">
        <f>LN(B9/1.9385)/(1-B9/1.9385)</f>
        <v>-3.5300993570516477</v>
      </c>
      <c r="D9" s="21">
        <f t="shared" si="3"/>
        <v>3.171938398568737</v>
      </c>
      <c r="E9" s="32">
        <f>10^(D9)</f>
        <v>1485.7248883524826</v>
      </c>
      <c r="F9" t="s">
        <v>37</v>
      </c>
      <c r="G9" t="s">
        <v>34</v>
      </c>
    </row>
    <row r="10" spans="1:8" x14ac:dyDescent="0.2">
      <c r="A10" s="30" t="s">
        <v>54</v>
      </c>
      <c r="B10" s="21">
        <v>1.8421000000000001</v>
      </c>
      <c r="C10" s="21">
        <f>LN(B10/1.9385)/(1-B10/1.9385)</f>
        <v>-1.0257209372305673</v>
      </c>
      <c r="D10" s="21">
        <f t="shared" si="3"/>
        <v>1.7251589854380986</v>
      </c>
      <c r="E10" s="32">
        <f t="shared" ref="E10:E13" si="4">10^(D10)</f>
        <v>53.107882465797843</v>
      </c>
      <c r="F10" t="s">
        <v>37</v>
      </c>
      <c r="G10" t="s">
        <v>34</v>
      </c>
    </row>
    <row r="11" spans="1:8" x14ac:dyDescent="0.2">
      <c r="A11" s="30" t="s">
        <v>55</v>
      </c>
      <c r="B11" s="21">
        <v>0.15920000000000001</v>
      </c>
      <c r="C11" s="21">
        <f>LN(B11/1.9385)/(1-B11/1.9385)</f>
        <v>-2.7231479770998757</v>
      </c>
      <c r="D11" s="21">
        <f t="shared" si="3"/>
        <v>2.7057625863705983</v>
      </c>
      <c r="E11" s="32">
        <f t="shared" si="4"/>
        <v>507.8817254522811</v>
      </c>
      <c r="F11" t="s">
        <v>37</v>
      </c>
      <c r="G11" t="s">
        <v>35</v>
      </c>
    </row>
    <row r="12" spans="1:8" x14ac:dyDescent="0.2">
      <c r="A12" s="29" t="s">
        <v>56</v>
      </c>
      <c r="B12" s="21">
        <v>6.0299999999999999E-2</v>
      </c>
      <c r="C12" s="21">
        <f>LN(B12/1.9385)/(1-B12/1.9385)</f>
        <v>-3.5817535624922536</v>
      </c>
      <c r="D12" s="21">
        <f t="shared" si="3"/>
        <v>3.2017790330517748</v>
      </c>
      <c r="E12" s="32">
        <f t="shared" si="4"/>
        <v>1591.3988249464376</v>
      </c>
      <c r="F12" t="s">
        <v>37</v>
      </c>
      <c r="G12" t="s">
        <v>35</v>
      </c>
    </row>
    <row r="13" spans="1:8" x14ac:dyDescent="0.2">
      <c r="A13" s="29" t="s">
        <v>57</v>
      </c>
      <c r="B13" s="21">
        <v>7.46E-2</v>
      </c>
      <c r="C13" s="21">
        <f t="shared" ref="C13" si="5">LN(B13/1.9385)/(1-B13/1.9385)</f>
        <v>-3.3879073184900528</v>
      </c>
      <c r="D13" s="21">
        <f t="shared" si="3"/>
        <v>3.0897940578917034</v>
      </c>
      <c r="E13" s="32">
        <f t="shared" si="4"/>
        <v>1229.6855166105886</v>
      </c>
      <c r="F13" t="s">
        <v>37</v>
      </c>
      <c r="G13" t="s">
        <v>35</v>
      </c>
    </row>
    <row r="14" spans="1:8" x14ac:dyDescent="0.2">
      <c r="A14" s="31" t="s">
        <v>64</v>
      </c>
      <c r="B14" s="21">
        <v>1.8472</v>
      </c>
      <c r="C14" s="21">
        <f>LN(B14/1.9385)/(1-B14/1.9385)</f>
        <v>-1.0243156949457666</v>
      </c>
      <c r="D14" s="21">
        <f t="shared" si="3"/>
        <v>1.7243471769701695</v>
      </c>
      <c r="E14" s="32">
        <f>5*10^(D14)</f>
        <v>265.04351426295909</v>
      </c>
      <c r="F14" t="s">
        <v>39</v>
      </c>
      <c r="G14" t="s">
        <v>34</v>
      </c>
    </row>
    <row r="15" spans="1:8" x14ac:dyDescent="0.2">
      <c r="A15" s="31" t="s">
        <v>65</v>
      </c>
      <c r="B15" s="21">
        <v>1.8371</v>
      </c>
      <c r="C15" s="21">
        <f>LN(B15/1.9385)/(1-B15/1.9385)</f>
        <v>-1.0271036492034036</v>
      </c>
      <c r="D15" s="21">
        <f t="shared" si="3"/>
        <v>1.7259577781448063</v>
      </c>
      <c r="E15" s="32">
        <f t="shared" ref="E15:E19" si="6">5*10^(D15)</f>
        <v>266.02826526400401</v>
      </c>
      <c r="F15" t="s">
        <v>39</v>
      </c>
      <c r="G15" t="s">
        <v>34</v>
      </c>
    </row>
    <row r="16" spans="1:8" x14ac:dyDescent="0.2">
      <c r="A16" s="31" t="s">
        <v>66</v>
      </c>
      <c r="B16" s="21">
        <v>1.8412999999999999</v>
      </c>
      <c r="C16" s="21">
        <f>LN(B16/1.9385)/(1-B16/1.9385)</f>
        <v>-1.0259418361110448</v>
      </c>
      <c r="D16" s="21">
        <f t="shared" si="3"/>
        <v>1.7252865987213506</v>
      </c>
      <c r="E16" s="32">
        <f t="shared" si="6"/>
        <v>265.61745001247584</v>
      </c>
      <c r="F16" t="s">
        <v>39</v>
      </c>
      <c r="G16" t="s">
        <v>34</v>
      </c>
    </row>
    <row r="17" spans="1:7" x14ac:dyDescent="0.2">
      <c r="A17" s="31" t="s">
        <v>67</v>
      </c>
      <c r="B17" s="21">
        <v>1.6121000000000001</v>
      </c>
      <c r="C17" s="21">
        <f>LN(B17/1.9385)/(1-B17/1.9385)</f>
        <v>-1.0950196972502346</v>
      </c>
      <c r="D17" s="21">
        <f t="shared" si="3"/>
        <v>1.7651928791014606</v>
      </c>
      <c r="E17" s="32">
        <f t="shared" si="6"/>
        <v>291.18089959244463</v>
      </c>
      <c r="F17" t="s">
        <v>39</v>
      </c>
      <c r="G17" t="s">
        <v>35</v>
      </c>
    </row>
    <row r="18" spans="1:7" x14ac:dyDescent="0.2">
      <c r="A18" s="31" t="s">
        <v>68</v>
      </c>
      <c r="B18" s="21">
        <v>1.6584000000000001</v>
      </c>
      <c r="C18" s="21">
        <f>LN(B18/1.9385)/(1-B18/1.9385)</f>
        <v>-1.0800593660316993</v>
      </c>
      <c r="D18" s="21">
        <f t="shared" si="3"/>
        <v>1.7565502957565127</v>
      </c>
      <c r="E18" s="32">
        <f t="shared" si="6"/>
        <v>285.44359346836342</v>
      </c>
      <c r="F18" t="s">
        <v>39</v>
      </c>
      <c r="G18" t="s">
        <v>35</v>
      </c>
    </row>
    <row r="19" spans="1:7" x14ac:dyDescent="0.2">
      <c r="A19" s="31" t="s">
        <v>69</v>
      </c>
      <c r="B19" s="21">
        <v>1.6271</v>
      </c>
      <c r="C19" s="21">
        <f>LN(B19/1.9385)/(1-B19/1.9385)</f>
        <v>-1.0901117334939943</v>
      </c>
      <c r="D19" s="21">
        <f t="shared" si="3"/>
        <v>1.7623575484394807</v>
      </c>
      <c r="E19" s="32">
        <f t="shared" si="6"/>
        <v>289.28609079451445</v>
      </c>
      <c r="F19" t="s">
        <v>39</v>
      </c>
      <c r="G19" t="s">
        <v>35</v>
      </c>
    </row>
    <row r="20" spans="1:7" x14ac:dyDescent="0.2">
      <c r="A20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76DD-9D63-8A4F-911A-B50E475845FB}">
  <dimension ref="A1:H19"/>
  <sheetViews>
    <sheetView workbookViewId="0">
      <selection activeCell="B25" sqref="B25"/>
    </sheetView>
  </sheetViews>
  <sheetFormatPr baseColWidth="10" defaultRowHeight="16" x14ac:dyDescent="0.2"/>
  <sheetData>
    <row r="1" spans="1:8" x14ac:dyDescent="0.2">
      <c r="A1" s="1" t="s">
        <v>30</v>
      </c>
      <c r="B1" s="1" t="s">
        <v>31</v>
      </c>
      <c r="C1" s="1" t="s">
        <v>82</v>
      </c>
      <c r="D1" s="1" t="s">
        <v>78</v>
      </c>
      <c r="E1" s="1" t="s">
        <v>84</v>
      </c>
      <c r="F1" s="1" t="s">
        <v>32</v>
      </c>
      <c r="G1" s="1" t="s">
        <v>33</v>
      </c>
      <c r="H1" s="1" t="s">
        <v>41</v>
      </c>
    </row>
    <row r="2" spans="1:8" x14ac:dyDescent="0.2">
      <c r="A2" s="28" t="s">
        <v>76</v>
      </c>
      <c r="B2" s="16">
        <v>1.9113</v>
      </c>
      <c r="C2" s="21">
        <f t="shared" ref="C2:C8" si="0">LN(B2/1.9385)/(1-B2/1.9385)</f>
        <v>-1.0070820596564962</v>
      </c>
      <c r="D2" s="21">
        <f t="shared" ref="D2:D19" si="1">-0.5777*C2+1.1326</f>
        <v>1.714391305863558</v>
      </c>
      <c r="E2" s="32">
        <f>5*10^(D2)</f>
        <v>259.03670683111415</v>
      </c>
      <c r="F2" t="s">
        <v>36</v>
      </c>
      <c r="G2" t="s">
        <v>34</v>
      </c>
    </row>
    <row r="3" spans="1:8" x14ac:dyDescent="0.2">
      <c r="A3" s="28" t="s">
        <v>47</v>
      </c>
      <c r="B3" s="16">
        <v>1.7323999999999999</v>
      </c>
      <c r="C3" s="21">
        <f t="shared" si="0"/>
        <v>-1.0572560919608827</v>
      </c>
      <c r="D3" s="21">
        <f t="shared" si="1"/>
        <v>1.743376844325802</v>
      </c>
      <c r="E3" s="32">
        <f t="shared" ref="E3:E7" si="2">5*10^(D3)</f>
        <v>276.91523420346653</v>
      </c>
      <c r="F3" t="s">
        <v>36</v>
      </c>
      <c r="G3" t="s">
        <v>34</v>
      </c>
    </row>
    <row r="4" spans="1:8" x14ac:dyDescent="0.2">
      <c r="A4" s="28" t="s">
        <v>48</v>
      </c>
      <c r="B4" s="16">
        <v>1.8218000000000001</v>
      </c>
      <c r="C4" s="21">
        <f t="shared" si="0"/>
        <v>-1.0313659651270937</v>
      </c>
      <c r="D4" s="21">
        <f t="shared" si="1"/>
        <v>1.728420118053922</v>
      </c>
      <c r="E4" s="32">
        <f t="shared" si="2"/>
        <v>267.54086223696112</v>
      </c>
      <c r="F4" t="s">
        <v>36</v>
      </c>
      <c r="G4" t="s">
        <v>34</v>
      </c>
    </row>
    <row r="5" spans="1:8" x14ac:dyDescent="0.2">
      <c r="A5" s="28" t="s">
        <v>49</v>
      </c>
      <c r="B5" s="16">
        <v>1.909</v>
      </c>
      <c r="C5" s="21">
        <f t="shared" si="0"/>
        <v>-1.00768706329764</v>
      </c>
      <c r="D5" s="21">
        <f t="shared" si="1"/>
        <v>1.7147408164670468</v>
      </c>
      <c r="E5" s="32">
        <f t="shared" si="2"/>
        <v>259.24525775680149</v>
      </c>
      <c r="F5" t="s">
        <v>36</v>
      </c>
      <c r="G5" t="s">
        <v>35</v>
      </c>
    </row>
    <row r="6" spans="1:8" x14ac:dyDescent="0.2">
      <c r="A6" s="28" t="s">
        <v>50</v>
      </c>
      <c r="B6" s="16">
        <v>1.7470000000000001</v>
      </c>
      <c r="C6" s="21">
        <f t="shared" si="0"/>
        <v>-1.0529086447246656</v>
      </c>
      <c r="D6" s="21">
        <f t="shared" si="1"/>
        <v>1.7408653240574394</v>
      </c>
      <c r="E6" s="32">
        <f t="shared" si="2"/>
        <v>275.31845793392756</v>
      </c>
      <c r="F6" t="s">
        <v>36</v>
      </c>
      <c r="G6" t="s">
        <v>35</v>
      </c>
    </row>
    <row r="7" spans="1:8" x14ac:dyDescent="0.2">
      <c r="A7" s="28" t="s">
        <v>51</v>
      </c>
      <c r="B7" s="16">
        <v>1.7524</v>
      </c>
      <c r="C7" s="21">
        <f t="shared" si="0"/>
        <v>-1.0513128316520663</v>
      </c>
      <c r="D7" s="21">
        <f t="shared" si="1"/>
        <v>1.7399434228453989</v>
      </c>
      <c r="E7" s="32">
        <f t="shared" si="2"/>
        <v>274.73464389532558</v>
      </c>
      <c r="F7" t="s">
        <v>36</v>
      </c>
      <c r="G7" t="s">
        <v>35</v>
      </c>
    </row>
    <row r="8" spans="1:8" x14ac:dyDescent="0.2">
      <c r="A8" s="29" t="s">
        <v>52</v>
      </c>
      <c r="B8" s="21">
        <v>1.8511</v>
      </c>
      <c r="C8" s="21">
        <f t="shared" si="0"/>
        <v>-1.0232445696824952</v>
      </c>
      <c r="D8" s="21">
        <f t="shared" si="1"/>
        <v>1.7237283879055776</v>
      </c>
      <c r="E8" s="32">
        <f>5*10^(D8)</f>
        <v>264.66614533131008</v>
      </c>
      <c r="F8" t="s">
        <v>37</v>
      </c>
      <c r="G8" t="s">
        <v>34</v>
      </c>
    </row>
    <row r="9" spans="1:8" x14ac:dyDescent="0.2">
      <c r="A9" s="29" t="s">
        <v>53</v>
      </c>
      <c r="B9" s="21">
        <v>1.9186000000000001</v>
      </c>
      <c r="C9" s="21">
        <f>LN(B9/1.9385)/(1-B9/1.9385)</f>
        <v>-1.0051682353544886</v>
      </c>
      <c r="D9" s="21">
        <f t="shared" si="1"/>
        <v>1.7132856895642883</v>
      </c>
      <c r="E9" s="32">
        <f>5*10^(D9)</f>
        <v>258.37809619410893</v>
      </c>
      <c r="F9" t="s">
        <v>37</v>
      </c>
      <c r="G9" t="s">
        <v>34</v>
      </c>
    </row>
    <row r="10" spans="1:8" x14ac:dyDescent="0.2">
      <c r="A10" s="30" t="s">
        <v>54</v>
      </c>
      <c r="B10" s="18">
        <v>1.9157</v>
      </c>
      <c r="C10" s="21">
        <f>LN(B10/1.9385)/(1-B10/1.9385)</f>
        <v>-1.0059273586360233</v>
      </c>
      <c r="D10" s="21">
        <f t="shared" si="1"/>
        <v>1.7137242350840307</v>
      </c>
      <c r="E10" s="32">
        <f>5*10^(D10)</f>
        <v>258.63913516723051</v>
      </c>
      <c r="F10" t="s">
        <v>37</v>
      </c>
      <c r="G10" t="s">
        <v>34</v>
      </c>
    </row>
    <row r="11" spans="1:8" x14ac:dyDescent="0.2">
      <c r="A11" s="30" t="s">
        <v>55</v>
      </c>
      <c r="B11" s="19">
        <v>1.7416</v>
      </c>
      <c r="C11" s="21">
        <f>LN(B11/1.9385)/(1-B11/1.9385)</f>
        <v>-1.0545109912598654</v>
      </c>
      <c r="D11" s="21">
        <f t="shared" si="1"/>
        <v>1.7417909996508243</v>
      </c>
      <c r="E11" s="32">
        <f>5*10^(D11)</f>
        <v>275.90591042567536</v>
      </c>
      <c r="F11" t="s">
        <v>37</v>
      </c>
      <c r="G11" t="s">
        <v>35</v>
      </c>
    </row>
    <row r="12" spans="1:8" x14ac:dyDescent="0.2">
      <c r="A12" s="29" t="s">
        <v>56</v>
      </c>
      <c r="B12" s="21">
        <v>1.7922</v>
      </c>
      <c r="C12" s="21">
        <f>LN(B12/1.9385)/(1-B12/1.9385)</f>
        <v>-1.0397483644435148</v>
      </c>
      <c r="D12" s="21">
        <f t="shared" si="1"/>
        <v>1.7332626301390186</v>
      </c>
      <c r="E12" s="32">
        <f>5*10^(D12)</f>
        <v>270.54071562653934</v>
      </c>
      <c r="F12" t="s">
        <v>37</v>
      </c>
      <c r="G12" t="s">
        <v>35</v>
      </c>
    </row>
    <row r="13" spans="1:8" x14ac:dyDescent="0.2">
      <c r="A13" s="29" t="s">
        <v>57</v>
      </c>
      <c r="B13" s="21">
        <v>1.6673</v>
      </c>
      <c r="C13" s="21">
        <f t="shared" ref="C13" si="3">LN(B13/1.9385)/(1-B13/1.9385)</f>
        <v>-1.0772465121926629</v>
      </c>
      <c r="D13" s="21">
        <f t="shared" si="1"/>
        <v>1.7549253100937015</v>
      </c>
      <c r="E13" s="21">
        <v>284.37755400285079</v>
      </c>
      <c r="F13" t="s">
        <v>37</v>
      </c>
      <c r="G13" t="s">
        <v>35</v>
      </c>
    </row>
    <row r="14" spans="1:8" x14ac:dyDescent="0.2">
      <c r="A14" s="31" t="s">
        <v>64</v>
      </c>
      <c r="B14" s="21">
        <v>1.8472</v>
      </c>
      <c r="C14" s="21">
        <f>LN(B14/1.9385)/(1-B14/1.9385)</f>
        <v>-1.0243156949457666</v>
      </c>
      <c r="D14" s="21">
        <f t="shared" si="1"/>
        <v>1.7243471769701695</v>
      </c>
      <c r="E14" s="32">
        <f>5*10^(D14)</f>
        <v>265.04351426295909</v>
      </c>
      <c r="F14" t="s">
        <v>39</v>
      </c>
      <c r="G14" t="s">
        <v>34</v>
      </c>
    </row>
    <row r="15" spans="1:8" x14ac:dyDescent="0.2">
      <c r="A15" s="31" t="s">
        <v>65</v>
      </c>
      <c r="B15" s="21">
        <v>1.8371</v>
      </c>
      <c r="C15" s="21">
        <f>LN(B15/1.9385)/(1-B15/1.9385)</f>
        <v>-1.0271036492034036</v>
      </c>
      <c r="D15" s="21">
        <f t="shared" si="1"/>
        <v>1.7259577781448063</v>
      </c>
      <c r="E15" s="32">
        <f t="shared" ref="E15:E19" si="4">5*10^(D15)</f>
        <v>266.02826526400401</v>
      </c>
      <c r="F15" t="s">
        <v>39</v>
      </c>
      <c r="G15" t="s">
        <v>34</v>
      </c>
    </row>
    <row r="16" spans="1:8" x14ac:dyDescent="0.2">
      <c r="A16" s="31" t="s">
        <v>66</v>
      </c>
      <c r="B16" s="21">
        <v>1.8412999999999999</v>
      </c>
      <c r="C16" s="21">
        <f>LN(B16/1.9385)/(1-B16/1.9385)</f>
        <v>-1.0259418361110448</v>
      </c>
      <c r="D16" s="21">
        <f t="shared" si="1"/>
        <v>1.7252865987213506</v>
      </c>
      <c r="E16" s="32">
        <f t="shared" si="4"/>
        <v>265.61745001247584</v>
      </c>
      <c r="F16" t="s">
        <v>39</v>
      </c>
      <c r="G16" t="s">
        <v>34</v>
      </c>
    </row>
    <row r="17" spans="1:7" x14ac:dyDescent="0.2">
      <c r="A17" s="31" t="s">
        <v>67</v>
      </c>
      <c r="B17" s="21">
        <v>1.6121000000000001</v>
      </c>
      <c r="C17" s="21">
        <f>LN(B17/1.9385)/(1-B17/1.9385)</f>
        <v>-1.0950196972502346</v>
      </c>
      <c r="D17" s="21">
        <f t="shared" si="1"/>
        <v>1.7651928791014606</v>
      </c>
      <c r="E17" s="32">
        <f t="shared" si="4"/>
        <v>291.18089959244463</v>
      </c>
      <c r="F17" t="s">
        <v>39</v>
      </c>
      <c r="G17" t="s">
        <v>35</v>
      </c>
    </row>
    <row r="18" spans="1:7" x14ac:dyDescent="0.2">
      <c r="A18" s="31" t="s">
        <v>68</v>
      </c>
      <c r="B18" s="21">
        <v>1.6584000000000001</v>
      </c>
      <c r="C18" s="21">
        <f>LN(B18/1.9385)/(1-B18/1.9385)</f>
        <v>-1.0800593660316993</v>
      </c>
      <c r="D18" s="21">
        <f t="shared" si="1"/>
        <v>1.7565502957565127</v>
      </c>
      <c r="E18" s="32">
        <f t="shared" si="4"/>
        <v>285.44359346836342</v>
      </c>
      <c r="F18" t="s">
        <v>39</v>
      </c>
      <c r="G18" t="s">
        <v>35</v>
      </c>
    </row>
    <row r="19" spans="1:7" x14ac:dyDescent="0.2">
      <c r="A19" s="31" t="s">
        <v>69</v>
      </c>
      <c r="B19" s="21">
        <v>1.6271</v>
      </c>
      <c r="C19" s="21">
        <f>LN(B19/1.9385)/(1-B19/1.9385)</f>
        <v>-1.0901117334939943</v>
      </c>
      <c r="D19" s="21">
        <f t="shared" si="1"/>
        <v>1.7623575484394807</v>
      </c>
      <c r="E19" s="32">
        <f t="shared" si="4"/>
        <v>289.28609079451445</v>
      </c>
      <c r="F19" t="s">
        <v>39</v>
      </c>
      <c r="G1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0429-B197-F34A-A2D7-37003CE60C14}">
  <dimension ref="A1:J50"/>
  <sheetViews>
    <sheetView topLeftCell="A25" workbookViewId="0">
      <selection activeCell="B18" sqref="B18:E20"/>
    </sheetView>
  </sheetViews>
  <sheetFormatPr baseColWidth="10" defaultRowHeight="16" x14ac:dyDescent="0.2"/>
  <cols>
    <col min="3" max="4" width="11.6640625" customWidth="1"/>
    <col min="5" max="5" width="12.5" customWidth="1"/>
    <col min="6" max="6" width="11.5" customWidth="1"/>
  </cols>
  <sheetData>
    <row r="1" spans="1:10" x14ac:dyDescent="0.2">
      <c r="A1" s="1" t="s">
        <v>30</v>
      </c>
      <c r="B1" s="1" t="s">
        <v>31</v>
      </c>
      <c r="C1" s="1" t="s">
        <v>82</v>
      </c>
      <c r="D1" s="1" t="s">
        <v>78</v>
      </c>
      <c r="E1" s="1" t="s">
        <v>84</v>
      </c>
      <c r="F1" s="1" t="s">
        <v>85</v>
      </c>
      <c r="G1" s="1" t="s">
        <v>32</v>
      </c>
      <c r="H1" s="1" t="s">
        <v>33</v>
      </c>
      <c r="I1" s="1" t="s">
        <v>42</v>
      </c>
      <c r="J1" s="1" t="s">
        <v>41</v>
      </c>
    </row>
    <row r="2" spans="1:10" s="11" customFormat="1" x14ac:dyDescent="0.2">
      <c r="A2" s="10" t="s">
        <v>83</v>
      </c>
      <c r="B2" s="13">
        <v>1.9384999999999999</v>
      </c>
      <c r="C2" s="10"/>
      <c r="D2" s="10"/>
      <c r="E2" s="10"/>
      <c r="F2" s="10"/>
      <c r="G2" s="10"/>
      <c r="H2" s="10"/>
      <c r="I2" s="10"/>
      <c r="J2" s="10"/>
    </row>
    <row r="3" spans="1:10" x14ac:dyDescent="0.2">
      <c r="A3" t="s">
        <v>81</v>
      </c>
    </row>
    <row r="4" spans="1:10" x14ac:dyDescent="0.2">
      <c r="A4" t="s">
        <v>47</v>
      </c>
    </row>
    <row r="5" spans="1:10" x14ac:dyDescent="0.2">
      <c r="A5" t="s">
        <v>48</v>
      </c>
    </row>
    <row r="6" spans="1:10" x14ac:dyDescent="0.2">
      <c r="A6" s="4" t="s">
        <v>49</v>
      </c>
    </row>
    <row r="7" spans="1:10" x14ac:dyDescent="0.2">
      <c r="A7" t="s">
        <v>50</v>
      </c>
    </row>
    <row r="8" spans="1:10" x14ac:dyDescent="0.2">
      <c r="A8" t="s">
        <v>51</v>
      </c>
    </row>
    <row r="9" spans="1:10" x14ac:dyDescent="0.2">
      <c r="A9" s="6" t="s">
        <v>52</v>
      </c>
      <c r="B9">
        <v>9.0700000000000003E-2</v>
      </c>
      <c r="C9" s="11">
        <f>LN(B9/$B$2)/(1-B9/$B$2)</f>
        <v>-3.2124174084751633</v>
      </c>
      <c r="D9">
        <f>-0.5777*C9+1.1326</f>
        <v>2.9884135368761018</v>
      </c>
      <c r="E9" s="3">
        <f>10^(D9)</f>
        <v>973.67391855608628</v>
      </c>
      <c r="F9" s="3">
        <f>AVERAGE(E9:E11)</f>
        <v>837.50222979145565</v>
      </c>
    </row>
    <row r="10" spans="1:10" x14ac:dyDescent="0.2">
      <c r="A10" s="6" t="s">
        <v>53</v>
      </c>
      <c r="B10">
        <v>6.3799999999999996E-2</v>
      </c>
      <c r="C10" s="11">
        <f t="shared" ref="C10:C20" si="0">LN(B10/$B$2)/(1-B10/$B$2)</f>
        <v>-3.5300993570516477</v>
      </c>
      <c r="D10">
        <f t="shared" ref="D10:D20" si="1">-0.5777*C10+1.1326</f>
        <v>3.171938398568737</v>
      </c>
      <c r="E10" s="3">
        <f>10^(D10)</f>
        <v>1485.7248883524826</v>
      </c>
      <c r="F10" s="3"/>
    </row>
    <row r="11" spans="1:10" x14ac:dyDescent="0.2">
      <c r="A11" s="17" t="s">
        <v>54</v>
      </c>
      <c r="B11" s="18">
        <v>1.8421000000000001</v>
      </c>
      <c r="C11" s="21">
        <f t="shared" si="0"/>
        <v>-1.0257209372305673</v>
      </c>
      <c r="D11" s="18">
        <f t="shared" si="1"/>
        <v>1.7251589854380986</v>
      </c>
      <c r="E11" s="22">
        <f>10^(D11)</f>
        <v>53.107882465797843</v>
      </c>
      <c r="F11" s="22"/>
    </row>
    <row r="12" spans="1:10" x14ac:dyDescent="0.2">
      <c r="A12" s="17" t="s">
        <v>55</v>
      </c>
      <c r="B12" s="18">
        <v>0.15920000000000001</v>
      </c>
      <c r="C12" s="21">
        <f t="shared" si="0"/>
        <v>-2.7231479770998757</v>
      </c>
      <c r="D12" s="18">
        <f t="shared" si="1"/>
        <v>2.7057625863705983</v>
      </c>
      <c r="E12" s="22">
        <f>10^(D12)</f>
        <v>507.8817254522811</v>
      </c>
      <c r="F12" s="3">
        <f>AVERAGE(E12:E14)</f>
        <v>1109.6553556697691</v>
      </c>
    </row>
    <row r="13" spans="1:10" x14ac:dyDescent="0.2">
      <c r="A13" s="6" t="s">
        <v>56</v>
      </c>
      <c r="B13">
        <v>6.0299999999999999E-2</v>
      </c>
      <c r="C13" s="11">
        <f t="shared" si="0"/>
        <v>-3.5817535624922536</v>
      </c>
      <c r="D13">
        <f t="shared" si="1"/>
        <v>3.2017790330517748</v>
      </c>
      <c r="E13" s="3">
        <f>10^(D13)</f>
        <v>1591.3988249464376</v>
      </c>
      <c r="F13" s="3"/>
    </row>
    <row r="14" spans="1:10" x14ac:dyDescent="0.2">
      <c r="A14" s="6" t="s">
        <v>57</v>
      </c>
      <c r="B14">
        <v>7.46E-2</v>
      </c>
      <c r="C14" s="11">
        <f t="shared" si="0"/>
        <v>-3.3879073184900528</v>
      </c>
      <c r="D14">
        <f t="shared" si="1"/>
        <v>3.0897940578917034</v>
      </c>
      <c r="E14" s="3">
        <f>10^(D14)</f>
        <v>1229.6855166105886</v>
      </c>
      <c r="F14" s="3"/>
    </row>
    <row r="15" spans="1:10" x14ac:dyDescent="0.2">
      <c r="A15" s="5" t="s">
        <v>64</v>
      </c>
      <c r="B15">
        <v>6.3700000000000007E-2</v>
      </c>
      <c r="C15" s="11">
        <f t="shared" si="0"/>
        <v>-3.5315329899733094</v>
      </c>
      <c r="D15">
        <f t="shared" si="1"/>
        <v>3.1727666083075809</v>
      </c>
      <c r="E15" s="3">
        <f t="shared" ref="E15:E20" si="2">10^(D15)</f>
        <v>1488.5609037927693</v>
      </c>
      <c r="F15" s="3"/>
    </row>
    <row r="16" spans="1:10" x14ac:dyDescent="0.2">
      <c r="A16" s="5" t="s">
        <v>65</v>
      </c>
      <c r="B16">
        <v>6.08E-2</v>
      </c>
      <c r="C16" s="11">
        <f t="shared" si="0"/>
        <v>-3.5741822539474808</v>
      </c>
      <c r="D16">
        <f t="shared" si="1"/>
        <v>3.1974050881054596</v>
      </c>
      <c r="E16" s="3">
        <f>10^(D16)</f>
        <v>1575.4516816331575</v>
      </c>
      <c r="F16" s="3"/>
    </row>
    <row r="17" spans="1:6" x14ac:dyDescent="0.2">
      <c r="A17" s="5" t="s">
        <v>66</v>
      </c>
      <c r="B17">
        <v>6.3100000000000003E-2</v>
      </c>
      <c r="C17" s="11">
        <f t="shared" si="0"/>
        <v>-3.5401853537338472</v>
      </c>
      <c r="D17">
        <f t="shared" si="1"/>
        <v>3.1777650788520435</v>
      </c>
      <c r="E17" s="3">
        <f t="shared" si="2"/>
        <v>1505.7923237308569</v>
      </c>
      <c r="F17" s="3"/>
    </row>
    <row r="18" spans="1:6" x14ac:dyDescent="0.2">
      <c r="A18" s="5" t="s">
        <v>67</v>
      </c>
      <c r="B18">
        <v>5.9799999999999999E-2</v>
      </c>
      <c r="C18" s="11">
        <f t="shared" si="0"/>
        <v>-3.5893917870843137</v>
      </c>
      <c r="D18">
        <f t="shared" si="1"/>
        <v>3.206191635398608</v>
      </c>
      <c r="E18" s="3">
        <f t="shared" si="2"/>
        <v>1607.6504832522837</v>
      </c>
      <c r="F18" s="3"/>
    </row>
    <row r="19" spans="1:6" x14ac:dyDescent="0.2">
      <c r="A19" s="5" t="s">
        <v>68</v>
      </c>
      <c r="B19">
        <v>1.3985000000000001</v>
      </c>
      <c r="C19" s="11">
        <f t="shared" si="0"/>
        <v>-1.1721256720427724</v>
      </c>
      <c r="D19">
        <f t="shared" si="1"/>
        <v>1.8097370007391098</v>
      </c>
      <c r="E19" s="3">
        <f t="shared" si="2"/>
        <v>64.526335328813758</v>
      </c>
      <c r="F19" s="3"/>
    </row>
    <row r="20" spans="1:6" x14ac:dyDescent="0.2">
      <c r="A20" s="5" t="s">
        <v>69</v>
      </c>
      <c r="B20">
        <v>1.5305</v>
      </c>
      <c r="C20" s="11">
        <f t="shared" si="0"/>
        <v>-1.1228096017877793</v>
      </c>
      <c r="D20">
        <f t="shared" si="1"/>
        <v>1.7812471069528002</v>
      </c>
      <c r="E20" s="3">
        <f t="shared" si="2"/>
        <v>60.429236473877808</v>
      </c>
      <c r="F20" s="3"/>
    </row>
    <row r="21" spans="1:6" x14ac:dyDescent="0.2">
      <c r="A21" t="s">
        <v>58</v>
      </c>
    </row>
    <row r="22" spans="1:6" x14ac:dyDescent="0.2">
      <c r="A22" t="s">
        <v>59</v>
      </c>
    </row>
    <row r="23" spans="1:6" x14ac:dyDescent="0.2">
      <c r="A23" t="s">
        <v>60</v>
      </c>
    </row>
    <row r="24" spans="1:6" x14ac:dyDescent="0.2">
      <c r="A24" t="s">
        <v>61</v>
      </c>
    </row>
    <row r="25" spans="1:6" x14ac:dyDescent="0.2">
      <c r="A25" t="s">
        <v>62</v>
      </c>
    </row>
    <row r="26" spans="1:6" x14ac:dyDescent="0.2">
      <c r="A26" t="s">
        <v>63</v>
      </c>
    </row>
    <row r="27" spans="1:6" x14ac:dyDescent="0.2">
      <c r="A27" t="s">
        <v>70</v>
      </c>
    </row>
    <row r="28" spans="1:6" x14ac:dyDescent="0.2">
      <c r="A28" t="s">
        <v>71</v>
      </c>
    </row>
    <row r="29" spans="1:6" x14ac:dyDescent="0.2">
      <c r="A29" t="s">
        <v>72</v>
      </c>
    </row>
    <row r="30" spans="1:6" x14ac:dyDescent="0.2">
      <c r="A30" t="s">
        <v>73</v>
      </c>
    </row>
    <row r="31" spans="1:6" x14ac:dyDescent="0.2">
      <c r="A31" t="s">
        <v>74</v>
      </c>
    </row>
    <row r="32" spans="1:6" x14ac:dyDescent="0.2">
      <c r="A32" s="4" t="s">
        <v>75</v>
      </c>
    </row>
    <row r="33" spans="1:6" s="16" customFormat="1" x14ac:dyDescent="0.2">
      <c r="A33" s="15" t="s">
        <v>81</v>
      </c>
      <c r="B33" s="16">
        <v>1.9113</v>
      </c>
      <c r="C33" s="19">
        <f t="shared" ref="C33:C38" si="3">LN(B33/$B$2)/(1-B33/$B$2)</f>
        <v>-1.0070820596564962</v>
      </c>
      <c r="D33" s="16">
        <f t="shared" ref="D33:D38" si="4">-0.5777*C33+1.1326</f>
        <v>1.714391305863558</v>
      </c>
      <c r="E33" s="20">
        <f t="shared" ref="E33:E38" si="5">5*10^(D33)</f>
        <v>259.03670683111415</v>
      </c>
      <c r="F33" s="20"/>
    </row>
    <row r="34" spans="1:6" s="16" customFormat="1" x14ac:dyDescent="0.2">
      <c r="A34" s="15" t="s">
        <v>47</v>
      </c>
      <c r="B34" s="16">
        <v>1.7323999999999999</v>
      </c>
      <c r="C34" s="19">
        <f t="shared" si="3"/>
        <v>-1.0572560919608827</v>
      </c>
      <c r="D34" s="16">
        <f t="shared" si="4"/>
        <v>1.743376844325802</v>
      </c>
      <c r="E34" s="20">
        <f t="shared" si="5"/>
        <v>276.91523420346653</v>
      </c>
      <c r="F34" s="20"/>
    </row>
    <row r="35" spans="1:6" s="16" customFormat="1" x14ac:dyDescent="0.2">
      <c r="A35" s="15" t="s">
        <v>48</v>
      </c>
      <c r="B35" s="16">
        <v>1.8218000000000001</v>
      </c>
      <c r="C35" s="19">
        <f t="shared" si="3"/>
        <v>-1.0313659651270937</v>
      </c>
      <c r="D35" s="16">
        <f t="shared" si="4"/>
        <v>1.728420118053922</v>
      </c>
      <c r="E35" s="20">
        <f t="shared" si="5"/>
        <v>267.54086223696112</v>
      </c>
      <c r="F35" s="20"/>
    </row>
    <row r="36" spans="1:6" s="16" customFormat="1" x14ac:dyDescent="0.2">
      <c r="A36" s="15" t="s">
        <v>49</v>
      </c>
      <c r="B36" s="16">
        <v>1.909</v>
      </c>
      <c r="C36" s="19">
        <f t="shared" si="3"/>
        <v>-1.00768706329764</v>
      </c>
      <c r="D36" s="16">
        <f t="shared" si="4"/>
        <v>1.7147408164670468</v>
      </c>
      <c r="E36" s="20">
        <f t="shared" si="5"/>
        <v>259.24525775680149</v>
      </c>
      <c r="F36" s="20"/>
    </row>
    <row r="37" spans="1:6" s="16" customFormat="1" x14ac:dyDescent="0.2">
      <c r="A37" s="15" t="s">
        <v>50</v>
      </c>
      <c r="B37" s="16">
        <v>1.7470000000000001</v>
      </c>
      <c r="C37" s="19">
        <f t="shared" si="3"/>
        <v>-1.0529086447246656</v>
      </c>
      <c r="D37" s="16">
        <f t="shared" si="4"/>
        <v>1.7408653240574394</v>
      </c>
      <c r="E37" s="20">
        <f t="shared" si="5"/>
        <v>275.31845793392756</v>
      </c>
      <c r="F37" s="20"/>
    </row>
    <row r="38" spans="1:6" s="16" customFormat="1" x14ac:dyDescent="0.2">
      <c r="A38" s="15" t="s">
        <v>51</v>
      </c>
      <c r="B38" s="16">
        <v>1.7524</v>
      </c>
      <c r="C38" s="19">
        <f t="shared" si="3"/>
        <v>-1.0513128316520663</v>
      </c>
      <c r="D38" s="16">
        <f t="shared" si="4"/>
        <v>1.7399434228453989</v>
      </c>
      <c r="E38" s="20">
        <f t="shared" si="5"/>
        <v>274.73464389532558</v>
      </c>
      <c r="F38" s="20"/>
    </row>
    <row r="39" spans="1:6" x14ac:dyDescent="0.2">
      <c r="A39" s="6" t="s">
        <v>52</v>
      </c>
      <c r="B39">
        <v>1.9024000000000001</v>
      </c>
      <c r="C39" s="11">
        <f>LN(B39/$B$2)/(1-B39/$B$2)</f>
        <v>-1.0094285632050741</v>
      </c>
      <c r="D39">
        <f>-0.5777*C39+1.1326</f>
        <v>1.7157468809635714</v>
      </c>
      <c r="E39" s="3">
        <f>5*10^(D39)</f>
        <v>259.84650827281826</v>
      </c>
      <c r="F39" s="3"/>
    </row>
    <row r="40" spans="1:6" s="16" customFormat="1" x14ac:dyDescent="0.2">
      <c r="A40" s="14" t="s">
        <v>53</v>
      </c>
      <c r="B40" s="16">
        <v>1.9157</v>
      </c>
      <c r="C40" s="19">
        <f t="shared" ref="C40:C50" si="6">LN(B40/$B$2)/(1-B40/$B$2)</f>
        <v>-1.0059273586360233</v>
      </c>
      <c r="D40" s="16">
        <f t="shared" ref="D40:D50" si="7">-0.5777*C40+1.1326</f>
        <v>1.7137242350840307</v>
      </c>
      <c r="E40" s="20">
        <f t="shared" ref="E40:E50" si="8">5*10^(D40)</f>
        <v>258.63913516723051</v>
      </c>
      <c r="F40" s="20"/>
    </row>
    <row r="41" spans="1:6" x14ac:dyDescent="0.2">
      <c r="A41" s="17" t="s">
        <v>54</v>
      </c>
      <c r="B41" s="18">
        <v>1.9186000000000001</v>
      </c>
      <c r="C41" s="21">
        <f t="shared" si="6"/>
        <v>-1.0051682353544886</v>
      </c>
      <c r="D41" s="18">
        <f t="shared" si="7"/>
        <v>1.7132856895642883</v>
      </c>
      <c r="E41" s="22">
        <f t="shared" si="8"/>
        <v>258.37809619410893</v>
      </c>
      <c r="F41" s="22"/>
    </row>
    <row r="42" spans="1:6" x14ac:dyDescent="0.2">
      <c r="A42" s="6" t="s">
        <v>55</v>
      </c>
      <c r="B42" s="6">
        <v>1.8201000000000001</v>
      </c>
      <c r="C42" s="6">
        <f>LN(B42/$B$2)/(1-B42/$B$2)</f>
        <v>-1.0318424867341611</v>
      </c>
      <c r="D42" s="6">
        <f>-0.5777*C42+1.1326</f>
        <v>1.728695404586325</v>
      </c>
      <c r="E42" s="26">
        <f>5*10^(D42)</f>
        <v>267.71050230068948</v>
      </c>
      <c r="F42" s="26"/>
    </row>
    <row r="43" spans="1:6" x14ac:dyDescent="0.2">
      <c r="A43" s="17" t="s">
        <v>56</v>
      </c>
      <c r="B43" s="17">
        <v>1.7922</v>
      </c>
      <c r="C43" s="17">
        <f>LN(B43/$B$2)/(1-B43/$B$2)</f>
        <v>-1.0397483644435148</v>
      </c>
      <c r="D43" s="17">
        <f>-0.5777*C43+1.1326</f>
        <v>1.7332626301390186</v>
      </c>
      <c r="E43" s="27">
        <f>5*10^(D43)</f>
        <v>270.54071562653934</v>
      </c>
      <c r="F43" s="27"/>
    </row>
    <row r="44" spans="1:6" x14ac:dyDescent="0.2">
      <c r="A44" s="6" t="s">
        <v>57</v>
      </c>
      <c r="B44" s="6">
        <v>1.7968999999999999</v>
      </c>
      <c r="C44" s="6">
        <f>LN(B44/$B$2)/(1-B44/$B$2)</f>
        <v>-1.0384051685463924</v>
      </c>
      <c r="D44" s="6">
        <f>-0.5777*C44+1.1326</f>
        <v>1.732486665869251</v>
      </c>
      <c r="E44" s="26">
        <f>5*10^(D44)</f>
        <v>270.05776567936374</v>
      </c>
      <c r="F44" s="26"/>
    </row>
    <row r="45" spans="1:6" x14ac:dyDescent="0.2">
      <c r="A45" s="5" t="s">
        <v>64</v>
      </c>
      <c r="B45">
        <v>1.7698</v>
      </c>
      <c r="C45" s="11">
        <f t="shared" si="6"/>
        <v>-1.0462146812115434</v>
      </c>
      <c r="D45">
        <f t="shared" si="7"/>
        <v>1.7369982213359085</v>
      </c>
      <c r="E45" s="3">
        <f t="shared" si="8"/>
        <v>272.87781296532683</v>
      </c>
      <c r="F45" s="3"/>
    </row>
    <row r="46" spans="1:6" x14ac:dyDescent="0.2">
      <c r="A46" s="33" t="s">
        <v>65</v>
      </c>
      <c r="B46" s="18">
        <v>1.8472</v>
      </c>
      <c r="C46" s="21">
        <f t="shared" si="6"/>
        <v>-1.0243156949457666</v>
      </c>
      <c r="D46" s="18">
        <f t="shared" si="7"/>
        <v>1.7243471769701695</v>
      </c>
      <c r="E46" s="22">
        <f t="shared" si="8"/>
        <v>265.04351426295909</v>
      </c>
      <c r="F46" s="3"/>
    </row>
    <row r="47" spans="1:6" s="18" customFormat="1" x14ac:dyDescent="0.2">
      <c r="A47" s="33" t="s">
        <v>66</v>
      </c>
      <c r="B47" s="18">
        <v>1.8371</v>
      </c>
      <c r="C47" s="21">
        <f t="shared" si="6"/>
        <v>-1.0271036492034036</v>
      </c>
      <c r="D47" s="18">
        <f t="shared" si="7"/>
        <v>1.7259577781448063</v>
      </c>
      <c r="E47" s="22">
        <f t="shared" si="8"/>
        <v>266.02826526400401</v>
      </c>
      <c r="F47" s="22"/>
    </row>
    <row r="48" spans="1:6" x14ac:dyDescent="0.2">
      <c r="A48" s="33" t="s">
        <v>67</v>
      </c>
      <c r="B48" s="17">
        <v>1.6271</v>
      </c>
      <c r="C48" s="17">
        <f t="shared" si="6"/>
        <v>-1.0901117334939943</v>
      </c>
      <c r="D48" s="17">
        <f t="shared" si="7"/>
        <v>1.7623575484394807</v>
      </c>
      <c r="E48" s="27">
        <f t="shared" si="8"/>
        <v>289.28609079451445</v>
      </c>
      <c r="F48" s="26"/>
    </row>
    <row r="49" spans="1:6" x14ac:dyDescent="0.2">
      <c r="A49" s="5" t="s">
        <v>68</v>
      </c>
      <c r="B49" s="6">
        <v>1.7221</v>
      </c>
      <c r="C49" s="6">
        <f t="shared" si="6"/>
        <v>-1.0603523497668765</v>
      </c>
      <c r="D49" s="6">
        <f t="shared" si="7"/>
        <v>1.7451655524603247</v>
      </c>
      <c r="E49" s="26">
        <f t="shared" si="8"/>
        <v>278.05810380259032</v>
      </c>
      <c r="F49" s="26"/>
    </row>
    <row r="50" spans="1:6" x14ac:dyDescent="0.2">
      <c r="A50" s="5" t="s">
        <v>69</v>
      </c>
      <c r="B50" s="6">
        <v>1.8359000000000001</v>
      </c>
      <c r="C50" s="6">
        <f t="shared" si="6"/>
        <v>-1.0274362435720379</v>
      </c>
      <c r="D50" s="6">
        <f t="shared" si="7"/>
        <v>1.7261499179115662</v>
      </c>
      <c r="E50" s="26">
        <f t="shared" si="8"/>
        <v>266.14598703955744</v>
      </c>
      <c r="F5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8938-1875-BC4D-8CD8-DFD8D66D4B3D}">
  <dimension ref="A1:I31"/>
  <sheetViews>
    <sheetView workbookViewId="0">
      <selection activeCell="F7" sqref="F7"/>
    </sheetView>
  </sheetViews>
  <sheetFormatPr baseColWidth="10" defaultRowHeight="16" x14ac:dyDescent="0.2"/>
  <cols>
    <col min="1" max="1" width="9.33203125" customWidth="1"/>
    <col min="8" max="8" width="8.6640625" customWidth="1"/>
  </cols>
  <sheetData>
    <row r="1" spans="1:9" x14ac:dyDescent="0.2">
      <c r="A1" s="1" t="s">
        <v>30</v>
      </c>
      <c r="B1" s="1" t="s">
        <v>46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32</v>
      </c>
      <c r="H1" s="1" t="s">
        <v>33</v>
      </c>
      <c r="I1" s="1" t="s">
        <v>41</v>
      </c>
    </row>
    <row r="2" spans="1:9" x14ac:dyDescent="0.2">
      <c r="A2" t="s">
        <v>76</v>
      </c>
      <c r="B2">
        <v>1.7789999999999999</v>
      </c>
      <c r="C2">
        <f>-LN(B2/1.9385)/(1-B2/1.9385)</f>
        <v>1.0435458314697224</v>
      </c>
      <c r="D2">
        <f>0.5777*C2+1.1326</f>
        <v>1.7354564268400585</v>
      </c>
      <c r="E2">
        <f>5*10^D2</f>
        <v>271.91078343564891</v>
      </c>
      <c r="F2" s="8">
        <f>AVERAGE(E2:E4)</f>
        <v>276.12635163385056</v>
      </c>
      <c r="G2" t="s">
        <v>36</v>
      </c>
      <c r="H2" t="s">
        <v>34</v>
      </c>
    </row>
    <row r="3" spans="1:9" x14ac:dyDescent="0.2">
      <c r="A3" t="s">
        <v>47</v>
      </c>
      <c r="B3">
        <v>1.6086</v>
      </c>
      <c r="C3">
        <f t="shared" ref="C3:C31" si="0">-LN(B3/1.9385)/(1-B3/1.9385)</f>
        <v>1.09617352336953</v>
      </c>
      <c r="D3">
        <f t="shared" ref="D3:D31" si="1">0.5777*C3+1.1326</f>
        <v>1.7658594444505775</v>
      </c>
      <c r="E3">
        <f t="shared" ref="E3:E31" si="2">5*10^D3</f>
        <v>291.62815400184166</v>
      </c>
      <c r="F3" s="8"/>
      <c r="G3" t="s">
        <v>36</v>
      </c>
      <c r="H3" t="s">
        <v>34</v>
      </c>
    </row>
    <row r="4" spans="1:9" x14ac:dyDescent="0.2">
      <c r="A4" t="s">
        <v>48</v>
      </c>
      <c r="B4">
        <v>1.8492999999999999</v>
      </c>
      <c r="C4">
        <f t="shared" si="0"/>
        <v>1.0237385623942428</v>
      </c>
      <c r="D4">
        <f t="shared" si="1"/>
        <v>1.7240137674951541</v>
      </c>
      <c r="E4">
        <f t="shared" si="2"/>
        <v>264.84011746406094</v>
      </c>
      <c r="F4" s="8"/>
      <c r="G4" t="s">
        <v>36</v>
      </c>
      <c r="H4" t="s">
        <v>34</v>
      </c>
    </row>
    <row r="5" spans="1:9" s="4" customFormat="1" x14ac:dyDescent="0.2">
      <c r="A5" s="4" t="s">
        <v>49</v>
      </c>
      <c r="B5" s="4">
        <v>7.5999999999999998E-2</v>
      </c>
      <c r="C5" s="4">
        <f t="shared" si="0"/>
        <v>3.3711024128937392</v>
      </c>
      <c r="D5" s="4">
        <f t="shared" si="1"/>
        <v>3.080085863928713</v>
      </c>
      <c r="E5" s="4">
        <f>5*10^D5</f>
        <v>6012.5107830918714</v>
      </c>
      <c r="F5" s="8"/>
      <c r="G5" s="4" t="s">
        <v>36</v>
      </c>
      <c r="H5" s="4" t="s">
        <v>35</v>
      </c>
    </row>
    <row r="6" spans="1:9" x14ac:dyDescent="0.2">
      <c r="A6" t="s">
        <v>50</v>
      </c>
      <c r="B6">
        <v>1.7230000000000001</v>
      </c>
      <c r="C6">
        <f>-LN(B6/1.9385)/(1-B6/1.9385)</f>
        <v>1.0600808290034829</v>
      </c>
      <c r="D6">
        <f t="shared" si="1"/>
        <v>1.7450086949153121</v>
      </c>
      <c r="E6">
        <f t="shared" si="2"/>
        <v>277.9576935099883</v>
      </c>
      <c r="F6" s="9">
        <f>AVERAGE(E6:E7)</f>
        <v>347.06203128771017</v>
      </c>
      <c r="G6" t="s">
        <v>36</v>
      </c>
      <c r="H6" t="s">
        <v>35</v>
      </c>
    </row>
    <row r="7" spans="1:9" x14ac:dyDescent="0.2">
      <c r="A7" t="s">
        <v>51</v>
      </c>
      <c r="B7">
        <v>1.0061</v>
      </c>
      <c r="C7">
        <f t="shared" si="0"/>
        <v>1.3635052398599949</v>
      </c>
      <c r="D7">
        <f t="shared" si="1"/>
        <v>1.9202969770671192</v>
      </c>
      <c r="E7">
        <f t="shared" si="2"/>
        <v>416.16636906543204</v>
      </c>
      <c r="F7" s="8"/>
      <c r="G7" t="s">
        <v>36</v>
      </c>
      <c r="H7" t="s">
        <v>35</v>
      </c>
    </row>
    <row r="8" spans="1:9" s="18" customFormat="1" x14ac:dyDescent="0.2">
      <c r="A8" s="17" t="s">
        <v>52</v>
      </c>
      <c r="B8" s="17">
        <v>1.8511</v>
      </c>
      <c r="C8" s="17">
        <f t="shared" si="0"/>
        <v>1.0232445696824952</v>
      </c>
      <c r="D8" s="17">
        <f t="shared" si="1"/>
        <v>1.7237283879055776</v>
      </c>
      <c r="E8" s="17">
        <f t="shared" si="2"/>
        <v>264.66614533131008</v>
      </c>
      <c r="F8" s="9">
        <f>AVERAGE(E8:E10)</f>
        <v>282.07327457663092</v>
      </c>
      <c r="G8" s="17" t="s">
        <v>37</v>
      </c>
      <c r="H8" s="17" t="s">
        <v>34</v>
      </c>
    </row>
    <row r="9" spans="1:9" x14ac:dyDescent="0.2">
      <c r="A9" s="6" t="s">
        <v>53</v>
      </c>
      <c r="B9" s="6">
        <v>1.6384000000000001</v>
      </c>
      <c r="C9" s="6">
        <f t="shared" si="0"/>
        <v>1.0864534945426323</v>
      </c>
      <c r="D9" s="6">
        <f t="shared" si="1"/>
        <v>1.7602441837972789</v>
      </c>
      <c r="E9" s="6">
        <f t="shared" si="2"/>
        <v>287.88178585057466</v>
      </c>
      <c r="F9" s="8"/>
      <c r="G9" s="6" t="s">
        <v>37</v>
      </c>
      <c r="H9" s="6" t="s">
        <v>34</v>
      </c>
    </row>
    <row r="10" spans="1:9" x14ac:dyDescent="0.2">
      <c r="A10" s="6" t="s">
        <v>54</v>
      </c>
      <c r="B10" s="6">
        <v>1.5928</v>
      </c>
      <c r="C10" s="6">
        <f t="shared" si="0"/>
        <v>1.1014235376158323</v>
      </c>
      <c r="D10" s="6">
        <f t="shared" si="1"/>
        <v>1.7688923776806664</v>
      </c>
      <c r="E10" s="6">
        <f t="shared" si="2"/>
        <v>293.67189254800815</v>
      </c>
      <c r="F10" s="8"/>
      <c r="G10" s="6" t="s">
        <v>37</v>
      </c>
      <c r="H10" s="6" t="s">
        <v>34</v>
      </c>
    </row>
    <row r="11" spans="1:9" x14ac:dyDescent="0.2">
      <c r="A11" s="6" t="s">
        <v>55</v>
      </c>
      <c r="B11" s="6">
        <v>1.7986</v>
      </c>
      <c r="C11" s="6">
        <f t="shared" si="0"/>
        <v>1.0379204775043422</v>
      </c>
      <c r="D11" s="6">
        <f t="shared" si="1"/>
        <v>1.7322066598542585</v>
      </c>
      <c r="E11" s="6">
        <f t="shared" si="2"/>
        <v>269.88370538076066</v>
      </c>
      <c r="F11" s="8">
        <f>AVERAGE(E11:E13)</f>
        <v>276.72238993642895</v>
      </c>
      <c r="G11" s="6" t="s">
        <v>37</v>
      </c>
      <c r="H11" s="6" t="s">
        <v>35</v>
      </c>
    </row>
    <row r="12" spans="1:9" s="18" customFormat="1" x14ac:dyDescent="0.2">
      <c r="A12" s="17" t="s">
        <v>56</v>
      </c>
      <c r="B12" s="17">
        <v>1.6673</v>
      </c>
      <c r="C12" s="17">
        <f t="shared" si="0"/>
        <v>1.0772465121926629</v>
      </c>
      <c r="D12" s="17">
        <f t="shared" si="1"/>
        <v>1.7549253100937015</v>
      </c>
      <c r="E12" s="17">
        <f t="shared" si="2"/>
        <v>284.37755400285079</v>
      </c>
      <c r="F12" s="9"/>
      <c r="G12" s="17" t="s">
        <v>37</v>
      </c>
      <c r="H12" s="17" t="s">
        <v>35</v>
      </c>
    </row>
    <row r="13" spans="1:9" s="16" customFormat="1" x14ac:dyDescent="0.2">
      <c r="A13" s="14" t="s">
        <v>57</v>
      </c>
      <c r="B13" s="14">
        <v>1.7416</v>
      </c>
      <c r="C13" s="14">
        <f t="shared" si="0"/>
        <v>1.0545109912598654</v>
      </c>
      <c r="D13" s="14">
        <f t="shared" si="1"/>
        <v>1.7417909996508243</v>
      </c>
      <c r="E13" s="14">
        <f t="shared" si="2"/>
        <v>275.90591042567536</v>
      </c>
      <c r="F13" s="15"/>
      <c r="G13" s="14" t="s">
        <v>37</v>
      </c>
      <c r="H13" s="14" t="s">
        <v>35</v>
      </c>
    </row>
    <row r="14" spans="1:9" x14ac:dyDescent="0.2">
      <c r="A14" t="s">
        <v>58</v>
      </c>
      <c r="B14">
        <v>1.6778999999999999</v>
      </c>
      <c r="C14">
        <f t="shared" si="0"/>
        <v>1.0739220569217989</v>
      </c>
      <c r="D14">
        <f t="shared" si="1"/>
        <v>1.7530047722837232</v>
      </c>
      <c r="E14">
        <f t="shared" si="2"/>
        <v>283.12275562173352</v>
      </c>
      <c r="F14" s="8">
        <f>AVERAGE(E14:E16)</f>
        <v>288.68136252396943</v>
      </c>
      <c r="G14" t="s">
        <v>38</v>
      </c>
      <c r="H14" t="s">
        <v>34</v>
      </c>
    </row>
    <row r="15" spans="1:9" x14ac:dyDescent="0.2">
      <c r="A15" t="s">
        <v>59</v>
      </c>
      <c r="B15">
        <v>1.6964999999999999</v>
      </c>
      <c r="C15">
        <f t="shared" si="0"/>
        <v>1.068154936532504</v>
      </c>
      <c r="D15">
        <f t="shared" si="1"/>
        <v>1.7496731068348277</v>
      </c>
      <c r="E15">
        <f t="shared" si="2"/>
        <v>280.95910525559094</v>
      </c>
      <c r="F15" s="8"/>
      <c r="G15" t="s">
        <v>38</v>
      </c>
      <c r="H15" t="s">
        <v>34</v>
      </c>
    </row>
    <row r="16" spans="1:9" x14ac:dyDescent="0.2">
      <c r="A16" t="s">
        <v>60</v>
      </c>
      <c r="B16">
        <v>1.5318000000000001</v>
      </c>
      <c r="C16">
        <f t="shared" si="0"/>
        <v>1.1223517654472552</v>
      </c>
      <c r="D16">
        <f t="shared" si="1"/>
        <v>1.7809826148988794</v>
      </c>
      <c r="E16">
        <f t="shared" si="2"/>
        <v>301.96222669458371</v>
      </c>
      <c r="F16" s="8"/>
      <c r="G16" t="s">
        <v>38</v>
      </c>
      <c r="H16" t="s">
        <v>34</v>
      </c>
    </row>
    <row r="17" spans="1:8" x14ac:dyDescent="0.2">
      <c r="A17" t="s">
        <v>61</v>
      </c>
      <c r="B17">
        <v>1.6677999999999999</v>
      </c>
      <c r="C17">
        <f t="shared" si="0"/>
        <v>1.0770890733672869</v>
      </c>
      <c r="D17">
        <f t="shared" si="1"/>
        <v>1.7548343576842815</v>
      </c>
      <c r="E17">
        <f t="shared" si="2"/>
        <v>284.3180042811544</v>
      </c>
      <c r="F17" s="8">
        <f>AVERAGE(E17:E19)</f>
        <v>281.44677612228821</v>
      </c>
      <c r="G17" t="s">
        <v>38</v>
      </c>
      <c r="H17" t="s">
        <v>35</v>
      </c>
    </row>
    <row r="18" spans="1:8" x14ac:dyDescent="0.2">
      <c r="A18" t="s">
        <v>62</v>
      </c>
      <c r="B18">
        <v>1.694</v>
      </c>
      <c r="C18">
        <f t="shared" si="0"/>
        <v>1.068925227244093</v>
      </c>
      <c r="D18">
        <f t="shared" si="1"/>
        <v>1.7501181037789126</v>
      </c>
      <c r="E18">
        <f t="shared" si="2"/>
        <v>281.2471356677799</v>
      </c>
      <c r="F18" s="8"/>
      <c r="G18" t="s">
        <v>38</v>
      </c>
      <c r="H18" t="s">
        <v>35</v>
      </c>
    </row>
    <row r="19" spans="1:8" x14ac:dyDescent="0.2">
      <c r="A19" t="s">
        <v>63</v>
      </c>
      <c r="B19">
        <v>1.7157</v>
      </c>
      <c r="C19">
        <f t="shared" si="0"/>
        <v>1.0622885817577585</v>
      </c>
      <c r="D19">
        <f t="shared" si="1"/>
        <v>1.7462841136814573</v>
      </c>
      <c r="E19">
        <f t="shared" si="2"/>
        <v>278.77518841793028</v>
      </c>
      <c r="F19" s="8"/>
      <c r="G19" t="s">
        <v>38</v>
      </c>
      <c r="H19" t="s">
        <v>35</v>
      </c>
    </row>
    <row r="20" spans="1:8" x14ac:dyDescent="0.2">
      <c r="A20" s="5" t="s">
        <v>64</v>
      </c>
      <c r="B20" s="5">
        <v>1.8104</v>
      </c>
      <c r="C20" s="5">
        <f t="shared" si="0"/>
        <v>1.0345728011055857</v>
      </c>
      <c r="D20" s="5">
        <f t="shared" si="1"/>
        <v>1.7302727071986967</v>
      </c>
      <c r="E20" s="5">
        <f t="shared" si="2"/>
        <v>268.6845607327536</v>
      </c>
      <c r="F20" s="8">
        <f>AVERAGE(E20:E22)</f>
        <v>271.18357263929562</v>
      </c>
      <c r="G20" s="5" t="s">
        <v>39</v>
      </c>
      <c r="H20" s="5" t="s">
        <v>34</v>
      </c>
    </row>
    <row r="21" spans="1:8" s="18" customFormat="1" x14ac:dyDescent="0.2">
      <c r="A21" s="33" t="s">
        <v>65</v>
      </c>
      <c r="B21" s="33">
        <v>1.8412999999999999</v>
      </c>
      <c r="C21" s="33">
        <f t="shared" si="0"/>
        <v>1.0259418361110448</v>
      </c>
      <c r="D21" s="33">
        <f t="shared" si="1"/>
        <v>1.7252865987213506</v>
      </c>
      <c r="E21" s="33">
        <f t="shared" si="2"/>
        <v>265.61745001247584</v>
      </c>
      <c r="F21" s="9"/>
      <c r="G21" s="33" t="s">
        <v>39</v>
      </c>
      <c r="H21" s="33" t="s">
        <v>34</v>
      </c>
    </row>
    <row r="22" spans="1:8" x14ac:dyDescent="0.2">
      <c r="A22" s="5" t="s">
        <v>66</v>
      </c>
      <c r="B22" s="5">
        <v>1.7115</v>
      </c>
      <c r="C22" s="5">
        <f t="shared" si="0"/>
        <v>1.0635644223979377</v>
      </c>
      <c r="D22" s="5">
        <f t="shared" si="1"/>
        <v>1.7470211668192888</v>
      </c>
      <c r="E22" s="5">
        <f t="shared" si="2"/>
        <v>279.24870717265742</v>
      </c>
      <c r="F22" s="8"/>
      <c r="G22" s="5" t="s">
        <v>39</v>
      </c>
      <c r="H22" s="5" t="s">
        <v>34</v>
      </c>
    </row>
    <row r="23" spans="1:8" x14ac:dyDescent="0.2">
      <c r="A23" s="5" t="s">
        <v>67</v>
      </c>
      <c r="B23" s="5">
        <v>1.6978</v>
      </c>
      <c r="C23" s="5">
        <f t="shared" si="0"/>
        <v>1.0677549766165149</v>
      </c>
      <c r="D23" s="5">
        <f t="shared" si="1"/>
        <v>1.7494420499913605</v>
      </c>
      <c r="E23" s="7">
        <f t="shared" si="2"/>
        <v>280.80966688877197</v>
      </c>
      <c r="F23" s="9">
        <f>AVERAGE(E23:E25)</f>
        <v>285.81138664985997</v>
      </c>
      <c r="G23" s="5" t="s">
        <v>39</v>
      </c>
      <c r="H23" s="5" t="s">
        <v>35</v>
      </c>
    </row>
    <row r="24" spans="1:8" s="18" customFormat="1" x14ac:dyDescent="0.2">
      <c r="A24" s="33" t="s">
        <v>68</v>
      </c>
      <c r="B24" s="33">
        <v>1.6121000000000001</v>
      </c>
      <c r="C24" s="33">
        <f t="shared" si="0"/>
        <v>1.0950196972502346</v>
      </c>
      <c r="D24" s="33">
        <f t="shared" si="1"/>
        <v>1.7651928791014606</v>
      </c>
      <c r="E24" s="33">
        <f t="shared" si="2"/>
        <v>291.18089959244463</v>
      </c>
      <c r="F24" s="9"/>
      <c r="G24" s="33" t="s">
        <v>39</v>
      </c>
      <c r="H24" s="33" t="s">
        <v>35</v>
      </c>
    </row>
    <row r="25" spans="1:8" s="18" customFormat="1" x14ac:dyDescent="0.2">
      <c r="A25" s="33" t="s">
        <v>69</v>
      </c>
      <c r="B25" s="33">
        <v>1.6584000000000001</v>
      </c>
      <c r="C25" s="33">
        <f t="shared" si="0"/>
        <v>1.0800593660316993</v>
      </c>
      <c r="D25" s="33">
        <f t="shared" si="1"/>
        <v>1.7565502957565127</v>
      </c>
      <c r="E25" s="33">
        <f t="shared" si="2"/>
        <v>285.44359346836342</v>
      </c>
      <c r="F25" s="9"/>
      <c r="G25" s="33" t="s">
        <v>39</v>
      </c>
      <c r="H25" s="33" t="s">
        <v>35</v>
      </c>
    </row>
    <row r="26" spans="1:8" x14ac:dyDescent="0.2">
      <c r="A26" t="s">
        <v>70</v>
      </c>
      <c r="B26">
        <v>1.5541</v>
      </c>
      <c r="C26">
        <f t="shared" si="0"/>
        <v>1.1145763706300362</v>
      </c>
      <c r="D26">
        <f t="shared" si="1"/>
        <v>1.7764907693129719</v>
      </c>
      <c r="E26">
        <f t="shared" si="2"/>
        <v>298.85517027685796</v>
      </c>
      <c r="F26" s="8">
        <f>AVERAGE(E26:E28)</f>
        <v>291.77828903035061</v>
      </c>
      <c r="G26" t="s">
        <v>40</v>
      </c>
      <c r="H26" t="s">
        <v>34</v>
      </c>
    </row>
    <row r="27" spans="1:8" x14ac:dyDescent="0.2">
      <c r="A27" t="s">
        <v>71</v>
      </c>
      <c r="B27">
        <v>1.5862000000000001</v>
      </c>
      <c r="C27">
        <f t="shared" si="0"/>
        <v>1.1036368534392014</v>
      </c>
      <c r="D27">
        <f t="shared" si="1"/>
        <v>1.7701710102318267</v>
      </c>
      <c r="E27">
        <f t="shared" si="2"/>
        <v>294.5377836967786</v>
      </c>
      <c r="F27" s="8"/>
      <c r="G27" t="s">
        <v>40</v>
      </c>
      <c r="H27" t="s">
        <v>34</v>
      </c>
    </row>
    <row r="28" spans="1:8" x14ac:dyDescent="0.2">
      <c r="A28" t="s">
        <v>72</v>
      </c>
      <c r="B28">
        <v>1.6879999999999999</v>
      </c>
      <c r="C28">
        <f t="shared" si="0"/>
        <v>1.0707800553689633</v>
      </c>
      <c r="D28">
        <f t="shared" si="1"/>
        <v>1.7511896379866501</v>
      </c>
      <c r="E28">
        <f t="shared" si="2"/>
        <v>281.9419131174152</v>
      </c>
      <c r="F28" s="8"/>
      <c r="G28" t="s">
        <v>40</v>
      </c>
      <c r="H28" t="s">
        <v>34</v>
      </c>
    </row>
    <row r="29" spans="1:8" x14ac:dyDescent="0.2">
      <c r="A29" t="s">
        <v>73</v>
      </c>
      <c r="B29">
        <v>1.6198999999999999</v>
      </c>
      <c r="C29">
        <f t="shared" si="0"/>
        <v>1.0924601058691534</v>
      </c>
      <c r="D29">
        <f t="shared" si="1"/>
        <v>1.7637142031606099</v>
      </c>
      <c r="E29">
        <f t="shared" si="2"/>
        <v>290.19117935516806</v>
      </c>
      <c r="F29" s="8">
        <f>AVERAGE(E29:E30)</f>
        <v>282.44674756499808</v>
      </c>
      <c r="G29" t="s">
        <v>40</v>
      </c>
      <c r="H29" t="s">
        <v>35</v>
      </c>
    </row>
    <row r="30" spans="1:8" x14ac:dyDescent="0.2">
      <c r="A30" t="s">
        <v>74</v>
      </c>
      <c r="B30">
        <v>1.7526999999999999</v>
      </c>
      <c r="C30">
        <f t="shared" si="0"/>
        <v>1.0512243660320129</v>
      </c>
      <c r="D30">
        <f t="shared" si="1"/>
        <v>1.7398923162566939</v>
      </c>
      <c r="E30">
        <f t="shared" si="2"/>
        <v>274.70231577482804</v>
      </c>
      <c r="F30" s="8"/>
      <c r="G30" t="s">
        <v>40</v>
      </c>
      <c r="H30" t="s">
        <v>35</v>
      </c>
    </row>
    <row r="31" spans="1:8" s="4" customFormat="1" x14ac:dyDescent="0.2">
      <c r="A31" s="4" t="s">
        <v>75</v>
      </c>
      <c r="B31" s="4">
        <v>5.7099999999999998E-2</v>
      </c>
      <c r="C31" s="4">
        <f t="shared" si="0"/>
        <v>3.6318443946053067</v>
      </c>
      <c r="D31" s="4">
        <f t="shared" si="1"/>
        <v>3.2307165067634855</v>
      </c>
      <c r="E31" s="4">
        <f t="shared" si="2"/>
        <v>8505.2387877549663</v>
      </c>
      <c r="F31" s="8"/>
      <c r="G31" s="4" t="s">
        <v>40</v>
      </c>
      <c r="H31" s="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484E-1E28-0745-9567-CAE277AA3B23}">
  <dimension ref="A1:I31"/>
  <sheetViews>
    <sheetView topLeftCell="A5" zoomScale="101" workbookViewId="0">
      <selection activeCell="C29" sqref="C29"/>
    </sheetView>
  </sheetViews>
  <sheetFormatPr baseColWidth="10" defaultRowHeight="16" x14ac:dyDescent="0.2"/>
  <cols>
    <col min="1" max="1" width="8.83203125" customWidth="1"/>
    <col min="2" max="2" width="8.1640625" customWidth="1"/>
    <col min="3" max="3" width="13.5" customWidth="1"/>
    <col min="4" max="5" width="14.6640625" customWidth="1"/>
    <col min="6" max="6" width="13.6640625" customWidth="1"/>
    <col min="8" max="8" width="15.83203125" customWidth="1"/>
  </cols>
  <sheetData>
    <row r="1" spans="1:9" x14ac:dyDescent="0.2">
      <c r="A1" s="1" t="s">
        <v>30</v>
      </c>
      <c r="B1" s="1" t="s">
        <v>31</v>
      </c>
      <c r="C1" s="1" t="s">
        <v>43</v>
      </c>
      <c r="D1" s="1" t="s">
        <v>44</v>
      </c>
      <c r="E1" s="1" t="s">
        <v>45</v>
      </c>
      <c r="F1" s="1" t="s">
        <v>32</v>
      </c>
      <c r="G1" s="1" t="s">
        <v>33</v>
      </c>
      <c r="H1" s="1" t="s">
        <v>42</v>
      </c>
      <c r="I1" s="1" t="s">
        <v>41</v>
      </c>
    </row>
    <row r="2" spans="1:9" x14ac:dyDescent="0.2">
      <c r="A2" t="s">
        <v>0</v>
      </c>
      <c r="B2" s="2">
        <v>7.5999999999999998E-2</v>
      </c>
      <c r="C2" s="3">
        <f>-3.6177*B2+6.1798</f>
        <v>5.9048547999999998</v>
      </c>
      <c r="D2" s="3">
        <f>2.0658*C2^(-0.592)</f>
        <v>0.72199204616711199</v>
      </c>
      <c r="E2" s="3">
        <f>-2.869*LOG(B2)+2.1373</f>
        <v>5.3482458037464102</v>
      </c>
      <c r="F2" t="s">
        <v>36</v>
      </c>
      <c r="G2" t="s">
        <v>34</v>
      </c>
      <c r="H2">
        <v>0.1273</v>
      </c>
    </row>
    <row r="3" spans="1:9" x14ac:dyDescent="0.2">
      <c r="A3" t="s">
        <v>1</v>
      </c>
      <c r="B3" s="2">
        <v>6.5199999999999994E-2</v>
      </c>
      <c r="C3" s="3">
        <f t="shared" ref="C3:C31" si="0">-3.6177*B3+6.1798</f>
        <v>5.9439259600000005</v>
      </c>
      <c r="D3" s="3">
        <f t="shared" ref="D3:D31" si="1">2.0658*C3^(-0.592)</f>
        <v>0.71917871528608213</v>
      </c>
      <c r="E3" s="3">
        <f t="shared" ref="E3:E31" si="2">-2.869*LOG(B3)+2.1373</f>
        <v>5.5392236478451213</v>
      </c>
      <c r="F3" t="s">
        <v>36</v>
      </c>
      <c r="G3" t="s">
        <v>34</v>
      </c>
      <c r="H3">
        <v>0.1057</v>
      </c>
    </row>
    <row r="4" spans="1:9" x14ac:dyDescent="0.2">
      <c r="A4" t="s">
        <v>2</v>
      </c>
      <c r="B4" s="2">
        <v>7.0000000000000007E-2</v>
      </c>
      <c r="C4" s="3">
        <f t="shared" si="0"/>
        <v>5.9265610000000004</v>
      </c>
      <c r="D4" s="3">
        <f t="shared" si="1"/>
        <v>0.72042543908876244</v>
      </c>
      <c r="E4" s="3">
        <f t="shared" si="2"/>
        <v>5.4507137231990974</v>
      </c>
      <c r="F4" t="s">
        <v>36</v>
      </c>
      <c r="G4" t="s">
        <v>34</v>
      </c>
      <c r="H4">
        <v>0.1482</v>
      </c>
    </row>
    <row r="5" spans="1:9" x14ac:dyDescent="0.2">
      <c r="A5" t="s">
        <v>3</v>
      </c>
      <c r="B5" s="2">
        <v>7.0800000000000002E-2</v>
      </c>
      <c r="C5" s="3">
        <f t="shared" si="0"/>
        <v>5.9236668400000001</v>
      </c>
      <c r="D5" s="3">
        <f t="shared" si="1"/>
        <v>0.72063379190760601</v>
      </c>
      <c r="E5" s="3">
        <f t="shared" si="2"/>
        <v>5.4365545836880527</v>
      </c>
      <c r="F5" t="s">
        <v>36</v>
      </c>
      <c r="G5" t="s">
        <v>35</v>
      </c>
      <c r="H5">
        <v>0.49</v>
      </c>
    </row>
    <row r="6" spans="1:9" x14ac:dyDescent="0.2">
      <c r="A6" t="s">
        <v>4</v>
      </c>
      <c r="B6" s="2">
        <v>6.8199999999999997E-2</v>
      </c>
      <c r="C6" s="3">
        <f t="shared" si="0"/>
        <v>5.9330728600000002</v>
      </c>
      <c r="D6" s="3">
        <f t="shared" si="1"/>
        <v>0.71995723694483493</v>
      </c>
      <c r="E6" s="3">
        <f t="shared" si="2"/>
        <v>5.4831726291105625</v>
      </c>
      <c r="F6" t="s">
        <v>36</v>
      </c>
      <c r="G6" t="s">
        <v>35</v>
      </c>
      <c r="H6">
        <v>0.13550000000000001</v>
      </c>
    </row>
    <row r="7" spans="1:9" x14ac:dyDescent="0.2">
      <c r="A7" t="s">
        <v>5</v>
      </c>
      <c r="B7" s="2">
        <v>7.3400000000000007E-2</v>
      </c>
      <c r="C7" s="3">
        <f t="shared" si="0"/>
        <v>5.91426082</v>
      </c>
      <c r="D7" s="3">
        <f t="shared" si="1"/>
        <v>0.72131205929233821</v>
      </c>
      <c r="E7" s="3">
        <f t="shared" si="2"/>
        <v>5.3916180041007937</v>
      </c>
      <c r="F7" t="s">
        <v>36</v>
      </c>
      <c r="G7" t="s">
        <v>35</v>
      </c>
      <c r="H7">
        <v>0.11990000000000001</v>
      </c>
    </row>
    <row r="8" spans="1:9" s="6" customFormat="1" x14ac:dyDescent="0.2">
      <c r="A8" s="6" t="s">
        <v>6</v>
      </c>
      <c r="B8" s="12">
        <v>6.8900000000000003E-2</v>
      </c>
      <c r="C8" s="26">
        <f t="shared" si="0"/>
        <v>5.9305404700000004</v>
      </c>
      <c r="D8" s="26">
        <f t="shared" si="1"/>
        <v>0.72013921830175609</v>
      </c>
      <c r="E8" s="26">
        <f t="shared" si="2"/>
        <v>5.4704490523470213</v>
      </c>
      <c r="F8" s="6" t="s">
        <v>37</v>
      </c>
      <c r="G8" s="6" t="s">
        <v>34</v>
      </c>
      <c r="H8" s="6">
        <v>0.1071</v>
      </c>
    </row>
    <row r="9" spans="1:9" s="6" customFormat="1" x14ac:dyDescent="0.2">
      <c r="A9" s="6" t="s">
        <v>7</v>
      </c>
      <c r="B9" s="12">
        <v>6.8900000000000003E-2</v>
      </c>
      <c r="C9" s="26">
        <f t="shared" si="0"/>
        <v>5.9305404700000004</v>
      </c>
      <c r="D9" s="26">
        <f t="shared" si="1"/>
        <v>0.72013921830175609</v>
      </c>
      <c r="E9" s="26">
        <f t="shared" si="2"/>
        <v>5.4704490523470213</v>
      </c>
      <c r="F9" s="6" t="s">
        <v>37</v>
      </c>
      <c r="G9" s="6" t="s">
        <v>34</v>
      </c>
      <c r="H9" s="6">
        <v>9.7100000000000006E-2</v>
      </c>
    </row>
    <row r="10" spans="1:9" s="6" customFormat="1" x14ac:dyDescent="0.2">
      <c r="A10" s="6" t="s">
        <v>8</v>
      </c>
      <c r="B10" s="12">
        <v>7.7799999999999994E-2</v>
      </c>
      <c r="C10" s="26">
        <f t="shared" si="0"/>
        <v>5.89834294</v>
      </c>
      <c r="D10" s="26">
        <f t="shared" si="1"/>
        <v>0.7224638173218686</v>
      </c>
      <c r="E10" s="26">
        <f t="shared" si="2"/>
        <v>5.3190795362365826</v>
      </c>
      <c r="F10" s="6" t="s">
        <v>37</v>
      </c>
      <c r="G10" s="6" t="s">
        <v>34</v>
      </c>
      <c r="H10" s="6">
        <v>0.1046</v>
      </c>
    </row>
    <row r="11" spans="1:9" s="6" customFormat="1" x14ac:dyDescent="0.2">
      <c r="A11" s="6" t="s">
        <v>9</v>
      </c>
      <c r="B11" s="12">
        <v>6.8099999999999994E-2</v>
      </c>
      <c r="C11" s="26">
        <f t="shared" si="0"/>
        <v>5.9334346299999998</v>
      </c>
      <c r="D11" s="26">
        <f>2.0658*C11^(-0.592)</f>
        <v>0.71993124970239253</v>
      </c>
      <c r="E11" s="26">
        <f>-2.869*LOG(B11)+2.1373</f>
        <v>5.48500093592222</v>
      </c>
      <c r="F11" s="6" t="s">
        <v>37</v>
      </c>
      <c r="G11" s="6" t="s">
        <v>35</v>
      </c>
      <c r="H11" s="6">
        <v>0.1031</v>
      </c>
    </row>
    <row r="12" spans="1:9" s="6" customFormat="1" x14ac:dyDescent="0.2">
      <c r="A12" s="6" t="s">
        <v>10</v>
      </c>
      <c r="B12" s="12">
        <v>6.6900000000000001E-2</v>
      </c>
      <c r="C12" s="26">
        <f t="shared" si="0"/>
        <v>5.9377758700000003</v>
      </c>
      <c r="D12" s="26">
        <f t="shared" si="1"/>
        <v>0.71961959942390963</v>
      </c>
      <c r="E12" s="26">
        <f t="shared" si="2"/>
        <v>5.507152468124116</v>
      </c>
      <c r="F12" s="6" t="s">
        <v>37</v>
      </c>
      <c r="G12" s="6" t="s">
        <v>35</v>
      </c>
      <c r="H12" s="6">
        <v>9.6100000000000005E-2</v>
      </c>
    </row>
    <row r="13" spans="1:9" s="6" customFormat="1" x14ac:dyDescent="0.2">
      <c r="A13" s="6" t="s">
        <v>11</v>
      </c>
      <c r="B13" s="12">
        <v>6.7500000000000004E-2</v>
      </c>
      <c r="C13" s="26">
        <f t="shared" si="0"/>
        <v>5.9356052500000001</v>
      </c>
      <c r="D13" s="26">
        <f t="shared" si="1"/>
        <v>0.71977537920353352</v>
      </c>
      <c r="E13" s="26">
        <f t="shared" si="2"/>
        <v>5.4960274757477903</v>
      </c>
      <c r="F13" s="6" t="s">
        <v>37</v>
      </c>
      <c r="G13" s="6" t="s">
        <v>35</v>
      </c>
      <c r="H13" s="6">
        <v>0.10829999999999999</v>
      </c>
    </row>
    <row r="14" spans="1:9" x14ac:dyDescent="0.2">
      <c r="A14" t="s">
        <v>12</v>
      </c>
      <c r="B14" s="2">
        <v>6.5799999999999997E-2</v>
      </c>
      <c r="C14" s="3">
        <f t="shared" si="0"/>
        <v>5.9417553400000003</v>
      </c>
      <c r="D14" s="3">
        <f t="shared" si="1"/>
        <v>0.71933423849417022</v>
      </c>
      <c r="E14" s="3">
        <f t="shared" si="2"/>
        <v>5.5278099112215617</v>
      </c>
      <c r="F14" t="s">
        <v>38</v>
      </c>
      <c r="G14" t="s">
        <v>34</v>
      </c>
      <c r="H14">
        <v>0.19650000000000001</v>
      </c>
    </row>
    <row r="15" spans="1:9" x14ac:dyDescent="0.2">
      <c r="A15" t="s">
        <v>13</v>
      </c>
      <c r="B15" s="2">
        <v>8.5099999999999995E-2</v>
      </c>
      <c r="C15" s="3">
        <f t="shared" si="0"/>
        <v>5.8719337300000003</v>
      </c>
      <c r="D15" s="3">
        <f t="shared" si="1"/>
        <v>0.72438564421182039</v>
      </c>
      <c r="E15" s="3">
        <f t="shared" si="2"/>
        <v>5.2073320921173174</v>
      </c>
      <c r="F15" t="s">
        <v>38</v>
      </c>
      <c r="G15" t="s">
        <v>34</v>
      </c>
      <c r="H15">
        <v>0.10979999999999999</v>
      </c>
    </row>
    <row r="16" spans="1:9" x14ac:dyDescent="0.2">
      <c r="A16" t="s">
        <v>14</v>
      </c>
      <c r="B16" s="2">
        <v>6.8699999999999997E-2</v>
      </c>
      <c r="C16" s="3">
        <f t="shared" si="0"/>
        <v>5.9312640100000005</v>
      </c>
      <c r="D16" s="3">
        <f t="shared" si="1"/>
        <v>0.72008721100653483</v>
      </c>
      <c r="E16" s="3">
        <f t="shared" si="2"/>
        <v>5.4740711213761504</v>
      </c>
      <c r="F16" t="s">
        <v>38</v>
      </c>
      <c r="G16" t="s">
        <v>34</v>
      </c>
      <c r="H16">
        <v>0.1046</v>
      </c>
    </row>
    <row r="17" spans="1:8" x14ac:dyDescent="0.2">
      <c r="A17" t="s">
        <v>15</v>
      </c>
      <c r="B17" s="2">
        <v>8.1000000000000003E-2</v>
      </c>
      <c r="C17" s="3">
        <f t="shared" si="0"/>
        <v>5.8867663000000006</v>
      </c>
      <c r="D17" s="3">
        <f t="shared" si="1"/>
        <v>0.72330457228211698</v>
      </c>
      <c r="E17" s="3">
        <f t="shared" si="2"/>
        <v>5.2688564808371545</v>
      </c>
      <c r="F17" t="s">
        <v>38</v>
      </c>
      <c r="G17" t="s">
        <v>35</v>
      </c>
      <c r="H17">
        <v>0.18679999999999999</v>
      </c>
    </row>
    <row r="18" spans="1:8" x14ac:dyDescent="0.2">
      <c r="A18" t="s">
        <v>16</v>
      </c>
      <c r="B18" s="2">
        <v>6.4600000000000005E-2</v>
      </c>
      <c r="C18" s="3">
        <f t="shared" si="0"/>
        <v>5.9460965799999999</v>
      </c>
      <c r="D18" s="3">
        <f t="shared" si="1"/>
        <v>0.71902328246842573</v>
      </c>
      <c r="E18" s="3">
        <f t="shared" si="2"/>
        <v>5.5507429058721041</v>
      </c>
      <c r="F18" t="s">
        <v>38</v>
      </c>
      <c r="G18" t="s">
        <v>35</v>
      </c>
      <c r="H18">
        <v>0.1404</v>
      </c>
    </row>
    <row r="19" spans="1:8" x14ac:dyDescent="0.2">
      <c r="A19" t="s">
        <v>17</v>
      </c>
      <c r="B19" s="2">
        <v>6.7299999999999999E-2</v>
      </c>
      <c r="C19" s="3">
        <f t="shared" si="0"/>
        <v>5.9363287900000001</v>
      </c>
      <c r="D19" s="3">
        <f t="shared" si="1"/>
        <v>0.71972344253465625</v>
      </c>
      <c r="E19" s="3">
        <f t="shared" si="2"/>
        <v>5.4997247807414116</v>
      </c>
      <c r="F19" t="s">
        <v>38</v>
      </c>
      <c r="G19" t="s">
        <v>35</v>
      </c>
      <c r="H19">
        <v>0.1172</v>
      </c>
    </row>
    <row r="20" spans="1:8" s="24" customFormat="1" x14ac:dyDescent="0.2">
      <c r="A20" s="24" t="s">
        <v>18</v>
      </c>
      <c r="B20" s="23">
        <v>7.6799999999999993E-2</v>
      </c>
      <c r="C20" s="25">
        <f t="shared" si="0"/>
        <v>5.9019606400000004</v>
      </c>
      <c r="D20" s="25">
        <f t="shared" si="1"/>
        <v>0.72220161992972765</v>
      </c>
      <c r="E20" s="25">
        <f t="shared" si="2"/>
        <v>5.335198659729592</v>
      </c>
      <c r="F20" s="24" t="s">
        <v>39</v>
      </c>
      <c r="G20" s="24" t="s">
        <v>34</v>
      </c>
      <c r="H20" s="24">
        <v>0.10249999999999999</v>
      </c>
    </row>
    <row r="21" spans="1:8" s="24" customFormat="1" x14ac:dyDescent="0.2">
      <c r="A21" s="24" t="s">
        <v>19</v>
      </c>
      <c r="B21" s="23">
        <v>6.9500000000000006E-2</v>
      </c>
      <c r="C21" s="25">
        <f t="shared" si="0"/>
        <v>5.9283698500000002</v>
      </c>
      <c r="D21" s="25">
        <f t="shared" si="1"/>
        <v>0.72029530081365678</v>
      </c>
      <c r="E21" s="25">
        <f t="shared" si="2"/>
        <v>5.4596455956309633</v>
      </c>
      <c r="F21" s="24" t="s">
        <v>39</v>
      </c>
      <c r="G21" s="24" t="s">
        <v>34</v>
      </c>
      <c r="H21" s="24">
        <v>0.1011</v>
      </c>
    </row>
    <row r="22" spans="1:8" s="24" customFormat="1" x14ac:dyDescent="0.2">
      <c r="A22" s="24" t="s">
        <v>20</v>
      </c>
      <c r="B22" s="23">
        <v>6.5799999999999997E-2</v>
      </c>
      <c r="C22" s="25">
        <f t="shared" si="0"/>
        <v>5.9417553400000003</v>
      </c>
      <c r="D22" s="25">
        <f t="shared" si="1"/>
        <v>0.71933423849417022</v>
      </c>
      <c r="E22" s="25">
        <f t="shared" si="2"/>
        <v>5.5278099112215617</v>
      </c>
      <c r="F22" s="24" t="s">
        <v>39</v>
      </c>
      <c r="G22" s="24" t="s">
        <v>34</v>
      </c>
      <c r="H22" s="24">
        <v>0.10929999999999999</v>
      </c>
    </row>
    <row r="23" spans="1:8" s="24" customFormat="1" x14ac:dyDescent="0.2">
      <c r="A23" s="24" t="s">
        <v>21</v>
      </c>
      <c r="B23" s="23">
        <v>6.9800000000000001E-2</v>
      </c>
      <c r="C23" s="25">
        <f t="shared" si="0"/>
        <v>5.9272845400000005</v>
      </c>
      <c r="D23" s="25">
        <f t="shared" si="1"/>
        <v>0.72037337619164588</v>
      </c>
      <c r="E23" s="25">
        <f t="shared" si="2"/>
        <v>5.4542787924941507</v>
      </c>
      <c r="F23" s="24" t="s">
        <v>39</v>
      </c>
      <c r="G23" s="24" t="s">
        <v>35</v>
      </c>
      <c r="H23" s="24">
        <v>0.1042</v>
      </c>
    </row>
    <row r="24" spans="1:8" s="24" customFormat="1" x14ac:dyDescent="0.2">
      <c r="A24" s="24" t="s">
        <v>22</v>
      </c>
      <c r="B24" s="23">
        <v>6.5199999999999994E-2</v>
      </c>
      <c r="C24" s="25">
        <f t="shared" si="0"/>
        <v>5.9439259600000005</v>
      </c>
      <c r="D24" s="25">
        <f t="shared" si="1"/>
        <v>0.71917871528608213</v>
      </c>
      <c r="E24" s="25">
        <f t="shared" si="2"/>
        <v>5.5392236478451213</v>
      </c>
      <c r="F24" s="24" t="s">
        <v>39</v>
      </c>
      <c r="G24" s="24" t="s">
        <v>35</v>
      </c>
      <c r="H24" s="24">
        <v>0.10440000000000001</v>
      </c>
    </row>
    <row r="25" spans="1:8" s="24" customFormat="1" x14ac:dyDescent="0.2">
      <c r="A25" s="24" t="s">
        <v>23</v>
      </c>
      <c r="B25" s="23">
        <v>6.5699999999999995E-2</v>
      </c>
      <c r="C25" s="25">
        <f t="shared" si="0"/>
        <v>5.9421171099999999</v>
      </c>
      <c r="D25" s="25">
        <f t="shared" si="1"/>
        <v>0.71930831167874354</v>
      </c>
      <c r="E25" s="25">
        <f t="shared" si="2"/>
        <v>5.5297049547329902</v>
      </c>
      <c r="F25" s="24" t="s">
        <v>39</v>
      </c>
      <c r="G25" s="24" t="s">
        <v>35</v>
      </c>
      <c r="H25" s="24">
        <v>0.1565</v>
      </c>
    </row>
    <row r="26" spans="1:8" x14ac:dyDescent="0.2">
      <c r="A26" t="s">
        <v>24</v>
      </c>
      <c r="B26" s="2">
        <v>6.4699999999999994E-2</v>
      </c>
      <c r="C26" s="3">
        <f t="shared" si="0"/>
        <v>5.9457348100000003</v>
      </c>
      <c r="D26" s="3">
        <f t="shared" si="1"/>
        <v>0.71904918166455178</v>
      </c>
      <c r="E26" s="3">
        <f t="shared" si="2"/>
        <v>5.5488156187614992</v>
      </c>
      <c r="F26" t="s">
        <v>40</v>
      </c>
      <c r="G26" t="s">
        <v>34</v>
      </c>
      <c r="H26">
        <v>0.219</v>
      </c>
    </row>
    <row r="27" spans="1:8" x14ac:dyDescent="0.2">
      <c r="A27" t="s">
        <v>25</v>
      </c>
      <c r="B27" s="2">
        <v>6.7500000000000004E-2</v>
      </c>
      <c r="C27" s="3">
        <f t="shared" si="0"/>
        <v>5.9356052500000001</v>
      </c>
      <c r="D27" s="3">
        <f t="shared" si="1"/>
        <v>0.71977537920353352</v>
      </c>
      <c r="E27" s="3">
        <f t="shared" si="2"/>
        <v>5.4960274757477903</v>
      </c>
      <c r="F27" t="s">
        <v>40</v>
      </c>
      <c r="G27" t="s">
        <v>34</v>
      </c>
      <c r="H27">
        <v>0.1095</v>
      </c>
    </row>
    <row r="28" spans="1:8" x14ac:dyDescent="0.2">
      <c r="A28" t="s">
        <v>26</v>
      </c>
      <c r="B28" s="2">
        <v>7.1400000000000005E-2</v>
      </c>
      <c r="C28" s="3">
        <f t="shared" si="0"/>
        <v>5.9214962199999999</v>
      </c>
      <c r="D28" s="3">
        <f t="shared" si="1"/>
        <v>0.72079016290339926</v>
      </c>
      <c r="E28" s="3">
        <f t="shared" si="2"/>
        <v>5.4260398304141564</v>
      </c>
      <c r="F28" t="s">
        <v>40</v>
      </c>
      <c r="G28" t="s">
        <v>34</v>
      </c>
      <c r="H28">
        <v>0.1055</v>
      </c>
    </row>
    <row r="29" spans="1:8" x14ac:dyDescent="0.2">
      <c r="A29" t="s">
        <v>27</v>
      </c>
      <c r="B29" s="2">
        <v>6.8000000000000005E-2</v>
      </c>
      <c r="C29" s="3">
        <f t="shared" si="0"/>
        <v>5.9337964000000003</v>
      </c>
      <c r="D29" s="3">
        <f t="shared" si="1"/>
        <v>0.71990526498231866</v>
      </c>
      <c r="E29" s="3">
        <f t="shared" si="2"/>
        <v>5.4868319294458079</v>
      </c>
      <c r="F29" t="s">
        <v>40</v>
      </c>
      <c r="G29" t="s">
        <v>35</v>
      </c>
      <c r="H29">
        <v>0.1125</v>
      </c>
    </row>
    <row r="30" spans="1:8" x14ac:dyDescent="0.2">
      <c r="A30" t="s">
        <v>28</v>
      </c>
      <c r="B30" s="2">
        <v>0.1232</v>
      </c>
      <c r="C30" s="3">
        <f t="shared" si="0"/>
        <v>5.7340993600000001</v>
      </c>
      <c r="D30" s="3">
        <f t="shared" si="1"/>
        <v>0.73464388222582733</v>
      </c>
      <c r="E30" s="3">
        <f t="shared" si="2"/>
        <v>4.7463378792403024</v>
      </c>
      <c r="F30" t="s">
        <v>40</v>
      </c>
      <c r="G30" t="s">
        <v>35</v>
      </c>
      <c r="H30">
        <v>0.10829999999999999</v>
      </c>
    </row>
    <row r="31" spans="1:8" x14ac:dyDescent="0.2">
      <c r="A31" t="s">
        <v>29</v>
      </c>
      <c r="B31" s="2">
        <v>7.0499999999999993E-2</v>
      </c>
      <c r="C31" s="3">
        <f t="shared" si="0"/>
        <v>5.9247521499999998</v>
      </c>
      <c r="D31" s="3">
        <f t="shared" si="1"/>
        <v>0.7205556406128345</v>
      </c>
      <c r="E31" s="3">
        <f t="shared" si="2"/>
        <v>5.441845423351678</v>
      </c>
      <c r="F31" t="s">
        <v>40</v>
      </c>
      <c r="G31" t="s">
        <v>35</v>
      </c>
      <c r="H31">
        <v>0.1203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barplot</vt:lpstr>
      <vt:lpstr>boxplot</vt:lpstr>
      <vt:lpstr>R4</vt:lpstr>
      <vt:lpstr>R3</vt:lpstr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2026-06-24T13:57:11Z</dcterms:created>
  <dcterms:modified xsi:type="dcterms:W3CDTF">2026-08-28T09:29:41Z</dcterms:modified>
</cp:coreProperties>
</file>