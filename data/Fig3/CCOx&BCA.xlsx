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3/"/>
    </mc:Choice>
  </mc:AlternateContent>
  <xr:revisionPtr revIDLastSave="0" documentId="13_ncr:1_{6B891D9A-EA58-0845-AEC6-F2E46FF11842}" xr6:coauthVersionLast="47" xr6:coauthVersionMax="47" xr10:uidLastSave="{00000000-0000-0000-0000-000000000000}"/>
  <bookViews>
    <workbookView xWindow="3080" yWindow="660" windowWidth="17740" windowHeight="15340" xr2:uid="{FCD1C787-D617-F941-A6E2-17432271DDD7}"/>
  </bookViews>
  <sheets>
    <sheet name="All" sheetId="3" r:id="rId1"/>
    <sheet name="R1" sheetId="1" r:id="rId2"/>
    <sheet name="R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2" i="3"/>
  <c r="D36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7" i="3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" i="3"/>
  <c r="E4" i="1"/>
  <c r="E2" i="2"/>
  <c r="E7" i="2" l="1"/>
  <c r="G17" i="2"/>
  <c r="G14" i="2"/>
  <c r="G11" i="2"/>
  <c r="G8" i="2"/>
  <c r="G5" i="2"/>
  <c r="G2" i="2"/>
  <c r="E3" i="2"/>
  <c r="E5" i="2"/>
  <c r="E11" i="2"/>
  <c r="E17" i="2"/>
  <c r="E19" i="2"/>
  <c r="J3" i="2"/>
  <c r="J4" i="2"/>
  <c r="E4" i="2" s="1"/>
  <c r="J5" i="2"/>
  <c r="J6" i="2"/>
  <c r="E6" i="2" s="1"/>
  <c r="J7" i="2"/>
  <c r="J8" i="2"/>
  <c r="E8" i="2" s="1"/>
  <c r="J9" i="2"/>
  <c r="E9" i="2" s="1"/>
  <c r="J10" i="2"/>
  <c r="E10" i="2" s="1"/>
  <c r="J11" i="2"/>
  <c r="J12" i="2"/>
  <c r="E12" i="2" s="1"/>
  <c r="J13" i="2"/>
  <c r="E13" i="2" s="1"/>
  <c r="J14" i="2"/>
  <c r="E14" i="2" s="1"/>
  <c r="J15" i="2"/>
  <c r="E15" i="2" s="1"/>
  <c r="J16" i="2"/>
  <c r="E16" i="2" s="1"/>
  <c r="J17" i="2"/>
  <c r="J18" i="2"/>
  <c r="E18" i="2" s="1"/>
  <c r="J19" i="2"/>
  <c r="L19" i="2" l="1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J2" i="2"/>
  <c r="E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I3" i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2" i="1"/>
  <c r="K2" i="1" s="1"/>
  <c r="L2" i="2" l="1"/>
</calcChain>
</file>

<file path=xl/sharedStrings.xml><?xml version="1.0" encoding="utf-8"?>
<sst xmlns="http://schemas.openxmlformats.org/spreadsheetml/2006/main" count="289" uniqueCount="87">
  <si>
    <t>B1 (D)</t>
  </si>
  <si>
    <t>B2</t>
  </si>
  <si>
    <t>B3</t>
  </si>
  <si>
    <t>B4</t>
  </si>
  <si>
    <t>B5</t>
  </si>
  <si>
    <t>B6</t>
  </si>
  <si>
    <t>C1 (A)</t>
  </si>
  <si>
    <t>C2</t>
  </si>
  <si>
    <t>C3</t>
  </si>
  <si>
    <t>C4</t>
  </si>
  <si>
    <t>C5</t>
  </si>
  <si>
    <t>C6</t>
  </si>
  <si>
    <t>D1 (P)</t>
  </si>
  <si>
    <t>D2</t>
  </si>
  <si>
    <t>D3</t>
  </si>
  <si>
    <t>D4</t>
  </si>
  <si>
    <t>D5</t>
  </si>
  <si>
    <t>D6</t>
  </si>
  <si>
    <t>E1  (H)</t>
  </si>
  <si>
    <t>E2</t>
  </si>
  <si>
    <t>E3</t>
  </si>
  <si>
    <t>E4</t>
  </si>
  <si>
    <t>E5</t>
  </si>
  <si>
    <t>E6</t>
  </si>
  <si>
    <t>F1 (M)</t>
  </si>
  <si>
    <t>F2</t>
  </si>
  <si>
    <t>F3</t>
  </si>
  <si>
    <t>F4</t>
  </si>
  <si>
    <t>F5</t>
  </si>
  <si>
    <t>F6</t>
  </si>
  <si>
    <t>Samples</t>
  </si>
  <si>
    <t>Raw</t>
  </si>
  <si>
    <t>Strain</t>
  </si>
  <si>
    <t>Light</t>
  </si>
  <si>
    <t>Dark</t>
  </si>
  <si>
    <t>IR</t>
  </si>
  <si>
    <t>Deinococcus</t>
  </si>
  <si>
    <t>Aliidiomarina</t>
  </si>
  <si>
    <t>Paracoccus</t>
  </si>
  <si>
    <t>Halomonas</t>
  </si>
  <si>
    <t>Marinobacter</t>
  </si>
  <si>
    <t>OD600</t>
  </si>
  <si>
    <t>BCA</t>
  </si>
  <si>
    <t>OD600_BCA</t>
  </si>
  <si>
    <t>BCA_Content</t>
  </si>
  <si>
    <t>BCA.raw</t>
  </si>
  <si>
    <t>A_sample</t>
  </si>
  <si>
    <t>A_control</t>
  </si>
  <si>
    <t>CCO</t>
  </si>
  <si>
    <t>MEAN</t>
  </si>
  <si>
    <t>D-A1</t>
  </si>
  <si>
    <t>D-D2</t>
  </si>
  <si>
    <t>D-D3</t>
  </si>
  <si>
    <t>I-D1</t>
  </si>
  <si>
    <t>I-D2</t>
  </si>
  <si>
    <t>I-D3</t>
  </si>
  <si>
    <t>D-A2</t>
  </si>
  <si>
    <t>D-A3</t>
  </si>
  <si>
    <t>I-A1</t>
  </si>
  <si>
    <t>I-A2</t>
  </si>
  <si>
    <t>I-A3</t>
  </si>
  <si>
    <t>D-H1</t>
  </si>
  <si>
    <t>D-H2</t>
  </si>
  <si>
    <t>D-H3</t>
  </si>
  <si>
    <t>I-H1</t>
  </si>
  <si>
    <t>I-H2</t>
  </si>
  <si>
    <t>I-H3</t>
  </si>
  <si>
    <t>D-I1</t>
  </si>
  <si>
    <t>D-I2</t>
  </si>
  <si>
    <t>D-I3</t>
  </si>
  <si>
    <t>A-D1</t>
  </si>
  <si>
    <t>A-D2</t>
  </si>
  <si>
    <t>A-D3</t>
  </si>
  <si>
    <t>A-I1</t>
  </si>
  <si>
    <t>A-I2</t>
  </si>
  <si>
    <t>A-I3</t>
  </si>
  <si>
    <t>H-D1</t>
  </si>
  <si>
    <t>H-D2</t>
  </si>
  <si>
    <t>H-D3</t>
  </si>
  <si>
    <t>H-I1</t>
  </si>
  <si>
    <t>H-I2</t>
  </si>
  <si>
    <t>H-I3</t>
  </si>
  <si>
    <t>Variation</t>
  </si>
  <si>
    <t>Duration</t>
  </si>
  <si>
    <t>Coefficient</t>
  </si>
  <si>
    <t>D-D1_0818</t>
  </si>
  <si>
    <t>D-D1_0722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</si>
</sst>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12"/>
      <color theme="2" tint="-9.9978637043366805E-2"/>
      <name val="Calibri"/>
      <family val="2"/>
      <scheme val="minor"/>
    </font>
    <font>
      <b/>
      <sz val="12"/>
      <color theme="2" tint="-0.249977111117893"/>
      <name val="Calibri"/>
      <family val="2"/>
      <scheme val="minor"/>
    </font>
    <font>
      <sz val="12"/>
      <color theme="2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164" fontId="0" fillId="0" borderId="0" xfId="0" applyNumberFormat="1"/>
    <xf numFmtId="0" fontId="0" fillId="3" borderId="0" xfId="0" applyFill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164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EC64-0120-CA44-8621-EF17741E480A}">
  <dimension ref="A1:L37"/>
  <sheetViews>
    <sheetView tabSelected="1" topLeftCell="A18" workbookViewId="0">
      <selection activeCell="J44" sqref="J44"/>
    </sheetView>
  </sheetViews>
  <sheetFormatPr baseColWidth="10" defaultRowHeight="16" x14ac:dyDescent="0.2"/>
  <sheetData>
    <row r="1" spans="1:12" x14ac:dyDescent="0.2">
      <c r="A1" s="1" t="s">
        <v>30</v>
      </c>
      <c r="B1" s="1" t="s">
        <v>82</v>
      </c>
      <c r="C1" s="1" t="s">
        <v>83</v>
      </c>
      <c r="D1" s="1" t="s">
        <v>84</v>
      </c>
      <c r="E1" s="1" t="s">
        <v>48</v>
      </c>
      <c r="F1" s="1" t="s">
        <v>32</v>
      </c>
      <c r="G1" s="1" t="s">
        <v>33</v>
      </c>
      <c r="H1" s="1" t="s">
        <v>41</v>
      </c>
      <c r="I1" s="1" t="s">
        <v>45</v>
      </c>
      <c r="J1" s="1" t="s">
        <v>42</v>
      </c>
      <c r="K1" s="1" t="s">
        <v>43</v>
      </c>
      <c r="L1" s="1" t="s">
        <v>44</v>
      </c>
    </row>
    <row r="2" spans="1:12" x14ac:dyDescent="0.2">
      <c r="A2" t="s">
        <v>85</v>
      </c>
      <c r="B2">
        <v>2.1100000000000008E-2</v>
      </c>
      <c r="C2">
        <v>60</v>
      </c>
      <c r="D2">
        <f>1/(0.02184*0.3588)*(0.13/0.01)</f>
        <v>1658.9690502733984</v>
      </c>
      <c r="E2" s="9">
        <f>B2/C2*D2/H2</f>
        <v>3.7159497835210953</v>
      </c>
      <c r="F2" t="s">
        <v>36</v>
      </c>
      <c r="G2" t="s">
        <v>34</v>
      </c>
      <c r="H2">
        <v>0.157</v>
      </c>
    </row>
    <row r="3" spans="1:12" x14ac:dyDescent="0.2">
      <c r="A3" t="s">
        <v>51</v>
      </c>
      <c r="B3">
        <v>1.5700000000000047E-2</v>
      </c>
      <c r="C3">
        <v>60</v>
      </c>
      <c r="D3">
        <f t="shared" ref="D3:D37" si="0">1/(0.02184*0.3588)*(0.13/0.01)</f>
        <v>1658.9690502733984</v>
      </c>
      <c r="E3" s="9">
        <f t="shared" ref="E3:E37" si="1">B3/C3*D3/H3</f>
        <v>2.4036373282846468</v>
      </c>
      <c r="F3" t="s">
        <v>36</v>
      </c>
      <c r="G3" t="s">
        <v>34</v>
      </c>
      <c r="H3">
        <v>0.18060000000000001</v>
      </c>
    </row>
    <row r="4" spans="1:12" x14ac:dyDescent="0.2">
      <c r="A4" t="s">
        <v>52</v>
      </c>
      <c r="B4">
        <v>1.6199999999999992E-2</v>
      </c>
      <c r="C4">
        <v>60</v>
      </c>
      <c r="D4">
        <f t="shared" si="0"/>
        <v>1658.9690502733984</v>
      </c>
      <c r="E4" s="9">
        <f t="shared" si="1"/>
        <v>2.8047692146137591</v>
      </c>
      <c r="F4" t="s">
        <v>36</v>
      </c>
      <c r="G4" t="s">
        <v>34</v>
      </c>
      <c r="H4">
        <v>0.15970000000000001</v>
      </c>
    </row>
    <row r="5" spans="1:12" x14ac:dyDescent="0.2">
      <c r="A5" t="s">
        <v>67</v>
      </c>
      <c r="B5">
        <v>2.1699999999999997E-2</v>
      </c>
      <c r="C5">
        <v>60</v>
      </c>
      <c r="D5">
        <f t="shared" si="0"/>
        <v>1658.9690502733984</v>
      </c>
      <c r="E5" s="9">
        <f t="shared" si="1"/>
        <v>3.5397864691182632</v>
      </c>
      <c r="F5" t="s">
        <v>36</v>
      </c>
      <c r="G5" t="s">
        <v>35</v>
      </c>
      <c r="H5">
        <v>0.16950000000000001</v>
      </c>
    </row>
    <row r="6" spans="1:12" x14ac:dyDescent="0.2">
      <c r="A6" t="s">
        <v>68</v>
      </c>
      <c r="B6">
        <v>1.9100000000000006E-2</v>
      </c>
      <c r="C6">
        <v>60</v>
      </c>
      <c r="D6">
        <f t="shared" si="0"/>
        <v>1658.9690502733984</v>
      </c>
      <c r="E6" s="9">
        <f t="shared" si="1"/>
        <v>2.5135894701112105</v>
      </c>
      <c r="F6" t="s">
        <v>36</v>
      </c>
      <c r="G6" t="s">
        <v>35</v>
      </c>
      <c r="H6">
        <v>0.21010000000000001</v>
      </c>
    </row>
    <row r="7" spans="1:12" x14ac:dyDescent="0.2">
      <c r="A7" t="s">
        <v>69</v>
      </c>
      <c r="B7">
        <v>2.0400000000000029E-2</v>
      </c>
      <c r="C7">
        <v>60</v>
      </c>
      <c r="D7">
        <f t="shared" si="0"/>
        <v>1658.9690502733984</v>
      </c>
      <c r="E7" s="9">
        <f t="shared" si="1"/>
        <v>2.7964773281752917</v>
      </c>
      <c r="F7" t="s">
        <v>36</v>
      </c>
      <c r="G7" t="s">
        <v>35</v>
      </c>
      <c r="H7">
        <v>0.20169999999999999</v>
      </c>
    </row>
    <row r="8" spans="1:12" x14ac:dyDescent="0.2">
      <c r="A8" t="s">
        <v>70</v>
      </c>
      <c r="B8">
        <v>2.1600000000000008E-2</v>
      </c>
      <c r="C8">
        <v>60</v>
      </c>
      <c r="D8">
        <f t="shared" si="0"/>
        <v>1658.9690502733984</v>
      </c>
      <c r="E8" s="9">
        <f t="shared" si="1"/>
        <v>3.1835226977527915</v>
      </c>
      <c r="F8" t="s">
        <v>37</v>
      </c>
      <c r="G8" t="s">
        <v>34</v>
      </c>
      <c r="H8">
        <v>0.18759999999999999</v>
      </c>
    </row>
    <row r="9" spans="1:12" x14ac:dyDescent="0.2">
      <c r="A9" t="s">
        <v>71</v>
      </c>
      <c r="B9">
        <v>2.7799999999999991E-2</v>
      </c>
      <c r="C9">
        <v>60</v>
      </c>
      <c r="D9">
        <f t="shared" si="0"/>
        <v>1658.9690502733984</v>
      </c>
      <c r="E9" s="9">
        <f t="shared" si="1"/>
        <v>4.0842489902232071</v>
      </c>
      <c r="F9" t="s">
        <v>37</v>
      </c>
      <c r="G9" t="s">
        <v>34</v>
      </c>
      <c r="H9">
        <v>0.18820000000000001</v>
      </c>
    </row>
    <row r="10" spans="1:12" x14ac:dyDescent="0.2">
      <c r="A10" t="s">
        <v>72</v>
      </c>
      <c r="B10">
        <v>1.8800000000000039E-2</v>
      </c>
      <c r="C10">
        <v>60</v>
      </c>
      <c r="D10">
        <f t="shared" si="0"/>
        <v>1658.9690502733984</v>
      </c>
      <c r="E10" s="9">
        <f t="shared" si="1"/>
        <v>3.0416050463370343</v>
      </c>
      <c r="F10" t="s">
        <v>37</v>
      </c>
      <c r="G10" t="s">
        <v>34</v>
      </c>
      <c r="H10">
        <v>0.1709</v>
      </c>
    </row>
    <row r="11" spans="1:12" x14ac:dyDescent="0.2">
      <c r="A11" t="s">
        <v>73</v>
      </c>
      <c r="B11">
        <v>1.9900000000000029E-2</v>
      </c>
      <c r="C11">
        <v>60</v>
      </c>
      <c r="D11">
        <f t="shared" si="0"/>
        <v>1658.9690502733984</v>
      </c>
      <c r="E11" s="9">
        <f t="shared" si="1"/>
        <v>2.3255483305466802</v>
      </c>
      <c r="F11" t="s">
        <v>37</v>
      </c>
      <c r="G11" t="s">
        <v>35</v>
      </c>
      <c r="H11">
        <v>0.2366</v>
      </c>
    </row>
    <row r="12" spans="1:12" x14ac:dyDescent="0.2">
      <c r="A12" t="s">
        <v>74</v>
      </c>
      <c r="B12">
        <v>1.4899999999999969E-2</v>
      </c>
      <c r="C12">
        <v>60</v>
      </c>
      <c r="D12">
        <f t="shared" si="0"/>
        <v>1658.9690502733984</v>
      </c>
      <c r="E12" s="9">
        <f t="shared" si="1"/>
        <v>2.1105395192173484</v>
      </c>
      <c r="F12" t="s">
        <v>37</v>
      </c>
      <c r="G12" t="s">
        <v>35</v>
      </c>
      <c r="H12">
        <v>0.19520000000000001</v>
      </c>
    </row>
    <row r="13" spans="1:12" x14ac:dyDescent="0.2">
      <c r="A13" t="s">
        <v>75</v>
      </c>
      <c r="B13">
        <v>1.8399999999999972E-2</v>
      </c>
      <c r="C13">
        <v>60</v>
      </c>
      <c r="D13">
        <f t="shared" si="0"/>
        <v>1658.9690502733984</v>
      </c>
      <c r="E13" s="9">
        <f t="shared" si="1"/>
        <v>2.8597555297948736</v>
      </c>
      <c r="F13" t="s">
        <v>37</v>
      </c>
      <c r="G13" t="s">
        <v>35</v>
      </c>
      <c r="H13">
        <v>0.1779</v>
      </c>
    </row>
    <row r="14" spans="1:12" x14ac:dyDescent="0.2">
      <c r="A14" t="s">
        <v>76</v>
      </c>
      <c r="B14">
        <v>2.5899999999999979E-2</v>
      </c>
      <c r="C14">
        <v>60</v>
      </c>
      <c r="D14">
        <f t="shared" si="0"/>
        <v>1658.9690502733984</v>
      </c>
      <c r="E14" s="9">
        <f t="shared" si="1"/>
        <v>4.3799488687136572</v>
      </c>
      <c r="F14" t="s">
        <v>39</v>
      </c>
      <c r="G14" t="s">
        <v>34</v>
      </c>
      <c r="H14">
        <v>0.16350000000000001</v>
      </c>
    </row>
    <row r="15" spans="1:12" x14ac:dyDescent="0.2">
      <c r="A15" t="s">
        <v>77</v>
      </c>
      <c r="B15">
        <v>2.300000000000002E-2</v>
      </c>
      <c r="C15">
        <v>60</v>
      </c>
      <c r="D15">
        <f t="shared" si="0"/>
        <v>1658.9690502733984</v>
      </c>
      <c r="E15" s="9">
        <f t="shared" si="1"/>
        <v>3.5547128895368174</v>
      </c>
      <c r="F15" t="s">
        <v>39</v>
      </c>
      <c r="G15" t="s">
        <v>34</v>
      </c>
      <c r="H15">
        <v>0.1789</v>
      </c>
    </row>
    <row r="16" spans="1:12" x14ac:dyDescent="0.2">
      <c r="A16" t="s">
        <v>78</v>
      </c>
      <c r="B16">
        <v>1.8000000000000016E-2</v>
      </c>
      <c r="C16">
        <v>60</v>
      </c>
      <c r="D16">
        <f t="shared" si="0"/>
        <v>1658.9690502733984</v>
      </c>
      <c r="E16" s="9">
        <f t="shared" si="1"/>
        <v>3.2528804907321565</v>
      </c>
      <c r="F16" t="s">
        <v>39</v>
      </c>
      <c r="G16" t="s">
        <v>34</v>
      </c>
      <c r="H16">
        <v>0.153</v>
      </c>
    </row>
    <row r="17" spans="1:8" x14ac:dyDescent="0.2">
      <c r="A17" t="s">
        <v>79</v>
      </c>
      <c r="B17">
        <v>2.1299999999999986E-2</v>
      </c>
      <c r="C17">
        <v>60</v>
      </c>
      <c r="D17">
        <f t="shared" si="0"/>
        <v>1658.9690502733984</v>
      </c>
      <c r="E17" s="9">
        <f t="shared" si="1"/>
        <v>3.6625249555165169</v>
      </c>
      <c r="F17" t="s">
        <v>39</v>
      </c>
      <c r="G17" t="s">
        <v>35</v>
      </c>
      <c r="H17">
        <v>0.1608</v>
      </c>
    </row>
    <row r="18" spans="1:8" x14ac:dyDescent="0.2">
      <c r="A18" t="s">
        <v>80</v>
      </c>
      <c r="B18">
        <v>4.0999999999999925E-3</v>
      </c>
      <c r="C18">
        <v>60</v>
      </c>
      <c r="D18">
        <f t="shared" si="0"/>
        <v>1658.9690502733984</v>
      </c>
      <c r="E18" s="9">
        <f t="shared" si="1"/>
        <v>0.61744490796304652</v>
      </c>
      <c r="F18" t="s">
        <v>39</v>
      </c>
      <c r="G18" t="s">
        <v>35</v>
      </c>
      <c r="H18">
        <v>0.18360000000000001</v>
      </c>
    </row>
    <row r="19" spans="1:8" x14ac:dyDescent="0.2">
      <c r="A19" t="s">
        <v>81</v>
      </c>
      <c r="B19">
        <v>1.4399999999999968E-2</v>
      </c>
      <c r="C19">
        <v>60</v>
      </c>
      <c r="D19">
        <f t="shared" si="0"/>
        <v>1658.9690502733984</v>
      </c>
      <c r="E19" s="9">
        <f t="shared" si="1"/>
        <v>2.1662272691273925</v>
      </c>
      <c r="F19" t="s">
        <v>39</v>
      </c>
      <c r="G19" t="s">
        <v>35</v>
      </c>
      <c r="H19">
        <v>0.18379999999999999</v>
      </c>
    </row>
    <row r="20" spans="1:8" x14ac:dyDescent="0.2">
      <c r="A20" t="s">
        <v>86</v>
      </c>
      <c r="B20">
        <v>4.4999999999999485E-3</v>
      </c>
      <c r="C20">
        <v>60</v>
      </c>
      <c r="D20">
        <f>1/(0.02184*0.3588)*(0.13/0.01)</f>
        <v>1658.9690502733984</v>
      </c>
      <c r="E20" s="9">
        <f t="shared" si="1"/>
        <v>0.82127180706602942</v>
      </c>
      <c r="F20" t="s">
        <v>36</v>
      </c>
      <c r="G20" t="s">
        <v>34</v>
      </c>
      <c r="H20">
        <v>0.1515</v>
      </c>
    </row>
    <row r="21" spans="1:8" x14ac:dyDescent="0.2">
      <c r="A21" t="s">
        <v>51</v>
      </c>
      <c r="B21">
        <v>9.099999999999997E-3</v>
      </c>
      <c r="C21">
        <v>60</v>
      </c>
      <c r="D21">
        <f t="shared" si="0"/>
        <v>1658.9690502733984</v>
      </c>
      <c r="E21" s="9">
        <f t="shared" si="1"/>
        <v>1.7376402345174859</v>
      </c>
      <c r="F21" t="s">
        <v>36</v>
      </c>
      <c r="G21" t="s">
        <v>34</v>
      </c>
      <c r="H21">
        <v>0.14480000000000001</v>
      </c>
    </row>
    <row r="22" spans="1:8" x14ac:dyDescent="0.2">
      <c r="A22" t="s">
        <v>52</v>
      </c>
      <c r="B22">
        <v>4.0999999999999925E-3</v>
      </c>
      <c r="C22">
        <v>60</v>
      </c>
      <c r="D22">
        <f t="shared" si="0"/>
        <v>1658.9690502733984</v>
      </c>
      <c r="E22" s="9">
        <f t="shared" si="1"/>
        <v>0.78724225765288447</v>
      </c>
      <c r="F22" t="s">
        <v>36</v>
      </c>
      <c r="G22" t="s">
        <v>34</v>
      </c>
      <c r="H22">
        <v>0.14399999999999999</v>
      </c>
    </row>
    <row r="23" spans="1:8" x14ac:dyDescent="0.2">
      <c r="A23" t="s">
        <v>67</v>
      </c>
      <c r="B23">
        <v>9.7999999999999199E-3</v>
      </c>
      <c r="C23">
        <v>60</v>
      </c>
      <c r="D23">
        <f t="shared" si="0"/>
        <v>1658.9690502733984</v>
      </c>
      <c r="E23" s="9">
        <f t="shared" si="1"/>
        <v>1.7595126290778327</v>
      </c>
      <c r="F23" t="s">
        <v>36</v>
      </c>
      <c r="G23" t="s">
        <v>35</v>
      </c>
      <c r="H23">
        <v>0.154</v>
      </c>
    </row>
    <row r="24" spans="1:8" x14ac:dyDescent="0.2">
      <c r="A24" t="s">
        <v>68</v>
      </c>
      <c r="B24">
        <v>1.1399999999999966E-2</v>
      </c>
      <c r="C24">
        <v>60</v>
      </c>
      <c r="D24">
        <f t="shared" si="0"/>
        <v>1658.9690502733984</v>
      </c>
      <c r="E24" s="9">
        <f t="shared" si="1"/>
        <v>2.2073117615682407</v>
      </c>
      <c r="F24" t="s">
        <v>36</v>
      </c>
      <c r="G24" t="s">
        <v>35</v>
      </c>
      <c r="H24">
        <v>0.14280000000000001</v>
      </c>
    </row>
    <row r="25" spans="1:8" x14ac:dyDescent="0.2">
      <c r="A25" t="s">
        <v>69</v>
      </c>
      <c r="B25">
        <v>1.5399999999999969E-2</v>
      </c>
      <c r="C25">
        <v>60</v>
      </c>
      <c r="D25">
        <f t="shared" si="0"/>
        <v>1658.9690502733984</v>
      </c>
      <c r="E25" s="9">
        <f t="shared" si="1"/>
        <v>3.3874467481053148</v>
      </c>
      <c r="F25" t="s">
        <v>36</v>
      </c>
      <c r="G25" t="s">
        <v>35</v>
      </c>
      <c r="H25">
        <v>0.12570000000000001</v>
      </c>
    </row>
    <row r="26" spans="1:8" x14ac:dyDescent="0.2">
      <c r="A26" t="s">
        <v>70</v>
      </c>
      <c r="B26">
        <v>1.529999999999998E-2</v>
      </c>
      <c r="C26">
        <v>60</v>
      </c>
      <c r="D26">
        <f t="shared" si="0"/>
        <v>1658.9690502733984</v>
      </c>
      <c r="E26" s="9">
        <f t="shared" si="1"/>
        <v>2.2090710591107889</v>
      </c>
      <c r="F26" t="s">
        <v>37</v>
      </c>
      <c r="G26" t="s">
        <v>34</v>
      </c>
      <c r="H26">
        <v>0.1915</v>
      </c>
    </row>
    <row r="27" spans="1:8" x14ac:dyDescent="0.2">
      <c r="A27" t="s">
        <v>71</v>
      </c>
      <c r="B27">
        <v>1.9499999999999962E-2</v>
      </c>
      <c r="C27">
        <v>60</v>
      </c>
      <c r="D27">
        <f t="shared" si="0"/>
        <v>1658.9690502733984</v>
      </c>
      <c r="E27" s="9">
        <f t="shared" si="1"/>
        <v>2.5456323953675799</v>
      </c>
      <c r="F27" t="s">
        <v>37</v>
      </c>
      <c r="G27" t="s">
        <v>34</v>
      </c>
      <c r="H27">
        <v>0.21179999999999999</v>
      </c>
    </row>
    <row r="28" spans="1:8" x14ac:dyDescent="0.2">
      <c r="A28" t="s">
        <v>72</v>
      </c>
      <c r="B28">
        <v>2.6399999999999979E-2</v>
      </c>
      <c r="C28">
        <v>60</v>
      </c>
      <c r="D28">
        <f t="shared" si="0"/>
        <v>1658.9690502733984</v>
      </c>
      <c r="E28" s="9">
        <f t="shared" si="1"/>
        <v>3.2969574621512856</v>
      </c>
      <c r="F28" t="s">
        <v>37</v>
      </c>
      <c r="G28" t="s">
        <v>34</v>
      </c>
      <c r="H28">
        <v>0.22140000000000001</v>
      </c>
    </row>
    <row r="29" spans="1:8" x14ac:dyDescent="0.2">
      <c r="A29" t="s">
        <v>73</v>
      </c>
      <c r="B29">
        <v>2.5000000000000022E-2</v>
      </c>
      <c r="C29">
        <v>60</v>
      </c>
      <c r="D29">
        <f t="shared" si="0"/>
        <v>1658.9690502733984</v>
      </c>
      <c r="E29" s="9">
        <f t="shared" si="1"/>
        <v>3.0397410038723978</v>
      </c>
      <c r="F29" t="s">
        <v>37</v>
      </c>
      <c r="G29" t="s">
        <v>35</v>
      </c>
      <c r="H29">
        <v>0.22739999999999999</v>
      </c>
    </row>
    <row r="30" spans="1:8" x14ac:dyDescent="0.2">
      <c r="A30" t="s">
        <v>74</v>
      </c>
      <c r="B30">
        <v>9.000000000000008E-3</v>
      </c>
      <c r="C30">
        <v>60</v>
      </c>
      <c r="D30">
        <f t="shared" si="0"/>
        <v>1658.9690502733984</v>
      </c>
      <c r="E30" s="9">
        <f t="shared" si="1"/>
        <v>1.135243419438914</v>
      </c>
      <c r="F30" t="s">
        <v>37</v>
      </c>
      <c r="G30" t="s">
        <v>35</v>
      </c>
      <c r="H30">
        <v>0.21920000000000001</v>
      </c>
    </row>
    <row r="31" spans="1:8" x14ac:dyDescent="0.2">
      <c r="A31" t="s">
        <v>75</v>
      </c>
      <c r="B31">
        <v>8.80000000000003E-3</v>
      </c>
      <c r="C31">
        <v>60</v>
      </c>
      <c r="D31">
        <f t="shared" si="0"/>
        <v>1658.9690502733984</v>
      </c>
      <c r="E31" s="9">
        <f t="shared" si="1"/>
        <v>1.110522413084281</v>
      </c>
      <c r="F31" t="s">
        <v>37</v>
      </c>
      <c r="G31" t="s">
        <v>35</v>
      </c>
      <c r="H31">
        <v>0.21909999999999999</v>
      </c>
    </row>
    <row r="32" spans="1:8" x14ac:dyDescent="0.2">
      <c r="A32" t="s">
        <v>76</v>
      </c>
      <c r="B32">
        <v>1.409999999999989E-2</v>
      </c>
      <c r="C32">
        <v>60</v>
      </c>
      <c r="D32">
        <f t="shared" si="0"/>
        <v>1658.9690502733984</v>
      </c>
      <c r="E32" s="9">
        <f t="shared" si="1"/>
        <v>1.5938582453566867</v>
      </c>
      <c r="F32" t="s">
        <v>39</v>
      </c>
      <c r="G32" t="s">
        <v>34</v>
      </c>
      <c r="H32">
        <v>0.24460000000000001</v>
      </c>
    </row>
    <row r="33" spans="1:8" x14ac:dyDescent="0.2">
      <c r="A33" t="s">
        <v>77</v>
      </c>
      <c r="B33">
        <v>1.8499999999999961E-2</v>
      </c>
      <c r="C33">
        <v>60</v>
      </c>
      <c r="D33">
        <f t="shared" si="0"/>
        <v>1658.9690502733984</v>
      </c>
      <c r="E33" s="9">
        <f t="shared" si="1"/>
        <v>2.402609005014702</v>
      </c>
      <c r="F33" t="s">
        <v>39</v>
      </c>
      <c r="G33" t="s">
        <v>34</v>
      </c>
      <c r="H33">
        <v>0.21290000000000001</v>
      </c>
    </row>
    <row r="34" spans="1:8" x14ac:dyDescent="0.2">
      <c r="A34" t="s">
        <v>78</v>
      </c>
      <c r="B34">
        <v>1.7700000000000049E-2</v>
      </c>
      <c r="C34">
        <v>60</v>
      </c>
      <c r="D34">
        <f t="shared" si="0"/>
        <v>1658.9690502733984</v>
      </c>
      <c r="E34" s="9">
        <f t="shared" si="1"/>
        <v>1.916944260989635</v>
      </c>
      <c r="F34" t="s">
        <v>39</v>
      </c>
      <c r="G34" t="s">
        <v>34</v>
      </c>
      <c r="H34">
        <v>0.25530000000000003</v>
      </c>
    </row>
    <row r="35" spans="1:8" x14ac:dyDescent="0.2">
      <c r="A35" t="s">
        <v>79</v>
      </c>
      <c r="B35">
        <v>1.6799999999999926E-2</v>
      </c>
      <c r="C35">
        <v>60</v>
      </c>
      <c r="D35">
        <f t="shared" si="0"/>
        <v>1658.9690502733984</v>
      </c>
      <c r="E35" s="9">
        <f t="shared" si="1"/>
        <v>1.8685089866313338</v>
      </c>
      <c r="F35" t="s">
        <v>39</v>
      </c>
      <c r="G35" t="s">
        <v>35</v>
      </c>
      <c r="H35">
        <v>0.24859999999999999</v>
      </c>
    </row>
    <row r="36" spans="1:8" x14ac:dyDescent="0.2">
      <c r="A36" t="s">
        <v>80</v>
      </c>
      <c r="B36">
        <v>1E-4</v>
      </c>
      <c r="C36">
        <v>60</v>
      </c>
      <c r="D36">
        <f t="shared" si="0"/>
        <v>1658.9690502733984</v>
      </c>
      <c r="E36" s="9">
        <f t="shared" si="1"/>
        <v>1.1108671824517198E-2</v>
      </c>
      <c r="F36" t="s">
        <v>39</v>
      </c>
      <c r="G36" t="s">
        <v>35</v>
      </c>
      <c r="H36">
        <v>0.24890000000000001</v>
      </c>
    </row>
    <row r="37" spans="1:8" x14ac:dyDescent="0.2">
      <c r="A37" t="s">
        <v>81</v>
      </c>
      <c r="B37">
        <v>1.0600000000000054E-2</v>
      </c>
      <c r="C37">
        <v>60</v>
      </c>
      <c r="D37">
        <f t="shared" si="0"/>
        <v>1658.9690502733984</v>
      </c>
      <c r="E37" s="9">
        <f t="shared" si="1"/>
        <v>1.1653460525446064</v>
      </c>
      <c r="F37" t="s">
        <v>39</v>
      </c>
      <c r="G37" t="s">
        <v>35</v>
      </c>
      <c r="H37">
        <v>0.2515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484E-1E28-0745-9567-CAE277AA3B23}">
  <dimension ref="A1:L31"/>
  <sheetViews>
    <sheetView zoomScale="101" workbookViewId="0">
      <selection activeCell="E14" sqref="E14:E15"/>
    </sheetView>
  </sheetViews>
  <sheetFormatPr baseColWidth="10" defaultRowHeight="16" x14ac:dyDescent="0.2"/>
  <cols>
    <col min="1" max="1" width="8.83203125" customWidth="1"/>
    <col min="2" max="2" width="9" customWidth="1"/>
    <col min="3" max="5" width="10.1640625" customWidth="1"/>
    <col min="6" max="6" width="13.6640625" customWidth="1"/>
    <col min="7" max="7" width="10" customWidth="1"/>
    <col min="8" max="9" width="9.5" customWidth="1"/>
    <col min="10" max="10" width="11.6640625" customWidth="1"/>
    <col min="11" max="11" width="12.83203125" customWidth="1"/>
  </cols>
  <sheetData>
    <row r="1" spans="1:12" x14ac:dyDescent="0.2">
      <c r="A1" s="1" t="s">
        <v>30</v>
      </c>
      <c r="B1" s="1" t="s">
        <v>31</v>
      </c>
      <c r="C1" s="1" t="s">
        <v>46</v>
      </c>
      <c r="D1" s="1" t="s">
        <v>47</v>
      </c>
      <c r="E1" s="1" t="s">
        <v>48</v>
      </c>
      <c r="F1" s="1" t="s">
        <v>32</v>
      </c>
      <c r="G1" s="1" t="s">
        <v>33</v>
      </c>
      <c r="H1" s="1" t="s">
        <v>45</v>
      </c>
      <c r="I1" s="1" t="s">
        <v>42</v>
      </c>
      <c r="J1" s="1" t="s">
        <v>43</v>
      </c>
      <c r="K1" s="1" t="s">
        <v>44</v>
      </c>
      <c r="L1" s="1" t="s">
        <v>41</v>
      </c>
    </row>
    <row r="2" spans="1:12" x14ac:dyDescent="0.2">
      <c r="A2" t="s">
        <v>0</v>
      </c>
      <c r="B2" s="2">
        <v>7.5999999999999998E-2</v>
      </c>
      <c r="C2" s="3">
        <v>8.359999999999998E-2</v>
      </c>
      <c r="D2" s="3">
        <v>6.8999999999999978E-2</v>
      </c>
      <c r="E2" s="3">
        <f>(C2-D2)/29/(0.02184*0.3588)*(0.13/0.01)/K2</f>
        <v>2.5775344039678346E-2</v>
      </c>
      <c r="F2" t="s">
        <v>36</v>
      </c>
      <c r="G2" t="s">
        <v>34</v>
      </c>
      <c r="H2" s="2">
        <v>0.39929999999999999</v>
      </c>
      <c r="I2" s="2">
        <f>35.535*H2-4.5848</f>
        <v>9.6043254999999981</v>
      </c>
      <c r="J2" s="4">
        <v>0.2964</v>
      </c>
      <c r="K2" s="3">
        <f>I2/J2</f>
        <v>32.403257422402156</v>
      </c>
      <c r="L2">
        <v>0.1618</v>
      </c>
    </row>
    <row r="3" spans="1:12" x14ac:dyDescent="0.2">
      <c r="A3" t="s">
        <v>1</v>
      </c>
      <c r="B3" s="2">
        <v>6.5199999999999994E-2</v>
      </c>
      <c r="C3" s="3">
        <v>8.1000000000000016E-2</v>
      </c>
      <c r="D3" s="3">
        <v>6.8999999999999978E-2</v>
      </c>
      <c r="E3" s="3">
        <f t="shared" ref="E3:E31" si="0">(C3-D3)/29/(0.02184*0.3588)*(0.13/0.01)/K3</f>
        <v>2.1570880152273327E-2</v>
      </c>
      <c r="F3" t="s">
        <v>36</v>
      </c>
      <c r="G3" t="s">
        <v>34</v>
      </c>
      <c r="H3" s="2">
        <v>0.32129999999999997</v>
      </c>
      <c r="I3" s="2">
        <f t="shared" ref="I3:I31" si="1">35.535*H3-4.5848</f>
        <v>6.8325954999999974</v>
      </c>
      <c r="J3" s="4">
        <v>0.2147</v>
      </c>
      <c r="K3" s="3">
        <f t="shared" ref="K3:K31" si="2">I3/J3</f>
        <v>31.823919422449919</v>
      </c>
      <c r="L3">
        <v>0.14949999999999999</v>
      </c>
    </row>
    <row r="4" spans="1:12" x14ac:dyDescent="0.2">
      <c r="A4" t="s">
        <v>2</v>
      </c>
      <c r="B4" s="2">
        <v>7.0000000000000007E-2</v>
      </c>
      <c r="C4" s="3">
        <v>7.4899999999999967E-2</v>
      </c>
      <c r="D4" s="3">
        <v>6.8999999999999978E-2</v>
      </c>
      <c r="E4" s="3">
        <f>(C4-D4)/29/(0.02184*0.3588)*(0.13/0.01)/K4</f>
        <v>1.4106292575636713E-2</v>
      </c>
      <c r="F4" t="s">
        <v>36</v>
      </c>
      <c r="G4" t="s">
        <v>34</v>
      </c>
      <c r="H4" s="2">
        <v>0.25829999999999997</v>
      </c>
      <c r="I4" s="2">
        <f t="shared" si="1"/>
        <v>4.5938904999999979</v>
      </c>
      <c r="J4" s="4">
        <v>0.192</v>
      </c>
      <c r="K4" s="3">
        <f t="shared" si="2"/>
        <v>23.926513020833323</v>
      </c>
      <c r="L4">
        <v>0.15290000000000001</v>
      </c>
    </row>
    <row r="5" spans="1:12" x14ac:dyDescent="0.2">
      <c r="A5" t="s">
        <v>3</v>
      </c>
      <c r="B5" s="2">
        <v>7.0800000000000002E-2</v>
      </c>
      <c r="C5" s="3">
        <v>7.8800000000000009E-2</v>
      </c>
      <c r="D5" s="3">
        <v>6.8999999999999978E-2</v>
      </c>
      <c r="E5" s="3">
        <f t="shared" si="0"/>
        <v>1.3166438960815419E-2</v>
      </c>
      <c r="F5" t="s">
        <v>36</v>
      </c>
      <c r="G5" t="s">
        <v>35</v>
      </c>
      <c r="H5" s="2">
        <v>0.29330000000000001</v>
      </c>
      <c r="I5" s="2">
        <f t="shared" si="1"/>
        <v>5.8376154999999992</v>
      </c>
      <c r="J5">
        <v>0.1371</v>
      </c>
      <c r="K5" s="3">
        <f t="shared" si="2"/>
        <v>42.579252370532451</v>
      </c>
      <c r="L5" s="4">
        <v>0.15359999999999999</v>
      </c>
    </row>
    <row r="6" spans="1:12" x14ac:dyDescent="0.2">
      <c r="A6" t="s">
        <v>4</v>
      </c>
      <c r="B6" s="2">
        <v>6.8199999999999997E-2</v>
      </c>
      <c r="C6" s="3">
        <v>8.9100000000000013E-2</v>
      </c>
      <c r="D6" s="3">
        <v>6.8999999999999978E-2</v>
      </c>
      <c r="E6" s="3">
        <f t="shared" si="0"/>
        <v>2.9632741127556549E-2</v>
      </c>
      <c r="F6" t="s">
        <v>36</v>
      </c>
      <c r="G6" t="s">
        <v>35</v>
      </c>
      <c r="H6" s="2">
        <v>0.36030000000000001</v>
      </c>
      <c r="I6" s="2">
        <f t="shared" si="1"/>
        <v>8.2184604999999991</v>
      </c>
      <c r="J6" s="4">
        <v>0.21179999999999999</v>
      </c>
      <c r="K6" s="3">
        <f t="shared" si="2"/>
        <v>38.802929650613784</v>
      </c>
      <c r="L6">
        <v>0.14549999999999999</v>
      </c>
    </row>
    <row r="7" spans="1:12" x14ac:dyDescent="0.2">
      <c r="A7" t="s">
        <v>5</v>
      </c>
      <c r="B7" s="2">
        <v>7.3400000000000007E-2</v>
      </c>
      <c r="C7" s="3">
        <v>8.1799999999999984E-2</v>
      </c>
      <c r="D7" s="3">
        <v>6.8999999999999978E-2</v>
      </c>
      <c r="E7" s="3">
        <f t="shared" si="0"/>
        <v>5.4313092712135559E-2</v>
      </c>
      <c r="F7" t="s">
        <v>36</v>
      </c>
      <c r="G7" t="s">
        <v>35</v>
      </c>
      <c r="H7" s="2">
        <v>0.24909999999999999</v>
      </c>
      <c r="I7" s="2">
        <f t="shared" si="1"/>
        <v>4.2669684999999982</v>
      </c>
      <c r="J7" s="4">
        <v>0.3165</v>
      </c>
      <c r="K7" s="3">
        <f t="shared" si="2"/>
        <v>13.481733017377561</v>
      </c>
      <c r="L7">
        <v>0.1525</v>
      </c>
    </row>
    <row r="8" spans="1:12" x14ac:dyDescent="0.2">
      <c r="A8" t="s">
        <v>6</v>
      </c>
      <c r="B8" s="2">
        <v>6.8900000000000003E-2</v>
      </c>
      <c r="C8" s="3">
        <v>8.4899999999999975E-2</v>
      </c>
      <c r="D8" s="3">
        <v>6.8999999999999978E-2</v>
      </c>
      <c r="E8" s="3">
        <f t="shared" si="0"/>
        <v>5.7993472080299827E-2</v>
      </c>
      <c r="F8" t="s">
        <v>37</v>
      </c>
      <c r="G8" t="s">
        <v>34</v>
      </c>
      <c r="H8">
        <v>0.21990000000000001</v>
      </c>
      <c r="I8" s="2">
        <f t="shared" si="1"/>
        <v>3.2293464999999992</v>
      </c>
      <c r="J8" s="4">
        <v>0.2059</v>
      </c>
      <c r="K8" s="3">
        <f t="shared" si="2"/>
        <v>15.684052938319569</v>
      </c>
      <c r="L8">
        <v>0.14749999999999999</v>
      </c>
    </row>
    <row r="9" spans="1:12" x14ac:dyDescent="0.2">
      <c r="A9" t="s">
        <v>7</v>
      </c>
      <c r="B9" s="2">
        <v>6.8900000000000003E-2</v>
      </c>
      <c r="C9" s="3">
        <v>8.0599999999999977E-2</v>
      </c>
      <c r="D9" s="3">
        <v>6.8999999999999978E-2</v>
      </c>
      <c r="E9" s="3">
        <f t="shared" si="0"/>
        <v>8.6186401023115561E-2</v>
      </c>
      <c r="F9" t="s">
        <v>37</v>
      </c>
      <c r="G9" t="s">
        <v>34</v>
      </c>
      <c r="H9">
        <v>0.17760000000000001</v>
      </c>
      <c r="I9" s="2">
        <f t="shared" si="1"/>
        <v>1.7262159999999991</v>
      </c>
      <c r="J9" s="4">
        <v>0.22420000000000001</v>
      </c>
      <c r="K9" s="3">
        <f t="shared" si="2"/>
        <v>7.6994469223907185</v>
      </c>
      <c r="L9">
        <v>0.15490000000000001</v>
      </c>
    </row>
    <row r="10" spans="1:12" x14ac:dyDescent="0.2">
      <c r="A10" t="s">
        <v>8</v>
      </c>
      <c r="B10" s="2">
        <v>7.7799999999999994E-2</v>
      </c>
      <c r="C10" s="3">
        <v>8.5699999999999998E-2</v>
      </c>
      <c r="D10" s="3">
        <v>6.8999999999999978E-2</v>
      </c>
      <c r="E10" s="3">
        <f t="shared" si="0"/>
        <v>0.12132606095114712</v>
      </c>
      <c r="F10" t="s">
        <v>37</v>
      </c>
      <c r="G10" t="s">
        <v>34</v>
      </c>
      <c r="H10">
        <v>0.1678</v>
      </c>
      <c r="I10" s="2">
        <f t="shared" si="1"/>
        <v>1.377972999999999</v>
      </c>
      <c r="J10" s="4">
        <v>0.17499999999999999</v>
      </c>
      <c r="K10" s="3">
        <f t="shared" si="2"/>
        <v>7.874131428571423</v>
      </c>
      <c r="L10">
        <v>0.15440000000000001</v>
      </c>
    </row>
    <row r="11" spans="1:12" x14ac:dyDescent="0.2">
      <c r="A11" t="s">
        <v>9</v>
      </c>
      <c r="B11" s="2">
        <v>6.8099999999999994E-2</v>
      </c>
      <c r="C11" s="3">
        <v>7.8399999999999997E-2</v>
      </c>
      <c r="D11" s="3">
        <v>6.8999999999999978E-2</v>
      </c>
      <c r="E11" s="3">
        <f t="shared" si="0"/>
        <v>8.1372564199273356E-2</v>
      </c>
      <c r="F11" t="s">
        <v>37</v>
      </c>
      <c r="G11" t="s">
        <v>35</v>
      </c>
      <c r="H11">
        <v>0.1855</v>
      </c>
      <c r="I11" s="2">
        <f t="shared" si="1"/>
        <v>2.0069424999999992</v>
      </c>
      <c r="J11" s="4">
        <v>0.30370000000000003</v>
      </c>
      <c r="K11" s="3">
        <f t="shared" si="2"/>
        <v>6.6083058939743138</v>
      </c>
      <c r="L11">
        <v>0.1719</v>
      </c>
    </row>
    <row r="12" spans="1:12" x14ac:dyDescent="0.2">
      <c r="A12" t="s">
        <v>10</v>
      </c>
      <c r="B12" s="2">
        <v>6.6900000000000001E-2</v>
      </c>
      <c r="C12" s="3">
        <v>7.7800000000000008E-2</v>
      </c>
      <c r="D12" s="3">
        <v>6.8999999999999978E-2</v>
      </c>
      <c r="E12" s="3">
        <f t="shared" si="0"/>
        <v>2.810757942695459E-2</v>
      </c>
      <c r="F12" t="s">
        <v>37</v>
      </c>
      <c r="G12" t="s">
        <v>35</v>
      </c>
      <c r="H12">
        <v>0.27689999999999998</v>
      </c>
      <c r="I12" s="2">
        <f t="shared" si="1"/>
        <v>5.2548414999999986</v>
      </c>
      <c r="J12" s="4">
        <v>0.29339999999999999</v>
      </c>
      <c r="K12" s="3">
        <f t="shared" si="2"/>
        <v>17.910161895023855</v>
      </c>
      <c r="L12">
        <v>0.15279999999999999</v>
      </c>
    </row>
    <row r="13" spans="1:12" x14ac:dyDescent="0.2">
      <c r="A13" t="s">
        <v>11</v>
      </c>
      <c r="B13" s="2">
        <v>6.7500000000000004E-2</v>
      </c>
      <c r="C13" s="3">
        <v>7.7200000000000019E-2</v>
      </c>
      <c r="D13" s="3">
        <v>6.8999999999999978E-2</v>
      </c>
      <c r="E13" s="3">
        <f t="shared" si="0"/>
        <v>6.3359135377513684E-2</v>
      </c>
      <c r="F13" t="s">
        <v>37</v>
      </c>
      <c r="G13" t="s">
        <v>35</v>
      </c>
      <c r="H13">
        <v>0.1714</v>
      </c>
      <c r="I13" s="2">
        <f t="shared" si="1"/>
        <v>1.5058989999999985</v>
      </c>
      <c r="J13" s="4">
        <v>0.2034</v>
      </c>
      <c r="K13" s="3">
        <f t="shared" si="2"/>
        <v>7.403633235004909</v>
      </c>
      <c r="L13">
        <v>0.15049999999999999</v>
      </c>
    </row>
    <row r="14" spans="1:12" x14ac:dyDescent="0.2">
      <c r="A14" t="s">
        <v>12</v>
      </c>
      <c r="B14" s="2">
        <v>6.5799999999999997E-2</v>
      </c>
      <c r="C14" s="3">
        <v>9.0900000000000036E-2</v>
      </c>
      <c r="D14" s="3">
        <v>6.8999999999999978E-2</v>
      </c>
      <c r="E14" s="3">
        <f t="shared" si="0"/>
        <v>4.3306617069335751E-2</v>
      </c>
      <c r="F14" t="s">
        <v>38</v>
      </c>
      <c r="G14" t="s">
        <v>34</v>
      </c>
      <c r="H14">
        <v>0.25829999999999997</v>
      </c>
      <c r="I14" s="2">
        <f t="shared" si="1"/>
        <v>4.5938904999999979</v>
      </c>
      <c r="J14">
        <v>0.1588</v>
      </c>
      <c r="K14" s="3">
        <f t="shared" si="2"/>
        <v>28.928781486146082</v>
      </c>
      <c r="L14" s="4">
        <v>0.29799999999999999</v>
      </c>
    </row>
    <row r="15" spans="1:12" x14ac:dyDescent="0.2">
      <c r="A15" t="s">
        <v>13</v>
      </c>
      <c r="B15" s="2">
        <v>8.5099999999999995E-2</v>
      </c>
      <c r="C15" s="3">
        <v>7.5600000000000001E-2</v>
      </c>
      <c r="D15" s="3">
        <v>6.8999999999999978E-2</v>
      </c>
      <c r="E15" s="3">
        <f t="shared" si="0"/>
        <v>7.4951958562886709E-2</v>
      </c>
      <c r="F15" t="s">
        <v>38</v>
      </c>
      <c r="G15" t="s">
        <v>34</v>
      </c>
      <c r="H15">
        <v>0.2276</v>
      </c>
      <c r="I15" s="2">
        <f t="shared" si="1"/>
        <v>3.502965999999998</v>
      </c>
      <c r="J15" s="4">
        <v>0.69540000000000002</v>
      </c>
      <c r="K15" s="3">
        <f t="shared" si="2"/>
        <v>5.0373396606269747</v>
      </c>
      <c r="L15">
        <v>0.1867</v>
      </c>
    </row>
    <row r="16" spans="1:12" ht="15" customHeight="1" x14ac:dyDescent="0.2">
      <c r="A16" t="s">
        <v>14</v>
      </c>
      <c r="B16" s="2">
        <v>6.8699999999999997E-2</v>
      </c>
      <c r="C16" s="3">
        <v>7.6800000000000035E-2</v>
      </c>
      <c r="D16" s="3">
        <v>6.8999999999999978E-2</v>
      </c>
      <c r="E16" s="3">
        <f t="shared" si="0"/>
        <v>1.4227143949246623E-2</v>
      </c>
      <c r="F16" t="s">
        <v>38</v>
      </c>
      <c r="G16" t="s">
        <v>34</v>
      </c>
      <c r="H16">
        <v>0.4577</v>
      </c>
      <c r="I16" s="2">
        <f t="shared" si="1"/>
        <v>11.679569499999996</v>
      </c>
      <c r="J16" s="4">
        <v>0.37240000000000001</v>
      </c>
      <c r="K16" s="3">
        <f t="shared" si="2"/>
        <v>31.3629685821697</v>
      </c>
      <c r="L16">
        <v>0.1991</v>
      </c>
    </row>
    <row r="17" spans="1:12" x14ac:dyDescent="0.2">
      <c r="A17" t="s">
        <v>15</v>
      </c>
      <c r="B17" s="2">
        <v>8.1000000000000003E-2</v>
      </c>
      <c r="C17" s="3">
        <v>8.6499999999999966E-2</v>
      </c>
      <c r="D17" s="3">
        <v>6.8999999999999978E-2</v>
      </c>
      <c r="E17" s="3">
        <f t="shared" si="0"/>
        <v>3.3633564657938313E-2</v>
      </c>
      <c r="F17" t="s">
        <v>38</v>
      </c>
      <c r="G17" t="s">
        <v>35</v>
      </c>
      <c r="H17">
        <v>0.42730000000000001</v>
      </c>
      <c r="I17" s="2">
        <f t="shared" si="1"/>
        <v>10.5993055</v>
      </c>
      <c r="J17" s="4">
        <v>0.35610000000000003</v>
      </c>
      <c r="K17" s="3">
        <f t="shared" si="2"/>
        <v>29.764969109800614</v>
      </c>
      <c r="L17">
        <v>0.1968</v>
      </c>
    </row>
    <row r="18" spans="1:12" x14ac:dyDescent="0.2">
      <c r="A18" t="s">
        <v>16</v>
      </c>
      <c r="B18" s="2">
        <v>6.4600000000000005E-2</v>
      </c>
      <c r="C18" s="3">
        <v>8.0500000000000016E-2</v>
      </c>
      <c r="D18" s="3">
        <v>6.8999999999999978E-2</v>
      </c>
      <c r="E18" s="3">
        <f t="shared" si="0"/>
        <v>4.1335989129169359E-2</v>
      </c>
      <c r="F18" t="s">
        <v>38</v>
      </c>
      <c r="G18" t="s">
        <v>35</v>
      </c>
      <c r="H18">
        <v>0.3483</v>
      </c>
      <c r="I18" s="2">
        <f t="shared" si="1"/>
        <v>7.7920404999999979</v>
      </c>
      <c r="J18" s="4">
        <v>0.48959999999999998</v>
      </c>
      <c r="K18" s="3">
        <f t="shared" si="2"/>
        <v>15.915115400326794</v>
      </c>
      <c r="L18">
        <v>0.19800000000000001</v>
      </c>
    </row>
    <row r="19" spans="1:12" x14ac:dyDescent="0.2">
      <c r="A19" t="s">
        <v>17</v>
      </c>
      <c r="B19" s="2">
        <v>6.7299999999999999E-2</v>
      </c>
      <c r="C19" s="3">
        <v>6.4000000000000001E-2</v>
      </c>
      <c r="D19" s="3">
        <v>6.8999999999999978E-2</v>
      </c>
      <c r="E19" s="3">
        <f t="shared" si="0"/>
        <v>-3.7359917113707564E-2</v>
      </c>
      <c r="F19" t="s">
        <v>38</v>
      </c>
      <c r="G19" t="s">
        <v>35</v>
      </c>
      <c r="H19">
        <v>0.21740000000000001</v>
      </c>
      <c r="I19" s="2">
        <f t="shared" si="1"/>
        <v>3.1405089999999989</v>
      </c>
      <c r="J19" s="4">
        <v>0.41020000000000001</v>
      </c>
      <c r="K19" s="3">
        <f t="shared" si="2"/>
        <v>7.6560433934665983</v>
      </c>
      <c r="L19">
        <v>0.19539999999999999</v>
      </c>
    </row>
    <row r="20" spans="1:12" x14ac:dyDescent="0.2">
      <c r="A20" t="s">
        <v>18</v>
      </c>
      <c r="B20" s="2">
        <v>7.6799999999999993E-2</v>
      </c>
      <c r="C20" s="3">
        <v>8.610000000000001E-2</v>
      </c>
      <c r="D20" s="3">
        <v>6.8999999999999978E-2</v>
      </c>
      <c r="E20" s="3">
        <f t="shared" si="0"/>
        <v>0.11039964551156738</v>
      </c>
      <c r="F20" t="s">
        <v>39</v>
      </c>
      <c r="G20" t="s">
        <v>34</v>
      </c>
      <c r="H20">
        <v>0.18559999999999999</v>
      </c>
      <c r="I20" s="2">
        <f t="shared" si="1"/>
        <v>2.0104959999999981</v>
      </c>
      <c r="J20">
        <v>0.22689999999999999</v>
      </c>
      <c r="K20" s="3">
        <f t="shared" si="2"/>
        <v>8.860713970912288</v>
      </c>
      <c r="L20" s="4">
        <v>0.23680000000000001</v>
      </c>
    </row>
    <row r="21" spans="1:12" x14ac:dyDescent="0.2">
      <c r="A21" t="s">
        <v>19</v>
      </c>
      <c r="B21" s="2">
        <v>6.9500000000000006E-2</v>
      </c>
      <c r="C21" s="3">
        <v>8.0300000000000038E-2</v>
      </c>
      <c r="D21" s="3">
        <v>6.8999999999999978E-2</v>
      </c>
      <c r="E21" s="3">
        <f t="shared" si="0"/>
        <v>3.3045298401806825E-2</v>
      </c>
      <c r="F21" t="s">
        <v>39</v>
      </c>
      <c r="G21" t="s">
        <v>34</v>
      </c>
      <c r="H21">
        <v>0.1991</v>
      </c>
      <c r="I21" s="2">
        <f t="shared" si="1"/>
        <v>2.4902184999999992</v>
      </c>
      <c r="J21">
        <v>0.1273</v>
      </c>
      <c r="K21" s="3">
        <f t="shared" si="2"/>
        <v>19.561810683424977</v>
      </c>
      <c r="L21" s="4">
        <v>0.19159999999999999</v>
      </c>
    </row>
    <row r="22" spans="1:12" x14ac:dyDescent="0.2">
      <c r="A22" t="s">
        <v>20</v>
      </c>
      <c r="B22" s="2">
        <v>6.5799999999999997E-2</v>
      </c>
      <c r="C22" s="3">
        <v>8.09E-2</v>
      </c>
      <c r="D22" s="3">
        <v>6.8999999999999978E-2</v>
      </c>
      <c r="E22" s="3">
        <f t="shared" si="0"/>
        <v>7.2728531909466113E-2</v>
      </c>
      <c r="F22" t="s">
        <v>39</v>
      </c>
      <c r="G22" t="s">
        <v>34</v>
      </c>
      <c r="H22">
        <v>0.25629999999999997</v>
      </c>
      <c r="I22" s="2">
        <f t="shared" si="1"/>
        <v>4.5228204999999972</v>
      </c>
      <c r="J22" s="4">
        <v>0.48320000000000002</v>
      </c>
      <c r="K22" s="3">
        <f t="shared" si="2"/>
        <v>9.3601417632450268</v>
      </c>
      <c r="L22">
        <v>0.1903</v>
      </c>
    </row>
    <row r="23" spans="1:12" x14ac:dyDescent="0.2">
      <c r="A23" t="s">
        <v>21</v>
      </c>
      <c r="B23" s="2">
        <v>6.9800000000000001E-2</v>
      </c>
      <c r="C23" s="3">
        <v>8.3800000000000013E-2</v>
      </c>
      <c r="D23" s="3">
        <v>6.8999999999999978E-2</v>
      </c>
      <c r="E23" s="3">
        <f t="shared" si="0"/>
        <v>0.24346521050535397</v>
      </c>
      <c r="F23" t="s">
        <v>39</v>
      </c>
      <c r="G23" t="s">
        <v>35</v>
      </c>
      <c r="H23">
        <v>0.1648</v>
      </c>
      <c r="I23" s="2">
        <f t="shared" si="1"/>
        <v>1.2713679999999989</v>
      </c>
      <c r="J23" s="4">
        <v>0.36559999999999998</v>
      </c>
      <c r="K23" s="3">
        <f t="shared" si="2"/>
        <v>3.4774835886214417</v>
      </c>
      <c r="L23">
        <v>0.188</v>
      </c>
    </row>
    <row r="24" spans="1:12" x14ac:dyDescent="0.2">
      <c r="A24" t="s">
        <v>22</v>
      </c>
      <c r="B24" s="2">
        <v>6.5199999999999994E-2</v>
      </c>
      <c r="C24" s="3">
        <v>8.0100000000000005E-2</v>
      </c>
      <c r="D24" s="3">
        <v>6.8999999999999978E-2</v>
      </c>
      <c r="E24" s="3">
        <f t="shared" si="0"/>
        <v>0.15792220856085173</v>
      </c>
      <c r="F24" t="s">
        <v>39</v>
      </c>
      <c r="G24" t="s">
        <v>35</v>
      </c>
      <c r="H24">
        <v>0.1666</v>
      </c>
      <c r="I24" s="2">
        <f t="shared" si="1"/>
        <v>1.3353309999999992</v>
      </c>
      <c r="J24" s="4">
        <v>0.33210000000000001</v>
      </c>
      <c r="K24" s="3">
        <f t="shared" si="2"/>
        <v>4.0208702198133066</v>
      </c>
      <c r="L24">
        <v>0.1905</v>
      </c>
    </row>
    <row r="25" spans="1:12" x14ac:dyDescent="0.2">
      <c r="A25" t="s">
        <v>23</v>
      </c>
      <c r="B25" s="2">
        <v>6.5699999999999995E-2</v>
      </c>
      <c r="C25" s="3">
        <v>0.1164</v>
      </c>
      <c r="D25" s="3">
        <v>6.8999999999999978E-2</v>
      </c>
      <c r="E25" s="3">
        <f t="shared" si="0"/>
        <v>0.10773536580279713</v>
      </c>
      <c r="F25" t="s">
        <v>39</v>
      </c>
      <c r="G25" t="s">
        <v>35</v>
      </c>
      <c r="H25">
        <v>0.19900000000000001</v>
      </c>
      <c r="I25" s="2">
        <f t="shared" si="1"/>
        <v>2.4866649999999995</v>
      </c>
      <c r="J25">
        <v>9.8799999999999999E-2</v>
      </c>
      <c r="K25" s="3">
        <f t="shared" si="2"/>
        <v>25.168674089068819</v>
      </c>
      <c r="L25" s="4">
        <v>0.31080000000000002</v>
      </c>
    </row>
    <row r="26" spans="1:12" x14ac:dyDescent="0.2">
      <c r="A26" t="s">
        <v>24</v>
      </c>
      <c r="B26" s="2">
        <v>6.4699999999999994E-2</v>
      </c>
      <c r="C26" s="3">
        <v>9.6700000000000008E-2</v>
      </c>
      <c r="D26" s="3">
        <v>6.8999999999999978E-2</v>
      </c>
      <c r="E26" s="3">
        <f t="shared" si="0"/>
        <v>0.23264527996986564</v>
      </c>
      <c r="F26" t="s">
        <v>40</v>
      </c>
      <c r="G26" t="s">
        <v>34</v>
      </c>
      <c r="H26">
        <v>0.2</v>
      </c>
      <c r="I26" s="2">
        <f t="shared" si="1"/>
        <v>2.5221999999999989</v>
      </c>
      <c r="J26" s="4">
        <v>0.37030000000000002</v>
      </c>
      <c r="K26" s="3">
        <f t="shared" si="2"/>
        <v>6.8112341344855487</v>
      </c>
      <c r="L26">
        <v>0.2722</v>
      </c>
    </row>
    <row r="27" spans="1:12" x14ac:dyDescent="0.2">
      <c r="A27" t="s">
        <v>25</v>
      </c>
      <c r="B27" s="2">
        <v>6.7500000000000004E-2</v>
      </c>
      <c r="C27" s="3">
        <v>8.4400000000000003E-2</v>
      </c>
      <c r="D27" s="3">
        <v>6.8999999999999978E-2</v>
      </c>
      <c r="E27" s="3">
        <f t="shared" si="0"/>
        <v>0.22111815097652676</v>
      </c>
      <c r="F27" t="s">
        <v>40</v>
      </c>
      <c r="G27" t="s">
        <v>34</v>
      </c>
      <c r="H27">
        <v>0.16239999999999999</v>
      </c>
      <c r="I27" s="2">
        <f t="shared" si="1"/>
        <v>1.1860839999999984</v>
      </c>
      <c r="J27" s="4">
        <v>0.29770000000000002</v>
      </c>
      <c r="K27" s="3">
        <f t="shared" si="2"/>
        <v>3.9841585488747002</v>
      </c>
      <c r="L27">
        <v>0.20760000000000001</v>
      </c>
    </row>
    <row r="28" spans="1:12" x14ac:dyDescent="0.2">
      <c r="A28" t="s">
        <v>26</v>
      </c>
      <c r="B28" s="2">
        <v>7.1400000000000005E-2</v>
      </c>
      <c r="C28" s="3">
        <v>7.7399999999999997E-2</v>
      </c>
      <c r="D28" s="3">
        <v>6.8999999999999978E-2</v>
      </c>
      <c r="E28" s="3">
        <f t="shared" si="0"/>
        <v>4.8156734101220261E-2</v>
      </c>
      <c r="F28" t="s">
        <v>40</v>
      </c>
      <c r="G28" t="s">
        <v>34</v>
      </c>
      <c r="H28">
        <v>0.21609999999999999</v>
      </c>
      <c r="I28" s="2">
        <f t="shared" si="1"/>
        <v>3.0943134999999984</v>
      </c>
      <c r="J28" s="4">
        <v>0.31009999999999999</v>
      </c>
      <c r="K28" s="3">
        <f t="shared" si="2"/>
        <v>9.9784376007739386</v>
      </c>
      <c r="L28">
        <v>0.1946</v>
      </c>
    </row>
    <row r="29" spans="1:12" x14ac:dyDescent="0.2">
      <c r="A29" t="s">
        <v>27</v>
      </c>
      <c r="B29" s="2">
        <v>6.8000000000000005E-2</v>
      </c>
      <c r="C29" s="3">
        <v>7.3999999999999982E-2</v>
      </c>
      <c r="D29" s="3">
        <v>6.8999999999999978E-2</v>
      </c>
      <c r="E29" s="3">
        <f t="shared" si="0"/>
        <v>2.6831294679628526E-2</v>
      </c>
      <c r="F29" t="s">
        <v>40</v>
      </c>
      <c r="G29" t="s">
        <v>35</v>
      </c>
      <c r="H29">
        <v>0.23089999999999999</v>
      </c>
      <c r="I29" s="2">
        <f t="shared" si="1"/>
        <v>3.6202314999999983</v>
      </c>
      <c r="J29" s="4">
        <v>0.33960000000000001</v>
      </c>
      <c r="K29" s="3">
        <f t="shared" si="2"/>
        <v>10.660281213191984</v>
      </c>
      <c r="L29">
        <v>0.20880000000000001</v>
      </c>
    </row>
    <row r="30" spans="1:12" x14ac:dyDescent="0.2">
      <c r="A30" t="s">
        <v>28</v>
      </c>
      <c r="B30" s="2">
        <v>0.1232</v>
      </c>
      <c r="C30" s="3">
        <v>8.4300000000000014E-2</v>
      </c>
      <c r="D30" s="3">
        <v>6.8999999999999978E-2</v>
      </c>
      <c r="E30" s="3">
        <f t="shared" si="0"/>
        <v>0.249699207169054</v>
      </c>
      <c r="F30" t="s">
        <v>40</v>
      </c>
      <c r="G30" t="s">
        <v>35</v>
      </c>
      <c r="H30">
        <v>0.1691</v>
      </c>
      <c r="I30" s="2">
        <f t="shared" si="1"/>
        <v>1.4241684999999986</v>
      </c>
      <c r="J30" s="4">
        <v>0.40629999999999999</v>
      </c>
      <c r="K30" s="3">
        <f t="shared" si="2"/>
        <v>3.5052141274919975</v>
      </c>
      <c r="L30">
        <v>0.2011</v>
      </c>
    </row>
    <row r="31" spans="1:12" x14ac:dyDescent="0.2">
      <c r="A31" t="s">
        <v>29</v>
      </c>
      <c r="B31" s="2">
        <v>7.0499999999999993E-2</v>
      </c>
      <c r="C31" s="3">
        <v>8.1700000000000023E-2</v>
      </c>
      <c r="D31" s="3">
        <v>6.8999999999999978E-2</v>
      </c>
      <c r="E31" s="3">
        <f t="shared" si="0"/>
        <v>9.5871959260060785E-2</v>
      </c>
      <c r="F31" t="s">
        <v>40</v>
      </c>
      <c r="G31" t="s">
        <v>35</v>
      </c>
      <c r="H31">
        <v>0.22359999999999999</v>
      </c>
      <c r="I31" s="2">
        <f t="shared" si="1"/>
        <v>3.3608259999999985</v>
      </c>
      <c r="J31" s="4">
        <v>0.44350000000000001</v>
      </c>
      <c r="K31" s="3">
        <f t="shared" si="2"/>
        <v>7.5779616685456563</v>
      </c>
      <c r="L31">
        <v>0.1988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3B693-FD99-BC40-9F17-D405B3328DCA}">
  <dimension ref="A1:M19"/>
  <sheetViews>
    <sheetView workbookViewId="0">
      <selection activeCell="F27" sqref="F27"/>
    </sheetView>
  </sheetViews>
  <sheetFormatPr baseColWidth="10" defaultRowHeight="16" x14ac:dyDescent="0.2"/>
  <cols>
    <col min="6" max="7" width="14.83203125" customWidth="1"/>
    <col min="11" max="11" width="13.6640625" customWidth="1"/>
    <col min="12" max="12" width="14.1640625" customWidth="1"/>
    <col min="13" max="13" width="10.83203125" style="7"/>
  </cols>
  <sheetData>
    <row r="1" spans="1:13" x14ac:dyDescent="0.2">
      <c r="A1" s="1" t="s">
        <v>30</v>
      </c>
      <c r="B1" s="1" t="s">
        <v>31</v>
      </c>
      <c r="C1" s="1" t="s">
        <v>46</v>
      </c>
      <c r="D1" s="1" t="s">
        <v>47</v>
      </c>
      <c r="E1" s="1" t="s">
        <v>48</v>
      </c>
      <c r="F1" s="1" t="s">
        <v>32</v>
      </c>
      <c r="G1" s="1" t="s">
        <v>49</v>
      </c>
      <c r="H1" s="1" t="s">
        <v>33</v>
      </c>
      <c r="I1" s="1" t="s">
        <v>45</v>
      </c>
      <c r="J1" s="1" t="s">
        <v>42</v>
      </c>
      <c r="K1" s="1" t="s">
        <v>43</v>
      </c>
      <c r="L1" s="1" t="s">
        <v>44</v>
      </c>
      <c r="M1" s="6" t="s">
        <v>41</v>
      </c>
    </row>
    <row r="2" spans="1:13" x14ac:dyDescent="0.2">
      <c r="A2" t="s">
        <v>50</v>
      </c>
      <c r="B2" s="2">
        <v>7.5999999999999998E-2</v>
      </c>
      <c r="C2" s="3">
        <v>3.0399999999999983E-2</v>
      </c>
      <c r="D2" s="3">
        <v>2.0000000000000018E-2</v>
      </c>
      <c r="E2" s="3">
        <f>(C2-D2)/29/(0.02184*0.3588)*(0.13/0.01)/J2</f>
        <v>0.19160889106499143</v>
      </c>
      <c r="F2" t="s">
        <v>36</v>
      </c>
      <c r="G2" s="8">
        <f>AVERAGE(E2:E4)</f>
        <v>-8.6516099472734823E-2</v>
      </c>
      <c r="H2" t="s">
        <v>34</v>
      </c>
      <c r="I2" s="2">
        <v>0.21640000000000001</v>
      </c>
      <c r="J2" s="2">
        <f>35.535*I2-4.5848</f>
        <v>3.1049739999999995</v>
      </c>
      <c r="K2" s="5">
        <v>0.2964</v>
      </c>
      <c r="L2" s="3">
        <f t="shared" ref="L2:L19" si="0">J2/K2</f>
        <v>10.475620782726045</v>
      </c>
      <c r="M2" s="7">
        <v>0.1618</v>
      </c>
    </row>
    <row r="3" spans="1:13" x14ac:dyDescent="0.2">
      <c r="A3" t="s">
        <v>51</v>
      </c>
      <c r="B3" s="2">
        <v>6.5199999999999994E-2</v>
      </c>
      <c r="C3" s="3">
        <v>1.6000000000000014E-2</v>
      </c>
      <c r="D3" s="3">
        <v>2.0000000000000018E-2</v>
      </c>
      <c r="E3" s="3">
        <f t="shared" ref="E3:E19" si="1">(C3-D3)/29/(0.02184*0.3588)*(0.13/0.01)/J3</f>
        <v>-0.29166614166046645</v>
      </c>
      <c r="F3" t="s">
        <v>36</v>
      </c>
      <c r="G3" s="9"/>
      <c r="H3" t="s">
        <v>34</v>
      </c>
      <c r="I3" s="2">
        <v>0.15110000000000001</v>
      </c>
      <c r="J3" s="2">
        <f t="shared" ref="J3:J19" si="2">35.535*I3-4.5848</f>
        <v>0.78453849999999914</v>
      </c>
      <c r="K3" s="5">
        <v>0.2147</v>
      </c>
      <c r="L3" s="3">
        <f t="shared" si="0"/>
        <v>3.6541150442477837</v>
      </c>
      <c r="M3" s="7">
        <v>0.14949999999999999</v>
      </c>
    </row>
    <row r="4" spans="1:13" x14ac:dyDescent="0.2">
      <c r="A4" t="s">
        <v>52</v>
      </c>
      <c r="B4" s="2">
        <v>7.0000000000000007E-2</v>
      </c>
      <c r="C4" s="3">
        <v>1.8100000000000005E-2</v>
      </c>
      <c r="D4" s="3">
        <v>2.0000000000000018E-2</v>
      </c>
      <c r="E4" s="3">
        <f t="shared" si="1"/>
        <v>-0.15949104782272944</v>
      </c>
      <c r="F4" t="s">
        <v>36</v>
      </c>
      <c r="G4" s="9"/>
      <c r="H4" t="s">
        <v>34</v>
      </c>
      <c r="I4" s="2">
        <v>0.1482</v>
      </c>
      <c r="J4" s="2">
        <f t="shared" si="2"/>
        <v>0.68148699999999884</v>
      </c>
      <c r="K4" s="5">
        <v>0.192</v>
      </c>
      <c r="L4" s="3">
        <f t="shared" si="0"/>
        <v>3.5494114583333274</v>
      </c>
      <c r="M4" s="7">
        <v>0.15290000000000001</v>
      </c>
    </row>
    <row r="5" spans="1:13" x14ac:dyDescent="0.2">
      <c r="A5" t="s">
        <v>53</v>
      </c>
      <c r="B5" s="2">
        <v>7.0800000000000002E-2</v>
      </c>
      <c r="C5" s="3">
        <v>2.6399999999999979E-2</v>
      </c>
      <c r="D5" s="3">
        <v>2.0000000000000018E-2</v>
      </c>
      <c r="E5" s="3">
        <f t="shared" si="1"/>
        <v>0.11631574742488951</v>
      </c>
      <c r="F5" t="s">
        <v>36</v>
      </c>
      <c r="G5" s="8">
        <f>AVERAGE(E5:E7)</f>
        <v>0.76175940242202289</v>
      </c>
      <c r="H5" t="s">
        <v>35</v>
      </c>
      <c r="I5" s="2">
        <v>0.21759999999999999</v>
      </c>
      <c r="J5" s="2">
        <f t="shared" si="2"/>
        <v>3.1476159999999984</v>
      </c>
      <c r="K5" s="5">
        <v>0.1371</v>
      </c>
      <c r="L5" s="3">
        <f t="shared" si="0"/>
        <v>22.95854121079503</v>
      </c>
      <c r="M5" s="7">
        <v>0.15359999999999999</v>
      </c>
    </row>
    <row r="6" spans="1:13" x14ac:dyDescent="0.2">
      <c r="A6" t="s">
        <v>54</v>
      </c>
      <c r="B6" s="2">
        <v>6.8199999999999997E-2</v>
      </c>
      <c r="C6" s="3">
        <v>2.8000000000000025E-2</v>
      </c>
      <c r="D6" s="3">
        <v>2.0000000000000018E-2</v>
      </c>
      <c r="E6" s="3">
        <f t="shared" si="1"/>
        <v>0.76760203245904479</v>
      </c>
      <c r="F6" t="s">
        <v>36</v>
      </c>
      <c r="G6" s="9"/>
      <c r="H6" t="s">
        <v>35</v>
      </c>
      <c r="I6" s="2">
        <v>0.14580000000000001</v>
      </c>
      <c r="J6" s="2">
        <f t="shared" si="2"/>
        <v>0.59620299999999915</v>
      </c>
      <c r="K6" s="5">
        <v>0.21179999999999999</v>
      </c>
      <c r="L6" s="3">
        <f t="shared" si="0"/>
        <v>2.8149338999055673</v>
      </c>
      <c r="M6" s="7">
        <v>0.14549999999999999</v>
      </c>
    </row>
    <row r="7" spans="1:13" x14ac:dyDescent="0.2">
      <c r="A7" t="s">
        <v>55</v>
      </c>
      <c r="B7" s="2">
        <v>7.3400000000000007E-2</v>
      </c>
      <c r="C7" s="3">
        <v>3.8000000000000034E-2</v>
      </c>
      <c r="D7" s="3">
        <v>2.0000000000000018E-2</v>
      </c>
      <c r="E7" s="3">
        <f>(C7-D7)/29/(0.02184*0.3588)*(0.13/0.01)/J7</f>
        <v>1.4013604273821345</v>
      </c>
      <c r="F7" t="s">
        <v>36</v>
      </c>
      <c r="G7" s="9"/>
      <c r="H7" t="s">
        <v>35</v>
      </c>
      <c r="I7" s="2">
        <v>0.1497</v>
      </c>
      <c r="J7" s="2">
        <f t="shared" si="2"/>
        <v>0.73478949999999887</v>
      </c>
      <c r="K7" s="5">
        <v>0.3165</v>
      </c>
      <c r="L7" s="3">
        <f t="shared" si="0"/>
        <v>2.3216097946287486</v>
      </c>
      <c r="M7" s="7">
        <v>0.1525</v>
      </c>
    </row>
    <row r="8" spans="1:13" x14ac:dyDescent="0.2">
      <c r="A8" t="s">
        <v>50</v>
      </c>
      <c r="B8" s="2">
        <v>6.8900000000000003E-2</v>
      </c>
      <c r="C8" s="3">
        <v>3.2299999999999995E-2</v>
      </c>
      <c r="D8" s="3">
        <v>2.0000000000000018E-2</v>
      </c>
      <c r="E8" s="3">
        <f t="shared" si="1"/>
        <v>0.15400070838736371</v>
      </c>
      <c r="F8" t="s">
        <v>37</v>
      </c>
      <c r="G8" s="8">
        <f>AVERAGE(E8:E10)</f>
        <v>5.6812294615641822E-2</v>
      </c>
      <c r="H8" t="s">
        <v>34</v>
      </c>
      <c r="I8">
        <v>0.2576</v>
      </c>
      <c r="J8" s="2">
        <f t="shared" si="2"/>
        <v>4.5690159999999986</v>
      </c>
      <c r="K8" s="5">
        <v>0.2059</v>
      </c>
      <c r="L8" s="3">
        <f t="shared" si="0"/>
        <v>22.190461389023792</v>
      </c>
      <c r="M8" s="7">
        <v>0.14749999999999999</v>
      </c>
    </row>
    <row r="9" spans="1:13" x14ac:dyDescent="0.2">
      <c r="A9" t="s">
        <v>56</v>
      </c>
      <c r="B9" s="2">
        <v>6.8900000000000003E-2</v>
      </c>
      <c r="C9" s="3">
        <v>1.3299999999999979E-2</v>
      </c>
      <c r="D9" s="3">
        <v>2.0000000000000018E-2</v>
      </c>
      <c r="E9" s="3">
        <f t="shared" si="1"/>
        <v>-8.0385505833978022E-2</v>
      </c>
      <c r="F9" t="s">
        <v>37</v>
      </c>
      <c r="G9" s="9"/>
      <c r="H9" t="s">
        <v>34</v>
      </c>
      <c r="I9">
        <v>0.26319999999999999</v>
      </c>
      <c r="J9" s="2">
        <f t="shared" si="2"/>
        <v>4.7680119999999979</v>
      </c>
      <c r="K9" s="5">
        <v>0.22420000000000001</v>
      </c>
      <c r="L9" s="3">
        <f t="shared" si="0"/>
        <v>21.26677966101694</v>
      </c>
      <c r="M9" s="7">
        <v>0.15490000000000001</v>
      </c>
    </row>
    <row r="10" spans="1:13" x14ac:dyDescent="0.2">
      <c r="A10" t="s">
        <v>57</v>
      </c>
      <c r="B10" s="2">
        <v>7.7799999999999994E-2</v>
      </c>
      <c r="C10" s="3">
        <v>2.8100000000000014E-2</v>
      </c>
      <c r="D10" s="3">
        <v>2.0000000000000018E-2</v>
      </c>
      <c r="E10" s="3">
        <f t="shared" si="1"/>
        <v>9.6821681293539782E-2</v>
      </c>
      <c r="F10" t="s">
        <v>37</v>
      </c>
      <c r="G10" s="9"/>
      <c r="H10" t="s">
        <v>34</v>
      </c>
      <c r="I10">
        <v>0.26369999999999999</v>
      </c>
      <c r="J10" s="2">
        <f t="shared" si="2"/>
        <v>4.7857794999999976</v>
      </c>
      <c r="K10" s="5">
        <v>0.17499999999999999</v>
      </c>
      <c r="L10" s="3">
        <f t="shared" si="0"/>
        <v>27.347311428571416</v>
      </c>
      <c r="M10" s="7">
        <v>0.15440000000000001</v>
      </c>
    </row>
    <row r="11" spans="1:13" x14ac:dyDescent="0.2">
      <c r="A11" t="s">
        <v>58</v>
      </c>
      <c r="B11" s="2">
        <v>6.8099999999999994E-2</v>
      </c>
      <c r="C11" s="3">
        <v>2.6000000000000023E-2</v>
      </c>
      <c r="D11" s="3">
        <v>2.0000000000000018E-2</v>
      </c>
      <c r="E11" s="3">
        <f t="shared" si="1"/>
        <v>6.2852676110997735E-2</v>
      </c>
      <c r="F11" t="s">
        <v>37</v>
      </c>
      <c r="G11" s="8">
        <f>AVERAGE(E11:E13)</f>
        <v>0.11690150199751097</v>
      </c>
      <c r="H11" t="s">
        <v>35</v>
      </c>
      <c r="I11">
        <v>0.28270000000000001</v>
      </c>
      <c r="J11" s="2">
        <f t="shared" si="2"/>
        <v>5.4609444999999992</v>
      </c>
      <c r="K11" s="5">
        <v>0.30370000000000003</v>
      </c>
      <c r="L11" s="3">
        <f t="shared" si="0"/>
        <v>17.981378004609809</v>
      </c>
      <c r="M11" s="7">
        <v>0.1719</v>
      </c>
    </row>
    <row r="12" spans="1:13" x14ac:dyDescent="0.2">
      <c r="A12" t="s">
        <v>59</v>
      </c>
      <c r="B12" s="2">
        <v>6.6900000000000001E-2</v>
      </c>
      <c r="C12" s="3">
        <v>3.5000000000000031E-2</v>
      </c>
      <c r="D12" s="3">
        <v>2.0000000000000018E-2</v>
      </c>
      <c r="E12" s="3">
        <f t="shared" si="1"/>
        <v>0.1886862333108501</v>
      </c>
      <c r="F12" t="s">
        <v>37</v>
      </c>
      <c r="G12" s="9"/>
      <c r="H12" t="s">
        <v>35</v>
      </c>
      <c r="I12">
        <v>0.25700000000000001</v>
      </c>
      <c r="J12" s="2">
        <f t="shared" si="2"/>
        <v>4.5476949999999983</v>
      </c>
      <c r="K12" s="5">
        <v>0.29339999999999999</v>
      </c>
      <c r="L12" s="3">
        <f t="shared" si="0"/>
        <v>15.499982958418535</v>
      </c>
      <c r="M12" s="7">
        <v>0.15279999999999999</v>
      </c>
    </row>
    <row r="13" spans="1:13" x14ac:dyDescent="0.2">
      <c r="A13" t="s">
        <v>60</v>
      </c>
      <c r="B13" s="2">
        <v>6.7500000000000004E-2</v>
      </c>
      <c r="C13" s="3">
        <v>3.4185000000000021E-2</v>
      </c>
      <c r="D13" s="3">
        <v>2.0000000000000018E-2</v>
      </c>
      <c r="E13" s="3">
        <f t="shared" si="1"/>
        <v>9.9165596570685036E-2</v>
      </c>
      <c r="F13" t="s">
        <v>37</v>
      </c>
      <c r="G13" s="9"/>
      <c r="H13" t="s">
        <v>35</v>
      </c>
      <c r="I13">
        <v>0.35930000000000001</v>
      </c>
      <c r="J13" s="2">
        <f t="shared" si="2"/>
        <v>8.1829254999999996</v>
      </c>
      <c r="K13" s="5">
        <v>0.2034</v>
      </c>
      <c r="L13" s="3">
        <f t="shared" si="0"/>
        <v>40.230705506391345</v>
      </c>
      <c r="M13" s="7">
        <v>0.15049999999999999</v>
      </c>
    </row>
    <row r="14" spans="1:13" x14ac:dyDescent="0.2">
      <c r="A14" t="s">
        <v>61</v>
      </c>
      <c r="B14" s="2">
        <v>7.6799999999999993E-2</v>
      </c>
      <c r="C14" s="3">
        <v>3.080000000000005E-2</v>
      </c>
      <c r="D14" s="3">
        <v>2.0000000000000018E-2</v>
      </c>
      <c r="E14" s="3">
        <f t="shared" si="1"/>
        <v>0.60206305314294739</v>
      </c>
      <c r="F14" t="s">
        <v>39</v>
      </c>
      <c r="G14" s="8">
        <f>AVERAGE(E14:E16)</f>
        <v>0.39169454409572585</v>
      </c>
      <c r="H14" t="s">
        <v>34</v>
      </c>
      <c r="I14">
        <v>0.15790000000000001</v>
      </c>
      <c r="J14" s="2">
        <f t="shared" si="2"/>
        <v>1.0261764999999992</v>
      </c>
      <c r="K14" s="5">
        <v>0.22689999999999999</v>
      </c>
      <c r="L14" s="3">
        <f t="shared" si="0"/>
        <v>4.5225936535918869</v>
      </c>
      <c r="M14" s="7">
        <v>0.23680000000000001</v>
      </c>
    </row>
    <row r="15" spans="1:13" x14ac:dyDescent="0.2">
      <c r="A15" t="s">
        <v>62</v>
      </c>
      <c r="B15" s="2">
        <v>6.9500000000000006E-2</v>
      </c>
      <c r="C15" s="3">
        <v>2.9399999999999982E-2</v>
      </c>
      <c r="D15" s="3">
        <v>2.0000000000000018E-2</v>
      </c>
      <c r="E15" s="3">
        <f t="shared" si="1"/>
        <v>0.64730081543052076</v>
      </c>
      <c r="F15" t="s">
        <v>39</v>
      </c>
      <c r="G15" s="9"/>
      <c r="H15" t="s">
        <v>34</v>
      </c>
      <c r="I15">
        <v>0.15240000000000001</v>
      </c>
      <c r="J15" s="2">
        <f t="shared" si="2"/>
        <v>0.83073399999999964</v>
      </c>
      <c r="K15" s="5">
        <v>0.1273</v>
      </c>
      <c r="L15" s="3">
        <f t="shared" si="0"/>
        <v>6.5257973291437521</v>
      </c>
      <c r="M15" s="7">
        <v>0.19159999999999999</v>
      </c>
    </row>
    <row r="16" spans="1:13" x14ac:dyDescent="0.2">
      <c r="A16" t="s">
        <v>63</v>
      </c>
      <c r="B16" s="2">
        <v>6.5799999999999997E-2</v>
      </c>
      <c r="C16" s="3">
        <v>1.8100000000000005E-2</v>
      </c>
      <c r="D16" s="3">
        <v>2.0000000000000018E-2</v>
      </c>
      <c r="E16" s="3">
        <f t="shared" si="1"/>
        <v>-7.4280236286290324E-2</v>
      </c>
      <c r="F16" t="s">
        <v>39</v>
      </c>
      <c r="G16" s="9"/>
      <c r="H16" t="s">
        <v>34</v>
      </c>
      <c r="I16">
        <v>0.17019999999999999</v>
      </c>
      <c r="J16" s="2">
        <f t="shared" si="2"/>
        <v>1.4632569999999987</v>
      </c>
      <c r="K16" s="5">
        <v>0.48320000000000002</v>
      </c>
      <c r="L16" s="3">
        <f t="shared" si="0"/>
        <v>3.0282636589403946</v>
      </c>
      <c r="M16" s="7">
        <v>0.1903</v>
      </c>
    </row>
    <row r="17" spans="1:13" x14ac:dyDescent="0.2">
      <c r="A17" t="s">
        <v>64</v>
      </c>
      <c r="B17" s="2">
        <v>6.9800000000000001E-2</v>
      </c>
      <c r="C17" s="3">
        <v>2.6600000000000068E-2</v>
      </c>
      <c r="D17" s="3">
        <v>2.0000000000000018E-2</v>
      </c>
      <c r="E17" s="3">
        <f t="shared" si="1"/>
        <v>0.33019468719051831</v>
      </c>
      <c r="F17" t="s">
        <v>39</v>
      </c>
      <c r="G17" s="8">
        <f>AVERAGE(E17:E19)</f>
        <v>5.992592754241511E-2</v>
      </c>
      <c r="H17" t="s">
        <v>35</v>
      </c>
      <c r="I17">
        <v>0.16120000000000001</v>
      </c>
      <c r="J17" s="2">
        <f t="shared" si="2"/>
        <v>1.1434419999999994</v>
      </c>
      <c r="K17" s="5">
        <v>0.36559999999999998</v>
      </c>
      <c r="L17" s="3">
        <f t="shared" si="0"/>
        <v>3.1275765864332588</v>
      </c>
      <c r="M17" s="7">
        <v>0.188</v>
      </c>
    </row>
    <row r="18" spans="1:13" x14ac:dyDescent="0.2">
      <c r="A18" t="s">
        <v>65</v>
      </c>
      <c r="B18" s="2">
        <v>6.5199999999999994E-2</v>
      </c>
      <c r="C18" s="3">
        <v>1.7000000000000015E-2</v>
      </c>
      <c r="D18" s="3">
        <v>2.0000000000000018E-2</v>
      </c>
      <c r="E18" s="3">
        <f t="shared" si="1"/>
        <v>-0.145564746351555</v>
      </c>
      <c r="F18" t="s">
        <v>39</v>
      </c>
      <c r="G18" s="9"/>
      <c r="H18" t="s">
        <v>35</v>
      </c>
      <c r="I18">
        <v>0.16220000000000001</v>
      </c>
      <c r="J18" s="2">
        <f t="shared" si="2"/>
        <v>1.1789769999999997</v>
      </c>
      <c r="K18" s="5">
        <v>0.33210000000000001</v>
      </c>
      <c r="L18" s="3">
        <f t="shared" si="0"/>
        <v>3.5500662451068945</v>
      </c>
      <c r="M18" s="7">
        <v>0.1905</v>
      </c>
    </row>
    <row r="19" spans="1:13" x14ac:dyDescent="0.2">
      <c r="A19" t="s">
        <v>66</v>
      </c>
      <c r="B19" s="2">
        <v>6.5699999999999995E-2</v>
      </c>
      <c r="C19" s="3">
        <v>1.9900000000000029E-2</v>
      </c>
      <c r="D19" s="3">
        <v>2.0000000000000018E-2</v>
      </c>
      <c r="E19" s="3">
        <f t="shared" si="1"/>
        <v>-4.8521582117179623E-3</v>
      </c>
      <c r="F19" t="s">
        <v>39</v>
      </c>
      <c r="G19" s="9"/>
      <c r="H19" t="s">
        <v>35</v>
      </c>
      <c r="I19">
        <v>0.16220000000000001</v>
      </c>
      <c r="J19" s="2">
        <f t="shared" si="2"/>
        <v>1.1789769999999997</v>
      </c>
      <c r="K19" s="5">
        <v>9.8799999999999999E-2</v>
      </c>
      <c r="L19" s="3">
        <f t="shared" si="0"/>
        <v>11.932965587044531</v>
      </c>
      <c r="M19" s="7">
        <v>0.31080000000000002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R1</vt:lpstr>
      <vt:lpstr>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2026-06-24T13:57:11Z</dcterms:created>
  <dcterms:modified xsi:type="dcterms:W3CDTF">2026-08-26T09:19:30Z</dcterms:modified>
</cp:coreProperties>
</file>