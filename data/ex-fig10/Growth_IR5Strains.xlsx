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ngliao/Documents/GitHub/OFAR/data/ex-fig10/"/>
    </mc:Choice>
  </mc:AlternateContent>
  <xr:revisionPtr revIDLastSave="0" documentId="13_ncr:1_{8268DE46-8C8D-5846-9418-7058B22757B4}" xr6:coauthVersionLast="47" xr6:coauthVersionMax="47" xr10:uidLastSave="{00000000-0000-0000-0000-000000000000}"/>
  <bookViews>
    <workbookView xWindow="3620" yWindow="600" windowWidth="14640" windowHeight="15000" firstSheet="1" activeTab="4" xr2:uid="{F9ACF652-995A-9643-B8F2-2D60D5FB19A5}"/>
  </bookViews>
  <sheets>
    <sheet name="R1.1-round1" sheetId="1" r:id="rId1"/>
    <sheet name="R1.2-round2" sheetId="2" r:id="rId2"/>
    <sheet name="R2" sheetId="4" r:id="rId3"/>
    <sheet name="R3" sheetId="5" r:id="rId4"/>
    <sheet name="BiomassSynthesis" sheetId="6" r:id="rId5"/>
    <sheet name="BiomassSynthesis.All" sheetId="3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19" i="1" l="1"/>
  <c r="J116" i="1"/>
  <c r="J113" i="1"/>
  <c r="J110" i="1"/>
  <c r="J107" i="1"/>
  <c r="J104" i="1"/>
  <c r="J101" i="1"/>
  <c r="J98" i="1"/>
  <c r="J95" i="1"/>
  <c r="J92" i="1"/>
  <c r="J119" i="2"/>
  <c r="J116" i="2"/>
  <c r="J113" i="2"/>
  <c r="J110" i="2"/>
  <c r="J107" i="2"/>
  <c r="J104" i="2"/>
  <c r="J101" i="2"/>
  <c r="J98" i="2"/>
  <c r="J95" i="2"/>
  <c r="J92" i="2"/>
  <c r="H92" i="2"/>
  <c r="I92" i="2"/>
  <c r="I59" i="4"/>
  <c r="I56" i="4"/>
  <c r="I53" i="4"/>
  <c r="I50" i="4"/>
  <c r="I47" i="4"/>
  <c r="I44" i="4"/>
  <c r="I41" i="4"/>
  <c r="I38" i="4"/>
  <c r="I35" i="4"/>
  <c r="I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32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2" i="4"/>
  <c r="I89" i="5"/>
  <c r="I86" i="5"/>
  <c r="I38" i="5"/>
  <c r="I41" i="5"/>
  <c r="I44" i="5"/>
  <c r="I47" i="5"/>
  <c r="I50" i="5"/>
  <c r="I53" i="5"/>
  <c r="I56" i="5"/>
  <c r="I59" i="5"/>
  <c r="I62" i="5"/>
  <c r="I65" i="5"/>
  <c r="I68" i="5"/>
  <c r="I71" i="5"/>
  <c r="I74" i="5"/>
  <c r="I77" i="5"/>
  <c r="I35" i="5"/>
  <c r="I32" i="5"/>
  <c r="I83" i="5"/>
  <c r="I80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6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32" i="5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2" i="5"/>
  <c r="I121" i="2"/>
  <c r="I120" i="2"/>
  <c r="I119" i="2"/>
  <c r="I118" i="2"/>
  <c r="I117" i="2"/>
  <c r="I116" i="2"/>
  <c r="I115" i="2"/>
  <c r="I114" i="2"/>
  <c r="I113" i="2"/>
  <c r="I112" i="2"/>
  <c r="I111" i="2"/>
  <c r="I110" i="2"/>
  <c r="I109" i="2"/>
  <c r="I108" i="2"/>
  <c r="I107" i="2"/>
  <c r="I106" i="2"/>
  <c r="I105" i="2"/>
  <c r="I104" i="2"/>
  <c r="I103" i="2"/>
  <c r="I102" i="2"/>
  <c r="I101" i="2"/>
  <c r="I100" i="2"/>
  <c r="I99" i="2"/>
  <c r="I98" i="2"/>
  <c r="I97" i="2"/>
  <c r="I96" i="2"/>
  <c r="I95" i="2"/>
  <c r="I94" i="2"/>
  <c r="I93" i="2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92" i="1"/>
  <c r="H9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2" i="2"/>
  <c r="C92" i="1" l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B97" i="1"/>
  <c r="B99" i="1"/>
  <c r="B100" i="1"/>
  <c r="B102" i="1"/>
  <c r="B105" i="1"/>
  <c r="B107" i="1"/>
  <c r="B108" i="1"/>
  <c r="B110" i="1"/>
  <c r="B113" i="1"/>
  <c r="B115" i="1"/>
  <c r="B116" i="1"/>
  <c r="B118" i="1"/>
  <c r="B12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B63" i="1"/>
  <c r="B93" i="1" s="1"/>
  <c r="B64" i="1"/>
  <c r="B94" i="1" s="1"/>
  <c r="B65" i="1"/>
  <c r="B95" i="1" s="1"/>
  <c r="B66" i="1"/>
  <c r="B96" i="1" s="1"/>
  <c r="B67" i="1"/>
  <c r="B68" i="1"/>
  <c r="B98" i="1" s="1"/>
  <c r="B69" i="1"/>
  <c r="B70" i="1"/>
  <c r="B71" i="1"/>
  <c r="B101" i="1" s="1"/>
  <c r="B72" i="1"/>
  <c r="B73" i="1"/>
  <c r="B103" i="1" s="1"/>
  <c r="B74" i="1"/>
  <c r="B104" i="1" s="1"/>
  <c r="B75" i="1"/>
  <c r="B76" i="1"/>
  <c r="B106" i="1" s="1"/>
  <c r="B77" i="1"/>
  <c r="B78" i="1"/>
  <c r="B79" i="1"/>
  <c r="B109" i="1" s="1"/>
  <c r="B80" i="1"/>
  <c r="B81" i="1"/>
  <c r="B111" i="1" s="1"/>
  <c r="B82" i="1"/>
  <c r="B112" i="1" s="1"/>
  <c r="B83" i="1"/>
  <c r="B84" i="1"/>
  <c r="B114" i="1" s="1"/>
  <c r="B85" i="1"/>
  <c r="B86" i="1"/>
  <c r="B87" i="1"/>
  <c r="B117" i="1" s="1"/>
  <c r="B88" i="1"/>
  <c r="B89" i="1"/>
  <c r="B119" i="1" s="1"/>
  <c r="B90" i="1"/>
  <c r="B120" i="1" s="1"/>
  <c r="B91" i="1"/>
  <c r="B62" i="1"/>
  <c r="B92" i="1" s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2" i="1"/>
</calcChain>
</file>

<file path=xl/sharedStrings.xml><?xml version="1.0" encoding="utf-8"?>
<sst xmlns="http://schemas.openxmlformats.org/spreadsheetml/2006/main" count="1877" uniqueCount="69">
  <si>
    <t>Samples</t>
  </si>
  <si>
    <t>Strain</t>
  </si>
  <si>
    <t>Light</t>
  </si>
  <si>
    <t>Paracoccus</t>
  </si>
  <si>
    <t>Dark</t>
  </si>
  <si>
    <t>Aliidiomarina</t>
  </si>
  <si>
    <t>IR</t>
  </si>
  <si>
    <t>OD600</t>
  </si>
  <si>
    <t>Time</t>
  </si>
  <si>
    <t>Marinobacter</t>
  </si>
  <si>
    <t>OD600.Raw1</t>
  </si>
  <si>
    <t>OD600.Raw2</t>
  </si>
  <si>
    <t xml:space="preserve">Deinococcus </t>
  </si>
  <si>
    <t>Halomonas</t>
  </si>
  <si>
    <t>D1_D_0615</t>
  </si>
  <si>
    <t>D2_D</t>
  </si>
  <si>
    <t>D3_D</t>
  </si>
  <si>
    <t>D1_I</t>
  </si>
  <si>
    <t>D2_I</t>
  </si>
  <si>
    <t>D3_I</t>
  </si>
  <si>
    <t>A1_D</t>
  </si>
  <si>
    <t>A2_D</t>
  </si>
  <si>
    <t>A3_D</t>
  </si>
  <si>
    <t>A1_I</t>
  </si>
  <si>
    <t>A2_I</t>
  </si>
  <si>
    <t>A3_I</t>
  </si>
  <si>
    <t>P1_D</t>
  </si>
  <si>
    <t>P2_D</t>
  </si>
  <si>
    <t>P3_D</t>
  </si>
  <si>
    <t>P1_I</t>
  </si>
  <si>
    <t>P2_I</t>
  </si>
  <si>
    <t>P3_I</t>
  </si>
  <si>
    <t>H1_D</t>
  </si>
  <si>
    <t>H2_D</t>
  </si>
  <si>
    <t>H3_D</t>
  </si>
  <si>
    <t>H1_I</t>
  </si>
  <si>
    <t>H2_I</t>
  </si>
  <si>
    <t>H3_I</t>
  </si>
  <si>
    <t>M1_D</t>
  </si>
  <si>
    <t>M2_D</t>
  </si>
  <si>
    <t>M3_D</t>
  </si>
  <si>
    <t>M1_I</t>
  </si>
  <si>
    <t>M2_I</t>
  </si>
  <si>
    <t>M3_I</t>
  </si>
  <si>
    <t>D1_D_0601</t>
  </si>
  <si>
    <t>D1_D_0608</t>
  </si>
  <si>
    <t>D1_D_0611</t>
  </si>
  <si>
    <t>D1_D_0619</t>
  </si>
  <si>
    <t>Deinococcus</t>
  </si>
  <si>
    <t>D1_D_0622</t>
  </si>
  <si>
    <t>D1_D_0624</t>
  </si>
  <si>
    <t>D1_D_0625</t>
  </si>
  <si>
    <t>BiomassSynthesis</t>
  </si>
  <si>
    <t>NA</t>
  </si>
  <si>
    <t>BiomassSynthesisRate</t>
  </si>
  <si>
    <t>Batch</t>
  </si>
  <si>
    <t>R2</t>
  </si>
  <si>
    <t>D1_D_0716</t>
  </si>
  <si>
    <t>D1_D_0722</t>
  </si>
  <si>
    <t>D1_D_0724</t>
  </si>
  <si>
    <t>Tips</t>
  </si>
  <si>
    <t>本轮主要结论: D, A, H菌都是增长的比较多的、有显著生物质合成；而P、M菌没有</t>
  </si>
  <si>
    <t>D1_D_0708</t>
  </si>
  <si>
    <t>D1_D_0714</t>
  </si>
  <si>
    <t>Rate_BiomassSynthesis</t>
  </si>
  <si>
    <t>本轮培养初始碳源未充分清洗，所以导致OD600增加合成较高</t>
  </si>
  <si>
    <t>R1_2</t>
  </si>
  <si>
    <t>R1_1</t>
  </si>
  <si>
    <t>R3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</si>
</sst>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b/>
      <sz val="12"/>
      <color theme="1"/>
      <name val="Calibri (Body)"/>
    </font>
    <font>
      <sz val="12"/>
      <color theme="1"/>
      <name val="Calibri (Body)"/>
    </font>
    <font>
      <b/>
      <sz val="12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1" xfId="0" applyFont="1" applyBorder="1"/>
    <xf numFmtId="0" fontId="3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0" fillId="2" borderId="0" xfId="0" applyFill="1"/>
    <xf numFmtId="0" fontId="8" fillId="3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80DEC-D826-344C-9CB4-65DA41A807AF}">
  <dimension ref="A1:J121"/>
  <sheetViews>
    <sheetView topLeftCell="A87" zoomScale="89" workbookViewId="0">
      <selection activeCell="C97" sqref="C97"/>
    </sheetView>
  </sheetViews>
  <sheetFormatPr baseColWidth="10" defaultRowHeight="16" x14ac:dyDescent="0.2"/>
  <cols>
    <col min="1" max="1" width="15.1640625" customWidth="1"/>
    <col min="2" max="2" width="9" customWidth="1"/>
    <col min="4" max="4" width="16.1640625" customWidth="1"/>
    <col min="6" max="7" width="12.6640625" style="6" customWidth="1"/>
    <col min="8" max="8" width="20.1640625" customWidth="1"/>
  </cols>
  <sheetData>
    <row r="1" spans="1:9" ht="17" thickBot="1" x14ac:dyDescent="0.25">
      <c r="A1" s="1" t="s">
        <v>0</v>
      </c>
      <c r="B1" s="2" t="s">
        <v>8</v>
      </c>
      <c r="C1" s="1" t="s">
        <v>7</v>
      </c>
      <c r="D1" s="1" t="s">
        <v>1</v>
      </c>
      <c r="E1" s="1" t="s">
        <v>2</v>
      </c>
      <c r="F1" s="5" t="s">
        <v>10</v>
      </c>
      <c r="G1" s="5" t="s">
        <v>11</v>
      </c>
      <c r="H1" s="5" t="s">
        <v>64</v>
      </c>
      <c r="I1" s="5" t="s">
        <v>52</v>
      </c>
    </row>
    <row r="2" spans="1:9" x14ac:dyDescent="0.2">
      <c r="A2" t="s">
        <v>44</v>
      </c>
      <c r="B2">
        <v>0</v>
      </c>
      <c r="C2">
        <f>AVERAGE(F2:G2)</f>
        <v>0.1424</v>
      </c>
      <c r="D2" t="s">
        <v>12</v>
      </c>
      <c r="E2" t="s">
        <v>4</v>
      </c>
      <c r="F2" s="6">
        <v>0.14030000000000001</v>
      </c>
      <c r="G2" s="6">
        <v>0.14449999999999999</v>
      </c>
      <c r="H2" t="s">
        <v>53</v>
      </c>
    </row>
    <row r="3" spans="1:9" x14ac:dyDescent="0.2">
      <c r="A3" t="s">
        <v>15</v>
      </c>
      <c r="B3">
        <v>0</v>
      </c>
      <c r="C3">
        <f t="shared" ref="C3:C66" si="0">AVERAGE(F3:G3)</f>
        <v>0.13009999999999999</v>
      </c>
      <c r="D3" t="s">
        <v>12</v>
      </c>
      <c r="E3" t="s">
        <v>4</v>
      </c>
      <c r="F3" s="6">
        <v>0.1242</v>
      </c>
      <c r="G3" s="6">
        <v>0.13600000000000001</v>
      </c>
      <c r="H3" t="s">
        <v>53</v>
      </c>
    </row>
    <row r="4" spans="1:9" x14ac:dyDescent="0.2">
      <c r="A4" t="s">
        <v>16</v>
      </c>
      <c r="B4">
        <v>0</v>
      </c>
      <c r="C4">
        <f t="shared" si="0"/>
        <v>0.12554999999999999</v>
      </c>
      <c r="D4" t="s">
        <v>12</v>
      </c>
      <c r="E4" t="s">
        <v>4</v>
      </c>
      <c r="F4" s="6">
        <v>0.12590000000000001</v>
      </c>
      <c r="G4" s="6">
        <v>0.12520000000000001</v>
      </c>
      <c r="H4" t="s">
        <v>53</v>
      </c>
    </row>
    <row r="5" spans="1:9" x14ac:dyDescent="0.2">
      <c r="A5" t="s">
        <v>17</v>
      </c>
      <c r="B5">
        <v>0</v>
      </c>
      <c r="C5">
        <f t="shared" si="0"/>
        <v>0.12554999999999999</v>
      </c>
      <c r="D5" t="s">
        <v>12</v>
      </c>
      <c r="E5" t="s">
        <v>6</v>
      </c>
      <c r="F5" s="6">
        <v>0.126</v>
      </c>
      <c r="G5" s="6">
        <v>0.12509999999999999</v>
      </c>
      <c r="H5" t="s">
        <v>53</v>
      </c>
    </row>
    <row r="6" spans="1:9" x14ac:dyDescent="0.2">
      <c r="A6" t="s">
        <v>18</v>
      </c>
      <c r="B6">
        <v>0</v>
      </c>
      <c r="C6">
        <f t="shared" si="0"/>
        <v>0.12</v>
      </c>
      <c r="D6" t="s">
        <v>12</v>
      </c>
      <c r="E6" t="s">
        <v>6</v>
      </c>
      <c r="F6" s="6">
        <v>0.1191</v>
      </c>
      <c r="G6" s="6">
        <v>0.12089999999999999</v>
      </c>
      <c r="H6" t="s">
        <v>53</v>
      </c>
    </row>
    <row r="7" spans="1:9" x14ac:dyDescent="0.2">
      <c r="A7" t="s">
        <v>19</v>
      </c>
      <c r="B7">
        <v>0</v>
      </c>
      <c r="C7">
        <f t="shared" si="0"/>
        <v>0.12255000000000001</v>
      </c>
      <c r="D7" t="s">
        <v>12</v>
      </c>
      <c r="E7" t="s">
        <v>6</v>
      </c>
      <c r="F7" s="6">
        <v>0.12330000000000001</v>
      </c>
      <c r="G7" s="6">
        <v>0.12180000000000001</v>
      </c>
      <c r="H7" t="s">
        <v>53</v>
      </c>
    </row>
    <row r="8" spans="1:9" x14ac:dyDescent="0.2">
      <c r="A8" t="s">
        <v>20</v>
      </c>
      <c r="B8">
        <v>0</v>
      </c>
      <c r="C8">
        <f t="shared" si="0"/>
        <v>0.16935</v>
      </c>
      <c r="D8" t="s">
        <v>5</v>
      </c>
      <c r="E8" t="s">
        <v>4</v>
      </c>
      <c r="F8" s="6">
        <v>0.16969999999999999</v>
      </c>
      <c r="G8" s="6">
        <v>0.16900000000000001</v>
      </c>
      <c r="H8" t="s">
        <v>53</v>
      </c>
    </row>
    <row r="9" spans="1:9" x14ac:dyDescent="0.2">
      <c r="A9" t="s">
        <v>21</v>
      </c>
      <c r="B9">
        <v>0</v>
      </c>
      <c r="C9">
        <f t="shared" si="0"/>
        <v>0.26900000000000002</v>
      </c>
      <c r="D9" t="s">
        <v>5</v>
      </c>
      <c r="E9" t="s">
        <v>4</v>
      </c>
      <c r="F9" s="6">
        <v>0.27300000000000002</v>
      </c>
      <c r="G9" s="6">
        <v>0.26500000000000001</v>
      </c>
      <c r="H9" t="s">
        <v>53</v>
      </c>
    </row>
    <row r="10" spans="1:9" x14ac:dyDescent="0.2">
      <c r="A10" t="s">
        <v>22</v>
      </c>
      <c r="B10">
        <v>0</v>
      </c>
      <c r="C10">
        <f t="shared" si="0"/>
        <v>0.17025000000000001</v>
      </c>
      <c r="D10" t="s">
        <v>5</v>
      </c>
      <c r="E10" t="s">
        <v>4</v>
      </c>
      <c r="F10" s="6">
        <v>0.16950000000000001</v>
      </c>
      <c r="G10" s="6">
        <v>0.17100000000000001</v>
      </c>
      <c r="H10" t="s">
        <v>53</v>
      </c>
    </row>
    <row r="11" spans="1:9" s="3" customFormat="1" x14ac:dyDescent="0.2">
      <c r="A11" t="s">
        <v>23</v>
      </c>
      <c r="B11">
        <v>0</v>
      </c>
      <c r="C11">
        <f t="shared" si="0"/>
        <v>0.19845000000000002</v>
      </c>
      <c r="D11" t="s">
        <v>5</v>
      </c>
      <c r="E11" t="s">
        <v>6</v>
      </c>
      <c r="F11" s="6">
        <v>0.20150000000000001</v>
      </c>
      <c r="G11" s="6">
        <v>0.19539999999999999</v>
      </c>
      <c r="H11" t="s">
        <v>53</v>
      </c>
    </row>
    <row r="12" spans="1:9" x14ac:dyDescent="0.2">
      <c r="A12" t="s">
        <v>24</v>
      </c>
      <c r="B12">
        <v>0</v>
      </c>
      <c r="C12">
        <f t="shared" si="0"/>
        <v>0.16839999999999999</v>
      </c>
      <c r="D12" t="s">
        <v>5</v>
      </c>
      <c r="E12" t="s">
        <v>6</v>
      </c>
      <c r="F12" s="6">
        <v>0.16650000000000001</v>
      </c>
      <c r="G12" s="6">
        <v>0.17030000000000001</v>
      </c>
      <c r="H12" t="s">
        <v>53</v>
      </c>
    </row>
    <row r="13" spans="1:9" x14ac:dyDescent="0.2">
      <c r="A13" t="s">
        <v>25</v>
      </c>
      <c r="B13">
        <v>0</v>
      </c>
      <c r="C13">
        <f t="shared" si="0"/>
        <v>0.25800000000000001</v>
      </c>
      <c r="D13" t="s">
        <v>5</v>
      </c>
      <c r="E13" t="s">
        <v>6</v>
      </c>
      <c r="F13" s="6">
        <v>0.25469999999999998</v>
      </c>
      <c r="G13" s="6">
        <v>0.26129999999999998</v>
      </c>
      <c r="H13" t="s">
        <v>53</v>
      </c>
    </row>
    <row r="14" spans="1:9" x14ac:dyDescent="0.2">
      <c r="A14" t="s">
        <v>26</v>
      </c>
      <c r="B14">
        <v>0</v>
      </c>
      <c r="C14">
        <f t="shared" si="0"/>
        <v>0.22889999999999999</v>
      </c>
      <c r="D14" t="s">
        <v>3</v>
      </c>
      <c r="E14" t="s">
        <v>4</v>
      </c>
      <c r="F14" s="6">
        <v>0.2596</v>
      </c>
      <c r="G14" s="6">
        <v>0.19819999999999999</v>
      </c>
      <c r="H14" t="s">
        <v>53</v>
      </c>
    </row>
    <row r="15" spans="1:9" x14ac:dyDescent="0.2">
      <c r="A15" t="s">
        <v>27</v>
      </c>
      <c r="B15">
        <v>0</v>
      </c>
      <c r="C15">
        <f t="shared" si="0"/>
        <v>0.24840000000000001</v>
      </c>
      <c r="D15" t="s">
        <v>3</v>
      </c>
      <c r="E15" t="s">
        <v>4</v>
      </c>
      <c r="F15" s="6">
        <v>0.24959999999999999</v>
      </c>
      <c r="G15" s="6">
        <v>0.2472</v>
      </c>
      <c r="H15" t="s">
        <v>53</v>
      </c>
    </row>
    <row r="16" spans="1:9" x14ac:dyDescent="0.2">
      <c r="A16" t="s">
        <v>28</v>
      </c>
      <c r="B16">
        <v>0</v>
      </c>
      <c r="C16">
        <f t="shared" si="0"/>
        <v>0.2165</v>
      </c>
      <c r="D16" t="s">
        <v>3</v>
      </c>
      <c r="E16" t="s">
        <v>4</v>
      </c>
      <c r="F16" s="6">
        <v>0.21870000000000001</v>
      </c>
      <c r="G16" s="6">
        <v>0.21429999999999999</v>
      </c>
      <c r="H16" t="s">
        <v>53</v>
      </c>
    </row>
    <row r="17" spans="1:8" x14ac:dyDescent="0.2">
      <c r="A17" t="s">
        <v>29</v>
      </c>
      <c r="B17">
        <v>0</v>
      </c>
      <c r="C17">
        <f t="shared" si="0"/>
        <v>0.217</v>
      </c>
      <c r="D17" t="s">
        <v>3</v>
      </c>
      <c r="E17" t="s">
        <v>6</v>
      </c>
      <c r="F17" s="6">
        <v>0.21809999999999999</v>
      </c>
      <c r="G17" s="6">
        <v>0.21590000000000001</v>
      </c>
      <c r="H17" t="s">
        <v>53</v>
      </c>
    </row>
    <row r="18" spans="1:8" x14ac:dyDescent="0.2">
      <c r="A18" t="s">
        <v>30</v>
      </c>
      <c r="B18">
        <v>0</v>
      </c>
      <c r="C18">
        <f t="shared" si="0"/>
        <v>0.22</v>
      </c>
      <c r="D18" t="s">
        <v>3</v>
      </c>
      <c r="E18" t="s">
        <v>6</v>
      </c>
      <c r="F18" s="6">
        <v>0.2195</v>
      </c>
      <c r="G18" s="6">
        <v>0.2205</v>
      </c>
      <c r="H18" t="s">
        <v>53</v>
      </c>
    </row>
    <row r="19" spans="1:8" x14ac:dyDescent="0.2">
      <c r="A19" t="s">
        <v>31</v>
      </c>
      <c r="B19">
        <v>0</v>
      </c>
      <c r="C19">
        <f t="shared" si="0"/>
        <v>0.2127</v>
      </c>
      <c r="D19" t="s">
        <v>3</v>
      </c>
      <c r="E19" t="s">
        <v>6</v>
      </c>
      <c r="F19" s="6">
        <v>0.2135</v>
      </c>
      <c r="G19" s="6">
        <v>0.21190000000000001</v>
      </c>
      <c r="H19" t="s">
        <v>53</v>
      </c>
    </row>
    <row r="20" spans="1:8" x14ac:dyDescent="0.2">
      <c r="A20" t="s">
        <v>32</v>
      </c>
      <c r="B20">
        <v>0</v>
      </c>
      <c r="C20">
        <f t="shared" si="0"/>
        <v>0.18425</v>
      </c>
      <c r="D20" t="s">
        <v>13</v>
      </c>
      <c r="E20" t="s">
        <v>4</v>
      </c>
      <c r="F20" s="6">
        <v>0.1855</v>
      </c>
      <c r="G20" s="6">
        <v>0.183</v>
      </c>
      <c r="H20" t="s">
        <v>53</v>
      </c>
    </row>
    <row r="21" spans="1:8" x14ac:dyDescent="0.2">
      <c r="A21" t="s">
        <v>33</v>
      </c>
      <c r="B21">
        <v>0</v>
      </c>
      <c r="C21">
        <f t="shared" si="0"/>
        <v>0.20400000000000001</v>
      </c>
      <c r="D21" t="s">
        <v>13</v>
      </c>
      <c r="E21" t="s">
        <v>4</v>
      </c>
      <c r="F21" s="6">
        <v>0.20380000000000001</v>
      </c>
      <c r="G21" s="6">
        <v>0.20419999999999999</v>
      </c>
      <c r="H21" t="s">
        <v>53</v>
      </c>
    </row>
    <row r="22" spans="1:8" x14ac:dyDescent="0.2">
      <c r="A22" t="s">
        <v>34</v>
      </c>
      <c r="B22">
        <v>0</v>
      </c>
      <c r="C22">
        <f t="shared" si="0"/>
        <v>0.20350000000000001</v>
      </c>
      <c r="D22" t="s">
        <v>13</v>
      </c>
      <c r="E22" t="s">
        <v>4</v>
      </c>
      <c r="F22" s="6">
        <v>0.2026</v>
      </c>
      <c r="G22" s="6">
        <v>0.2044</v>
      </c>
      <c r="H22" t="s">
        <v>53</v>
      </c>
    </row>
    <row r="23" spans="1:8" x14ac:dyDescent="0.2">
      <c r="A23" t="s">
        <v>35</v>
      </c>
      <c r="B23">
        <v>0</v>
      </c>
      <c r="C23">
        <f t="shared" si="0"/>
        <v>0.17674999999999999</v>
      </c>
      <c r="D23" t="s">
        <v>13</v>
      </c>
      <c r="E23" t="s">
        <v>6</v>
      </c>
      <c r="F23" s="6">
        <v>0.17799999999999999</v>
      </c>
      <c r="G23" s="6">
        <v>0.17549999999999999</v>
      </c>
      <c r="H23" t="s">
        <v>53</v>
      </c>
    </row>
    <row r="24" spans="1:8" x14ac:dyDescent="0.2">
      <c r="A24" t="s">
        <v>36</v>
      </c>
      <c r="B24">
        <v>0</v>
      </c>
      <c r="C24">
        <f t="shared" si="0"/>
        <v>0.19469999999999998</v>
      </c>
      <c r="D24" t="s">
        <v>13</v>
      </c>
      <c r="E24" t="s">
        <v>6</v>
      </c>
      <c r="F24" s="6">
        <v>0.1943</v>
      </c>
      <c r="G24" s="6">
        <v>0.1951</v>
      </c>
      <c r="H24" t="s">
        <v>53</v>
      </c>
    </row>
    <row r="25" spans="1:8" x14ac:dyDescent="0.2">
      <c r="A25" t="s">
        <v>37</v>
      </c>
      <c r="B25">
        <v>0</v>
      </c>
      <c r="C25">
        <f t="shared" si="0"/>
        <v>0.1978</v>
      </c>
      <c r="D25" t="s">
        <v>13</v>
      </c>
      <c r="E25" t="s">
        <v>6</v>
      </c>
      <c r="F25" s="6">
        <v>0.1956</v>
      </c>
      <c r="G25" s="6">
        <v>0.2</v>
      </c>
      <c r="H25" t="s">
        <v>53</v>
      </c>
    </row>
    <row r="26" spans="1:8" x14ac:dyDescent="0.2">
      <c r="A26" t="s">
        <v>38</v>
      </c>
      <c r="B26">
        <v>0</v>
      </c>
      <c r="C26">
        <f t="shared" si="0"/>
        <v>0.28025</v>
      </c>
      <c r="D26" t="s">
        <v>9</v>
      </c>
      <c r="E26" t="s">
        <v>4</v>
      </c>
      <c r="F26" s="6">
        <v>0.33660000000000001</v>
      </c>
      <c r="G26" s="6">
        <v>0.22389999999999999</v>
      </c>
      <c r="H26" t="s">
        <v>53</v>
      </c>
    </row>
    <row r="27" spans="1:8" x14ac:dyDescent="0.2">
      <c r="A27" t="s">
        <v>39</v>
      </c>
      <c r="B27">
        <v>0</v>
      </c>
      <c r="C27">
        <f t="shared" si="0"/>
        <v>0.22849999999999998</v>
      </c>
      <c r="D27" t="s">
        <v>9</v>
      </c>
      <c r="E27" t="s">
        <v>4</v>
      </c>
      <c r="F27" s="6">
        <v>0.23369999999999999</v>
      </c>
      <c r="G27" s="6">
        <v>0.2233</v>
      </c>
      <c r="H27" t="s">
        <v>53</v>
      </c>
    </row>
    <row r="28" spans="1:8" x14ac:dyDescent="0.2">
      <c r="A28" t="s">
        <v>40</v>
      </c>
      <c r="B28">
        <v>0</v>
      </c>
      <c r="C28">
        <f t="shared" si="0"/>
        <v>0.21820000000000001</v>
      </c>
      <c r="D28" t="s">
        <v>9</v>
      </c>
      <c r="E28" t="s">
        <v>4</v>
      </c>
      <c r="F28" s="6">
        <v>0.21890000000000001</v>
      </c>
      <c r="G28" s="6">
        <v>0.2175</v>
      </c>
      <c r="H28" t="s">
        <v>53</v>
      </c>
    </row>
    <row r="29" spans="1:8" x14ac:dyDescent="0.2">
      <c r="A29" t="s">
        <v>41</v>
      </c>
      <c r="B29">
        <v>0</v>
      </c>
      <c r="C29">
        <f t="shared" si="0"/>
        <v>0.2049</v>
      </c>
      <c r="D29" t="s">
        <v>9</v>
      </c>
      <c r="E29" t="s">
        <v>6</v>
      </c>
      <c r="F29" s="6">
        <v>0.20469999999999999</v>
      </c>
      <c r="G29" s="6">
        <v>0.2051</v>
      </c>
      <c r="H29" t="s">
        <v>53</v>
      </c>
    </row>
    <row r="30" spans="1:8" x14ac:dyDescent="0.2">
      <c r="A30" t="s">
        <v>42</v>
      </c>
      <c r="B30">
        <v>0</v>
      </c>
      <c r="C30">
        <f t="shared" si="0"/>
        <v>0.20305000000000001</v>
      </c>
      <c r="D30" t="s">
        <v>9</v>
      </c>
      <c r="E30" t="s">
        <v>6</v>
      </c>
      <c r="F30" s="6">
        <v>0.2016</v>
      </c>
      <c r="G30" s="6">
        <v>0.20449999999999999</v>
      </c>
      <c r="H30" t="s">
        <v>53</v>
      </c>
    </row>
    <row r="31" spans="1:8" x14ac:dyDescent="0.2">
      <c r="A31" t="s">
        <v>43</v>
      </c>
      <c r="B31">
        <v>0</v>
      </c>
      <c r="C31">
        <f t="shared" si="0"/>
        <v>0.20219999999999999</v>
      </c>
      <c r="D31" t="s">
        <v>9</v>
      </c>
      <c r="E31" t="s">
        <v>6</v>
      </c>
      <c r="F31" s="6">
        <v>0.20330000000000001</v>
      </c>
      <c r="G31" s="6">
        <v>0.2011</v>
      </c>
      <c r="H31" t="s">
        <v>53</v>
      </c>
    </row>
    <row r="32" spans="1:8" x14ac:dyDescent="0.2">
      <c r="A32" t="s">
        <v>45</v>
      </c>
      <c r="B32">
        <v>7</v>
      </c>
      <c r="C32">
        <f>AVERAGE(F32:G32)</f>
        <v>0.15620000000000001</v>
      </c>
      <c r="D32" t="s">
        <v>12</v>
      </c>
      <c r="E32" t="s">
        <v>4</v>
      </c>
      <c r="F32" s="6">
        <v>0.1547</v>
      </c>
      <c r="G32" s="6">
        <v>0.15770000000000001</v>
      </c>
    </row>
    <row r="33" spans="1:8" x14ac:dyDescent="0.2">
      <c r="A33" t="s">
        <v>15</v>
      </c>
      <c r="B33">
        <v>7</v>
      </c>
      <c r="C33">
        <f t="shared" si="0"/>
        <v>0.13084999999999999</v>
      </c>
      <c r="D33" t="s">
        <v>12</v>
      </c>
      <c r="E33" t="s">
        <v>4</v>
      </c>
      <c r="F33" s="6">
        <v>0.13059999999999999</v>
      </c>
      <c r="G33" s="6">
        <v>0.13109999999999999</v>
      </c>
    </row>
    <row r="34" spans="1:8" x14ac:dyDescent="0.2">
      <c r="A34" t="s">
        <v>16</v>
      </c>
      <c r="B34">
        <v>7</v>
      </c>
      <c r="C34">
        <f t="shared" si="0"/>
        <v>0.1429</v>
      </c>
      <c r="D34" t="s">
        <v>12</v>
      </c>
      <c r="E34" t="s">
        <v>4</v>
      </c>
      <c r="F34" s="6">
        <v>0.14280000000000001</v>
      </c>
      <c r="G34" s="6">
        <v>0.14299999999999999</v>
      </c>
    </row>
    <row r="35" spans="1:8" x14ac:dyDescent="0.2">
      <c r="A35" t="s">
        <v>17</v>
      </c>
      <c r="B35">
        <v>7</v>
      </c>
      <c r="C35">
        <f t="shared" si="0"/>
        <v>0.16044999999999998</v>
      </c>
      <c r="D35" t="s">
        <v>12</v>
      </c>
      <c r="E35" t="s">
        <v>6</v>
      </c>
      <c r="F35" s="6">
        <v>0.1709</v>
      </c>
      <c r="G35" s="6">
        <v>0.15</v>
      </c>
    </row>
    <row r="36" spans="1:8" x14ac:dyDescent="0.2">
      <c r="A36" t="s">
        <v>18</v>
      </c>
      <c r="B36">
        <v>7</v>
      </c>
      <c r="C36">
        <f t="shared" si="0"/>
        <v>0.1298</v>
      </c>
      <c r="D36" t="s">
        <v>12</v>
      </c>
      <c r="E36" t="s">
        <v>6</v>
      </c>
      <c r="F36" s="6">
        <v>0.12809999999999999</v>
      </c>
      <c r="G36" s="6">
        <v>0.13150000000000001</v>
      </c>
    </row>
    <row r="37" spans="1:8" x14ac:dyDescent="0.2">
      <c r="A37" t="s">
        <v>19</v>
      </c>
      <c r="B37">
        <v>7</v>
      </c>
      <c r="C37">
        <f t="shared" si="0"/>
        <v>0.12559999999999999</v>
      </c>
      <c r="D37" t="s">
        <v>12</v>
      </c>
      <c r="E37" t="s">
        <v>6</v>
      </c>
      <c r="F37" s="6">
        <v>0.1245</v>
      </c>
      <c r="G37" s="6">
        <v>0.12670000000000001</v>
      </c>
    </row>
    <row r="38" spans="1:8" x14ac:dyDescent="0.2">
      <c r="A38" t="s">
        <v>20</v>
      </c>
      <c r="B38">
        <v>7</v>
      </c>
      <c r="C38">
        <f t="shared" si="0"/>
        <v>0.18265000000000001</v>
      </c>
      <c r="D38" t="s">
        <v>5</v>
      </c>
      <c r="E38" t="s">
        <v>4</v>
      </c>
      <c r="F38" s="6">
        <v>0.18690000000000001</v>
      </c>
      <c r="G38" s="6">
        <v>0.1784</v>
      </c>
    </row>
    <row r="39" spans="1:8" x14ac:dyDescent="0.2">
      <c r="A39" t="s">
        <v>21</v>
      </c>
      <c r="B39">
        <v>7</v>
      </c>
      <c r="C39">
        <f t="shared" si="0"/>
        <v>0.31894999999999996</v>
      </c>
      <c r="D39" t="s">
        <v>5</v>
      </c>
      <c r="E39" t="s">
        <v>4</v>
      </c>
      <c r="F39" s="6">
        <v>0.32079999999999997</v>
      </c>
      <c r="G39" s="6">
        <v>0.31709999999999999</v>
      </c>
    </row>
    <row r="40" spans="1:8" x14ac:dyDescent="0.2">
      <c r="A40" t="s">
        <v>22</v>
      </c>
      <c r="B40">
        <v>7</v>
      </c>
      <c r="C40">
        <f t="shared" si="0"/>
        <v>0.17554999999999998</v>
      </c>
      <c r="D40" t="s">
        <v>5</v>
      </c>
      <c r="E40" t="s">
        <v>4</v>
      </c>
      <c r="F40" s="6">
        <v>0.1789</v>
      </c>
      <c r="G40" s="6">
        <v>0.17219999999999999</v>
      </c>
    </row>
    <row r="41" spans="1:8" x14ac:dyDescent="0.2">
      <c r="A41" t="s">
        <v>23</v>
      </c>
      <c r="B41">
        <v>7</v>
      </c>
      <c r="C41">
        <f t="shared" si="0"/>
        <v>0.21250000000000002</v>
      </c>
      <c r="D41" t="s">
        <v>5</v>
      </c>
      <c r="E41" t="s">
        <v>6</v>
      </c>
      <c r="F41" s="6">
        <v>0.2167</v>
      </c>
      <c r="G41" s="6">
        <v>0.20830000000000001</v>
      </c>
    </row>
    <row r="42" spans="1:8" x14ac:dyDescent="0.2">
      <c r="A42" t="s">
        <v>24</v>
      </c>
      <c r="B42">
        <v>7</v>
      </c>
      <c r="C42">
        <f t="shared" si="0"/>
        <v>0.18099999999999999</v>
      </c>
      <c r="D42" t="s">
        <v>5</v>
      </c>
      <c r="E42" t="s">
        <v>6</v>
      </c>
      <c r="F42" s="6">
        <v>0.18990000000000001</v>
      </c>
      <c r="G42" s="6">
        <v>0.1721</v>
      </c>
    </row>
    <row r="43" spans="1:8" x14ac:dyDescent="0.2">
      <c r="A43" t="s">
        <v>25</v>
      </c>
      <c r="B43">
        <v>7</v>
      </c>
      <c r="C43">
        <f t="shared" si="0"/>
        <v>0.27534999999999998</v>
      </c>
      <c r="D43" t="s">
        <v>5</v>
      </c>
      <c r="E43" t="s">
        <v>6</v>
      </c>
      <c r="F43" s="6">
        <v>0.27589999999999998</v>
      </c>
      <c r="G43" s="6">
        <v>0.27479999999999999</v>
      </c>
    </row>
    <row r="44" spans="1:8" x14ac:dyDescent="0.2">
      <c r="A44" t="s">
        <v>26</v>
      </c>
      <c r="B44">
        <v>7</v>
      </c>
      <c r="C44">
        <f t="shared" si="0"/>
        <v>0.29039999999999999</v>
      </c>
      <c r="D44" t="s">
        <v>3</v>
      </c>
      <c r="E44" t="s">
        <v>4</v>
      </c>
      <c r="F44" s="6">
        <v>0.3463</v>
      </c>
      <c r="G44" s="6">
        <v>0.23449999999999999</v>
      </c>
    </row>
    <row r="45" spans="1:8" x14ac:dyDescent="0.2">
      <c r="A45" t="s">
        <v>27</v>
      </c>
      <c r="B45">
        <v>7</v>
      </c>
      <c r="C45">
        <f t="shared" si="0"/>
        <v>0.26475000000000004</v>
      </c>
      <c r="D45" t="s">
        <v>3</v>
      </c>
      <c r="E45" t="s">
        <v>4</v>
      </c>
      <c r="F45" s="6">
        <v>0.26800000000000002</v>
      </c>
      <c r="G45" s="6">
        <v>0.26150000000000001</v>
      </c>
    </row>
    <row r="46" spans="1:8" x14ac:dyDescent="0.2">
      <c r="A46" t="s">
        <v>28</v>
      </c>
      <c r="B46">
        <v>7</v>
      </c>
      <c r="C46">
        <f t="shared" si="0"/>
        <v>0.23425000000000001</v>
      </c>
      <c r="D46" t="s">
        <v>3</v>
      </c>
      <c r="E46" t="s">
        <v>4</v>
      </c>
      <c r="F46" s="6">
        <v>0.23319999999999999</v>
      </c>
      <c r="G46" s="6">
        <v>0.23530000000000001</v>
      </c>
    </row>
    <row r="47" spans="1:8" s="3" customFormat="1" x14ac:dyDescent="0.2">
      <c r="A47" t="s">
        <v>29</v>
      </c>
      <c r="B47">
        <v>7</v>
      </c>
      <c r="C47">
        <f t="shared" si="0"/>
        <v>0.24314999999999998</v>
      </c>
      <c r="D47" t="s">
        <v>3</v>
      </c>
      <c r="E47" t="s">
        <v>6</v>
      </c>
      <c r="F47" s="6">
        <v>0.24</v>
      </c>
      <c r="G47" s="6">
        <v>0.24629999999999999</v>
      </c>
      <c r="H47"/>
    </row>
    <row r="48" spans="1:8" x14ac:dyDescent="0.2">
      <c r="A48" t="s">
        <v>30</v>
      </c>
      <c r="B48">
        <v>7</v>
      </c>
      <c r="C48">
        <f t="shared" si="0"/>
        <v>0.22360000000000002</v>
      </c>
      <c r="D48" t="s">
        <v>3</v>
      </c>
      <c r="E48" t="s">
        <v>6</v>
      </c>
      <c r="F48" s="6">
        <v>0.22720000000000001</v>
      </c>
      <c r="G48" s="6">
        <v>0.22</v>
      </c>
    </row>
    <row r="49" spans="1:7" x14ac:dyDescent="0.2">
      <c r="A49" t="s">
        <v>31</v>
      </c>
      <c r="B49">
        <v>7</v>
      </c>
      <c r="C49">
        <f t="shared" si="0"/>
        <v>0.25685000000000002</v>
      </c>
      <c r="D49" t="s">
        <v>3</v>
      </c>
      <c r="E49" t="s">
        <v>6</v>
      </c>
      <c r="F49" s="6">
        <v>0.2737</v>
      </c>
      <c r="G49" s="6">
        <v>0.24</v>
      </c>
    </row>
    <row r="50" spans="1:7" x14ac:dyDescent="0.2">
      <c r="A50" t="s">
        <v>32</v>
      </c>
      <c r="B50">
        <v>7</v>
      </c>
      <c r="C50">
        <f t="shared" si="0"/>
        <v>0.1991</v>
      </c>
      <c r="D50" t="s">
        <v>13</v>
      </c>
      <c r="E50" t="s">
        <v>4</v>
      </c>
      <c r="F50" s="6">
        <v>0.20469999999999999</v>
      </c>
      <c r="G50" s="6">
        <v>0.19350000000000001</v>
      </c>
    </row>
    <row r="51" spans="1:7" x14ac:dyDescent="0.2">
      <c r="A51" t="s">
        <v>33</v>
      </c>
      <c r="B51">
        <v>7</v>
      </c>
      <c r="C51">
        <f t="shared" si="0"/>
        <v>0.22089999999999999</v>
      </c>
      <c r="D51" t="s">
        <v>13</v>
      </c>
      <c r="E51" t="s">
        <v>4</v>
      </c>
      <c r="F51" s="6">
        <v>0.21729999999999999</v>
      </c>
      <c r="G51" s="6">
        <v>0.22450000000000001</v>
      </c>
    </row>
    <row r="52" spans="1:7" x14ac:dyDescent="0.2">
      <c r="A52" t="s">
        <v>34</v>
      </c>
      <c r="B52">
        <v>7</v>
      </c>
      <c r="C52">
        <f t="shared" si="0"/>
        <v>0.21515000000000001</v>
      </c>
      <c r="D52" t="s">
        <v>13</v>
      </c>
      <c r="E52" t="s">
        <v>4</v>
      </c>
      <c r="F52" s="6">
        <v>0.22140000000000001</v>
      </c>
      <c r="G52" s="6">
        <v>0.2089</v>
      </c>
    </row>
    <row r="53" spans="1:7" x14ac:dyDescent="0.2">
      <c r="A53" t="s">
        <v>35</v>
      </c>
      <c r="B53">
        <v>7</v>
      </c>
      <c r="C53">
        <f t="shared" si="0"/>
        <v>0.2155</v>
      </c>
      <c r="D53" t="s">
        <v>13</v>
      </c>
      <c r="E53" t="s">
        <v>6</v>
      </c>
      <c r="F53" s="6">
        <v>0.221</v>
      </c>
      <c r="G53" s="6">
        <v>0.21</v>
      </c>
    </row>
    <row r="54" spans="1:7" x14ac:dyDescent="0.2">
      <c r="A54" t="s">
        <v>36</v>
      </c>
      <c r="B54">
        <v>7</v>
      </c>
      <c r="C54">
        <f t="shared" si="0"/>
        <v>0.20150000000000001</v>
      </c>
      <c r="D54" t="s">
        <v>13</v>
      </c>
      <c r="E54" t="s">
        <v>6</v>
      </c>
      <c r="F54" s="6">
        <v>0.20480000000000001</v>
      </c>
      <c r="G54" s="6">
        <v>0.19819999999999999</v>
      </c>
    </row>
    <row r="55" spans="1:7" x14ac:dyDescent="0.2">
      <c r="A55" t="s">
        <v>37</v>
      </c>
      <c r="B55">
        <v>7</v>
      </c>
      <c r="C55">
        <f t="shared" si="0"/>
        <v>0.2112</v>
      </c>
      <c r="D55" t="s">
        <v>13</v>
      </c>
      <c r="E55" t="s">
        <v>6</v>
      </c>
      <c r="F55" s="6">
        <v>0.21</v>
      </c>
      <c r="G55" s="6">
        <v>0.21240000000000001</v>
      </c>
    </row>
    <row r="56" spans="1:7" x14ac:dyDescent="0.2">
      <c r="A56" t="s">
        <v>38</v>
      </c>
      <c r="B56">
        <v>7</v>
      </c>
      <c r="C56">
        <f t="shared" si="0"/>
        <v>0.25924999999999998</v>
      </c>
      <c r="D56" t="s">
        <v>9</v>
      </c>
      <c r="E56" t="s">
        <v>4</v>
      </c>
      <c r="F56" s="6">
        <v>0.28170000000000001</v>
      </c>
      <c r="G56" s="6">
        <v>0.23680000000000001</v>
      </c>
    </row>
    <row r="57" spans="1:7" x14ac:dyDescent="0.2">
      <c r="A57" t="s">
        <v>39</v>
      </c>
      <c r="B57">
        <v>7</v>
      </c>
      <c r="C57">
        <f t="shared" si="0"/>
        <v>0.22785</v>
      </c>
      <c r="D57" t="s">
        <v>9</v>
      </c>
      <c r="E57" t="s">
        <v>4</v>
      </c>
      <c r="F57" s="6">
        <v>0.2316</v>
      </c>
      <c r="G57" s="6">
        <v>0.22409999999999999</v>
      </c>
    </row>
    <row r="58" spans="1:7" x14ac:dyDescent="0.2">
      <c r="A58" t="s">
        <v>40</v>
      </c>
      <c r="B58">
        <v>7</v>
      </c>
      <c r="C58">
        <f t="shared" si="0"/>
        <v>0.22015000000000001</v>
      </c>
      <c r="D58" t="s">
        <v>9</v>
      </c>
      <c r="E58" t="s">
        <v>4</v>
      </c>
      <c r="F58" s="6">
        <v>0.2228</v>
      </c>
      <c r="G58" s="6">
        <v>0.2175</v>
      </c>
    </row>
    <row r="59" spans="1:7" x14ac:dyDescent="0.2">
      <c r="A59" t="s">
        <v>41</v>
      </c>
      <c r="B59">
        <v>7</v>
      </c>
      <c r="C59">
        <f t="shared" si="0"/>
        <v>0.22955</v>
      </c>
      <c r="D59" t="s">
        <v>9</v>
      </c>
      <c r="E59" t="s">
        <v>6</v>
      </c>
      <c r="F59" s="6">
        <v>0.23710000000000001</v>
      </c>
      <c r="G59" s="6">
        <v>0.222</v>
      </c>
    </row>
    <row r="60" spans="1:7" x14ac:dyDescent="0.2">
      <c r="A60" t="s">
        <v>42</v>
      </c>
      <c r="B60">
        <v>7</v>
      </c>
      <c r="C60">
        <f t="shared" si="0"/>
        <v>0.24575</v>
      </c>
      <c r="D60" t="s">
        <v>9</v>
      </c>
      <c r="E60" t="s">
        <v>6</v>
      </c>
      <c r="F60" s="6">
        <v>0.2455</v>
      </c>
      <c r="G60" s="6">
        <v>0.246</v>
      </c>
    </row>
    <row r="61" spans="1:7" x14ac:dyDescent="0.2">
      <c r="A61" t="s">
        <v>43</v>
      </c>
      <c r="B61">
        <v>7</v>
      </c>
      <c r="C61">
        <f t="shared" si="0"/>
        <v>0.2326</v>
      </c>
      <c r="D61" t="s">
        <v>9</v>
      </c>
      <c r="E61" t="s">
        <v>6</v>
      </c>
      <c r="F61" s="6">
        <v>0.23080000000000001</v>
      </c>
      <c r="G61" s="6">
        <v>0.2344</v>
      </c>
    </row>
    <row r="62" spans="1:7" x14ac:dyDescent="0.2">
      <c r="A62" t="s">
        <v>46</v>
      </c>
      <c r="B62">
        <f>B32+3</f>
        <v>10</v>
      </c>
      <c r="C62">
        <f t="shared" si="0"/>
        <v>0.16755</v>
      </c>
      <c r="D62" t="s">
        <v>12</v>
      </c>
      <c r="E62" t="s">
        <v>4</v>
      </c>
      <c r="F62">
        <v>0.15310000000000001</v>
      </c>
      <c r="G62">
        <v>0.182</v>
      </c>
    </row>
    <row r="63" spans="1:7" x14ac:dyDescent="0.2">
      <c r="A63" t="s">
        <v>15</v>
      </c>
      <c r="B63">
        <f t="shared" ref="B63:B91" si="1">B33+3</f>
        <v>10</v>
      </c>
      <c r="C63">
        <f t="shared" si="0"/>
        <v>0.13965</v>
      </c>
      <c r="D63" t="s">
        <v>12</v>
      </c>
      <c r="E63" t="s">
        <v>4</v>
      </c>
      <c r="F63">
        <v>0.1396</v>
      </c>
      <c r="G63">
        <v>0.13969999999999999</v>
      </c>
    </row>
    <row r="64" spans="1:7" x14ac:dyDescent="0.2">
      <c r="A64" t="s">
        <v>16</v>
      </c>
      <c r="B64">
        <f t="shared" si="1"/>
        <v>10</v>
      </c>
      <c r="C64">
        <f t="shared" si="0"/>
        <v>0.14430000000000001</v>
      </c>
      <c r="D64" t="s">
        <v>12</v>
      </c>
      <c r="E64" t="s">
        <v>4</v>
      </c>
      <c r="F64">
        <v>0.14280000000000001</v>
      </c>
      <c r="G64">
        <v>0.14580000000000001</v>
      </c>
    </row>
    <row r="65" spans="1:8" s="3" customFormat="1" x14ac:dyDescent="0.2">
      <c r="A65" t="s">
        <v>17</v>
      </c>
      <c r="B65">
        <f t="shared" si="1"/>
        <v>10</v>
      </c>
      <c r="C65">
        <f t="shared" si="0"/>
        <v>0.15475</v>
      </c>
      <c r="D65" t="s">
        <v>12</v>
      </c>
      <c r="E65" t="s">
        <v>6</v>
      </c>
      <c r="F65">
        <v>0.1542</v>
      </c>
      <c r="G65">
        <v>0.15529999999999999</v>
      </c>
      <c r="H65"/>
    </row>
    <row r="66" spans="1:8" x14ac:dyDescent="0.2">
      <c r="A66" t="s">
        <v>18</v>
      </c>
      <c r="B66">
        <f t="shared" si="1"/>
        <v>10</v>
      </c>
      <c r="C66">
        <f t="shared" si="0"/>
        <v>0.13669999999999999</v>
      </c>
      <c r="D66" t="s">
        <v>12</v>
      </c>
      <c r="E66" t="s">
        <v>6</v>
      </c>
      <c r="F66">
        <v>0.13639999999999999</v>
      </c>
      <c r="G66">
        <v>0.13700000000000001</v>
      </c>
    </row>
    <row r="67" spans="1:8" x14ac:dyDescent="0.2">
      <c r="A67" t="s">
        <v>19</v>
      </c>
      <c r="B67">
        <f t="shared" si="1"/>
        <v>10</v>
      </c>
      <c r="C67">
        <f t="shared" ref="C67:C121" si="2">AVERAGE(F67:G67)</f>
        <v>0.14300000000000002</v>
      </c>
      <c r="D67" t="s">
        <v>12</v>
      </c>
      <c r="E67" t="s">
        <v>6</v>
      </c>
      <c r="F67">
        <v>0.14360000000000001</v>
      </c>
      <c r="G67">
        <v>0.1424</v>
      </c>
    </row>
    <row r="68" spans="1:8" x14ac:dyDescent="0.2">
      <c r="A68" t="s">
        <v>20</v>
      </c>
      <c r="B68">
        <f t="shared" si="1"/>
        <v>10</v>
      </c>
      <c r="C68">
        <f t="shared" si="2"/>
        <v>0.17199999999999999</v>
      </c>
      <c r="D68" t="s">
        <v>5</v>
      </c>
      <c r="E68" t="s">
        <v>4</v>
      </c>
      <c r="F68">
        <v>0.1696</v>
      </c>
      <c r="G68">
        <v>0.1744</v>
      </c>
    </row>
    <row r="69" spans="1:8" x14ac:dyDescent="0.2">
      <c r="A69" t="s">
        <v>21</v>
      </c>
      <c r="B69">
        <f t="shared" si="1"/>
        <v>10</v>
      </c>
      <c r="C69">
        <f t="shared" si="2"/>
        <v>0.30054999999999998</v>
      </c>
      <c r="D69" t="s">
        <v>5</v>
      </c>
      <c r="E69" t="s">
        <v>4</v>
      </c>
      <c r="F69">
        <v>0.27629999999999999</v>
      </c>
      <c r="G69">
        <v>0.32479999999999998</v>
      </c>
    </row>
    <row r="70" spans="1:8" x14ac:dyDescent="0.2">
      <c r="A70" t="s">
        <v>22</v>
      </c>
      <c r="B70">
        <f t="shared" si="1"/>
        <v>10</v>
      </c>
      <c r="C70">
        <f t="shared" si="2"/>
        <v>0.17965</v>
      </c>
      <c r="D70" t="s">
        <v>5</v>
      </c>
      <c r="E70" t="s">
        <v>4</v>
      </c>
      <c r="F70">
        <v>0.1772</v>
      </c>
      <c r="G70">
        <v>0.18210000000000001</v>
      </c>
    </row>
    <row r="71" spans="1:8" x14ac:dyDescent="0.2">
      <c r="A71" t="s">
        <v>23</v>
      </c>
      <c r="B71">
        <f t="shared" si="1"/>
        <v>10</v>
      </c>
      <c r="C71">
        <f t="shared" si="2"/>
        <v>0.20884999999999998</v>
      </c>
      <c r="D71" t="s">
        <v>5</v>
      </c>
      <c r="E71" t="s">
        <v>6</v>
      </c>
      <c r="F71">
        <v>0.19869999999999999</v>
      </c>
      <c r="G71">
        <v>0.219</v>
      </c>
    </row>
    <row r="72" spans="1:8" x14ac:dyDescent="0.2">
      <c r="A72" t="s">
        <v>24</v>
      </c>
      <c r="B72">
        <f t="shared" si="1"/>
        <v>10</v>
      </c>
      <c r="C72">
        <f t="shared" si="2"/>
        <v>0.16755</v>
      </c>
      <c r="D72" t="s">
        <v>5</v>
      </c>
      <c r="E72" t="s">
        <v>6</v>
      </c>
      <c r="F72">
        <v>0.1668</v>
      </c>
      <c r="G72">
        <v>0.16830000000000001</v>
      </c>
    </row>
    <row r="73" spans="1:8" x14ac:dyDescent="0.2">
      <c r="A73" t="s">
        <v>25</v>
      </c>
      <c r="B73">
        <f t="shared" si="1"/>
        <v>10</v>
      </c>
      <c r="C73">
        <f t="shared" si="2"/>
        <v>0.26749999999999996</v>
      </c>
      <c r="D73" t="s">
        <v>5</v>
      </c>
      <c r="E73" t="s">
        <v>6</v>
      </c>
      <c r="F73">
        <v>0.26919999999999999</v>
      </c>
      <c r="G73">
        <v>0.26579999999999998</v>
      </c>
    </row>
    <row r="74" spans="1:8" s="3" customFormat="1" x14ac:dyDescent="0.2">
      <c r="A74" t="s">
        <v>26</v>
      </c>
      <c r="B74">
        <f t="shared" si="1"/>
        <v>10</v>
      </c>
      <c r="C74">
        <f t="shared" si="2"/>
        <v>0.2354</v>
      </c>
      <c r="D74" t="s">
        <v>3</v>
      </c>
      <c r="E74" t="s">
        <v>4</v>
      </c>
      <c r="F74">
        <v>0.23369999999999999</v>
      </c>
      <c r="G74">
        <v>0.23710000000000001</v>
      </c>
      <c r="H74"/>
    </row>
    <row r="75" spans="1:8" x14ac:dyDescent="0.2">
      <c r="A75" t="s">
        <v>27</v>
      </c>
      <c r="B75">
        <f t="shared" si="1"/>
        <v>10</v>
      </c>
      <c r="C75">
        <f t="shared" si="2"/>
        <v>0.25575000000000003</v>
      </c>
      <c r="D75" t="s">
        <v>3</v>
      </c>
      <c r="E75" t="s">
        <v>4</v>
      </c>
      <c r="F75">
        <v>0.24490000000000001</v>
      </c>
      <c r="G75">
        <v>0.2666</v>
      </c>
    </row>
    <row r="76" spans="1:8" x14ac:dyDescent="0.2">
      <c r="A76" t="s">
        <v>28</v>
      </c>
      <c r="B76">
        <f t="shared" si="1"/>
        <v>10</v>
      </c>
      <c r="C76">
        <f t="shared" si="2"/>
        <v>0.23404999999999998</v>
      </c>
      <c r="D76" t="s">
        <v>3</v>
      </c>
      <c r="E76" t="s">
        <v>4</v>
      </c>
      <c r="F76">
        <v>0.2321</v>
      </c>
      <c r="G76">
        <v>0.23599999999999999</v>
      </c>
    </row>
    <row r="77" spans="1:8" x14ac:dyDescent="0.2">
      <c r="A77" t="s">
        <v>29</v>
      </c>
      <c r="B77">
        <f t="shared" si="1"/>
        <v>10</v>
      </c>
      <c r="C77">
        <f t="shared" si="2"/>
        <v>0.2208</v>
      </c>
      <c r="D77" t="s">
        <v>3</v>
      </c>
      <c r="E77" t="s">
        <v>6</v>
      </c>
      <c r="F77">
        <v>0.22359999999999999</v>
      </c>
      <c r="G77">
        <v>0.218</v>
      </c>
    </row>
    <row r="78" spans="1:8" x14ac:dyDescent="0.2">
      <c r="A78" t="s">
        <v>30</v>
      </c>
      <c r="B78">
        <f t="shared" si="1"/>
        <v>10</v>
      </c>
      <c r="C78">
        <f t="shared" si="2"/>
        <v>0.24249999999999999</v>
      </c>
      <c r="D78" t="s">
        <v>3</v>
      </c>
      <c r="E78" t="s">
        <v>6</v>
      </c>
      <c r="F78">
        <v>0.2382</v>
      </c>
      <c r="G78">
        <v>0.24679999999999999</v>
      </c>
    </row>
    <row r="79" spans="1:8" x14ac:dyDescent="0.2">
      <c r="A79" t="s">
        <v>31</v>
      </c>
      <c r="B79">
        <f t="shared" si="1"/>
        <v>10</v>
      </c>
      <c r="C79">
        <f t="shared" si="2"/>
        <v>0.24199999999999999</v>
      </c>
      <c r="D79" t="s">
        <v>3</v>
      </c>
      <c r="E79" t="s">
        <v>6</v>
      </c>
      <c r="F79">
        <v>0.2457</v>
      </c>
      <c r="G79">
        <v>0.23830000000000001</v>
      </c>
    </row>
    <row r="80" spans="1:8" x14ac:dyDescent="0.2">
      <c r="A80" t="s">
        <v>32</v>
      </c>
      <c r="B80">
        <f t="shared" si="1"/>
        <v>10</v>
      </c>
      <c r="C80">
        <f t="shared" si="2"/>
        <v>0.20155000000000001</v>
      </c>
      <c r="D80" t="s">
        <v>13</v>
      </c>
      <c r="E80" t="s">
        <v>4</v>
      </c>
      <c r="F80">
        <v>0.19769999999999999</v>
      </c>
      <c r="G80">
        <v>0.2054</v>
      </c>
    </row>
    <row r="81" spans="1:10" x14ac:dyDescent="0.2">
      <c r="A81" t="s">
        <v>33</v>
      </c>
      <c r="B81">
        <f t="shared" si="1"/>
        <v>10</v>
      </c>
      <c r="C81">
        <f t="shared" si="2"/>
        <v>0.21645</v>
      </c>
      <c r="D81" t="s">
        <v>13</v>
      </c>
      <c r="E81" t="s">
        <v>4</v>
      </c>
      <c r="F81">
        <v>0.22090000000000001</v>
      </c>
      <c r="G81">
        <v>0.21199999999999999</v>
      </c>
    </row>
    <row r="82" spans="1:10" x14ac:dyDescent="0.2">
      <c r="A82" t="s">
        <v>34</v>
      </c>
      <c r="B82">
        <f t="shared" si="1"/>
        <v>10</v>
      </c>
      <c r="C82">
        <f t="shared" si="2"/>
        <v>0.22294999999999998</v>
      </c>
      <c r="D82" t="s">
        <v>13</v>
      </c>
      <c r="E82" t="s">
        <v>4</v>
      </c>
      <c r="F82">
        <v>0.222</v>
      </c>
      <c r="G82">
        <v>0.22389999999999999</v>
      </c>
    </row>
    <row r="83" spans="1:10" x14ac:dyDescent="0.2">
      <c r="A83" t="s">
        <v>35</v>
      </c>
      <c r="B83">
        <f t="shared" si="1"/>
        <v>10</v>
      </c>
      <c r="C83">
        <f t="shared" si="2"/>
        <v>0.2077</v>
      </c>
      <c r="D83" t="s">
        <v>13</v>
      </c>
      <c r="E83" t="s">
        <v>6</v>
      </c>
      <c r="F83">
        <v>0.20979999999999999</v>
      </c>
      <c r="G83">
        <v>0.2056</v>
      </c>
    </row>
    <row r="84" spans="1:10" x14ac:dyDescent="0.2">
      <c r="A84" t="s">
        <v>36</v>
      </c>
      <c r="B84">
        <f t="shared" si="1"/>
        <v>10</v>
      </c>
      <c r="C84">
        <f t="shared" si="2"/>
        <v>0.2137</v>
      </c>
      <c r="D84" t="s">
        <v>13</v>
      </c>
      <c r="E84" t="s">
        <v>6</v>
      </c>
      <c r="F84">
        <v>0.21820000000000001</v>
      </c>
      <c r="G84">
        <v>0.2092</v>
      </c>
    </row>
    <row r="85" spans="1:10" x14ac:dyDescent="0.2">
      <c r="A85" t="s">
        <v>37</v>
      </c>
      <c r="B85">
        <f t="shared" si="1"/>
        <v>10</v>
      </c>
      <c r="C85">
        <f t="shared" si="2"/>
        <v>0.22505</v>
      </c>
      <c r="D85" t="s">
        <v>13</v>
      </c>
      <c r="E85" t="s">
        <v>6</v>
      </c>
      <c r="F85">
        <v>0.2218</v>
      </c>
      <c r="G85">
        <v>0.2283</v>
      </c>
    </row>
    <row r="86" spans="1:10" x14ac:dyDescent="0.2">
      <c r="A86" t="s">
        <v>38</v>
      </c>
      <c r="B86">
        <f t="shared" si="1"/>
        <v>10</v>
      </c>
      <c r="C86">
        <f t="shared" si="2"/>
        <v>0.2019</v>
      </c>
      <c r="D86" t="s">
        <v>9</v>
      </c>
      <c r="E86" t="s">
        <v>4</v>
      </c>
      <c r="F86">
        <v>0.20699999999999999</v>
      </c>
      <c r="G86">
        <v>0.1968</v>
      </c>
    </row>
    <row r="87" spans="1:10" x14ac:dyDescent="0.2">
      <c r="A87" t="s">
        <v>39</v>
      </c>
      <c r="B87">
        <f t="shared" si="1"/>
        <v>10</v>
      </c>
      <c r="C87">
        <f t="shared" si="2"/>
        <v>0.2175</v>
      </c>
      <c r="D87" t="s">
        <v>9</v>
      </c>
      <c r="E87" t="s">
        <v>4</v>
      </c>
      <c r="F87">
        <v>0.21829999999999999</v>
      </c>
      <c r="G87">
        <v>0.2167</v>
      </c>
    </row>
    <row r="88" spans="1:10" x14ac:dyDescent="0.2">
      <c r="A88" t="s">
        <v>40</v>
      </c>
      <c r="B88">
        <f t="shared" si="1"/>
        <v>10</v>
      </c>
      <c r="C88">
        <f t="shared" si="2"/>
        <v>0.2</v>
      </c>
      <c r="D88" t="s">
        <v>9</v>
      </c>
      <c r="E88" t="s">
        <v>4</v>
      </c>
      <c r="F88">
        <v>0.20319999999999999</v>
      </c>
      <c r="G88">
        <v>0.1968</v>
      </c>
    </row>
    <row r="89" spans="1:10" x14ac:dyDescent="0.2">
      <c r="A89" t="s">
        <v>41</v>
      </c>
      <c r="B89">
        <f t="shared" si="1"/>
        <v>10</v>
      </c>
      <c r="C89">
        <f t="shared" si="2"/>
        <v>0.24224999999999999</v>
      </c>
      <c r="D89" t="s">
        <v>9</v>
      </c>
      <c r="E89" t="s">
        <v>6</v>
      </c>
      <c r="F89">
        <v>0.24399999999999999</v>
      </c>
      <c r="G89">
        <v>0.24049999999999999</v>
      </c>
    </row>
    <row r="90" spans="1:10" x14ac:dyDescent="0.2">
      <c r="A90" t="s">
        <v>42</v>
      </c>
      <c r="B90">
        <f t="shared" si="1"/>
        <v>10</v>
      </c>
      <c r="C90">
        <f t="shared" si="2"/>
        <v>0.25780000000000003</v>
      </c>
      <c r="D90" t="s">
        <v>9</v>
      </c>
      <c r="E90" t="s">
        <v>6</v>
      </c>
      <c r="F90">
        <v>0.26240000000000002</v>
      </c>
      <c r="G90">
        <v>0.25319999999999998</v>
      </c>
    </row>
    <row r="91" spans="1:10" x14ac:dyDescent="0.2">
      <c r="A91" t="s">
        <v>43</v>
      </c>
      <c r="B91">
        <f t="shared" si="1"/>
        <v>10</v>
      </c>
      <c r="C91">
        <f t="shared" si="2"/>
        <v>0.23185</v>
      </c>
      <c r="D91" t="s">
        <v>9</v>
      </c>
      <c r="E91" t="s">
        <v>6</v>
      </c>
      <c r="F91">
        <v>0.23219999999999999</v>
      </c>
      <c r="G91">
        <v>0.23150000000000001</v>
      </c>
    </row>
    <row r="92" spans="1:10" x14ac:dyDescent="0.2">
      <c r="A92" t="s">
        <v>14</v>
      </c>
      <c r="B92">
        <f>B62+4</f>
        <v>14</v>
      </c>
      <c r="C92">
        <f t="shared" si="2"/>
        <v>0.1641</v>
      </c>
      <c r="D92" t="s">
        <v>12</v>
      </c>
      <c r="E92" t="s">
        <v>4</v>
      </c>
      <c r="F92" s="6">
        <v>0.1641</v>
      </c>
      <c r="H92">
        <f>(C92-C2)/(B92-B2)</f>
        <v>1.5499999999999997E-3</v>
      </c>
      <c r="I92">
        <f>C92-C2</f>
        <v>2.1699999999999997E-2</v>
      </c>
      <c r="J92" s="9">
        <f>AVERAGE(I92:I94)</f>
        <v>2.0849999999999997E-2</v>
      </c>
    </row>
    <row r="93" spans="1:10" x14ac:dyDescent="0.2">
      <c r="A93" t="s">
        <v>15</v>
      </c>
      <c r="B93">
        <f t="shared" ref="B93:B121" si="3">B63+4</f>
        <v>14</v>
      </c>
      <c r="C93">
        <f t="shared" si="2"/>
        <v>0.14219999999999999</v>
      </c>
      <c r="D93" t="s">
        <v>12</v>
      </c>
      <c r="E93" t="s">
        <v>4</v>
      </c>
      <c r="F93" s="6">
        <v>0.14219999999999999</v>
      </c>
      <c r="H93">
        <f t="shared" ref="H93:H121" si="4">(C93-C3)/(B93-B3)</f>
        <v>8.6428571428571424E-4</v>
      </c>
      <c r="I93">
        <f t="shared" ref="I93:I121" si="5">C93-C3</f>
        <v>1.21E-2</v>
      </c>
      <c r="J93" s="9"/>
    </row>
    <row r="94" spans="1:10" x14ac:dyDescent="0.2">
      <c r="A94" t="s">
        <v>16</v>
      </c>
      <c r="B94">
        <f t="shared" si="3"/>
        <v>14</v>
      </c>
      <c r="C94">
        <f t="shared" si="2"/>
        <v>0.15429999999999999</v>
      </c>
      <c r="D94" t="s">
        <v>12</v>
      </c>
      <c r="E94" t="s">
        <v>4</v>
      </c>
      <c r="F94" s="6">
        <v>0.15429999999999999</v>
      </c>
      <c r="H94">
        <f t="shared" si="4"/>
        <v>2.0535714285714285E-3</v>
      </c>
      <c r="I94">
        <f t="shared" si="5"/>
        <v>2.8749999999999998E-2</v>
      </c>
      <c r="J94" s="9"/>
    </row>
    <row r="95" spans="1:10" x14ac:dyDescent="0.2">
      <c r="A95" t="s">
        <v>17</v>
      </c>
      <c r="B95">
        <f t="shared" si="3"/>
        <v>14</v>
      </c>
      <c r="C95">
        <f t="shared" si="2"/>
        <v>0.158</v>
      </c>
      <c r="D95" t="s">
        <v>12</v>
      </c>
      <c r="E95" t="s">
        <v>6</v>
      </c>
      <c r="F95" s="6">
        <v>0.158</v>
      </c>
      <c r="H95">
        <f t="shared" si="4"/>
        <v>2.3178571428571432E-3</v>
      </c>
      <c r="I95">
        <f t="shared" si="5"/>
        <v>3.2450000000000007E-2</v>
      </c>
      <c r="J95" s="8">
        <f>AVERAGE(I95:I97)</f>
        <v>2.4833333333333332E-2</v>
      </c>
    </row>
    <row r="96" spans="1:10" x14ac:dyDescent="0.2">
      <c r="A96" t="s">
        <v>18</v>
      </c>
      <c r="B96">
        <f t="shared" si="3"/>
        <v>14</v>
      </c>
      <c r="C96">
        <f t="shared" si="2"/>
        <v>0.1429</v>
      </c>
      <c r="D96" t="s">
        <v>12</v>
      </c>
      <c r="E96" t="s">
        <v>6</v>
      </c>
      <c r="F96" s="6">
        <v>0.1429</v>
      </c>
      <c r="H96">
        <f t="shared" si="4"/>
        <v>1.6357142857142859E-3</v>
      </c>
      <c r="I96">
        <f t="shared" si="5"/>
        <v>2.2900000000000004E-2</v>
      </c>
      <c r="J96" s="9"/>
    </row>
    <row r="97" spans="1:10" x14ac:dyDescent="0.2">
      <c r="A97" t="s">
        <v>19</v>
      </c>
      <c r="B97">
        <f t="shared" si="3"/>
        <v>14</v>
      </c>
      <c r="C97">
        <f t="shared" si="2"/>
        <v>0.14169999999999999</v>
      </c>
      <c r="D97" t="s">
        <v>12</v>
      </c>
      <c r="E97" t="s">
        <v>6</v>
      </c>
      <c r="F97" s="6">
        <v>0.14169999999999999</v>
      </c>
      <c r="H97">
        <f t="shared" si="4"/>
        <v>1.3678571428571418E-3</v>
      </c>
      <c r="I97">
        <f t="shared" si="5"/>
        <v>1.9149999999999986E-2</v>
      </c>
      <c r="J97" s="9"/>
    </row>
    <row r="98" spans="1:10" x14ac:dyDescent="0.2">
      <c r="A98" t="s">
        <v>20</v>
      </c>
      <c r="B98">
        <f t="shared" si="3"/>
        <v>14</v>
      </c>
      <c r="C98">
        <f t="shared" si="2"/>
        <v>0.1709</v>
      </c>
      <c r="D98" t="s">
        <v>5</v>
      </c>
      <c r="E98" t="s">
        <v>4</v>
      </c>
      <c r="F98" s="4">
        <v>0.1709</v>
      </c>
      <c r="H98">
        <f t="shared" si="4"/>
        <v>1.1071428571428541E-4</v>
      </c>
      <c r="I98">
        <f t="shared" si="5"/>
        <v>1.5499999999999958E-3</v>
      </c>
      <c r="J98" s="9">
        <f t="shared" ref="J98" si="6">AVERAGE(I98:I100)</f>
        <v>2.0799999999999996E-2</v>
      </c>
    </row>
    <row r="99" spans="1:10" x14ac:dyDescent="0.2">
      <c r="A99" t="s">
        <v>21</v>
      </c>
      <c r="B99">
        <f t="shared" si="3"/>
        <v>14</v>
      </c>
      <c r="C99">
        <f t="shared" si="2"/>
        <v>0.30680000000000002</v>
      </c>
      <c r="D99" t="s">
        <v>5</v>
      </c>
      <c r="E99" t="s">
        <v>4</v>
      </c>
      <c r="F99" s="4">
        <v>0.30680000000000002</v>
      </c>
      <c r="H99">
        <f t="shared" si="4"/>
        <v>2.7000000000000001E-3</v>
      </c>
      <c r="I99">
        <f t="shared" si="5"/>
        <v>3.78E-2</v>
      </c>
      <c r="J99" s="9"/>
    </row>
    <row r="100" spans="1:10" x14ac:dyDescent="0.2">
      <c r="A100" t="s">
        <v>22</v>
      </c>
      <c r="B100">
        <f t="shared" si="3"/>
        <v>14</v>
      </c>
      <c r="C100">
        <f t="shared" si="2"/>
        <v>0.1933</v>
      </c>
      <c r="D100" t="s">
        <v>5</v>
      </c>
      <c r="E100" t="s">
        <v>4</v>
      </c>
      <c r="F100" s="4">
        <v>0.1933</v>
      </c>
      <c r="H100">
        <f t="shared" si="4"/>
        <v>1.6464285714285706E-3</v>
      </c>
      <c r="I100">
        <f t="shared" si="5"/>
        <v>2.3049999999999987E-2</v>
      </c>
      <c r="J100" s="9"/>
    </row>
    <row r="101" spans="1:10" x14ac:dyDescent="0.2">
      <c r="A101" t="s">
        <v>23</v>
      </c>
      <c r="B101">
        <f t="shared" si="3"/>
        <v>14</v>
      </c>
      <c r="C101">
        <f t="shared" si="2"/>
        <v>0.20119999999999999</v>
      </c>
      <c r="D101" t="s">
        <v>5</v>
      </c>
      <c r="E101" t="s">
        <v>6</v>
      </c>
      <c r="F101" s="4">
        <v>0.20119999999999999</v>
      </c>
      <c r="H101">
        <f t="shared" si="4"/>
        <v>1.9642857142856962E-4</v>
      </c>
      <c r="I101">
        <f t="shared" si="5"/>
        <v>2.7499999999999747E-3</v>
      </c>
      <c r="J101" s="8">
        <f t="shared" ref="J101" si="7">AVERAGE(I101:I103)</f>
        <v>4.0449999999999993E-2</v>
      </c>
    </row>
    <row r="102" spans="1:10" x14ac:dyDescent="0.2">
      <c r="A102" t="s">
        <v>24</v>
      </c>
      <c r="B102">
        <f t="shared" si="3"/>
        <v>14</v>
      </c>
      <c r="C102">
        <f t="shared" si="2"/>
        <v>0.16919999999999999</v>
      </c>
      <c r="D102" t="s">
        <v>5</v>
      </c>
      <c r="E102" t="s">
        <v>6</v>
      </c>
      <c r="F102" s="4">
        <v>0.16919999999999999</v>
      </c>
      <c r="H102">
        <f t="shared" si="4"/>
        <v>5.7142857142856796E-5</v>
      </c>
      <c r="I102">
        <f t="shared" si="5"/>
        <v>7.9999999999999516E-4</v>
      </c>
      <c r="J102" s="9"/>
    </row>
    <row r="103" spans="1:10" x14ac:dyDescent="0.2">
      <c r="A103" t="s">
        <v>25</v>
      </c>
      <c r="B103">
        <f t="shared" si="3"/>
        <v>14</v>
      </c>
      <c r="C103">
        <f t="shared" si="2"/>
        <v>0.37580000000000002</v>
      </c>
      <c r="D103" t="s">
        <v>5</v>
      </c>
      <c r="E103" t="s">
        <v>6</v>
      </c>
      <c r="F103" s="4">
        <v>0.37580000000000002</v>
      </c>
      <c r="H103">
        <f t="shared" si="4"/>
        <v>8.4142857142857162E-3</v>
      </c>
      <c r="I103">
        <f t="shared" si="5"/>
        <v>0.11780000000000002</v>
      </c>
      <c r="J103" s="9"/>
    </row>
    <row r="104" spans="1:10" x14ac:dyDescent="0.2">
      <c r="A104" t="s">
        <v>26</v>
      </c>
      <c r="B104">
        <f t="shared" si="3"/>
        <v>14</v>
      </c>
      <c r="C104">
        <f t="shared" si="2"/>
        <v>0.36580000000000001</v>
      </c>
      <c r="D104" t="s">
        <v>3</v>
      </c>
      <c r="E104" t="s">
        <v>4</v>
      </c>
      <c r="F104" s="4">
        <v>0.36580000000000001</v>
      </c>
      <c r="H104">
        <f t="shared" si="4"/>
        <v>9.7785714285714299E-3</v>
      </c>
      <c r="I104">
        <f t="shared" si="5"/>
        <v>0.13690000000000002</v>
      </c>
      <c r="J104">
        <f t="shared" ref="J104" si="8">AVERAGE(I104:I106)</f>
        <v>5.5833333333333325E-2</v>
      </c>
    </row>
    <row r="105" spans="1:10" x14ac:dyDescent="0.2">
      <c r="A105" t="s">
        <v>27</v>
      </c>
      <c r="B105">
        <f t="shared" si="3"/>
        <v>14</v>
      </c>
      <c r="C105">
        <f t="shared" si="2"/>
        <v>0.24329999999999999</v>
      </c>
      <c r="D105" t="s">
        <v>3</v>
      </c>
      <c r="E105" t="s">
        <v>4</v>
      </c>
      <c r="F105" s="4">
        <v>0.24329999999999999</v>
      </c>
      <c r="H105">
        <f t="shared" si="4"/>
        <v>-3.6428571428571581E-4</v>
      </c>
      <c r="I105">
        <f t="shared" si="5"/>
        <v>-5.1000000000000212E-3</v>
      </c>
    </row>
    <row r="106" spans="1:10" x14ac:dyDescent="0.2">
      <c r="A106" t="s">
        <v>28</v>
      </c>
      <c r="B106">
        <f t="shared" si="3"/>
        <v>14</v>
      </c>
      <c r="C106">
        <f t="shared" si="2"/>
        <v>0.25219999999999998</v>
      </c>
      <c r="D106" t="s">
        <v>3</v>
      </c>
      <c r="E106" t="s">
        <v>4</v>
      </c>
      <c r="F106" s="4">
        <v>0.25219999999999998</v>
      </c>
      <c r="H106">
        <f t="shared" si="4"/>
        <v>2.5499999999999989E-3</v>
      </c>
      <c r="I106">
        <f t="shared" si="5"/>
        <v>3.5699999999999982E-2</v>
      </c>
    </row>
    <row r="107" spans="1:10" x14ac:dyDescent="0.2">
      <c r="A107" t="s">
        <v>29</v>
      </c>
      <c r="B107">
        <f t="shared" si="3"/>
        <v>14</v>
      </c>
      <c r="C107">
        <f t="shared" si="2"/>
        <v>0.21590000000000001</v>
      </c>
      <c r="D107" t="s">
        <v>3</v>
      </c>
      <c r="E107" t="s">
        <v>6</v>
      </c>
      <c r="F107" s="4">
        <v>0.21590000000000001</v>
      </c>
      <c r="H107">
        <f t="shared" si="4"/>
        <v>-7.8571428571427848E-5</v>
      </c>
      <c r="I107">
        <f t="shared" si="5"/>
        <v>-1.0999999999999899E-3</v>
      </c>
      <c r="J107">
        <f t="shared" ref="J107" si="9">AVERAGE(I107:I109)</f>
        <v>1.3266666666666668E-2</v>
      </c>
    </row>
    <row r="108" spans="1:10" x14ac:dyDescent="0.2">
      <c r="A108" t="s">
        <v>30</v>
      </c>
      <c r="B108">
        <f t="shared" si="3"/>
        <v>14</v>
      </c>
      <c r="C108">
        <f t="shared" si="2"/>
        <v>0.23419999999999999</v>
      </c>
      <c r="D108" t="s">
        <v>3</v>
      </c>
      <c r="E108" t="s">
        <v>6</v>
      </c>
      <c r="F108" s="4">
        <v>0.23419999999999999</v>
      </c>
      <c r="H108">
        <f t="shared" si="4"/>
        <v>1.0142857142857137E-3</v>
      </c>
      <c r="I108">
        <f t="shared" si="5"/>
        <v>1.419999999999999E-2</v>
      </c>
    </row>
    <row r="109" spans="1:10" x14ac:dyDescent="0.2">
      <c r="A109" t="s">
        <v>31</v>
      </c>
      <c r="B109">
        <f t="shared" si="3"/>
        <v>14</v>
      </c>
      <c r="C109">
        <f t="shared" si="2"/>
        <v>0.2394</v>
      </c>
      <c r="D109" t="s">
        <v>3</v>
      </c>
      <c r="E109" t="s">
        <v>6</v>
      </c>
      <c r="F109" s="4">
        <v>0.2394</v>
      </c>
      <c r="H109">
        <f t="shared" si="4"/>
        <v>1.9071428571428573E-3</v>
      </c>
      <c r="I109">
        <f t="shared" si="5"/>
        <v>2.6700000000000002E-2</v>
      </c>
    </row>
    <row r="110" spans="1:10" x14ac:dyDescent="0.2">
      <c r="A110" t="s">
        <v>32</v>
      </c>
      <c r="B110">
        <f t="shared" si="3"/>
        <v>14</v>
      </c>
      <c r="C110">
        <f t="shared" si="2"/>
        <v>0.23400000000000001</v>
      </c>
      <c r="D110" t="s">
        <v>13</v>
      </c>
      <c r="E110" t="s">
        <v>4</v>
      </c>
      <c r="F110" s="4">
        <v>0.23400000000000001</v>
      </c>
      <c r="H110">
        <f t="shared" si="4"/>
        <v>3.5535714285714298E-3</v>
      </c>
      <c r="I110">
        <f t="shared" si="5"/>
        <v>4.9750000000000016E-2</v>
      </c>
      <c r="J110" s="9">
        <f t="shared" ref="J110" si="10">AVERAGE(I110:I112)</f>
        <v>2.8283333333333327E-2</v>
      </c>
    </row>
    <row r="111" spans="1:10" x14ac:dyDescent="0.2">
      <c r="A111" t="s">
        <v>33</v>
      </c>
      <c r="B111">
        <f t="shared" si="3"/>
        <v>14</v>
      </c>
      <c r="C111">
        <f t="shared" si="2"/>
        <v>0.22550000000000001</v>
      </c>
      <c r="D111" t="s">
        <v>13</v>
      </c>
      <c r="E111" t="s">
        <v>4</v>
      </c>
      <c r="F111" s="4">
        <v>0.22550000000000001</v>
      </c>
      <c r="H111">
        <f t="shared" si="4"/>
        <v>1.535714285714285E-3</v>
      </c>
      <c r="I111">
        <f t="shared" si="5"/>
        <v>2.1499999999999991E-2</v>
      </c>
      <c r="J111" s="9"/>
    </row>
    <row r="112" spans="1:10" x14ac:dyDescent="0.2">
      <c r="A112" t="s">
        <v>34</v>
      </c>
      <c r="B112">
        <f t="shared" si="3"/>
        <v>14</v>
      </c>
      <c r="C112">
        <f t="shared" si="2"/>
        <v>0.21709999999999999</v>
      </c>
      <c r="D112" t="s">
        <v>13</v>
      </c>
      <c r="E112" t="s">
        <v>4</v>
      </c>
      <c r="F112" s="4">
        <v>0.21709999999999999</v>
      </c>
      <c r="H112">
        <f t="shared" si="4"/>
        <v>9.7142857142856948E-4</v>
      </c>
      <c r="I112">
        <f t="shared" si="5"/>
        <v>1.3599999999999973E-2</v>
      </c>
      <c r="J112" s="9"/>
    </row>
    <row r="113" spans="1:10" x14ac:dyDescent="0.2">
      <c r="A113" t="s">
        <v>35</v>
      </c>
      <c r="B113">
        <f t="shared" si="3"/>
        <v>14</v>
      </c>
      <c r="C113">
        <f t="shared" si="2"/>
        <v>0.24460000000000001</v>
      </c>
      <c r="D113" t="s">
        <v>13</v>
      </c>
      <c r="E113" t="s">
        <v>6</v>
      </c>
      <c r="F113" s="4">
        <v>0.24460000000000001</v>
      </c>
      <c r="H113">
        <f t="shared" si="4"/>
        <v>4.8464285714285727E-3</v>
      </c>
      <c r="I113">
        <f t="shared" si="5"/>
        <v>6.7850000000000021E-2</v>
      </c>
      <c r="J113" s="8">
        <f t="shared" ref="J113" si="11">AVERAGE(I113:I115)</f>
        <v>0.10065</v>
      </c>
    </row>
    <row r="114" spans="1:10" x14ac:dyDescent="0.2">
      <c r="A114" t="s">
        <v>36</v>
      </c>
      <c r="B114">
        <f t="shared" si="3"/>
        <v>14</v>
      </c>
      <c r="C114">
        <f t="shared" si="2"/>
        <v>0.24329999999999999</v>
      </c>
      <c r="D114" t="s">
        <v>13</v>
      </c>
      <c r="E114" t="s">
        <v>6</v>
      </c>
      <c r="F114" s="4">
        <v>0.24329999999999999</v>
      </c>
      <c r="H114">
        <f t="shared" si="4"/>
        <v>3.4714285714285719E-3</v>
      </c>
      <c r="I114">
        <f t="shared" si="5"/>
        <v>4.8600000000000004E-2</v>
      </c>
      <c r="J114" s="9"/>
    </row>
    <row r="115" spans="1:10" x14ac:dyDescent="0.2">
      <c r="A115" t="s">
        <v>37</v>
      </c>
      <c r="B115">
        <f t="shared" si="3"/>
        <v>14</v>
      </c>
      <c r="C115">
        <f t="shared" si="2"/>
        <v>0.38329999999999997</v>
      </c>
      <c r="D115" t="s">
        <v>13</v>
      </c>
      <c r="E115" t="s">
        <v>6</v>
      </c>
      <c r="F115" s="4">
        <v>0.38329999999999997</v>
      </c>
      <c r="H115">
        <f t="shared" si="4"/>
        <v>1.3249999999999998E-2</v>
      </c>
      <c r="I115">
        <f t="shared" si="5"/>
        <v>0.18549999999999997</v>
      </c>
      <c r="J115" s="9"/>
    </row>
    <row r="116" spans="1:10" x14ac:dyDescent="0.2">
      <c r="A116" t="s">
        <v>38</v>
      </c>
      <c r="B116">
        <f t="shared" si="3"/>
        <v>14</v>
      </c>
      <c r="C116">
        <f t="shared" si="2"/>
        <v>0.36840000000000001</v>
      </c>
      <c r="D116" t="s">
        <v>9</v>
      </c>
      <c r="E116" t="s">
        <v>4</v>
      </c>
      <c r="F116" s="4">
        <v>0.36840000000000001</v>
      </c>
      <c r="H116">
        <f t="shared" si="4"/>
        <v>6.2964285714285717E-3</v>
      </c>
      <c r="I116">
        <f t="shared" si="5"/>
        <v>8.8150000000000006E-2</v>
      </c>
      <c r="J116" s="9">
        <f t="shared" ref="J116" si="12">AVERAGE(I116:I118)</f>
        <v>1.8616666666666681E-2</v>
      </c>
    </row>
    <row r="117" spans="1:10" x14ac:dyDescent="0.2">
      <c r="A117" t="s">
        <v>39</v>
      </c>
      <c r="B117">
        <f t="shared" si="3"/>
        <v>14</v>
      </c>
      <c r="C117">
        <f t="shared" si="2"/>
        <v>0.21690000000000001</v>
      </c>
      <c r="D117" t="s">
        <v>9</v>
      </c>
      <c r="E117" t="s">
        <v>4</v>
      </c>
      <c r="F117" s="4">
        <v>0.21690000000000001</v>
      </c>
      <c r="H117">
        <f t="shared" si="4"/>
        <v>-8.2857142857142656E-4</v>
      </c>
      <c r="I117">
        <f t="shared" si="5"/>
        <v>-1.1599999999999971E-2</v>
      </c>
      <c r="J117" s="9"/>
    </row>
    <row r="118" spans="1:10" x14ac:dyDescent="0.2">
      <c r="A118" t="s">
        <v>40</v>
      </c>
      <c r="B118">
        <f t="shared" si="3"/>
        <v>14</v>
      </c>
      <c r="C118">
        <f t="shared" si="2"/>
        <v>0.19750000000000001</v>
      </c>
      <c r="D118" t="s">
        <v>9</v>
      </c>
      <c r="E118" t="s">
        <v>4</v>
      </c>
      <c r="F118" s="4">
        <v>0.19750000000000001</v>
      </c>
      <c r="H118">
        <f t="shared" si="4"/>
        <v>-1.4785714285714283E-3</v>
      </c>
      <c r="I118">
        <f t="shared" si="5"/>
        <v>-2.0699999999999996E-2</v>
      </c>
      <c r="J118" s="9"/>
    </row>
    <row r="119" spans="1:10" x14ac:dyDescent="0.2">
      <c r="A119" t="s">
        <v>41</v>
      </c>
      <c r="B119">
        <f t="shared" si="3"/>
        <v>14</v>
      </c>
      <c r="C119">
        <f t="shared" si="2"/>
        <v>0.25109999999999999</v>
      </c>
      <c r="D119" t="s">
        <v>9</v>
      </c>
      <c r="E119" t="s">
        <v>6</v>
      </c>
      <c r="F119" s="4">
        <v>0.25109999999999999</v>
      </c>
      <c r="H119">
        <f t="shared" si="4"/>
        <v>3.2999999999999995E-3</v>
      </c>
      <c r="I119">
        <f t="shared" si="5"/>
        <v>4.6199999999999991E-2</v>
      </c>
      <c r="J119" s="8">
        <f t="shared" ref="J119" si="13">AVERAGE(I119:I121)</f>
        <v>8.7416666666666656E-2</v>
      </c>
    </row>
    <row r="120" spans="1:10" x14ac:dyDescent="0.2">
      <c r="A120" t="s">
        <v>42</v>
      </c>
      <c r="B120">
        <f t="shared" si="3"/>
        <v>14</v>
      </c>
      <c r="C120">
        <f t="shared" si="2"/>
        <v>0.27300000000000002</v>
      </c>
      <c r="D120" t="s">
        <v>9</v>
      </c>
      <c r="E120" t="s">
        <v>6</v>
      </c>
      <c r="F120" s="4">
        <v>0.27300000000000002</v>
      </c>
      <c r="H120">
        <f t="shared" si="4"/>
        <v>4.9964285714285727E-3</v>
      </c>
      <c r="I120">
        <f t="shared" si="5"/>
        <v>6.9950000000000012E-2</v>
      </c>
      <c r="J120" s="9"/>
    </row>
    <row r="121" spans="1:10" x14ac:dyDescent="0.2">
      <c r="A121" t="s">
        <v>43</v>
      </c>
      <c r="B121">
        <f t="shared" si="3"/>
        <v>14</v>
      </c>
      <c r="C121">
        <f t="shared" si="2"/>
        <v>0.3483</v>
      </c>
      <c r="D121" t="s">
        <v>9</v>
      </c>
      <c r="E121" t="s">
        <v>6</v>
      </c>
      <c r="F121" s="4">
        <v>0.3483</v>
      </c>
      <c r="H121">
        <f t="shared" si="4"/>
        <v>1.0435714285714286E-2</v>
      </c>
      <c r="I121">
        <f t="shared" si="5"/>
        <v>0.14610000000000001</v>
      </c>
      <c r="J121" s="9"/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551A7-D055-584D-8CBF-437FB6DD2BB3}">
  <dimension ref="A1:J121"/>
  <sheetViews>
    <sheetView topLeftCell="A78" workbookViewId="0">
      <selection activeCell="J92" sqref="J92:J121"/>
    </sheetView>
  </sheetViews>
  <sheetFormatPr baseColWidth="10" defaultRowHeight="16" x14ac:dyDescent="0.2"/>
  <cols>
    <col min="2" max="2" width="10.1640625" customWidth="1"/>
    <col min="4" max="4" width="14.6640625" customWidth="1"/>
    <col min="6" max="7" width="13.6640625" customWidth="1"/>
    <col min="8" max="8" width="15.1640625" customWidth="1"/>
  </cols>
  <sheetData>
    <row r="1" spans="1:9" ht="17" thickBot="1" x14ac:dyDescent="0.25">
      <c r="A1" s="1" t="s">
        <v>0</v>
      </c>
      <c r="B1" s="2" t="s">
        <v>8</v>
      </c>
      <c r="C1" s="1" t="s">
        <v>7</v>
      </c>
      <c r="D1" s="1" t="s">
        <v>1</v>
      </c>
      <c r="E1" s="1" t="s">
        <v>2</v>
      </c>
      <c r="F1" s="5" t="s">
        <v>10</v>
      </c>
      <c r="G1" s="5" t="s">
        <v>11</v>
      </c>
      <c r="H1" s="5" t="s">
        <v>64</v>
      </c>
      <c r="I1" s="5" t="s">
        <v>52</v>
      </c>
    </row>
    <row r="2" spans="1:9" x14ac:dyDescent="0.2">
      <c r="A2" t="s">
        <v>47</v>
      </c>
      <c r="B2">
        <v>0</v>
      </c>
      <c r="C2">
        <f>AVERAGE(F2:G2)</f>
        <v>0.11935</v>
      </c>
      <c r="D2" t="s">
        <v>48</v>
      </c>
      <c r="E2" t="s">
        <v>4</v>
      </c>
      <c r="F2">
        <v>0.1202</v>
      </c>
      <c r="G2">
        <v>0.11849999999999999</v>
      </c>
      <c r="H2" t="s">
        <v>53</v>
      </c>
    </row>
    <row r="3" spans="1:9" x14ac:dyDescent="0.2">
      <c r="A3" t="s">
        <v>15</v>
      </c>
      <c r="B3">
        <v>0</v>
      </c>
      <c r="C3">
        <f t="shared" ref="C3:C66" si="0">AVERAGE(F3:G3)</f>
        <v>0.12035</v>
      </c>
      <c r="D3" t="s">
        <v>48</v>
      </c>
      <c r="E3" t="s">
        <v>4</v>
      </c>
      <c r="F3">
        <v>0.12139999999999999</v>
      </c>
      <c r="G3">
        <v>0.1193</v>
      </c>
      <c r="H3" t="s">
        <v>53</v>
      </c>
    </row>
    <row r="4" spans="1:9" x14ac:dyDescent="0.2">
      <c r="A4" t="s">
        <v>16</v>
      </c>
      <c r="B4">
        <v>0</v>
      </c>
      <c r="C4">
        <f t="shared" si="0"/>
        <v>0.11840000000000001</v>
      </c>
      <c r="D4" t="s">
        <v>48</v>
      </c>
      <c r="E4" t="s">
        <v>4</v>
      </c>
      <c r="F4">
        <v>0.1182</v>
      </c>
      <c r="G4">
        <v>0.1186</v>
      </c>
      <c r="H4" t="s">
        <v>53</v>
      </c>
    </row>
    <row r="5" spans="1:9" x14ac:dyDescent="0.2">
      <c r="A5" t="s">
        <v>17</v>
      </c>
      <c r="B5">
        <v>0</v>
      </c>
      <c r="C5">
        <f t="shared" si="0"/>
        <v>0.11829999999999999</v>
      </c>
      <c r="D5" t="s">
        <v>48</v>
      </c>
      <c r="E5" t="s">
        <v>6</v>
      </c>
      <c r="F5">
        <v>0.11899999999999999</v>
      </c>
      <c r="G5">
        <v>0.1176</v>
      </c>
      <c r="H5" t="s">
        <v>53</v>
      </c>
    </row>
    <row r="6" spans="1:9" x14ac:dyDescent="0.2">
      <c r="A6" t="s">
        <v>18</v>
      </c>
      <c r="B6">
        <v>0</v>
      </c>
      <c r="C6">
        <f t="shared" si="0"/>
        <v>0.11810000000000001</v>
      </c>
      <c r="D6" t="s">
        <v>48</v>
      </c>
      <c r="E6" t="s">
        <v>6</v>
      </c>
      <c r="F6">
        <v>0.11600000000000001</v>
      </c>
      <c r="G6">
        <v>0.1202</v>
      </c>
      <c r="H6" t="s">
        <v>53</v>
      </c>
    </row>
    <row r="7" spans="1:9" x14ac:dyDescent="0.2">
      <c r="A7" t="s">
        <v>19</v>
      </c>
      <c r="B7">
        <v>0</v>
      </c>
      <c r="C7">
        <f t="shared" si="0"/>
        <v>0.11855</v>
      </c>
      <c r="D7" t="s">
        <v>48</v>
      </c>
      <c r="E7" t="s">
        <v>6</v>
      </c>
      <c r="F7">
        <v>0.11890000000000001</v>
      </c>
      <c r="G7">
        <v>0.1182</v>
      </c>
      <c r="H7" t="s">
        <v>53</v>
      </c>
    </row>
    <row r="8" spans="1:9" x14ac:dyDescent="0.2">
      <c r="A8" t="s">
        <v>20</v>
      </c>
      <c r="B8">
        <v>0</v>
      </c>
      <c r="C8">
        <f t="shared" si="0"/>
        <v>0.12705</v>
      </c>
      <c r="D8" t="s">
        <v>5</v>
      </c>
      <c r="E8" t="s">
        <v>4</v>
      </c>
      <c r="F8">
        <v>0.12609999999999999</v>
      </c>
      <c r="G8">
        <v>0.128</v>
      </c>
      <c r="H8" t="s">
        <v>53</v>
      </c>
    </row>
    <row r="9" spans="1:9" x14ac:dyDescent="0.2">
      <c r="A9" t="s">
        <v>21</v>
      </c>
      <c r="B9">
        <v>0</v>
      </c>
      <c r="C9">
        <f t="shared" si="0"/>
        <v>0.12755</v>
      </c>
      <c r="D9" t="s">
        <v>5</v>
      </c>
      <c r="E9" t="s">
        <v>4</v>
      </c>
      <c r="F9">
        <v>0.12670000000000001</v>
      </c>
      <c r="G9">
        <v>0.12839999999999999</v>
      </c>
      <c r="H9" t="s">
        <v>53</v>
      </c>
    </row>
    <row r="10" spans="1:9" x14ac:dyDescent="0.2">
      <c r="A10" t="s">
        <v>22</v>
      </c>
      <c r="B10">
        <v>0</v>
      </c>
      <c r="C10">
        <f t="shared" si="0"/>
        <v>0.12545000000000001</v>
      </c>
      <c r="D10" t="s">
        <v>5</v>
      </c>
      <c r="E10" t="s">
        <v>4</v>
      </c>
      <c r="F10">
        <v>0.1255</v>
      </c>
      <c r="G10">
        <v>0.12540000000000001</v>
      </c>
      <c r="H10" t="s">
        <v>53</v>
      </c>
    </row>
    <row r="11" spans="1:9" x14ac:dyDescent="0.2">
      <c r="A11" t="s">
        <v>23</v>
      </c>
      <c r="B11">
        <v>0</v>
      </c>
      <c r="C11">
        <f t="shared" si="0"/>
        <v>0.12359999999999999</v>
      </c>
      <c r="D11" t="s">
        <v>5</v>
      </c>
      <c r="E11" t="s">
        <v>6</v>
      </c>
      <c r="F11">
        <v>0.12379999999999999</v>
      </c>
      <c r="G11">
        <v>0.1234</v>
      </c>
      <c r="H11" t="s">
        <v>53</v>
      </c>
      <c r="I11" s="3"/>
    </row>
    <row r="12" spans="1:9" x14ac:dyDescent="0.2">
      <c r="A12" t="s">
        <v>24</v>
      </c>
      <c r="B12">
        <v>0</v>
      </c>
      <c r="C12">
        <f t="shared" si="0"/>
        <v>0.12614999999999998</v>
      </c>
      <c r="D12" t="s">
        <v>5</v>
      </c>
      <c r="E12" t="s">
        <v>6</v>
      </c>
      <c r="F12">
        <v>0.1263</v>
      </c>
      <c r="G12">
        <v>0.126</v>
      </c>
      <c r="H12" t="s">
        <v>53</v>
      </c>
    </row>
    <row r="13" spans="1:9" x14ac:dyDescent="0.2">
      <c r="A13" t="s">
        <v>25</v>
      </c>
      <c r="B13">
        <v>0</v>
      </c>
      <c r="C13">
        <f t="shared" si="0"/>
        <v>0.12590000000000001</v>
      </c>
      <c r="D13" t="s">
        <v>5</v>
      </c>
      <c r="E13" t="s">
        <v>6</v>
      </c>
      <c r="F13">
        <v>0.1263</v>
      </c>
      <c r="G13">
        <v>0.1255</v>
      </c>
      <c r="H13" t="s">
        <v>53</v>
      </c>
    </row>
    <row r="14" spans="1:9" x14ac:dyDescent="0.2">
      <c r="A14" t="s">
        <v>26</v>
      </c>
      <c r="B14">
        <v>0</v>
      </c>
      <c r="C14">
        <f t="shared" si="0"/>
        <v>0.20429999999999998</v>
      </c>
      <c r="D14" t="s">
        <v>3</v>
      </c>
      <c r="E14" t="s">
        <v>4</v>
      </c>
      <c r="F14">
        <v>0.24729999999999999</v>
      </c>
      <c r="G14">
        <v>0.1613</v>
      </c>
      <c r="H14" t="s">
        <v>53</v>
      </c>
    </row>
    <row r="15" spans="1:9" x14ac:dyDescent="0.2">
      <c r="A15" t="s">
        <v>27</v>
      </c>
      <c r="B15">
        <v>0</v>
      </c>
      <c r="C15">
        <f t="shared" si="0"/>
        <v>0.16520000000000001</v>
      </c>
      <c r="D15" t="s">
        <v>3</v>
      </c>
      <c r="E15" t="s">
        <v>4</v>
      </c>
      <c r="F15">
        <v>0.16919999999999999</v>
      </c>
      <c r="G15">
        <v>0.16120000000000001</v>
      </c>
      <c r="H15" t="s">
        <v>53</v>
      </c>
    </row>
    <row r="16" spans="1:9" x14ac:dyDescent="0.2">
      <c r="A16" t="s">
        <v>28</v>
      </c>
      <c r="B16">
        <v>0</v>
      </c>
      <c r="C16">
        <f t="shared" si="0"/>
        <v>0.16205</v>
      </c>
      <c r="D16" t="s">
        <v>3</v>
      </c>
      <c r="E16" t="s">
        <v>4</v>
      </c>
      <c r="F16">
        <v>0.1643</v>
      </c>
      <c r="G16">
        <v>0.1598</v>
      </c>
      <c r="H16" t="s">
        <v>53</v>
      </c>
    </row>
    <row r="17" spans="1:8" x14ac:dyDescent="0.2">
      <c r="A17" t="s">
        <v>29</v>
      </c>
      <c r="B17">
        <v>0</v>
      </c>
      <c r="C17">
        <f t="shared" si="0"/>
        <v>0.16020000000000001</v>
      </c>
      <c r="D17" t="s">
        <v>3</v>
      </c>
      <c r="E17" t="s">
        <v>6</v>
      </c>
      <c r="F17">
        <v>0.16200000000000001</v>
      </c>
      <c r="G17">
        <v>0.15840000000000001</v>
      </c>
      <c r="H17" t="s">
        <v>53</v>
      </c>
    </row>
    <row r="18" spans="1:8" x14ac:dyDescent="0.2">
      <c r="A18" t="s">
        <v>30</v>
      </c>
      <c r="B18">
        <v>0</v>
      </c>
      <c r="C18">
        <f t="shared" si="0"/>
        <v>0.16205</v>
      </c>
      <c r="D18" t="s">
        <v>3</v>
      </c>
      <c r="E18" t="s">
        <v>6</v>
      </c>
      <c r="F18">
        <v>0.16400000000000001</v>
      </c>
      <c r="G18">
        <v>0.16009999999999999</v>
      </c>
      <c r="H18" t="s">
        <v>53</v>
      </c>
    </row>
    <row r="19" spans="1:8" x14ac:dyDescent="0.2">
      <c r="A19" t="s">
        <v>31</v>
      </c>
      <c r="B19">
        <v>0</v>
      </c>
      <c r="C19">
        <f t="shared" si="0"/>
        <v>0.1618</v>
      </c>
      <c r="D19" t="s">
        <v>3</v>
      </c>
      <c r="E19" t="s">
        <v>6</v>
      </c>
      <c r="F19">
        <v>0.16239999999999999</v>
      </c>
      <c r="G19">
        <v>0.16120000000000001</v>
      </c>
      <c r="H19" t="s">
        <v>53</v>
      </c>
    </row>
    <row r="20" spans="1:8" x14ac:dyDescent="0.2">
      <c r="A20" t="s">
        <v>32</v>
      </c>
      <c r="B20">
        <v>0</v>
      </c>
      <c r="C20">
        <f t="shared" si="0"/>
        <v>0.15604999999999999</v>
      </c>
      <c r="D20" t="s">
        <v>13</v>
      </c>
      <c r="E20" t="s">
        <v>4</v>
      </c>
      <c r="F20">
        <v>0.157</v>
      </c>
      <c r="G20">
        <v>0.15509999999999999</v>
      </c>
      <c r="H20" t="s">
        <v>53</v>
      </c>
    </row>
    <row r="21" spans="1:8" x14ac:dyDescent="0.2">
      <c r="A21" t="s">
        <v>33</v>
      </c>
      <c r="B21">
        <v>0</v>
      </c>
      <c r="C21">
        <f t="shared" si="0"/>
        <v>0.16044999999999998</v>
      </c>
      <c r="D21" t="s">
        <v>13</v>
      </c>
      <c r="E21" t="s">
        <v>4</v>
      </c>
      <c r="F21">
        <v>0.16589999999999999</v>
      </c>
      <c r="G21">
        <v>0.155</v>
      </c>
      <c r="H21" t="s">
        <v>53</v>
      </c>
    </row>
    <row r="22" spans="1:8" x14ac:dyDescent="0.2">
      <c r="A22" t="s">
        <v>34</v>
      </c>
      <c r="B22">
        <v>0</v>
      </c>
      <c r="C22">
        <f t="shared" si="0"/>
        <v>0.15375</v>
      </c>
      <c r="D22" t="s">
        <v>13</v>
      </c>
      <c r="E22" t="s">
        <v>4</v>
      </c>
      <c r="F22">
        <v>0.15479999999999999</v>
      </c>
      <c r="G22">
        <v>0.1527</v>
      </c>
      <c r="H22" t="s">
        <v>53</v>
      </c>
    </row>
    <row r="23" spans="1:8" x14ac:dyDescent="0.2">
      <c r="A23" t="s">
        <v>35</v>
      </c>
      <c r="B23">
        <v>0</v>
      </c>
      <c r="C23">
        <f t="shared" si="0"/>
        <v>0.154</v>
      </c>
      <c r="D23" t="s">
        <v>13</v>
      </c>
      <c r="E23" t="s">
        <v>6</v>
      </c>
      <c r="F23">
        <v>0.15429999999999999</v>
      </c>
      <c r="G23">
        <v>0.1537</v>
      </c>
      <c r="H23" t="s">
        <v>53</v>
      </c>
    </row>
    <row r="24" spans="1:8" x14ac:dyDescent="0.2">
      <c r="A24" t="s">
        <v>36</v>
      </c>
      <c r="B24">
        <v>0</v>
      </c>
      <c r="C24">
        <f t="shared" si="0"/>
        <v>0.15554999999999999</v>
      </c>
      <c r="D24" t="s">
        <v>13</v>
      </c>
      <c r="E24" t="s">
        <v>6</v>
      </c>
      <c r="F24">
        <v>0.15559999999999999</v>
      </c>
      <c r="G24">
        <v>0.1555</v>
      </c>
      <c r="H24" t="s">
        <v>53</v>
      </c>
    </row>
    <row r="25" spans="1:8" x14ac:dyDescent="0.2">
      <c r="A25" t="s">
        <v>37</v>
      </c>
      <c r="B25">
        <v>0</v>
      </c>
      <c r="C25">
        <f t="shared" si="0"/>
        <v>0.15820000000000001</v>
      </c>
      <c r="D25" t="s">
        <v>13</v>
      </c>
      <c r="E25" t="s">
        <v>6</v>
      </c>
      <c r="F25">
        <v>0.15590000000000001</v>
      </c>
      <c r="G25">
        <v>0.1605</v>
      </c>
      <c r="H25" t="s">
        <v>53</v>
      </c>
    </row>
    <row r="26" spans="1:8" x14ac:dyDescent="0.2">
      <c r="A26" t="s">
        <v>38</v>
      </c>
      <c r="B26">
        <v>0</v>
      </c>
      <c r="C26">
        <f t="shared" si="0"/>
        <v>0.21504999999999999</v>
      </c>
      <c r="D26" t="s">
        <v>9</v>
      </c>
      <c r="E26" t="s">
        <v>4</v>
      </c>
      <c r="F26">
        <v>0.26629999999999998</v>
      </c>
      <c r="G26">
        <v>0.1638</v>
      </c>
      <c r="H26" t="s">
        <v>53</v>
      </c>
    </row>
    <row r="27" spans="1:8" x14ac:dyDescent="0.2">
      <c r="A27" t="s">
        <v>39</v>
      </c>
      <c r="B27">
        <v>0</v>
      </c>
      <c r="C27">
        <f t="shared" si="0"/>
        <v>0.16600000000000001</v>
      </c>
      <c r="D27" t="s">
        <v>9</v>
      </c>
      <c r="E27" t="s">
        <v>4</v>
      </c>
      <c r="F27">
        <v>0.17030000000000001</v>
      </c>
      <c r="G27">
        <v>0.16170000000000001</v>
      </c>
      <c r="H27" t="s">
        <v>53</v>
      </c>
    </row>
    <row r="28" spans="1:8" x14ac:dyDescent="0.2">
      <c r="A28" t="s">
        <v>40</v>
      </c>
      <c r="B28">
        <v>0</v>
      </c>
      <c r="C28">
        <f t="shared" si="0"/>
        <v>0.16210000000000002</v>
      </c>
      <c r="D28" t="s">
        <v>9</v>
      </c>
      <c r="E28" t="s">
        <v>4</v>
      </c>
      <c r="F28">
        <v>0.16200000000000001</v>
      </c>
      <c r="G28">
        <v>0.16220000000000001</v>
      </c>
      <c r="H28" t="s">
        <v>53</v>
      </c>
    </row>
    <row r="29" spans="1:8" x14ac:dyDescent="0.2">
      <c r="A29" t="s">
        <v>41</v>
      </c>
      <c r="B29">
        <v>0</v>
      </c>
      <c r="C29">
        <f t="shared" si="0"/>
        <v>0.16134999999999999</v>
      </c>
      <c r="D29" t="s">
        <v>9</v>
      </c>
      <c r="E29" t="s">
        <v>6</v>
      </c>
      <c r="F29">
        <v>0.16109999999999999</v>
      </c>
      <c r="G29">
        <v>0.16159999999999999</v>
      </c>
      <c r="H29" t="s">
        <v>53</v>
      </c>
    </row>
    <row r="30" spans="1:8" x14ac:dyDescent="0.2">
      <c r="A30" t="s">
        <v>42</v>
      </c>
      <c r="B30">
        <v>0</v>
      </c>
      <c r="C30">
        <f t="shared" si="0"/>
        <v>0.16175</v>
      </c>
      <c r="D30" t="s">
        <v>9</v>
      </c>
      <c r="E30" t="s">
        <v>6</v>
      </c>
      <c r="F30">
        <v>0.16220000000000001</v>
      </c>
      <c r="G30">
        <v>0.1613</v>
      </c>
      <c r="H30" t="s">
        <v>53</v>
      </c>
    </row>
    <row r="31" spans="1:8" x14ac:dyDescent="0.2">
      <c r="A31" t="s">
        <v>43</v>
      </c>
      <c r="B31">
        <v>0</v>
      </c>
      <c r="C31">
        <f t="shared" si="0"/>
        <v>0.16214999999999999</v>
      </c>
      <c r="D31" t="s">
        <v>9</v>
      </c>
      <c r="E31" t="s">
        <v>6</v>
      </c>
      <c r="F31">
        <v>0.16189999999999999</v>
      </c>
      <c r="G31">
        <v>0.16239999999999999</v>
      </c>
      <c r="H31" t="s">
        <v>53</v>
      </c>
    </row>
    <row r="32" spans="1:8" x14ac:dyDescent="0.2">
      <c r="A32" t="s">
        <v>49</v>
      </c>
      <c r="B32">
        <v>3</v>
      </c>
      <c r="C32">
        <f t="shared" si="0"/>
        <v>0.13955000000000001</v>
      </c>
      <c r="D32" t="s">
        <v>48</v>
      </c>
      <c r="E32" t="s">
        <v>4</v>
      </c>
      <c r="F32">
        <v>0.1404</v>
      </c>
      <c r="G32">
        <v>0.13869999999999999</v>
      </c>
    </row>
    <row r="33" spans="1:9" x14ac:dyDescent="0.2">
      <c r="A33" t="s">
        <v>15</v>
      </c>
      <c r="B33">
        <v>3</v>
      </c>
      <c r="C33">
        <f t="shared" si="0"/>
        <v>0.13905000000000001</v>
      </c>
      <c r="D33" t="s">
        <v>48</v>
      </c>
      <c r="E33" t="s">
        <v>4</v>
      </c>
      <c r="F33">
        <v>0.13969999999999999</v>
      </c>
      <c r="G33">
        <v>0.1384</v>
      </c>
    </row>
    <row r="34" spans="1:9" x14ac:dyDescent="0.2">
      <c r="A34" t="s">
        <v>16</v>
      </c>
      <c r="B34">
        <v>3</v>
      </c>
      <c r="C34">
        <f t="shared" si="0"/>
        <v>0.13555</v>
      </c>
      <c r="D34" t="s">
        <v>48</v>
      </c>
      <c r="E34" t="s">
        <v>4</v>
      </c>
      <c r="F34">
        <v>0.1353</v>
      </c>
      <c r="G34">
        <v>0.1358</v>
      </c>
    </row>
    <row r="35" spans="1:9" x14ac:dyDescent="0.2">
      <c r="A35" t="s">
        <v>17</v>
      </c>
      <c r="B35">
        <v>3</v>
      </c>
      <c r="C35">
        <f t="shared" si="0"/>
        <v>0.1386</v>
      </c>
      <c r="D35" t="s">
        <v>48</v>
      </c>
      <c r="E35" t="s">
        <v>6</v>
      </c>
      <c r="F35">
        <v>0.13739999999999999</v>
      </c>
      <c r="G35">
        <v>0.13980000000000001</v>
      </c>
    </row>
    <row r="36" spans="1:9" x14ac:dyDescent="0.2">
      <c r="A36" t="s">
        <v>18</v>
      </c>
      <c r="B36">
        <v>3</v>
      </c>
      <c r="C36">
        <f t="shared" si="0"/>
        <v>0.13469999999999999</v>
      </c>
      <c r="D36" t="s">
        <v>48</v>
      </c>
      <c r="E36" t="s">
        <v>6</v>
      </c>
      <c r="F36">
        <v>0.1343</v>
      </c>
      <c r="G36">
        <v>0.1351</v>
      </c>
    </row>
    <row r="37" spans="1:9" x14ac:dyDescent="0.2">
      <c r="A37" t="s">
        <v>19</v>
      </c>
      <c r="B37">
        <v>3</v>
      </c>
      <c r="C37">
        <f t="shared" si="0"/>
        <v>0.1454</v>
      </c>
      <c r="D37" t="s">
        <v>48</v>
      </c>
      <c r="E37" t="s">
        <v>6</v>
      </c>
      <c r="F37">
        <v>0.1454</v>
      </c>
      <c r="G37">
        <v>0.1454</v>
      </c>
    </row>
    <row r="38" spans="1:9" x14ac:dyDescent="0.2">
      <c r="A38" t="s">
        <v>20</v>
      </c>
      <c r="B38">
        <v>3</v>
      </c>
      <c r="C38">
        <f t="shared" si="0"/>
        <v>0.13965</v>
      </c>
      <c r="D38" t="s">
        <v>5</v>
      </c>
      <c r="E38" t="s">
        <v>4</v>
      </c>
      <c r="F38">
        <v>0.14149999999999999</v>
      </c>
      <c r="G38">
        <v>0.13780000000000001</v>
      </c>
    </row>
    <row r="39" spans="1:9" x14ac:dyDescent="0.2">
      <c r="A39" t="s">
        <v>21</v>
      </c>
      <c r="B39">
        <v>3</v>
      </c>
      <c r="C39">
        <f t="shared" si="0"/>
        <v>0.14100000000000001</v>
      </c>
      <c r="D39" t="s">
        <v>5</v>
      </c>
      <c r="E39" t="s">
        <v>4</v>
      </c>
      <c r="F39">
        <v>0.1414</v>
      </c>
      <c r="G39">
        <v>0.1406</v>
      </c>
    </row>
    <row r="40" spans="1:9" x14ac:dyDescent="0.2">
      <c r="A40" t="s">
        <v>22</v>
      </c>
      <c r="B40">
        <v>3</v>
      </c>
      <c r="C40">
        <f t="shared" si="0"/>
        <v>0.14560000000000001</v>
      </c>
      <c r="D40" t="s">
        <v>5</v>
      </c>
      <c r="E40" t="s">
        <v>4</v>
      </c>
      <c r="F40">
        <v>0.14510000000000001</v>
      </c>
      <c r="G40">
        <v>0.14610000000000001</v>
      </c>
    </row>
    <row r="41" spans="1:9" x14ac:dyDescent="0.2">
      <c r="A41" t="s">
        <v>23</v>
      </c>
      <c r="B41">
        <v>3</v>
      </c>
      <c r="C41">
        <f t="shared" si="0"/>
        <v>0.15195</v>
      </c>
      <c r="D41" t="s">
        <v>5</v>
      </c>
      <c r="E41" t="s">
        <v>6</v>
      </c>
      <c r="F41">
        <v>0.15260000000000001</v>
      </c>
      <c r="G41">
        <v>0.15129999999999999</v>
      </c>
    </row>
    <row r="42" spans="1:9" x14ac:dyDescent="0.2">
      <c r="A42" t="s">
        <v>24</v>
      </c>
      <c r="B42">
        <v>3</v>
      </c>
      <c r="C42">
        <f t="shared" si="0"/>
        <v>0.15075</v>
      </c>
      <c r="D42" t="s">
        <v>5</v>
      </c>
      <c r="E42" t="s">
        <v>6</v>
      </c>
      <c r="F42">
        <v>0.1489</v>
      </c>
      <c r="G42">
        <v>0.15260000000000001</v>
      </c>
    </row>
    <row r="43" spans="1:9" x14ac:dyDescent="0.2">
      <c r="A43" t="s">
        <v>25</v>
      </c>
      <c r="B43">
        <v>3</v>
      </c>
      <c r="C43">
        <f t="shared" si="0"/>
        <v>0.14884999999999998</v>
      </c>
      <c r="D43" t="s">
        <v>5</v>
      </c>
      <c r="E43" t="s">
        <v>6</v>
      </c>
      <c r="F43">
        <v>0.14729999999999999</v>
      </c>
      <c r="G43">
        <v>0.15040000000000001</v>
      </c>
    </row>
    <row r="44" spans="1:9" x14ac:dyDescent="0.2">
      <c r="A44" t="s">
        <v>26</v>
      </c>
      <c r="B44">
        <v>3</v>
      </c>
      <c r="C44">
        <f t="shared" si="0"/>
        <v>0.17574999999999999</v>
      </c>
      <c r="D44" t="s">
        <v>3</v>
      </c>
      <c r="E44" t="s">
        <v>4</v>
      </c>
      <c r="F44">
        <v>0.17449999999999999</v>
      </c>
      <c r="G44">
        <v>0.17699999999999999</v>
      </c>
    </row>
    <row r="45" spans="1:9" x14ac:dyDescent="0.2">
      <c r="A45" t="s">
        <v>27</v>
      </c>
      <c r="B45">
        <v>3</v>
      </c>
      <c r="C45">
        <f t="shared" si="0"/>
        <v>0.18099999999999999</v>
      </c>
      <c r="D45" t="s">
        <v>3</v>
      </c>
      <c r="E45" t="s">
        <v>4</v>
      </c>
      <c r="F45">
        <v>0.18190000000000001</v>
      </c>
      <c r="G45">
        <v>0.18010000000000001</v>
      </c>
    </row>
    <row r="46" spans="1:9" x14ac:dyDescent="0.2">
      <c r="A46" t="s">
        <v>28</v>
      </c>
      <c r="B46">
        <v>3</v>
      </c>
      <c r="C46">
        <f t="shared" si="0"/>
        <v>0.1842</v>
      </c>
      <c r="D46" t="s">
        <v>3</v>
      </c>
      <c r="E46" t="s">
        <v>4</v>
      </c>
      <c r="F46">
        <v>0.17430000000000001</v>
      </c>
      <c r="G46">
        <v>0.19409999999999999</v>
      </c>
    </row>
    <row r="47" spans="1:9" x14ac:dyDescent="0.2">
      <c r="A47" t="s">
        <v>29</v>
      </c>
      <c r="B47">
        <v>3</v>
      </c>
      <c r="C47">
        <f t="shared" si="0"/>
        <v>0.17974999999999999</v>
      </c>
      <c r="D47" t="s">
        <v>3</v>
      </c>
      <c r="E47" t="s">
        <v>6</v>
      </c>
      <c r="F47">
        <v>0.17979999999999999</v>
      </c>
      <c r="G47">
        <v>0.1797</v>
      </c>
      <c r="I47" s="3"/>
    </row>
    <row r="48" spans="1:9" x14ac:dyDescent="0.2">
      <c r="A48" t="s">
        <v>30</v>
      </c>
      <c r="B48">
        <v>3</v>
      </c>
      <c r="C48">
        <f t="shared" si="0"/>
        <v>0.18309999999999998</v>
      </c>
      <c r="D48" t="s">
        <v>3</v>
      </c>
      <c r="E48" t="s">
        <v>6</v>
      </c>
      <c r="F48">
        <v>0.183</v>
      </c>
      <c r="G48">
        <v>0.1832</v>
      </c>
    </row>
    <row r="49" spans="1:7" x14ac:dyDescent="0.2">
      <c r="A49" t="s">
        <v>31</v>
      </c>
      <c r="B49">
        <v>3</v>
      </c>
      <c r="C49">
        <f t="shared" si="0"/>
        <v>0.17695</v>
      </c>
      <c r="D49" t="s">
        <v>3</v>
      </c>
      <c r="E49" t="s">
        <v>6</v>
      </c>
      <c r="F49">
        <v>0.17610000000000001</v>
      </c>
      <c r="G49">
        <v>0.17780000000000001</v>
      </c>
    </row>
    <row r="50" spans="1:7" x14ac:dyDescent="0.2">
      <c r="A50" t="s">
        <v>32</v>
      </c>
      <c r="B50">
        <v>3</v>
      </c>
      <c r="C50">
        <f t="shared" si="0"/>
        <v>0.17730000000000001</v>
      </c>
      <c r="D50" t="s">
        <v>13</v>
      </c>
      <c r="E50" t="s">
        <v>4</v>
      </c>
      <c r="F50">
        <v>0.1767</v>
      </c>
      <c r="G50">
        <v>0.1779</v>
      </c>
    </row>
    <row r="51" spans="1:7" x14ac:dyDescent="0.2">
      <c r="A51" t="s">
        <v>33</v>
      </c>
      <c r="B51">
        <v>3</v>
      </c>
      <c r="C51">
        <f t="shared" si="0"/>
        <v>0.17925000000000002</v>
      </c>
      <c r="D51" t="s">
        <v>13</v>
      </c>
      <c r="E51" t="s">
        <v>4</v>
      </c>
      <c r="F51">
        <v>0.1807</v>
      </c>
      <c r="G51">
        <v>0.17780000000000001</v>
      </c>
    </row>
    <row r="52" spans="1:7" x14ac:dyDescent="0.2">
      <c r="A52" t="s">
        <v>34</v>
      </c>
      <c r="B52">
        <v>3</v>
      </c>
      <c r="C52">
        <f t="shared" si="0"/>
        <v>0.2092</v>
      </c>
      <c r="D52" t="s">
        <v>13</v>
      </c>
      <c r="E52" t="s">
        <v>4</v>
      </c>
      <c r="F52">
        <v>0.17549999999999999</v>
      </c>
      <c r="G52">
        <v>0.2429</v>
      </c>
    </row>
    <row r="53" spans="1:7" x14ac:dyDescent="0.2">
      <c r="A53" t="s">
        <v>35</v>
      </c>
      <c r="B53">
        <v>3</v>
      </c>
      <c r="C53">
        <f t="shared" si="0"/>
        <v>0.17745</v>
      </c>
      <c r="D53" t="s">
        <v>13</v>
      </c>
      <c r="E53" t="s">
        <v>6</v>
      </c>
      <c r="F53">
        <v>0.17860000000000001</v>
      </c>
      <c r="G53">
        <v>0.17630000000000001</v>
      </c>
    </row>
    <row r="54" spans="1:7" x14ac:dyDescent="0.2">
      <c r="A54" t="s">
        <v>36</v>
      </c>
      <c r="B54">
        <v>3</v>
      </c>
      <c r="C54">
        <f t="shared" si="0"/>
        <v>0.17580000000000001</v>
      </c>
      <c r="D54" t="s">
        <v>13</v>
      </c>
      <c r="E54" t="s">
        <v>6</v>
      </c>
      <c r="F54">
        <v>0.17630000000000001</v>
      </c>
      <c r="G54">
        <v>0.17530000000000001</v>
      </c>
    </row>
    <row r="55" spans="1:7" x14ac:dyDescent="0.2">
      <c r="A55" t="s">
        <v>37</v>
      </c>
      <c r="B55">
        <v>3</v>
      </c>
      <c r="C55">
        <f t="shared" si="0"/>
        <v>0.31719999999999998</v>
      </c>
      <c r="D55" t="s">
        <v>13</v>
      </c>
      <c r="E55" t="s">
        <v>6</v>
      </c>
      <c r="F55">
        <v>0.32219999999999999</v>
      </c>
      <c r="G55">
        <v>0.31219999999999998</v>
      </c>
    </row>
    <row r="56" spans="1:7" x14ac:dyDescent="0.2">
      <c r="A56" t="s">
        <v>38</v>
      </c>
      <c r="B56">
        <v>3</v>
      </c>
      <c r="C56">
        <f t="shared" si="0"/>
        <v>0.18690000000000001</v>
      </c>
      <c r="D56" t="s">
        <v>9</v>
      </c>
      <c r="E56" t="s">
        <v>4</v>
      </c>
      <c r="F56">
        <v>0.18609999999999999</v>
      </c>
      <c r="G56">
        <v>0.18770000000000001</v>
      </c>
    </row>
    <row r="57" spans="1:7" x14ac:dyDescent="0.2">
      <c r="A57" t="s">
        <v>39</v>
      </c>
      <c r="B57">
        <v>3</v>
      </c>
      <c r="C57">
        <f t="shared" si="0"/>
        <v>0.17675000000000002</v>
      </c>
      <c r="D57" t="s">
        <v>9</v>
      </c>
      <c r="E57" t="s">
        <v>4</v>
      </c>
      <c r="F57">
        <v>0.17860000000000001</v>
      </c>
      <c r="G57">
        <v>0.1749</v>
      </c>
    </row>
    <row r="58" spans="1:7" x14ac:dyDescent="0.2">
      <c r="A58" t="s">
        <v>40</v>
      </c>
      <c r="B58">
        <v>3</v>
      </c>
      <c r="C58">
        <f t="shared" si="0"/>
        <v>0.17954999999999999</v>
      </c>
      <c r="D58" t="s">
        <v>9</v>
      </c>
      <c r="E58" t="s">
        <v>4</v>
      </c>
      <c r="F58">
        <v>0.1797</v>
      </c>
      <c r="G58">
        <v>0.1794</v>
      </c>
    </row>
    <row r="59" spans="1:7" x14ac:dyDescent="0.2">
      <c r="A59" t="s">
        <v>41</v>
      </c>
      <c r="B59">
        <v>3</v>
      </c>
      <c r="C59">
        <f t="shared" si="0"/>
        <v>0.18945000000000001</v>
      </c>
      <c r="D59" t="s">
        <v>9</v>
      </c>
      <c r="E59" t="s">
        <v>6</v>
      </c>
      <c r="F59">
        <v>0.189</v>
      </c>
      <c r="G59">
        <v>0.18990000000000001</v>
      </c>
    </row>
    <row r="60" spans="1:7" x14ac:dyDescent="0.2">
      <c r="A60" t="s">
        <v>42</v>
      </c>
      <c r="B60">
        <v>3</v>
      </c>
      <c r="C60">
        <f t="shared" si="0"/>
        <v>0.18525</v>
      </c>
      <c r="D60" t="s">
        <v>9</v>
      </c>
      <c r="E60" t="s">
        <v>6</v>
      </c>
      <c r="F60">
        <v>0.1857</v>
      </c>
      <c r="G60">
        <v>0.18479999999999999</v>
      </c>
    </row>
    <row r="61" spans="1:7" x14ac:dyDescent="0.2">
      <c r="A61" t="s">
        <v>43</v>
      </c>
      <c r="B61">
        <v>3</v>
      </c>
      <c r="C61">
        <f t="shared" si="0"/>
        <v>0.18259999999999998</v>
      </c>
      <c r="D61" t="s">
        <v>9</v>
      </c>
      <c r="E61" t="s">
        <v>6</v>
      </c>
      <c r="F61">
        <v>0.1825</v>
      </c>
      <c r="G61">
        <v>0.1827</v>
      </c>
    </row>
    <row r="62" spans="1:7" x14ac:dyDescent="0.2">
      <c r="A62" t="s">
        <v>50</v>
      </c>
      <c r="B62">
        <v>5</v>
      </c>
      <c r="C62">
        <f t="shared" si="0"/>
        <v>0.15105000000000002</v>
      </c>
      <c r="D62" t="s">
        <v>48</v>
      </c>
      <c r="E62" t="s">
        <v>4</v>
      </c>
      <c r="F62">
        <v>0.1532</v>
      </c>
      <c r="G62">
        <v>0.1489</v>
      </c>
    </row>
    <row r="63" spans="1:7" x14ac:dyDescent="0.2">
      <c r="A63" t="s">
        <v>15</v>
      </c>
      <c r="B63">
        <v>5</v>
      </c>
      <c r="C63">
        <f t="shared" si="0"/>
        <v>0.14474999999999999</v>
      </c>
      <c r="D63" t="s">
        <v>48</v>
      </c>
      <c r="E63" t="s">
        <v>4</v>
      </c>
      <c r="F63">
        <v>0.1411</v>
      </c>
      <c r="G63">
        <v>0.1484</v>
      </c>
    </row>
    <row r="64" spans="1:7" x14ac:dyDescent="0.2">
      <c r="A64" t="s">
        <v>16</v>
      </c>
      <c r="B64">
        <v>5</v>
      </c>
      <c r="C64">
        <f t="shared" si="0"/>
        <v>0.14474999999999999</v>
      </c>
      <c r="D64" t="s">
        <v>48</v>
      </c>
      <c r="E64" t="s">
        <v>4</v>
      </c>
      <c r="F64">
        <v>0.14460000000000001</v>
      </c>
      <c r="G64">
        <v>0.1449</v>
      </c>
    </row>
    <row r="65" spans="1:9" x14ac:dyDescent="0.2">
      <c r="A65" t="s">
        <v>17</v>
      </c>
      <c r="B65">
        <v>5</v>
      </c>
      <c r="C65">
        <f t="shared" si="0"/>
        <v>0.1381</v>
      </c>
      <c r="D65" t="s">
        <v>48</v>
      </c>
      <c r="E65" t="s">
        <v>6</v>
      </c>
      <c r="F65">
        <v>0.13769999999999999</v>
      </c>
      <c r="G65">
        <v>0.13850000000000001</v>
      </c>
      <c r="I65" s="3"/>
    </row>
    <row r="66" spans="1:9" x14ac:dyDescent="0.2">
      <c r="A66" t="s">
        <v>18</v>
      </c>
      <c r="B66">
        <v>5</v>
      </c>
      <c r="C66">
        <f t="shared" si="0"/>
        <v>0.14279999999999998</v>
      </c>
      <c r="D66" t="s">
        <v>48</v>
      </c>
      <c r="E66" t="s">
        <v>6</v>
      </c>
      <c r="F66">
        <v>0.14119999999999999</v>
      </c>
      <c r="G66">
        <v>0.1444</v>
      </c>
    </row>
    <row r="67" spans="1:9" x14ac:dyDescent="0.2">
      <c r="A67" t="s">
        <v>19</v>
      </c>
      <c r="B67">
        <v>5</v>
      </c>
      <c r="C67">
        <f t="shared" ref="C67:C121" si="1">AVERAGE(F67:G67)</f>
        <v>0.15310000000000001</v>
      </c>
      <c r="D67" t="s">
        <v>48</v>
      </c>
      <c r="E67" t="s">
        <v>6</v>
      </c>
      <c r="F67">
        <v>0.14710000000000001</v>
      </c>
      <c r="G67">
        <v>0.15909999999999999</v>
      </c>
    </row>
    <row r="68" spans="1:9" x14ac:dyDescent="0.2">
      <c r="A68" t="s">
        <v>20</v>
      </c>
      <c r="B68">
        <v>5</v>
      </c>
      <c r="C68">
        <f t="shared" si="1"/>
        <v>0.1462</v>
      </c>
      <c r="D68" t="s">
        <v>5</v>
      </c>
      <c r="E68" t="s">
        <v>4</v>
      </c>
      <c r="F68">
        <v>0.14860000000000001</v>
      </c>
      <c r="G68">
        <v>0.14380000000000001</v>
      </c>
    </row>
    <row r="69" spans="1:9" x14ac:dyDescent="0.2">
      <c r="A69" t="s">
        <v>21</v>
      </c>
      <c r="B69">
        <v>5</v>
      </c>
      <c r="C69">
        <f t="shared" si="1"/>
        <v>0.15899999999999997</v>
      </c>
      <c r="D69" t="s">
        <v>5</v>
      </c>
      <c r="E69" t="s">
        <v>4</v>
      </c>
      <c r="F69">
        <v>0.15659999999999999</v>
      </c>
      <c r="G69">
        <v>0.16139999999999999</v>
      </c>
    </row>
    <row r="70" spans="1:9" x14ac:dyDescent="0.2">
      <c r="A70" t="s">
        <v>22</v>
      </c>
      <c r="B70">
        <v>5</v>
      </c>
      <c r="C70">
        <f t="shared" si="1"/>
        <v>0.16005</v>
      </c>
      <c r="D70" t="s">
        <v>5</v>
      </c>
      <c r="E70" t="s">
        <v>4</v>
      </c>
      <c r="F70">
        <v>0.1603</v>
      </c>
      <c r="G70">
        <v>0.1598</v>
      </c>
    </row>
    <row r="71" spans="1:9" x14ac:dyDescent="0.2">
      <c r="A71" t="s">
        <v>23</v>
      </c>
      <c r="B71">
        <v>5</v>
      </c>
      <c r="C71">
        <f t="shared" si="1"/>
        <v>0.16669999999999999</v>
      </c>
      <c r="D71" t="s">
        <v>5</v>
      </c>
      <c r="E71" t="s">
        <v>6</v>
      </c>
      <c r="F71">
        <v>0.16769999999999999</v>
      </c>
      <c r="G71">
        <v>0.16569999999999999</v>
      </c>
    </row>
    <row r="72" spans="1:9" x14ac:dyDescent="0.2">
      <c r="A72" t="s">
        <v>24</v>
      </c>
      <c r="B72">
        <v>5</v>
      </c>
      <c r="C72">
        <f t="shared" si="1"/>
        <v>0.15789999999999998</v>
      </c>
      <c r="D72" t="s">
        <v>5</v>
      </c>
      <c r="E72" t="s">
        <v>6</v>
      </c>
      <c r="F72">
        <v>0.1555</v>
      </c>
      <c r="G72">
        <v>0.1603</v>
      </c>
    </row>
    <row r="73" spans="1:9" x14ac:dyDescent="0.2">
      <c r="A73" t="s">
        <v>25</v>
      </c>
      <c r="B73">
        <v>5</v>
      </c>
      <c r="C73">
        <f t="shared" si="1"/>
        <v>0.15560000000000002</v>
      </c>
      <c r="D73" t="s">
        <v>5</v>
      </c>
      <c r="E73" t="s">
        <v>6</v>
      </c>
      <c r="F73">
        <v>0.15570000000000001</v>
      </c>
      <c r="G73">
        <v>0.1555</v>
      </c>
    </row>
    <row r="74" spans="1:9" x14ac:dyDescent="0.2">
      <c r="A74" t="s">
        <v>26</v>
      </c>
      <c r="B74">
        <v>5</v>
      </c>
      <c r="C74">
        <f t="shared" si="1"/>
        <v>0.19570000000000001</v>
      </c>
      <c r="D74" t="s">
        <v>3</v>
      </c>
      <c r="E74" t="s">
        <v>4</v>
      </c>
      <c r="F74">
        <v>0.19570000000000001</v>
      </c>
      <c r="G74">
        <v>0.19570000000000001</v>
      </c>
      <c r="I74" s="3"/>
    </row>
    <row r="75" spans="1:9" x14ac:dyDescent="0.2">
      <c r="A75" t="s">
        <v>27</v>
      </c>
      <c r="B75">
        <v>5</v>
      </c>
      <c r="C75">
        <f t="shared" si="1"/>
        <v>0.18985000000000002</v>
      </c>
      <c r="D75" t="s">
        <v>3</v>
      </c>
      <c r="E75" t="s">
        <v>4</v>
      </c>
      <c r="F75">
        <v>0.191</v>
      </c>
      <c r="G75">
        <v>0.18870000000000001</v>
      </c>
    </row>
    <row r="76" spans="1:9" x14ac:dyDescent="0.2">
      <c r="A76" t="s">
        <v>28</v>
      </c>
      <c r="B76">
        <v>5</v>
      </c>
      <c r="C76">
        <f t="shared" si="1"/>
        <v>0.19725000000000001</v>
      </c>
      <c r="D76" t="s">
        <v>3</v>
      </c>
      <c r="E76" t="s">
        <v>4</v>
      </c>
      <c r="F76">
        <v>0.20080000000000001</v>
      </c>
      <c r="G76">
        <v>0.19370000000000001</v>
      </c>
    </row>
    <row r="77" spans="1:9" x14ac:dyDescent="0.2">
      <c r="A77" t="s">
        <v>29</v>
      </c>
      <c r="B77">
        <v>5</v>
      </c>
      <c r="C77">
        <f t="shared" si="1"/>
        <v>0.18385000000000001</v>
      </c>
      <c r="D77" t="s">
        <v>3</v>
      </c>
      <c r="E77" t="s">
        <v>6</v>
      </c>
      <c r="F77">
        <v>0.18340000000000001</v>
      </c>
      <c r="G77">
        <v>0.18429999999999999</v>
      </c>
    </row>
    <row r="78" spans="1:9" x14ac:dyDescent="0.2">
      <c r="A78" t="s">
        <v>30</v>
      </c>
      <c r="B78">
        <v>5</v>
      </c>
      <c r="C78">
        <f t="shared" si="1"/>
        <v>0.19105</v>
      </c>
      <c r="D78" t="s">
        <v>3</v>
      </c>
      <c r="E78" t="s">
        <v>6</v>
      </c>
      <c r="F78">
        <v>0.191</v>
      </c>
      <c r="G78">
        <v>0.19109999999999999</v>
      </c>
    </row>
    <row r="79" spans="1:9" x14ac:dyDescent="0.2">
      <c r="A79" t="s">
        <v>31</v>
      </c>
      <c r="B79">
        <v>5</v>
      </c>
      <c r="C79">
        <f t="shared" si="1"/>
        <v>0.19440000000000002</v>
      </c>
      <c r="D79" t="s">
        <v>3</v>
      </c>
      <c r="E79" t="s">
        <v>6</v>
      </c>
      <c r="F79">
        <v>0.19259999999999999</v>
      </c>
      <c r="G79">
        <v>0.19620000000000001</v>
      </c>
    </row>
    <row r="80" spans="1:9" x14ac:dyDescent="0.2">
      <c r="A80" t="s">
        <v>32</v>
      </c>
      <c r="B80">
        <v>5</v>
      </c>
      <c r="C80">
        <f t="shared" si="1"/>
        <v>0.18714999999999998</v>
      </c>
      <c r="D80" t="s">
        <v>13</v>
      </c>
      <c r="E80" t="s">
        <v>4</v>
      </c>
      <c r="F80">
        <v>0.19500000000000001</v>
      </c>
      <c r="G80">
        <v>0.17929999999999999</v>
      </c>
    </row>
    <row r="81" spans="1:10" x14ac:dyDescent="0.2">
      <c r="A81" t="s">
        <v>33</v>
      </c>
      <c r="B81">
        <v>5</v>
      </c>
      <c r="C81">
        <f t="shared" si="1"/>
        <v>0.18254999999999999</v>
      </c>
      <c r="D81" t="s">
        <v>13</v>
      </c>
      <c r="E81" t="s">
        <v>4</v>
      </c>
      <c r="F81">
        <v>0.18240000000000001</v>
      </c>
      <c r="G81">
        <v>0.1827</v>
      </c>
    </row>
    <row r="82" spans="1:10" x14ac:dyDescent="0.2">
      <c r="A82" t="s">
        <v>34</v>
      </c>
      <c r="B82">
        <v>5</v>
      </c>
      <c r="C82">
        <f t="shared" si="1"/>
        <v>0.18129999999999999</v>
      </c>
      <c r="D82" t="s">
        <v>13</v>
      </c>
      <c r="E82" t="s">
        <v>4</v>
      </c>
      <c r="F82">
        <v>0.18329999999999999</v>
      </c>
      <c r="G82">
        <v>0.17929999999999999</v>
      </c>
    </row>
    <row r="83" spans="1:10" x14ac:dyDescent="0.2">
      <c r="A83" t="s">
        <v>35</v>
      </c>
      <c r="B83">
        <v>5</v>
      </c>
      <c r="C83">
        <f t="shared" si="1"/>
        <v>0.18804999999999999</v>
      </c>
      <c r="D83" t="s">
        <v>13</v>
      </c>
      <c r="E83" t="s">
        <v>6</v>
      </c>
      <c r="F83">
        <v>0.1865</v>
      </c>
      <c r="G83">
        <v>0.18959999999999999</v>
      </c>
    </row>
    <row r="84" spans="1:10" x14ac:dyDescent="0.2">
      <c r="A84" t="s">
        <v>36</v>
      </c>
      <c r="B84">
        <v>5</v>
      </c>
      <c r="C84">
        <f t="shared" si="1"/>
        <v>0.18869999999999998</v>
      </c>
      <c r="D84" t="s">
        <v>13</v>
      </c>
      <c r="E84" t="s">
        <v>6</v>
      </c>
      <c r="F84">
        <v>0.19059999999999999</v>
      </c>
      <c r="G84">
        <v>0.18679999999999999</v>
      </c>
    </row>
    <row r="85" spans="1:10" x14ac:dyDescent="0.2">
      <c r="A85" t="s">
        <v>37</v>
      </c>
      <c r="B85">
        <v>5</v>
      </c>
      <c r="C85">
        <f t="shared" si="1"/>
        <v>0.30135000000000001</v>
      </c>
      <c r="D85" t="s">
        <v>13</v>
      </c>
      <c r="E85" t="s">
        <v>6</v>
      </c>
      <c r="F85">
        <v>0.29820000000000002</v>
      </c>
      <c r="G85">
        <v>0.30449999999999999</v>
      </c>
    </row>
    <row r="86" spans="1:10" x14ac:dyDescent="0.2">
      <c r="A86" t="s">
        <v>38</v>
      </c>
      <c r="B86">
        <v>5</v>
      </c>
      <c r="C86">
        <f t="shared" si="1"/>
        <v>0.19295000000000001</v>
      </c>
      <c r="D86" t="s">
        <v>9</v>
      </c>
      <c r="E86" t="s">
        <v>4</v>
      </c>
      <c r="F86">
        <v>0.1961</v>
      </c>
      <c r="G86">
        <v>0.1898</v>
      </c>
    </row>
    <row r="87" spans="1:10" x14ac:dyDescent="0.2">
      <c r="A87" t="s">
        <v>39</v>
      </c>
      <c r="B87">
        <v>5</v>
      </c>
      <c r="C87">
        <f t="shared" si="1"/>
        <v>0.1855</v>
      </c>
      <c r="D87" t="s">
        <v>9</v>
      </c>
      <c r="E87" t="s">
        <v>4</v>
      </c>
      <c r="F87">
        <v>0.18379999999999999</v>
      </c>
      <c r="G87">
        <v>0.18720000000000001</v>
      </c>
    </row>
    <row r="88" spans="1:10" x14ac:dyDescent="0.2">
      <c r="A88" t="s">
        <v>40</v>
      </c>
      <c r="B88">
        <v>5</v>
      </c>
      <c r="C88">
        <f t="shared" si="1"/>
        <v>0.19245000000000001</v>
      </c>
      <c r="D88" t="s">
        <v>9</v>
      </c>
      <c r="E88" t="s">
        <v>4</v>
      </c>
      <c r="F88">
        <v>0.1905</v>
      </c>
      <c r="G88">
        <v>0.19439999999999999</v>
      </c>
    </row>
    <row r="89" spans="1:10" x14ac:dyDescent="0.2">
      <c r="A89" t="s">
        <v>41</v>
      </c>
      <c r="B89">
        <v>5</v>
      </c>
      <c r="C89">
        <f t="shared" si="1"/>
        <v>0.2049</v>
      </c>
      <c r="D89" t="s">
        <v>9</v>
      </c>
      <c r="E89" t="s">
        <v>6</v>
      </c>
      <c r="F89">
        <v>0.2049</v>
      </c>
      <c r="G89">
        <v>0.2049</v>
      </c>
    </row>
    <row r="90" spans="1:10" x14ac:dyDescent="0.2">
      <c r="A90" t="s">
        <v>42</v>
      </c>
      <c r="B90">
        <v>5</v>
      </c>
      <c r="C90">
        <f t="shared" si="1"/>
        <v>0.20274999999999999</v>
      </c>
      <c r="D90" t="s">
        <v>9</v>
      </c>
      <c r="E90" t="s">
        <v>6</v>
      </c>
      <c r="F90">
        <v>0.20069999999999999</v>
      </c>
      <c r="G90">
        <v>0.20480000000000001</v>
      </c>
    </row>
    <row r="91" spans="1:10" x14ac:dyDescent="0.2">
      <c r="A91" t="s">
        <v>43</v>
      </c>
      <c r="B91">
        <v>5</v>
      </c>
      <c r="C91">
        <f t="shared" si="1"/>
        <v>0.19674999999999998</v>
      </c>
      <c r="D91" t="s">
        <v>9</v>
      </c>
      <c r="E91" t="s">
        <v>6</v>
      </c>
      <c r="F91">
        <v>0.1956</v>
      </c>
      <c r="G91">
        <v>0.19789999999999999</v>
      </c>
    </row>
    <row r="92" spans="1:10" x14ac:dyDescent="0.2">
      <c r="A92" t="s">
        <v>51</v>
      </c>
      <c r="B92">
        <v>6</v>
      </c>
      <c r="C92">
        <f t="shared" si="1"/>
        <v>0.15994999999999998</v>
      </c>
      <c r="D92" t="s">
        <v>48</v>
      </c>
      <c r="E92" t="s">
        <v>4</v>
      </c>
      <c r="F92">
        <v>0.1618</v>
      </c>
      <c r="G92">
        <v>0.15809999999999999</v>
      </c>
      <c r="H92">
        <f>(C92-C2)/(B92-B2)</f>
        <v>6.7666666666666639E-3</v>
      </c>
      <c r="I92">
        <f>C92-C2</f>
        <v>4.0599999999999983E-2</v>
      </c>
      <c r="J92">
        <f>AVERAGE(I92:I94)</f>
        <v>3.4033333333333332E-2</v>
      </c>
    </row>
    <row r="93" spans="1:10" x14ac:dyDescent="0.2">
      <c r="A93" t="s">
        <v>15</v>
      </c>
      <c r="B93">
        <v>6</v>
      </c>
      <c r="C93">
        <f t="shared" si="1"/>
        <v>0.15015000000000001</v>
      </c>
      <c r="D93" t="s">
        <v>48</v>
      </c>
      <c r="E93" t="s">
        <v>4</v>
      </c>
      <c r="F93">
        <v>0.14949999999999999</v>
      </c>
      <c r="G93">
        <v>0.15079999999999999</v>
      </c>
      <c r="H93">
        <f t="shared" ref="H93:H121" si="2">(C93-C3)/(B93-B3)</f>
        <v>4.9666666666666678E-3</v>
      </c>
      <c r="I93">
        <f t="shared" ref="I93:I121" si="3">C93-C3</f>
        <v>2.9800000000000007E-2</v>
      </c>
    </row>
    <row r="94" spans="1:10" x14ac:dyDescent="0.2">
      <c r="A94" t="s">
        <v>16</v>
      </c>
      <c r="B94">
        <v>6</v>
      </c>
      <c r="C94">
        <f t="shared" si="1"/>
        <v>0.15010000000000001</v>
      </c>
      <c r="D94" t="s">
        <v>48</v>
      </c>
      <c r="E94" t="s">
        <v>4</v>
      </c>
      <c r="F94">
        <v>0.15290000000000001</v>
      </c>
      <c r="G94">
        <v>0.14729999999999999</v>
      </c>
      <c r="H94">
        <f t="shared" si="2"/>
        <v>5.2833333333333343E-3</v>
      </c>
      <c r="I94">
        <f t="shared" si="3"/>
        <v>3.1700000000000006E-2</v>
      </c>
    </row>
    <row r="95" spans="1:10" x14ac:dyDescent="0.2">
      <c r="A95" t="s">
        <v>17</v>
      </c>
      <c r="B95">
        <v>6</v>
      </c>
      <c r="C95">
        <f t="shared" si="1"/>
        <v>0.15304999999999999</v>
      </c>
      <c r="D95" t="s">
        <v>48</v>
      </c>
      <c r="E95" t="s">
        <v>6</v>
      </c>
      <c r="F95">
        <v>0.15359999999999999</v>
      </c>
      <c r="G95">
        <v>0.1525</v>
      </c>
      <c r="H95">
        <f t="shared" si="2"/>
        <v>5.7916666666666672E-3</v>
      </c>
      <c r="I95">
        <f t="shared" si="3"/>
        <v>3.4750000000000003E-2</v>
      </c>
      <c r="J95">
        <f>AVERAGE(I95:I97)</f>
        <v>3.2816666666666668E-2</v>
      </c>
    </row>
    <row r="96" spans="1:10" x14ac:dyDescent="0.2">
      <c r="A96" t="s">
        <v>18</v>
      </c>
      <c r="B96">
        <v>6</v>
      </c>
      <c r="C96">
        <f t="shared" si="1"/>
        <v>0.14710000000000001</v>
      </c>
      <c r="D96" t="s">
        <v>48</v>
      </c>
      <c r="E96" t="s">
        <v>6</v>
      </c>
      <c r="F96">
        <v>0.14549999999999999</v>
      </c>
      <c r="G96">
        <v>0.1487</v>
      </c>
      <c r="H96">
        <f t="shared" si="2"/>
        <v>4.8333333333333327E-3</v>
      </c>
      <c r="I96">
        <f t="shared" si="3"/>
        <v>2.8999999999999998E-2</v>
      </c>
    </row>
    <row r="97" spans="1:10" x14ac:dyDescent="0.2">
      <c r="A97" t="s">
        <v>19</v>
      </c>
      <c r="B97">
        <v>6</v>
      </c>
      <c r="C97">
        <f t="shared" si="1"/>
        <v>0.15325</v>
      </c>
      <c r="D97" t="s">
        <v>48</v>
      </c>
      <c r="E97" t="s">
        <v>6</v>
      </c>
      <c r="F97">
        <v>0.1525</v>
      </c>
      <c r="G97">
        <v>0.154</v>
      </c>
      <c r="H97">
        <f t="shared" si="2"/>
        <v>5.7833333333333322E-3</v>
      </c>
      <c r="I97">
        <f t="shared" si="3"/>
        <v>3.4699999999999995E-2</v>
      </c>
    </row>
    <row r="98" spans="1:10" x14ac:dyDescent="0.2">
      <c r="A98" t="s">
        <v>20</v>
      </c>
      <c r="B98">
        <v>6</v>
      </c>
      <c r="C98">
        <f t="shared" si="1"/>
        <v>0.14605000000000001</v>
      </c>
      <c r="D98" t="s">
        <v>5</v>
      </c>
      <c r="E98" t="s">
        <v>4</v>
      </c>
      <c r="F98">
        <v>0.14749999999999999</v>
      </c>
      <c r="G98">
        <v>0.14460000000000001</v>
      </c>
      <c r="H98">
        <f t="shared" si="2"/>
        <v>3.1666666666666696E-3</v>
      </c>
      <c r="I98">
        <f t="shared" si="3"/>
        <v>1.9000000000000017E-2</v>
      </c>
      <c r="J98">
        <f t="shared" ref="J98" si="4">AVERAGE(I98:I100)</f>
        <v>2.5416666666666671E-2</v>
      </c>
    </row>
    <row r="99" spans="1:10" x14ac:dyDescent="0.2">
      <c r="A99" t="s">
        <v>21</v>
      </c>
      <c r="B99">
        <v>6</v>
      </c>
      <c r="C99">
        <f t="shared" si="1"/>
        <v>0.15584999999999999</v>
      </c>
      <c r="D99" t="s">
        <v>5</v>
      </c>
      <c r="E99" t="s">
        <v>4</v>
      </c>
      <c r="F99">
        <v>0.15490000000000001</v>
      </c>
      <c r="G99">
        <v>0.15679999999999999</v>
      </c>
      <c r="H99">
        <f t="shared" si="2"/>
        <v>4.716666666666665E-3</v>
      </c>
      <c r="I99">
        <f t="shared" si="3"/>
        <v>2.8299999999999992E-2</v>
      </c>
    </row>
    <row r="100" spans="1:10" x14ac:dyDescent="0.2">
      <c r="A100" t="s">
        <v>22</v>
      </c>
      <c r="B100">
        <v>6</v>
      </c>
      <c r="C100">
        <f t="shared" si="1"/>
        <v>0.15440000000000001</v>
      </c>
      <c r="D100" t="s">
        <v>5</v>
      </c>
      <c r="E100" t="s">
        <v>4</v>
      </c>
      <c r="F100">
        <v>0.15440000000000001</v>
      </c>
      <c r="G100">
        <v>0.15440000000000001</v>
      </c>
      <c r="H100">
        <f t="shared" si="2"/>
        <v>4.8250000000000003E-3</v>
      </c>
      <c r="I100">
        <f t="shared" si="3"/>
        <v>2.8950000000000004E-2</v>
      </c>
    </row>
    <row r="101" spans="1:10" x14ac:dyDescent="0.2">
      <c r="A101" t="s">
        <v>23</v>
      </c>
      <c r="B101">
        <v>6</v>
      </c>
      <c r="C101">
        <f t="shared" si="1"/>
        <v>0.17280000000000001</v>
      </c>
      <c r="D101" t="s">
        <v>5</v>
      </c>
      <c r="E101" t="s">
        <v>6</v>
      </c>
      <c r="F101">
        <v>0.1719</v>
      </c>
      <c r="G101">
        <v>0.17369999999999999</v>
      </c>
      <c r="H101">
        <f t="shared" si="2"/>
        <v>8.2000000000000042E-3</v>
      </c>
      <c r="I101">
        <f t="shared" si="3"/>
        <v>4.9200000000000021E-2</v>
      </c>
      <c r="J101">
        <f t="shared" ref="J101" si="5">AVERAGE(I101:I103)</f>
        <v>3.3350000000000012E-2</v>
      </c>
    </row>
    <row r="102" spans="1:10" x14ac:dyDescent="0.2">
      <c r="A102" t="s">
        <v>24</v>
      </c>
      <c r="B102">
        <v>6</v>
      </c>
      <c r="C102">
        <f t="shared" si="1"/>
        <v>0.15234999999999999</v>
      </c>
      <c r="D102" t="s">
        <v>5</v>
      </c>
      <c r="E102" t="s">
        <v>6</v>
      </c>
      <c r="F102">
        <v>0.15279999999999999</v>
      </c>
      <c r="G102">
        <v>0.15190000000000001</v>
      </c>
      <c r="H102">
        <f t="shared" si="2"/>
        <v>4.3666666666666671E-3</v>
      </c>
      <c r="I102">
        <f t="shared" si="3"/>
        <v>2.6200000000000001E-2</v>
      </c>
    </row>
    <row r="103" spans="1:10" x14ac:dyDescent="0.2">
      <c r="A103" t="s">
        <v>25</v>
      </c>
      <c r="B103">
        <v>6</v>
      </c>
      <c r="C103">
        <f t="shared" si="1"/>
        <v>0.15055000000000002</v>
      </c>
      <c r="D103" t="s">
        <v>5</v>
      </c>
      <c r="E103" t="s">
        <v>6</v>
      </c>
      <c r="F103">
        <v>0.15049999999999999</v>
      </c>
      <c r="G103">
        <v>0.15060000000000001</v>
      </c>
      <c r="H103">
        <f t="shared" si="2"/>
        <v>4.1083333333333345E-3</v>
      </c>
      <c r="I103">
        <f t="shared" si="3"/>
        <v>2.4650000000000005E-2</v>
      </c>
    </row>
    <row r="104" spans="1:10" x14ac:dyDescent="0.2">
      <c r="A104" t="s">
        <v>26</v>
      </c>
      <c r="B104">
        <v>6</v>
      </c>
      <c r="C104">
        <f t="shared" si="1"/>
        <v>0.24914999999999998</v>
      </c>
      <c r="D104" t="s">
        <v>3</v>
      </c>
      <c r="E104" t="s">
        <v>4</v>
      </c>
      <c r="F104">
        <v>0.29799999999999999</v>
      </c>
      <c r="G104">
        <v>0.20030000000000001</v>
      </c>
      <c r="H104">
        <f t="shared" si="2"/>
        <v>7.4749999999999999E-3</v>
      </c>
      <c r="I104">
        <f t="shared" si="3"/>
        <v>4.4850000000000001E-2</v>
      </c>
      <c r="J104">
        <f t="shared" ref="J104" si="6">AVERAGE(I104:I106)</f>
        <v>3.4049999999999997E-2</v>
      </c>
    </row>
    <row r="105" spans="1:10" x14ac:dyDescent="0.2">
      <c r="A105" t="s">
        <v>27</v>
      </c>
      <c r="B105">
        <v>6</v>
      </c>
      <c r="C105">
        <f t="shared" si="1"/>
        <v>0.1862</v>
      </c>
      <c r="D105" t="s">
        <v>3</v>
      </c>
      <c r="E105" t="s">
        <v>4</v>
      </c>
      <c r="F105">
        <v>0.1867</v>
      </c>
      <c r="G105">
        <v>0.1857</v>
      </c>
      <c r="H105">
        <f t="shared" si="2"/>
        <v>3.4999999999999983E-3</v>
      </c>
      <c r="I105">
        <f t="shared" si="3"/>
        <v>2.0999999999999991E-2</v>
      </c>
    </row>
    <row r="106" spans="1:10" x14ac:dyDescent="0.2">
      <c r="A106" t="s">
        <v>28</v>
      </c>
      <c r="B106">
        <v>6</v>
      </c>
      <c r="C106">
        <f t="shared" si="1"/>
        <v>0.19835</v>
      </c>
      <c r="D106" t="s">
        <v>3</v>
      </c>
      <c r="E106" t="s">
        <v>4</v>
      </c>
      <c r="F106">
        <v>0.1991</v>
      </c>
      <c r="G106">
        <v>0.1976</v>
      </c>
      <c r="H106">
        <f t="shared" si="2"/>
        <v>6.0499999999999998E-3</v>
      </c>
      <c r="I106">
        <f t="shared" si="3"/>
        <v>3.6299999999999999E-2</v>
      </c>
    </row>
    <row r="107" spans="1:10" x14ac:dyDescent="0.2">
      <c r="A107" t="s">
        <v>29</v>
      </c>
      <c r="B107">
        <v>6</v>
      </c>
      <c r="C107">
        <f t="shared" si="1"/>
        <v>0.19335000000000002</v>
      </c>
      <c r="D107" t="s">
        <v>3</v>
      </c>
      <c r="E107" t="s">
        <v>6</v>
      </c>
      <c r="F107">
        <v>0.1968</v>
      </c>
      <c r="G107">
        <v>0.18990000000000001</v>
      </c>
      <c r="H107">
        <f t="shared" si="2"/>
        <v>5.5250000000000021E-3</v>
      </c>
      <c r="I107">
        <f t="shared" si="3"/>
        <v>3.3150000000000013E-2</v>
      </c>
      <c r="J107">
        <f t="shared" ref="J107" si="7">AVERAGE(I107:I109)</f>
        <v>3.3983333333333338E-2</v>
      </c>
    </row>
    <row r="108" spans="1:10" x14ac:dyDescent="0.2">
      <c r="A108" t="s">
        <v>30</v>
      </c>
      <c r="B108">
        <v>6</v>
      </c>
      <c r="C108">
        <f t="shared" si="1"/>
        <v>0.19540000000000002</v>
      </c>
      <c r="D108" t="s">
        <v>3</v>
      </c>
      <c r="E108" t="s">
        <v>6</v>
      </c>
      <c r="F108">
        <v>0.19800000000000001</v>
      </c>
      <c r="G108">
        <v>0.1928</v>
      </c>
      <c r="H108">
        <f t="shared" si="2"/>
        <v>5.5583333333333361E-3</v>
      </c>
      <c r="I108">
        <f t="shared" si="3"/>
        <v>3.3350000000000019E-2</v>
      </c>
    </row>
    <row r="109" spans="1:10" x14ac:dyDescent="0.2">
      <c r="A109" t="s">
        <v>31</v>
      </c>
      <c r="B109">
        <v>6</v>
      </c>
      <c r="C109">
        <f t="shared" si="1"/>
        <v>0.19724999999999998</v>
      </c>
      <c r="D109" t="s">
        <v>3</v>
      </c>
      <c r="E109" t="s">
        <v>6</v>
      </c>
      <c r="F109">
        <v>0.19539999999999999</v>
      </c>
      <c r="G109">
        <v>0.1991</v>
      </c>
      <c r="H109">
        <f t="shared" si="2"/>
        <v>5.9083333333333305E-3</v>
      </c>
      <c r="I109">
        <f t="shared" si="3"/>
        <v>3.5449999999999982E-2</v>
      </c>
    </row>
    <row r="110" spans="1:10" x14ac:dyDescent="0.2">
      <c r="A110" t="s">
        <v>32</v>
      </c>
      <c r="B110">
        <v>6</v>
      </c>
      <c r="C110">
        <f t="shared" si="1"/>
        <v>0.21100000000000002</v>
      </c>
      <c r="D110" t="s">
        <v>13</v>
      </c>
      <c r="E110" t="s">
        <v>4</v>
      </c>
      <c r="F110">
        <v>0.23680000000000001</v>
      </c>
      <c r="G110">
        <v>0.1852</v>
      </c>
      <c r="H110">
        <f t="shared" si="2"/>
        <v>9.1583333333333378E-3</v>
      </c>
      <c r="I110">
        <f t="shared" si="3"/>
        <v>5.4950000000000027E-2</v>
      </c>
      <c r="J110" s="9">
        <f t="shared" ref="J110" si="8">AVERAGE(I110:I112)</f>
        <v>3.9350000000000003E-2</v>
      </c>
    </row>
    <row r="111" spans="1:10" x14ac:dyDescent="0.2">
      <c r="A111" t="s">
        <v>33</v>
      </c>
      <c r="B111">
        <v>6</v>
      </c>
      <c r="C111">
        <f t="shared" si="1"/>
        <v>0.18959999999999999</v>
      </c>
      <c r="D111" t="s">
        <v>13</v>
      </c>
      <c r="E111" t="s">
        <v>4</v>
      </c>
      <c r="F111">
        <v>0.19159999999999999</v>
      </c>
      <c r="G111">
        <v>0.18759999999999999</v>
      </c>
      <c r="H111">
        <f t="shared" si="2"/>
        <v>4.8583333333333352E-3</v>
      </c>
      <c r="I111">
        <f t="shared" si="3"/>
        <v>2.9150000000000009E-2</v>
      </c>
      <c r="J111" s="9"/>
    </row>
    <row r="112" spans="1:10" x14ac:dyDescent="0.2">
      <c r="A112" t="s">
        <v>34</v>
      </c>
      <c r="B112">
        <v>6</v>
      </c>
      <c r="C112">
        <f t="shared" si="1"/>
        <v>0.18769999999999998</v>
      </c>
      <c r="D112" t="s">
        <v>13</v>
      </c>
      <c r="E112" t="s">
        <v>4</v>
      </c>
      <c r="F112">
        <v>0.1903</v>
      </c>
      <c r="G112">
        <v>0.18509999999999999</v>
      </c>
      <c r="H112">
        <f t="shared" si="2"/>
        <v>5.6583333333333303E-3</v>
      </c>
      <c r="I112">
        <f t="shared" si="3"/>
        <v>3.394999999999998E-2</v>
      </c>
      <c r="J112" s="9"/>
    </row>
    <row r="113" spans="1:10" x14ac:dyDescent="0.2">
      <c r="A113" t="s">
        <v>35</v>
      </c>
      <c r="B113">
        <v>6</v>
      </c>
      <c r="C113">
        <f t="shared" si="1"/>
        <v>0.18685000000000002</v>
      </c>
      <c r="D113" t="s">
        <v>13</v>
      </c>
      <c r="E113" t="s">
        <v>6</v>
      </c>
      <c r="F113">
        <v>0.188</v>
      </c>
      <c r="G113">
        <v>0.1857</v>
      </c>
      <c r="H113">
        <f t="shared" si="2"/>
        <v>5.4750000000000033E-3</v>
      </c>
      <c r="I113">
        <f t="shared" si="3"/>
        <v>3.2850000000000018E-2</v>
      </c>
      <c r="J113" s="8">
        <f t="shared" ref="J113" si="9">AVERAGE(I113:I115)</f>
        <v>7.2500000000000009E-2</v>
      </c>
    </row>
    <row r="114" spans="1:10" x14ac:dyDescent="0.2">
      <c r="A114" t="s">
        <v>36</v>
      </c>
      <c r="B114">
        <v>6</v>
      </c>
      <c r="C114">
        <f t="shared" si="1"/>
        <v>0.18859999999999999</v>
      </c>
      <c r="D114" t="s">
        <v>13</v>
      </c>
      <c r="E114" t="s">
        <v>6</v>
      </c>
      <c r="F114">
        <v>0.1905</v>
      </c>
      <c r="G114">
        <v>0.1867</v>
      </c>
      <c r="H114">
        <f t="shared" si="2"/>
        <v>5.508333333333333E-3</v>
      </c>
      <c r="I114">
        <f t="shared" si="3"/>
        <v>3.3049999999999996E-2</v>
      </c>
      <c r="J114" s="9"/>
    </row>
    <row r="115" spans="1:10" x14ac:dyDescent="0.2">
      <c r="A115" t="s">
        <v>37</v>
      </c>
      <c r="B115">
        <v>6</v>
      </c>
      <c r="C115">
        <f t="shared" si="1"/>
        <v>0.30980000000000002</v>
      </c>
      <c r="D115" t="s">
        <v>13</v>
      </c>
      <c r="E115" t="s">
        <v>6</v>
      </c>
      <c r="F115">
        <v>0.31080000000000002</v>
      </c>
      <c r="G115">
        <v>0.30880000000000002</v>
      </c>
      <c r="H115">
        <f t="shared" si="2"/>
        <v>2.526666666666667E-2</v>
      </c>
      <c r="I115">
        <f t="shared" si="3"/>
        <v>0.15160000000000001</v>
      </c>
      <c r="J115" s="9"/>
    </row>
    <row r="116" spans="1:10" x14ac:dyDescent="0.2">
      <c r="A116" t="s">
        <v>38</v>
      </c>
      <c r="B116">
        <v>6</v>
      </c>
      <c r="C116">
        <f t="shared" si="1"/>
        <v>0.23315</v>
      </c>
      <c r="D116" t="s">
        <v>9</v>
      </c>
      <c r="E116" t="s">
        <v>4</v>
      </c>
      <c r="F116">
        <v>0.2722</v>
      </c>
      <c r="G116">
        <v>0.19409999999999999</v>
      </c>
      <c r="H116">
        <f t="shared" si="2"/>
        <v>3.0166666666666675E-3</v>
      </c>
      <c r="I116">
        <f t="shared" si="3"/>
        <v>1.8100000000000005E-2</v>
      </c>
      <c r="J116" s="9">
        <f t="shared" ref="J116" si="10">AVERAGE(I116:I118)</f>
        <v>2.6266666666666671E-2</v>
      </c>
    </row>
    <row r="117" spans="1:10" x14ac:dyDescent="0.2">
      <c r="A117" t="s">
        <v>39</v>
      </c>
      <c r="B117">
        <v>6</v>
      </c>
      <c r="C117">
        <f t="shared" si="1"/>
        <v>0.19585000000000002</v>
      </c>
      <c r="D117" t="s">
        <v>9</v>
      </c>
      <c r="E117" t="s">
        <v>4</v>
      </c>
      <c r="F117">
        <v>0.20760000000000001</v>
      </c>
      <c r="G117">
        <v>0.18410000000000001</v>
      </c>
      <c r="H117">
        <f t="shared" si="2"/>
        <v>4.9750000000000029E-3</v>
      </c>
      <c r="I117">
        <f t="shared" si="3"/>
        <v>2.9850000000000015E-2</v>
      </c>
      <c r="J117" s="9"/>
    </row>
    <row r="118" spans="1:10" x14ac:dyDescent="0.2">
      <c r="A118" t="s">
        <v>40</v>
      </c>
      <c r="B118">
        <v>6</v>
      </c>
      <c r="C118">
        <f t="shared" si="1"/>
        <v>0.19295000000000001</v>
      </c>
      <c r="D118" t="s">
        <v>9</v>
      </c>
      <c r="E118" t="s">
        <v>4</v>
      </c>
      <c r="F118">
        <v>0.1946</v>
      </c>
      <c r="G118">
        <v>0.1913</v>
      </c>
      <c r="H118">
        <f t="shared" si="2"/>
        <v>5.141666666666665E-3</v>
      </c>
      <c r="I118">
        <f t="shared" si="3"/>
        <v>3.0849999999999989E-2</v>
      </c>
      <c r="J118" s="9"/>
    </row>
    <row r="119" spans="1:10" x14ac:dyDescent="0.2">
      <c r="A119" t="s">
        <v>41</v>
      </c>
      <c r="B119">
        <v>6</v>
      </c>
      <c r="C119">
        <f t="shared" si="1"/>
        <v>0.20730000000000001</v>
      </c>
      <c r="D119" t="s">
        <v>9</v>
      </c>
      <c r="E119" t="s">
        <v>6</v>
      </c>
      <c r="F119">
        <v>0.20880000000000001</v>
      </c>
      <c r="G119">
        <v>0.20580000000000001</v>
      </c>
      <c r="H119">
        <f t="shared" si="2"/>
        <v>7.6583333333333364E-3</v>
      </c>
      <c r="I119">
        <f t="shared" si="3"/>
        <v>4.5950000000000019E-2</v>
      </c>
      <c r="J119" s="8">
        <f t="shared" ref="J119" si="11">AVERAGE(I119:I121)</f>
        <v>4.0750000000000008E-2</v>
      </c>
    </row>
    <row r="120" spans="1:10" x14ac:dyDescent="0.2">
      <c r="A120" t="s">
        <v>42</v>
      </c>
      <c r="B120">
        <v>6</v>
      </c>
      <c r="C120">
        <f t="shared" si="1"/>
        <v>0.20100000000000001</v>
      </c>
      <c r="D120" t="s">
        <v>9</v>
      </c>
      <c r="E120" t="s">
        <v>6</v>
      </c>
      <c r="F120">
        <v>0.2011</v>
      </c>
      <c r="G120">
        <v>0.2009</v>
      </c>
      <c r="H120">
        <f t="shared" si="2"/>
        <v>6.5416666666666679E-3</v>
      </c>
      <c r="I120">
        <f t="shared" si="3"/>
        <v>3.9250000000000007E-2</v>
      </c>
      <c r="J120" s="9"/>
    </row>
    <row r="121" spans="1:10" x14ac:dyDescent="0.2">
      <c r="A121" t="s">
        <v>43</v>
      </c>
      <c r="B121">
        <v>6</v>
      </c>
      <c r="C121">
        <f t="shared" si="1"/>
        <v>0.19919999999999999</v>
      </c>
      <c r="D121" t="s">
        <v>9</v>
      </c>
      <c r="E121" t="s">
        <v>6</v>
      </c>
      <c r="F121">
        <v>0.1988</v>
      </c>
      <c r="G121">
        <v>0.1996</v>
      </c>
      <c r="H121">
        <f t="shared" si="2"/>
        <v>6.1749999999999999E-3</v>
      </c>
      <c r="I121">
        <f t="shared" si="3"/>
        <v>3.705E-2</v>
      </c>
      <c r="J121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E9650-222F-C64C-A4CD-23AFDEBC1EE8}">
  <dimension ref="A1:J61"/>
  <sheetViews>
    <sheetView topLeftCell="A18" workbookViewId="0">
      <selection activeCell="H32" sqref="H32:H61"/>
    </sheetView>
  </sheetViews>
  <sheetFormatPr baseColWidth="10" defaultRowHeight="16" x14ac:dyDescent="0.2"/>
  <sheetData>
    <row r="1" spans="1:8" ht="17" thickBot="1" x14ac:dyDescent="0.25">
      <c r="A1" s="1" t="s">
        <v>0</v>
      </c>
      <c r="B1" s="2" t="s">
        <v>8</v>
      </c>
      <c r="C1" s="1" t="s">
        <v>7</v>
      </c>
      <c r="D1" s="1" t="s">
        <v>1</v>
      </c>
      <c r="E1" s="1" t="s">
        <v>2</v>
      </c>
      <c r="F1" s="5" t="s">
        <v>10</v>
      </c>
      <c r="G1" s="5" t="s">
        <v>11</v>
      </c>
      <c r="H1" s="5" t="s">
        <v>54</v>
      </c>
    </row>
    <row r="2" spans="1:8" x14ac:dyDescent="0.2">
      <c r="A2" t="s">
        <v>62</v>
      </c>
      <c r="B2">
        <v>0</v>
      </c>
      <c r="C2">
        <f>AVERAGE(F2:G2)</f>
        <v>0.10815</v>
      </c>
      <c r="D2" t="s">
        <v>48</v>
      </c>
      <c r="E2" t="s">
        <v>4</v>
      </c>
      <c r="F2">
        <v>0.1079</v>
      </c>
      <c r="G2">
        <v>0.1084</v>
      </c>
    </row>
    <row r="3" spans="1:8" x14ac:dyDescent="0.2">
      <c r="A3" t="s">
        <v>15</v>
      </c>
      <c r="B3">
        <v>0</v>
      </c>
      <c r="C3">
        <f t="shared" ref="C3:C61" si="0">AVERAGE(F3:G3)</f>
        <v>0.10680000000000001</v>
      </c>
      <c r="D3" t="s">
        <v>48</v>
      </c>
      <c r="E3" t="s">
        <v>4</v>
      </c>
      <c r="F3">
        <v>0.1079</v>
      </c>
      <c r="G3">
        <v>0.1057</v>
      </c>
    </row>
    <row r="4" spans="1:8" x14ac:dyDescent="0.2">
      <c r="A4" t="s">
        <v>16</v>
      </c>
      <c r="B4">
        <v>0</v>
      </c>
      <c r="C4">
        <f t="shared" si="0"/>
        <v>0.10630000000000001</v>
      </c>
      <c r="D4" t="s">
        <v>48</v>
      </c>
      <c r="E4" t="s">
        <v>4</v>
      </c>
      <c r="F4">
        <v>0.1069</v>
      </c>
      <c r="G4">
        <v>0.1057</v>
      </c>
    </row>
    <row r="5" spans="1:8" x14ac:dyDescent="0.2">
      <c r="A5" t="s">
        <v>17</v>
      </c>
      <c r="B5">
        <v>0</v>
      </c>
      <c r="C5">
        <f t="shared" si="0"/>
        <v>0.10719999999999999</v>
      </c>
      <c r="D5" t="s">
        <v>48</v>
      </c>
      <c r="E5" t="s">
        <v>6</v>
      </c>
      <c r="F5">
        <v>0.10589999999999999</v>
      </c>
      <c r="G5">
        <v>0.1085</v>
      </c>
    </row>
    <row r="6" spans="1:8" x14ac:dyDescent="0.2">
      <c r="A6" t="s">
        <v>18</v>
      </c>
      <c r="B6">
        <v>0</v>
      </c>
      <c r="C6">
        <f t="shared" si="0"/>
        <v>0.10635</v>
      </c>
      <c r="D6" t="s">
        <v>48</v>
      </c>
      <c r="E6" t="s">
        <v>6</v>
      </c>
      <c r="F6">
        <v>0.10630000000000001</v>
      </c>
      <c r="G6">
        <v>0.10639999999999999</v>
      </c>
    </row>
    <row r="7" spans="1:8" x14ac:dyDescent="0.2">
      <c r="A7" t="s">
        <v>19</v>
      </c>
      <c r="B7">
        <v>0</v>
      </c>
      <c r="C7">
        <f t="shared" si="0"/>
        <v>0.10639999999999999</v>
      </c>
      <c r="D7" t="s">
        <v>48</v>
      </c>
      <c r="E7" t="s">
        <v>6</v>
      </c>
      <c r="F7">
        <v>0.1069</v>
      </c>
      <c r="G7">
        <v>0.10589999999999999</v>
      </c>
    </row>
    <row r="8" spans="1:8" x14ac:dyDescent="0.2">
      <c r="A8" t="s">
        <v>20</v>
      </c>
      <c r="B8">
        <v>0</v>
      </c>
      <c r="C8">
        <f t="shared" si="0"/>
        <v>0.14985000000000001</v>
      </c>
      <c r="D8" t="s">
        <v>5</v>
      </c>
      <c r="E8" t="s">
        <v>4</v>
      </c>
      <c r="F8">
        <v>0.15060000000000001</v>
      </c>
      <c r="G8">
        <v>0.14910000000000001</v>
      </c>
    </row>
    <row r="9" spans="1:8" x14ac:dyDescent="0.2">
      <c r="A9" t="s">
        <v>21</v>
      </c>
      <c r="B9">
        <v>0</v>
      </c>
      <c r="C9">
        <f t="shared" si="0"/>
        <v>0.13419999999999999</v>
      </c>
      <c r="D9" t="s">
        <v>5</v>
      </c>
      <c r="E9" t="s">
        <v>4</v>
      </c>
      <c r="F9">
        <v>0.13439999999999999</v>
      </c>
      <c r="G9">
        <v>0.13400000000000001</v>
      </c>
    </row>
    <row r="10" spans="1:8" x14ac:dyDescent="0.2">
      <c r="A10" t="s">
        <v>22</v>
      </c>
      <c r="B10">
        <v>0</v>
      </c>
      <c r="C10">
        <f t="shared" si="0"/>
        <v>0.1888</v>
      </c>
      <c r="D10" t="s">
        <v>5</v>
      </c>
      <c r="E10" t="s">
        <v>4</v>
      </c>
      <c r="F10">
        <v>0.1898</v>
      </c>
      <c r="G10">
        <v>0.18779999999999999</v>
      </c>
    </row>
    <row r="11" spans="1:8" x14ac:dyDescent="0.2">
      <c r="A11" t="s">
        <v>23</v>
      </c>
      <c r="B11">
        <v>0</v>
      </c>
      <c r="C11">
        <f t="shared" si="0"/>
        <v>0.15134999999999998</v>
      </c>
      <c r="D11" t="s">
        <v>5</v>
      </c>
      <c r="E11" t="s">
        <v>6</v>
      </c>
      <c r="F11">
        <v>0.151</v>
      </c>
      <c r="G11">
        <v>0.1517</v>
      </c>
    </row>
    <row r="12" spans="1:8" x14ac:dyDescent="0.2">
      <c r="A12" t="s">
        <v>24</v>
      </c>
      <c r="B12">
        <v>0</v>
      </c>
      <c r="C12">
        <f t="shared" si="0"/>
        <v>0.15075</v>
      </c>
      <c r="D12" t="s">
        <v>5</v>
      </c>
      <c r="E12" t="s">
        <v>6</v>
      </c>
      <c r="F12">
        <v>0.1489</v>
      </c>
      <c r="G12">
        <v>0.15260000000000001</v>
      </c>
    </row>
    <row r="13" spans="1:8" x14ac:dyDescent="0.2">
      <c r="A13" t="s">
        <v>25</v>
      </c>
      <c r="B13">
        <v>0</v>
      </c>
      <c r="C13">
        <f t="shared" si="0"/>
        <v>0.15204999999999999</v>
      </c>
      <c r="D13" t="s">
        <v>5</v>
      </c>
      <c r="E13" t="s">
        <v>6</v>
      </c>
      <c r="F13">
        <v>0.14899999999999999</v>
      </c>
      <c r="G13">
        <v>0.15509999999999999</v>
      </c>
    </row>
    <row r="14" spans="1:8" x14ac:dyDescent="0.2">
      <c r="A14" t="s">
        <v>26</v>
      </c>
      <c r="B14">
        <v>0</v>
      </c>
      <c r="C14">
        <f t="shared" si="0"/>
        <v>0.12565000000000001</v>
      </c>
      <c r="D14" t="s">
        <v>3</v>
      </c>
      <c r="E14" t="s">
        <v>4</v>
      </c>
      <c r="F14">
        <v>0.12590000000000001</v>
      </c>
      <c r="G14">
        <v>0.12540000000000001</v>
      </c>
    </row>
    <row r="15" spans="1:8" x14ac:dyDescent="0.2">
      <c r="A15" t="s">
        <v>27</v>
      </c>
      <c r="B15">
        <v>0</v>
      </c>
      <c r="C15">
        <f t="shared" si="0"/>
        <v>0.12614999999999998</v>
      </c>
      <c r="D15" t="s">
        <v>3</v>
      </c>
      <c r="E15" t="s">
        <v>4</v>
      </c>
      <c r="F15">
        <v>0.1263</v>
      </c>
      <c r="G15">
        <v>0.126</v>
      </c>
    </row>
    <row r="16" spans="1:8" x14ac:dyDescent="0.2">
      <c r="A16" t="s">
        <v>28</v>
      </c>
      <c r="B16">
        <v>0</v>
      </c>
      <c r="C16">
        <f t="shared" si="0"/>
        <v>0.12755</v>
      </c>
      <c r="D16" t="s">
        <v>3</v>
      </c>
      <c r="E16" t="s">
        <v>4</v>
      </c>
      <c r="F16">
        <v>0.1273</v>
      </c>
      <c r="G16">
        <v>0.1278</v>
      </c>
    </row>
    <row r="17" spans="1:10" x14ac:dyDescent="0.2">
      <c r="A17" t="s">
        <v>29</v>
      </c>
      <c r="B17">
        <v>0</v>
      </c>
      <c r="C17">
        <f t="shared" si="0"/>
        <v>0.12814999999999999</v>
      </c>
      <c r="D17" t="s">
        <v>3</v>
      </c>
      <c r="E17" t="s">
        <v>6</v>
      </c>
      <c r="F17">
        <v>0.12970000000000001</v>
      </c>
      <c r="G17">
        <v>0.12659999999999999</v>
      </c>
    </row>
    <row r="18" spans="1:10" x14ac:dyDescent="0.2">
      <c r="A18" t="s">
        <v>30</v>
      </c>
      <c r="B18">
        <v>0</v>
      </c>
      <c r="C18">
        <f t="shared" si="0"/>
        <v>0.12685000000000002</v>
      </c>
      <c r="D18" t="s">
        <v>3</v>
      </c>
      <c r="E18" t="s">
        <v>6</v>
      </c>
      <c r="F18">
        <v>0.1275</v>
      </c>
      <c r="G18">
        <v>0.12620000000000001</v>
      </c>
    </row>
    <row r="19" spans="1:10" x14ac:dyDescent="0.2">
      <c r="A19" t="s">
        <v>31</v>
      </c>
      <c r="B19">
        <v>0</v>
      </c>
      <c r="C19">
        <f t="shared" si="0"/>
        <v>0.13</v>
      </c>
      <c r="D19" t="s">
        <v>3</v>
      </c>
      <c r="E19" t="s">
        <v>6</v>
      </c>
      <c r="F19">
        <v>0.1293</v>
      </c>
      <c r="G19">
        <v>0.13070000000000001</v>
      </c>
    </row>
    <row r="20" spans="1:10" x14ac:dyDescent="0.2">
      <c r="A20" t="s">
        <v>32</v>
      </c>
      <c r="B20">
        <v>0</v>
      </c>
      <c r="C20">
        <f t="shared" si="0"/>
        <v>0.13879999999999998</v>
      </c>
      <c r="D20" t="s">
        <v>13</v>
      </c>
      <c r="E20" t="s">
        <v>4</v>
      </c>
      <c r="F20">
        <v>0.1384</v>
      </c>
      <c r="G20">
        <v>0.13919999999999999</v>
      </c>
    </row>
    <row r="21" spans="1:10" x14ac:dyDescent="0.2">
      <c r="A21" t="s">
        <v>33</v>
      </c>
      <c r="B21">
        <v>0</v>
      </c>
      <c r="C21">
        <f t="shared" si="0"/>
        <v>0.13924999999999998</v>
      </c>
      <c r="D21" t="s">
        <v>13</v>
      </c>
      <c r="E21" t="s">
        <v>4</v>
      </c>
      <c r="F21">
        <v>0.1396</v>
      </c>
      <c r="G21">
        <v>0.1389</v>
      </c>
    </row>
    <row r="22" spans="1:10" x14ac:dyDescent="0.2">
      <c r="A22" t="s">
        <v>34</v>
      </c>
      <c r="B22">
        <v>0</v>
      </c>
      <c r="C22">
        <f t="shared" si="0"/>
        <v>0.13929999999999998</v>
      </c>
      <c r="D22" t="s">
        <v>13</v>
      </c>
      <c r="E22" t="s">
        <v>4</v>
      </c>
      <c r="F22">
        <v>0.14019999999999999</v>
      </c>
      <c r="G22">
        <v>0.1384</v>
      </c>
    </row>
    <row r="23" spans="1:10" x14ac:dyDescent="0.2">
      <c r="A23" t="s">
        <v>35</v>
      </c>
      <c r="B23">
        <v>0</v>
      </c>
      <c r="C23">
        <f t="shared" si="0"/>
        <v>0.1386</v>
      </c>
      <c r="D23" t="s">
        <v>13</v>
      </c>
      <c r="E23" t="s">
        <v>6</v>
      </c>
      <c r="F23">
        <v>0.13980000000000001</v>
      </c>
      <c r="G23">
        <v>0.13739999999999999</v>
      </c>
    </row>
    <row r="24" spans="1:10" x14ac:dyDescent="0.2">
      <c r="A24" t="s">
        <v>36</v>
      </c>
      <c r="B24">
        <v>0</v>
      </c>
      <c r="C24">
        <f t="shared" si="0"/>
        <v>0.13985</v>
      </c>
      <c r="D24" t="s">
        <v>13</v>
      </c>
      <c r="E24" t="s">
        <v>6</v>
      </c>
      <c r="F24">
        <v>0.1404</v>
      </c>
      <c r="G24">
        <v>0.13930000000000001</v>
      </c>
    </row>
    <row r="25" spans="1:10" x14ac:dyDescent="0.2">
      <c r="A25" t="s">
        <v>37</v>
      </c>
      <c r="B25">
        <v>0</v>
      </c>
      <c r="C25">
        <f t="shared" si="0"/>
        <v>0.13950000000000001</v>
      </c>
      <c r="D25" t="s">
        <v>13</v>
      </c>
      <c r="E25" t="s">
        <v>6</v>
      </c>
      <c r="F25">
        <v>0.1389</v>
      </c>
      <c r="G25">
        <v>0.1401</v>
      </c>
    </row>
    <row r="26" spans="1:10" x14ac:dyDescent="0.2">
      <c r="A26" t="s">
        <v>38</v>
      </c>
      <c r="B26">
        <v>0</v>
      </c>
      <c r="C26">
        <f t="shared" si="0"/>
        <v>0.13855000000000001</v>
      </c>
      <c r="D26" t="s">
        <v>9</v>
      </c>
      <c r="E26" t="s">
        <v>4</v>
      </c>
      <c r="F26">
        <v>0.13869999999999999</v>
      </c>
      <c r="G26">
        <v>0.1384</v>
      </c>
    </row>
    <row r="27" spans="1:10" x14ac:dyDescent="0.2">
      <c r="A27" t="s">
        <v>39</v>
      </c>
      <c r="B27">
        <v>0</v>
      </c>
      <c r="C27">
        <f t="shared" si="0"/>
        <v>0.14169999999999999</v>
      </c>
      <c r="D27" t="s">
        <v>9</v>
      </c>
      <c r="E27" t="s">
        <v>4</v>
      </c>
      <c r="F27">
        <v>0.1426</v>
      </c>
      <c r="G27">
        <v>0.14080000000000001</v>
      </c>
    </row>
    <row r="28" spans="1:10" x14ac:dyDescent="0.2">
      <c r="A28" t="s">
        <v>40</v>
      </c>
      <c r="B28">
        <v>0</v>
      </c>
      <c r="C28">
        <f t="shared" si="0"/>
        <v>0.13929999999999998</v>
      </c>
      <c r="D28" t="s">
        <v>9</v>
      </c>
      <c r="E28" t="s">
        <v>4</v>
      </c>
      <c r="F28">
        <v>0.1399</v>
      </c>
      <c r="G28">
        <v>0.13869999999999999</v>
      </c>
    </row>
    <row r="29" spans="1:10" x14ac:dyDescent="0.2">
      <c r="A29" t="s">
        <v>41</v>
      </c>
      <c r="B29">
        <v>0</v>
      </c>
      <c r="C29">
        <f t="shared" si="0"/>
        <v>0.14149999999999999</v>
      </c>
      <c r="D29" t="s">
        <v>9</v>
      </c>
      <c r="E29" t="s">
        <v>6</v>
      </c>
      <c r="F29">
        <v>0.14149999999999999</v>
      </c>
      <c r="G29">
        <v>0.14149999999999999</v>
      </c>
    </row>
    <row r="30" spans="1:10" x14ac:dyDescent="0.2">
      <c r="A30" t="s">
        <v>42</v>
      </c>
      <c r="B30">
        <v>0</v>
      </c>
      <c r="C30">
        <f t="shared" si="0"/>
        <v>0.13924999999999998</v>
      </c>
      <c r="D30" t="s">
        <v>9</v>
      </c>
      <c r="E30" t="s">
        <v>6</v>
      </c>
      <c r="F30">
        <v>0.13769999999999999</v>
      </c>
      <c r="G30">
        <v>0.14080000000000001</v>
      </c>
    </row>
    <row r="31" spans="1:10" x14ac:dyDescent="0.2">
      <c r="A31" t="s">
        <v>43</v>
      </c>
      <c r="B31">
        <v>0</v>
      </c>
      <c r="C31">
        <f t="shared" si="0"/>
        <v>0.14729999999999999</v>
      </c>
      <c r="D31" t="s">
        <v>9</v>
      </c>
      <c r="E31" t="s">
        <v>6</v>
      </c>
      <c r="F31">
        <v>0.14369999999999999</v>
      </c>
      <c r="G31">
        <v>0.15090000000000001</v>
      </c>
    </row>
    <row r="32" spans="1:10" x14ac:dyDescent="0.2">
      <c r="A32" t="s">
        <v>63</v>
      </c>
      <c r="B32">
        <v>6</v>
      </c>
      <c r="C32">
        <f t="shared" si="0"/>
        <v>0.27910000000000001</v>
      </c>
      <c r="D32" t="s">
        <v>48</v>
      </c>
      <c r="E32" t="s">
        <v>4</v>
      </c>
      <c r="F32">
        <v>0.27450000000000002</v>
      </c>
      <c r="G32">
        <v>0.28370000000000001</v>
      </c>
      <c r="H32" s="7">
        <f>C32-C2</f>
        <v>0.17095000000000002</v>
      </c>
      <c r="I32">
        <f>AVERAGE(H32:H34)</f>
        <v>0.13086666666666669</v>
      </c>
      <c r="J32" t="s">
        <v>65</v>
      </c>
    </row>
    <row r="33" spans="1:9" x14ac:dyDescent="0.2">
      <c r="A33" t="s">
        <v>15</v>
      </c>
      <c r="B33">
        <v>6</v>
      </c>
      <c r="C33">
        <f t="shared" si="0"/>
        <v>0.25165000000000004</v>
      </c>
      <c r="D33" t="s">
        <v>48</v>
      </c>
      <c r="E33" t="s">
        <v>4</v>
      </c>
      <c r="F33">
        <v>0.25290000000000001</v>
      </c>
      <c r="G33">
        <v>0.25040000000000001</v>
      </c>
      <c r="H33" s="7">
        <f t="shared" ref="H33:H61" si="1">C33-C3</f>
        <v>0.14485000000000003</v>
      </c>
    </row>
    <row r="34" spans="1:9" x14ac:dyDescent="0.2">
      <c r="A34" t="s">
        <v>16</v>
      </c>
      <c r="B34">
        <v>6</v>
      </c>
      <c r="C34">
        <f t="shared" si="0"/>
        <v>0.18309999999999998</v>
      </c>
      <c r="D34" t="s">
        <v>48</v>
      </c>
      <c r="E34" t="s">
        <v>4</v>
      </c>
      <c r="F34">
        <v>0.18279999999999999</v>
      </c>
      <c r="G34">
        <v>0.18340000000000001</v>
      </c>
      <c r="H34" s="7">
        <f t="shared" si="1"/>
        <v>7.6799999999999979E-2</v>
      </c>
    </row>
    <row r="35" spans="1:9" x14ac:dyDescent="0.2">
      <c r="A35" t="s">
        <v>17</v>
      </c>
      <c r="B35">
        <v>6</v>
      </c>
      <c r="C35">
        <f t="shared" si="0"/>
        <v>0.17415</v>
      </c>
      <c r="D35" t="s">
        <v>48</v>
      </c>
      <c r="E35" t="s">
        <v>6</v>
      </c>
      <c r="F35">
        <v>0.17299999999999999</v>
      </c>
      <c r="G35">
        <v>0.17530000000000001</v>
      </c>
      <c r="H35" s="7">
        <f t="shared" si="1"/>
        <v>6.695000000000001E-2</v>
      </c>
      <c r="I35">
        <f>AVERAGE(H35:H37)</f>
        <v>0.115</v>
      </c>
    </row>
    <row r="36" spans="1:9" x14ac:dyDescent="0.2">
      <c r="A36" t="s">
        <v>18</v>
      </c>
      <c r="B36">
        <v>6</v>
      </c>
      <c r="C36">
        <f t="shared" si="0"/>
        <v>0.15525</v>
      </c>
      <c r="D36" t="s">
        <v>48</v>
      </c>
      <c r="E36" t="s">
        <v>6</v>
      </c>
      <c r="F36">
        <v>0.15359999999999999</v>
      </c>
      <c r="G36">
        <v>0.15690000000000001</v>
      </c>
      <c r="H36" s="7">
        <f t="shared" si="1"/>
        <v>4.8899999999999999E-2</v>
      </c>
    </row>
    <row r="37" spans="1:9" x14ac:dyDescent="0.2">
      <c r="A37" t="s">
        <v>19</v>
      </c>
      <c r="B37">
        <v>6</v>
      </c>
      <c r="C37">
        <f t="shared" si="0"/>
        <v>0.33555000000000001</v>
      </c>
      <c r="D37" t="s">
        <v>48</v>
      </c>
      <c r="E37" t="s">
        <v>6</v>
      </c>
      <c r="F37">
        <v>0.33289999999999997</v>
      </c>
      <c r="G37">
        <v>0.3382</v>
      </c>
      <c r="H37" s="7">
        <f t="shared" si="1"/>
        <v>0.22915000000000002</v>
      </c>
    </row>
    <row r="38" spans="1:9" x14ac:dyDescent="0.2">
      <c r="A38" t="s">
        <v>20</v>
      </c>
      <c r="B38">
        <v>6</v>
      </c>
      <c r="C38">
        <f t="shared" si="0"/>
        <v>0.17874999999999999</v>
      </c>
      <c r="D38" t="s">
        <v>5</v>
      </c>
      <c r="E38" t="s">
        <v>4</v>
      </c>
      <c r="F38">
        <v>0.1762</v>
      </c>
      <c r="G38">
        <v>0.18129999999999999</v>
      </c>
      <c r="H38">
        <f t="shared" si="1"/>
        <v>2.8899999999999981E-2</v>
      </c>
      <c r="I38">
        <f t="shared" ref="I38" si="2">AVERAGE(H38:H40)</f>
        <v>2.331666666666667E-2</v>
      </c>
    </row>
    <row r="39" spans="1:9" x14ac:dyDescent="0.2">
      <c r="A39" t="s">
        <v>21</v>
      </c>
      <c r="B39">
        <v>6</v>
      </c>
      <c r="C39">
        <f t="shared" si="0"/>
        <v>0.16205</v>
      </c>
      <c r="D39" t="s">
        <v>5</v>
      </c>
      <c r="E39" t="s">
        <v>4</v>
      </c>
      <c r="F39">
        <v>0.16139999999999999</v>
      </c>
      <c r="G39">
        <v>0.16270000000000001</v>
      </c>
      <c r="H39">
        <f t="shared" si="1"/>
        <v>2.7850000000000014E-2</v>
      </c>
    </row>
    <row r="40" spans="1:9" x14ac:dyDescent="0.2">
      <c r="A40" t="s">
        <v>22</v>
      </c>
      <c r="B40">
        <v>6</v>
      </c>
      <c r="C40">
        <f t="shared" si="0"/>
        <v>0.20200000000000001</v>
      </c>
      <c r="D40" t="s">
        <v>5</v>
      </c>
      <c r="E40" t="s">
        <v>4</v>
      </c>
      <c r="F40">
        <v>0.20319999999999999</v>
      </c>
      <c r="G40">
        <v>0.20080000000000001</v>
      </c>
      <c r="H40">
        <f t="shared" si="1"/>
        <v>1.3200000000000017E-2</v>
      </c>
    </row>
    <row r="41" spans="1:9" x14ac:dyDescent="0.2">
      <c r="A41" t="s">
        <v>23</v>
      </c>
      <c r="B41">
        <v>6</v>
      </c>
      <c r="C41">
        <f t="shared" si="0"/>
        <v>0.18490000000000001</v>
      </c>
      <c r="D41" t="s">
        <v>5</v>
      </c>
      <c r="E41" t="s">
        <v>6</v>
      </c>
      <c r="F41">
        <v>0.186</v>
      </c>
      <c r="G41">
        <v>0.18379999999999999</v>
      </c>
      <c r="H41">
        <f t="shared" si="1"/>
        <v>3.3550000000000024E-2</v>
      </c>
      <c r="I41">
        <f t="shared" ref="I41" si="3">AVERAGE(H41:H43)</f>
        <v>2.4433333333333352E-2</v>
      </c>
    </row>
    <row r="42" spans="1:9" x14ac:dyDescent="0.2">
      <c r="A42" t="s">
        <v>24</v>
      </c>
      <c r="B42">
        <v>6</v>
      </c>
      <c r="C42">
        <f t="shared" si="0"/>
        <v>0.18195</v>
      </c>
      <c r="D42" t="s">
        <v>5</v>
      </c>
      <c r="E42" t="s">
        <v>6</v>
      </c>
      <c r="F42">
        <v>0.18060000000000001</v>
      </c>
      <c r="G42">
        <v>0.18329999999999999</v>
      </c>
      <c r="H42">
        <f t="shared" si="1"/>
        <v>3.1200000000000006E-2</v>
      </c>
    </row>
    <row r="43" spans="1:9" x14ac:dyDescent="0.2">
      <c r="A43" t="s">
        <v>25</v>
      </c>
      <c r="B43">
        <v>6</v>
      </c>
      <c r="C43">
        <f t="shared" si="0"/>
        <v>0.16060000000000002</v>
      </c>
      <c r="D43" t="s">
        <v>5</v>
      </c>
      <c r="E43" t="s">
        <v>6</v>
      </c>
      <c r="F43">
        <v>0.16200000000000001</v>
      </c>
      <c r="G43">
        <v>0.15920000000000001</v>
      </c>
      <c r="H43">
        <f t="shared" si="1"/>
        <v>8.5500000000000298E-3</v>
      </c>
    </row>
    <row r="44" spans="1:9" x14ac:dyDescent="0.2">
      <c r="A44" t="s">
        <v>26</v>
      </c>
      <c r="B44">
        <v>6</v>
      </c>
      <c r="C44">
        <f t="shared" si="0"/>
        <v>0.21174999999999999</v>
      </c>
      <c r="D44" t="s">
        <v>3</v>
      </c>
      <c r="E44" t="s">
        <v>4</v>
      </c>
      <c r="F44">
        <v>0.21010000000000001</v>
      </c>
      <c r="G44">
        <v>0.21340000000000001</v>
      </c>
      <c r="H44" s="7">
        <f t="shared" si="1"/>
        <v>8.6099999999999982E-2</v>
      </c>
      <c r="I44">
        <f t="shared" ref="I44" si="4">AVERAGE(H44:H46)</f>
        <v>0.10210000000000001</v>
      </c>
    </row>
    <row r="45" spans="1:9" x14ac:dyDescent="0.2">
      <c r="A45" t="s">
        <v>27</v>
      </c>
      <c r="B45">
        <v>6</v>
      </c>
      <c r="C45">
        <f t="shared" si="0"/>
        <v>0.23520000000000002</v>
      </c>
      <c r="D45" t="s">
        <v>3</v>
      </c>
      <c r="E45" t="s">
        <v>4</v>
      </c>
      <c r="F45">
        <v>0.23910000000000001</v>
      </c>
      <c r="G45">
        <v>0.23130000000000001</v>
      </c>
      <c r="H45" s="7">
        <f t="shared" si="1"/>
        <v>0.10905000000000004</v>
      </c>
    </row>
    <row r="46" spans="1:9" x14ac:dyDescent="0.2">
      <c r="A46" t="s">
        <v>28</v>
      </c>
      <c r="B46">
        <v>6</v>
      </c>
      <c r="C46">
        <f t="shared" si="0"/>
        <v>0.2387</v>
      </c>
      <c r="D46" t="s">
        <v>3</v>
      </c>
      <c r="E46" t="s">
        <v>4</v>
      </c>
      <c r="F46">
        <v>0.2392</v>
      </c>
      <c r="G46">
        <v>0.2382</v>
      </c>
      <c r="H46" s="7">
        <f t="shared" si="1"/>
        <v>0.11115</v>
      </c>
    </row>
    <row r="47" spans="1:9" x14ac:dyDescent="0.2">
      <c r="A47" t="s">
        <v>29</v>
      </c>
      <c r="B47">
        <v>6</v>
      </c>
      <c r="C47">
        <f t="shared" si="0"/>
        <v>0.24565000000000001</v>
      </c>
      <c r="D47" t="s">
        <v>3</v>
      </c>
      <c r="E47" t="s">
        <v>6</v>
      </c>
      <c r="F47">
        <v>0.24590000000000001</v>
      </c>
      <c r="G47">
        <v>0.24540000000000001</v>
      </c>
      <c r="H47" s="7">
        <f t="shared" si="1"/>
        <v>0.11750000000000002</v>
      </c>
      <c r="I47">
        <f t="shared" ref="I47" si="5">AVERAGE(H47:H49)</f>
        <v>0.10021666666666666</v>
      </c>
    </row>
    <row r="48" spans="1:9" x14ac:dyDescent="0.2">
      <c r="A48" t="s">
        <v>30</v>
      </c>
      <c r="B48">
        <v>6</v>
      </c>
      <c r="C48">
        <f t="shared" si="0"/>
        <v>0.22925000000000001</v>
      </c>
      <c r="D48" t="s">
        <v>3</v>
      </c>
      <c r="E48" t="s">
        <v>6</v>
      </c>
      <c r="F48">
        <v>0.22969999999999999</v>
      </c>
      <c r="G48">
        <v>0.2288</v>
      </c>
      <c r="H48" s="7">
        <f t="shared" si="1"/>
        <v>0.10239999999999999</v>
      </c>
    </row>
    <row r="49" spans="1:9" x14ac:dyDescent="0.2">
      <c r="A49" t="s">
        <v>31</v>
      </c>
      <c r="B49">
        <v>6</v>
      </c>
      <c r="C49">
        <f t="shared" si="0"/>
        <v>0.21074999999999999</v>
      </c>
      <c r="D49" t="s">
        <v>3</v>
      </c>
      <c r="E49" t="s">
        <v>6</v>
      </c>
      <c r="F49">
        <v>0.21229999999999999</v>
      </c>
      <c r="G49">
        <v>0.2092</v>
      </c>
      <c r="H49" s="7">
        <f t="shared" si="1"/>
        <v>8.0749999999999988E-2</v>
      </c>
    </row>
    <row r="50" spans="1:9" x14ac:dyDescent="0.2">
      <c r="A50" t="s">
        <v>32</v>
      </c>
      <c r="B50">
        <v>6</v>
      </c>
      <c r="C50">
        <f t="shared" si="0"/>
        <v>0.21089999999999998</v>
      </c>
      <c r="D50" t="s">
        <v>13</v>
      </c>
      <c r="E50" t="s">
        <v>4</v>
      </c>
      <c r="F50">
        <v>0.20949999999999999</v>
      </c>
      <c r="G50">
        <v>0.21229999999999999</v>
      </c>
      <c r="H50" s="7">
        <f t="shared" si="1"/>
        <v>7.2099999999999997E-2</v>
      </c>
      <c r="I50" s="9">
        <f t="shared" ref="I50" si="6">AVERAGE(H50:H52)</f>
        <v>0.11168333333333334</v>
      </c>
    </row>
    <row r="51" spans="1:9" x14ac:dyDescent="0.2">
      <c r="A51" t="s">
        <v>33</v>
      </c>
      <c r="B51">
        <v>6</v>
      </c>
      <c r="C51">
        <f t="shared" si="0"/>
        <v>0.28625</v>
      </c>
      <c r="D51" t="s">
        <v>13</v>
      </c>
      <c r="E51" t="s">
        <v>4</v>
      </c>
      <c r="F51">
        <v>0.28860000000000002</v>
      </c>
      <c r="G51">
        <v>0.28389999999999999</v>
      </c>
      <c r="H51" s="7">
        <f t="shared" si="1"/>
        <v>0.14700000000000002</v>
      </c>
      <c r="I51" s="9"/>
    </row>
    <row r="52" spans="1:9" x14ac:dyDescent="0.2">
      <c r="A52" t="s">
        <v>34</v>
      </c>
      <c r="B52">
        <v>6</v>
      </c>
      <c r="C52">
        <f t="shared" si="0"/>
        <v>0.25524999999999998</v>
      </c>
      <c r="D52" t="s">
        <v>13</v>
      </c>
      <c r="E52" t="s">
        <v>4</v>
      </c>
      <c r="F52">
        <v>0.25230000000000002</v>
      </c>
      <c r="G52">
        <v>0.25819999999999999</v>
      </c>
      <c r="H52" s="7">
        <f t="shared" si="1"/>
        <v>0.11595</v>
      </c>
      <c r="I52" s="9"/>
    </row>
    <row r="53" spans="1:9" x14ac:dyDescent="0.2">
      <c r="A53" t="s">
        <v>35</v>
      </c>
      <c r="B53">
        <v>6</v>
      </c>
      <c r="C53">
        <f t="shared" si="0"/>
        <v>0.29580000000000001</v>
      </c>
      <c r="D53" t="s">
        <v>13</v>
      </c>
      <c r="E53" t="s">
        <v>6</v>
      </c>
      <c r="F53">
        <v>0.2954</v>
      </c>
      <c r="G53">
        <v>0.29620000000000002</v>
      </c>
      <c r="H53" s="7">
        <f t="shared" si="1"/>
        <v>0.15720000000000001</v>
      </c>
      <c r="I53" s="8">
        <f t="shared" ref="I53" si="7">AVERAGE(H53:H55)</f>
        <v>0.1653333333333333</v>
      </c>
    </row>
    <row r="54" spans="1:9" x14ac:dyDescent="0.2">
      <c r="A54" t="s">
        <v>36</v>
      </c>
      <c r="B54">
        <v>6</v>
      </c>
      <c r="C54">
        <f t="shared" si="0"/>
        <v>0.28539999999999999</v>
      </c>
      <c r="D54" t="s">
        <v>13</v>
      </c>
      <c r="E54" t="s">
        <v>6</v>
      </c>
      <c r="F54">
        <v>0.28699999999999998</v>
      </c>
      <c r="G54">
        <v>0.2838</v>
      </c>
      <c r="H54" s="7">
        <f t="shared" si="1"/>
        <v>0.14554999999999998</v>
      </c>
      <c r="I54" s="9"/>
    </row>
    <row r="55" spans="1:9" x14ac:dyDescent="0.2">
      <c r="A55" t="s">
        <v>37</v>
      </c>
      <c r="B55">
        <v>6</v>
      </c>
      <c r="C55">
        <f t="shared" si="0"/>
        <v>0.33274999999999999</v>
      </c>
      <c r="D55" t="s">
        <v>13</v>
      </c>
      <c r="E55" t="s">
        <v>6</v>
      </c>
      <c r="F55">
        <v>0.32400000000000001</v>
      </c>
      <c r="G55">
        <v>0.34150000000000003</v>
      </c>
      <c r="H55" s="7">
        <f t="shared" si="1"/>
        <v>0.19324999999999998</v>
      </c>
      <c r="I55" s="9"/>
    </row>
    <row r="56" spans="1:9" x14ac:dyDescent="0.2">
      <c r="A56" t="s">
        <v>38</v>
      </c>
      <c r="B56">
        <v>6</v>
      </c>
      <c r="C56">
        <f t="shared" si="0"/>
        <v>0.2218</v>
      </c>
      <c r="D56" t="s">
        <v>9</v>
      </c>
      <c r="E56" t="s">
        <v>4</v>
      </c>
      <c r="F56">
        <v>0.22059999999999999</v>
      </c>
      <c r="G56">
        <v>0.223</v>
      </c>
      <c r="H56">
        <f t="shared" si="1"/>
        <v>8.3249999999999991E-2</v>
      </c>
      <c r="I56">
        <f t="shared" ref="I56" si="8">AVERAGE(H56:H58)</f>
        <v>7.984999999999999E-2</v>
      </c>
    </row>
    <row r="57" spans="1:9" x14ac:dyDescent="0.2">
      <c r="A57" t="s">
        <v>39</v>
      </c>
      <c r="B57">
        <v>6</v>
      </c>
      <c r="C57">
        <f t="shared" si="0"/>
        <v>0.19159999999999999</v>
      </c>
      <c r="D57" t="s">
        <v>9</v>
      </c>
      <c r="E57" t="s">
        <v>4</v>
      </c>
      <c r="F57">
        <v>0.19040000000000001</v>
      </c>
      <c r="G57">
        <v>0.1928</v>
      </c>
      <c r="H57">
        <f t="shared" si="1"/>
        <v>4.99E-2</v>
      </c>
    </row>
    <row r="58" spans="1:9" x14ac:dyDescent="0.2">
      <c r="A58" t="s">
        <v>40</v>
      </c>
      <c r="B58">
        <v>6</v>
      </c>
      <c r="C58">
        <f t="shared" si="0"/>
        <v>0.24569999999999997</v>
      </c>
      <c r="D58" t="s">
        <v>9</v>
      </c>
      <c r="E58" t="s">
        <v>4</v>
      </c>
      <c r="F58">
        <v>0.24229999999999999</v>
      </c>
      <c r="G58">
        <v>0.24909999999999999</v>
      </c>
      <c r="H58">
        <f t="shared" si="1"/>
        <v>0.10639999999999999</v>
      </c>
    </row>
    <row r="59" spans="1:9" x14ac:dyDescent="0.2">
      <c r="A59" t="s">
        <v>41</v>
      </c>
      <c r="B59">
        <v>6</v>
      </c>
      <c r="C59">
        <f t="shared" si="0"/>
        <v>0.22525000000000001</v>
      </c>
      <c r="D59" t="s">
        <v>9</v>
      </c>
      <c r="E59" t="s">
        <v>6</v>
      </c>
      <c r="F59">
        <v>0.22670000000000001</v>
      </c>
      <c r="G59">
        <v>0.2238</v>
      </c>
      <c r="H59">
        <f t="shared" si="1"/>
        <v>8.3750000000000019E-2</v>
      </c>
      <c r="I59">
        <f t="shared" ref="I59" si="9">AVERAGE(H59:H61)</f>
        <v>7.0366666666666688E-2</v>
      </c>
    </row>
    <row r="60" spans="1:9" x14ac:dyDescent="0.2">
      <c r="A60" t="s">
        <v>42</v>
      </c>
      <c r="B60">
        <v>6</v>
      </c>
      <c r="C60">
        <f t="shared" si="0"/>
        <v>0.20130000000000001</v>
      </c>
      <c r="D60" t="s">
        <v>9</v>
      </c>
      <c r="E60" t="s">
        <v>6</v>
      </c>
      <c r="F60">
        <v>0.21540000000000001</v>
      </c>
      <c r="G60">
        <v>0.18720000000000001</v>
      </c>
      <c r="H60">
        <f t="shared" si="1"/>
        <v>6.2050000000000022E-2</v>
      </c>
    </row>
    <row r="61" spans="1:9" x14ac:dyDescent="0.2">
      <c r="A61" t="s">
        <v>43</v>
      </c>
      <c r="B61">
        <v>6</v>
      </c>
      <c r="C61">
        <f t="shared" si="0"/>
        <v>0.21260000000000001</v>
      </c>
      <c r="D61" t="s">
        <v>9</v>
      </c>
      <c r="E61" t="s">
        <v>6</v>
      </c>
      <c r="F61">
        <v>0.21149999999999999</v>
      </c>
      <c r="G61">
        <v>0.2137</v>
      </c>
      <c r="H61">
        <f t="shared" si="1"/>
        <v>6.5300000000000025E-2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93723-9A1A-6D4B-A420-CF04F878049F}">
  <dimension ref="A1:J91"/>
  <sheetViews>
    <sheetView topLeftCell="A18" workbookViewId="0">
      <selection activeCell="H32" sqref="H32:H61"/>
    </sheetView>
  </sheetViews>
  <sheetFormatPr baseColWidth="10" defaultRowHeight="16" x14ac:dyDescent="0.2"/>
  <sheetData>
    <row r="1" spans="1:9" ht="17" thickBot="1" x14ac:dyDescent="0.25">
      <c r="A1" s="1" t="s">
        <v>0</v>
      </c>
      <c r="B1" s="2" t="s">
        <v>8</v>
      </c>
      <c r="C1" s="1" t="s">
        <v>7</v>
      </c>
      <c r="D1" s="1" t="s">
        <v>1</v>
      </c>
      <c r="E1" s="1" t="s">
        <v>2</v>
      </c>
      <c r="F1" s="5" t="s">
        <v>10</v>
      </c>
      <c r="G1" s="5" t="s">
        <v>11</v>
      </c>
      <c r="H1" s="5" t="s">
        <v>54</v>
      </c>
      <c r="I1" s="5" t="s">
        <v>60</v>
      </c>
    </row>
    <row r="2" spans="1:9" x14ac:dyDescent="0.2">
      <c r="A2" t="s">
        <v>57</v>
      </c>
      <c r="B2">
        <v>0</v>
      </c>
      <c r="C2">
        <f>AVERAGE(F2:G2)</f>
        <v>0.12535000000000002</v>
      </c>
      <c r="D2" t="s">
        <v>48</v>
      </c>
      <c r="E2" t="s">
        <v>4</v>
      </c>
      <c r="F2">
        <v>0.12570000000000001</v>
      </c>
      <c r="G2">
        <v>0.125</v>
      </c>
    </row>
    <row r="3" spans="1:9" x14ac:dyDescent="0.2">
      <c r="A3" t="s">
        <v>15</v>
      </c>
      <c r="B3">
        <v>0</v>
      </c>
      <c r="C3">
        <f t="shared" ref="C3:C66" si="0">AVERAGE(F3:G3)</f>
        <v>0.1244</v>
      </c>
      <c r="D3" t="s">
        <v>48</v>
      </c>
      <c r="E3" t="s">
        <v>4</v>
      </c>
      <c r="F3">
        <v>0.1245</v>
      </c>
      <c r="G3">
        <v>0.12429999999999999</v>
      </c>
    </row>
    <row r="4" spans="1:9" x14ac:dyDescent="0.2">
      <c r="A4" t="s">
        <v>16</v>
      </c>
      <c r="B4">
        <v>0</v>
      </c>
      <c r="C4">
        <f t="shared" si="0"/>
        <v>0.12434999999999999</v>
      </c>
      <c r="D4" t="s">
        <v>48</v>
      </c>
      <c r="E4" t="s">
        <v>4</v>
      </c>
      <c r="F4">
        <v>0.1239</v>
      </c>
      <c r="G4">
        <v>0.12479999999999999</v>
      </c>
    </row>
    <row r="5" spans="1:9" x14ac:dyDescent="0.2">
      <c r="A5" t="s">
        <v>17</v>
      </c>
      <c r="B5">
        <v>0</v>
      </c>
      <c r="C5">
        <f t="shared" si="0"/>
        <v>0.12485</v>
      </c>
      <c r="D5" t="s">
        <v>48</v>
      </c>
      <c r="E5" t="s">
        <v>6</v>
      </c>
      <c r="F5">
        <v>0.12470000000000001</v>
      </c>
      <c r="G5">
        <v>0.125</v>
      </c>
    </row>
    <row r="6" spans="1:9" x14ac:dyDescent="0.2">
      <c r="A6" t="s">
        <v>18</v>
      </c>
      <c r="B6">
        <v>0</v>
      </c>
      <c r="C6">
        <f t="shared" si="0"/>
        <v>0.1268</v>
      </c>
      <c r="D6" t="s">
        <v>48</v>
      </c>
      <c r="E6" t="s">
        <v>6</v>
      </c>
      <c r="F6">
        <v>0.1305</v>
      </c>
      <c r="G6">
        <v>0.1231</v>
      </c>
    </row>
    <row r="7" spans="1:9" x14ac:dyDescent="0.2">
      <c r="A7" t="s">
        <v>19</v>
      </c>
      <c r="B7">
        <v>0</v>
      </c>
      <c r="C7">
        <f t="shared" si="0"/>
        <v>0.12525</v>
      </c>
      <c r="D7" t="s">
        <v>48</v>
      </c>
      <c r="E7" t="s">
        <v>6</v>
      </c>
      <c r="F7">
        <v>0.12570000000000001</v>
      </c>
      <c r="G7">
        <v>0.12479999999999999</v>
      </c>
    </row>
    <row r="8" spans="1:9" x14ac:dyDescent="0.2">
      <c r="A8" t="s">
        <v>20</v>
      </c>
      <c r="B8">
        <v>0</v>
      </c>
      <c r="C8">
        <f t="shared" si="0"/>
        <v>0.18275000000000002</v>
      </c>
      <c r="D8" t="s">
        <v>5</v>
      </c>
      <c r="E8" t="s">
        <v>4</v>
      </c>
      <c r="F8">
        <v>0.18140000000000001</v>
      </c>
      <c r="G8">
        <v>0.18410000000000001</v>
      </c>
    </row>
    <row r="9" spans="1:9" x14ac:dyDescent="0.2">
      <c r="A9" t="s">
        <v>21</v>
      </c>
      <c r="B9">
        <v>0</v>
      </c>
      <c r="C9">
        <f t="shared" si="0"/>
        <v>0.17485000000000001</v>
      </c>
      <c r="D9" t="s">
        <v>5</v>
      </c>
      <c r="E9" t="s">
        <v>4</v>
      </c>
      <c r="F9">
        <v>0.1726</v>
      </c>
      <c r="G9">
        <v>0.17710000000000001</v>
      </c>
    </row>
    <row r="10" spans="1:9" x14ac:dyDescent="0.2">
      <c r="A10" t="s">
        <v>22</v>
      </c>
      <c r="B10">
        <v>0</v>
      </c>
      <c r="C10">
        <f t="shared" si="0"/>
        <v>0.17930000000000001</v>
      </c>
      <c r="D10" t="s">
        <v>5</v>
      </c>
      <c r="E10" t="s">
        <v>4</v>
      </c>
      <c r="F10">
        <v>0.17949999999999999</v>
      </c>
      <c r="G10">
        <v>0.17910000000000001</v>
      </c>
    </row>
    <row r="11" spans="1:9" x14ac:dyDescent="0.2">
      <c r="A11" t="s">
        <v>23</v>
      </c>
      <c r="B11">
        <v>0</v>
      </c>
      <c r="C11">
        <f t="shared" si="0"/>
        <v>0.17804999999999999</v>
      </c>
      <c r="D11" t="s">
        <v>5</v>
      </c>
      <c r="E11" t="s">
        <v>6</v>
      </c>
      <c r="F11">
        <v>0.17599999999999999</v>
      </c>
      <c r="G11">
        <v>0.18010000000000001</v>
      </c>
    </row>
    <row r="12" spans="1:9" x14ac:dyDescent="0.2">
      <c r="A12" t="s">
        <v>24</v>
      </c>
      <c r="B12">
        <v>0</v>
      </c>
      <c r="C12">
        <f t="shared" si="0"/>
        <v>0.17704999999999999</v>
      </c>
      <c r="D12" t="s">
        <v>5</v>
      </c>
      <c r="E12" t="s">
        <v>6</v>
      </c>
      <c r="F12">
        <v>0.1774</v>
      </c>
      <c r="G12">
        <v>0.1767</v>
      </c>
    </row>
    <row r="13" spans="1:9" x14ac:dyDescent="0.2">
      <c r="A13" t="s">
        <v>25</v>
      </c>
      <c r="B13">
        <v>0</v>
      </c>
      <c r="C13">
        <f t="shared" si="0"/>
        <v>0.18059999999999998</v>
      </c>
      <c r="D13" t="s">
        <v>5</v>
      </c>
      <c r="E13" t="s">
        <v>6</v>
      </c>
      <c r="F13">
        <v>0.1794</v>
      </c>
      <c r="G13">
        <v>0.18179999999999999</v>
      </c>
    </row>
    <row r="14" spans="1:9" x14ac:dyDescent="0.2">
      <c r="A14" t="s">
        <v>26</v>
      </c>
      <c r="B14">
        <v>0</v>
      </c>
      <c r="C14">
        <f t="shared" si="0"/>
        <v>0.20230000000000001</v>
      </c>
      <c r="D14" t="s">
        <v>3</v>
      </c>
      <c r="E14" t="s">
        <v>4</v>
      </c>
      <c r="F14">
        <v>0.2026</v>
      </c>
      <c r="G14">
        <v>0.20200000000000001</v>
      </c>
    </row>
    <row r="15" spans="1:9" x14ac:dyDescent="0.2">
      <c r="A15" t="s">
        <v>27</v>
      </c>
      <c r="B15">
        <v>0</v>
      </c>
      <c r="C15">
        <f t="shared" si="0"/>
        <v>0.20224999999999999</v>
      </c>
      <c r="D15" t="s">
        <v>3</v>
      </c>
      <c r="E15" t="s">
        <v>4</v>
      </c>
      <c r="F15">
        <v>0.2044</v>
      </c>
      <c r="G15">
        <v>0.2001</v>
      </c>
    </row>
    <row r="16" spans="1:9" x14ac:dyDescent="0.2">
      <c r="A16" t="s">
        <v>28</v>
      </c>
      <c r="B16">
        <v>0</v>
      </c>
      <c r="C16">
        <f t="shared" si="0"/>
        <v>0.20115</v>
      </c>
      <c r="D16" t="s">
        <v>3</v>
      </c>
      <c r="E16" t="s">
        <v>4</v>
      </c>
      <c r="F16">
        <v>0.2029</v>
      </c>
      <c r="G16">
        <v>0.19939999999999999</v>
      </c>
    </row>
    <row r="17" spans="1:10" x14ac:dyDescent="0.2">
      <c r="A17" t="s">
        <v>29</v>
      </c>
      <c r="B17">
        <v>0</v>
      </c>
      <c r="C17">
        <f t="shared" si="0"/>
        <v>0.20285</v>
      </c>
      <c r="D17" t="s">
        <v>3</v>
      </c>
      <c r="E17" t="s">
        <v>6</v>
      </c>
      <c r="F17">
        <v>0.20530000000000001</v>
      </c>
      <c r="G17">
        <v>0.20039999999999999</v>
      </c>
    </row>
    <row r="18" spans="1:10" x14ac:dyDescent="0.2">
      <c r="A18" t="s">
        <v>30</v>
      </c>
      <c r="B18">
        <v>0</v>
      </c>
      <c r="C18">
        <f t="shared" si="0"/>
        <v>0.19640000000000002</v>
      </c>
      <c r="D18" t="s">
        <v>3</v>
      </c>
      <c r="E18" t="s">
        <v>6</v>
      </c>
      <c r="F18">
        <v>0.1966</v>
      </c>
      <c r="G18">
        <v>0.19620000000000001</v>
      </c>
    </row>
    <row r="19" spans="1:10" x14ac:dyDescent="0.2">
      <c r="A19" t="s">
        <v>31</v>
      </c>
      <c r="B19">
        <v>0</v>
      </c>
      <c r="C19">
        <f t="shared" si="0"/>
        <v>0.20644999999999999</v>
      </c>
      <c r="D19" t="s">
        <v>3</v>
      </c>
      <c r="E19" t="s">
        <v>6</v>
      </c>
      <c r="F19">
        <v>0.20849999999999999</v>
      </c>
      <c r="G19">
        <v>0.2044</v>
      </c>
    </row>
    <row r="20" spans="1:10" x14ac:dyDescent="0.2">
      <c r="A20" t="s">
        <v>32</v>
      </c>
      <c r="B20">
        <v>0</v>
      </c>
      <c r="C20">
        <f t="shared" si="0"/>
        <v>0.19985</v>
      </c>
      <c r="D20" t="s">
        <v>13</v>
      </c>
      <c r="E20" t="s">
        <v>4</v>
      </c>
      <c r="F20">
        <v>0.20130000000000001</v>
      </c>
      <c r="G20">
        <v>0.19839999999999999</v>
      </c>
    </row>
    <row r="21" spans="1:10" x14ac:dyDescent="0.2">
      <c r="A21" t="s">
        <v>33</v>
      </c>
      <c r="B21">
        <v>0</v>
      </c>
      <c r="C21">
        <f t="shared" si="0"/>
        <v>0.19700000000000001</v>
      </c>
      <c r="D21" t="s">
        <v>13</v>
      </c>
      <c r="E21" t="s">
        <v>4</v>
      </c>
      <c r="F21">
        <v>0.1986</v>
      </c>
      <c r="G21">
        <v>0.19539999999999999</v>
      </c>
    </row>
    <row r="22" spans="1:10" x14ac:dyDescent="0.2">
      <c r="A22" t="s">
        <v>34</v>
      </c>
      <c r="B22">
        <v>0</v>
      </c>
      <c r="C22">
        <f t="shared" si="0"/>
        <v>0.20019999999999999</v>
      </c>
      <c r="D22" t="s">
        <v>13</v>
      </c>
      <c r="E22" t="s">
        <v>4</v>
      </c>
      <c r="F22">
        <v>0.1981</v>
      </c>
      <c r="G22">
        <v>0.20230000000000001</v>
      </c>
    </row>
    <row r="23" spans="1:10" x14ac:dyDescent="0.2">
      <c r="A23" t="s">
        <v>35</v>
      </c>
      <c r="B23">
        <v>0</v>
      </c>
      <c r="C23">
        <f t="shared" si="0"/>
        <v>0.19855</v>
      </c>
      <c r="D23" t="s">
        <v>13</v>
      </c>
      <c r="E23" t="s">
        <v>6</v>
      </c>
      <c r="F23">
        <v>0.19850000000000001</v>
      </c>
      <c r="G23">
        <v>0.1986</v>
      </c>
    </row>
    <row r="24" spans="1:10" x14ac:dyDescent="0.2">
      <c r="A24" t="s">
        <v>36</v>
      </c>
      <c r="B24">
        <v>0</v>
      </c>
      <c r="C24">
        <f t="shared" si="0"/>
        <v>0.19359999999999999</v>
      </c>
      <c r="D24" t="s">
        <v>13</v>
      </c>
      <c r="E24" t="s">
        <v>6</v>
      </c>
      <c r="F24">
        <v>0.19370000000000001</v>
      </c>
      <c r="G24">
        <v>0.19350000000000001</v>
      </c>
    </row>
    <row r="25" spans="1:10" x14ac:dyDescent="0.2">
      <c r="A25" t="s">
        <v>37</v>
      </c>
      <c r="B25">
        <v>0</v>
      </c>
      <c r="C25">
        <f t="shared" si="0"/>
        <v>0.20430000000000001</v>
      </c>
      <c r="D25" t="s">
        <v>13</v>
      </c>
      <c r="E25" t="s">
        <v>6</v>
      </c>
      <c r="F25">
        <v>0.20300000000000001</v>
      </c>
      <c r="G25">
        <v>0.2056</v>
      </c>
    </row>
    <row r="26" spans="1:10" x14ac:dyDescent="0.2">
      <c r="A26" t="s">
        <v>38</v>
      </c>
      <c r="B26">
        <v>0</v>
      </c>
      <c r="C26">
        <f t="shared" si="0"/>
        <v>0.24059999999999998</v>
      </c>
      <c r="D26" t="s">
        <v>9</v>
      </c>
      <c r="E26" t="s">
        <v>4</v>
      </c>
      <c r="F26">
        <v>0.249</v>
      </c>
      <c r="G26">
        <v>0.23219999999999999</v>
      </c>
    </row>
    <row r="27" spans="1:10" x14ac:dyDescent="0.2">
      <c r="A27" t="s">
        <v>39</v>
      </c>
      <c r="B27">
        <v>0</v>
      </c>
      <c r="C27">
        <f t="shared" si="0"/>
        <v>0.22445000000000001</v>
      </c>
      <c r="D27" t="s">
        <v>9</v>
      </c>
      <c r="E27" t="s">
        <v>4</v>
      </c>
      <c r="F27">
        <v>0.23250000000000001</v>
      </c>
      <c r="G27">
        <v>0.21640000000000001</v>
      </c>
    </row>
    <row r="28" spans="1:10" x14ac:dyDescent="0.2">
      <c r="A28" t="s">
        <v>40</v>
      </c>
      <c r="B28">
        <v>0</v>
      </c>
      <c r="C28">
        <f t="shared" si="0"/>
        <v>0.23175000000000001</v>
      </c>
      <c r="D28" t="s">
        <v>9</v>
      </c>
      <c r="E28" t="s">
        <v>4</v>
      </c>
      <c r="F28">
        <v>0.23269999999999999</v>
      </c>
      <c r="G28">
        <v>0.23080000000000001</v>
      </c>
    </row>
    <row r="29" spans="1:10" x14ac:dyDescent="0.2">
      <c r="A29" t="s">
        <v>41</v>
      </c>
      <c r="B29">
        <v>0</v>
      </c>
      <c r="C29">
        <f t="shared" si="0"/>
        <v>0.23320000000000002</v>
      </c>
      <c r="D29" t="s">
        <v>9</v>
      </c>
      <c r="E29" t="s">
        <v>6</v>
      </c>
      <c r="F29">
        <v>0.23350000000000001</v>
      </c>
      <c r="G29">
        <v>0.2329</v>
      </c>
    </row>
    <row r="30" spans="1:10" x14ac:dyDescent="0.2">
      <c r="A30" t="s">
        <v>42</v>
      </c>
      <c r="B30">
        <v>0</v>
      </c>
      <c r="C30">
        <f t="shared" si="0"/>
        <v>0.2331</v>
      </c>
      <c r="D30" t="s">
        <v>9</v>
      </c>
      <c r="E30" t="s">
        <v>6</v>
      </c>
      <c r="F30">
        <v>0.2324</v>
      </c>
      <c r="G30">
        <v>0.23380000000000001</v>
      </c>
    </row>
    <row r="31" spans="1:10" x14ac:dyDescent="0.2">
      <c r="A31" t="s">
        <v>43</v>
      </c>
      <c r="B31">
        <v>0</v>
      </c>
      <c r="C31">
        <f t="shared" si="0"/>
        <v>0.2349</v>
      </c>
      <c r="D31" t="s">
        <v>9</v>
      </c>
      <c r="E31" t="s">
        <v>6</v>
      </c>
      <c r="F31">
        <v>0.2364</v>
      </c>
      <c r="G31">
        <v>0.2334</v>
      </c>
    </row>
    <row r="32" spans="1:10" x14ac:dyDescent="0.2">
      <c r="A32" t="s">
        <v>58</v>
      </c>
      <c r="B32">
        <v>6</v>
      </c>
      <c r="C32">
        <f t="shared" si="0"/>
        <v>0.15139999999999998</v>
      </c>
      <c r="D32" t="s">
        <v>48</v>
      </c>
      <c r="E32" t="s">
        <v>4</v>
      </c>
      <c r="F32">
        <v>0.1515</v>
      </c>
      <c r="G32">
        <v>0.15129999999999999</v>
      </c>
      <c r="H32" s="7">
        <f>C32-C2</f>
        <v>2.6049999999999962E-2</v>
      </c>
      <c r="I32" s="9">
        <f>AVERAGE(H32:H34)</f>
        <v>2.1783333333333335E-2</v>
      </c>
      <c r="J32" t="s">
        <v>61</v>
      </c>
    </row>
    <row r="33" spans="1:9" x14ac:dyDescent="0.2">
      <c r="A33" t="s">
        <v>15</v>
      </c>
      <c r="B33">
        <v>6</v>
      </c>
      <c r="C33">
        <f t="shared" si="0"/>
        <v>0.14300000000000002</v>
      </c>
      <c r="D33" t="s">
        <v>48</v>
      </c>
      <c r="E33" t="s">
        <v>4</v>
      </c>
      <c r="F33">
        <v>0.14480000000000001</v>
      </c>
      <c r="G33">
        <v>0.14119999999999999</v>
      </c>
      <c r="H33" s="7">
        <f t="shared" ref="H33:H61" si="1">C33-C3</f>
        <v>1.8600000000000019E-2</v>
      </c>
      <c r="I33" s="9"/>
    </row>
    <row r="34" spans="1:9" x14ac:dyDescent="0.2">
      <c r="A34" t="s">
        <v>16</v>
      </c>
      <c r="B34">
        <v>6</v>
      </c>
      <c r="C34">
        <f t="shared" si="0"/>
        <v>0.14505000000000001</v>
      </c>
      <c r="D34" t="s">
        <v>48</v>
      </c>
      <c r="E34" t="s">
        <v>4</v>
      </c>
      <c r="F34">
        <v>0.14399999999999999</v>
      </c>
      <c r="G34">
        <v>0.14610000000000001</v>
      </c>
      <c r="H34" s="7">
        <f t="shared" si="1"/>
        <v>2.0700000000000024E-2</v>
      </c>
      <c r="I34" s="9"/>
    </row>
    <row r="35" spans="1:9" x14ac:dyDescent="0.2">
      <c r="A35" t="s">
        <v>17</v>
      </c>
      <c r="B35">
        <v>6</v>
      </c>
      <c r="C35">
        <f t="shared" si="0"/>
        <v>0.15105000000000002</v>
      </c>
      <c r="D35" t="s">
        <v>48</v>
      </c>
      <c r="E35" t="s">
        <v>6</v>
      </c>
      <c r="F35">
        <v>0.154</v>
      </c>
      <c r="G35">
        <v>0.14810000000000001</v>
      </c>
      <c r="H35" s="7">
        <f t="shared" si="1"/>
        <v>2.6200000000000015E-2</v>
      </c>
      <c r="I35" s="8">
        <f>AVERAGE(H35:H37)</f>
        <v>2.813333333333334E-2</v>
      </c>
    </row>
    <row r="36" spans="1:9" x14ac:dyDescent="0.2">
      <c r="A36" t="s">
        <v>18</v>
      </c>
      <c r="B36">
        <v>6</v>
      </c>
      <c r="C36">
        <f t="shared" si="0"/>
        <v>0.1419</v>
      </c>
      <c r="D36" t="s">
        <v>48</v>
      </c>
      <c r="E36" t="s">
        <v>6</v>
      </c>
      <c r="F36">
        <v>0.14280000000000001</v>
      </c>
      <c r="G36">
        <v>0.14099999999999999</v>
      </c>
      <c r="H36" s="7">
        <f t="shared" si="1"/>
        <v>1.5100000000000002E-2</v>
      </c>
      <c r="I36" s="9"/>
    </row>
    <row r="37" spans="1:9" x14ac:dyDescent="0.2">
      <c r="A37" t="s">
        <v>19</v>
      </c>
      <c r="B37">
        <v>6</v>
      </c>
      <c r="C37">
        <f t="shared" si="0"/>
        <v>0.16835</v>
      </c>
      <c r="D37" t="s">
        <v>48</v>
      </c>
      <c r="E37" t="s">
        <v>6</v>
      </c>
      <c r="F37">
        <v>0.1575</v>
      </c>
      <c r="G37">
        <v>0.1792</v>
      </c>
      <c r="H37" s="7">
        <f t="shared" si="1"/>
        <v>4.3099999999999999E-2</v>
      </c>
      <c r="I37" s="9"/>
    </row>
    <row r="38" spans="1:9" x14ac:dyDescent="0.2">
      <c r="A38" t="s">
        <v>20</v>
      </c>
      <c r="B38">
        <v>6</v>
      </c>
      <c r="C38">
        <f t="shared" si="0"/>
        <v>0.19605</v>
      </c>
      <c r="D38" t="s">
        <v>5</v>
      </c>
      <c r="E38" t="s">
        <v>4</v>
      </c>
      <c r="F38">
        <v>0.1915</v>
      </c>
      <c r="G38">
        <v>0.2006</v>
      </c>
      <c r="H38" s="7">
        <f t="shared" si="1"/>
        <v>1.3299999999999979E-2</v>
      </c>
      <c r="I38" s="9">
        <f t="shared" ref="I38" si="2">AVERAGE(H38:H40)</f>
        <v>3.2333333333333318E-2</v>
      </c>
    </row>
    <row r="39" spans="1:9" x14ac:dyDescent="0.2">
      <c r="A39" t="s">
        <v>21</v>
      </c>
      <c r="B39">
        <v>6</v>
      </c>
      <c r="C39">
        <f t="shared" si="0"/>
        <v>0.21334999999999998</v>
      </c>
      <c r="D39" t="s">
        <v>5</v>
      </c>
      <c r="E39" t="s">
        <v>4</v>
      </c>
      <c r="F39">
        <v>0.21179999999999999</v>
      </c>
      <c r="G39">
        <v>0.21490000000000001</v>
      </c>
      <c r="H39" s="7">
        <f t="shared" si="1"/>
        <v>3.8499999999999979E-2</v>
      </c>
      <c r="I39" s="9"/>
    </row>
    <row r="40" spans="1:9" x14ac:dyDescent="0.2">
      <c r="A40" t="s">
        <v>22</v>
      </c>
      <c r="B40">
        <v>6</v>
      </c>
      <c r="C40">
        <f t="shared" si="0"/>
        <v>0.22450000000000001</v>
      </c>
      <c r="D40" t="s">
        <v>5</v>
      </c>
      <c r="E40" t="s">
        <v>4</v>
      </c>
      <c r="F40">
        <v>0.22140000000000001</v>
      </c>
      <c r="G40">
        <v>0.2276</v>
      </c>
      <c r="H40" s="7">
        <f t="shared" si="1"/>
        <v>4.519999999999999E-2</v>
      </c>
      <c r="I40" s="9"/>
    </row>
    <row r="41" spans="1:9" x14ac:dyDescent="0.2">
      <c r="A41" t="s">
        <v>23</v>
      </c>
      <c r="B41">
        <v>6</v>
      </c>
      <c r="C41">
        <f t="shared" si="0"/>
        <v>0.21784999999999999</v>
      </c>
      <c r="D41" t="s">
        <v>5</v>
      </c>
      <c r="E41" t="s">
        <v>6</v>
      </c>
      <c r="F41">
        <v>0.21829999999999999</v>
      </c>
      <c r="G41">
        <v>0.21740000000000001</v>
      </c>
      <c r="H41" s="7">
        <f t="shared" si="1"/>
        <v>3.9800000000000002E-2</v>
      </c>
      <c r="I41" s="8">
        <f t="shared" ref="I41" si="3">AVERAGE(H41:H43)</f>
        <v>4.0200000000000014E-2</v>
      </c>
    </row>
    <row r="42" spans="1:9" x14ac:dyDescent="0.2">
      <c r="A42" t="s">
        <v>24</v>
      </c>
      <c r="B42">
        <v>6</v>
      </c>
      <c r="C42">
        <f t="shared" si="0"/>
        <v>0.2152</v>
      </c>
      <c r="D42" t="s">
        <v>5</v>
      </c>
      <c r="E42" t="s">
        <v>6</v>
      </c>
      <c r="F42">
        <v>0.21920000000000001</v>
      </c>
      <c r="G42">
        <v>0.2112</v>
      </c>
      <c r="H42" s="7">
        <f t="shared" si="1"/>
        <v>3.8150000000000017E-2</v>
      </c>
      <c r="I42" s="9"/>
    </row>
    <row r="43" spans="1:9" x14ac:dyDescent="0.2">
      <c r="A43" t="s">
        <v>25</v>
      </c>
      <c r="B43">
        <v>6</v>
      </c>
      <c r="C43">
        <f t="shared" si="0"/>
        <v>0.22325</v>
      </c>
      <c r="D43" t="s">
        <v>5</v>
      </c>
      <c r="E43" t="s">
        <v>6</v>
      </c>
      <c r="F43">
        <v>0.21909999999999999</v>
      </c>
      <c r="G43">
        <v>0.22739999999999999</v>
      </c>
      <c r="H43" s="7">
        <f t="shared" si="1"/>
        <v>4.2650000000000021E-2</v>
      </c>
      <c r="I43" s="9"/>
    </row>
    <row r="44" spans="1:9" x14ac:dyDescent="0.2">
      <c r="A44" t="s">
        <v>26</v>
      </c>
      <c r="B44">
        <v>6</v>
      </c>
      <c r="C44">
        <f t="shared" si="0"/>
        <v>0.2145</v>
      </c>
      <c r="D44" t="s">
        <v>3</v>
      </c>
      <c r="E44" t="s">
        <v>4</v>
      </c>
      <c r="F44">
        <v>0.21179999999999999</v>
      </c>
      <c r="G44">
        <v>0.2172</v>
      </c>
      <c r="H44">
        <f t="shared" si="1"/>
        <v>1.2199999999999989E-2</v>
      </c>
      <c r="I44">
        <f t="shared" ref="I44" si="4">AVERAGE(H44:H46)</f>
        <v>3.6500000000000052E-3</v>
      </c>
    </row>
    <row r="45" spans="1:9" x14ac:dyDescent="0.2">
      <c r="A45" t="s">
        <v>27</v>
      </c>
      <c r="B45">
        <v>6</v>
      </c>
      <c r="C45">
        <f t="shared" si="0"/>
        <v>0.1986</v>
      </c>
      <c r="D45" t="s">
        <v>3</v>
      </c>
      <c r="E45" t="s">
        <v>4</v>
      </c>
      <c r="F45">
        <v>0.19800000000000001</v>
      </c>
      <c r="G45">
        <v>0.19919999999999999</v>
      </c>
      <c r="H45">
        <f t="shared" si="1"/>
        <v>-3.6499999999999866E-3</v>
      </c>
    </row>
    <row r="46" spans="1:9" x14ac:dyDescent="0.2">
      <c r="A46" t="s">
        <v>28</v>
      </c>
      <c r="B46">
        <v>6</v>
      </c>
      <c r="C46">
        <f t="shared" si="0"/>
        <v>0.20355000000000001</v>
      </c>
      <c r="D46" t="s">
        <v>3</v>
      </c>
      <c r="E46" t="s">
        <v>4</v>
      </c>
      <c r="F46">
        <v>0.20649999999999999</v>
      </c>
      <c r="G46">
        <v>0.2006</v>
      </c>
      <c r="H46">
        <f t="shared" si="1"/>
        <v>2.4000000000000132E-3</v>
      </c>
    </row>
    <row r="47" spans="1:9" x14ac:dyDescent="0.2">
      <c r="A47" t="s">
        <v>29</v>
      </c>
      <c r="B47">
        <v>6</v>
      </c>
      <c r="C47">
        <f t="shared" si="0"/>
        <v>0.19619999999999999</v>
      </c>
      <c r="D47" t="s">
        <v>3</v>
      </c>
      <c r="E47" t="s">
        <v>6</v>
      </c>
      <c r="F47">
        <v>0.20100000000000001</v>
      </c>
      <c r="G47">
        <v>0.19139999999999999</v>
      </c>
      <c r="H47">
        <f t="shared" si="1"/>
        <v>-6.650000000000017E-3</v>
      </c>
      <c r="I47">
        <f t="shared" ref="I47" si="5">AVERAGE(H47:H49)</f>
        <v>2.999999999999984E-3</v>
      </c>
    </row>
    <row r="48" spans="1:9" x14ac:dyDescent="0.2">
      <c r="A48" t="s">
        <v>30</v>
      </c>
      <c r="B48">
        <v>6</v>
      </c>
      <c r="C48">
        <f t="shared" si="0"/>
        <v>0.19729999999999998</v>
      </c>
      <c r="D48" t="s">
        <v>3</v>
      </c>
      <c r="E48" t="s">
        <v>6</v>
      </c>
      <c r="F48">
        <v>0.19769999999999999</v>
      </c>
      <c r="G48">
        <v>0.19689999999999999</v>
      </c>
      <c r="H48">
        <f t="shared" si="1"/>
        <v>8.9999999999995639E-4</v>
      </c>
    </row>
    <row r="49" spans="1:9" x14ac:dyDescent="0.2">
      <c r="A49" t="s">
        <v>31</v>
      </c>
      <c r="B49">
        <v>6</v>
      </c>
      <c r="C49">
        <f t="shared" si="0"/>
        <v>0.22120000000000001</v>
      </c>
      <c r="D49" t="s">
        <v>3</v>
      </c>
      <c r="E49" t="s">
        <v>6</v>
      </c>
      <c r="F49">
        <v>0.2228</v>
      </c>
      <c r="G49">
        <v>0.21959999999999999</v>
      </c>
      <c r="H49">
        <f t="shared" si="1"/>
        <v>1.4750000000000013E-2</v>
      </c>
    </row>
    <row r="50" spans="1:9" x14ac:dyDescent="0.2">
      <c r="A50" t="s">
        <v>32</v>
      </c>
      <c r="B50">
        <v>6</v>
      </c>
      <c r="C50">
        <f t="shared" si="0"/>
        <v>0.24254999999999999</v>
      </c>
      <c r="D50" t="s">
        <v>13</v>
      </c>
      <c r="E50" t="s">
        <v>4</v>
      </c>
      <c r="F50">
        <v>0.24460000000000001</v>
      </c>
      <c r="G50">
        <v>0.24049999999999999</v>
      </c>
      <c r="H50" s="7">
        <f t="shared" si="1"/>
        <v>4.2699999999999988E-2</v>
      </c>
      <c r="I50" s="9">
        <f t="shared" ref="I50" si="6">AVERAGE(H50:H52)</f>
        <v>3.6966666666666675E-2</v>
      </c>
    </row>
    <row r="51" spans="1:9" x14ac:dyDescent="0.2">
      <c r="A51" t="s">
        <v>33</v>
      </c>
      <c r="B51">
        <v>6</v>
      </c>
      <c r="C51">
        <f t="shared" si="0"/>
        <v>0.21475</v>
      </c>
      <c r="D51" t="s">
        <v>13</v>
      </c>
      <c r="E51" t="s">
        <v>4</v>
      </c>
      <c r="F51">
        <v>0.21290000000000001</v>
      </c>
      <c r="G51">
        <v>0.21659999999999999</v>
      </c>
      <c r="H51" s="7">
        <f t="shared" si="1"/>
        <v>1.7749999999999988E-2</v>
      </c>
      <c r="I51" s="9"/>
    </row>
    <row r="52" spans="1:9" x14ac:dyDescent="0.2">
      <c r="A52" t="s">
        <v>34</v>
      </c>
      <c r="B52">
        <v>6</v>
      </c>
      <c r="C52">
        <f t="shared" si="0"/>
        <v>0.25065000000000004</v>
      </c>
      <c r="D52" t="s">
        <v>13</v>
      </c>
      <c r="E52" t="s">
        <v>4</v>
      </c>
      <c r="F52">
        <v>0.25530000000000003</v>
      </c>
      <c r="G52">
        <v>0.246</v>
      </c>
      <c r="H52" s="7">
        <f t="shared" si="1"/>
        <v>5.045000000000005E-2</v>
      </c>
      <c r="I52" s="9"/>
    </row>
    <row r="53" spans="1:9" x14ac:dyDescent="0.2">
      <c r="A53" t="s">
        <v>35</v>
      </c>
      <c r="B53">
        <v>6</v>
      </c>
      <c r="C53">
        <f t="shared" si="0"/>
        <v>0.24204999999999999</v>
      </c>
      <c r="D53" t="s">
        <v>13</v>
      </c>
      <c r="E53" t="s">
        <v>6</v>
      </c>
      <c r="F53">
        <v>0.24859999999999999</v>
      </c>
      <c r="G53">
        <v>0.23549999999999999</v>
      </c>
      <c r="H53" s="7">
        <f t="shared" si="1"/>
        <v>4.3499999999999983E-2</v>
      </c>
      <c r="I53" s="8">
        <f t="shared" ref="I53" si="7">AVERAGE(H53:H55)</f>
        <v>5.025000000000001E-2</v>
      </c>
    </row>
    <row r="54" spans="1:9" x14ac:dyDescent="0.2">
      <c r="A54" t="s">
        <v>36</v>
      </c>
      <c r="B54">
        <v>6</v>
      </c>
      <c r="C54">
        <f t="shared" si="0"/>
        <v>0.24835000000000002</v>
      </c>
      <c r="D54" t="s">
        <v>13</v>
      </c>
      <c r="E54" t="s">
        <v>6</v>
      </c>
      <c r="F54">
        <v>0.24890000000000001</v>
      </c>
      <c r="G54">
        <v>0.24779999999999999</v>
      </c>
      <c r="H54" s="7">
        <f t="shared" si="1"/>
        <v>5.4750000000000021E-2</v>
      </c>
      <c r="I54" s="9"/>
    </row>
    <row r="55" spans="1:9" x14ac:dyDescent="0.2">
      <c r="A55" t="s">
        <v>37</v>
      </c>
      <c r="B55">
        <v>6</v>
      </c>
      <c r="C55">
        <f t="shared" si="0"/>
        <v>0.25680000000000003</v>
      </c>
      <c r="D55" t="s">
        <v>13</v>
      </c>
      <c r="E55" t="s">
        <v>6</v>
      </c>
      <c r="F55">
        <v>0.2515</v>
      </c>
      <c r="G55">
        <v>0.2621</v>
      </c>
      <c r="H55" s="7">
        <f t="shared" si="1"/>
        <v>5.2500000000000019E-2</v>
      </c>
      <c r="I55" s="9"/>
    </row>
    <row r="56" spans="1:9" x14ac:dyDescent="0.2">
      <c r="A56" t="s">
        <v>38</v>
      </c>
      <c r="B56">
        <v>6</v>
      </c>
      <c r="C56">
        <f t="shared" si="0"/>
        <v>0.23959999999999998</v>
      </c>
      <c r="D56" t="s">
        <v>9</v>
      </c>
      <c r="E56" t="s">
        <v>4</v>
      </c>
      <c r="F56">
        <v>0.23899999999999999</v>
      </c>
      <c r="G56">
        <v>0.2402</v>
      </c>
      <c r="H56">
        <f t="shared" si="1"/>
        <v>-1.0000000000000009E-3</v>
      </c>
      <c r="I56">
        <f t="shared" ref="I56" si="8">AVERAGE(H56:H58)</f>
        <v>-3.0500000000000063E-3</v>
      </c>
    </row>
    <row r="57" spans="1:9" x14ac:dyDescent="0.2">
      <c r="A57" t="s">
        <v>39</v>
      </c>
      <c r="B57">
        <v>6</v>
      </c>
      <c r="C57">
        <f t="shared" si="0"/>
        <v>0.21429999999999999</v>
      </c>
      <c r="D57" t="s">
        <v>9</v>
      </c>
      <c r="E57" t="s">
        <v>4</v>
      </c>
      <c r="F57">
        <v>0.21529999999999999</v>
      </c>
      <c r="G57">
        <v>0.21329999999999999</v>
      </c>
      <c r="H57">
        <f t="shared" si="1"/>
        <v>-1.015000000000002E-2</v>
      </c>
    </row>
    <row r="58" spans="1:9" x14ac:dyDescent="0.2">
      <c r="A58" t="s">
        <v>40</v>
      </c>
      <c r="B58">
        <v>6</v>
      </c>
      <c r="C58">
        <f t="shared" si="0"/>
        <v>0.23375000000000001</v>
      </c>
      <c r="D58" t="s">
        <v>9</v>
      </c>
      <c r="E58" t="s">
        <v>4</v>
      </c>
      <c r="F58">
        <v>0.22850000000000001</v>
      </c>
      <c r="G58">
        <v>0.23899999999999999</v>
      </c>
      <c r="H58">
        <f t="shared" si="1"/>
        <v>2.0000000000000018E-3</v>
      </c>
    </row>
    <row r="59" spans="1:9" x14ac:dyDescent="0.2">
      <c r="A59" t="s">
        <v>41</v>
      </c>
      <c r="B59">
        <v>6</v>
      </c>
      <c r="C59">
        <f t="shared" si="0"/>
        <v>0.21135000000000001</v>
      </c>
      <c r="D59" t="s">
        <v>9</v>
      </c>
      <c r="E59" t="s">
        <v>6</v>
      </c>
      <c r="F59">
        <v>0.21310000000000001</v>
      </c>
      <c r="G59">
        <v>0.20960000000000001</v>
      </c>
      <c r="H59">
        <f t="shared" si="1"/>
        <v>-2.1850000000000008E-2</v>
      </c>
      <c r="I59">
        <f t="shared" ref="I59" si="9">AVERAGE(H59:H61)</f>
        <v>-1.701666666666667E-2</v>
      </c>
    </row>
    <row r="60" spans="1:9" x14ac:dyDescent="0.2">
      <c r="A60" t="s">
        <v>42</v>
      </c>
      <c r="B60">
        <v>6</v>
      </c>
      <c r="C60">
        <f t="shared" si="0"/>
        <v>0.2127</v>
      </c>
      <c r="D60" t="s">
        <v>9</v>
      </c>
      <c r="E60" t="s">
        <v>6</v>
      </c>
      <c r="F60">
        <v>0.2117</v>
      </c>
      <c r="G60">
        <v>0.2137</v>
      </c>
      <c r="H60">
        <f t="shared" si="1"/>
        <v>-2.0400000000000001E-2</v>
      </c>
    </row>
    <row r="61" spans="1:9" x14ac:dyDescent="0.2">
      <c r="A61" t="s">
        <v>43</v>
      </c>
      <c r="B61">
        <v>6</v>
      </c>
      <c r="C61">
        <f t="shared" si="0"/>
        <v>0.2261</v>
      </c>
      <c r="D61" t="s">
        <v>9</v>
      </c>
      <c r="E61" t="s">
        <v>6</v>
      </c>
      <c r="F61">
        <v>0.22209999999999999</v>
      </c>
      <c r="G61">
        <v>0.2301</v>
      </c>
      <c r="H61">
        <f t="shared" si="1"/>
        <v>-8.8000000000000023E-3</v>
      </c>
    </row>
    <row r="62" spans="1:9" x14ac:dyDescent="0.2">
      <c r="A62" t="s">
        <v>59</v>
      </c>
      <c r="B62">
        <v>8</v>
      </c>
      <c r="C62">
        <f t="shared" si="0"/>
        <v>0.15410000000000001</v>
      </c>
      <c r="D62" t="s">
        <v>48</v>
      </c>
      <c r="E62" t="s">
        <v>4</v>
      </c>
      <c r="F62">
        <v>0.15579999999999999</v>
      </c>
      <c r="G62">
        <v>0.15240000000000001</v>
      </c>
      <c r="H62" s="7">
        <f>C62-C2</f>
        <v>2.8749999999999998E-2</v>
      </c>
      <c r="I62" s="9">
        <f t="shared" ref="I62" si="10">AVERAGE(H62:H64)</f>
        <v>2.2916666666666665E-2</v>
      </c>
    </row>
    <row r="63" spans="1:9" x14ac:dyDescent="0.2">
      <c r="A63" t="s">
        <v>15</v>
      </c>
      <c r="B63">
        <v>8</v>
      </c>
      <c r="C63">
        <f t="shared" si="0"/>
        <v>0.1429</v>
      </c>
      <c r="D63" t="s">
        <v>48</v>
      </c>
      <c r="E63" t="s">
        <v>4</v>
      </c>
      <c r="F63">
        <v>0.1454</v>
      </c>
      <c r="G63">
        <v>0.1404</v>
      </c>
      <c r="H63" s="7">
        <f t="shared" ref="H63:H91" si="11">C63-C3</f>
        <v>1.8500000000000003E-2</v>
      </c>
      <c r="I63" s="9"/>
    </row>
    <row r="64" spans="1:9" x14ac:dyDescent="0.2">
      <c r="A64" t="s">
        <v>16</v>
      </c>
      <c r="B64">
        <v>8</v>
      </c>
      <c r="C64">
        <f t="shared" si="0"/>
        <v>0.14584999999999998</v>
      </c>
      <c r="D64" t="s">
        <v>48</v>
      </c>
      <c r="E64" t="s">
        <v>4</v>
      </c>
      <c r="F64">
        <v>0.14499999999999999</v>
      </c>
      <c r="G64">
        <v>0.1467</v>
      </c>
      <c r="H64" s="7">
        <f t="shared" si="11"/>
        <v>2.1499999999999991E-2</v>
      </c>
      <c r="I64" s="9"/>
    </row>
    <row r="65" spans="1:9" x14ac:dyDescent="0.2">
      <c r="A65" t="s">
        <v>17</v>
      </c>
      <c r="B65">
        <v>8</v>
      </c>
      <c r="C65">
        <f t="shared" si="0"/>
        <v>0.14829999999999999</v>
      </c>
      <c r="D65" t="s">
        <v>48</v>
      </c>
      <c r="E65" t="s">
        <v>6</v>
      </c>
      <c r="F65">
        <v>0.1492</v>
      </c>
      <c r="G65">
        <v>0.1474</v>
      </c>
      <c r="H65" s="7">
        <f t="shared" si="11"/>
        <v>2.3449999999999985E-2</v>
      </c>
      <c r="I65" s="8">
        <f t="shared" ref="I65" si="12">AVERAGE(H65:H67)</f>
        <v>2.6633333333333328E-2</v>
      </c>
    </row>
    <row r="66" spans="1:9" x14ac:dyDescent="0.2">
      <c r="A66" t="s">
        <v>18</v>
      </c>
      <c r="B66">
        <v>8</v>
      </c>
      <c r="C66">
        <f t="shared" si="0"/>
        <v>0.1434</v>
      </c>
      <c r="D66" t="s">
        <v>48</v>
      </c>
      <c r="E66" t="s">
        <v>6</v>
      </c>
      <c r="F66">
        <v>0.14280000000000001</v>
      </c>
      <c r="G66">
        <v>0.14399999999999999</v>
      </c>
      <c r="H66" s="7">
        <f t="shared" si="11"/>
        <v>1.6600000000000004E-2</v>
      </c>
      <c r="I66" s="9"/>
    </row>
    <row r="67" spans="1:9" x14ac:dyDescent="0.2">
      <c r="A67" t="s">
        <v>19</v>
      </c>
      <c r="B67">
        <v>8</v>
      </c>
      <c r="C67">
        <f t="shared" ref="C67:C91" si="13">AVERAGE(F67:G67)</f>
        <v>0.1651</v>
      </c>
      <c r="D67" t="s">
        <v>48</v>
      </c>
      <c r="E67" t="s">
        <v>6</v>
      </c>
      <c r="F67">
        <v>0.16</v>
      </c>
      <c r="G67">
        <v>0.17019999999999999</v>
      </c>
      <c r="H67" s="7">
        <f t="shared" si="11"/>
        <v>3.9849999999999997E-2</v>
      </c>
      <c r="I67" s="9"/>
    </row>
    <row r="68" spans="1:9" x14ac:dyDescent="0.2">
      <c r="A68" t="s">
        <v>20</v>
      </c>
      <c r="B68">
        <v>8</v>
      </c>
      <c r="C68">
        <f t="shared" si="13"/>
        <v>0.2127</v>
      </c>
      <c r="D68" t="s">
        <v>5</v>
      </c>
      <c r="E68" t="s">
        <v>4</v>
      </c>
      <c r="F68">
        <v>0.20810000000000001</v>
      </c>
      <c r="G68">
        <v>0.21729999999999999</v>
      </c>
      <c r="H68" s="7">
        <f t="shared" si="11"/>
        <v>2.9949999999999977E-2</v>
      </c>
      <c r="I68">
        <f t="shared" ref="I68" si="14">AVERAGE(H68:H70)</f>
        <v>4.7883333333333312E-2</v>
      </c>
    </row>
    <row r="69" spans="1:9" x14ac:dyDescent="0.2">
      <c r="A69" t="s">
        <v>21</v>
      </c>
      <c r="B69">
        <v>8</v>
      </c>
      <c r="C69">
        <f t="shared" si="13"/>
        <v>0.22284999999999999</v>
      </c>
      <c r="D69" t="s">
        <v>5</v>
      </c>
      <c r="E69" t="s">
        <v>4</v>
      </c>
      <c r="F69">
        <v>0.21460000000000001</v>
      </c>
      <c r="G69">
        <v>0.2311</v>
      </c>
      <c r="H69" s="7">
        <f t="shared" si="11"/>
        <v>4.7999999999999987E-2</v>
      </c>
    </row>
    <row r="70" spans="1:9" x14ac:dyDescent="0.2">
      <c r="A70" t="s">
        <v>22</v>
      </c>
      <c r="B70">
        <v>8</v>
      </c>
      <c r="C70">
        <f t="shared" si="13"/>
        <v>0.245</v>
      </c>
      <c r="D70" t="s">
        <v>5</v>
      </c>
      <c r="E70" t="s">
        <v>4</v>
      </c>
      <c r="F70">
        <v>0.23710000000000001</v>
      </c>
      <c r="G70">
        <v>0.25290000000000001</v>
      </c>
      <c r="H70" s="7">
        <f t="shared" si="11"/>
        <v>6.5699999999999981E-2</v>
      </c>
    </row>
    <row r="71" spans="1:9" x14ac:dyDescent="0.2">
      <c r="A71" t="s">
        <v>23</v>
      </c>
      <c r="B71">
        <v>8</v>
      </c>
      <c r="C71">
        <f t="shared" si="13"/>
        <v>0.22789999999999999</v>
      </c>
      <c r="D71" t="s">
        <v>5</v>
      </c>
      <c r="E71" t="s">
        <v>6</v>
      </c>
      <c r="F71">
        <v>0.22040000000000001</v>
      </c>
      <c r="G71">
        <v>0.2354</v>
      </c>
      <c r="H71" s="7">
        <f t="shared" si="11"/>
        <v>4.9850000000000005E-2</v>
      </c>
      <c r="I71">
        <f t="shared" ref="I71" si="15">AVERAGE(H71:H73)</f>
        <v>4.7233333333333349E-2</v>
      </c>
    </row>
    <row r="72" spans="1:9" x14ac:dyDescent="0.2">
      <c r="A72" t="s">
        <v>24</v>
      </c>
      <c r="B72">
        <v>8</v>
      </c>
      <c r="C72">
        <f t="shared" si="13"/>
        <v>0.22665000000000002</v>
      </c>
      <c r="D72" t="s">
        <v>5</v>
      </c>
      <c r="E72" t="s">
        <v>6</v>
      </c>
      <c r="F72">
        <v>0.22700000000000001</v>
      </c>
      <c r="G72">
        <v>0.2263</v>
      </c>
      <c r="H72" s="7">
        <f t="shared" si="11"/>
        <v>4.9600000000000033E-2</v>
      </c>
    </row>
    <row r="73" spans="1:9" x14ac:dyDescent="0.2">
      <c r="A73" t="s">
        <v>25</v>
      </c>
      <c r="B73">
        <v>8</v>
      </c>
      <c r="C73">
        <f t="shared" si="13"/>
        <v>0.22284999999999999</v>
      </c>
      <c r="D73" t="s">
        <v>5</v>
      </c>
      <c r="E73" t="s">
        <v>6</v>
      </c>
      <c r="F73">
        <v>0.22589999999999999</v>
      </c>
      <c r="G73">
        <v>0.2198</v>
      </c>
      <c r="H73" s="7">
        <f t="shared" si="11"/>
        <v>4.225000000000001E-2</v>
      </c>
    </row>
    <row r="74" spans="1:9" x14ac:dyDescent="0.2">
      <c r="A74" t="s">
        <v>26</v>
      </c>
      <c r="B74">
        <v>8</v>
      </c>
      <c r="C74">
        <f t="shared" si="13"/>
        <v>0.22555</v>
      </c>
      <c r="D74" t="s">
        <v>3</v>
      </c>
      <c r="E74" t="s">
        <v>4</v>
      </c>
      <c r="F74">
        <v>0.2218</v>
      </c>
      <c r="G74">
        <v>0.2293</v>
      </c>
      <c r="H74">
        <f t="shared" si="11"/>
        <v>2.3249999999999993E-2</v>
      </c>
      <c r="I74">
        <f t="shared" ref="I74" si="16">AVERAGE(H74:H76)</f>
        <v>1.7683333333333339E-2</v>
      </c>
    </row>
    <row r="75" spans="1:9" x14ac:dyDescent="0.2">
      <c r="A75" t="s">
        <v>27</v>
      </c>
      <c r="B75">
        <v>8</v>
      </c>
      <c r="C75">
        <f t="shared" si="13"/>
        <v>0.20965</v>
      </c>
      <c r="D75" t="s">
        <v>3</v>
      </c>
      <c r="E75" t="s">
        <v>4</v>
      </c>
      <c r="F75">
        <v>0.20300000000000001</v>
      </c>
      <c r="G75">
        <v>0.21629999999999999</v>
      </c>
      <c r="H75">
        <f t="shared" si="11"/>
        <v>7.4000000000000177E-3</v>
      </c>
    </row>
    <row r="76" spans="1:9" x14ac:dyDescent="0.2">
      <c r="A76" t="s">
        <v>28</v>
      </c>
      <c r="B76">
        <v>8</v>
      </c>
      <c r="C76">
        <f t="shared" si="13"/>
        <v>0.22355</v>
      </c>
      <c r="D76" t="s">
        <v>3</v>
      </c>
      <c r="E76" t="s">
        <v>4</v>
      </c>
      <c r="F76">
        <v>0.21859999999999999</v>
      </c>
      <c r="G76">
        <v>0.22850000000000001</v>
      </c>
      <c r="H76">
        <f t="shared" si="11"/>
        <v>2.2400000000000003E-2</v>
      </c>
    </row>
    <row r="77" spans="1:9" x14ac:dyDescent="0.2">
      <c r="A77" t="s">
        <v>29</v>
      </c>
      <c r="B77">
        <v>8</v>
      </c>
      <c r="C77">
        <f t="shared" si="13"/>
        <v>0.21384999999999998</v>
      </c>
      <c r="D77" t="s">
        <v>3</v>
      </c>
      <c r="E77" t="s">
        <v>6</v>
      </c>
      <c r="F77">
        <v>0.2077</v>
      </c>
      <c r="G77">
        <v>0.22</v>
      </c>
      <c r="H77">
        <f t="shared" si="11"/>
        <v>1.0999999999999982E-2</v>
      </c>
      <c r="I77">
        <f t="shared" ref="I77" si="17">AVERAGE(H77:H79)</f>
        <v>1.5433333333333327E-2</v>
      </c>
    </row>
    <row r="78" spans="1:9" x14ac:dyDescent="0.2">
      <c r="A78" t="s">
        <v>30</v>
      </c>
      <c r="B78">
        <v>8</v>
      </c>
      <c r="C78">
        <f t="shared" si="13"/>
        <v>0.21255000000000002</v>
      </c>
      <c r="D78" t="s">
        <v>3</v>
      </c>
      <c r="E78" t="s">
        <v>6</v>
      </c>
      <c r="F78">
        <v>0.20710000000000001</v>
      </c>
      <c r="G78">
        <v>0.218</v>
      </c>
      <c r="H78">
        <f t="shared" si="11"/>
        <v>1.6149999999999998E-2</v>
      </c>
    </row>
    <row r="79" spans="1:9" x14ac:dyDescent="0.2">
      <c r="A79" t="s">
        <v>31</v>
      </c>
      <c r="B79">
        <v>8</v>
      </c>
      <c r="C79">
        <f t="shared" si="13"/>
        <v>0.22559999999999999</v>
      </c>
      <c r="D79" t="s">
        <v>3</v>
      </c>
      <c r="E79" t="s">
        <v>6</v>
      </c>
      <c r="F79">
        <v>0.2263</v>
      </c>
      <c r="G79">
        <v>0.22489999999999999</v>
      </c>
      <c r="H79">
        <f t="shared" si="11"/>
        <v>1.915E-2</v>
      </c>
    </row>
    <row r="80" spans="1:9" x14ac:dyDescent="0.2">
      <c r="A80" t="s">
        <v>32</v>
      </c>
      <c r="B80">
        <v>8</v>
      </c>
      <c r="C80">
        <f t="shared" si="13"/>
        <v>0.26014999999999999</v>
      </c>
      <c r="D80" t="s">
        <v>13</v>
      </c>
      <c r="E80" t="s">
        <v>4</v>
      </c>
      <c r="F80">
        <v>0.25509999999999999</v>
      </c>
      <c r="G80">
        <v>0.26519999999999999</v>
      </c>
      <c r="H80" s="7">
        <f t="shared" si="11"/>
        <v>6.0299999999999992E-2</v>
      </c>
      <c r="I80" s="9">
        <f>AVERAGE(H80:H82)</f>
        <v>5.3733333333333327E-2</v>
      </c>
    </row>
    <row r="81" spans="1:9" x14ac:dyDescent="0.2">
      <c r="A81" t="s">
        <v>33</v>
      </c>
      <c r="B81">
        <v>8</v>
      </c>
      <c r="C81">
        <f t="shared" si="13"/>
        <v>0.22425</v>
      </c>
      <c r="D81" t="s">
        <v>13</v>
      </c>
      <c r="E81" t="s">
        <v>4</v>
      </c>
      <c r="F81">
        <v>0.22090000000000001</v>
      </c>
      <c r="G81">
        <v>0.2276</v>
      </c>
      <c r="H81" s="7">
        <f t="shared" si="11"/>
        <v>2.7249999999999996E-2</v>
      </c>
      <c r="I81" s="9"/>
    </row>
    <row r="82" spans="1:9" x14ac:dyDescent="0.2">
      <c r="A82" t="s">
        <v>34</v>
      </c>
      <c r="B82">
        <v>8</v>
      </c>
      <c r="C82">
        <f t="shared" si="13"/>
        <v>0.27384999999999998</v>
      </c>
      <c r="D82" t="s">
        <v>13</v>
      </c>
      <c r="E82" t="s">
        <v>4</v>
      </c>
      <c r="F82">
        <v>0.26379999999999998</v>
      </c>
      <c r="G82">
        <v>0.28389999999999999</v>
      </c>
      <c r="H82" s="7">
        <f t="shared" si="11"/>
        <v>7.3649999999999993E-2</v>
      </c>
      <c r="I82" s="9"/>
    </row>
    <row r="83" spans="1:9" x14ac:dyDescent="0.2">
      <c r="A83" t="s">
        <v>35</v>
      </c>
      <c r="B83">
        <v>8</v>
      </c>
      <c r="C83">
        <f t="shared" si="13"/>
        <v>0.26114999999999999</v>
      </c>
      <c r="D83" t="s">
        <v>13</v>
      </c>
      <c r="E83" t="s">
        <v>6</v>
      </c>
      <c r="F83">
        <v>0.26150000000000001</v>
      </c>
      <c r="G83">
        <v>0.26079999999999998</v>
      </c>
      <c r="H83" s="7">
        <f t="shared" si="11"/>
        <v>6.2599999999999989E-2</v>
      </c>
      <c r="I83" s="8">
        <f>AVERAGE(H83:H85)</f>
        <v>6.7583333333333342E-2</v>
      </c>
    </row>
    <row r="84" spans="1:9" x14ac:dyDescent="0.2">
      <c r="A84" t="s">
        <v>36</v>
      </c>
      <c r="B84">
        <v>8</v>
      </c>
      <c r="C84">
        <f t="shared" si="13"/>
        <v>0.27200000000000002</v>
      </c>
      <c r="D84" t="s">
        <v>13</v>
      </c>
      <c r="E84" t="s">
        <v>6</v>
      </c>
      <c r="F84">
        <v>0.26100000000000001</v>
      </c>
      <c r="G84">
        <v>0.28299999999999997</v>
      </c>
      <c r="H84" s="7">
        <f t="shared" si="11"/>
        <v>7.8400000000000025E-2</v>
      </c>
      <c r="I84" s="9"/>
    </row>
    <row r="85" spans="1:9" x14ac:dyDescent="0.2">
      <c r="A85" t="s">
        <v>37</v>
      </c>
      <c r="B85">
        <v>8</v>
      </c>
      <c r="C85">
        <f t="shared" si="13"/>
        <v>0.26605000000000001</v>
      </c>
      <c r="D85" t="s">
        <v>13</v>
      </c>
      <c r="E85" t="s">
        <v>6</v>
      </c>
      <c r="F85">
        <v>0.2651</v>
      </c>
      <c r="G85">
        <v>0.26700000000000002</v>
      </c>
      <c r="H85" s="7">
        <f t="shared" si="11"/>
        <v>6.1749999999999999E-2</v>
      </c>
      <c r="I85" s="9"/>
    </row>
    <row r="86" spans="1:9" x14ac:dyDescent="0.2">
      <c r="A86" t="s">
        <v>38</v>
      </c>
      <c r="B86">
        <v>8</v>
      </c>
      <c r="C86">
        <f t="shared" si="13"/>
        <v>0.24704999999999999</v>
      </c>
      <c r="D86" t="s">
        <v>9</v>
      </c>
      <c r="E86" t="s">
        <v>4</v>
      </c>
      <c r="F86">
        <v>0.2427</v>
      </c>
      <c r="G86">
        <v>0.25140000000000001</v>
      </c>
      <c r="H86">
        <f t="shared" si="11"/>
        <v>6.4500000000000113E-3</v>
      </c>
      <c r="I86">
        <f>AVERAGE(H86:H88)</f>
        <v>5.0500000000000085E-3</v>
      </c>
    </row>
    <row r="87" spans="1:9" x14ac:dyDescent="0.2">
      <c r="A87" t="s">
        <v>39</v>
      </c>
      <c r="B87">
        <v>8</v>
      </c>
      <c r="C87">
        <f t="shared" si="13"/>
        <v>0.22310000000000002</v>
      </c>
      <c r="D87" t="s">
        <v>9</v>
      </c>
      <c r="E87" t="s">
        <v>4</v>
      </c>
      <c r="F87">
        <v>0.22370000000000001</v>
      </c>
      <c r="G87">
        <v>0.2225</v>
      </c>
      <c r="H87">
        <f t="shared" si="11"/>
        <v>-1.3499999999999901E-3</v>
      </c>
    </row>
    <row r="88" spans="1:9" x14ac:dyDescent="0.2">
      <c r="A88" t="s">
        <v>40</v>
      </c>
      <c r="B88">
        <v>8</v>
      </c>
      <c r="C88">
        <f t="shared" si="13"/>
        <v>0.24180000000000001</v>
      </c>
      <c r="D88" t="s">
        <v>9</v>
      </c>
      <c r="E88" t="s">
        <v>4</v>
      </c>
      <c r="F88">
        <v>0.23880000000000001</v>
      </c>
      <c r="G88">
        <v>0.24479999999999999</v>
      </c>
      <c r="H88">
        <f t="shared" si="11"/>
        <v>1.0050000000000003E-2</v>
      </c>
    </row>
    <row r="89" spans="1:9" x14ac:dyDescent="0.2">
      <c r="A89" t="s">
        <v>41</v>
      </c>
      <c r="B89">
        <v>8</v>
      </c>
      <c r="C89">
        <f t="shared" si="13"/>
        <v>0.22394999999999998</v>
      </c>
      <c r="D89" t="s">
        <v>9</v>
      </c>
      <c r="E89" t="s">
        <v>6</v>
      </c>
      <c r="F89">
        <v>0.22359999999999999</v>
      </c>
      <c r="G89">
        <v>0.2243</v>
      </c>
      <c r="H89">
        <f t="shared" si="11"/>
        <v>-9.250000000000036E-3</v>
      </c>
      <c r="I89">
        <f>AVERAGE(H89:H91)</f>
        <v>-8.3666666666666802E-3</v>
      </c>
    </row>
    <row r="90" spans="1:9" x14ac:dyDescent="0.2">
      <c r="A90" t="s">
        <v>42</v>
      </c>
      <c r="B90">
        <v>8</v>
      </c>
      <c r="C90">
        <f t="shared" si="13"/>
        <v>0.22444999999999998</v>
      </c>
      <c r="D90" t="s">
        <v>9</v>
      </c>
      <c r="E90" t="s">
        <v>6</v>
      </c>
      <c r="F90">
        <v>0.2276</v>
      </c>
      <c r="G90">
        <v>0.2213</v>
      </c>
      <c r="H90">
        <f t="shared" si="11"/>
        <v>-8.6500000000000188E-3</v>
      </c>
    </row>
    <row r="91" spans="1:9" x14ac:dyDescent="0.2">
      <c r="A91" t="s">
        <v>43</v>
      </c>
      <c r="B91">
        <v>8</v>
      </c>
      <c r="C91">
        <f t="shared" si="13"/>
        <v>0.22770000000000001</v>
      </c>
      <c r="D91" t="s">
        <v>9</v>
      </c>
      <c r="E91" t="s">
        <v>6</v>
      </c>
      <c r="F91">
        <v>0.22589999999999999</v>
      </c>
      <c r="G91">
        <v>0.22950000000000001</v>
      </c>
      <c r="H91">
        <f t="shared" si="11"/>
        <v>-7.1999999999999842E-3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252B1-A2DE-104B-B0C0-B446A9C210B6}">
  <dimension ref="A1:E31"/>
  <sheetViews>
    <sheetView tabSelected="1" workbookViewId="0">
      <selection activeCell="G17" sqref="G17"/>
    </sheetView>
  </sheetViews>
  <sheetFormatPr baseColWidth="10" defaultRowHeight="16" x14ac:dyDescent="0.2"/>
  <sheetData>
    <row r="1" spans="1:5" ht="17" thickBot="1" x14ac:dyDescent="0.25">
      <c r="A1" s="1" t="s">
        <v>0</v>
      </c>
      <c r="B1" s="2" t="s">
        <v>55</v>
      </c>
      <c r="C1" s="5" t="s">
        <v>52</v>
      </c>
      <c r="D1" s="1" t="s">
        <v>1</v>
      </c>
      <c r="E1" s="1" t="s">
        <v>2</v>
      </c>
    </row>
    <row r="2" spans="1:5" x14ac:dyDescent="0.2">
      <c r="A2" t="s">
        <v>58</v>
      </c>
      <c r="B2" t="s">
        <v>68</v>
      </c>
      <c r="C2">
        <v>2.6049999999999962E-2</v>
      </c>
      <c r="D2" t="s">
        <v>48</v>
      </c>
      <c r="E2" t="s">
        <v>4</v>
      </c>
    </row>
    <row r="3" spans="1:5" x14ac:dyDescent="0.2">
      <c r="A3" t="s">
        <v>15</v>
      </c>
      <c r="B3" t="s">
        <v>68</v>
      </c>
      <c r="C3">
        <v>1.8600000000000019E-2</v>
      </c>
      <c r="D3" t="s">
        <v>48</v>
      </c>
      <c r="E3" t="s">
        <v>4</v>
      </c>
    </row>
    <row r="4" spans="1:5" x14ac:dyDescent="0.2">
      <c r="A4" t="s">
        <v>16</v>
      </c>
      <c r="B4" t="s">
        <v>68</v>
      </c>
      <c r="C4">
        <v>2.0700000000000024E-2</v>
      </c>
      <c r="D4" t="s">
        <v>48</v>
      </c>
      <c r="E4" t="s">
        <v>4</v>
      </c>
    </row>
    <row r="5" spans="1:5" x14ac:dyDescent="0.2">
      <c r="A5" t="s">
        <v>17</v>
      </c>
      <c r="B5" t="s">
        <v>68</v>
      </c>
      <c r="C5">
        <v>2.6200000000000015E-2</v>
      </c>
      <c r="D5" t="s">
        <v>48</v>
      </c>
      <c r="E5" t="s">
        <v>6</v>
      </c>
    </row>
    <row r="6" spans="1:5" x14ac:dyDescent="0.2">
      <c r="A6" t="s">
        <v>18</v>
      </c>
      <c r="B6" t="s">
        <v>68</v>
      </c>
      <c r="C6">
        <v>1.5100000000000002E-2</v>
      </c>
      <c r="D6" t="s">
        <v>48</v>
      </c>
      <c r="E6" t="s">
        <v>6</v>
      </c>
    </row>
    <row r="7" spans="1:5" x14ac:dyDescent="0.2">
      <c r="A7" t="s">
        <v>19</v>
      </c>
      <c r="B7" t="s">
        <v>68</v>
      </c>
      <c r="C7">
        <v>4.3099999999999999E-2</v>
      </c>
      <c r="D7" t="s">
        <v>48</v>
      </c>
      <c r="E7" t="s">
        <v>6</v>
      </c>
    </row>
    <row r="8" spans="1:5" x14ac:dyDescent="0.2">
      <c r="A8" t="s">
        <v>20</v>
      </c>
      <c r="B8" t="s">
        <v>68</v>
      </c>
      <c r="C8">
        <v>1.3299999999999979E-2</v>
      </c>
      <c r="D8" t="s">
        <v>5</v>
      </c>
      <c r="E8" t="s">
        <v>4</v>
      </c>
    </row>
    <row r="9" spans="1:5" x14ac:dyDescent="0.2">
      <c r="A9" t="s">
        <v>21</v>
      </c>
      <c r="B9" t="s">
        <v>68</v>
      </c>
      <c r="C9">
        <v>3.8499999999999979E-2</v>
      </c>
      <c r="D9" t="s">
        <v>5</v>
      </c>
      <c r="E9" t="s">
        <v>4</v>
      </c>
    </row>
    <row r="10" spans="1:5" x14ac:dyDescent="0.2">
      <c r="A10" t="s">
        <v>22</v>
      </c>
      <c r="B10" t="s">
        <v>68</v>
      </c>
      <c r="C10">
        <v>4.519999999999999E-2</v>
      </c>
      <c r="D10" t="s">
        <v>5</v>
      </c>
      <c r="E10" t="s">
        <v>4</v>
      </c>
    </row>
    <row r="11" spans="1:5" x14ac:dyDescent="0.2">
      <c r="A11" t="s">
        <v>23</v>
      </c>
      <c r="B11" t="s">
        <v>68</v>
      </c>
      <c r="C11">
        <v>3.9800000000000002E-2</v>
      </c>
      <c r="D11" t="s">
        <v>5</v>
      </c>
      <c r="E11" t="s">
        <v>6</v>
      </c>
    </row>
    <row r="12" spans="1:5" x14ac:dyDescent="0.2">
      <c r="A12" t="s">
        <v>24</v>
      </c>
      <c r="B12" t="s">
        <v>68</v>
      </c>
      <c r="C12">
        <v>3.8150000000000017E-2</v>
      </c>
      <c r="D12" t="s">
        <v>5</v>
      </c>
      <c r="E12" t="s">
        <v>6</v>
      </c>
    </row>
    <row r="13" spans="1:5" x14ac:dyDescent="0.2">
      <c r="A13" t="s">
        <v>25</v>
      </c>
      <c r="B13" t="s">
        <v>68</v>
      </c>
      <c r="C13">
        <v>4.2650000000000021E-2</v>
      </c>
      <c r="D13" t="s">
        <v>5</v>
      </c>
      <c r="E13" t="s">
        <v>6</v>
      </c>
    </row>
    <row r="14" spans="1:5" x14ac:dyDescent="0.2">
      <c r="A14" t="s">
        <v>26</v>
      </c>
      <c r="B14" t="s">
        <v>68</v>
      </c>
      <c r="C14">
        <v>1.2199999999999989E-2</v>
      </c>
      <c r="D14" t="s">
        <v>3</v>
      </c>
      <c r="E14" t="s">
        <v>4</v>
      </c>
    </row>
    <row r="15" spans="1:5" x14ac:dyDescent="0.2">
      <c r="A15" t="s">
        <v>27</v>
      </c>
      <c r="B15" t="s">
        <v>68</v>
      </c>
      <c r="C15">
        <v>-3.6499999999999866E-3</v>
      </c>
      <c r="D15" t="s">
        <v>3</v>
      </c>
      <c r="E15" t="s">
        <v>4</v>
      </c>
    </row>
    <row r="16" spans="1:5" x14ac:dyDescent="0.2">
      <c r="A16" t="s">
        <v>28</v>
      </c>
      <c r="B16" t="s">
        <v>68</v>
      </c>
      <c r="C16">
        <v>2.4000000000000132E-3</v>
      </c>
      <c r="D16" t="s">
        <v>3</v>
      </c>
      <c r="E16" t="s">
        <v>4</v>
      </c>
    </row>
    <row r="17" spans="1:5" x14ac:dyDescent="0.2">
      <c r="A17" t="s">
        <v>29</v>
      </c>
      <c r="B17" t="s">
        <v>68</v>
      </c>
      <c r="C17">
        <v>-6.650000000000017E-3</v>
      </c>
      <c r="D17" t="s">
        <v>3</v>
      </c>
      <c r="E17" t="s">
        <v>6</v>
      </c>
    </row>
    <row r="18" spans="1:5" x14ac:dyDescent="0.2">
      <c r="A18" t="s">
        <v>30</v>
      </c>
      <c r="B18" t="s">
        <v>68</v>
      </c>
      <c r="C18">
        <v>8.9999999999995639E-4</v>
      </c>
      <c r="D18" t="s">
        <v>3</v>
      </c>
      <c r="E18" t="s">
        <v>6</v>
      </c>
    </row>
    <row r="19" spans="1:5" x14ac:dyDescent="0.2">
      <c r="A19" t="s">
        <v>31</v>
      </c>
      <c r="B19" t="s">
        <v>68</v>
      </c>
      <c r="C19">
        <v>1.4750000000000013E-2</v>
      </c>
      <c r="D19" t="s">
        <v>3</v>
      </c>
      <c r="E19" t="s">
        <v>6</v>
      </c>
    </row>
    <row r="20" spans="1:5" x14ac:dyDescent="0.2">
      <c r="A20" t="s">
        <v>32</v>
      </c>
      <c r="B20" t="s">
        <v>68</v>
      </c>
      <c r="C20">
        <v>4.2699999999999988E-2</v>
      </c>
      <c r="D20" t="s">
        <v>13</v>
      </c>
      <c r="E20" t="s">
        <v>4</v>
      </c>
    </row>
    <row r="21" spans="1:5" x14ac:dyDescent="0.2">
      <c r="A21" t="s">
        <v>33</v>
      </c>
      <c r="B21" t="s">
        <v>68</v>
      </c>
      <c r="C21">
        <v>1.7749999999999988E-2</v>
      </c>
      <c r="D21" t="s">
        <v>13</v>
      </c>
      <c r="E21" t="s">
        <v>4</v>
      </c>
    </row>
    <row r="22" spans="1:5" x14ac:dyDescent="0.2">
      <c r="A22" t="s">
        <v>34</v>
      </c>
      <c r="B22" t="s">
        <v>68</v>
      </c>
      <c r="C22">
        <v>5.045000000000005E-2</v>
      </c>
      <c r="D22" t="s">
        <v>13</v>
      </c>
      <c r="E22" t="s">
        <v>4</v>
      </c>
    </row>
    <row r="23" spans="1:5" x14ac:dyDescent="0.2">
      <c r="A23" t="s">
        <v>35</v>
      </c>
      <c r="B23" t="s">
        <v>68</v>
      </c>
      <c r="C23">
        <v>4.3499999999999983E-2</v>
      </c>
      <c r="D23" t="s">
        <v>13</v>
      </c>
      <c r="E23" t="s">
        <v>6</v>
      </c>
    </row>
    <row r="24" spans="1:5" x14ac:dyDescent="0.2">
      <c r="A24" t="s">
        <v>36</v>
      </c>
      <c r="B24" t="s">
        <v>68</v>
      </c>
      <c r="C24">
        <v>5.4750000000000021E-2</v>
      </c>
      <c r="D24" t="s">
        <v>13</v>
      </c>
      <c r="E24" t="s">
        <v>6</v>
      </c>
    </row>
    <row r="25" spans="1:5" x14ac:dyDescent="0.2">
      <c r="A25" t="s">
        <v>37</v>
      </c>
      <c r="B25" t="s">
        <v>68</v>
      </c>
      <c r="C25">
        <v>5.2500000000000019E-2</v>
      </c>
      <c r="D25" t="s">
        <v>13</v>
      </c>
      <c r="E25" t="s">
        <v>6</v>
      </c>
    </row>
    <row r="26" spans="1:5" x14ac:dyDescent="0.2">
      <c r="A26" t="s">
        <v>38</v>
      </c>
      <c r="B26" t="s">
        <v>68</v>
      </c>
      <c r="C26">
        <v>-1.0000000000000009E-3</v>
      </c>
      <c r="D26" t="s">
        <v>9</v>
      </c>
      <c r="E26" t="s">
        <v>4</v>
      </c>
    </row>
    <row r="27" spans="1:5" x14ac:dyDescent="0.2">
      <c r="A27" t="s">
        <v>39</v>
      </c>
      <c r="B27" t="s">
        <v>68</v>
      </c>
      <c r="C27">
        <v>-1.015000000000002E-2</v>
      </c>
      <c r="D27" t="s">
        <v>9</v>
      </c>
      <c r="E27" t="s">
        <v>4</v>
      </c>
    </row>
    <row r="28" spans="1:5" x14ac:dyDescent="0.2">
      <c r="A28" t="s">
        <v>40</v>
      </c>
      <c r="B28" t="s">
        <v>68</v>
      </c>
      <c r="C28">
        <v>2.0000000000000018E-3</v>
      </c>
      <c r="D28" t="s">
        <v>9</v>
      </c>
      <c r="E28" t="s">
        <v>4</v>
      </c>
    </row>
    <row r="29" spans="1:5" x14ac:dyDescent="0.2">
      <c r="A29" t="s">
        <v>41</v>
      </c>
      <c r="B29" t="s">
        <v>68</v>
      </c>
      <c r="C29">
        <v>-2.1850000000000008E-2</v>
      </c>
      <c r="D29" t="s">
        <v>9</v>
      </c>
      <c r="E29" t="s">
        <v>6</v>
      </c>
    </row>
    <row r="30" spans="1:5" x14ac:dyDescent="0.2">
      <c r="A30" t="s">
        <v>42</v>
      </c>
      <c r="B30" t="s">
        <v>68</v>
      </c>
      <c r="C30">
        <v>-2.0400000000000001E-2</v>
      </c>
      <c r="D30" t="s">
        <v>9</v>
      </c>
      <c r="E30" t="s">
        <v>6</v>
      </c>
    </row>
    <row r="31" spans="1:5" x14ac:dyDescent="0.2">
      <c r="A31" t="s">
        <v>43</v>
      </c>
      <c r="B31" t="s">
        <v>68</v>
      </c>
      <c r="C31">
        <v>-8.8000000000000023E-3</v>
      </c>
      <c r="D31" t="s">
        <v>9</v>
      </c>
      <c r="E31" t="s">
        <v>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0CD1C-3067-B84E-AC1D-BFADB47E97F5}">
  <dimension ref="A1:E121"/>
  <sheetViews>
    <sheetView workbookViewId="0">
      <selection activeCell="D11" sqref="A1:E121"/>
    </sheetView>
  </sheetViews>
  <sheetFormatPr baseColWidth="10" defaultRowHeight="16" x14ac:dyDescent="0.2"/>
  <cols>
    <col min="3" max="5" width="15" customWidth="1"/>
  </cols>
  <sheetData>
    <row r="1" spans="1:5" ht="17" thickBot="1" x14ac:dyDescent="0.25">
      <c r="A1" s="1" t="s">
        <v>0</v>
      </c>
      <c r="B1" s="2" t="s">
        <v>55</v>
      </c>
      <c r="C1" s="5" t="s">
        <v>52</v>
      </c>
      <c r="D1" s="1" t="s">
        <v>1</v>
      </c>
      <c r="E1" s="1" t="s">
        <v>2</v>
      </c>
    </row>
    <row r="2" spans="1:5" x14ac:dyDescent="0.2">
      <c r="A2" t="s">
        <v>51</v>
      </c>
      <c r="B2" t="s">
        <v>66</v>
      </c>
      <c r="C2">
        <v>4.0599999999999983E-2</v>
      </c>
      <c r="D2" t="s">
        <v>48</v>
      </c>
      <c r="E2" t="s">
        <v>4</v>
      </c>
    </row>
    <row r="3" spans="1:5" x14ac:dyDescent="0.2">
      <c r="A3" t="s">
        <v>15</v>
      </c>
      <c r="B3" t="s">
        <v>66</v>
      </c>
      <c r="C3">
        <v>2.9800000000000007E-2</v>
      </c>
      <c r="D3" t="s">
        <v>48</v>
      </c>
      <c r="E3" t="s">
        <v>4</v>
      </c>
    </row>
    <row r="4" spans="1:5" x14ac:dyDescent="0.2">
      <c r="A4" t="s">
        <v>16</v>
      </c>
      <c r="B4" t="s">
        <v>66</v>
      </c>
      <c r="C4">
        <v>3.1700000000000006E-2</v>
      </c>
      <c r="D4" t="s">
        <v>48</v>
      </c>
      <c r="E4" t="s">
        <v>4</v>
      </c>
    </row>
    <row r="5" spans="1:5" x14ac:dyDescent="0.2">
      <c r="A5" t="s">
        <v>17</v>
      </c>
      <c r="B5" t="s">
        <v>66</v>
      </c>
      <c r="C5">
        <v>3.4750000000000003E-2</v>
      </c>
      <c r="D5" t="s">
        <v>48</v>
      </c>
      <c r="E5" t="s">
        <v>6</v>
      </c>
    </row>
    <row r="6" spans="1:5" x14ac:dyDescent="0.2">
      <c r="A6" t="s">
        <v>18</v>
      </c>
      <c r="B6" t="s">
        <v>66</v>
      </c>
      <c r="C6">
        <v>2.8999999999999998E-2</v>
      </c>
      <c r="D6" t="s">
        <v>48</v>
      </c>
      <c r="E6" t="s">
        <v>6</v>
      </c>
    </row>
    <row r="7" spans="1:5" x14ac:dyDescent="0.2">
      <c r="A7" t="s">
        <v>19</v>
      </c>
      <c r="B7" t="s">
        <v>66</v>
      </c>
      <c r="C7">
        <v>3.4699999999999995E-2</v>
      </c>
      <c r="D7" t="s">
        <v>48</v>
      </c>
      <c r="E7" t="s">
        <v>6</v>
      </c>
    </row>
    <row r="8" spans="1:5" x14ac:dyDescent="0.2">
      <c r="A8" t="s">
        <v>20</v>
      </c>
      <c r="B8" t="s">
        <v>66</v>
      </c>
      <c r="C8">
        <v>1.9000000000000017E-2</v>
      </c>
      <c r="D8" t="s">
        <v>5</v>
      </c>
      <c r="E8" t="s">
        <v>4</v>
      </c>
    </row>
    <row r="9" spans="1:5" x14ac:dyDescent="0.2">
      <c r="A9" t="s">
        <v>21</v>
      </c>
      <c r="B9" t="s">
        <v>66</v>
      </c>
      <c r="C9">
        <v>2.8299999999999992E-2</v>
      </c>
      <c r="D9" t="s">
        <v>5</v>
      </c>
      <c r="E9" t="s">
        <v>4</v>
      </c>
    </row>
    <row r="10" spans="1:5" x14ac:dyDescent="0.2">
      <c r="A10" t="s">
        <v>22</v>
      </c>
      <c r="B10" t="s">
        <v>66</v>
      </c>
      <c r="C10">
        <v>2.8950000000000004E-2</v>
      </c>
      <c r="D10" t="s">
        <v>5</v>
      </c>
      <c r="E10" t="s">
        <v>4</v>
      </c>
    </row>
    <row r="11" spans="1:5" x14ac:dyDescent="0.2">
      <c r="A11" t="s">
        <v>23</v>
      </c>
      <c r="B11" t="s">
        <v>66</v>
      </c>
      <c r="C11">
        <v>4.9200000000000021E-2</v>
      </c>
      <c r="D11" t="s">
        <v>5</v>
      </c>
      <c r="E11" t="s">
        <v>6</v>
      </c>
    </row>
    <row r="12" spans="1:5" x14ac:dyDescent="0.2">
      <c r="A12" t="s">
        <v>24</v>
      </c>
      <c r="B12" t="s">
        <v>66</v>
      </c>
      <c r="C12">
        <v>2.6200000000000001E-2</v>
      </c>
      <c r="D12" t="s">
        <v>5</v>
      </c>
      <c r="E12" t="s">
        <v>6</v>
      </c>
    </row>
    <row r="13" spans="1:5" x14ac:dyDescent="0.2">
      <c r="A13" t="s">
        <v>25</v>
      </c>
      <c r="B13" t="s">
        <v>66</v>
      </c>
      <c r="C13">
        <v>2.4650000000000005E-2</v>
      </c>
      <c r="D13" t="s">
        <v>5</v>
      </c>
      <c r="E13" t="s">
        <v>6</v>
      </c>
    </row>
    <row r="14" spans="1:5" x14ac:dyDescent="0.2">
      <c r="A14" t="s">
        <v>26</v>
      </c>
      <c r="B14" t="s">
        <v>66</v>
      </c>
      <c r="C14">
        <v>4.4850000000000001E-2</v>
      </c>
      <c r="D14" t="s">
        <v>3</v>
      </c>
      <c r="E14" t="s">
        <v>4</v>
      </c>
    </row>
    <row r="15" spans="1:5" x14ac:dyDescent="0.2">
      <c r="A15" t="s">
        <v>27</v>
      </c>
      <c r="B15" t="s">
        <v>66</v>
      </c>
      <c r="C15">
        <v>2.0999999999999991E-2</v>
      </c>
      <c r="D15" t="s">
        <v>3</v>
      </c>
      <c r="E15" t="s">
        <v>4</v>
      </c>
    </row>
    <row r="16" spans="1:5" x14ac:dyDescent="0.2">
      <c r="A16" t="s">
        <v>28</v>
      </c>
      <c r="B16" t="s">
        <v>66</v>
      </c>
      <c r="C16">
        <v>3.6299999999999999E-2</v>
      </c>
      <c r="D16" t="s">
        <v>3</v>
      </c>
      <c r="E16" t="s">
        <v>4</v>
      </c>
    </row>
    <row r="17" spans="1:5" x14ac:dyDescent="0.2">
      <c r="A17" t="s">
        <v>29</v>
      </c>
      <c r="B17" t="s">
        <v>66</v>
      </c>
      <c r="C17">
        <v>3.3150000000000013E-2</v>
      </c>
      <c r="D17" t="s">
        <v>3</v>
      </c>
      <c r="E17" t="s">
        <v>6</v>
      </c>
    </row>
    <row r="18" spans="1:5" x14ac:dyDescent="0.2">
      <c r="A18" t="s">
        <v>30</v>
      </c>
      <c r="B18" t="s">
        <v>66</v>
      </c>
      <c r="C18">
        <v>3.3350000000000019E-2</v>
      </c>
      <c r="D18" t="s">
        <v>3</v>
      </c>
      <c r="E18" t="s">
        <v>6</v>
      </c>
    </row>
    <row r="19" spans="1:5" x14ac:dyDescent="0.2">
      <c r="A19" t="s">
        <v>31</v>
      </c>
      <c r="B19" t="s">
        <v>66</v>
      </c>
      <c r="C19">
        <v>3.5449999999999982E-2</v>
      </c>
      <c r="D19" t="s">
        <v>3</v>
      </c>
      <c r="E19" t="s">
        <v>6</v>
      </c>
    </row>
    <row r="20" spans="1:5" x14ac:dyDescent="0.2">
      <c r="A20" t="s">
        <v>32</v>
      </c>
      <c r="B20" t="s">
        <v>66</v>
      </c>
      <c r="C20">
        <v>5.4950000000000027E-2</v>
      </c>
      <c r="D20" t="s">
        <v>13</v>
      </c>
      <c r="E20" t="s">
        <v>4</v>
      </c>
    </row>
    <row r="21" spans="1:5" x14ac:dyDescent="0.2">
      <c r="A21" t="s">
        <v>33</v>
      </c>
      <c r="B21" t="s">
        <v>66</v>
      </c>
      <c r="C21">
        <v>2.9150000000000009E-2</v>
      </c>
      <c r="D21" t="s">
        <v>13</v>
      </c>
      <c r="E21" t="s">
        <v>4</v>
      </c>
    </row>
    <row r="22" spans="1:5" x14ac:dyDescent="0.2">
      <c r="A22" t="s">
        <v>34</v>
      </c>
      <c r="B22" t="s">
        <v>66</v>
      </c>
      <c r="C22">
        <v>3.394999999999998E-2</v>
      </c>
      <c r="D22" t="s">
        <v>13</v>
      </c>
      <c r="E22" t="s">
        <v>4</v>
      </c>
    </row>
    <row r="23" spans="1:5" x14ac:dyDescent="0.2">
      <c r="A23" t="s">
        <v>35</v>
      </c>
      <c r="B23" t="s">
        <v>66</v>
      </c>
      <c r="C23">
        <v>3.2850000000000018E-2</v>
      </c>
      <c r="D23" t="s">
        <v>13</v>
      </c>
      <c r="E23" t="s">
        <v>6</v>
      </c>
    </row>
    <row r="24" spans="1:5" x14ac:dyDescent="0.2">
      <c r="A24" t="s">
        <v>36</v>
      </c>
      <c r="B24" t="s">
        <v>66</v>
      </c>
      <c r="C24">
        <v>3.3049999999999996E-2</v>
      </c>
      <c r="D24" t="s">
        <v>13</v>
      </c>
      <c r="E24" t="s">
        <v>6</v>
      </c>
    </row>
    <row r="25" spans="1:5" x14ac:dyDescent="0.2">
      <c r="A25" t="s">
        <v>37</v>
      </c>
      <c r="B25" t="s">
        <v>66</v>
      </c>
      <c r="C25">
        <v>0.15160000000000001</v>
      </c>
      <c r="D25" t="s">
        <v>13</v>
      </c>
      <c r="E25" t="s">
        <v>6</v>
      </c>
    </row>
    <row r="26" spans="1:5" x14ac:dyDescent="0.2">
      <c r="A26" t="s">
        <v>38</v>
      </c>
      <c r="B26" t="s">
        <v>66</v>
      </c>
      <c r="C26">
        <v>1.8100000000000005E-2</v>
      </c>
      <c r="D26" t="s">
        <v>9</v>
      </c>
      <c r="E26" t="s">
        <v>4</v>
      </c>
    </row>
    <row r="27" spans="1:5" x14ac:dyDescent="0.2">
      <c r="A27" t="s">
        <v>39</v>
      </c>
      <c r="B27" t="s">
        <v>66</v>
      </c>
      <c r="C27">
        <v>2.9850000000000015E-2</v>
      </c>
      <c r="D27" t="s">
        <v>9</v>
      </c>
      <c r="E27" t="s">
        <v>4</v>
      </c>
    </row>
    <row r="28" spans="1:5" x14ac:dyDescent="0.2">
      <c r="A28" t="s">
        <v>40</v>
      </c>
      <c r="B28" t="s">
        <v>66</v>
      </c>
      <c r="C28">
        <v>3.0849999999999989E-2</v>
      </c>
      <c r="D28" t="s">
        <v>9</v>
      </c>
      <c r="E28" t="s">
        <v>4</v>
      </c>
    </row>
    <row r="29" spans="1:5" x14ac:dyDescent="0.2">
      <c r="A29" t="s">
        <v>41</v>
      </c>
      <c r="B29" t="s">
        <v>66</v>
      </c>
      <c r="C29">
        <v>4.5950000000000019E-2</v>
      </c>
      <c r="D29" t="s">
        <v>9</v>
      </c>
      <c r="E29" t="s">
        <v>6</v>
      </c>
    </row>
    <row r="30" spans="1:5" x14ac:dyDescent="0.2">
      <c r="A30" t="s">
        <v>42</v>
      </c>
      <c r="B30" t="s">
        <v>66</v>
      </c>
      <c r="C30">
        <v>3.9250000000000007E-2</v>
      </c>
      <c r="D30" t="s">
        <v>9</v>
      </c>
      <c r="E30" t="s">
        <v>6</v>
      </c>
    </row>
    <row r="31" spans="1:5" x14ac:dyDescent="0.2">
      <c r="A31" t="s">
        <v>43</v>
      </c>
      <c r="B31" t="s">
        <v>66</v>
      </c>
      <c r="C31">
        <v>3.705E-2</v>
      </c>
      <c r="D31" t="s">
        <v>9</v>
      </c>
      <c r="E31" t="s">
        <v>6</v>
      </c>
    </row>
    <row r="32" spans="1:5" x14ac:dyDescent="0.2">
      <c r="A32" t="s">
        <v>14</v>
      </c>
      <c r="B32" t="s">
        <v>67</v>
      </c>
      <c r="C32">
        <v>2.1699999999999997E-2</v>
      </c>
      <c r="D32" t="s">
        <v>48</v>
      </c>
      <c r="E32" t="s">
        <v>4</v>
      </c>
    </row>
    <row r="33" spans="1:5" x14ac:dyDescent="0.2">
      <c r="A33" t="s">
        <v>15</v>
      </c>
      <c r="B33" t="s">
        <v>67</v>
      </c>
      <c r="C33">
        <v>1.21E-2</v>
      </c>
      <c r="D33" t="s">
        <v>48</v>
      </c>
      <c r="E33" t="s">
        <v>4</v>
      </c>
    </row>
    <row r="34" spans="1:5" x14ac:dyDescent="0.2">
      <c r="A34" t="s">
        <v>16</v>
      </c>
      <c r="B34" t="s">
        <v>67</v>
      </c>
      <c r="C34">
        <v>2.8749999999999998E-2</v>
      </c>
      <c r="D34" t="s">
        <v>48</v>
      </c>
      <c r="E34" t="s">
        <v>4</v>
      </c>
    </row>
    <row r="35" spans="1:5" x14ac:dyDescent="0.2">
      <c r="A35" t="s">
        <v>17</v>
      </c>
      <c r="B35" t="s">
        <v>67</v>
      </c>
      <c r="C35">
        <v>3.2450000000000007E-2</v>
      </c>
      <c r="D35" t="s">
        <v>48</v>
      </c>
      <c r="E35" t="s">
        <v>6</v>
      </c>
    </row>
    <row r="36" spans="1:5" x14ac:dyDescent="0.2">
      <c r="A36" t="s">
        <v>18</v>
      </c>
      <c r="B36" t="s">
        <v>67</v>
      </c>
      <c r="C36">
        <v>2.2900000000000004E-2</v>
      </c>
      <c r="D36" t="s">
        <v>48</v>
      </c>
      <c r="E36" t="s">
        <v>6</v>
      </c>
    </row>
    <row r="37" spans="1:5" x14ac:dyDescent="0.2">
      <c r="A37" t="s">
        <v>19</v>
      </c>
      <c r="B37" t="s">
        <v>67</v>
      </c>
      <c r="C37">
        <v>1.9149999999999986E-2</v>
      </c>
      <c r="D37" t="s">
        <v>48</v>
      </c>
      <c r="E37" t="s">
        <v>6</v>
      </c>
    </row>
    <row r="38" spans="1:5" x14ac:dyDescent="0.2">
      <c r="A38" t="s">
        <v>20</v>
      </c>
      <c r="B38" t="s">
        <v>67</v>
      </c>
      <c r="C38">
        <v>1.5499999999999958E-3</v>
      </c>
      <c r="D38" t="s">
        <v>5</v>
      </c>
      <c r="E38" t="s">
        <v>4</v>
      </c>
    </row>
    <row r="39" spans="1:5" x14ac:dyDescent="0.2">
      <c r="A39" t="s">
        <v>21</v>
      </c>
      <c r="B39" t="s">
        <v>67</v>
      </c>
      <c r="C39">
        <v>3.78E-2</v>
      </c>
      <c r="D39" t="s">
        <v>5</v>
      </c>
      <c r="E39" t="s">
        <v>4</v>
      </c>
    </row>
    <row r="40" spans="1:5" x14ac:dyDescent="0.2">
      <c r="A40" t="s">
        <v>22</v>
      </c>
      <c r="B40" t="s">
        <v>67</v>
      </c>
      <c r="C40">
        <v>2.3049999999999987E-2</v>
      </c>
      <c r="D40" t="s">
        <v>5</v>
      </c>
      <c r="E40" t="s">
        <v>4</v>
      </c>
    </row>
    <row r="41" spans="1:5" x14ac:dyDescent="0.2">
      <c r="A41" t="s">
        <v>23</v>
      </c>
      <c r="B41" t="s">
        <v>67</v>
      </c>
      <c r="C41">
        <v>2.7499999999999747E-3</v>
      </c>
      <c r="D41" t="s">
        <v>5</v>
      </c>
      <c r="E41" t="s">
        <v>6</v>
      </c>
    </row>
    <row r="42" spans="1:5" x14ac:dyDescent="0.2">
      <c r="A42" t="s">
        <v>24</v>
      </c>
      <c r="B42" t="s">
        <v>67</v>
      </c>
      <c r="C42">
        <v>7.9999999999999516E-4</v>
      </c>
      <c r="D42" t="s">
        <v>5</v>
      </c>
      <c r="E42" t="s">
        <v>6</v>
      </c>
    </row>
    <row r="43" spans="1:5" x14ac:dyDescent="0.2">
      <c r="A43" t="s">
        <v>25</v>
      </c>
      <c r="B43" t="s">
        <v>67</v>
      </c>
      <c r="C43">
        <v>0.11780000000000002</v>
      </c>
      <c r="D43" t="s">
        <v>5</v>
      </c>
      <c r="E43" t="s">
        <v>6</v>
      </c>
    </row>
    <row r="44" spans="1:5" x14ac:dyDescent="0.2">
      <c r="A44" t="s">
        <v>26</v>
      </c>
      <c r="B44" t="s">
        <v>67</v>
      </c>
      <c r="C44">
        <v>0.13690000000000002</v>
      </c>
      <c r="D44" t="s">
        <v>3</v>
      </c>
      <c r="E44" t="s">
        <v>4</v>
      </c>
    </row>
    <row r="45" spans="1:5" x14ac:dyDescent="0.2">
      <c r="A45" t="s">
        <v>27</v>
      </c>
      <c r="B45" t="s">
        <v>67</v>
      </c>
      <c r="C45">
        <v>-5.1000000000000212E-3</v>
      </c>
      <c r="D45" t="s">
        <v>3</v>
      </c>
      <c r="E45" t="s">
        <v>4</v>
      </c>
    </row>
    <row r="46" spans="1:5" x14ac:dyDescent="0.2">
      <c r="A46" t="s">
        <v>28</v>
      </c>
      <c r="B46" t="s">
        <v>67</v>
      </c>
      <c r="C46">
        <v>3.5699999999999982E-2</v>
      </c>
      <c r="D46" t="s">
        <v>3</v>
      </c>
      <c r="E46" t="s">
        <v>4</v>
      </c>
    </row>
    <row r="47" spans="1:5" x14ac:dyDescent="0.2">
      <c r="A47" t="s">
        <v>29</v>
      </c>
      <c r="B47" t="s">
        <v>67</v>
      </c>
      <c r="C47">
        <v>-1.0999999999999899E-3</v>
      </c>
      <c r="D47" t="s">
        <v>3</v>
      </c>
      <c r="E47" t="s">
        <v>6</v>
      </c>
    </row>
    <row r="48" spans="1:5" x14ac:dyDescent="0.2">
      <c r="A48" t="s">
        <v>30</v>
      </c>
      <c r="B48" t="s">
        <v>67</v>
      </c>
      <c r="C48">
        <v>1.419999999999999E-2</v>
      </c>
      <c r="D48" t="s">
        <v>3</v>
      </c>
      <c r="E48" t="s">
        <v>6</v>
      </c>
    </row>
    <row r="49" spans="1:5" x14ac:dyDescent="0.2">
      <c r="A49" t="s">
        <v>31</v>
      </c>
      <c r="B49" t="s">
        <v>67</v>
      </c>
      <c r="C49">
        <v>2.6700000000000002E-2</v>
      </c>
      <c r="D49" t="s">
        <v>3</v>
      </c>
      <c r="E49" t="s">
        <v>6</v>
      </c>
    </row>
    <row r="50" spans="1:5" x14ac:dyDescent="0.2">
      <c r="A50" t="s">
        <v>32</v>
      </c>
      <c r="B50" t="s">
        <v>67</v>
      </c>
      <c r="C50">
        <v>4.9750000000000016E-2</v>
      </c>
      <c r="D50" t="s">
        <v>13</v>
      </c>
      <c r="E50" t="s">
        <v>4</v>
      </c>
    </row>
    <row r="51" spans="1:5" x14ac:dyDescent="0.2">
      <c r="A51" t="s">
        <v>33</v>
      </c>
      <c r="B51" t="s">
        <v>67</v>
      </c>
      <c r="C51">
        <v>2.1499999999999991E-2</v>
      </c>
      <c r="D51" t="s">
        <v>13</v>
      </c>
      <c r="E51" t="s">
        <v>4</v>
      </c>
    </row>
    <row r="52" spans="1:5" x14ac:dyDescent="0.2">
      <c r="A52" t="s">
        <v>34</v>
      </c>
      <c r="B52" t="s">
        <v>67</v>
      </c>
      <c r="C52">
        <v>1.3599999999999973E-2</v>
      </c>
      <c r="D52" t="s">
        <v>13</v>
      </c>
      <c r="E52" t="s">
        <v>4</v>
      </c>
    </row>
    <row r="53" spans="1:5" x14ac:dyDescent="0.2">
      <c r="A53" t="s">
        <v>35</v>
      </c>
      <c r="B53" t="s">
        <v>67</v>
      </c>
      <c r="C53">
        <v>6.7850000000000021E-2</v>
      </c>
      <c r="D53" t="s">
        <v>13</v>
      </c>
      <c r="E53" t="s">
        <v>6</v>
      </c>
    </row>
    <row r="54" spans="1:5" x14ac:dyDescent="0.2">
      <c r="A54" t="s">
        <v>36</v>
      </c>
      <c r="B54" t="s">
        <v>67</v>
      </c>
      <c r="C54">
        <v>4.8600000000000004E-2</v>
      </c>
      <c r="D54" t="s">
        <v>13</v>
      </c>
      <c r="E54" t="s">
        <v>6</v>
      </c>
    </row>
    <row r="55" spans="1:5" x14ac:dyDescent="0.2">
      <c r="A55" t="s">
        <v>37</v>
      </c>
      <c r="B55" t="s">
        <v>67</v>
      </c>
      <c r="C55">
        <v>0.18549999999999997</v>
      </c>
      <c r="D55" t="s">
        <v>13</v>
      </c>
      <c r="E55" t="s">
        <v>6</v>
      </c>
    </row>
    <row r="56" spans="1:5" x14ac:dyDescent="0.2">
      <c r="A56" t="s">
        <v>38</v>
      </c>
      <c r="B56" t="s">
        <v>67</v>
      </c>
      <c r="C56">
        <v>8.8150000000000006E-2</v>
      </c>
      <c r="D56" t="s">
        <v>9</v>
      </c>
      <c r="E56" t="s">
        <v>4</v>
      </c>
    </row>
    <row r="57" spans="1:5" x14ac:dyDescent="0.2">
      <c r="A57" t="s">
        <v>39</v>
      </c>
      <c r="B57" t="s">
        <v>67</v>
      </c>
      <c r="C57">
        <v>-1.1599999999999971E-2</v>
      </c>
      <c r="D57" t="s">
        <v>9</v>
      </c>
      <c r="E57" t="s">
        <v>4</v>
      </c>
    </row>
    <row r="58" spans="1:5" x14ac:dyDescent="0.2">
      <c r="A58" t="s">
        <v>40</v>
      </c>
      <c r="B58" t="s">
        <v>67</v>
      </c>
      <c r="C58">
        <v>-2.0699999999999996E-2</v>
      </c>
      <c r="D58" t="s">
        <v>9</v>
      </c>
      <c r="E58" t="s">
        <v>4</v>
      </c>
    </row>
    <row r="59" spans="1:5" x14ac:dyDescent="0.2">
      <c r="A59" t="s">
        <v>41</v>
      </c>
      <c r="B59" t="s">
        <v>67</v>
      </c>
      <c r="C59">
        <v>4.6199999999999991E-2</v>
      </c>
      <c r="D59" t="s">
        <v>9</v>
      </c>
      <c r="E59" t="s">
        <v>6</v>
      </c>
    </row>
    <row r="60" spans="1:5" x14ac:dyDescent="0.2">
      <c r="A60" t="s">
        <v>42</v>
      </c>
      <c r="B60" t="s">
        <v>67</v>
      </c>
      <c r="C60">
        <v>6.9950000000000012E-2</v>
      </c>
      <c r="D60" t="s">
        <v>9</v>
      </c>
      <c r="E60" t="s">
        <v>6</v>
      </c>
    </row>
    <row r="61" spans="1:5" x14ac:dyDescent="0.2">
      <c r="A61" t="s">
        <v>43</v>
      </c>
      <c r="B61" t="s">
        <v>67</v>
      </c>
      <c r="C61">
        <v>0.14610000000000001</v>
      </c>
      <c r="D61" t="s">
        <v>9</v>
      </c>
      <c r="E61" t="s">
        <v>6</v>
      </c>
    </row>
    <row r="62" spans="1:5" x14ac:dyDescent="0.2">
      <c r="A62" t="s">
        <v>63</v>
      </c>
      <c r="B62" t="s">
        <v>56</v>
      </c>
      <c r="C62">
        <v>0.17095000000000002</v>
      </c>
      <c r="D62" t="s">
        <v>48</v>
      </c>
      <c r="E62" t="s">
        <v>4</v>
      </c>
    </row>
    <row r="63" spans="1:5" x14ac:dyDescent="0.2">
      <c r="A63" t="s">
        <v>15</v>
      </c>
      <c r="B63" t="s">
        <v>56</v>
      </c>
      <c r="C63">
        <v>0.14485000000000003</v>
      </c>
      <c r="D63" t="s">
        <v>48</v>
      </c>
      <c r="E63" t="s">
        <v>4</v>
      </c>
    </row>
    <row r="64" spans="1:5" x14ac:dyDescent="0.2">
      <c r="A64" t="s">
        <v>16</v>
      </c>
      <c r="B64" t="s">
        <v>56</v>
      </c>
      <c r="C64">
        <v>7.6799999999999979E-2</v>
      </c>
      <c r="D64" t="s">
        <v>48</v>
      </c>
      <c r="E64" t="s">
        <v>4</v>
      </c>
    </row>
    <row r="65" spans="1:5" x14ac:dyDescent="0.2">
      <c r="A65" t="s">
        <v>17</v>
      </c>
      <c r="B65" t="s">
        <v>56</v>
      </c>
      <c r="C65">
        <v>6.695000000000001E-2</v>
      </c>
      <c r="D65" t="s">
        <v>48</v>
      </c>
      <c r="E65" t="s">
        <v>6</v>
      </c>
    </row>
    <row r="66" spans="1:5" x14ac:dyDescent="0.2">
      <c r="A66" t="s">
        <v>18</v>
      </c>
      <c r="B66" t="s">
        <v>56</v>
      </c>
      <c r="C66">
        <v>4.8899999999999999E-2</v>
      </c>
      <c r="D66" t="s">
        <v>48</v>
      </c>
      <c r="E66" t="s">
        <v>6</v>
      </c>
    </row>
    <row r="67" spans="1:5" x14ac:dyDescent="0.2">
      <c r="A67" t="s">
        <v>19</v>
      </c>
      <c r="B67" t="s">
        <v>56</v>
      </c>
      <c r="C67">
        <v>0.22915000000000002</v>
      </c>
      <c r="D67" t="s">
        <v>48</v>
      </c>
      <c r="E67" t="s">
        <v>6</v>
      </c>
    </row>
    <row r="68" spans="1:5" x14ac:dyDescent="0.2">
      <c r="A68" t="s">
        <v>20</v>
      </c>
      <c r="B68" t="s">
        <v>56</v>
      </c>
      <c r="C68">
        <v>2.8899999999999981E-2</v>
      </c>
      <c r="D68" t="s">
        <v>5</v>
      </c>
      <c r="E68" t="s">
        <v>4</v>
      </c>
    </row>
    <row r="69" spans="1:5" x14ac:dyDescent="0.2">
      <c r="A69" t="s">
        <v>21</v>
      </c>
      <c r="B69" t="s">
        <v>56</v>
      </c>
      <c r="C69">
        <v>2.7850000000000014E-2</v>
      </c>
      <c r="D69" t="s">
        <v>5</v>
      </c>
      <c r="E69" t="s">
        <v>4</v>
      </c>
    </row>
    <row r="70" spans="1:5" x14ac:dyDescent="0.2">
      <c r="A70" t="s">
        <v>22</v>
      </c>
      <c r="B70" t="s">
        <v>56</v>
      </c>
      <c r="C70">
        <v>1.3200000000000017E-2</v>
      </c>
      <c r="D70" t="s">
        <v>5</v>
      </c>
      <c r="E70" t="s">
        <v>4</v>
      </c>
    </row>
    <row r="71" spans="1:5" x14ac:dyDescent="0.2">
      <c r="A71" t="s">
        <v>23</v>
      </c>
      <c r="B71" t="s">
        <v>56</v>
      </c>
      <c r="C71">
        <v>3.3550000000000024E-2</v>
      </c>
      <c r="D71" t="s">
        <v>5</v>
      </c>
      <c r="E71" t="s">
        <v>6</v>
      </c>
    </row>
    <row r="72" spans="1:5" x14ac:dyDescent="0.2">
      <c r="A72" t="s">
        <v>24</v>
      </c>
      <c r="B72" t="s">
        <v>56</v>
      </c>
      <c r="C72">
        <v>3.1200000000000006E-2</v>
      </c>
      <c r="D72" t="s">
        <v>5</v>
      </c>
      <c r="E72" t="s">
        <v>6</v>
      </c>
    </row>
    <row r="73" spans="1:5" x14ac:dyDescent="0.2">
      <c r="A73" t="s">
        <v>25</v>
      </c>
      <c r="B73" t="s">
        <v>56</v>
      </c>
      <c r="C73">
        <v>8.5500000000000298E-3</v>
      </c>
      <c r="D73" t="s">
        <v>5</v>
      </c>
      <c r="E73" t="s">
        <v>6</v>
      </c>
    </row>
    <row r="74" spans="1:5" x14ac:dyDescent="0.2">
      <c r="A74" t="s">
        <v>26</v>
      </c>
      <c r="B74" t="s">
        <v>56</v>
      </c>
      <c r="C74">
        <v>8.6099999999999982E-2</v>
      </c>
      <c r="D74" t="s">
        <v>3</v>
      </c>
      <c r="E74" t="s">
        <v>4</v>
      </c>
    </row>
    <row r="75" spans="1:5" x14ac:dyDescent="0.2">
      <c r="A75" t="s">
        <v>27</v>
      </c>
      <c r="B75" t="s">
        <v>56</v>
      </c>
      <c r="C75">
        <v>0.10905000000000004</v>
      </c>
      <c r="D75" t="s">
        <v>3</v>
      </c>
      <c r="E75" t="s">
        <v>4</v>
      </c>
    </row>
    <row r="76" spans="1:5" x14ac:dyDescent="0.2">
      <c r="A76" t="s">
        <v>28</v>
      </c>
      <c r="B76" t="s">
        <v>56</v>
      </c>
      <c r="C76">
        <v>0.11115</v>
      </c>
      <c r="D76" t="s">
        <v>3</v>
      </c>
      <c r="E76" t="s">
        <v>4</v>
      </c>
    </row>
    <row r="77" spans="1:5" x14ac:dyDescent="0.2">
      <c r="A77" t="s">
        <v>29</v>
      </c>
      <c r="B77" t="s">
        <v>56</v>
      </c>
      <c r="C77">
        <v>0.11750000000000002</v>
      </c>
      <c r="D77" t="s">
        <v>3</v>
      </c>
      <c r="E77" t="s">
        <v>6</v>
      </c>
    </row>
    <row r="78" spans="1:5" x14ac:dyDescent="0.2">
      <c r="A78" t="s">
        <v>30</v>
      </c>
      <c r="B78" t="s">
        <v>56</v>
      </c>
      <c r="C78">
        <v>0.10239999999999999</v>
      </c>
      <c r="D78" t="s">
        <v>3</v>
      </c>
      <c r="E78" t="s">
        <v>6</v>
      </c>
    </row>
    <row r="79" spans="1:5" x14ac:dyDescent="0.2">
      <c r="A79" t="s">
        <v>31</v>
      </c>
      <c r="B79" t="s">
        <v>56</v>
      </c>
      <c r="C79">
        <v>8.0749999999999988E-2</v>
      </c>
      <c r="D79" t="s">
        <v>3</v>
      </c>
      <c r="E79" t="s">
        <v>6</v>
      </c>
    </row>
    <row r="80" spans="1:5" x14ac:dyDescent="0.2">
      <c r="A80" t="s">
        <v>32</v>
      </c>
      <c r="B80" t="s">
        <v>56</v>
      </c>
      <c r="C80">
        <v>7.2099999999999997E-2</v>
      </c>
      <c r="D80" t="s">
        <v>13</v>
      </c>
      <c r="E80" t="s">
        <v>4</v>
      </c>
    </row>
    <row r="81" spans="1:5" x14ac:dyDescent="0.2">
      <c r="A81" t="s">
        <v>33</v>
      </c>
      <c r="B81" t="s">
        <v>56</v>
      </c>
      <c r="C81">
        <v>0.14700000000000002</v>
      </c>
      <c r="D81" t="s">
        <v>13</v>
      </c>
      <c r="E81" t="s">
        <v>4</v>
      </c>
    </row>
    <row r="82" spans="1:5" x14ac:dyDescent="0.2">
      <c r="A82" t="s">
        <v>34</v>
      </c>
      <c r="B82" t="s">
        <v>56</v>
      </c>
      <c r="C82">
        <v>0.11595</v>
      </c>
      <c r="D82" t="s">
        <v>13</v>
      </c>
      <c r="E82" t="s">
        <v>4</v>
      </c>
    </row>
    <row r="83" spans="1:5" x14ac:dyDescent="0.2">
      <c r="A83" t="s">
        <v>35</v>
      </c>
      <c r="B83" t="s">
        <v>56</v>
      </c>
      <c r="C83">
        <v>0.15720000000000001</v>
      </c>
      <c r="D83" t="s">
        <v>13</v>
      </c>
      <c r="E83" t="s">
        <v>6</v>
      </c>
    </row>
    <row r="84" spans="1:5" x14ac:dyDescent="0.2">
      <c r="A84" t="s">
        <v>36</v>
      </c>
      <c r="B84" t="s">
        <v>56</v>
      </c>
      <c r="C84">
        <v>0.14554999999999998</v>
      </c>
      <c r="D84" t="s">
        <v>13</v>
      </c>
      <c r="E84" t="s">
        <v>6</v>
      </c>
    </row>
    <row r="85" spans="1:5" x14ac:dyDescent="0.2">
      <c r="A85" t="s">
        <v>37</v>
      </c>
      <c r="B85" t="s">
        <v>56</v>
      </c>
      <c r="C85">
        <v>0.19324999999999998</v>
      </c>
      <c r="D85" t="s">
        <v>13</v>
      </c>
      <c r="E85" t="s">
        <v>6</v>
      </c>
    </row>
    <row r="86" spans="1:5" x14ac:dyDescent="0.2">
      <c r="A86" t="s">
        <v>38</v>
      </c>
      <c r="B86" t="s">
        <v>56</v>
      </c>
      <c r="C86">
        <v>8.3249999999999991E-2</v>
      </c>
      <c r="D86" t="s">
        <v>9</v>
      </c>
      <c r="E86" t="s">
        <v>4</v>
      </c>
    </row>
    <row r="87" spans="1:5" x14ac:dyDescent="0.2">
      <c r="A87" t="s">
        <v>39</v>
      </c>
      <c r="B87" t="s">
        <v>56</v>
      </c>
      <c r="C87">
        <v>4.99E-2</v>
      </c>
      <c r="D87" t="s">
        <v>9</v>
      </c>
      <c r="E87" t="s">
        <v>4</v>
      </c>
    </row>
    <row r="88" spans="1:5" x14ac:dyDescent="0.2">
      <c r="A88" t="s">
        <v>40</v>
      </c>
      <c r="B88" t="s">
        <v>56</v>
      </c>
      <c r="C88">
        <v>0.10639999999999999</v>
      </c>
      <c r="D88" t="s">
        <v>9</v>
      </c>
      <c r="E88" t="s">
        <v>4</v>
      </c>
    </row>
    <row r="89" spans="1:5" x14ac:dyDescent="0.2">
      <c r="A89" t="s">
        <v>41</v>
      </c>
      <c r="B89" t="s">
        <v>56</v>
      </c>
      <c r="C89">
        <v>8.3750000000000019E-2</v>
      </c>
      <c r="D89" t="s">
        <v>9</v>
      </c>
      <c r="E89" t="s">
        <v>6</v>
      </c>
    </row>
    <row r="90" spans="1:5" x14ac:dyDescent="0.2">
      <c r="A90" t="s">
        <v>42</v>
      </c>
      <c r="B90" t="s">
        <v>56</v>
      </c>
      <c r="C90">
        <v>6.2050000000000022E-2</v>
      </c>
      <c r="D90" t="s">
        <v>9</v>
      </c>
      <c r="E90" t="s">
        <v>6</v>
      </c>
    </row>
    <row r="91" spans="1:5" x14ac:dyDescent="0.2">
      <c r="A91" t="s">
        <v>43</v>
      </c>
      <c r="B91" t="s">
        <v>56</v>
      </c>
      <c r="C91">
        <v>6.5300000000000025E-2</v>
      </c>
      <c r="D91" t="s">
        <v>9</v>
      </c>
      <c r="E91" t="s">
        <v>6</v>
      </c>
    </row>
    <row r="92" spans="1:5" x14ac:dyDescent="0.2">
      <c r="A92" t="s">
        <v>58</v>
      </c>
      <c r="B92" t="s">
        <v>68</v>
      </c>
      <c r="C92">
        <v>2.6049999999999962E-2</v>
      </c>
      <c r="D92" t="s">
        <v>48</v>
      </c>
      <c r="E92" t="s">
        <v>4</v>
      </c>
    </row>
    <row r="93" spans="1:5" x14ac:dyDescent="0.2">
      <c r="A93" t="s">
        <v>15</v>
      </c>
      <c r="B93" t="s">
        <v>68</v>
      </c>
      <c r="C93">
        <v>1.8600000000000019E-2</v>
      </c>
      <c r="D93" t="s">
        <v>48</v>
      </c>
      <c r="E93" t="s">
        <v>4</v>
      </c>
    </row>
    <row r="94" spans="1:5" x14ac:dyDescent="0.2">
      <c r="A94" t="s">
        <v>16</v>
      </c>
      <c r="B94" t="s">
        <v>68</v>
      </c>
      <c r="C94">
        <v>2.0700000000000024E-2</v>
      </c>
      <c r="D94" t="s">
        <v>48</v>
      </c>
      <c r="E94" t="s">
        <v>4</v>
      </c>
    </row>
    <row r="95" spans="1:5" x14ac:dyDescent="0.2">
      <c r="A95" t="s">
        <v>17</v>
      </c>
      <c r="B95" t="s">
        <v>68</v>
      </c>
      <c r="C95">
        <v>2.6200000000000015E-2</v>
      </c>
      <c r="D95" t="s">
        <v>48</v>
      </c>
      <c r="E95" t="s">
        <v>6</v>
      </c>
    </row>
    <row r="96" spans="1:5" x14ac:dyDescent="0.2">
      <c r="A96" t="s">
        <v>18</v>
      </c>
      <c r="B96" t="s">
        <v>68</v>
      </c>
      <c r="C96">
        <v>1.5100000000000002E-2</v>
      </c>
      <c r="D96" t="s">
        <v>48</v>
      </c>
      <c r="E96" t="s">
        <v>6</v>
      </c>
    </row>
    <row r="97" spans="1:5" x14ac:dyDescent="0.2">
      <c r="A97" t="s">
        <v>19</v>
      </c>
      <c r="B97" t="s">
        <v>68</v>
      </c>
      <c r="C97">
        <v>4.3099999999999999E-2</v>
      </c>
      <c r="D97" t="s">
        <v>48</v>
      </c>
      <c r="E97" t="s">
        <v>6</v>
      </c>
    </row>
    <row r="98" spans="1:5" x14ac:dyDescent="0.2">
      <c r="A98" t="s">
        <v>20</v>
      </c>
      <c r="B98" t="s">
        <v>68</v>
      </c>
      <c r="C98">
        <v>1.3299999999999979E-2</v>
      </c>
      <c r="D98" t="s">
        <v>5</v>
      </c>
      <c r="E98" t="s">
        <v>4</v>
      </c>
    </row>
    <row r="99" spans="1:5" x14ac:dyDescent="0.2">
      <c r="A99" t="s">
        <v>21</v>
      </c>
      <c r="B99" t="s">
        <v>68</v>
      </c>
      <c r="C99">
        <v>3.8499999999999979E-2</v>
      </c>
      <c r="D99" t="s">
        <v>5</v>
      </c>
      <c r="E99" t="s">
        <v>4</v>
      </c>
    </row>
    <row r="100" spans="1:5" x14ac:dyDescent="0.2">
      <c r="A100" t="s">
        <v>22</v>
      </c>
      <c r="B100" t="s">
        <v>68</v>
      </c>
      <c r="C100">
        <v>4.519999999999999E-2</v>
      </c>
      <c r="D100" t="s">
        <v>5</v>
      </c>
      <c r="E100" t="s">
        <v>4</v>
      </c>
    </row>
    <row r="101" spans="1:5" x14ac:dyDescent="0.2">
      <c r="A101" t="s">
        <v>23</v>
      </c>
      <c r="B101" t="s">
        <v>68</v>
      </c>
      <c r="C101">
        <v>3.9800000000000002E-2</v>
      </c>
      <c r="D101" t="s">
        <v>5</v>
      </c>
      <c r="E101" t="s">
        <v>6</v>
      </c>
    </row>
    <row r="102" spans="1:5" x14ac:dyDescent="0.2">
      <c r="A102" t="s">
        <v>24</v>
      </c>
      <c r="B102" t="s">
        <v>68</v>
      </c>
      <c r="C102">
        <v>3.8150000000000017E-2</v>
      </c>
      <c r="D102" t="s">
        <v>5</v>
      </c>
      <c r="E102" t="s">
        <v>6</v>
      </c>
    </row>
    <row r="103" spans="1:5" x14ac:dyDescent="0.2">
      <c r="A103" t="s">
        <v>25</v>
      </c>
      <c r="B103" t="s">
        <v>68</v>
      </c>
      <c r="C103">
        <v>4.2650000000000021E-2</v>
      </c>
      <c r="D103" t="s">
        <v>5</v>
      </c>
      <c r="E103" t="s">
        <v>6</v>
      </c>
    </row>
    <row r="104" spans="1:5" x14ac:dyDescent="0.2">
      <c r="A104" t="s">
        <v>26</v>
      </c>
      <c r="B104" t="s">
        <v>68</v>
      </c>
      <c r="C104">
        <v>1.2199999999999989E-2</v>
      </c>
      <c r="D104" t="s">
        <v>3</v>
      </c>
      <c r="E104" t="s">
        <v>4</v>
      </c>
    </row>
    <row r="105" spans="1:5" x14ac:dyDescent="0.2">
      <c r="A105" t="s">
        <v>27</v>
      </c>
      <c r="B105" t="s">
        <v>68</v>
      </c>
      <c r="C105">
        <v>-3.6499999999999866E-3</v>
      </c>
      <c r="D105" t="s">
        <v>3</v>
      </c>
      <c r="E105" t="s">
        <v>4</v>
      </c>
    </row>
    <row r="106" spans="1:5" x14ac:dyDescent="0.2">
      <c r="A106" t="s">
        <v>28</v>
      </c>
      <c r="B106" t="s">
        <v>68</v>
      </c>
      <c r="C106">
        <v>2.4000000000000132E-3</v>
      </c>
      <c r="D106" t="s">
        <v>3</v>
      </c>
      <c r="E106" t="s">
        <v>4</v>
      </c>
    </row>
    <row r="107" spans="1:5" x14ac:dyDescent="0.2">
      <c r="A107" t="s">
        <v>29</v>
      </c>
      <c r="B107" t="s">
        <v>68</v>
      </c>
      <c r="C107">
        <v>-6.650000000000017E-3</v>
      </c>
      <c r="D107" t="s">
        <v>3</v>
      </c>
      <c r="E107" t="s">
        <v>6</v>
      </c>
    </row>
    <row r="108" spans="1:5" x14ac:dyDescent="0.2">
      <c r="A108" t="s">
        <v>30</v>
      </c>
      <c r="B108" t="s">
        <v>68</v>
      </c>
      <c r="C108">
        <v>8.9999999999995639E-4</v>
      </c>
      <c r="D108" t="s">
        <v>3</v>
      </c>
      <c r="E108" t="s">
        <v>6</v>
      </c>
    </row>
    <row r="109" spans="1:5" x14ac:dyDescent="0.2">
      <c r="A109" t="s">
        <v>31</v>
      </c>
      <c r="B109" t="s">
        <v>68</v>
      </c>
      <c r="C109">
        <v>1.4750000000000013E-2</v>
      </c>
      <c r="D109" t="s">
        <v>3</v>
      </c>
      <c r="E109" t="s">
        <v>6</v>
      </c>
    </row>
    <row r="110" spans="1:5" x14ac:dyDescent="0.2">
      <c r="A110" t="s">
        <v>32</v>
      </c>
      <c r="B110" t="s">
        <v>68</v>
      </c>
      <c r="C110">
        <v>4.2699999999999988E-2</v>
      </c>
      <c r="D110" t="s">
        <v>13</v>
      </c>
      <c r="E110" t="s">
        <v>4</v>
      </c>
    </row>
    <row r="111" spans="1:5" x14ac:dyDescent="0.2">
      <c r="A111" t="s">
        <v>33</v>
      </c>
      <c r="B111" t="s">
        <v>68</v>
      </c>
      <c r="C111">
        <v>1.7749999999999988E-2</v>
      </c>
      <c r="D111" t="s">
        <v>13</v>
      </c>
      <c r="E111" t="s">
        <v>4</v>
      </c>
    </row>
    <row r="112" spans="1:5" x14ac:dyDescent="0.2">
      <c r="A112" t="s">
        <v>34</v>
      </c>
      <c r="B112" t="s">
        <v>68</v>
      </c>
      <c r="C112">
        <v>5.045000000000005E-2</v>
      </c>
      <c r="D112" t="s">
        <v>13</v>
      </c>
      <c r="E112" t="s">
        <v>4</v>
      </c>
    </row>
    <row r="113" spans="1:5" x14ac:dyDescent="0.2">
      <c r="A113" t="s">
        <v>35</v>
      </c>
      <c r="B113" t="s">
        <v>68</v>
      </c>
      <c r="C113">
        <v>4.3499999999999983E-2</v>
      </c>
      <c r="D113" t="s">
        <v>13</v>
      </c>
      <c r="E113" t="s">
        <v>6</v>
      </c>
    </row>
    <row r="114" spans="1:5" x14ac:dyDescent="0.2">
      <c r="A114" t="s">
        <v>36</v>
      </c>
      <c r="B114" t="s">
        <v>68</v>
      </c>
      <c r="C114">
        <v>5.4750000000000021E-2</v>
      </c>
      <c r="D114" t="s">
        <v>13</v>
      </c>
      <c r="E114" t="s">
        <v>6</v>
      </c>
    </row>
    <row r="115" spans="1:5" x14ac:dyDescent="0.2">
      <c r="A115" t="s">
        <v>37</v>
      </c>
      <c r="B115" t="s">
        <v>68</v>
      </c>
      <c r="C115">
        <v>5.2500000000000019E-2</v>
      </c>
      <c r="D115" t="s">
        <v>13</v>
      </c>
      <c r="E115" t="s">
        <v>6</v>
      </c>
    </row>
    <row r="116" spans="1:5" x14ac:dyDescent="0.2">
      <c r="A116" t="s">
        <v>38</v>
      </c>
      <c r="B116" t="s">
        <v>68</v>
      </c>
      <c r="C116">
        <v>-1.0000000000000009E-3</v>
      </c>
      <c r="D116" t="s">
        <v>9</v>
      </c>
      <c r="E116" t="s">
        <v>4</v>
      </c>
    </row>
    <row r="117" spans="1:5" x14ac:dyDescent="0.2">
      <c r="A117" t="s">
        <v>39</v>
      </c>
      <c r="B117" t="s">
        <v>68</v>
      </c>
      <c r="C117">
        <v>-1.015000000000002E-2</v>
      </c>
      <c r="D117" t="s">
        <v>9</v>
      </c>
      <c r="E117" t="s">
        <v>4</v>
      </c>
    </row>
    <row r="118" spans="1:5" x14ac:dyDescent="0.2">
      <c r="A118" t="s">
        <v>40</v>
      </c>
      <c r="B118" t="s">
        <v>68</v>
      </c>
      <c r="C118">
        <v>2.0000000000000018E-3</v>
      </c>
      <c r="D118" t="s">
        <v>9</v>
      </c>
      <c r="E118" t="s">
        <v>4</v>
      </c>
    </row>
    <row r="119" spans="1:5" x14ac:dyDescent="0.2">
      <c r="A119" t="s">
        <v>41</v>
      </c>
      <c r="B119" t="s">
        <v>68</v>
      </c>
      <c r="C119">
        <v>-2.1850000000000008E-2</v>
      </c>
      <c r="D119" t="s">
        <v>9</v>
      </c>
      <c r="E119" t="s">
        <v>6</v>
      </c>
    </row>
    <row r="120" spans="1:5" x14ac:dyDescent="0.2">
      <c r="A120" t="s">
        <v>42</v>
      </c>
      <c r="B120" t="s">
        <v>68</v>
      </c>
      <c r="C120">
        <v>-2.0400000000000001E-2</v>
      </c>
      <c r="D120" t="s">
        <v>9</v>
      </c>
      <c r="E120" t="s">
        <v>6</v>
      </c>
    </row>
    <row r="121" spans="1:5" x14ac:dyDescent="0.2">
      <c r="A121" t="s">
        <v>43</v>
      </c>
      <c r="B121" t="s">
        <v>68</v>
      </c>
      <c r="C121">
        <v>-8.8000000000000023E-3</v>
      </c>
      <c r="D121" t="s">
        <v>9</v>
      </c>
      <c r="E121" t="s">
        <v>6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R1.1-round1</vt:lpstr>
      <vt:lpstr>R1.2-round2</vt:lpstr>
      <vt:lpstr>R2</vt:lpstr>
      <vt:lpstr>R3</vt:lpstr>
      <vt:lpstr>BiomassSynthesis</vt:lpstr>
      <vt:lpstr>BiomassSynthesis.All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 LIAO</dc:creator>
  <cp:lastModifiedBy>YANG LIAO</cp:lastModifiedBy>
  <dcterms:created xsi:type="dcterms:W3CDTF">2026-01-29T15:54:50Z</dcterms:created>
  <dcterms:modified xsi:type="dcterms:W3CDTF">2026-09-28T06:14:05Z</dcterms:modified>
</cp:coreProperties>
</file>