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_new3/"/>
    </mc:Choice>
  </mc:AlternateContent>
  <xr:revisionPtr revIDLastSave="0" documentId="13_ncr:1_{5C9979D3-0213-234B-9958-73CB274BE91A}" xr6:coauthVersionLast="47" xr6:coauthVersionMax="47" xr10:uidLastSave="{00000000-0000-0000-0000-000000000000}"/>
  <bookViews>
    <workbookView xWindow="120" yWindow="600" windowWidth="23600" windowHeight="16140" tabRatio="929" activeTab="3" xr2:uid="{00000000-000D-0000-FFFF-FFFF00000000}"/>
  </bookViews>
  <sheets>
    <sheet name="Integration" sheetId="1" r:id="rId1"/>
    <sheet name="Calibration" sheetId="2" r:id="rId2"/>
    <sheet name="Peak Analysis" sheetId="3" r:id="rId3"/>
    <sheet name="Summary - INJ. vs ANION" sheetId="4" r:id="rId4"/>
    <sheet name="Audit Trai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33" i="4" l="1"/>
  <c r="L1632" i="4" s="1"/>
  <c r="J1632" i="4"/>
  <c r="L1631" i="4" s="1"/>
  <c r="J1631" i="4"/>
  <c r="L1630" i="4" s="1"/>
  <c r="J1630" i="4"/>
  <c r="L1629" i="4" s="1"/>
  <c r="J1629" i="4"/>
  <c r="L1628" i="4" s="1"/>
  <c r="J1628" i="4"/>
  <c r="L1627" i="4"/>
  <c r="J1627" i="4"/>
  <c r="L1626" i="4"/>
  <c r="J1626" i="4"/>
  <c r="J1625" i="4"/>
  <c r="L1625" i="4" s="1"/>
  <c r="J1624" i="4"/>
  <c r="L1624" i="4" s="1"/>
  <c r="J1623" i="4"/>
  <c r="L1623" i="4" s="1"/>
  <c r="L1622" i="4"/>
  <c r="J1622" i="4"/>
  <c r="J1621" i="4"/>
  <c r="L1609" i="4" s="1"/>
  <c r="J1620" i="4"/>
  <c r="L1608" i="4" s="1"/>
  <c r="J1619" i="4"/>
  <c r="L1607" i="4" s="1"/>
  <c r="J1618" i="4"/>
  <c r="L1606" i="4" s="1"/>
  <c r="J1617" i="4"/>
  <c r="L1605" i="4" s="1"/>
  <c r="J1616" i="4"/>
  <c r="L1604" i="4" s="1"/>
  <c r="J1615" i="4"/>
  <c r="L1603" i="4" s="1"/>
  <c r="J1614" i="4"/>
  <c r="L1602" i="4" s="1"/>
  <c r="J1613" i="4"/>
  <c r="L1601" i="4" s="1"/>
  <c r="J1612" i="4"/>
  <c r="L1600" i="4" s="1"/>
  <c r="J1611" i="4"/>
  <c r="L1599" i="4" s="1"/>
  <c r="J1610" i="4"/>
  <c r="L1598" i="4" s="1"/>
  <c r="J1609" i="4"/>
  <c r="L1585" i="4" s="1"/>
  <c r="J1608" i="4"/>
  <c r="L1584" i="4" s="1"/>
  <c r="J1607" i="4"/>
  <c r="L1583" i="4" s="1"/>
  <c r="J1606" i="4"/>
  <c r="L1582" i="4" s="1"/>
  <c r="J1605" i="4"/>
  <c r="L1581" i="4" s="1"/>
  <c r="J1604" i="4"/>
  <c r="L1580" i="4" s="1"/>
  <c r="J1603" i="4"/>
  <c r="L1579" i="4" s="1"/>
  <c r="J1602" i="4"/>
  <c r="L1578" i="4" s="1"/>
  <c r="J1601" i="4"/>
  <c r="L1577" i="4" s="1"/>
  <c r="J1600" i="4"/>
  <c r="L1576" i="4" s="1"/>
  <c r="J1599" i="4"/>
  <c r="L1575" i="4" s="1"/>
  <c r="J1598" i="4"/>
  <c r="L1574" i="4" s="1"/>
  <c r="J1597" i="4"/>
  <c r="L1621" i="4" s="1"/>
  <c r="J1596" i="4"/>
  <c r="L1620" i="4" s="1"/>
  <c r="J1595" i="4"/>
  <c r="L1619" i="4" s="1"/>
  <c r="J1594" i="4"/>
  <c r="L1618" i="4" s="1"/>
  <c r="J1593" i="4"/>
  <c r="L1617" i="4" s="1"/>
  <c r="J1592" i="4"/>
  <c r="L1616" i="4" s="1"/>
  <c r="J1591" i="4"/>
  <c r="L1615" i="4" s="1"/>
  <c r="J1590" i="4"/>
  <c r="L1614" i="4" s="1"/>
  <c r="J1589" i="4"/>
  <c r="L1613" i="4" s="1"/>
  <c r="J1588" i="4"/>
  <c r="L1612" i="4" s="1"/>
  <c r="J1587" i="4"/>
  <c r="L1611" i="4" s="1"/>
  <c r="J1586" i="4"/>
  <c r="L1610" i="4" s="1"/>
  <c r="J1585" i="4"/>
  <c r="L1597" i="4" s="1"/>
  <c r="J1584" i="4"/>
  <c r="L1596" i="4" s="1"/>
  <c r="J1583" i="4"/>
  <c r="L1595" i="4" s="1"/>
  <c r="J1582" i="4"/>
  <c r="L1594" i="4" s="1"/>
  <c r="J1581" i="4"/>
  <c r="L1593" i="4" s="1"/>
  <c r="J1580" i="4"/>
  <c r="L1592" i="4" s="1"/>
  <c r="J1579" i="4"/>
  <c r="L1591" i="4" s="1"/>
  <c r="J1578" i="4"/>
  <c r="L1590" i="4" s="1"/>
  <c r="J1577" i="4"/>
  <c r="L1589" i="4" s="1"/>
  <c r="J1576" i="4"/>
  <c r="L1588" i="4" s="1"/>
  <c r="J1575" i="4"/>
  <c r="L1587" i="4" s="1"/>
  <c r="J1574" i="4"/>
  <c r="L1586" i="4" s="1"/>
  <c r="J1573" i="4"/>
  <c r="L1573" i="4" s="1"/>
  <c r="J1572" i="4"/>
  <c r="L1572" i="4" s="1"/>
  <c r="J1571" i="4"/>
  <c r="L1571" i="4" s="1"/>
  <c r="J1570" i="4"/>
  <c r="L1570" i="4" s="1"/>
  <c r="J1569" i="4"/>
  <c r="L1569" i="4" s="1"/>
  <c r="J1568" i="4"/>
  <c r="L1568" i="4" s="1"/>
  <c r="J1567" i="4"/>
  <c r="L1567" i="4" s="1"/>
  <c r="J1566" i="4"/>
  <c r="L1566" i="4" s="1"/>
  <c r="J1565" i="4"/>
  <c r="L1565" i="4" s="1"/>
  <c r="J1564" i="4"/>
  <c r="L1564" i="4" s="1"/>
  <c r="J1563" i="4"/>
  <c r="L1563" i="4" s="1"/>
  <c r="J1562" i="4"/>
  <c r="L1562" i="4" s="1"/>
  <c r="J1561" i="4"/>
  <c r="J1560" i="4"/>
  <c r="J1559" i="4"/>
  <c r="J1558" i="4"/>
  <c r="J1557" i="4"/>
  <c r="J1556" i="4"/>
  <c r="J1555" i="4"/>
  <c r="J1554" i="4"/>
  <c r="J1553" i="4"/>
  <c r="J1552" i="4"/>
  <c r="J1551" i="4"/>
  <c r="J1550" i="4"/>
  <c r="J1549" i="4"/>
  <c r="J1548" i="4"/>
  <c r="J1547" i="4"/>
  <c r="J1546" i="4"/>
  <c r="J1545" i="4"/>
  <c r="J1544" i="4"/>
  <c r="J1543" i="4"/>
  <c r="J1542" i="4"/>
  <c r="J1541" i="4"/>
  <c r="J1540" i="4"/>
  <c r="J1539" i="4"/>
  <c r="J1538" i="4"/>
  <c r="J1537" i="4"/>
  <c r="J1536" i="4"/>
  <c r="J1535" i="4"/>
  <c r="J1534" i="4"/>
  <c r="J1533" i="4"/>
  <c r="J1532" i="4"/>
  <c r="J1531" i="4"/>
  <c r="J1530" i="4"/>
  <c r="J1529" i="4"/>
  <c r="J1528" i="4"/>
  <c r="J1527" i="4"/>
  <c r="J1526" i="4"/>
  <c r="J1525" i="4"/>
  <c r="J1524" i="4"/>
  <c r="J1523" i="4"/>
  <c r="J1522" i="4"/>
  <c r="J1521" i="4"/>
  <c r="J1520" i="4"/>
  <c r="J1519" i="4"/>
  <c r="J1518" i="4"/>
  <c r="J1517" i="4"/>
  <c r="J1516" i="4"/>
  <c r="J1515" i="4"/>
  <c r="J1514" i="4"/>
  <c r="J1513" i="4"/>
  <c r="J1512" i="4"/>
  <c r="J1511" i="4"/>
  <c r="J1510" i="4"/>
  <c r="J1509" i="4"/>
  <c r="J1508" i="4"/>
  <c r="J1507" i="4"/>
  <c r="J1506" i="4"/>
  <c r="J1505" i="4"/>
  <c r="J1504" i="4"/>
  <c r="J1503" i="4"/>
  <c r="J1502" i="4"/>
  <c r="J1501" i="4"/>
  <c r="J1500" i="4"/>
  <c r="J1499" i="4"/>
  <c r="J1498" i="4"/>
  <c r="J1497" i="4"/>
  <c r="J1496" i="4"/>
  <c r="J1495" i="4"/>
  <c r="J1494" i="4"/>
  <c r="J1493" i="4"/>
  <c r="J1492" i="4"/>
  <c r="J1491" i="4"/>
  <c r="J1490" i="4"/>
  <c r="J1489" i="4"/>
  <c r="J1488" i="4"/>
  <c r="J1487" i="4"/>
  <c r="J1486" i="4"/>
  <c r="J1485" i="4"/>
  <c r="J1484" i="4"/>
  <c r="J1483" i="4"/>
  <c r="J1482" i="4"/>
  <c r="J1481" i="4"/>
  <c r="J1480" i="4"/>
  <c r="J106" i="4"/>
  <c r="I183" i="4"/>
  <c r="I182" i="4"/>
  <c r="I181" i="4"/>
  <c r="J180" i="4"/>
  <c r="J179" i="4"/>
  <c r="J178" i="4"/>
  <c r="L177" i="4" s="1"/>
  <c r="J177" i="4"/>
  <c r="L176" i="4" s="1"/>
  <c r="J176" i="4"/>
  <c r="L175" i="4" s="1"/>
  <c r="J175" i="4"/>
  <c r="L174" i="4" s="1"/>
  <c r="J174" i="4"/>
  <c r="L173" i="4"/>
  <c r="J173" i="4"/>
  <c r="L172" i="4" s="1"/>
  <c r="J172" i="4"/>
  <c r="J171" i="4"/>
  <c r="L171" i="4" s="1"/>
  <c r="L170" i="4"/>
  <c r="J170" i="4"/>
  <c r="L169" i="4"/>
  <c r="J169" i="4"/>
  <c r="J168" i="4"/>
  <c r="L168" i="4" s="1"/>
  <c r="J167" i="4"/>
  <c r="L167" i="4" s="1"/>
  <c r="J166" i="4"/>
  <c r="L166" i="4" s="1"/>
  <c r="L165" i="4"/>
  <c r="J165" i="4"/>
  <c r="J164" i="4"/>
  <c r="L152" i="4" s="1"/>
  <c r="J163" i="4"/>
  <c r="L151" i="4" s="1"/>
  <c r="J162" i="4"/>
  <c r="L150" i="4" s="1"/>
  <c r="J161" i="4"/>
  <c r="J160" i="4"/>
  <c r="L148" i="4" s="1"/>
  <c r="J159" i="4"/>
  <c r="L147" i="4" s="1"/>
  <c r="J158" i="4"/>
  <c r="J157" i="4"/>
  <c r="L145" i="4" s="1"/>
  <c r="J156" i="4"/>
  <c r="L144" i="4" s="1"/>
  <c r="J155" i="4"/>
  <c r="L143" i="4" s="1"/>
  <c r="J154" i="4"/>
  <c r="L142" i="4" s="1"/>
  <c r="L153" i="4"/>
  <c r="J153" i="4"/>
  <c r="L129" i="4" s="1"/>
  <c r="J152" i="4"/>
  <c r="L128" i="4" s="1"/>
  <c r="J151" i="4"/>
  <c r="L127" i="4" s="1"/>
  <c r="J150" i="4"/>
  <c r="L149" i="4"/>
  <c r="J149" i="4"/>
  <c r="J148" i="4"/>
  <c r="L124" i="4" s="1"/>
  <c r="J147" i="4"/>
  <c r="L123" i="4" s="1"/>
  <c r="L146" i="4"/>
  <c r="J146" i="4"/>
  <c r="J145" i="4"/>
  <c r="J144" i="4"/>
  <c r="L120" i="4" s="1"/>
  <c r="J143" i="4"/>
  <c r="L119" i="4" s="1"/>
  <c r="J142" i="4"/>
  <c r="L118" i="4" s="1"/>
  <c r="L141" i="4"/>
  <c r="J141" i="4"/>
  <c r="J140" i="4"/>
  <c r="L164" i="4" s="1"/>
  <c r="J139" i="4"/>
  <c r="L163" i="4" s="1"/>
  <c r="L138" i="4"/>
  <c r="J138" i="4"/>
  <c r="L162" i="4" s="1"/>
  <c r="J137" i="4"/>
  <c r="L161" i="4" s="1"/>
  <c r="J136" i="4"/>
  <c r="L160" i="4" s="1"/>
  <c r="J135" i="4"/>
  <c r="L159" i="4" s="1"/>
  <c r="J134" i="4"/>
  <c r="L158" i="4" s="1"/>
  <c r="J133" i="4"/>
  <c r="L157" i="4" s="1"/>
  <c r="J132" i="4"/>
  <c r="L156" i="4" s="1"/>
  <c r="J131" i="4"/>
  <c r="L155" i="4" s="1"/>
  <c r="L130" i="4"/>
  <c r="J130" i="4"/>
  <c r="L154" i="4" s="1"/>
  <c r="J129" i="4"/>
  <c r="J128" i="4"/>
  <c r="L140" i="4" s="1"/>
  <c r="J127" i="4"/>
  <c r="L139" i="4" s="1"/>
  <c r="L126" i="4"/>
  <c r="J126" i="4"/>
  <c r="L125" i="4"/>
  <c r="J125" i="4"/>
  <c r="L137" i="4" s="1"/>
  <c r="J124" i="4"/>
  <c r="L136" i="4" s="1"/>
  <c r="J123" i="4"/>
  <c r="L135" i="4" s="1"/>
  <c r="L122" i="4"/>
  <c r="J122" i="4"/>
  <c r="L134" i="4" s="1"/>
  <c r="L121" i="4"/>
  <c r="J121" i="4"/>
  <c r="L133" i="4" s="1"/>
  <c r="J120" i="4"/>
  <c r="L132" i="4" s="1"/>
  <c r="J119" i="4"/>
  <c r="L131" i="4" s="1"/>
  <c r="J118" i="4"/>
  <c r="J117" i="4"/>
  <c r="L117" i="4" s="1"/>
  <c r="J116" i="4"/>
  <c r="L116" i="4" s="1"/>
  <c r="J115" i="4"/>
  <c r="L115" i="4" s="1"/>
  <c r="L114" i="4"/>
  <c r="J114" i="4"/>
  <c r="J113" i="4"/>
  <c r="L113" i="4" s="1"/>
  <c r="J112" i="4"/>
  <c r="L112" i="4" s="1"/>
  <c r="J111" i="4"/>
  <c r="L111" i="4" s="1"/>
  <c r="L110" i="4"/>
  <c r="J110" i="4"/>
  <c r="L109" i="4"/>
  <c r="J109" i="4"/>
  <c r="J108" i="4"/>
  <c r="L108" i="4" s="1"/>
  <c r="J107" i="4"/>
  <c r="L107" i="4" s="1"/>
  <c r="L106" i="4"/>
  <c r="J105" i="4"/>
  <c r="J104" i="4"/>
  <c r="J103" i="4"/>
  <c r="J102" i="4"/>
  <c r="J101" i="4"/>
  <c r="J100" i="4"/>
  <c r="J99" i="4"/>
  <c r="L99" i="4" s="1"/>
  <c r="J98" i="4"/>
  <c r="L98" i="4" s="1"/>
  <c r="J97" i="4"/>
  <c r="L97" i="4" s="1"/>
  <c r="J96" i="4"/>
  <c r="L96" i="4" s="1"/>
  <c r="J95" i="4"/>
  <c r="L95" i="4" s="1"/>
  <c r="J94" i="4"/>
  <c r="L94" i="4" s="1"/>
  <c r="J93" i="4"/>
  <c r="L93" i="4" s="1"/>
  <c r="J92" i="4"/>
  <c r="L92" i="4" s="1"/>
  <c r="J91" i="4"/>
  <c r="L91" i="4" s="1"/>
  <c r="J90" i="4"/>
  <c r="L90" i="4" s="1"/>
  <c r="J89" i="4"/>
  <c r="L89" i="4" s="1"/>
  <c r="J88" i="4"/>
  <c r="L88" i="4" s="1"/>
  <c r="J87" i="4"/>
  <c r="L75" i="4" s="1"/>
  <c r="J86" i="4"/>
  <c r="L74" i="4" s="1"/>
  <c r="J85" i="4"/>
  <c r="L73" i="4" s="1"/>
  <c r="J84" i="4"/>
  <c r="L72" i="4" s="1"/>
  <c r="J83" i="4"/>
  <c r="L71" i="4" s="1"/>
  <c r="J82" i="4"/>
  <c r="L70" i="4" s="1"/>
  <c r="J81" i="4"/>
  <c r="L69" i="4" s="1"/>
  <c r="J80" i="4"/>
  <c r="L68" i="4" s="1"/>
  <c r="J79" i="4"/>
  <c r="L67" i="4" s="1"/>
  <c r="J78" i="4"/>
  <c r="L66" i="4" s="1"/>
  <c r="J77" i="4"/>
  <c r="L65" i="4" s="1"/>
  <c r="J76" i="4"/>
  <c r="L64" i="4" s="1"/>
  <c r="J75" i="4"/>
  <c r="L51" i="4" s="1"/>
  <c r="J74" i="4"/>
  <c r="L50" i="4" s="1"/>
  <c r="J73" i="4"/>
  <c r="L49" i="4" s="1"/>
  <c r="J72" i="4"/>
  <c r="L48" i="4" s="1"/>
  <c r="J71" i="4"/>
  <c r="L47" i="4" s="1"/>
  <c r="J70" i="4"/>
  <c r="L46" i="4" s="1"/>
  <c r="J69" i="4"/>
  <c r="L45" i="4" s="1"/>
  <c r="J68" i="4"/>
  <c r="L44" i="4" s="1"/>
  <c r="J67" i="4"/>
  <c r="L43" i="4" s="1"/>
  <c r="J66" i="4"/>
  <c r="L42" i="4" s="1"/>
  <c r="J65" i="4"/>
  <c r="L41" i="4" s="1"/>
  <c r="J64" i="4"/>
  <c r="L40" i="4" s="1"/>
  <c r="J63" i="4"/>
  <c r="L87" i="4" s="1"/>
  <c r="J62" i="4"/>
  <c r="L86" i="4" s="1"/>
  <c r="J61" i="4"/>
  <c r="L85" i="4" s="1"/>
  <c r="J60" i="4"/>
  <c r="L84" i="4" s="1"/>
  <c r="J59" i="4"/>
  <c r="L83" i="4" s="1"/>
  <c r="J58" i="4"/>
  <c r="L82" i="4" s="1"/>
  <c r="J57" i="4"/>
  <c r="L81" i="4" s="1"/>
  <c r="J56" i="4"/>
  <c r="L80" i="4" s="1"/>
  <c r="J55" i="4"/>
  <c r="L79" i="4" s="1"/>
  <c r="J54" i="4"/>
  <c r="L78" i="4" s="1"/>
  <c r="J53" i="4"/>
  <c r="L77" i="4" s="1"/>
  <c r="J52" i="4"/>
  <c r="L76" i="4" s="1"/>
  <c r="J51" i="4"/>
  <c r="L63" i="4" s="1"/>
  <c r="J50" i="4"/>
  <c r="L62" i="4" s="1"/>
  <c r="J49" i="4"/>
  <c r="L61" i="4" s="1"/>
  <c r="J48" i="4"/>
  <c r="L60" i="4" s="1"/>
  <c r="J47" i="4"/>
  <c r="L59" i="4" s="1"/>
  <c r="J46" i="4"/>
  <c r="L58" i="4" s="1"/>
  <c r="J45" i="4"/>
  <c r="L57" i="4" s="1"/>
  <c r="J44" i="4"/>
  <c r="L56" i="4" s="1"/>
  <c r="J43" i="4"/>
  <c r="L55" i="4" s="1"/>
  <c r="J42" i="4"/>
  <c r="L54" i="4" s="1"/>
  <c r="J41" i="4"/>
  <c r="L53" i="4" s="1"/>
  <c r="J40" i="4"/>
  <c r="L52" i="4" s="1"/>
  <c r="J39" i="4"/>
  <c r="L39" i="4" s="1"/>
  <c r="J38" i="4"/>
  <c r="L38" i="4" s="1"/>
  <c r="J37" i="4"/>
  <c r="L37" i="4" s="1"/>
  <c r="J36" i="4"/>
  <c r="L36" i="4" s="1"/>
  <c r="J35" i="4"/>
  <c r="L35" i="4" s="1"/>
  <c r="J34" i="4"/>
  <c r="L34" i="4" s="1"/>
  <c r="J33" i="4"/>
  <c r="L33" i="4" s="1"/>
  <c r="J32" i="4"/>
  <c r="L32" i="4" s="1"/>
  <c r="J31" i="4"/>
  <c r="L31" i="4" s="1"/>
  <c r="J30" i="4"/>
  <c r="L30" i="4" s="1"/>
  <c r="J29" i="4"/>
  <c r="L29" i="4" s="1"/>
  <c r="J28" i="4"/>
  <c r="L28" i="4" s="1"/>
  <c r="J27" i="4"/>
  <c r="J26" i="4"/>
  <c r="J25" i="4"/>
  <c r="J24" i="4"/>
  <c r="J738" i="4"/>
  <c r="J737" i="4"/>
  <c r="J736" i="4"/>
  <c r="L723" i="4"/>
  <c r="L710" i="4"/>
  <c r="L654" i="4"/>
  <c r="I1639" i="4"/>
  <c r="I1638" i="4"/>
  <c r="I1637" i="4"/>
  <c r="J1636" i="4"/>
  <c r="J1635" i="4"/>
  <c r="J1634" i="4"/>
  <c r="L1633" i="4" s="1"/>
  <c r="I1275" i="4"/>
  <c r="I1274" i="4"/>
  <c r="I1273" i="4"/>
  <c r="J1272" i="4"/>
  <c r="J1271" i="4"/>
  <c r="J1270" i="4"/>
  <c r="J1269" i="4"/>
  <c r="J1268" i="4"/>
  <c r="J1267" i="4"/>
  <c r="J1266" i="4"/>
  <c r="J1265" i="4"/>
  <c r="J1264" i="4"/>
  <c r="J1263" i="4"/>
  <c r="J1262" i="4"/>
  <c r="J1261" i="4"/>
  <c r="J1260" i="4"/>
  <c r="J1259" i="4"/>
  <c r="J1258" i="4"/>
  <c r="J1257" i="4"/>
  <c r="J1256" i="4"/>
  <c r="J1255" i="4"/>
  <c r="J1254" i="4"/>
  <c r="J1253" i="4"/>
  <c r="J1252" i="4"/>
  <c r="J1251" i="4"/>
  <c r="J1250" i="4"/>
  <c r="J1249" i="4"/>
  <c r="J1248" i="4"/>
  <c r="J1247" i="4"/>
  <c r="J1246" i="4"/>
  <c r="J1245" i="4"/>
  <c r="J1244" i="4"/>
  <c r="J1243" i="4"/>
  <c r="J1242" i="4"/>
  <c r="J1241" i="4"/>
  <c r="J1240" i="4"/>
  <c r="J1239" i="4"/>
  <c r="J1238" i="4"/>
  <c r="J1237" i="4"/>
  <c r="J1236" i="4"/>
  <c r="J1235" i="4"/>
  <c r="J1234" i="4"/>
  <c r="J1233" i="4"/>
  <c r="J1232" i="4"/>
  <c r="J1231" i="4"/>
  <c r="J1230" i="4"/>
  <c r="J1229" i="4"/>
  <c r="J1228" i="4"/>
  <c r="J1227" i="4"/>
  <c r="J1226" i="4"/>
  <c r="J1225" i="4"/>
  <c r="J1224" i="4"/>
  <c r="J1223" i="4"/>
  <c r="J1222" i="4"/>
  <c r="J1221" i="4"/>
  <c r="J1220" i="4"/>
  <c r="J1219" i="4"/>
  <c r="J1218" i="4"/>
  <c r="J1217" i="4"/>
  <c r="J1216" i="4"/>
  <c r="J1215" i="4"/>
  <c r="J1214" i="4"/>
  <c r="J1213" i="4"/>
  <c r="J1212" i="4"/>
  <c r="J1211" i="4"/>
  <c r="J1210" i="4"/>
  <c r="J1209" i="4"/>
  <c r="J1208" i="4"/>
  <c r="J1207" i="4"/>
  <c r="J1206" i="4"/>
  <c r="J1205" i="4"/>
  <c r="J1204" i="4"/>
  <c r="J1203" i="4"/>
  <c r="J1202" i="4"/>
  <c r="J1201" i="4"/>
  <c r="J1200" i="4"/>
  <c r="J1199" i="4"/>
  <c r="J1198" i="4"/>
  <c r="J1197" i="4"/>
  <c r="J1196" i="4"/>
  <c r="J1195" i="4"/>
  <c r="J1194" i="4"/>
  <c r="J1193" i="4"/>
  <c r="J1192" i="4"/>
  <c r="J1191" i="4"/>
  <c r="J1190" i="4"/>
  <c r="J1189" i="4"/>
  <c r="J1188" i="4"/>
  <c r="J1187" i="4"/>
  <c r="J1186" i="4"/>
  <c r="J1185" i="4"/>
  <c r="J1184" i="4"/>
  <c r="J1183" i="4"/>
  <c r="J1182" i="4"/>
  <c r="J1181" i="4"/>
  <c r="J1180" i="4"/>
  <c r="J1179" i="4"/>
  <c r="J1178" i="4"/>
  <c r="J1177" i="4"/>
  <c r="J1176" i="4"/>
  <c r="J1175" i="4"/>
  <c r="J1174" i="4"/>
  <c r="J1173" i="4"/>
  <c r="J1172" i="4"/>
  <c r="J1171" i="4"/>
  <c r="J1170" i="4"/>
  <c r="J1169" i="4"/>
  <c r="J1168" i="4"/>
  <c r="J1167" i="4"/>
  <c r="J1166" i="4"/>
  <c r="J1165" i="4"/>
  <c r="J1164" i="4"/>
  <c r="J1163" i="4"/>
  <c r="J1162" i="4"/>
  <c r="J1161" i="4"/>
  <c r="J1160" i="4"/>
  <c r="J1159" i="4"/>
  <c r="J1158" i="4"/>
  <c r="J1157" i="4"/>
  <c r="J1156" i="4"/>
  <c r="J1155" i="4"/>
  <c r="J1154" i="4"/>
  <c r="J1153" i="4"/>
  <c r="J1152" i="4"/>
  <c r="J1151" i="4"/>
  <c r="J1150" i="4"/>
  <c r="J1149" i="4"/>
  <c r="J1148" i="4"/>
  <c r="J1147" i="4"/>
  <c r="J1146" i="4"/>
  <c r="J1145" i="4"/>
  <c r="J1144" i="4"/>
  <c r="J1143" i="4"/>
  <c r="J1142" i="4"/>
  <c r="J1141" i="4"/>
  <c r="J1140" i="4"/>
  <c r="J1139" i="4"/>
  <c r="J1138" i="4"/>
  <c r="J1137" i="4"/>
  <c r="J1136" i="4"/>
  <c r="J1135" i="4"/>
  <c r="J1134" i="4"/>
  <c r="J1133" i="4"/>
  <c r="J1132" i="4"/>
  <c r="J1131" i="4"/>
  <c r="J1130" i="4"/>
  <c r="J1129" i="4"/>
  <c r="J1128" i="4"/>
  <c r="J1127" i="4"/>
  <c r="J1126" i="4"/>
  <c r="J1125" i="4"/>
  <c r="J1124" i="4"/>
  <c r="J1123" i="4"/>
  <c r="J1122" i="4"/>
  <c r="J1121" i="4"/>
  <c r="J1120" i="4"/>
  <c r="J1119" i="4"/>
  <c r="J1118" i="4"/>
  <c r="J1117" i="4"/>
  <c r="J1116" i="4"/>
  <c r="I1093" i="4"/>
  <c r="I1092" i="4"/>
  <c r="I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I911" i="4"/>
  <c r="I910" i="4"/>
  <c r="I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I729" i="4"/>
  <c r="I728" i="4"/>
  <c r="I727" i="4"/>
  <c r="J726" i="4"/>
  <c r="J725" i="4"/>
  <c r="J724" i="4"/>
  <c r="J723" i="4"/>
  <c r="L722" i="4" s="1"/>
  <c r="J722" i="4"/>
  <c r="L721" i="4" s="1"/>
  <c r="J721" i="4"/>
  <c r="L720" i="4" s="1"/>
  <c r="J720" i="4"/>
  <c r="L719" i="4" s="1"/>
  <c r="J719" i="4"/>
  <c r="L718" i="4" s="1"/>
  <c r="J718" i="4"/>
  <c r="J717" i="4"/>
  <c r="L717" i="4" s="1"/>
  <c r="J716" i="4"/>
  <c r="L716" i="4" s="1"/>
  <c r="J715" i="4"/>
  <c r="L715" i="4" s="1"/>
  <c r="J714" i="4"/>
  <c r="L714" i="4" s="1"/>
  <c r="J713" i="4"/>
  <c r="L713" i="4" s="1"/>
  <c r="J712" i="4"/>
  <c r="L712" i="4" s="1"/>
  <c r="J711" i="4"/>
  <c r="L699" i="4" s="1"/>
  <c r="J710" i="4"/>
  <c r="L698" i="4" s="1"/>
  <c r="J709" i="4"/>
  <c r="L697" i="4" s="1"/>
  <c r="J708" i="4"/>
  <c r="L696" i="4" s="1"/>
  <c r="J707" i="4"/>
  <c r="L695" i="4" s="1"/>
  <c r="J706" i="4"/>
  <c r="L694" i="4" s="1"/>
  <c r="J705" i="4"/>
  <c r="L693" i="4" s="1"/>
  <c r="J704" i="4"/>
  <c r="L692" i="4" s="1"/>
  <c r="J703" i="4"/>
  <c r="L691" i="4" s="1"/>
  <c r="J702" i="4"/>
  <c r="L690" i="4" s="1"/>
  <c r="J701" i="4"/>
  <c r="L689" i="4" s="1"/>
  <c r="J700" i="4"/>
  <c r="L688" i="4" s="1"/>
  <c r="J699" i="4"/>
  <c r="L675" i="4" s="1"/>
  <c r="J698" i="4"/>
  <c r="L674" i="4" s="1"/>
  <c r="J697" i="4"/>
  <c r="L673" i="4" s="1"/>
  <c r="J696" i="4"/>
  <c r="L672" i="4" s="1"/>
  <c r="J695" i="4"/>
  <c r="L671" i="4" s="1"/>
  <c r="J694" i="4"/>
  <c r="L670" i="4" s="1"/>
  <c r="J693" i="4"/>
  <c r="L669" i="4" s="1"/>
  <c r="J692" i="4"/>
  <c r="L668" i="4" s="1"/>
  <c r="J691" i="4"/>
  <c r="L667" i="4" s="1"/>
  <c r="J690" i="4"/>
  <c r="L666" i="4" s="1"/>
  <c r="J689" i="4"/>
  <c r="L665" i="4" s="1"/>
  <c r="J688" i="4"/>
  <c r="L664" i="4" s="1"/>
  <c r="J687" i="4"/>
  <c r="L711" i="4" s="1"/>
  <c r="J686" i="4"/>
  <c r="J685" i="4"/>
  <c r="L709" i="4" s="1"/>
  <c r="J684" i="4"/>
  <c r="L708" i="4" s="1"/>
  <c r="J683" i="4"/>
  <c r="L707" i="4" s="1"/>
  <c r="J682" i="4"/>
  <c r="L706" i="4" s="1"/>
  <c r="J681" i="4"/>
  <c r="L705" i="4" s="1"/>
  <c r="J680" i="4"/>
  <c r="L704" i="4" s="1"/>
  <c r="J679" i="4"/>
  <c r="L703" i="4" s="1"/>
  <c r="J678" i="4"/>
  <c r="L702" i="4" s="1"/>
  <c r="J677" i="4"/>
  <c r="L701" i="4" s="1"/>
  <c r="J676" i="4"/>
  <c r="L700" i="4" s="1"/>
  <c r="J675" i="4"/>
  <c r="L687" i="4" s="1"/>
  <c r="J674" i="4"/>
  <c r="L686" i="4" s="1"/>
  <c r="J673" i="4"/>
  <c r="L685" i="4" s="1"/>
  <c r="J672" i="4"/>
  <c r="L684" i="4" s="1"/>
  <c r="J671" i="4"/>
  <c r="L683" i="4" s="1"/>
  <c r="J670" i="4"/>
  <c r="L682" i="4" s="1"/>
  <c r="J669" i="4"/>
  <c r="L681" i="4" s="1"/>
  <c r="J668" i="4"/>
  <c r="L680" i="4" s="1"/>
  <c r="J667" i="4"/>
  <c r="L679" i="4" s="1"/>
  <c r="J666" i="4"/>
  <c r="L678" i="4" s="1"/>
  <c r="J665" i="4"/>
  <c r="L677" i="4" s="1"/>
  <c r="J664" i="4"/>
  <c r="L676" i="4" s="1"/>
  <c r="J663" i="4"/>
  <c r="L663" i="4" s="1"/>
  <c r="J662" i="4"/>
  <c r="L662" i="4" s="1"/>
  <c r="J661" i="4"/>
  <c r="L661" i="4" s="1"/>
  <c r="J660" i="4"/>
  <c r="L660" i="4" s="1"/>
  <c r="J659" i="4"/>
  <c r="L659" i="4" s="1"/>
  <c r="J658" i="4"/>
  <c r="L658" i="4" s="1"/>
  <c r="J657" i="4"/>
  <c r="L657" i="4" s="1"/>
  <c r="J656" i="4"/>
  <c r="L656" i="4" s="1"/>
  <c r="J655" i="4"/>
  <c r="L655" i="4" s="1"/>
  <c r="J654" i="4"/>
  <c r="J653" i="4"/>
  <c r="L653" i="4" s="1"/>
  <c r="J652" i="4"/>
  <c r="L652" i="4" s="1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388" i="4"/>
  <c r="I547" i="4"/>
  <c r="I546" i="4"/>
  <c r="I545" i="4"/>
  <c r="E18" i="2" l="1"/>
  <c r="F18" i="2"/>
  <c r="G18" i="2"/>
  <c r="H18" i="2"/>
  <c r="B34" i="2"/>
  <c r="B35" i="2"/>
  <c r="B51" i="2"/>
  <c r="B52" i="2"/>
  <c r="B68" i="2"/>
  <c r="B69" i="2"/>
  <c r="B85" i="2"/>
  <c r="B86" i="2"/>
  <c r="B102" i="2"/>
  <c r="B103" i="2"/>
  <c r="B119" i="2"/>
  <c r="B120" i="2"/>
  <c r="B136" i="2"/>
  <c r="B137" i="2"/>
  <c r="B153" i="2"/>
  <c r="B154" i="2"/>
  <c r="B170" i="2"/>
  <c r="B171" i="2"/>
  <c r="E18" i="1"/>
  <c r="F18" i="1"/>
  <c r="G18" i="1"/>
  <c r="D50" i="3"/>
  <c r="E50" i="3"/>
  <c r="F50" i="3"/>
  <c r="G50" i="3"/>
  <c r="H50" i="3"/>
  <c r="I50" i="3"/>
  <c r="J50" i="3"/>
  <c r="C181" i="4"/>
  <c r="D181" i="4"/>
  <c r="J181" i="4" s="1"/>
  <c r="E181" i="4"/>
  <c r="F181" i="4"/>
  <c r="G181" i="4"/>
  <c r="H181" i="4"/>
  <c r="C182" i="4"/>
  <c r="D182" i="4"/>
  <c r="J182" i="4" s="1"/>
  <c r="E182" i="4"/>
  <c r="F182" i="4"/>
  <c r="G182" i="4"/>
  <c r="H182" i="4"/>
  <c r="C183" i="4"/>
  <c r="D183" i="4"/>
  <c r="J183" i="4" s="1"/>
  <c r="E183" i="4"/>
  <c r="F183" i="4"/>
  <c r="G183" i="4"/>
  <c r="H183" i="4"/>
  <c r="C363" i="4"/>
  <c r="D363" i="4"/>
  <c r="E363" i="4"/>
  <c r="F363" i="4"/>
  <c r="G363" i="4"/>
  <c r="H363" i="4"/>
  <c r="C364" i="4"/>
  <c r="D364" i="4"/>
  <c r="E364" i="4"/>
  <c r="F364" i="4"/>
  <c r="G364" i="4"/>
  <c r="H364" i="4"/>
  <c r="C365" i="4"/>
  <c r="D365" i="4"/>
  <c r="E365" i="4"/>
  <c r="F365" i="4"/>
  <c r="G365" i="4"/>
  <c r="H365" i="4"/>
  <c r="C545" i="4"/>
  <c r="D545" i="4"/>
  <c r="J545" i="4" s="1"/>
  <c r="E545" i="4"/>
  <c r="F545" i="4"/>
  <c r="G545" i="4"/>
  <c r="H545" i="4"/>
  <c r="C546" i="4"/>
  <c r="D546" i="4"/>
  <c r="J546" i="4" s="1"/>
  <c r="E546" i="4"/>
  <c r="F546" i="4"/>
  <c r="G546" i="4"/>
  <c r="H546" i="4"/>
  <c r="C547" i="4"/>
  <c r="D547" i="4"/>
  <c r="J547" i="4" s="1"/>
  <c r="E547" i="4"/>
  <c r="F547" i="4"/>
  <c r="G547" i="4"/>
  <c r="H547" i="4"/>
  <c r="C727" i="4"/>
  <c r="D727" i="4"/>
  <c r="J727" i="4" s="1"/>
  <c r="E727" i="4"/>
  <c r="F727" i="4"/>
  <c r="G727" i="4"/>
  <c r="H727" i="4"/>
  <c r="C728" i="4"/>
  <c r="D728" i="4"/>
  <c r="J728" i="4" s="1"/>
  <c r="E728" i="4"/>
  <c r="F728" i="4"/>
  <c r="G728" i="4"/>
  <c r="H728" i="4"/>
  <c r="C729" i="4"/>
  <c r="D729" i="4"/>
  <c r="J729" i="4" s="1"/>
  <c r="E729" i="4"/>
  <c r="F729" i="4"/>
  <c r="G729" i="4"/>
  <c r="H729" i="4"/>
  <c r="C909" i="4"/>
  <c r="D909" i="4"/>
  <c r="J909" i="4" s="1"/>
  <c r="E909" i="4"/>
  <c r="F909" i="4"/>
  <c r="G909" i="4"/>
  <c r="H909" i="4"/>
  <c r="C910" i="4"/>
  <c r="D910" i="4"/>
  <c r="J910" i="4" s="1"/>
  <c r="E910" i="4"/>
  <c r="F910" i="4"/>
  <c r="G910" i="4"/>
  <c r="H910" i="4"/>
  <c r="C911" i="4"/>
  <c r="D911" i="4"/>
  <c r="J911" i="4" s="1"/>
  <c r="E911" i="4"/>
  <c r="F911" i="4"/>
  <c r="G911" i="4"/>
  <c r="H911" i="4"/>
  <c r="C1091" i="4"/>
  <c r="D1091" i="4"/>
  <c r="J1091" i="4" s="1"/>
  <c r="E1091" i="4"/>
  <c r="F1091" i="4"/>
  <c r="G1091" i="4"/>
  <c r="H1091" i="4"/>
  <c r="C1092" i="4"/>
  <c r="D1092" i="4"/>
  <c r="J1092" i="4" s="1"/>
  <c r="E1092" i="4"/>
  <c r="F1092" i="4"/>
  <c r="G1092" i="4"/>
  <c r="H1092" i="4"/>
  <c r="C1093" i="4"/>
  <c r="D1093" i="4"/>
  <c r="J1093" i="4" s="1"/>
  <c r="E1093" i="4"/>
  <c r="F1093" i="4"/>
  <c r="G1093" i="4"/>
  <c r="H1093" i="4"/>
  <c r="C1273" i="4"/>
  <c r="D1273" i="4"/>
  <c r="J1273" i="4" s="1"/>
  <c r="E1273" i="4"/>
  <c r="F1273" i="4"/>
  <c r="G1273" i="4"/>
  <c r="H1273" i="4"/>
  <c r="C1274" i="4"/>
  <c r="D1274" i="4"/>
  <c r="J1274" i="4" s="1"/>
  <c r="E1274" i="4"/>
  <c r="F1274" i="4"/>
  <c r="G1274" i="4"/>
  <c r="H1274" i="4"/>
  <c r="C1275" i="4"/>
  <c r="D1275" i="4"/>
  <c r="J1275" i="4" s="1"/>
  <c r="E1275" i="4"/>
  <c r="F1275" i="4"/>
  <c r="G1275" i="4"/>
  <c r="H1275" i="4"/>
  <c r="C1455" i="4"/>
  <c r="D1455" i="4"/>
  <c r="E1455" i="4"/>
  <c r="F1455" i="4"/>
  <c r="G1455" i="4"/>
  <c r="H1455" i="4"/>
  <c r="C1456" i="4"/>
  <c r="D1456" i="4"/>
  <c r="E1456" i="4"/>
  <c r="F1456" i="4"/>
  <c r="G1456" i="4"/>
  <c r="H1456" i="4"/>
  <c r="C1457" i="4"/>
  <c r="D1457" i="4"/>
  <c r="E1457" i="4"/>
  <c r="F1457" i="4"/>
  <c r="G1457" i="4"/>
  <c r="H1457" i="4"/>
  <c r="C1637" i="4"/>
  <c r="D1637" i="4"/>
  <c r="J1637" i="4" s="1"/>
  <c r="E1637" i="4"/>
  <c r="F1637" i="4"/>
  <c r="G1637" i="4"/>
  <c r="H1637" i="4"/>
  <c r="C1638" i="4"/>
  <c r="D1638" i="4"/>
  <c r="J1638" i="4" s="1"/>
  <c r="E1638" i="4"/>
  <c r="F1638" i="4"/>
  <c r="G1638" i="4"/>
  <c r="H1638" i="4"/>
  <c r="C1639" i="4"/>
  <c r="D1639" i="4"/>
  <c r="J1639" i="4" s="1"/>
  <c r="E1639" i="4"/>
  <c r="F1639" i="4"/>
  <c r="G1639" i="4"/>
  <c r="H1639" i="4"/>
</calcChain>
</file>

<file path=xl/sharedStrings.xml><?xml version="1.0" encoding="utf-8"?>
<sst xmlns="http://schemas.openxmlformats.org/spreadsheetml/2006/main" count="7312" uniqueCount="218">
  <si>
    <t>Peak Integration Report</t>
  </si>
  <si>
    <t>Sample Name:</t>
  </si>
  <si>
    <t>A3-S</t>
  </si>
  <si>
    <t>Inj. Vol.:</t>
  </si>
  <si>
    <t>Injection Type:</t>
  </si>
  <si>
    <t>Unknown</t>
  </si>
  <si>
    <t>Dilution Factor:</t>
  </si>
  <si>
    <t>Instrument Method:</t>
  </si>
  <si>
    <t>21mM-30min-20260211</t>
  </si>
  <si>
    <t>Operator:</t>
  </si>
  <si>
    <t>IC 2018</t>
  </si>
  <si>
    <t>Inj. Date / Time:</t>
  </si>
  <si>
    <t>Run Time:</t>
  </si>
  <si>
    <t xml:space="preserve">No. </t>
  </si>
  <si>
    <t>Time</t>
  </si>
  <si>
    <t xml:space="preserve">Peak Name </t>
  </si>
  <si>
    <t xml:space="preserve">Peak Type </t>
  </si>
  <si>
    <t xml:space="preserve">Area </t>
  </si>
  <si>
    <t xml:space="preserve">Height </t>
  </si>
  <si>
    <t xml:space="preserve">Amount </t>
  </si>
  <si>
    <t/>
  </si>
  <si>
    <t>min</t>
  </si>
  <si>
    <t xml:space="preserve">μS*min </t>
  </si>
  <si>
    <t>μS*</t>
  </si>
  <si>
    <t>CD_Total</t>
  </si>
  <si>
    <t>Ac</t>
  </si>
  <si>
    <t xml:space="preserve"> M </t>
  </si>
  <si>
    <t>n.a.</t>
  </si>
  <si>
    <t>Cl-</t>
  </si>
  <si>
    <t>NO2-N</t>
  </si>
  <si>
    <t>HCO3-</t>
  </si>
  <si>
    <t>SO4-</t>
  </si>
  <si>
    <t>NO3-N</t>
  </si>
  <si>
    <t xml:space="preserve"> MB</t>
  </si>
  <si>
    <t>S2O3</t>
  </si>
  <si>
    <t>BMB</t>
  </si>
  <si>
    <t>TOTAL:</t>
  </si>
  <si>
    <t>Calibration Batch Report</t>
  </si>
  <si>
    <t>Sequence:</t>
  </si>
  <si>
    <t>20260221--V2.0ElectronDonorExperiment</t>
  </si>
  <si>
    <t>Injection Volume:</t>
  </si>
  <si>
    <t>Calibration Summary</t>
  </si>
  <si>
    <t xml:space="preserve">Eval.Type </t>
  </si>
  <si>
    <t xml:space="preserve">Cal.Type </t>
  </si>
  <si>
    <t xml:space="preserve">Points </t>
  </si>
  <si>
    <t xml:space="preserve">Offset </t>
  </si>
  <si>
    <t xml:space="preserve">Slope </t>
  </si>
  <si>
    <t xml:space="preserve">Curve </t>
  </si>
  <si>
    <t>Coeff.Det.</t>
  </si>
  <si>
    <t>(C0)</t>
  </si>
  <si>
    <t>(C1)</t>
  </si>
  <si>
    <t>(C2)</t>
  </si>
  <si>
    <t>%</t>
  </si>
  <si>
    <t>Area</t>
  </si>
  <si>
    <t>Lin, WithOffset</t>
  </si>
  <si>
    <t>AVERAGE:</t>
  </si>
  <si>
    <t>Injection Name</t>
  </si>
  <si>
    <t>Ret.Time</t>
  </si>
  <si>
    <t>Amount</t>
  </si>
  <si>
    <t>0</t>
  </si>
  <si>
    <t>5</t>
  </si>
  <si>
    <t>10</t>
  </si>
  <si>
    <t>20</t>
  </si>
  <si>
    <t>40_Dilute50to0.8</t>
  </si>
  <si>
    <t>50_Dilute50to1.0</t>
  </si>
  <si>
    <t>80_Dilute50to1.6</t>
  </si>
  <si>
    <t>100__Dilute50to2.0</t>
  </si>
  <si>
    <t>120_Dilute50to2.4</t>
  </si>
  <si>
    <t>Average</t>
  </si>
  <si>
    <t>Rel. Std. Dev.</t>
  </si>
  <si>
    <t>PO4</t>
  </si>
  <si>
    <t>HPO4</t>
  </si>
  <si>
    <t>Peak Analysis Report</t>
  </si>
  <si>
    <t xml:space="preserve">Width </t>
  </si>
  <si>
    <t>Resol.</t>
  </si>
  <si>
    <t>Plates</t>
  </si>
  <si>
    <t>Asymmetry</t>
  </si>
  <si>
    <t>μSn</t>
  </si>
  <si>
    <t>(USP)</t>
  </si>
  <si>
    <t>(EP)</t>
  </si>
  <si>
    <t>Anion Summary Report</t>
  </si>
  <si>
    <t xml:space="preserve">Name </t>
  </si>
  <si>
    <t xml:space="preserve">Time </t>
  </si>
  <si>
    <t xml:space="preserve">Rel.Area </t>
  </si>
  <si>
    <t xml:space="preserve">Rel.Height </t>
  </si>
  <si>
    <t>w</t>
  </si>
  <si>
    <t>T0_C</t>
  </si>
  <si>
    <t>T0_Ac</t>
  </si>
  <si>
    <t>T0_S</t>
  </si>
  <si>
    <t>P1-C-Dark-2.22</t>
  </si>
  <si>
    <t>P2-C</t>
  </si>
  <si>
    <t>P3-C</t>
  </si>
  <si>
    <t>A1-C</t>
  </si>
  <si>
    <t>A2-C</t>
  </si>
  <si>
    <t>A3-C</t>
  </si>
  <si>
    <t>M1-C</t>
  </si>
  <si>
    <t>M2-C</t>
  </si>
  <si>
    <t>M3-C</t>
  </si>
  <si>
    <t>Syn1-C</t>
  </si>
  <si>
    <t>Syn2-C</t>
  </si>
  <si>
    <t>Syn3-C</t>
  </si>
  <si>
    <t>P1-Ac</t>
  </si>
  <si>
    <t>P2-Ac</t>
  </si>
  <si>
    <t>P3-Ac</t>
  </si>
  <si>
    <t>A1-Ac</t>
  </si>
  <si>
    <t>A2-Ac</t>
  </si>
  <si>
    <t>A3-Ac</t>
  </si>
  <si>
    <t>M1-Ac</t>
  </si>
  <si>
    <t>M2-Ac</t>
  </si>
  <si>
    <t>M3-Ac</t>
  </si>
  <si>
    <t>Syn1-Ac</t>
  </si>
  <si>
    <t>Syn2-Ac</t>
  </si>
  <si>
    <t>Syn3-Ac</t>
  </si>
  <si>
    <t>P1-S</t>
  </si>
  <si>
    <t>P2-S</t>
  </si>
  <si>
    <t>P3-S</t>
  </si>
  <si>
    <t>A1-S</t>
  </si>
  <si>
    <t>A2-S</t>
  </si>
  <si>
    <t>M1-S</t>
  </si>
  <si>
    <t>M2-S</t>
  </si>
  <si>
    <t>M3-S</t>
  </si>
  <si>
    <t>Syn1-S</t>
  </si>
  <si>
    <t>Syn2-S</t>
  </si>
  <si>
    <t>Syn3-S</t>
  </si>
  <si>
    <t>P1-C-IR-2.11</t>
  </si>
  <si>
    <t>Ofar_1_2.24</t>
  </si>
  <si>
    <t>Ofar_2_2.24</t>
  </si>
  <si>
    <t>P1-C-Dark-2.28</t>
  </si>
  <si>
    <t>P1-C-IR-2.28</t>
  </si>
  <si>
    <t>Sum:</t>
  </si>
  <si>
    <t>Average:</t>
  </si>
  <si>
    <t>Rel.Std.Dev:</t>
  </si>
  <si>
    <t>Audit Trail</t>
  </si>
  <si>
    <t>Vial Position:</t>
  </si>
  <si>
    <t>RD7</t>
  </si>
  <si>
    <t>Channel:</t>
  </si>
  <si>
    <t>Wavelength:</t>
  </si>
  <si>
    <t>Bandwidth:</t>
  </si>
  <si>
    <t>Processing Method:</t>
  </si>
  <si>
    <t>LXE 10 min new 20250313</t>
  </si>
  <si>
    <t>Recording Time:</t>
  </si>
  <si>
    <t>Sample Weight:</t>
  </si>
  <si>
    <t>Run Time (min):</t>
  </si>
  <si>
    <t>Int STD Amount:</t>
  </si>
  <si>
    <t>Day Time</t>
  </si>
  <si>
    <t>Ret. Time</t>
  </si>
  <si>
    <t>Command/Message</t>
  </si>
  <si>
    <t>(UTC+08:00)</t>
  </si>
  <si>
    <t>03:46:52</t>
  </si>
  <si>
    <t>Audit trail of injection "chrom://test-7cvcb84ll6/Integrion 数据仓/YangLiao/20260221--V2.0ElectronDonorExperiment.seq/866.smp". Executed 3/1/2026 on instrument TEST-7CVCB84LL6_1 (instrument controller TEST-7CVCB84LL6)._x0000_＀ŀ</t>
  </si>
  <si>
    <t xml:space="preserve">Start of injection 128 "A3-S", using instrument method "21mM-30min-20260211". </t>
  </si>
  <si>
    <t>0.000</t>
  </si>
  <si>
    <t xml:space="preserve">Entered stage "Instrument Setup" </t>
  </si>
  <si>
    <t xml:space="preserve">Wait Sampler.Ready </t>
  </si>
  <si>
    <t xml:space="preserve">Wait finished </t>
  </si>
  <si>
    <t>Sampler.PartialCutVolume = 10.0 μl g</t>
  </si>
  <si>
    <t xml:space="preserve">Sampler.CycleTime = 0 min </t>
  </si>
  <si>
    <t xml:space="preserve">Pump_ECD.Pressure.UpperLimit = 5000.00 psi </t>
  </si>
  <si>
    <t xml:space="preserve">Pump_ECD.%A.Equate = "%A" </t>
  </si>
  <si>
    <t xml:space="preserve">Pump_ECD.Pressure.LowerLimit = 200.00 psi </t>
  </si>
  <si>
    <t xml:space="preserve">Pump_ECD.Column_TC.Mode = On </t>
  </si>
  <si>
    <t>Pump_ECD.Column_TC.TemperatureSet = 30.0 °C e</t>
  </si>
  <si>
    <t xml:space="preserve">Electrolytics.Suppressor.CurrentSet = 75 mA </t>
  </si>
  <si>
    <t xml:space="preserve">Electrolytics.EluentGenerator.Concentration = 21.00 mM </t>
  </si>
  <si>
    <t xml:space="preserve">Electrolytics.CR_TC.CR_TC = On </t>
  </si>
  <si>
    <t xml:space="preserve">Wait Pump_ECD.Ready </t>
  </si>
  <si>
    <t xml:space="preserve">Warning! The EluGen cartridge you selected has expired. Please order replacement cartridge. </t>
  </si>
  <si>
    <t>03:46:57</t>
  </si>
  <si>
    <t xml:space="preserve">CDet.CellHeater.Mode = Off </t>
  </si>
  <si>
    <t xml:space="preserve">Entered stage "Inject" </t>
  </si>
  <si>
    <t xml:space="preserve">Wait Sampler.CycleTimeState </t>
  </si>
  <si>
    <t xml:space="preserve">Sampler.Inject </t>
  </si>
  <si>
    <t xml:space="preserve">Injecting from vial position RD7. </t>
  </si>
  <si>
    <t>Injection Volume is 10.0 μl. R</t>
  </si>
  <si>
    <t xml:space="preserve">Waiting for inject response on AsapInjectState1. </t>
  </si>
  <si>
    <t>03:49:12</t>
  </si>
  <si>
    <t xml:space="preserve">Inject preparation complete, waiting for pump to begin next stroke cycle. </t>
  </si>
  <si>
    <t>03:49:14</t>
  </si>
  <si>
    <t xml:space="preserve">Switching inject valve. </t>
  </si>
  <si>
    <t xml:space="preserve">Got inject response. </t>
  </si>
  <si>
    <t xml:space="preserve">Entered stage "Start Run" </t>
  </si>
  <si>
    <t xml:space="preserve">Pump_1.Pump_1_Pressure.AcqOn </t>
  </si>
  <si>
    <t xml:space="preserve">CDet.CD.AcqOn </t>
  </si>
  <si>
    <t xml:space="preserve">CDet.CD_Total.AcqOn </t>
  </si>
  <si>
    <t xml:space="preserve">CDet.Autozero </t>
  </si>
  <si>
    <t xml:space="preserve">Entered stage "Run" </t>
  </si>
  <si>
    <t>03:49:44</t>
  </si>
  <si>
    <t>0.500</t>
  </si>
  <si>
    <t xml:space="preserve">Log Pressure: 1841.8 [psi] </t>
  </si>
  <si>
    <t>0.502</t>
  </si>
  <si>
    <t>Background: 0.725 μS [</t>
  </si>
  <si>
    <t xml:space="preserve">Pressure: 1838.223 psi </t>
  </si>
  <si>
    <t>04:19:14</t>
  </si>
  <si>
    <t>30.000</t>
  </si>
  <si>
    <t xml:space="preserve">Entered stage "Stop Run" </t>
  </si>
  <si>
    <t xml:space="preserve">Pump_1.Pump_1_Pressure.AcqOff </t>
  </si>
  <si>
    <t xml:space="preserve">CDet.CD.AcqOff </t>
  </si>
  <si>
    <t xml:space="preserve">CDet.CD_Total.AcqOff </t>
  </si>
  <si>
    <t>30.001</t>
  </si>
  <si>
    <t>Terminating instrument method chrom://test-7cvcb84ll6/Integrion 数据仓/YangLiao/20260221--V2.0ElectronDonorExperiment.seq/21mM-30min-20260211.instmeth. Waiting for instrument to finish processing of current injection ... _x0000_䀃_x0000_</t>
  </si>
  <si>
    <t>04:19:20</t>
  </si>
  <si>
    <t>30.094</t>
  </si>
  <si>
    <t>OK to terminate instrument method chrom://test-7cvcb84ll6/Integrion 数据仓/YangLiao/20260221--V2.0ElectronDonorExperiment.seq/21mM-30min-20260211.instmeth. ing</t>
  </si>
  <si>
    <t xml:space="preserve">End of injection "A3-S". </t>
  </si>
  <si>
    <t>Cl-1</t>
  </si>
  <si>
    <t>Normed</t>
  </si>
  <si>
    <t>Dark-C</t>
  </si>
  <si>
    <t>IR-C</t>
  </si>
  <si>
    <t>Dark-Ac</t>
  </si>
  <si>
    <t>IR-Ac</t>
  </si>
  <si>
    <t>Dark-S</t>
  </si>
  <si>
    <t>IR-S</t>
  </si>
  <si>
    <t>Dark组的Syn-S: 加了Acetate但似乎没加S2O3-</t>
  </si>
  <si>
    <t>此处减少了是因为误加了Ac-</t>
  </si>
  <si>
    <t>没有减少，与推测同(即S2O3无法为反硝化提供电子)</t>
  </si>
  <si>
    <t>合成群落无法反硝化</t>
  </si>
  <si>
    <t>Syn组dark 的 Ac和S都加了Ac</t>
  </si>
  <si>
    <t>但Syn 组IR的都没有加Ac（应该是都加的S）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</si>
</sst>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00"/>
    <numFmt numFmtId="165" formatCode="0.0000"/>
    <numFmt numFmtId="166" formatCode="0.0"/>
    <numFmt numFmtId="167" formatCode="0.000&quot; &quot;"/>
    <numFmt numFmtId="168" formatCode="0.0000&quot;  &quot;"/>
    <numFmt numFmtId="169" formatCode="0.000&quot;   &quot;"/>
    <numFmt numFmtId="170" formatCode="0.000&quot;  &quot;"/>
    <numFmt numFmtId="171" formatCode="0.00&quot;  &quot;"/>
    <numFmt numFmtId="172" formatCode="0.000\ %"/>
    <numFmt numFmtId="173" formatCode="#,##0.0000"/>
    <numFmt numFmtId="174" formatCode="#,##0.000"/>
    <numFmt numFmtId="175" formatCode="#,##0."/>
    <numFmt numFmtId="176" formatCode="0.0000&quot; &quot;"/>
    <numFmt numFmtId="177" formatCode="dd\-mmm\-yyyy"/>
    <numFmt numFmtId="178" formatCode="&quot;Injection Number &quot;\ 0"/>
    <numFmt numFmtId="179" formatCode="&quot;/  &quot;hh:mm"/>
    <numFmt numFmtId="180" formatCode="dd\-mmm\-yy\ hh:mm"/>
  </numFmts>
  <fonts count="12" x14ac:knownFonts="1">
    <font>
      <sz val="10"/>
      <name val="Arial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7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0" xfId="0" applyFont="1"/>
    <xf numFmtId="0" fontId="3" fillId="0" borderId="3" xfId="0" applyFont="1" applyBorder="1"/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169" fontId="4" fillId="2" borderId="12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/>
    <xf numFmtId="174" fontId="4" fillId="2" borderId="12" xfId="0" applyNumberFormat="1" applyFont="1" applyFill="1" applyBorder="1" applyAlignment="1">
      <alignment horizontal="center"/>
    </xf>
    <xf numFmtId="2" fontId="3" fillId="0" borderId="14" xfId="0" applyNumberFormat="1" applyFont="1" applyBorder="1" applyAlignment="1">
      <alignment horizontal="center" vertical="center"/>
    </xf>
    <xf numFmtId="0" fontId="3" fillId="0" borderId="16" xfId="0" applyFont="1" applyBorder="1"/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172" fontId="3" fillId="0" borderId="15" xfId="0" applyNumberFormat="1" applyFont="1" applyBorder="1" applyAlignment="1">
      <alignment horizontal="center" vertical="center"/>
    </xf>
    <xf numFmtId="172" fontId="3" fillId="0" borderId="20" xfId="0" applyNumberFormat="1" applyFont="1" applyBorder="1" applyAlignment="1">
      <alignment horizontal="center" vertical="center"/>
    </xf>
    <xf numFmtId="170" fontId="4" fillId="2" borderId="12" xfId="0" applyNumberFormat="1" applyFont="1" applyFill="1" applyBorder="1" applyAlignment="1">
      <alignment horizontal="center" vertical="center"/>
    </xf>
    <xf numFmtId="168" fontId="4" fillId="2" borderId="12" xfId="0" applyNumberFormat="1" applyFont="1" applyFill="1" applyBorder="1" applyAlignment="1">
      <alignment horizontal="center" vertical="center"/>
    </xf>
    <xf numFmtId="2" fontId="4" fillId="2" borderId="12" xfId="0" applyNumberFormat="1" applyFont="1" applyFill="1" applyBorder="1" applyAlignment="1">
      <alignment horizontal="center" vertical="center"/>
    </xf>
    <xf numFmtId="171" fontId="4" fillId="2" borderId="12" xfId="0" applyNumberFormat="1" applyFont="1" applyFill="1" applyBorder="1" applyAlignment="1">
      <alignment horizontal="center" vertical="center"/>
    </xf>
    <xf numFmtId="168" fontId="4" fillId="2" borderId="13" xfId="0" applyNumberFormat="1" applyFont="1" applyFill="1" applyBorder="1" applyAlignment="1">
      <alignment horizontal="center" vertical="center"/>
    </xf>
    <xf numFmtId="168" fontId="3" fillId="0" borderId="14" xfId="0" applyNumberFormat="1" applyFont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170" fontId="3" fillId="0" borderId="12" xfId="0" applyNumberFormat="1" applyFont="1" applyBorder="1" applyAlignment="1">
      <alignment horizontal="center" vertical="center"/>
    </xf>
    <xf numFmtId="170" fontId="3" fillId="0" borderId="13" xfId="0" applyNumberFormat="1" applyFont="1" applyBorder="1" applyAlignment="1">
      <alignment horizontal="center" vertical="center"/>
    </xf>
    <xf numFmtId="168" fontId="3" fillId="0" borderId="17" xfId="0" applyNumberFormat="1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74" fontId="3" fillId="0" borderId="7" xfId="0" applyNumberFormat="1" applyFont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/>
    </xf>
    <xf numFmtId="165" fontId="4" fillId="2" borderId="13" xfId="0" applyNumberFormat="1" applyFont="1" applyFill="1" applyBorder="1" applyAlignment="1">
      <alignment horizontal="center"/>
    </xf>
    <xf numFmtId="0" fontId="0" fillId="0" borderId="2" xfId="0" applyBorder="1"/>
    <xf numFmtId="0" fontId="3" fillId="0" borderId="7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0" fillId="0" borderId="0" xfId="0" applyNumberFormat="1"/>
    <xf numFmtId="174" fontId="1" fillId="0" borderId="0" xfId="0" applyNumberFormat="1" applyFont="1"/>
    <xf numFmtId="174" fontId="0" fillId="0" borderId="0" xfId="0" applyNumberFormat="1"/>
    <xf numFmtId="174" fontId="4" fillId="2" borderId="5" xfId="0" applyNumberFormat="1" applyFont="1" applyFill="1" applyBorder="1" applyAlignment="1">
      <alignment horizontal="center"/>
    </xf>
    <xf numFmtId="177" fontId="4" fillId="0" borderId="0" xfId="0" applyNumberFormat="1" applyFont="1" applyAlignment="1">
      <alignment horizontal="left"/>
    </xf>
    <xf numFmtId="20" fontId="4" fillId="0" borderId="0" xfId="0" applyNumberFormat="1" applyFont="1"/>
    <xf numFmtId="2" fontId="4" fillId="0" borderId="0" xfId="0" applyNumberFormat="1" applyFont="1" applyAlignment="1">
      <alignment horizontal="left"/>
    </xf>
    <xf numFmtId="0" fontId="3" fillId="0" borderId="23" xfId="0" applyFont="1" applyBorder="1"/>
    <xf numFmtId="173" fontId="3" fillId="0" borderId="15" xfId="0" applyNumberFormat="1" applyFont="1" applyBorder="1" applyAlignment="1">
      <alignment horizontal="center" vertical="center"/>
    </xf>
    <xf numFmtId="173" fontId="3" fillId="0" borderId="19" xfId="0" applyNumberFormat="1" applyFont="1" applyBorder="1" applyAlignment="1">
      <alignment horizontal="center" vertical="center"/>
    </xf>
    <xf numFmtId="173" fontId="3" fillId="0" borderId="20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right" vertical="center"/>
    </xf>
    <xf numFmtId="0" fontId="3" fillId="0" borderId="24" xfId="0" applyFont="1" applyBorder="1"/>
    <xf numFmtId="0" fontId="4" fillId="2" borderId="22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4" fillId="0" borderId="0" xfId="0" applyFont="1" applyAlignment="1">
      <alignment horizontal="left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177" fontId="4" fillId="2" borderId="3" xfId="0" applyNumberFormat="1" applyFont="1" applyFill="1" applyBorder="1" applyAlignment="1">
      <alignment horizontal="left" vertical="center"/>
    </xf>
    <xf numFmtId="179" fontId="4" fillId="2" borderId="3" xfId="0" applyNumberFormat="1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174" fontId="4" fillId="2" borderId="11" xfId="0" applyNumberFormat="1" applyFont="1" applyFill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2" borderId="7" xfId="0" applyFont="1" applyFill="1" applyBorder="1"/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74" fontId="3" fillId="2" borderId="7" xfId="0" applyNumberFormat="1" applyFont="1" applyFill="1" applyBorder="1" applyAlignment="1">
      <alignment horizontal="center"/>
    </xf>
    <xf numFmtId="0" fontId="3" fillId="2" borderId="12" xfId="0" applyFont="1" applyFill="1" applyBorder="1"/>
    <xf numFmtId="0" fontId="3" fillId="2" borderId="2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174" fontId="3" fillId="2" borderId="12" xfId="0" applyNumberFormat="1" applyFont="1" applyFill="1" applyBorder="1" applyAlignment="1">
      <alignment horizontal="center"/>
    </xf>
    <xf numFmtId="0" fontId="3" fillId="0" borderId="12" xfId="0" applyFont="1" applyBorder="1"/>
    <xf numFmtId="0" fontId="3" fillId="0" borderId="7" xfId="0" applyFont="1" applyBorder="1"/>
    <xf numFmtId="0" fontId="3" fillId="0" borderId="29" xfId="0" applyFont="1" applyBorder="1"/>
    <xf numFmtId="174" fontId="3" fillId="0" borderId="7" xfId="0" applyNumberFormat="1" applyFont="1" applyBorder="1"/>
    <xf numFmtId="167" fontId="3" fillId="0" borderId="12" xfId="0" applyNumberFormat="1" applyFont="1" applyBorder="1"/>
    <xf numFmtId="176" fontId="3" fillId="0" borderId="30" xfId="0" applyNumberFormat="1" applyFont="1" applyBorder="1"/>
    <xf numFmtId="174" fontId="3" fillId="0" borderId="12" xfId="0" applyNumberFormat="1" applyFont="1" applyBorder="1"/>
    <xf numFmtId="0" fontId="3" fillId="0" borderId="10" xfId="0" applyFont="1" applyBorder="1"/>
    <xf numFmtId="167" fontId="3" fillId="0" borderId="10" xfId="0" applyNumberFormat="1" applyFont="1" applyBorder="1"/>
    <xf numFmtId="176" fontId="3" fillId="0" borderId="31" xfId="0" applyNumberFormat="1" applyFont="1" applyBorder="1"/>
    <xf numFmtId="174" fontId="3" fillId="0" borderId="10" xfId="0" applyNumberFormat="1" applyFont="1" applyBorder="1"/>
    <xf numFmtId="164" fontId="3" fillId="0" borderId="30" xfId="0" applyNumberFormat="1" applyFont="1" applyBorder="1"/>
    <xf numFmtId="164" fontId="3" fillId="0" borderId="31" xfId="0" applyNumberFormat="1" applyFont="1" applyBorder="1"/>
    <xf numFmtId="174" fontId="3" fillId="0" borderId="12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2" borderId="10" xfId="0" applyFont="1" applyFill="1" applyBorder="1"/>
    <xf numFmtId="2" fontId="4" fillId="2" borderId="3" xfId="0" applyNumberFormat="1" applyFont="1" applyFill="1" applyBorder="1" applyAlignment="1">
      <alignment horizontal="left" vertical="center"/>
    </xf>
    <xf numFmtId="0" fontId="3" fillId="0" borderId="19" xfId="0" applyFont="1" applyBorder="1" applyAlignment="1">
      <alignment vertical="center"/>
    </xf>
    <xf numFmtId="174" fontId="3" fillId="0" borderId="15" xfId="0" applyNumberFormat="1" applyFont="1" applyBorder="1" applyAlignment="1">
      <alignment horizontal="center" vertical="center"/>
    </xf>
    <xf numFmtId="174" fontId="3" fillId="0" borderId="19" xfId="0" applyNumberFormat="1" applyFont="1" applyBorder="1" applyAlignment="1">
      <alignment horizontal="center" vertical="center"/>
    </xf>
    <xf numFmtId="175" fontId="3" fillId="0" borderId="15" xfId="0" applyNumberFormat="1" applyFont="1" applyBorder="1" applyAlignment="1">
      <alignment horizontal="center" vertical="center"/>
    </xf>
    <xf numFmtId="174" fontId="3" fillId="0" borderId="32" xfId="0" applyNumberFormat="1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4" fontId="4" fillId="2" borderId="34" xfId="0" applyNumberFormat="1" applyFont="1" applyFill="1" applyBorder="1" applyAlignment="1">
      <alignment horizontal="left" vertical="center"/>
    </xf>
    <xf numFmtId="4" fontId="4" fillId="2" borderId="35" xfId="0" applyNumberFormat="1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/>
    </xf>
    <xf numFmtId="178" fontId="4" fillId="2" borderId="37" xfId="0" applyNumberFormat="1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4" fillId="2" borderId="34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2" fontId="4" fillId="2" borderId="35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5" fontId="4" fillId="2" borderId="36" xfId="0" applyNumberFormat="1" applyFont="1" applyFill="1" applyBorder="1" applyAlignment="1">
      <alignment horizontal="left" vertical="center"/>
    </xf>
    <xf numFmtId="0" fontId="4" fillId="2" borderId="36" xfId="0" applyFont="1" applyFill="1" applyBorder="1" applyAlignment="1">
      <alignment vertical="center"/>
    </xf>
    <xf numFmtId="2" fontId="4" fillId="2" borderId="26" xfId="0" applyNumberFormat="1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2" fillId="2" borderId="21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166" fontId="4" fillId="2" borderId="34" xfId="0" applyNumberFormat="1" applyFont="1" applyFill="1" applyBorder="1" applyAlignment="1">
      <alignment horizontal="left" vertical="center"/>
    </xf>
    <xf numFmtId="2" fontId="4" fillId="2" borderId="34" xfId="0" applyNumberFormat="1" applyFont="1" applyFill="1" applyBorder="1" applyAlignment="1">
      <alignment horizontal="left" vertical="center"/>
    </xf>
    <xf numFmtId="0" fontId="3" fillId="2" borderId="35" xfId="0" applyFont="1" applyFill="1" applyBorder="1" applyAlignment="1">
      <alignment vertical="center"/>
    </xf>
    <xf numFmtId="165" fontId="4" fillId="2" borderId="0" xfId="0" applyNumberFormat="1" applyFont="1" applyFill="1" applyAlignment="1">
      <alignment horizontal="left" vertical="center"/>
    </xf>
    <xf numFmtId="0" fontId="3" fillId="2" borderId="36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" fontId="4" fillId="0" borderId="38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41" xfId="0" applyFont="1" applyBorder="1" applyAlignment="1">
      <alignment vertical="center"/>
    </xf>
    <xf numFmtId="0" fontId="4" fillId="2" borderId="42" xfId="0" applyFont="1" applyFill="1" applyBorder="1" applyAlignment="1">
      <alignment horizontal="left"/>
    </xf>
    <xf numFmtId="0" fontId="4" fillId="2" borderId="34" xfId="0" applyFont="1" applyFill="1" applyBorder="1" applyAlignment="1">
      <alignment horizontal="left"/>
    </xf>
    <xf numFmtId="2" fontId="4" fillId="2" borderId="22" xfId="0" applyNumberFormat="1" applyFont="1" applyFill="1" applyBorder="1" applyAlignment="1">
      <alignment horizontal="left"/>
    </xf>
    <xf numFmtId="0" fontId="4" fillId="2" borderId="30" xfId="0" applyFont="1" applyFill="1" applyBorder="1" applyAlignment="1">
      <alignment horizontal="left" vertical="center"/>
    </xf>
    <xf numFmtId="0" fontId="4" fillId="2" borderId="25" xfId="0" applyFont="1" applyFill="1" applyBorder="1" applyAlignment="1">
      <alignment horizontal="left" vertical="center"/>
    </xf>
    <xf numFmtId="165" fontId="4" fillId="2" borderId="25" xfId="0" applyNumberFormat="1" applyFont="1" applyFill="1" applyBorder="1" applyAlignment="1">
      <alignment horizontal="left" vertical="center"/>
    </xf>
    <xf numFmtId="180" fontId="4" fillId="2" borderId="0" xfId="0" applyNumberFormat="1" applyFont="1" applyFill="1" applyAlignment="1">
      <alignment horizontal="left" vertical="center"/>
    </xf>
    <xf numFmtId="0" fontId="4" fillId="2" borderId="31" xfId="0" applyFont="1" applyFill="1" applyBorder="1" applyAlignment="1">
      <alignment horizontal="left" vertical="top"/>
    </xf>
    <xf numFmtId="0" fontId="4" fillId="2" borderId="43" xfId="0" applyFont="1" applyFill="1" applyBorder="1" applyAlignment="1">
      <alignment horizontal="left" vertical="top"/>
    </xf>
    <xf numFmtId="2" fontId="4" fillId="2" borderId="43" xfId="0" applyNumberFormat="1" applyFont="1" applyFill="1" applyBorder="1" applyAlignment="1">
      <alignment horizontal="left" vertical="top"/>
    </xf>
    <xf numFmtId="165" fontId="4" fillId="2" borderId="44" xfId="0" applyNumberFormat="1" applyFont="1" applyFill="1" applyBorder="1" applyAlignment="1">
      <alignment horizontal="left" vertical="top"/>
    </xf>
    <xf numFmtId="0" fontId="4" fillId="0" borderId="45" xfId="0" applyFont="1" applyBorder="1" applyAlignment="1">
      <alignment vertical="center"/>
    </xf>
    <xf numFmtId="0" fontId="3" fillId="0" borderId="11" xfId="0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30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8" xfId="0" applyFont="1" applyBorder="1" applyAlignment="1">
      <alignment horizontal="center"/>
    </xf>
    <xf numFmtId="174" fontId="3" fillId="0" borderId="7" xfId="0" applyNumberFormat="1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174" fontId="3" fillId="0" borderId="10" xfId="0" applyNumberFormat="1" applyFont="1" applyBorder="1" applyAlignment="1">
      <alignment horizontal="center"/>
    </xf>
    <xf numFmtId="0" fontId="3" fillId="0" borderId="46" xfId="0" applyFont="1" applyBorder="1" applyAlignment="1">
      <alignment horizontal="center" vertical="center"/>
    </xf>
    <xf numFmtId="169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164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9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2" fontId="4" fillId="2" borderId="12" xfId="0" applyNumberFormat="1" applyFont="1" applyFill="1" applyBorder="1" applyAlignment="1">
      <alignment horizontal="center"/>
    </xf>
    <xf numFmtId="0" fontId="3" fillId="0" borderId="46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164" fontId="3" fillId="0" borderId="29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74" fontId="3" fillId="0" borderId="12" xfId="0" applyNumberFormat="1" applyFont="1" applyBorder="1" applyAlignment="1">
      <alignment horizontal="center"/>
    </xf>
    <xf numFmtId="0" fontId="3" fillId="0" borderId="47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169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left" vertical="center"/>
    </xf>
    <xf numFmtId="0" fontId="5" fillId="0" borderId="0" xfId="0" applyFont="1"/>
    <xf numFmtId="1" fontId="6" fillId="0" borderId="3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170" fontId="6" fillId="0" borderId="14" xfId="0" applyNumberFormat="1" applyFont="1" applyBorder="1" applyAlignment="1">
      <alignment horizontal="center" vertical="center"/>
    </xf>
    <xf numFmtId="168" fontId="6" fillId="0" borderId="14" xfId="0" applyNumberFormat="1" applyFont="1" applyBorder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171" fontId="6" fillId="0" borderId="14" xfId="0" applyNumberFormat="1" applyFont="1" applyBorder="1" applyAlignment="1">
      <alignment horizontal="center" vertical="center"/>
    </xf>
    <xf numFmtId="168" fontId="6" fillId="0" borderId="17" xfId="0" applyNumberFormat="1" applyFont="1" applyBorder="1" applyAlignment="1">
      <alignment horizontal="center" vertical="center"/>
    </xf>
    <xf numFmtId="0" fontId="7" fillId="0" borderId="0" xfId="0" applyFont="1"/>
    <xf numFmtId="0" fontId="0" fillId="3" borderId="0" xfId="0" applyFill="1"/>
    <xf numFmtId="1" fontId="8" fillId="0" borderId="3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170" fontId="8" fillId="0" borderId="14" xfId="0" applyNumberFormat="1" applyFont="1" applyBorder="1" applyAlignment="1">
      <alignment horizontal="center" vertical="center"/>
    </xf>
    <xf numFmtId="168" fontId="8" fillId="0" borderId="14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171" fontId="8" fillId="0" borderId="14" xfId="0" applyNumberFormat="1" applyFont="1" applyBorder="1" applyAlignment="1">
      <alignment horizontal="center" vertical="center"/>
    </xf>
    <xf numFmtId="168" fontId="8" fillId="0" borderId="17" xfId="0" applyNumberFormat="1" applyFont="1" applyBorder="1" applyAlignment="1">
      <alignment horizontal="center" vertical="center"/>
    </xf>
    <xf numFmtId="0" fontId="9" fillId="0" borderId="0" xfId="0" applyFont="1"/>
    <xf numFmtId="1" fontId="3" fillId="4" borderId="33" xfId="0" applyNumberFormat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left" vertical="center"/>
    </xf>
    <xf numFmtId="170" fontId="3" fillId="4" borderId="14" xfId="0" applyNumberFormat="1" applyFont="1" applyFill="1" applyBorder="1" applyAlignment="1">
      <alignment horizontal="center" vertical="center"/>
    </xf>
    <xf numFmtId="168" fontId="3" fillId="4" borderId="14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71" fontId="3" fillId="4" borderId="14" xfId="0" applyNumberFormat="1" applyFont="1" applyFill="1" applyBorder="1" applyAlignment="1">
      <alignment horizontal="center" vertical="center"/>
    </xf>
    <xf numFmtId="168" fontId="3" fillId="4" borderId="17" xfId="0" applyNumberFormat="1" applyFont="1" applyFill="1" applyBorder="1" applyAlignment="1">
      <alignment horizontal="center" vertical="center"/>
    </xf>
    <xf numFmtId="0" fontId="0" fillId="4" borderId="0" xfId="0" applyFill="1"/>
    <xf numFmtId="1" fontId="3" fillId="5" borderId="33" xfId="0" applyNumberFormat="1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left" vertical="center"/>
    </xf>
    <xf numFmtId="170" fontId="3" fillId="5" borderId="14" xfId="0" applyNumberFormat="1" applyFont="1" applyFill="1" applyBorder="1" applyAlignment="1">
      <alignment horizontal="center" vertical="center"/>
    </xf>
    <xf numFmtId="168" fontId="3" fillId="5" borderId="14" xfId="0" applyNumberFormat="1" applyFont="1" applyFill="1" applyBorder="1" applyAlignment="1">
      <alignment horizontal="center" vertical="center"/>
    </xf>
    <xf numFmtId="2" fontId="3" fillId="5" borderId="14" xfId="0" applyNumberFormat="1" applyFont="1" applyFill="1" applyBorder="1" applyAlignment="1">
      <alignment horizontal="center" vertical="center"/>
    </xf>
    <xf numFmtId="171" fontId="3" fillId="5" borderId="14" xfId="0" applyNumberFormat="1" applyFont="1" applyFill="1" applyBorder="1" applyAlignment="1">
      <alignment horizontal="center" vertical="center"/>
    </xf>
    <xf numFmtId="168" fontId="3" fillId="5" borderId="17" xfId="0" applyNumberFormat="1" applyFont="1" applyFill="1" applyBorder="1" applyAlignment="1">
      <alignment horizontal="center" vertical="center"/>
    </xf>
    <xf numFmtId="0" fontId="0" fillId="5" borderId="0" xfId="0" applyFill="1"/>
    <xf numFmtId="0" fontId="7" fillId="3" borderId="0" xfId="0" applyFont="1" applyFill="1"/>
    <xf numFmtId="0" fontId="7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FFCCCC"/>
      <rgbColor rgb="00FF6600"/>
      <rgbColor rgb="00FFCC00"/>
      <rgbColor rgb="00CCFF00"/>
      <rgbColor rgb="00CCCCFF"/>
      <rgbColor rgb="00CC00FF"/>
      <rgbColor rgb="00C0DCC0"/>
      <rgbColor rgb="00006600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Relationship Id="rId9" Type="http://schemas.openxmlformats.org/officeDocument/2006/relationships/image" Target="../media/image10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7</xdr:col>
      <xdr:colOff>0</xdr:colOff>
      <xdr:row>46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FF2FB9B-EF50-245F-700F-249160FF1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8300"/>
          <a:ext cx="6908800" cy="457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</xdr:colOff>
      <xdr:row>19</xdr:row>
      <xdr:rowOff>0</xdr:rowOff>
    </xdr:from>
    <xdr:to>
      <xdr:col>8</xdr:col>
      <xdr:colOff>0</xdr:colOff>
      <xdr:row>33</xdr:row>
      <xdr:rowOff>12700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928A412-6887-091C-DA19-296FE77AC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27432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36</xdr:row>
      <xdr:rowOff>0</xdr:rowOff>
    </xdr:from>
    <xdr:to>
      <xdr:col>8</xdr:col>
      <xdr:colOff>0</xdr:colOff>
      <xdr:row>50</xdr:row>
      <xdr:rowOff>12700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7257D61F-085C-0639-E95D-9BE8EF273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53467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53</xdr:row>
      <xdr:rowOff>0</xdr:rowOff>
    </xdr:from>
    <xdr:to>
      <xdr:col>8</xdr:col>
      <xdr:colOff>0</xdr:colOff>
      <xdr:row>67</xdr:row>
      <xdr:rowOff>12700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8E2A9C27-C05F-FF9D-03DD-5000A3B46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79502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70</xdr:row>
      <xdr:rowOff>0</xdr:rowOff>
    </xdr:from>
    <xdr:to>
      <xdr:col>8</xdr:col>
      <xdr:colOff>0</xdr:colOff>
      <xdr:row>84</xdr:row>
      <xdr:rowOff>12700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E66B4343-E6E7-BB15-7185-192421FA7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05537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87</xdr:row>
      <xdr:rowOff>0</xdr:rowOff>
    </xdr:from>
    <xdr:to>
      <xdr:col>8</xdr:col>
      <xdr:colOff>0</xdr:colOff>
      <xdr:row>101</xdr:row>
      <xdr:rowOff>12700</xdr:rowOff>
    </xdr:to>
    <xdr:pic>
      <xdr:nvPicPr>
        <xdr:cNvPr id="2053" name="Picture 5">
          <a:extLst>
            <a:ext uri="{FF2B5EF4-FFF2-40B4-BE49-F238E27FC236}">
              <a16:creationId xmlns:a16="http://schemas.microsoft.com/office/drawing/2014/main" id="{95C8CCC5-B7E3-A2B6-4D59-26F353FBA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31572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104</xdr:row>
      <xdr:rowOff>0</xdr:rowOff>
    </xdr:from>
    <xdr:to>
      <xdr:col>8</xdr:col>
      <xdr:colOff>0</xdr:colOff>
      <xdr:row>118</xdr:row>
      <xdr:rowOff>12700</xdr:rowOff>
    </xdr:to>
    <xdr:pic>
      <xdr:nvPicPr>
        <xdr:cNvPr id="2054" name="Picture 6">
          <a:extLst>
            <a:ext uri="{FF2B5EF4-FFF2-40B4-BE49-F238E27FC236}">
              <a16:creationId xmlns:a16="http://schemas.microsoft.com/office/drawing/2014/main" id="{46C4AFC2-5011-76B4-EBEF-20AC76586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57607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121</xdr:row>
      <xdr:rowOff>0</xdr:rowOff>
    </xdr:from>
    <xdr:to>
      <xdr:col>8</xdr:col>
      <xdr:colOff>0</xdr:colOff>
      <xdr:row>135</xdr:row>
      <xdr:rowOff>12700</xdr:rowOff>
    </xdr:to>
    <xdr:pic>
      <xdr:nvPicPr>
        <xdr:cNvPr id="2055" name="Picture 7">
          <a:extLst>
            <a:ext uri="{FF2B5EF4-FFF2-40B4-BE49-F238E27FC236}">
              <a16:creationId xmlns:a16="http://schemas.microsoft.com/office/drawing/2014/main" id="{741C49AB-FE60-1D40-0198-07D4C2E84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83642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138</xdr:row>
      <xdr:rowOff>0</xdr:rowOff>
    </xdr:from>
    <xdr:to>
      <xdr:col>8</xdr:col>
      <xdr:colOff>0</xdr:colOff>
      <xdr:row>152</xdr:row>
      <xdr:rowOff>12700</xdr:rowOff>
    </xdr:to>
    <xdr:pic>
      <xdr:nvPicPr>
        <xdr:cNvPr id="2056" name="Picture 8">
          <a:extLst>
            <a:ext uri="{FF2B5EF4-FFF2-40B4-BE49-F238E27FC236}">
              <a16:creationId xmlns:a16="http://schemas.microsoft.com/office/drawing/2014/main" id="{F1731AEF-A53C-8F59-A0E5-6F55869DC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209677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155</xdr:row>
      <xdr:rowOff>0</xdr:rowOff>
    </xdr:from>
    <xdr:to>
      <xdr:col>8</xdr:col>
      <xdr:colOff>0</xdr:colOff>
      <xdr:row>169</xdr:row>
      <xdr:rowOff>12700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D2225359-B8E8-5E26-D19E-9430E2C3F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235712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10</xdr:col>
      <xdr:colOff>0</xdr:colOff>
      <xdr:row>30</xdr:row>
      <xdr:rowOff>152400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D5F2BF96-A349-7AF2-6C0B-25A9C337E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5700"/>
          <a:ext cx="6781800" cy="394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C5" sqref="C5"/>
    </sheetView>
  </sheetViews>
  <sheetFormatPr baseColWidth="10" defaultColWidth="9.1640625" defaultRowHeight="13" x14ac:dyDescent="0.15"/>
  <cols>
    <col min="3" max="3" width="11.5" customWidth="1"/>
    <col min="5" max="5" width="11.6640625" customWidth="1"/>
    <col min="6" max="6" width="12.5" customWidth="1"/>
    <col min="7" max="7" width="27.5" customWidth="1"/>
  </cols>
  <sheetData>
    <row r="1" spans="1:7" x14ac:dyDescent="0.15">
      <c r="C1" s="18" t="s">
        <v>0</v>
      </c>
    </row>
    <row r="3" spans="1:7" x14ac:dyDescent="0.15">
      <c r="A3" s="133" t="s">
        <v>1</v>
      </c>
      <c r="B3" s="134"/>
      <c r="C3" s="135" t="s">
        <v>2</v>
      </c>
      <c r="D3" s="136"/>
      <c r="E3" s="136"/>
      <c r="F3" s="134" t="s">
        <v>3</v>
      </c>
      <c r="G3" s="137">
        <v>10</v>
      </c>
    </row>
    <row r="4" spans="1:7" x14ac:dyDescent="0.15">
      <c r="A4" s="138" t="s">
        <v>4</v>
      </c>
      <c r="B4" s="3"/>
      <c r="C4" s="139" t="s">
        <v>5</v>
      </c>
      <c r="D4" s="5"/>
      <c r="E4" s="5"/>
      <c r="F4" s="140" t="s">
        <v>6</v>
      </c>
      <c r="G4" s="141">
        <v>1</v>
      </c>
    </row>
    <row r="5" spans="1:7" x14ac:dyDescent="0.15">
      <c r="A5" s="2" t="s">
        <v>7</v>
      </c>
      <c r="B5" s="3"/>
      <c r="C5" s="4" t="s">
        <v>8</v>
      </c>
      <c r="D5" s="5"/>
      <c r="E5" s="5"/>
      <c r="F5" s="140" t="s">
        <v>9</v>
      </c>
      <c r="G5" s="142" t="s">
        <v>10</v>
      </c>
    </row>
    <row r="6" spans="1:7" x14ac:dyDescent="0.15">
      <c r="A6" s="6" t="s">
        <v>11</v>
      </c>
      <c r="B6" s="7"/>
      <c r="C6" s="88">
        <v>46082.159189814818</v>
      </c>
      <c r="D6" s="89">
        <v>46082.159189814818</v>
      </c>
      <c r="E6" s="8"/>
      <c r="F6" s="85" t="s">
        <v>12</v>
      </c>
      <c r="G6" s="143">
        <v>30</v>
      </c>
    </row>
    <row r="8" spans="1:7" x14ac:dyDescent="0.15">
      <c r="A8" s="9" t="s">
        <v>13</v>
      </c>
      <c r="B8" s="10" t="s">
        <v>14</v>
      </c>
      <c r="C8" s="86" t="s">
        <v>15</v>
      </c>
      <c r="D8" s="10" t="s">
        <v>16</v>
      </c>
      <c r="E8" s="10" t="s">
        <v>17</v>
      </c>
      <c r="F8" s="10" t="s">
        <v>18</v>
      </c>
      <c r="G8" s="11" t="s">
        <v>19</v>
      </c>
    </row>
    <row r="9" spans="1:7" x14ac:dyDescent="0.15">
      <c r="A9" s="20" t="s">
        <v>20</v>
      </c>
      <c r="B9" s="21" t="s">
        <v>21</v>
      </c>
      <c r="C9" s="87" t="s">
        <v>20</v>
      </c>
      <c r="D9" s="21" t="s">
        <v>20</v>
      </c>
      <c r="E9" s="21" t="s">
        <v>22</v>
      </c>
      <c r="F9" s="21" t="s">
        <v>23</v>
      </c>
      <c r="G9" s="23" t="s">
        <v>20</v>
      </c>
    </row>
    <row r="10" spans="1:7" hidden="1" x14ac:dyDescent="0.15">
      <c r="A10" s="20" t="s">
        <v>24</v>
      </c>
      <c r="B10" s="197" t="s">
        <v>24</v>
      </c>
      <c r="C10" s="87" t="s">
        <v>24</v>
      </c>
      <c r="D10" s="21" t="s">
        <v>24</v>
      </c>
      <c r="E10" s="21" t="s">
        <v>24</v>
      </c>
      <c r="F10" s="21" t="s">
        <v>24</v>
      </c>
      <c r="G10" s="23" t="s">
        <v>24</v>
      </c>
    </row>
    <row r="11" spans="1:7" x14ac:dyDescent="0.15">
      <c r="A11" s="198">
        <v>2</v>
      </c>
      <c r="B11" s="199">
        <v>3.0100000000000002</v>
      </c>
      <c r="C11" s="200" t="s">
        <v>25</v>
      </c>
      <c r="D11" s="145" t="s">
        <v>26</v>
      </c>
      <c r="E11" s="13">
        <v>3.1251282988675466E-3</v>
      </c>
      <c r="F11" s="201">
        <v>1.3496078286558411E-2</v>
      </c>
      <c r="G11" s="14" t="s">
        <v>27</v>
      </c>
    </row>
    <row r="12" spans="1:7" ht="12.75" customHeight="1" x14ac:dyDescent="0.15">
      <c r="A12" s="176">
        <v>7</v>
      </c>
      <c r="B12" s="177">
        <v>4.63</v>
      </c>
      <c r="C12" s="178" t="s">
        <v>28</v>
      </c>
      <c r="D12" s="179" t="s">
        <v>26</v>
      </c>
      <c r="E12" s="180">
        <v>47.724144799753816</v>
      </c>
      <c r="F12" s="181">
        <v>312.51163887001479</v>
      </c>
      <c r="G12" s="182" t="s">
        <v>27</v>
      </c>
    </row>
    <row r="13" spans="1:7" ht="12.75" customHeight="1" x14ac:dyDescent="0.15">
      <c r="A13" s="176">
        <v>8</v>
      </c>
      <c r="B13" s="177">
        <v>5.2200000000000006</v>
      </c>
      <c r="C13" s="178" t="s">
        <v>29</v>
      </c>
      <c r="D13" s="179" t="s">
        <v>26</v>
      </c>
      <c r="E13" s="180">
        <v>0.31374402693254666</v>
      </c>
      <c r="F13" s="181">
        <v>1.2469332200886263</v>
      </c>
      <c r="G13" s="182" t="s">
        <v>27</v>
      </c>
    </row>
    <row r="14" spans="1:7" ht="12.75" customHeight="1" x14ac:dyDescent="0.15">
      <c r="A14" s="176">
        <v>9</v>
      </c>
      <c r="B14" s="177">
        <v>6.5100000000000007</v>
      </c>
      <c r="C14" s="178" t="s">
        <v>30</v>
      </c>
      <c r="D14" s="179" t="s">
        <v>26</v>
      </c>
      <c r="E14" s="180">
        <v>0.17330011501723308</v>
      </c>
      <c r="F14" s="181">
        <v>0.3230054431314624</v>
      </c>
      <c r="G14" s="182" t="s">
        <v>27</v>
      </c>
    </row>
    <row r="15" spans="1:7" ht="12.75" customHeight="1" x14ac:dyDescent="0.15">
      <c r="A15" s="176">
        <v>10</v>
      </c>
      <c r="B15" s="177">
        <v>7.9766666666666675</v>
      </c>
      <c r="C15" s="178" t="s">
        <v>31</v>
      </c>
      <c r="D15" s="179" t="s">
        <v>26</v>
      </c>
      <c r="E15" s="180">
        <v>0.19239192061792254</v>
      </c>
      <c r="F15" s="181">
        <v>0.76127241506646981</v>
      </c>
      <c r="G15" s="182" t="s">
        <v>27</v>
      </c>
    </row>
    <row r="16" spans="1:7" ht="12.75" customHeight="1" x14ac:dyDescent="0.15">
      <c r="A16" s="176">
        <v>11</v>
      </c>
      <c r="B16" s="177">
        <v>8.5066666666666677</v>
      </c>
      <c r="C16" s="178" t="s">
        <v>32</v>
      </c>
      <c r="D16" s="179" t="s">
        <v>33</v>
      </c>
      <c r="E16" s="180">
        <v>2.296677637862965E-2</v>
      </c>
      <c r="F16" s="181">
        <v>3.104666174298365E-2</v>
      </c>
      <c r="G16" s="182" t="s">
        <v>27</v>
      </c>
    </row>
    <row r="17" spans="1:7" x14ac:dyDescent="0.15">
      <c r="A17" s="15">
        <v>12</v>
      </c>
      <c r="B17" s="16">
        <v>26.023333333333333</v>
      </c>
      <c r="C17" s="144" t="s">
        <v>34</v>
      </c>
      <c r="D17" s="17" t="s">
        <v>35</v>
      </c>
      <c r="E17" s="180">
        <v>9.3182900000002178E-2</v>
      </c>
      <c r="F17" s="180">
        <v>0.12445525934861279</v>
      </c>
      <c r="G17" s="182" t="s">
        <v>27</v>
      </c>
    </row>
    <row r="18" spans="1:7" x14ac:dyDescent="0.15">
      <c r="A18" s="63"/>
      <c r="B18" s="12"/>
      <c r="C18" s="77" t="s">
        <v>36</v>
      </c>
      <c r="D18" s="90"/>
      <c r="E18" s="91">
        <f>SUM(E11:E17)</f>
        <v>48.522855666999021</v>
      </c>
      <c r="F18" s="91">
        <f>SUM(F11:F17)</f>
        <v>315.01184794767954</v>
      </c>
      <c r="G18" s="92">
        <f>SUM(G11:G17)</f>
        <v>0</v>
      </c>
    </row>
  </sheetData>
  <pageMargins left="0.75" right="0.75" top="1" bottom="1" header="0.5" footer="0.5"/>
  <pageSetup orientation="portrait"/>
  <headerFooter alignWithMargins="0">
    <oddHeader>&amp;L&amp;"Microsoft Sans Serif"&amp;08Logged on User: IC 2018
Instrument: TEST-7CVCB84LL6_1
Sequence: 20260221--V2.0ElectronDonorExperiment &amp;R&amp;"Microsoft Sans Serif"&amp;08Page &amp;P of &amp;N
&amp;D  &amp;T</oddHeader>
    <oddFooter>&amp;L&amp;"Microsoft Sans Serif"&amp;08&amp;F/&amp;A  &amp;R&amp;"Microsoft Sans Serif"&amp;08Chromeleon (c) Dionex 1996-2009
Version 7.2.10.23925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1"/>
  <sheetViews>
    <sheetView workbookViewId="0"/>
  </sheetViews>
  <sheetFormatPr baseColWidth="10" defaultColWidth="9.1640625" defaultRowHeight="13" x14ac:dyDescent="0.15"/>
  <cols>
    <col min="1" max="1" width="19.6640625" customWidth="1"/>
    <col min="2" max="2" width="10.1640625" customWidth="1"/>
    <col min="3" max="3" width="8.1640625" customWidth="1"/>
    <col min="4" max="4" width="8.83203125" customWidth="1"/>
    <col min="5" max="5" width="9" customWidth="1"/>
    <col min="6" max="6" width="12.6640625" customWidth="1"/>
    <col min="7" max="7" width="8.1640625" customWidth="1"/>
    <col min="8" max="8" width="10.6640625" customWidth="1"/>
    <col min="9" max="9" width="4.5" customWidth="1"/>
  </cols>
  <sheetData>
    <row r="1" spans="1:8" s="18" customFormat="1" ht="12.75" customHeight="1" x14ac:dyDescent="0.15">
      <c r="B1" s="18" t="s">
        <v>37</v>
      </c>
      <c r="E1" s="67"/>
    </row>
    <row r="2" spans="1:8" s="18" customFormat="1" ht="12.75" customHeight="1" x14ac:dyDescent="0.15">
      <c r="E2" s="67"/>
    </row>
    <row r="3" spans="1:8" s="1" customFormat="1" ht="12.75" customHeight="1" x14ac:dyDescent="0.15">
      <c r="A3" s="146" t="s">
        <v>38</v>
      </c>
      <c r="B3" s="135" t="s">
        <v>39</v>
      </c>
      <c r="C3" s="147"/>
      <c r="D3" s="147"/>
      <c r="E3" s="147"/>
      <c r="F3" s="148" t="s">
        <v>40</v>
      </c>
      <c r="G3" s="128">
        <v>10</v>
      </c>
      <c r="H3" s="129"/>
    </row>
    <row r="4" spans="1:8" s="1" customFormat="1" ht="12.75" customHeight="1" x14ac:dyDescent="0.15">
      <c r="A4" s="138" t="s">
        <v>7</v>
      </c>
      <c r="B4" s="4" t="s">
        <v>8</v>
      </c>
      <c r="C4" s="149"/>
      <c r="D4" s="149"/>
      <c r="E4" s="149"/>
      <c r="F4" s="140" t="s">
        <v>9</v>
      </c>
      <c r="G4" s="4" t="s">
        <v>10</v>
      </c>
      <c r="H4" s="130"/>
    </row>
    <row r="5" spans="1:8" s="1" customFormat="1" ht="12.75" customHeight="1" x14ac:dyDescent="0.15">
      <c r="A5" s="84" t="s">
        <v>11</v>
      </c>
      <c r="B5" s="88">
        <v>46082.159189814818</v>
      </c>
      <c r="C5" s="89">
        <v>46082.159189814818</v>
      </c>
      <c r="D5" s="81"/>
      <c r="E5" s="81"/>
      <c r="F5" s="85" t="s">
        <v>12</v>
      </c>
      <c r="G5" s="127">
        <v>30</v>
      </c>
      <c r="H5" s="131"/>
    </row>
    <row r="6" spans="1:8" s="1" customFormat="1" ht="12.75" customHeight="1" x14ac:dyDescent="0.15">
      <c r="B6" s="70"/>
      <c r="C6" s="71"/>
      <c r="F6" s="72"/>
    </row>
    <row r="7" spans="1:8" s="1" customFormat="1" ht="12.75" customHeight="1" x14ac:dyDescent="0.15">
      <c r="A7" s="132" t="s">
        <v>41</v>
      </c>
      <c r="B7" s="83"/>
      <c r="C7" s="71"/>
      <c r="F7" s="72"/>
    </row>
    <row r="8" spans="1:8" s="1" customFormat="1" ht="12.75" customHeight="1" x14ac:dyDescent="0.15">
      <c r="A8" s="93" t="s">
        <v>15</v>
      </c>
      <c r="B8" s="79" t="s">
        <v>42</v>
      </c>
      <c r="C8" s="10" t="s">
        <v>43</v>
      </c>
      <c r="D8" s="69" t="s">
        <v>44</v>
      </c>
      <c r="E8" s="10" t="s">
        <v>45</v>
      </c>
      <c r="F8" s="10" t="s">
        <v>46</v>
      </c>
      <c r="G8" s="10" t="s">
        <v>47</v>
      </c>
      <c r="H8" s="11" t="s">
        <v>48</v>
      </c>
    </row>
    <row r="9" spans="1:8" s="1" customFormat="1" ht="12.75" customHeight="1" x14ac:dyDescent="0.15">
      <c r="A9" s="93" t="s">
        <v>20</v>
      </c>
      <c r="B9" s="80" t="s">
        <v>20</v>
      </c>
      <c r="C9" s="21" t="s">
        <v>20</v>
      </c>
      <c r="D9" s="27" t="s">
        <v>20</v>
      </c>
      <c r="E9" s="21" t="s">
        <v>49</v>
      </c>
      <c r="F9" s="21" t="s">
        <v>50</v>
      </c>
      <c r="G9" s="21" t="s">
        <v>51</v>
      </c>
      <c r="H9" s="23" t="s">
        <v>52</v>
      </c>
    </row>
    <row r="10" spans="1:8" s="1" customFormat="1" ht="12.75" hidden="1" customHeight="1" x14ac:dyDescent="0.15">
      <c r="A10" s="93" t="s">
        <v>24</v>
      </c>
      <c r="B10" s="80" t="s">
        <v>24</v>
      </c>
      <c r="C10" s="21" t="s">
        <v>24</v>
      </c>
      <c r="D10" s="27" t="s">
        <v>24</v>
      </c>
      <c r="E10" s="22" t="s">
        <v>24</v>
      </c>
      <c r="F10" s="22" t="s">
        <v>24</v>
      </c>
      <c r="G10" s="22" t="s">
        <v>24</v>
      </c>
      <c r="H10" s="62" t="s">
        <v>24</v>
      </c>
    </row>
    <row r="11" spans="1:8" s="1" customFormat="1" ht="12.75" customHeight="1" x14ac:dyDescent="0.15">
      <c r="A11" s="204" t="s">
        <v>25</v>
      </c>
      <c r="B11" s="145" t="s">
        <v>53</v>
      </c>
      <c r="C11" s="184" t="s">
        <v>54</v>
      </c>
      <c r="D11" s="185">
        <v>0</v>
      </c>
      <c r="E11" s="13" t="s">
        <v>27</v>
      </c>
      <c r="F11" s="13" t="s">
        <v>27</v>
      </c>
      <c r="G11" s="13" t="s">
        <v>27</v>
      </c>
      <c r="H11" s="14" t="s">
        <v>27</v>
      </c>
    </row>
    <row r="12" spans="1:8" s="1" customFormat="1" ht="12.75" customHeight="1" x14ac:dyDescent="0.15">
      <c r="A12" s="183" t="s">
        <v>28</v>
      </c>
      <c r="B12" s="179" t="s">
        <v>53</v>
      </c>
      <c r="C12" s="202" t="s">
        <v>54</v>
      </c>
      <c r="D12" s="203">
        <v>0</v>
      </c>
      <c r="E12" s="180" t="s">
        <v>27</v>
      </c>
      <c r="F12" s="180" t="s">
        <v>27</v>
      </c>
      <c r="G12" s="180" t="s">
        <v>27</v>
      </c>
      <c r="H12" s="182" t="s">
        <v>27</v>
      </c>
    </row>
    <row r="13" spans="1:8" s="1" customFormat="1" ht="12.75" customHeight="1" x14ac:dyDescent="0.15">
      <c r="A13" s="183" t="s">
        <v>29</v>
      </c>
      <c r="B13" s="179" t="s">
        <v>53</v>
      </c>
      <c r="C13" s="202" t="s">
        <v>54</v>
      </c>
      <c r="D13" s="203">
        <v>0</v>
      </c>
      <c r="E13" s="180" t="s">
        <v>27</v>
      </c>
      <c r="F13" s="180" t="s">
        <v>27</v>
      </c>
      <c r="G13" s="180" t="s">
        <v>27</v>
      </c>
      <c r="H13" s="182" t="s">
        <v>27</v>
      </c>
    </row>
    <row r="14" spans="1:8" s="1" customFormat="1" ht="12.75" customHeight="1" x14ac:dyDescent="0.15">
      <c r="A14" s="183" t="s">
        <v>30</v>
      </c>
      <c r="B14" s="179" t="s">
        <v>53</v>
      </c>
      <c r="C14" s="202" t="s">
        <v>54</v>
      </c>
      <c r="D14" s="203">
        <v>0</v>
      </c>
      <c r="E14" s="180" t="s">
        <v>27</v>
      </c>
      <c r="F14" s="180" t="s">
        <v>27</v>
      </c>
      <c r="G14" s="180" t="s">
        <v>27</v>
      </c>
      <c r="H14" s="182" t="s">
        <v>27</v>
      </c>
    </row>
    <row r="15" spans="1:8" s="1" customFormat="1" ht="12.75" customHeight="1" x14ac:dyDescent="0.15">
      <c r="A15" s="183" t="s">
        <v>31</v>
      </c>
      <c r="B15" s="179" t="s">
        <v>53</v>
      </c>
      <c r="C15" s="202" t="s">
        <v>54</v>
      </c>
      <c r="D15" s="203">
        <v>0</v>
      </c>
      <c r="E15" s="180" t="s">
        <v>27</v>
      </c>
      <c r="F15" s="180" t="s">
        <v>27</v>
      </c>
      <c r="G15" s="180" t="s">
        <v>27</v>
      </c>
      <c r="H15" s="182" t="s">
        <v>27</v>
      </c>
    </row>
    <row r="16" spans="1:8" s="1" customFormat="1" ht="12.75" customHeight="1" x14ac:dyDescent="0.15">
      <c r="A16" s="183" t="s">
        <v>32</v>
      </c>
      <c r="B16" s="179" t="s">
        <v>53</v>
      </c>
      <c r="C16" s="202" t="s">
        <v>54</v>
      </c>
      <c r="D16" s="203">
        <v>0</v>
      </c>
      <c r="E16" s="180" t="s">
        <v>27</v>
      </c>
      <c r="F16" s="180" t="s">
        <v>27</v>
      </c>
      <c r="G16" s="180" t="s">
        <v>27</v>
      </c>
      <c r="H16" s="182" t="s">
        <v>27</v>
      </c>
    </row>
    <row r="17" spans="1:8" s="1" customFormat="1" ht="12.75" customHeight="1" x14ac:dyDescent="0.15">
      <c r="A17" s="94" t="s">
        <v>34</v>
      </c>
      <c r="B17" s="179" t="s">
        <v>53</v>
      </c>
      <c r="C17" s="186" t="s">
        <v>54</v>
      </c>
      <c r="D17" s="187">
        <v>0</v>
      </c>
      <c r="E17" s="180" t="s">
        <v>27</v>
      </c>
      <c r="F17" s="180" t="s">
        <v>27</v>
      </c>
      <c r="G17" s="180" t="s">
        <v>27</v>
      </c>
      <c r="H17" s="182" t="s">
        <v>27</v>
      </c>
    </row>
    <row r="18" spans="1:8" s="1" customFormat="1" ht="12.75" customHeight="1" x14ac:dyDescent="0.15">
      <c r="A18" s="78"/>
      <c r="B18" s="73"/>
      <c r="C18" s="77" t="s">
        <v>55</v>
      </c>
      <c r="D18" s="19"/>
      <c r="E18" s="74" t="e">
        <f>AVERAGE(E11:E17)</f>
        <v>#DIV/0!</v>
      </c>
      <c r="F18" s="74" t="e">
        <f>AVERAGE(F11:F17)</f>
        <v>#DIV/0!</v>
      </c>
      <c r="G18" s="75" t="e">
        <f>AVERAGE(G11:G17)</f>
        <v>#DIV/0!</v>
      </c>
      <c r="H18" s="76" t="e">
        <f>AVERAGE(H11:H17)</f>
        <v>#DIV/0!</v>
      </c>
    </row>
    <row r="19" spans="1:8" s="1" customFormat="1" ht="12.75" customHeight="1" x14ac:dyDescent="0.15">
      <c r="B19" s="70"/>
      <c r="C19" s="71"/>
      <c r="F19" s="72"/>
      <c r="H19"/>
    </row>
    <row r="20" spans="1:8" ht="12.75" customHeight="1" x14ac:dyDescent="0.15">
      <c r="A20" s="95" t="s">
        <v>56</v>
      </c>
      <c r="B20" s="96" t="s">
        <v>57</v>
      </c>
      <c r="C20" s="97" t="s">
        <v>53</v>
      </c>
      <c r="D20" s="97" t="s">
        <v>18</v>
      </c>
      <c r="E20" s="98" t="s">
        <v>58</v>
      </c>
      <c r="F20" s="68"/>
    </row>
    <row r="21" spans="1:8" ht="12.75" customHeight="1" x14ac:dyDescent="0.15">
      <c r="A21" s="99" t="s">
        <v>20</v>
      </c>
      <c r="B21" s="100" t="s">
        <v>21</v>
      </c>
      <c r="C21" s="101" t="s">
        <v>22</v>
      </c>
      <c r="D21" s="101" t="s">
        <v>23</v>
      </c>
      <c r="E21" s="102" t="s">
        <v>20</v>
      </c>
      <c r="F21" s="68"/>
    </row>
    <row r="22" spans="1:8" ht="12.75" customHeight="1" x14ac:dyDescent="0.15">
      <c r="A22" s="119" t="s">
        <v>20</v>
      </c>
      <c r="B22" s="100" t="s">
        <v>24</v>
      </c>
      <c r="C22" s="101" t="s">
        <v>24</v>
      </c>
      <c r="D22" s="101" t="s">
        <v>24</v>
      </c>
      <c r="E22" s="102" t="s">
        <v>24</v>
      </c>
      <c r="F22" s="68"/>
    </row>
    <row r="23" spans="1:8" ht="12.75" customHeight="1" x14ac:dyDescent="0.15">
      <c r="A23" s="103" t="s">
        <v>20</v>
      </c>
      <c r="B23" s="104" t="s">
        <v>25</v>
      </c>
      <c r="C23" s="105" t="s">
        <v>25</v>
      </c>
      <c r="D23" s="105" t="s">
        <v>25</v>
      </c>
      <c r="E23" s="106" t="s">
        <v>25</v>
      </c>
      <c r="F23" s="68"/>
    </row>
    <row r="24" spans="1:8" ht="12.75" customHeight="1" x14ac:dyDescent="0.15">
      <c r="A24" s="103" t="s">
        <v>59</v>
      </c>
      <c r="B24" s="107">
        <v>2.9833333333333334</v>
      </c>
      <c r="C24" s="108">
        <v>3.0708852941175868E-2</v>
      </c>
      <c r="D24" s="114">
        <v>3.6926134453781456E-2</v>
      </c>
      <c r="E24" s="109" t="s">
        <v>27</v>
      </c>
      <c r="F24" s="68"/>
    </row>
    <row r="25" spans="1:8" ht="12.75" customHeight="1" x14ac:dyDescent="0.15">
      <c r="A25" s="103" t="s">
        <v>60</v>
      </c>
      <c r="B25" s="107">
        <v>3.0733333333333337</v>
      </c>
      <c r="C25" s="108">
        <v>0.75531452274826871</v>
      </c>
      <c r="D25" s="114">
        <v>3.7483883833718248</v>
      </c>
      <c r="E25" s="109" t="s">
        <v>27</v>
      </c>
      <c r="F25" s="68"/>
    </row>
    <row r="26" spans="1:8" ht="12.75" customHeight="1" x14ac:dyDescent="0.15">
      <c r="A26" s="103" t="s">
        <v>61</v>
      </c>
      <c r="B26" s="107">
        <v>3.08</v>
      </c>
      <c r="C26" s="108">
        <v>1.3809058842534776</v>
      </c>
      <c r="D26" s="114">
        <v>6.3708201423932058</v>
      </c>
      <c r="E26" s="109" t="s">
        <v>27</v>
      </c>
      <c r="F26" s="68"/>
    </row>
    <row r="27" spans="1:8" ht="12.75" customHeight="1" x14ac:dyDescent="0.15">
      <c r="A27" s="103" t="s">
        <v>62</v>
      </c>
      <c r="B27" s="107">
        <v>3.0833333333333335</v>
      </c>
      <c r="C27" s="108">
        <v>2.4475970833932563</v>
      </c>
      <c r="D27" s="114">
        <v>9.8177272265023134</v>
      </c>
      <c r="E27" s="109" t="s">
        <v>27</v>
      </c>
      <c r="F27" s="68"/>
    </row>
    <row r="28" spans="1:8" ht="12.75" customHeight="1" x14ac:dyDescent="0.15">
      <c r="A28" s="103" t="s">
        <v>59</v>
      </c>
      <c r="B28" s="107">
        <v>2.9833333333333334</v>
      </c>
      <c r="C28" s="108">
        <v>7.4291666666663758E-3</v>
      </c>
      <c r="D28" s="114">
        <v>2.20183529411766E-2</v>
      </c>
      <c r="E28" s="109" t="s">
        <v>27</v>
      </c>
      <c r="F28" s="68"/>
    </row>
    <row r="29" spans="1:8" ht="12.75" customHeight="1" x14ac:dyDescent="0.15">
      <c r="A29" s="103" t="s">
        <v>63</v>
      </c>
      <c r="B29" s="107">
        <v>3.0633333333333335</v>
      </c>
      <c r="C29" s="108">
        <v>0.15279939400000031</v>
      </c>
      <c r="D29" s="114">
        <v>0.78447832000000006</v>
      </c>
      <c r="E29" s="109" t="s">
        <v>27</v>
      </c>
      <c r="F29" s="68"/>
    </row>
    <row r="30" spans="1:8" ht="12.75" customHeight="1" x14ac:dyDescent="0.15">
      <c r="A30" s="103" t="s">
        <v>64</v>
      </c>
      <c r="B30" s="107">
        <v>3.0633333333333335</v>
      </c>
      <c r="C30" s="108">
        <v>0.18699353763016191</v>
      </c>
      <c r="D30" s="114">
        <v>0.99853367684021554</v>
      </c>
      <c r="E30" s="109" t="s">
        <v>27</v>
      </c>
      <c r="F30" s="68"/>
    </row>
    <row r="31" spans="1:8" ht="12.75" customHeight="1" x14ac:dyDescent="0.15">
      <c r="A31" s="103" t="s">
        <v>65</v>
      </c>
      <c r="B31" s="107">
        <v>3.0666666666666669</v>
      </c>
      <c r="C31" s="108">
        <v>0.24614132932583155</v>
      </c>
      <c r="D31" s="114">
        <v>1.4064561563517919</v>
      </c>
      <c r="E31" s="109" t="s">
        <v>27</v>
      </c>
      <c r="F31" s="68"/>
    </row>
    <row r="32" spans="1:8" ht="12.75" customHeight="1" x14ac:dyDescent="0.15">
      <c r="A32" s="103" t="s">
        <v>66</v>
      </c>
      <c r="B32" s="107">
        <v>3.0700000000000003</v>
      </c>
      <c r="C32" s="108">
        <v>0.39889588945762022</v>
      </c>
      <c r="D32" s="114">
        <v>1.9468449432697268</v>
      </c>
      <c r="E32" s="109" t="s">
        <v>27</v>
      </c>
      <c r="F32" s="68"/>
    </row>
    <row r="33" spans="1:6" ht="12.75" customHeight="1" x14ac:dyDescent="0.15">
      <c r="A33" s="110" t="s">
        <v>67</v>
      </c>
      <c r="B33" s="111">
        <v>3.0700000000000003</v>
      </c>
      <c r="C33" s="112">
        <v>0.4353255393902159</v>
      </c>
      <c r="D33" s="115">
        <v>2.1190891896869246</v>
      </c>
      <c r="E33" s="113" t="s">
        <v>27</v>
      </c>
      <c r="F33" s="68"/>
    </row>
    <row r="34" spans="1:6" ht="12.5" customHeight="1" x14ac:dyDescent="0.15">
      <c r="A34" s="118" t="s">
        <v>68</v>
      </c>
      <c r="B34" s="116">
        <f>AVERAGE(B24:B33)</f>
        <v>3.0536666666666665</v>
      </c>
      <c r="C34" s="66"/>
      <c r="E34" s="68"/>
    </row>
    <row r="35" spans="1:6" ht="12.5" customHeight="1" x14ac:dyDescent="0.15">
      <c r="A35" s="118" t="s">
        <v>69</v>
      </c>
      <c r="B35" s="117">
        <f>STDEV(B24:B33)/AVERAGE(B24:B33)</f>
        <v>1.232249465672744E-2</v>
      </c>
      <c r="E35" s="68"/>
    </row>
    <row r="37" spans="1:6" ht="12.75" customHeight="1" x14ac:dyDescent="0.15">
      <c r="A37" s="95" t="s">
        <v>56</v>
      </c>
      <c r="B37" s="96" t="s">
        <v>57</v>
      </c>
      <c r="C37" s="97" t="s">
        <v>53</v>
      </c>
      <c r="D37" s="97" t="s">
        <v>18</v>
      </c>
      <c r="E37" s="98" t="s">
        <v>58</v>
      </c>
      <c r="F37" s="68"/>
    </row>
    <row r="38" spans="1:6" ht="12.75" customHeight="1" x14ac:dyDescent="0.15">
      <c r="A38" s="99" t="s">
        <v>20</v>
      </c>
      <c r="B38" s="100" t="s">
        <v>21</v>
      </c>
      <c r="C38" s="101" t="s">
        <v>22</v>
      </c>
      <c r="D38" s="101" t="s">
        <v>23</v>
      </c>
      <c r="E38" s="102" t="s">
        <v>20</v>
      </c>
      <c r="F38" s="68"/>
    </row>
    <row r="39" spans="1:6" ht="12.75" customHeight="1" x14ac:dyDescent="0.15">
      <c r="A39" s="119" t="s">
        <v>20</v>
      </c>
      <c r="B39" s="100" t="s">
        <v>24</v>
      </c>
      <c r="C39" s="101" t="s">
        <v>24</v>
      </c>
      <c r="D39" s="101" t="s">
        <v>24</v>
      </c>
      <c r="E39" s="102" t="s">
        <v>24</v>
      </c>
      <c r="F39" s="68"/>
    </row>
    <row r="40" spans="1:6" ht="12.75" customHeight="1" x14ac:dyDescent="0.15">
      <c r="A40" s="103" t="s">
        <v>20</v>
      </c>
      <c r="B40" s="104" t="s">
        <v>28</v>
      </c>
      <c r="C40" s="105" t="s">
        <v>28</v>
      </c>
      <c r="D40" s="105" t="s">
        <v>28</v>
      </c>
      <c r="E40" s="106" t="s">
        <v>28</v>
      </c>
      <c r="F40" s="68"/>
    </row>
    <row r="41" spans="1:6" ht="12.75" customHeight="1" x14ac:dyDescent="0.15">
      <c r="A41" s="103" t="s">
        <v>59</v>
      </c>
      <c r="B41" s="107">
        <v>4.5666666666666673</v>
      </c>
      <c r="C41" s="108">
        <v>5.9284909383752749E-2</v>
      </c>
      <c r="D41" s="114">
        <v>0.1460499159663865</v>
      </c>
      <c r="E41" s="109" t="s">
        <v>27</v>
      </c>
      <c r="F41" s="68"/>
    </row>
    <row r="42" spans="1:6" ht="12.75" customHeight="1" x14ac:dyDescent="0.15">
      <c r="A42" s="103" t="s">
        <v>60</v>
      </c>
      <c r="B42" s="107">
        <v>4.5666666666666673</v>
      </c>
      <c r="C42" s="108">
        <v>6.6206856966898098E-2</v>
      </c>
      <c r="D42" s="114">
        <v>0.19821411085450358</v>
      </c>
      <c r="E42" s="109" t="s">
        <v>27</v>
      </c>
      <c r="F42" s="68"/>
    </row>
    <row r="43" spans="1:6" ht="12.75" customHeight="1" x14ac:dyDescent="0.15">
      <c r="A43" s="103" t="s">
        <v>61</v>
      </c>
      <c r="B43" s="107">
        <v>4.5666666666666673</v>
      </c>
      <c r="C43" s="108">
        <v>0.12247340861437273</v>
      </c>
      <c r="D43" s="114">
        <v>0.69450069947539339</v>
      </c>
      <c r="E43" s="109" t="s">
        <v>27</v>
      </c>
      <c r="F43" s="68"/>
    </row>
    <row r="44" spans="1:6" ht="12.75" customHeight="1" x14ac:dyDescent="0.15">
      <c r="A44" s="103" t="s">
        <v>62</v>
      </c>
      <c r="B44" s="107">
        <v>4.5666666666666673</v>
      </c>
      <c r="C44" s="108">
        <v>9.598185279917848E-2</v>
      </c>
      <c r="D44" s="114">
        <v>0.47221183872624561</v>
      </c>
      <c r="E44" s="109" t="s">
        <v>27</v>
      </c>
      <c r="F44" s="68"/>
    </row>
    <row r="45" spans="1:6" ht="12.75" customHeight="1" x14ac:dyDescent="0.15">
      <c r="A45" s="103" t="s">
        <v>59</v>
      </c>
      <c r="B45" s="107">
        <v>4.5666666666666673</v>
      </c>
      <c r="C45" s="108">
        <v>6.6867244418114868E-2</v>
      </c>
      <c r="D45" s="114">
        <v>0.19609859399684038</v>
      </c>
      <c r="E45" s="109" t="s">
        <v>27</v>
      </c>
      <c r="F45" s="68"/>
    </row>
    <row r="46" spans="1:6" ht="12.75" customHeight="1" x14ac:dyDescent="0.15">
      <c r="A46" s="103" t="s">
        <v>63</v>
      </c>
      <c r="B46" s="107">
        <v>4.5666666666666673</v>
      </c>
      <c r="C46" s="108">
        <v>7.8765377866665265E-2</v>
      </c>
      <c r="D46" s="114">
        <v>0.29949880000000006</v>
      </c>
      <c r="E46" s="109" t="s">
        <v>27</v>
      </c>
      <c r="F46" s="68"/>
    </row>
    <row r="47" spans="1:6" ht="12.75" customHeight="1" x14ac:dyDescent="0.15">
      <c r="A47" s="103" t="s">
        <v>64</v>
      </c>
      <c r="B47" s="107">
        <v>4.5666666666666673</v>
      </c>
      <c r="C47" s="108">
        <v>7.177782721124859E-2</v>
      </c>
      <c r="D47" s="114">
        <v>0.27542540394973059</v>
      </c>
      <c r="E47" s="109" t="s">
        <v>27</v>
      </c>
      <c r="F47" s="68"/>
    </row>
    <row r="48" spans="1:6" ht="12.75" customHeight="1" x14ac:dyDescent="0.15">
      <c r="A48" s="103" t="s">
        <v>65</v>
      </c>
      <c r="B48" s="107">
        <v>4.57</v>
      </c>
      <c r="C48" s="108">
        <v>1.0162091069687109</v>
      </c>
      <c r="D48" s="114">
        <v>6.6909643973941373</v>
      </c>
      <c r="E48" s="109" t="s">
        <v>27</v>
      </c>
      <c r="F48" s="68"/>
    </row>
    <row r="49" spans="1:6" ht="12.75" customHeight="1" x14ac:dyDescent="0.15">
      <c r="A49" s="103" t="s">
        <v>66</v>
      </c>
      <c r="B49" s="107">
        <v>4.5666666666666673</v>
      </c>
      <c r="C49" s="108">
        <v>5.0377216666666724E-2</v>
      </c>
      <c r="D49" s="114">
        <v>0.3313390454545454</v>
      </c>
      <c r="E49" s="109" t="s">
        <v>27</v>
      </c>
      <c r="F49" s="68"/>
    </row>
    <row r="50" spans="1:6" ht="12.75" customHeight="1" x14ac:dyDescent="0.15">
      <c r="A50" s="110" t="s">
        <v>67</v>
      </c>
      <c r="B50" s="111">
        <v>4.5666666666666673</v>
      </c>
      <c r="C50" s="112">
        <v>3.7888999999999728E-2</v>
      </c>
      <c r="D50" s="115">
        <v>0.24716904109589044</v>
      </c>
      <c r="E50" s="113" t="s">
        <v>27</v>
      </c>
      <c r="F50" s="68"/>
    </row>
    <row r="51" spans="1:6" ht="12" customHeight="1" x14ac:dyDescent="0.15">
      <c r="A51" s="118" t="s">
        <v>68</v>
      </c>
      <c r="B51" s="116">
        <f>AVERAGE(B41:B50)</f>
        <v>4.5670000000000011</v>
      </c>
      <c r="C51" s="66"/>
      <c r="E51" s="68"/>
    </row>
    <row r="52" spans="1:6" ht="12" customHeight="1" x14ac:dyDescent="0.15">
      <c r="A52" s="118" t="s">
        <v>69</v>
      </c>
      <c r="B52" s="117">
        <f>STDEV(B41:B50)/AVERAGE(B41:B50)</f>
        <v>2.3080633969549887E-4</v>
      </c>
      <c r="E52" s="68"/>
    </row>
    <row r="54" spans="1:6" ht="12.75" customHeight="1" x14ac:dyDescent="0.15">
      <c r="A54" s="95" t="s">
        <v>56</v>
      </c>
      <c r="B54" s="96" t="s">
        <v>57</v>
      </c>
      <c r="C54" s="97" t="s">
        <v>53</v>
      </c>
      <c r="D54" s="97" t="s">
        <v>18</v>
      </c>
      <c r="E54" s="98" t="s">
        <v>58</v>
      </c>
      <c r="F54" s="68"/>
    </row>
    <row r="55" spans="1:6" ht="12.75" customHeight="1" x14ac:dyDescent="0.15">
      <c r="A55" s="99" t="s">
        <v>20</v>
      </c>
      <c r="B55" s="100" t="s">
        <v>21</v>
      </c>
      <c r="C55" s="101" t="s">
        <v>22</v>
      </c>
      <c r="D55" s="101" t="s">
        <v>23</v>
      </c>
      <c r="E55" s="102" t="s">
        <v>20</v>
      </c>
      <c r="F55" s="68"/>
    </row>
    <row r="56" spans="1:6" ht="12.75" customHeight="1" x14ac:dyDescent="0.15">
      <c r="A56" s="119" t="s">
        <v>20</v>
      </c>
      <c r="B56" s="100" t="s">
        <v>24</v>
      </c>
      <c r="C56" s="101" t="s">
        <v>24</v>
      </c>
      <c r="D56" s="101" t="s">
        <v>24</v>
      </c>
      <c r="E56" s="102" t="s">
        <v>24</v>
      </c>
      <c r="F56" s="68"/>
    </row>
    <row r="57" spans="1:6" ht="12.75" customHeight="1" x14ac:dyDescent="0.15">
      <c r="A57" s="103" t="s">
        <v>20</v>
      </c>
      <c r="B57" s="104" t="s">
        <v>29</v>
      </c>
      <c r="C57" s="105" t="s">
        <v>29</v>
      </c>
      <c r="D57" s="105" t="s">
        <v>29</v>
      </c>
      <c r="E57" s="106" t="s">
        <v>29</v>
      </c>
      <c r="F57" s="68"/>
    </row>
    <row r="58" spans="1:6" ht="12.75" customHeight="1" x14ac:dyDescent="0.15">
      <c r="A58" s="103" t="s">
        <v>59</v>
      </c>
      <c r="B58" s="107">
        <v>5.2333333333333334</v>
      </c>
      <c r="C58" s="108">
        <v>1.8356666666663468E-4</v>
      </c>
      <c r="D58" s="114">
        <v>1.0594214876032959E-3</v>
      </c>
      <c r="E58" s="109" t="s">
        <v>27</v>
      </c>
      <c r="F58" s="68"/>
    </row>
    <row r="59" spans="1:6" ht="12.75" customHeight="1" x14ac:dyDescent="0.15">
      <c r="A59" s="103" t="s">
        <v>60</v>
      </c>
      <c r="B59" s="107" t="s">
        <v>27</v>
      </c>
      <c r="C59" s="108" t="s">
        <v>27</v>
      </c>
      <c r="D59" s="114" t="s">
        <v>27</v>
      </c>
      <c r="E59" s="109" t="s">
        <v>27</v>
      </c>
      <c r="F59" s="68"/>
    </row>
    <row r="60" spans="1:6" ht="12.75" customHeight="1" x14ac:dyDescent="0.15">
      <c r="A60" s="103" t="s">
        <v>61</v>
      </c>
      <c r="B60" s="107">
        <v>5.1933333333333334</v>
      </c>
      <c r="C60" s="108">
        <v>2.6083031097509757E-2</v>
      </c>
      <c r="D60" s="114">
        <v>2.7720934299275468E-2</v>
      </c>
      <c r="E60" s="109" t="s">
        <v>27</v>
      </c>
      <c r="F60" s="68"/>
    </row>
    <row r="61" spans="1:6" ht="12.75" customHeight="1" x14ac:dyDescent="0.15">
      <c r="A61" s="103" t="s">
        <v>62</v>
      </c>
      <c r="B61" s="107">
        <v>5.2266666666666666</v>
      </c>
      <c r="C61" s="108">
        <v>2.2264357361753806E-2</v>
      </c>
      <c r="D61" s="114">
        <v>2.8609126861838807E-2</v>
      </c>
      <c r="E61" s="109" t="s">
        <v>27</v>
      </c>
      <c r="F61" s="68"/>
    </row>
    <row r="62" spans="1:6" ht="12.75" customHeight="1" x14ac:dyDescent="0.15">
      <c r="A62" s="103" t="s">
        <v>59</v>
      </c>
      <c r="B62" s="107">
        <v>5.2366666666666672</v>
      </c>
      <c r="C62" s="108">
        <v>1.7874720300157465E-2</v>
      </c>
      <c r="D62" s="114">
        <v>1.8750821484992075E-2</v>
      </c>
      <c r="E62" s="109" t="s">
        <v>27</v>
      </c>
      <c r="F62" s="68"/>
    </row>
    <row r="63" spans="1:6" ht="12.75" customHeight="1" x14ac:dyDescent="0.15">
      <c r="A63" s="103" t="s">
        <v>63</v>
      </c>
      <c r="B63" s="107" t="s">
        <v>27</v>
      </c>
      <c r="C63" s="108" t="s">
        <v>27</v>
      </c>
      <c r="D63" s="114" t="s">
        <v>27</v>
      </c>
      <c r="E63" s="109" t="s">
        <v>27</v>
      </c>
      <c r="F63" s="68"/>
    </row>
    <row r="64" spans="1:6" ht="12.75" customHeight="1" x14ac:dyDescent="0.15">
      <c r="A64" s="103" t="s">
        <v>64</v>
      </c>
      <c r="B64" s="107" t="s">
        <v>27</v>
      </c>
      <c r="C64" s="108" t="s">
        <v>27</v>
      </c>
      <c r="D64" s="114" t="s">
        <v>27</v>
      </c>
      <c r="E64" s="109" t="s">
        <v>27</v>
      </c>
      <c r="F64" s="68"/>
    </row>
    <row r="65" spans="1:6" ht="12.75" customHeight="1" x14ac:dyDescent="0.15">
      <c r="A65" s="103" t="s">
        <v>65</v>
      </c>
      <c r="B65" s="107" t="s">
        <v>27</v>
      </c>
      <c r="C65" s="108" t="s">
        <v>27</v>
      </c>
      <c r="D65" s="114" t="s">
        <v>27</v>
      </c>
      <c r="E65" s="109" t="s">
        <v>27</v>
      </c>
      <c r="F65" s="68"/>
    </row>
    <row r="66" spans="1:6" ht="12.75" customHeight="1" x14ac:dyDescent="0.15">
      <c r="A66" s="103" t="s">
        <v>66</v>
      </c>
      <c r="B66" s="107" t="s">
        <v>27</v>
      </c>
      <c r="C66" s="108" t="s">
        <v>27</v>
      </c>
      <c r="D66" s="114" t="s">
        <v>27</v>
      </c>
      <c r="E66" s="109" t="s">
        <v>27</v>
      </c>
      <c r="F66" s="68"/>
    </row>
    <row r="67" spans="1:6" ht="12.75" customHeight="1" x14ac:dyDescent="0.15">
      <c r="A67" s="110" t="s">
        <v>67</v>
      </c>
      <c r="B67" s="111" t="s">
        <v>27</v>
      </c>
      <c r="C67" s="112" t="s">
        <v>27</v>
      </c>
      <c r="D67" s="115" t="s">
        <v>27</v>
      </c>
      <c r="E67" s="113" t="s">
        <v>27</v>
      </c>
      <c r="F67" s="68"/>
    </row>
    <row r="68" spans="1:6" ht="12" customHeight="1" x14ac:dyDescent="0.15">
      <c r="A68" s="118" t="s">
        <v>68</v>
      </c>
      <c r="B68" s="116">
        <f>AVERAGE(B58:B67)</f>
        <v>5.2225000000000001</v>
      </c>
      <c r="C68" s="66"/>
      <c r="E68" s="68"/>
    </row>
    <row r="69" spans="1:6" ht="12" customHeight="1" x14ac:dyDescent="0.15">
      <c r="A69" s="118" t="s">
        <v>69</v>
      </c>
      <c r="B69" s="117">
        <f>STDEV(B58:B67)/AVERAGE(B58:B67)</f>
        <v>3.8073570912554437E-3</v>
      </c>
      <c r="E69" s="68"/>
    </row>
    <row r="71" spans="1:6" ht="12.75" customHeight="1" x14ac:dyDescent="0.15">
      <c r="A71" s="95" t="s">
        <v>56</v>
      </c>
      <c r="B71" s="96" t="s">
        <v>57</v>
      </c>
      <c r="C71" s="97" t="s">
        <v>53</v>
      </c>
      <c r="D71" s="97" t="s">
        <v>18</v>
      </c>
      <c r="E71" s="98" t="s">
        <v>58</v>
      </c>
      <c r="F71" s="68"/>
    </row>
    <row r="72" spans="1:6" ht="12.75" customHeight="1" x14ac:dyDescent="0.15">
      <c r="A72" s="99" t="s">
        <v>20</v>
      </c>
      <c r="B72" s="100" t="s">
        <v>21</v>
      </c>
      <c r="C72" s="101" t="s">
        <v>22</v>
      </c>
      <c r="D72" s="101" t="s">
        <v>23</v>
      </c>
      <c r="E72" s="102" t="s">
        <v>20</v>
      </c>
      <c r="F72" s="68"/>
    </row>
    <row r="73" spans="1:6" ht="12.75" customHeight="1" x14ac:dyDescent="0.15">
      <c r="A73" s="119" t="s">
        <v>20</v>
      </c>
      <c r="B73" s="100" t="s">
        <v>24</v>
      </c>
      <c r="C73" s="101" t="s">
        <v>24</v>
      </c>
      <c r="D73" s="101" t="s">
        <v>24</v>
      </c>
      <c r="E73" s="102" t="s">
        <v>24</v>
      </c>
      <c r="F73" s="68"/>
    </row>
    <row r="74" spans="1:6" ht="12.75" customHeight="1" x14ac:dyDescent="0.15">
      <c r="A74" s="103" t="s">
        <v>20</v>
      </c>
      <c r="B74" s="104" t="s">
        <v>30</v>
      </c>
      <c r="C74" s="105" t="s">
        <v>30</v>
      </c>
      <c r="D74" s="105" t="s">
        <v>30</v>
      </c>
      <c r="E74" s="106" t="s">
        <v>30</v>
      </c>
      <c r="F74" s="68"/>
    </row>
    <row r="75" spans="1:6" ht="12.75" customHeight="1" x14ac:dyDescent="0.15">
      <c r="A75" s="103" t="s">
        <v>59</v>
      </c>
      <c r="B75" s="107">
        <v>6.5566666666666666</v>
      </c>
      <c r="C75" s="108">
        <v>4.4050040336133689E-2</v>
      </c>
      <c r="D75" s="114">
        <v>6.3272352941176502E-2</v>
      </c>
      <c r="E75" s="109" t="s">
        <v>27</v>
      </c>
      <c r="F75" s="68"/>
    </row>
    <row r="76" spans="1:6" ht="12.75" customHeight="1" x14ac:dyDescent="0.15">
      <c r="A76" s="103" t="s">
        <v>60</v>
      </c>
      <c r="B76" s="107">
        <v>6.58</v>
      </c>
      <c r="C76" s="108">
        <v>3.1231198883756583E-2</v>
      </c>
      <c r="D76" s="114">
        <v>3.845540415704396E-2</v>
      </c>
      <c r="E76" s="109" t="s">
        <v>27</v>
      </c>
      <c r="F76" s="68"/>
    </row>
    <row r="77" spans="1:6" ht="12.75" customHeight="1" x14ac:dyDescent="0.15">
      <c r="A77" s="103" t="s">
        <v>61</v>
      </c>
      <c r="B77" s="107">
        <v>6.5866666666666669</v>
      </c>
      <c r="C77" s="108">
        <v>2.7944052743774983E-2</v>
      </c>
      <c r="D77" s="114">
        <v>4.4821456407694193E-2</v>
      </c>
      <c r="E77" s="109" t="s">
        <v>27</v>
      </c>
      <c r="F77" s="68"/>
    </row>
    <row r="78" spans="1:6" ht="12.75" customHeight="1" x14ac:dyDescent="0.15">
      <c r="A78" s="103" t="s">
        <v>62</v>
      </c>
      <c r="B78" s="107">
        <v>6.5833333333333339</v>
      </c>
      <c r="C78" s="108">
        <v>2.2057753886320364E-2</v>
      </c>
      <c r="D78" s="114">
        <v>3.9867996918335868E-2</v>
      </c>
      <c r="E78" s="109" t="s">
        <v>27</v>
      </c>
      <c r="F78" s="68"/>
    </row>
    <row r="79" spans="1:6" ht="12.75" customHeight="1" x14ac:dyDescent="0.15">
      <c r="A79" s="103" t="s">
        <v>59</v>
      </c>
      <c r="B79" s="107">
        <v>6.5833333333333339</v>
      </c>
      <c r="C79" s="108">
        <v>4.5011605845182157E-2</v>
      </c>
      <c r="D79" s="114">
        <v>6.3912164296998419E-2</v>
      </c>
      <c r="E79" s="109" t="s">
        <v>27</v>
      </c>
      <c r="F79" s="68"/>
    </row>
    <row r="80" spans="1:6" ht="12.75" customHeight="1" x14ac:dyDescent="0.15">
      <c r="A80" s="103" t="s">
        <v>63</v>
      </c>
      <c r="B80" s="107">
        <v>6.5200000000000005</v>
      </c>
      <c r="C80" s="108">
        <v>0.21889585000000089</v>
      </c>
      <c r="D80" s="114">
        <v>0.41839408000000011</v>
      </c>
      <c r="E80" s="109" t="s">
        <v>27</v>
      </c>
      <c r="F80" s="68"/>
    </row>
    <row r="81" spans="1:6" ht="12.75" customHeight="1" x14ac:dyDescent="0.15">
      <c r="A81" s="103" t="s">
        <v>64</v>
      </c>
      <c r="B81" s="107">
        <v>6.5633333333333335</v>
      </c>
      <c r="C81" s="108">
        <v>5.8527883393178382E-2</v>
      </c>
      <c r="D81" s="114">
        <v>9.8585059245960505E-2</v>
      </c>
      <c r="E81" s="109" t="s">
        <v>27</v>
      </c>
      <c r="F81" s="68"/>
    </row>
    <row r="82" spans="1:6" ht="12.75" customHeight="1" x14ac:dyDescent="0.15">
      <c r="A82" s="103" t="s">
        <v>65</v>
      </c>
      <c r="B82" s="107">
        <v>6.5633333333333335</v>
      </c>
      <c r="C82" s="108">
        <v>6.5123894842561647E-2</v>
      </c>
      <c r="D82" s="114">
        <v>0.10496186556114906</v>
      </c>
      <c r="E82" s="109" t="s">
        <v>27</v>
      </c>
      <c r="F82" s="68"/>
    </row>
    <row r="83" spans="1:6" ht="12.75" customHeight="1" x14ac:dyDescent="0.15">
      <c r="A83" s="103" t="s">
        <v>66</v>
      </c>
      <c r="B83" s="107">
        <v>6.5633333333333335</v>
      </c>
      <c r="C83" s="108">
        <v>6.8789940914562031E-2</v>
      </c>
      <c r="D83" s="114">
        <v>0.10690053378029918</v>
      </c>
      <c r="E83" s="109" t="s">
        <v>27</v>
      </c>
      <c r="F83" s="68"/>
    </row>
    <row r="84" spans="1:6" ht="12.75" customHeight="1" x14ac:dyDescent="0.15">
      <c r="A84" s="110" t="s">
        <v>67</v>
      </c>
      <c r="B84" s="111">
        <v>6.5633333333333335</v>
      </c>
      <c r="C84" s="112">
        <v>6.1888209208102118E-2</v>
      </c>
      <c r="D84" s="115">
        <v>0.10123424186617547</v>
      </c>
      <c r="E84" s="113" t="s">
        <v>27</v>
      </c>
      <c r="F84" s="68"/>
    </row>
    <row r="85" spans="1:6" ht="12" customHeight="1" x14ac:dyDescent="0.15">
      <c r="A85" s="118" t="s">
        <v>68</v>
      </c>
      <c r="B85" s="116">
        <f>AVERAGE(B75:B84)</f>
        <v>6.5663333333333345</v>
      </c>
      <c r="C85" s="66"/>
      <c r="E85" s="68"/>
    </row>
    <row r="86" spans="1:6" ht="12" customHeight="1" x14ac:dyDescent="0.15">
      <c r="A86" s="118" t="s">
        <v>69</v>
      </c>
      <c r="B86" s="117">
        <f>STDEV(B75:B84)/AVERAGE(B75:B84)</f>
        <v>2.98362973090224E-3</v>
      </c>
      <c r="E86" s="68"/>
    </row>
    <row r="88" spans="1:6" ht="12.75" customHeight="1" x14ac:dyDescent="0.15">
      <c r="A88" s="95" t="s">
        <v>56</v>
      </c>
      <c r="B88" s="96" t="s">
        <v>57</v>
      </c>
      <c r="C88" s="97" t="s">
        <v>53</v>
      </c>
      <c r="D88" s="97" t="s">
        <v>18</v>
      </c>
      <c r="E88" s="98" t="s">
        <v>58</v>
      </c>
      <c r="F88" s="68"/>
    </row>
    <row r="89" spans="1:6" ht="12.75" customHeight="1" x14ac:dyDescent="0.15">
      <c r="A89" s="99" t="s">
        <v>20</v>
      </c>
      <c r="B89" s="100" t="s">
        <v>21</v>
      </c>
      <c r="C89" s="101" t="s">
        <v>22</v>
      </c>
      <c r="D89" s="101" t="s">
        <v>23</v>
      </c>
      <c r="E89" s="102" t="s">
        <v>20</v>
      </c>
      <c r="F89" s="68"/>
    </row>
    <row r="90" spans="1:6" ht="12.75" customHeight="1" x14ac:dyDescent="0.15">
      <c r="A90" s="119" t="s">
        <v>20</v>
      </c>
      <c r="B90" s="100" t="s">
        <v>24</v>
      </c>
      <c r="C90" s="101" t="s">
        <v>24</v>
      </c>
      <c r="D90" s="101" t="s">
        <v>24</v>
      </c>
      <c r="E90" s="102" t="s">
        <v>24</v>
      </c>
      <c r="F90" s="68"/>
    </row>
    <row r="91" spans="1:6" ht="12.75" customHeight="1" x14ac:dyDescent="0.15">
      <c r="A91" s="103" t="s">
        <v>20</v>
      </c>
      <c r="B91" s="104" t="s">
        <v>31</v>
      </c>
      <c r="C91" s="105" t="s">
        <v>31</v>
      </c>
      <c r="D91" s="105" t="s">
        <v>31</v>
      </c>
      <c r="E91" s="106" t="s">
        <v>31</v>
      </c>
      <c r="F91" s="68"/>
    </row>
    <row r="92" spans="1:6" ht="12.75" customHeight="1" x14ac:dyDescent="0.15">
      <c r="A92" s="103" t="s">
        <v>59</v>
      </c>
      <c r="B92" s="107">
        <v>7.99</v>
      </c>
      <c r="C92" s="108">
        <v>4.0974651680670493E-2</v>
      </c>
      <c r="D92" s="114">
        <v>4.3516302521008354E-2</v>
      </c>
      <c r="E92" s="109" t="s">
        <v>27</v>
      </c>
      <c r="F92" s="68"/>
    </row>
    <row r="93" spans="1:6" ht="12.75" customHeight="1" x14ac:dyDescent="0.15">
      <c r="A93" s="103" t="s">
        <v>60</v>
      </c>
      <c r="B93" s="107">
        <v>7.99</v>
      </c>
      <c r="C93" s="108">
        <v>5.3326434680518453E-2</v>
      </c>
      <c r="D93" s="114">
        <v>0.13012491916859126</v>
      </c>
      <c r="E93" s="109" t="s">
        <v>27</v>
      </c>
      <c r="F93" s="68"/>
    </row>
    <row r="94" spans="1:6" ht="12.75" customHeight="1" x14ac:dyDescent="0.15">
      <c r="A94" s="103" t="s">
        <v>61</v>
      </c>
      <c r="B94" s="107">
        <v>7.996666666666667</v>
      </c>
      <c r="C94" s="108">
        <v>2.6294890744441468E-2</v>
      </c>
      <c r="D94" s="114">
        <v>7.5516984761428874E-2</v>
      </c>
      <c r="E94" s="109" t="s">
        <v>27</v>
      </c>
      <c r="F94" s="68"/>
    </row>
    <row r="95" spans="1:6" ht="12.75" customHeight="1" x14ac:dyDescent="0.15">
      <c r="A95" s="103" t="s">
        <v>62</v>
      </c>
      <c r="B95" s="107">
        <v>8.0033333333333339</v>
      </c>
      <c r="C95" s="108">
        <v>2.8426800094162319E-2</v>
      </c>
      <c r="D95" s="114">
        <v>0.10527973805855162</v>
      </c>
      <c r="E95" s="109" t="s">
        <v>27</v>
      </c>
      <c r="F95" s="68"/>
    </row>
    <row r="96" spans="1:6" ht="12.75" customHeight="1" x14ac:dyDescent="0.15">
      <c r="A96" s="103" t="s">
        <v>59</v>
      </c>
      <c r="B96" s="107">
        <v>8.0033333333333339</v>
      </c>
      <c r="C96" s="108">
        <v>4.5455429778846201E-2</v>
      </c>
      <c r="D96" s="114">
        <v>4.3499273301737862E-2</v>
      </c>
      <c r="E96" s="109" t="s">
        <v>27</v>
      </c>
      <c r="F96" s="68"/>
    </row>
    <row r="97" spans="1:6" ht="12.75" customHeight="1" x14ac:dyDescent="0.15">
      <c r="A97" s="103" t="s">
        <v>63</v>
      </c>
      <c r="B97" s="107">
        <v>8.0066666666666677</v>
      </c>
      <c r="C97" s="108">
        <v>6.5158666666666587E-2</v>
      </c>
      <c r="D97" s="114">
        <v>0.20655215999999998</v>
      </c>
      <c r="E97" s="109" t="s">
        <v>27</v>
      </c>
      <c r="F97" s="68"/>
    </row>
    <row r="98" spans="1:6" ht="12.75" customHeight="1" x14ac:dyDescent="0.15">
      <c r="A98" s="103" t="s">
        <v>64</v>
      </c>
      <c r="B98" s="107">
        <v>8.0066666666666677</v>
      </c>
      <c r="C98" s="108">
        <v>6.26793034709755E-2</v>
      </c>
      <c r="D98" s="114">
        <v>0.22395636265709162</v>
      </c>
      <c r="E98" s="109" t="s">
        <v>27</v>
      </c>
      <c r="F98" s="68"/>
    </row>
    <row r="99" spans="1:6" ht="12.75" customHeight="1" x14ac:dyDescent="0.15">
      <c r="A99" s="103" t="s">
        <v>65</v>
      </c>
      <c r="B99" s="107">
        <v>8.0066666666666677</v>
      </c>
      <c r="C99" s="108">
        <v>5.5903861519100095E-2</v>
      </c>
      <c r="D99" s="114">
        <v>0.19429509920047383</v>
      </c>
      <c r="E99" s="109" t="s">
        <v>27</v>
      </c>
      <c r="F99" s="68"/>
    </row>
    <row r="100" spans="1:6" ht="12.75" customHeight="1" x14ac:dyDescent="0.15">
      <c r="A100" s="103" t="s">
        <v>66</v>
      </c>
      <c r="B100" s="107">
        <v>8.01</v>
      </c>
      <c r="C100" s="108">
        <v>0.11489226949028541</v>
      </c>
      <c r="D100" s="114">
        <v>0.20741742908715832</v>
      </c>
      <c r="E100" s="109" t="s">
        <v>27</v>
      </c>
      <c r="F100" s="68"/>
    </row>
    <row r="101" spans="1:6" ht="12.75" customHeight="1" x14ac:dyDescent="0.15">
      <c r="A101" s="110" t="s">
        <v>67</v>
      </c>
      <c r="B101" s="111">
        <v>8.0133333333333336</v>
      </c>
      <c r="C101" s="112">
        <v>5.965055849191736E-2</v>
      </c>
      <c r="D101" s="115">
        <v>0.20473403928790668</v>
      </c>
      <c r="E101" s="113" t="s">
        <v>27</v>
      </c>
      <c r="F101" s="68"/>
    </row>
    <row r="102" spans="1:6" ht="12" customHeight="1" x14ac:dyDescent="0.15">
      <c r="A102" s="118" t="s">
        <v>68</v>
      </c>
      <c r="B102" s="116">
        <f>AVERAGE(B92:B101)</f>
        <v>8.0026666666666664</v>
      </c>
      <c r="C102" s="66"/>
      <c r="E102" s="68"/>
    </row>
    <row r="103" spans="1:6" ht="12" customHeight="1" x14ac:dyDescent="0.15">
      <c r="A103" s="118" t="s">
        <v>69</v>
      </c>
      <c r="B103" s="117">
        <f>STDEV(B92:B101)/AVERAGE(B92:B101)</f>
        <v>9.9735004976497831E-4</v>
      </c>
      <c r="E103" s="68"/>
    </row>
    <row r="105" spans="1:6" ht="12.75" customHeight="1" x14ac:dyDescent="0.15">
      <c r="A105" s="95" t="s">
        <v>56</v>
      </c>
      <c r="B105" s="96" t="s">
        <v>57</v>
      </c>
      <c r="C105" s="97" t="s">
        <v>53</v>
      </c>
      <c r="D105" s="97" t="s">
        <v>18</v>
      </c>
      <c r="E105" s="98" t="s">
        <v>58</v>
      </c>
      <c r="F105" s="68"/>
    </row>
    <row r="106" spans="1:6" ht="12.75" customHeight="1" x14ac:dyDescent="0.15">
      <c r="A106" s="99" t="s">
        <v>20</v>
      </c>
      <c r="B106" s="100" t="s">
        <v>21</v>
      </c>
      <c r="C106" s="101" t="s">
        <v>22</v>
      </c>
      <c r="D106" s="101" t="s">
        <v>23</v>
      </c>
      <c r="E106" s="102" t="s">
        <v>20</v>
      </c>
      <c r="F106" s="68"/>
    </row>
    <row r="107" spans="1:6" ht="12.75" customHeight="1" x14ac:dyDescent="0.15">
      <c r="A107" s="119" t="s">
        <v>20</v>
      </c>
      <c r="B107" s="100" t="s">
        <v>24</v>
      </c>
      <c r="C107" s="101" t="s">
        <v>24</v>
      </c>
      <c r="D107" s="101" t="s">
        <v>24</v>
      </c>
      <c r="E107" s="102" t="s">
        <v>24</v>
      </c>
      <c r="F107" s="68"/>
    </row>
    <row r="108" spans="1:6" ht="12.75" customHeight="1" x14ac:dyDescent="0.15">
      <c r="A108" s="103" t="s">
        <v>20</v>
      </c>
      <c r="B108" s="104" t="s">
        <v>32</v>
      </c>
      <c r="C108" s="105" t="s">
        <v>32</v>
      </c>
      <c r="D108" s="105" t="s">
        <v>32</v>
      </c>
      <c r="E108" s="106" t="s">
        <v>32</v>
      </c>
      <c r="F108" s="68"/>
    </row>
    <row r="109" spans="1:6" ht="12.75" customHeight="1" x14ac:dyDescent="0.15">
      <c r="A109" s="103" t="s">
        <v>59</v>
      </c>
      <c r="B109" s="107">
        <v>8.5233333333333334</v>
      </c>
      <c r="C109" s="108">
        <v>3.0233666666662495E-3</v>
      </c>
      <c r="D109" s="114">
        <v>1.3289441340782027E-2</v>
      </c>
      <c r="E109" s="109" t="s">
        <v>27</v>
      </c>
      <c r="F109" s="68"/>
    </row>
    <row r="110" spans="1:6" ht="12.75" customHeight="1" x14ac:dyDescent="0.15">
      <c r="A110" s="103" t="s">
        <v>60</v>
      </c>
      <c r="B110" s="107" t="s">
        <v>27</v>
      </c>
      <c r="C110" s="108" t="s">
        <v>27</v>
      </c>
      <c r="D110" s="114" t="s">
        <v>27</v>
      </c>
      <c r="E110" s="109" t="s">
        <v>27</v>
      </c>
      <c r="F110" s="68"/>
    </row>
    <row r="111" spans="1:6" ht="12.75" customHeight="1" x14ac:dyDescent="0.15">
      <c r="A111" s="103" t="s">
        <v>61</v>
      </c>
      <c r="B111" s="107">
        <v>8.5133333333333336</v>
      </c>
      <c r="C111" s="108">
        <v>5.214463775085143E-2</v>
      </c>
      <c r="D111" s="114">
        <v>1.664217836622528E-2</v>
      </c>
      <c r="E111" s="109" t="s">
        <v>27</v>
      </c>
      <c r="F111" s="68"/>
    </row>
    <row r="112" spans="1:6" ht="12.75" customHeight="1" x14ac:dyDescent="0.15">
      <c r="A112" s="103" t="s">
        <v>62</v>
      </c>
      <c r="B112" s="107">
        <v>8.5133333333333336</v>
      </c>
      <c r="C112" s="108">
        <v>2.6777272727273038E-3</v>
      </c>
      <c r="D112" s="114">
        <v>8.6512788906009108E-3</v>
      </c>
      <c r="E112" s="109" t="s">
        <v>27</v>
      </c>
      <c r="F112" s="68"/>
    </row>
    <row r="113" spans="1:6" ht="12.75" customHeight="1" x14ac:dyDescent="0.15">
      <c r="A113" s="103" t="s">
        <v>59</v>
      </c>
      <c r="B113" s="107">
        <v>8.5233333333333334</v>
      </c>
      <c r="C113" s="108">
        <v>2.7787333333334496E-3</v>
      </c>
      <c r="D113" s="114">
        <v>1.2586818181818171E-2</v>
      </c>
      <c r="E113" s="109" t="s">
        <v>27</v>
      </c>
      <c r="F113" s="68"/>
    </row>
    <row r="114" spans="1:6" ht="12.75" customHeight="1" x14ac:dyDescent="0.15">
      <c r="A114" s="103" t="s">
        <v>63</v>
      </c>
      <c r="B114" s="107">
        <v>8.543333333333333</v>
      </c>
      <c r="C114" s="108">
        <v>7.4387803333334723E-2</v>
      </c>
      <c r="D114" s="114">
        <v>3.1613440000000104E-2</v>
      </c>
      <c r="E114" s="109" t="s">
        <v>27</v>
      </c>
      <c r="F114" s="68"/>
    </row>
    <row r="115" spans="1:6" ht="12.75" customHeight="1" x14ac:dyDescent="0.15">
      <c r="A115" s="103" t="s">
        <v>64</v>
      </c>
      <c r="B115" s="107" t="s">
        <v>27</v>
      </c>
      <c r="C115" s="108" t="s">
        <v>27</v>
      </c>
      <c r="D115" s="114" t="s">
        <v>27</v>
      </c>
      <c r="E115" s="109" t="s">
        <v>27</v>
      </c>
      <c r="F115" s="68"/>
    </row>
    <row r="116" spans="1:6" ht="12.75" customHeight="1" x14ac:dyDescent="0.15">
      <c r="A116" s="103" t="s">
        <v>65</v>
      </c>
      <c r="B116" s="107" t="s">
        <v>27</v>
      </c>
      <c r="C116" s="108" t="s">
        <v>27</v>
      </c>
      <c r="D116" s="114" t="s">
        <v>27</v>
      </c>
      <c r="E116" s="109" t="s">
        <v>27</v>
      </c>
      <c r="F116" s="68"/>
    </row>
    <row r="117" spans="1:6" ht="12.75" customHeight="1" x14ac:dyDescent="0.15">
      <c r="A117" s="103" t="s">
        <v>66</v>
      </c>
      <c r="B117" s="107" t="s">
        <v>27</v>
      </c>
      <c r="C117" s="108" t="s">
        <v>27</v>
      </c>
      <c r="D117" s="114" t="s">
        <v>27</v>
      </c>
      <c r="E117" s="109" t="s">
        <v>27</v>
      </c>
      <c r="F117" s="68"/>
    </row>
    <row r="118" spans="1:6" ht="12.75" customHeight="1" x14ac:dyDescent="0.15">
      <c r="A118" s="110" t="s">
        <v>67</v>
      </c>
      <c r="B118" s="111" t="s">
        <v>27</v>
      </c>
      <c r="C118" s="112" t="s">
        <v>27</v>
      </c>
      <c r="D118" s="115" t="s">
        <v>27</v>
      </c>
      <c r="E118" s="113" t="s">
        <v>27</v>
      </c>
      <c r="F118" s="68"/>
    </row>
    <row r="119" spans="1:6" ht="12" customHeight="1" x14ac:dyDescent="0.15">
      <c r="A119" s="118" t="s">
        <v>68</v>
      </c>
      <c r="B119" s="116">
        <f>AVERAGE(B109:B118)</f>
        <v>8.5233333333333352</v>
      </c>
      <c r="C119" s="66"/>
      <c r="E119" s="68"/>
    </row>
    <row r="120" spans="1:6" ht="12" customHeight="1" x14ac:dyDescent="0.15">
      <c r="A120" s="118" t="s">
        <v>69</v>
      </c>
      <c r="B120" s="117">
        <f>STDEV(B109:B118)/AVERAGE(B109:B118)</f>
        <v>1.4369318006158341E-3</v>
      </c>
      <c r="E120" s="68"/>
    </row>
    <row r="122" spans="1:6" ht="12.75" customHeight="1" x14ac:dyDescent="0.15">
      <c r="A122" s="95" t="s">
        <v>56</v>
      </c>
      <c r="B122" s="96" t="s">
        <v>57</v>
      </c>
      <c r="C122" s="97" t="s">
        <v>53</v>
      </c>
      <c r="D122" s="97" t="s">
        <v>18</v>
      </c>
      <c r="E122" s="98" t="s">
        <v>58</v>
      </c>
      <c r="F122" s="68"/>
    </row>
    <row r="123" spans="1:6" ht="12.75" customHeight="1" x14ac:dyDescent="0.15">
      <c r="A123" s="99" t="s">
        <v>20</v>
      </c>
      <c r="B123" s="100" t="s">
        <v>21</v>
      </c>
      <c r="C123" s="101" t="s">
        <v>22</v>
      </c>
      <c r="D123" s="101" t="s">
        <v>23</v>
      </c>
      <c r="E123" s="102" t="s">
        <v>20</v>
      </c>
      <c r="F123" s="68"/>
    </row>
    <row r="124" spans="1:6" ht="12.75" customHeight="1" x14ac:dyDescent="0.15">
      <c r="A124" s="119" t="s">
        <v>20</v>
      </c>
      <c r="B124" s="100" t="s">
        <v>24</v>
      </c>
      <c r="C124" s="101" t="s">
        <v>24</v>
      </c>
      <c r="D124" s="101" t="s">
        <v>24</v>
      </c>
      <c r="E124" s="102" t="s">
        <v>24</v>
      </c>
      <c r="F124" s="68"/>
    </row>
    <row r="125" spans="1:6" ht="12.75" customHeight="1" x14ac:dyDescent="0.15">
      <c r="A125" s="103" t="s">
        <v>20</v>
      </c>
      <c r="B125" s="104" t="s">
        <v>70</v>
      </c>
      <c r="C125" s="105" t="s">
        <v>70</v>
      </c>
      <c r="D125" s="105" t="s">
        <v>70</v>
      </c>
      <c r="E125" s="106" t="s">
        <v>70</v>
      </c>
      <c r="F125" s="68"/>
    </row>
    <row r="126" spans="1:6" ht="12.75" customHeight="1" x14ac:dyDescent="0.15">
      <c r="A126" s="103" t="s">
        <v>59</v>
      </c>
      <c r="B126" s="107" t="s">
        <v>27</v>
      </c>
      <c r="C126" s="108" t="s">
        <v>27</v>
      </c>
      <c r="D126" s="114" t="s">
        <v>27</v>
      </c>
      <c r="E126" s="109" t="s">
        <v>27</v>
      </c>
      <c r="F126" s="68"/>
    </row>
    <row r="127" spans="1:6" ht="12.75" customHeight="1" x14ac:dyDescent="0.15">
      <c r="A127" s="103" t="s">
        <v>60</v>
      </c>
      <c r="B127" s="107" t="s">
        <v>27</v>
      </c>
      <c r="C127" s="108" t="s">
        <v>27</v>
      </c>
      <c r="D127" s="114" t="s">
        <v>27</v>
      </c>
      <c r="E127" s="109" t="s">
        <v>27</v>
      </c>
      <c r="F127" s="68"/>
    </row>
    <row r="128" spans="1:6" ht="12.75" customHeight="1" x14ac:dyDescent="0.15">
      <c r="A128" s="103" t="s">
        <v>61</v>
      </c>
      <c r="B128" s="107" t="s">
        <v>27</v>
      </c>
      <c r="C128" s="108" t="s">
        <v>27</v>
      </c>
      <c r="D128" s="114" t="s">
        <v>27</v>
      </c>
      <c r="E128" s="109" t="s">
        <v>27</v>
      </c>
      <c r="F128" s="68"/>
    </row>
    <row r="129" spans="1:6" ht="12.75" customHeight="1" x14ac:dyDescent="0.15">
      <c r="A129" s="103" t="s">
        <v>62</v>
      </c>
      <c r="B129" s="107">
        <v>9.1133333333333333</v>
      </c>
      <c r="C129" s="108">
        <v>1.0384514637903908E-4</v>
      </c>
      <c r="D129" s="114">
        <v>5.2426810477657071E-4</v>
      </c>
      <c r="E129" s="109" t="s">
        <v>27</v>
      </c>
      <c r="F129" s="68"/>
    </row>
    <row r="130" spans="1:6" ht="12.75" customHeight="1" x14ac:dyDescent="0.15">
      <c r="A130" s="103" t="s">
        <v>59</v>
      </c>
      <c r="B130" s="107" t="s">
        <v>27</v>
      </c>
      <c r="C130" s="108" t="s">
        <v>27</v>
      </c>
      <c r="D130" s="114" t="s">
        <v>27</v>
      </c>
      <c r="E130" s="109" t="s">
        <v>27</v>
      </c>
      <c r="F130" s="68"/>
    </row>
    <row r="131" spans="1:6" ht="12.75" customHeight="1" x14ac:dyDescent="0.15">
      <c r="A131" s="103" t="s">
        <v>63</v>
      </c>
      <c r="B131" s="107" t="s">
        <v>27</v>
      </c>
      <c r="C131" s="108" t="s">
        <v>27</v>
      </c>
      <c r="D131" s="114" t="s">
        <v>27</v>
      </c>
      <c r="E131" s="109" t="s">
        <v>27</v>
      </c>
      <c r="F131" s="68"/>
    </row>
    <row r="132" spans="1:6" ht="12.75" customHeight="1" x14ac:dyDescent="0.15">
      <c r="A132" s="103" t="s">
        <v>64</v>
      </c>
      <c r="B132" s="107">
        <v>9.56</v>
      </c>
      <c r="C132" s="108">
        <v>1.9819432100542045E-2</v>
      </c>
      <c r="D132" s="114">
        <v>7.9951095152602791E-3</v>
      </c>
      <c r="E132" s="109" t="s">
        <v>27</v>
      </c>
      <c r="F132" s="68"/>
    </row>
    <row r="133" spans="1:6" ht="12.75" customHeight="1" x14ac:dyDescent="0.15">
      <c r="A133" s="103" t="s">
        <v>65</v>
      </c>
      <c r="B133" s="107">
        <v>9.6</v>
      </c>
      <c r="C133" s="108">
        <v>3.7450967155264081E-2</v>
      </c>
      <c r="D133" s="114">
        <v>1.1265851347349698E-2</v>
      </c>
      <c r="E133" s="109" t="s">
        <v>27</v>
      </c>
      <c r="F133" s="68"/>
    </row>
    <row r="134" spans="1:6" ht="12.75" customHeight="1" x14ac:dyDescent="0.15">
      <c r="A134" s="103" t="s">
        <v>66</v>
      </c>
      <c r="B134" s="107" t="s">
        <v>27</v>
      </c>
      <c r="C134" s="108" t="s">
        <v>27</v>
      </c>
      <c r="D134" s="114" t="s">
        <v>27</v>
      </c>
      <c r="E134" s="109" t="s">
        <v>27</v>
      </c>
      <c r="F134" s="68"/>
    </row>
    <row r="135" spans="1:6" ht="12.75" customHeight="1" x14ac:dyDescent="0.15">
      <c r="A135" s="110" t="s">
        <v>67</v>
      </c>
      <c r="B135" s="111">
        <v>12.106666666666667</v>
      </c>
      <c r="C135" s="112">
        <v>3.614802117864091E-2</v>
      </c>
      <c r="D135" s="115">
        <v>4.1883179864946607E-3</v>
      </c>
      <c r="E135" s="113" t="s">
        <v>27</v>
      </c>
      <c r="F135" s="68"/>
    </row>
    <row r="136" spans="1:6" ht="12" customHeight="1" x14ac:dyDescent="0.15">
      <c r="A136" s="118" t="s">
        <v>68</v>
      </c>
      <c r="B136" s="116">
        <f>AVERAGE(B126:B135)</f>
        <v>10.095000000000001</v>
      </c>
      <c r="C136" s="66"/>
      <c r="E136" s="68"/>
    </row>
    <row r="137" spans="1:6" ht="12" customHeight="1" x14ac:dyDescent="0.15">
      <c r="A137" s="118" t="s">
        <v>69</v>
      </c>
      <c r="B137" s="117">
        <f>STDEV(B126:B135)/AVERAGE(B126:B135)</f>
        <v>0.13463420985642355</v>
      </c>
      <c r="E137" s="68"/>
    </row>
    <row r="139" spans="1:6" ht="12.75" customHeight="1" x14ac:dyDescent="0.15">
      <c r="A139" s="95" t="s">
        <v>56</v>
      </c>
      <c r="B139" s="96" t="s">
        <v>57</v>
      </c>
      <c r="C139" s="97" t="s">
        <v>53</v>
      </c>
      <c r="D139" s="97" t="s">
        <v>18</v>
      </c>
      <c r="E139" s="98" t="s">
        <v>58</v>
      </c>
      <c r="F139" s="68"/>
    </row>
    <row r="140" spans="1:6" ht="12.75" customHeight="1" x14ac:dyDescent="0.15">
      <c r="A140" s="99" t="s">
        <v>20</v>
      </c>
      <c r="B140" s="100" t="s">
        <v>21</v>
      </c>
      <c r="C140" s="101" t="s">
        <v>22</v>
      </c>
      <c r="D140" s="101" t="s">
        <v>23</v>
      </c>
      <c r="E140" s="102" t="s">
        <v>20</v>
      </c>
      <c r="F140" s="68"/>
    </row>
    <row r="141" spans="1:6" ht="12.75" customHeight="1" x14ac:dyDescent="0.15">
      <c r="A141" s="119" t="s">
        <v>20</v>
      </c>
      <c r="B141" s="100" t="s">
        <v>24</v>
      </c>
      <c r="C141" s="101" t="s">
        <v>24</v>
      </c>
      <c r="D141" s="101" t="s">
        <v>24</v>
      </c>
      <c r="E141" s="102" t="s">
        <v>24</v>
      </c>
      <c r="F141" s="68"/>
    </row>
    <row r="142" spans="1:6" ht="12.75" customHeight="1" x14ac:dyDescent="0.15">
      <c r="A142" s="103" t="s">
        <v>20</v>
      </c>
      <c r="B142" s="104" t="s">
        <v>71</v>
      </c>
      <c r="C142" s="105" t="s">
        <v>71</v>
      </c>
      <c r="D142" s="105" t="s">
        <v>71</v>
      </c>
      <c r="E142" s="106" t="s">
        <v>71</v>
      </c>
      <c r="F142" s="68"/>
    </row>
    <row r="143" spans="1:6" ht="12.75" customHeight="1" x14ac:dyDescent="0.15">
      <c r="A143" s="103" t="s">
        <v>59</v>
      </c>
      <c r="B143" s="107" t="s">
        <v>27</v>
      </c>
      <c r="C143" s="108" t="s">
        <v>27</v>
      </c>
      <c r="D143" s="114" t="s">
        <v>27</v>
      </c>
      <c r="E143" s="109" t="s">
        <v>27</v>
      </c>
      <c r="F143" s="68"/>
    </row>
    <row r="144" spans="1:6" ht="12.75" customHeight="1" x14ac:dyDescent="0.15">
      <c r="A144" s="103" t="s">
        <v>60</v>
      </c>
      <c r="B144" s="107" t="s">
        <v>27</v>
      </c>
      <c r="C144" s="108" t="s">
        <v>27</v>
      </c>
      <c r="D144" s="114" t="s">
        <v>27</v>
      </c>
      <c r="E144" s="109" t="s">
        <v>27</v>
      </c>
      <c r="F144" s="68"/>
    </row>
    <row r="145" spans="1:6" ht="12.75" customHeight="1" x14ac:dyDescent="0.15">
      <c r="A145" s="103" t="s">
        <v>61</v>
      </c>
      <c r="B145" s="107" t="s">
        <v>27</v>
      </c>
      <c r="C145" s="108" t="s">
        <v>27</v>
      </c>
      <c r="D145" s="114" t="s">
        <v>27</v>
      </c>
      <c r="E145" s="109" t="s">
        <v>27</v>
      </c>
      <c r="F145" s="68"/>
    </row>
    <row r="146" spans="1:6" ht="12.75" customHeight="1" x14ac:dyDescent="0.15">
      <c r="A146" s="103" t="s">
        <v>62</v>
      </c>
      <c r="B146" s="107" t="s">
        <v>27</v>
      </c>
      <c r="C146" s="108" t="s">
        <v>27</v>
      </c>
      <c r="D146" s="114" t="s">
        <v>27</v>
      </c>
      <c r="E146" s="109" t="s">
        <v>27</v>
      </c>
      <c r="F146" s="68"/>
    </row>
    <row r="147" spans="1:6" ht="12.75" customHeight="1" x14ac:dyDescent="0.15">
      <c r="A147" s="103" t="s">
        <v>59</v>
      </c>
      <c r="B147" s="107" t="s">
        <v>27</v>
      </c>
      <c r="C147" s="108" t="s">
        <v>27</v>
      </c>
      <c r="D147" s="114" t="s">
        <v>27</v>
      </c>
      <c r="E147" s="109" t="s">
        <v>27</v>
      </c>
      <c r="F147" s="68"/>
    </row>
    <row r="148" spans="1:6" ht="12.75" customHeight="1" x14ac:dyDescent="0.15">
      <c r="A148" s="103" t="s">
        <v>63</v>
      </c>
      <c r="B148" s="107" t="s">
        <v>27</v>
      </c>
      <c r="C148" s="108" t="s">
        <v>27</v>
      </c>
      <c r="D148" s="114" t="s">
        <v>27</v>
      </c>
      <c r="E148" s="109" t="s">
        <v>27</v>
      </c>
      <c r="F148" s="68"/>
    </row>
    <row r="149" spans="1:6" ht="12.75" customHeight="1" x14ac:dyDescent="0.15">
      <c r="A149" s="103" t="s">
        <v>64</v>
      </c>
      <c r="B149" s="107" t="s">
        <v>27</v>
      </c>
      <c r="C149" s="108" t="s">
        <v>27</v>
      </c>
      <c r="D149" s="114" t="s">
        <v>27</v>
      </c>
      <c r="E149" s="109" t="s">
        <v>27</v>
      </c>
      <c r="F149" s="68"/>
    </row>
    <row r="150" spans="1:6" ht="12.75" customHeight="1" x14ac:dyDescent="0.15">
      <c r="A150" s="103" t="s">
        <v>65</v>
      </c>
      <c r="B150" s="107" t="s">
        <v>27</v>
      </c>
      <c r="C150" s="108" t="s">
        <v>27</v>
      </c>
      <c r="D150" s="114" t="s">
        <v>27</v>
      </c>
      <c r="E150" s="109" t="s">
        <v>27</v>
      </c>
      <c r="F150" s="68"/>
    </row>
    <row r="151" spans="1:6" ht="12.75" customHeight="1" x14ac:dyDescent="0.15">
      <c r="A151" s="103" t="s">
        <v>66</v>
      </c>
      <c r="B151" s="107" t="s">
        <v>27</v>
      </c>
      <c r="C151" s="108" t="s">
        <v>27</v>
      </c>
      <c r="D151" s="114" t="s">
        <v>27</v>
      </c>
      <c r="E151" s="109" t="s">
        <v>27</v>
      </c>
      <c r="F151" s="68"/>
    </row>
    <row r="152" spans="1:6" ht="12.75" customHeight="1" x14ac:dyDescent="0.15">
      <c r="A152" s="110" t="s">
        <v>67</v>
      </c>
      <c r="B152" s="111" t="s">
        <v>27</v>
      </c>
      <c r="C152" s="112" t="s">
        <v>27</v>
      </c>
      <c r="D152" s="115" t="s">
        <v>27</v>
      </c>
      <c r="E152" s="113" t="s">
        <v>27</v>
      </c>
      <c r="F152" s="68"/>
    </row>
    <row r="153" spans="1:6" ht="12" customHeight="1" x14ac:dyDescent="0.15">
      <c r="A153" s="118" t="s">
        <v>68</v>
      </c>
      <c r="B153" s="116" t="e">
        <f>AVERAGE(B143:B152)</f>
        <v>#DIV/0!</v>
      </c>
      <c r="C153" s="66"/>
      <c r="E153" s="68"/>
    </row>
    <row r="154" spans="1:6" ht="12" customHeight="1" x14ac:dyDescent="0.15">
      <c r="A154" s="118" t="s">
        <v>69</v>
      </c>
      <c r="B154" s="117" t="e">
        <f>STDEV(B143:B152)/AVERAGE(B143:B152)</f>
        <v>#DIV/0!</v>
      </c>
      <c r="E154" s="68"/>
    </row>
    <row r="156" spans="1:6" ht="12.75" customHeight="1" x14ac:dyDescent="0.15">
      <c r="A156" s="95" t="s">
        <v>56</v>
      </c>
      <c r="B156" s="96" t="s">
        <v>57</v>
      </c>
      <c r="C156" s="97" t="s">
        <v>53</v>
      </c>
      <c r="D156" s="97" t="s">
        <v>18</v>
      </c>
      <c r="E156" s="98" t="s">
        <v>58</v>
      </c>
      <c r="F156" s="68"/>
    </row>
    <row r="157" spans="1:6" ht="12.75" customHeight="1" x14ac:dyDescent="0.15">
      <c r="A157" s="99" t="s">
        <v>20</v>
      </c>
      <c r="B157" s="100" t="s">
        <v>21</v>
      </c>
      <c r="C157" s="101" t="s">
        <v>22</v>
      </c>
      <c r="D157" s="101" t="s">
        <v>23</v>
      </c>
      <c r="E157" s="102" t="s">
        <v>20</v>
      </c>
      <c r="F157" s="68"/>
    </row>
    <row r="158" spans="1:6" ht="12.75" customHeight="1" x14ac:dyDescent="0.15">
      <c r="A158" s="119" t="s">
        <v>20</v>
      </c>
      <c r="B158" s="100" t="s">
        <v>24</v>
      </c>
      <c r="C158" s="101" t="s">
        <v>24</v>
      </c>
      <c r="D158" s="101" t="s">
        <v>24</v>
      </c>
      <c r="E158" s="102" t="s">
        <v>24</v>
      </c>
      <c r="F158" s="68"/>
    </row>
    <row r="159" spans="1:6" ht="12.75" customHeight="1" x14ac:dyDescent="0.15">
      <c r="A159" s="103" t="s">
        <v>20</v>
      </c>
      <c r="B159" s="104" t="s">
        <v>34</v>
      </c>
      <c r="C159" s="105" t="s">
        <v>34</v>
      </c>
      <c r="D159" s="105" t="s">
        <v>34</v>
      </c>
      <c r="E159" s="106" t="s">
        <v>34</v>
      </c>
      <c r="F159" s="68"/>
    </row>
    <row r="160" spans="1:6" ht="12.75" customHeight="1" x14ac:dyDescent="0.15">
      <c r="A160" s="103" t="s">
        <v>59</v>
      </c>
      <c r="B160" s="107" t="s">
        <v>27</v>
      </c>
      <c r="C160" s="108" t="s">
        <v>27</v>
      </c>
      <c r="D160" s="114" t="s">
        <v>27</v>
      </c>
      <c r="E160" s="109" t="s">
        <v>27</v>
      </c>
      <c r="F160" s="68"/>
    </row>
    <row r="161" spans="1:6" ht="12.75" customHeight="1" x14ac:dyDescent="0.15">
      <c r="A161" s="103" t="s">
        <v>60</v>
      </c>
      <c r="B161" s="107">
        <v>26.096666666666668</v>
      </c>
      <c r="C161" s="108">
        <v>0.31048310000000257</v>
      </c>
      <c r="D161" s="114">
        <v>0.40125102564102577</v>
      </c>
      <c r="E161" s="109" t="s">
        <v>27</v>
      </c>
      <c r="F161" s="68"/>
    </row>
    <row r="162" spans="1:6" ht="12.75" customHeight="1" x14ac:dyDescent="0.15">
      <c r="A162" s="103" t="s">
        <v>61</v>
      </c>
      <c r="B162" s="107">
        <v>26.07</v>
      </c>
      <c r="C162" s="108">
        <v>0.71955989999999792</v>
      </c>
      <c r="D162" s="114">
        <v>0.9968342369020502</v>
      </c>
      <c r="E162" s="109" t="s">
        <v>27</v>
      </c>
      <c r="F162" s="68"/>
    </row>
    <row r="163" spans="1:6" ht="12.75" customHeight="1" x14ac:dyDescent="0.15">
      <c r="A163" s="103" t="s">
        <v>62</v>
      </c>
      <c r="B163" s="107" t="s">
        <v>27</v>
      </c>
      <c r="C163" s="108" t="s">
        <v>27</v>
      </c>
      <c r="D163" s="114" t="s">
        <v>27</v>
      </c>
      <c r="E163" s="109" t="s">
        <v>27</v>
      </c>
      <c r="F163" s="68"/>
    </row>
    <row r="164" spans="1:6" ht="12.75" customHeight="1" x14ac:dyDescent="0.15">
      <c r="A164" s="103" t="s">
        <v>59</v>
      </c>
      <c r="B164" s="107" t="s">
        <v>27</v>
      </c>
      <c r="C164" s="108" t="s">
        <v>27</v>
      </c>
      <c r="D164" s="114" t="s">
        <v>27</v>
      </c>
      <c r="E164" s="109" t="s">
        <v>27</v>
      </c>
      <c r="F164" s="68"/>
    </row>
    <row r="165" spans="1:6" ht="12.75" customHeight="1" x14ac:dyDescent="0.15">
      <c r="A165" s="103" t="s">
        <v>63</v>
      </c>
      <c r="B165" s="107">
        <v>26.153333333333336</v>
      </c>
      <c r="C165" s="108">
        <v>4.4344616666665004E-2</v>
      </c>
      <c r="D165" s="114">
        <v>5.8354921671018189E-2</v>
      </c>
      <c r="E165" s="109" t="s">
        <v>27</v>
      </c>
      <c r="F165" s="68"/>
    </row>
    <row r="166" spans="1:6" ht="12.75" customHeight="1" x14ac:dyDescent="0.15">
      <c r="A166" s="103" t="s">
        <v>64</v>
      </c>
      <c r="B166" s="107">
        <v>26.156666666666666</v>
      </c>
      <c r="C166" s="108">
        <v>5.5903699999998668E-2</v>
      </c>
      <c r="D166" s="114">
        <v>7.3347550535077244E-2</v>
      </c>
      <c r="E166" s="109" t="s">
        <v>27</v>
      </c>
      <c r="F166" s="68"/>
    </row>
    <row r="167" spans="1:6" ht="12.75" customHeight="1" x14ac:dyDescent="0.15">
      <c r="A167" s="103" t="s">
        <v>65</v>
      </c>
      <c r="B167" s="107">
        <v>26.150000000000002</v>
      </c>
      <c r="C167" s="108">
        <v>8.3326866666662891E-2</v>
      </c>
      <c r="D167" s="114">
        <v>0.11142057142857142</v>
      </c>
      <c r="E167" s="109" t="s">
        <v>27</v>
      </c>
      <c r="F167" s="68"/>
    </row>
    <row r="168" spans="1:6" ht="12.75" customHeight="1" x14ac:dyDescent="0.15">
      <c r="A168" s="103" t="s">
        <v>66</v>
      </c>
      <c r="B168" s="107">
        <v>26.150000000000002</v>
      </c>
      <c r="C168" s="108">
        <v>0.12761913333334007</v>
      </c>
      <c r="D168" s="114">
        <v>0.1648468762816131</v>
      </c>
      <c r="E168" s="109" t="s">
        <v>27</v>
      </c>
      <c r="F168" s="68"/>
    </row>
    <row r="169" spans="1:6" ht="12.75" customHeight="1" x14ac:dyDescent="0.15">
      <c r="A169" s="110" t="s">
        <v>67</v>
      </c>
      <c r="B169" s="111">
        <v>26.16</v>
      </c>
      <c r="C169" s="112">
        <v>0.13802766666666377</v>
      </c>
      <c r="D169" s="115">
        <v>0.18471084403669724</v>
      </c>
      <c r="E169" s="113" t="s">
        <v>27</v>
      </c>
      <c r="F169" s="68"/>
    </row>
    <row r="170" spans="1:6" ht="12" customHeight="1" x14ac:dyDescent="0.15">
      <c r="A170" s="118" t="s">
        <v>68</v>
      </c>
      <c r="B170" s="116">
        <f>AVERAGE(B160:B169)</f>
        <v>26.133809523809525</v>
      </c>
      <c r="C170" s="66"/>
      <c r="E170" s="68"/>
    </row>
    <row r="171" spans="1:6" ht="12" customHeight="1" x14ac:dyDescent="0.15">
      <c r="A171" s="118" t="s">
        <v>69</v>
      </c>
      <c r="B171" s="117">
        <f>STDEV(B160:B169)/AVERAGE(B160:B169)</f>
        <v>1.3587150866386621E-3</v>
      </c>
      <c r="E171" s="68"/>
    </row>
  </sheetData>
  <pageMargins left="0.7" right="0.7" top="0.75" bottom="0.75" header="0.3" footer="0.3"/>
  <pageSetup orientation="portrait"/>
  <headerFooter alignWithMargins="0">
    <oddHeader>&amp;L&amp;"Microsoft Sans Serif"&amp;08Logged on User: IC 2018
Instrument: TEST-7CVCB84LL6_1
Sequence: 20260221--V2.0ElectronDonorExperiment &amp;R&amp;"Microsoft Sans Serif"&amp;08Page &amp;P of &amp;N
&amp;D  &amp;T</oddHeader>
    <oddFooter>&amp;L&amp;"Microsoft Sans Serif"&amp;08&amp;F/&amp;A  &amp;R&amp;"Microsoft Sans Serif"&amp;08Chromeleon (c) Dionex 1996-2009
Version 7.2.10.23925</oddFooter>
  </headerFooter>
  <rowBreaks count="3" manualBreakCount="3">
    <brk id="53" max="65535" man="1"/>
    <brk id="104" max="65535" man="1"/>
    <brk id="155" max="65535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"/>
  <sheetViews>
    <sheetView workbookViewId="0"/>
  </sheetViews>
  <sheetFormatPr baseColWidth="10" defaultColWidth="9.1640625" defaultRowHeight="13" x14ac:dyDescent="0.15"/>
  <cols>
    <col min="2" max="2" width="7.33203125" customWidth="1"/>
    <col min="3" max="3" width="11.6640625" customWidth="1"/>
    <col min="4" max="4" width="8.5" customWidth="1"/>
    <col min="5" max="5" width="9.5" customWidth="1"/>
    <col min="6" max="6" width="8.5" customWidth="1"/>
    <col min="8" max="8" width="6.83203125" customWidth="1"/>
  </cols>
  <sheetData>
    <row r="1" spans="1:10" x14ac:dyDescent="0.15">
      <c r="B1" s="18" t="s">
        <v>72</v>
      </c>
    </row>
    <row r="3" spans="1:10" x14ac:dyDescent="0.15">
      <c r="A3" s="146" t="s">
        <v>1</v>
      </c>
      <c r="B3" s="147"/>
      <c r="C3" s="135" t="s">
        <v>2</v>
      </c>
      <c r="D3" s="147"/>
      <c r="E3" s="147"/>
      <c r="F3" s="148"/>
      <c r="G3" s="148" t="s">
        <v>40</v>
      </c>
      <c r="H3" s="150"/>
      <c r="I3" s="151">
        <v>10</v>
      </c>
      <c r="J3" s="152"/>
    </row>
    <row r="4" spans="1:10" x14ac:dyDescent="0.15">
      <c r="A4" s="138" t="s">
        <v>4</v>
      </c>
      <c r="B4" s="149"/>
      <c r="C4" s="139" t="s">
        <v>5</v>
      </c>
      <c r="D4" s="149"/>
      <c r="E4" s="149"/>
      <c r="F4" s="140"/>
      <c r="G4" s="140" t="s">
        <v>6</v>
      </c>
      <c r="H4" s="153"/>
      <c r="I4" s="153">
        <v>1</v>
      </c>
      <c r="J4" s="154"/>
    </row>
    <row r="5" spans="1:10" x14ac:dyDescent="0.15">
      <c r="A5" s="138" t="s">
        <v>7</v>
      </c>
      <c r="B5" s="149"/>
      <c r="C5" s="4" t="s">
        <v>8</v>
      </c>
      <c r="D5" s="149"/>
      <c r="E5" s="149"/>
      <c r="F5" s="140"/>
      <c r="G5" s="140" t="s">
        <v>9</v>
      </c>
      <c r="H5" s="4"/>
      <c r="I5" s="4" t="s">
        <v>10</v>
      </c>
      <c r="J5" s="154"/>
    </row>
    <row r="6" spans="1:10" x14ac:dyDescent="0.15">
      <c r="A6" s="84" t="s">
        <v>11</v>
      </c>
      <c r="B6" s="81"/>
      <c r="C6" s="88">
        <v>46082.159189814818</v>
      </c>
      <c r="D6" s="89">
        <v>46082.159189814818</v>
      </c>
      <c r="E6" s="81"/>
      <c r="F6" s="81"/>
      <c r="G6" s="85" t="s">
        <v>12</v>
      </c>
      <c r="H6" s="120"/>
      <c r="I6" s="120">
        <v>30</v>
      </c>
      <c r="J6" s="82"/>
    </row>
    <row r="33" spans="1:10" x14ac:dyDescent="0.15">
      <c r="A33" s="9" t="s">
        <v>13</v>
      </c>
      <c r="B33" s="10" t="s">
        <v>14</v>
      </c>
      <c r="C33" s="10" t="s">
        <v>15</v>
      </c>
      <c r="D33" s="10" t="s">
        <v>73</v>
      </c>
      <c r="E33" s="10" t="s">
        <v>18</v>
      </c>
      <c r="F33" s="10" t="s">
        <v>74</v>
      </c>
      <c r="G33" s="10" t="s">
        <v>74</v>
      </c>
      <c r="H33" s="10" t="s">
        <v>75</v>
      </c>
      <c r="I33" s="10" t="s">
        <v>75</v>
      </c>
      <c r="J33" s="11" t="s">
        <v>76</v>
      </c>
    </row>
    <row r="34" spans="1:10" x14ac:dyDescent="0.15">
      <c r="A34" s="20" t="s">
        <v>20</v>
      </c>
      <c r="B34" s="21" t="s">
        <v>21</v>
      </c>
      <c r="C34" s="21" t="s">
        <v>20</v>
      </c>
      <c r="D34" s="21" t="s">
        <v>21</v>
      </c>
      <c r="E34" s="21" t="s">
        <v>77</v>
      </c>
      <c r="F34" s="21" t="s">
        <v>78</v>
      </c>
      <c r="G34" s="21" t="s">
        <v>79</v>
      </c>
      <c r="H34" s="21" t="s">
        <v>78</v>
      </c>
      <c r="I34" s="21" t="s">
        <v>79</v>
      </c>
      <c r="J34" s="23" t="s">
        <v>20</v>
      </c>
    </row>
    <row r="35" spans="1:10" hidden="1" x14ac:dyDescent="0.15">
      <c r="A35" s="20" t="s">
        <v>24</v>
      </c>
      <c r="B35" s="24" t="s">
        <v>24</v>
      </c>
      <c r="C35" s="21" t="s">
        <v>24</v>
      </c>
      <c r="D35" s="22" t="s">
        <v>24</v>
      </c>
      <c r="E35" s="22" t="s">
        <v>24</v>
      </c>
      <c r="F35" s="22" t="s">
        <v>24</v>
      </c>
      <c r="G35" s="27" t="s">
        <v>24</v>
      </c>
      <c r="H35" s="21" t="s">
        <v>24</v>
      </c>
      <c r="I35" s="21" t="s">
        <v>24</v>
      </c>
      <c r="J35" s="61" t="s">
        <v>24</v>
      </c>
    </row>
    <row r="36" spans="1:10" x14ac:dyDescent="0.15">
      <c r="A36" s="188">
        <v>1</v>
      </c>
      <c r="B36" s="189">
        <v>2.8133333333333335</v>
      </c>
      <c r="C36" s="190" t="s">
        <v>20</v>
      </c>
      <c r="D36" s="59">
        <v>1.2843146739532241E-2</v>
      </c>
      <c r="E36" s="59">
        <v>4.0679615952732284E-3</v>
      </c>
      <c r="F36" s="59">
        <v>0.74708433616825709</v>
      </c>
      <c r="G36" s="60" t="s">
        <v>27</v>
      </c>
      <c r="H36" s="64">
        <v>767749</v>
      </c>
      <c r="I36" s="64" t="s">
        <v>27</v>
      </c>
      <c r="J36" s="65" t="s">
        <v>27</v>
      </c>
    </row>
    <row r="37" spans="1:10" ht="12.75" customHeight="1" x14ac:dyDescent="0.15">
      <c r="A37" s="205">
        <v>2</v>
      </c>
      <c r="B37" s="206">
        <v>3.0100000000000002</v>
      </c>
      <c r="C37" s="207" t="s">
        <v>25</v>
      </c>
      <c r="D37" s="191">
        <v>0.51364805952870851</v>
      </c>
      <c r="E37" s="191">
        <v>1.3496078286558411E-2</v>
      </c>
      <c r="F37" s="191">
        <v>0.24603557542773624</v>
      </c>
      <c r="G37" s="116" t="s">
        <v>27</v>
      </c>
      <c r="H37" s="192">
        <v>549</v>
      </c>
      <c r="I37" s="192" t="s">
        <v>27</v>
      </c>
      <c r="J37" s="193" t="s">
        <v>27</v>
      </c>
    </row>
    <row r="38" spans="1:10" ht="12.75" customHeight="1" x14ac:dyDescent="0.15">
      <c r="A38" s="205">
        <v>3</v>
      </c>
      <c r="B38" s="206">
        <v>3.23</v>
      </c>
      <c r="C38" s="207" t="s">
        <v>20</v>
      </c>
      <c r="D38" s="191">
        <v>1.2747112020742262</v>
      </c>
      <c r="E38" s="191">
        <v>1.0903124076809378E-2</v>
      </c>
      <c r="F38" s="191">
        <v>0.26114731474458591</v>
      </c>
      <c r="G38" s="116" t="s">
        <v>27</v>
      </c>
      <c r="H38" s="192">
        <v>103</v>
      </c>
      <c r="I38" s="192" t="s">
        <v>27</v>
      </c>
      <c r="J38" s="193" t="s">
        <v>27</v>
      </c>
    </row>
    <row r="39" spans="1:10" ht="12.75" customHeight="1" x14ac:dyDescent="0.15">
      <c r="A39" s="205">
        <v>4</v>
      </c>
      <c r="B39" s="206">
        <v>3.4833333333333334</v>
      </c>
      <c r="C39" s="207" t="s">
        <v>20</v>
      </c>
      <c r="D39" s="191">
        <v>0.66544532284432467</v>
      </c>
      <c r="E39" s="191">
        <v>1.4465782865583421E-2</v>
      </c>
      <c r="F39" s="191">
        <v>0.59988324979936236</v>
      </c>
      <c r="G39" s="116" t="s">
        <v>27</v>
      </c>
      <c r="H39" s="192">
        <v>438</v>
      </c>
      <c r="I39" s="192" t="s">
        <v>27</v>
      </c>
      <c r="J39" s="193" t="s">
        <v>27</v>
      </c>
    </row>
    <row r="40" spans="1:10" ht="12.75" customHeight="1" x14ac:dyDescent="0.15">
      <c r="A40" s="205">
        <v>5</v>
      </c>
      <c r="B40" s="206">
        <v>4.1400000000000006</v>
      </c>
      <c r="C40" s="207" t="s">
        <v>20</v>
      </c>
      <c r="D40" s="191">
        <v>1.5238695709664181</v>
      </c>
      <c r="E40" s="191">
        <v>8.9513589364844659E-3</v>
      </c>
      <c r="F40" s="191">
        <v>0.13498716445171308</v>
      </c>
      <c r="G40" s="116" t="s">
        <v>27</v>
      </c>
      <c r="H40" s="192">
        <v>118</v>
      </c>
      <c r="I40" s="192" t="s">
        <v>27</v>
      </c>
      <c r="J40" s="193" t="s">
        <v>27</v>
      </c>
    </row>
    <row r="41" spans="1:10" ht="12.75" customHeight="1" x14ac:dyDescent="0.15">
      <c r="A41" s="205">
        <v>6</v>
      </c>
      <c r="B41" s="206">
        <v>4.2933333333333339</v>
      </c>
      <c r="C41" s="207" t="s">
        <v>20</v>
      </c>
      <c r="D41" s="191">
        <v>0.74795136780414095</v>
      </c>
      <c r="E41" s="191">
        <v>9.7771787296897505E-3</v>
      </c>
      <c r="F41" s="191">
        <v>0.68740056533358462</v>
      </c>
      <c r="G41" s="116" t="s">
        <v>27</v>
      </c>
      <c r="H41" s="192">
        <v>527</v>
      </c>
      <c r="I41" s="192" t="s">
        <v>27</v>
      </c>
      <c r="J41" s="193" t="s">
        <v>27</v>
      </c>
    </row>
    <row r="42" spans="1:10" ht="12.75" customHeight="1" x14ac:dyDescent="0.15">
      <c r="A42" s="205">
        <v>7</v>
      </c>
      <c r="B42" s="206">
        <v>4.63</v>
      </c>
      <c r="C42" s="207" t="s">
        <v>28</v>
      </c>
      <c r="D42" s="191">
        <v>0.23158424402151123</v>
      </c>
      <c r="E42" s="191">
        <v>312.51163887001479</v>
      </c>
      <c r="F42" s="191">
        <v>2.1700732459519521</v>
      </c>
      <c r="G42" s="116">
        <v>2.1607719748444802</v>
      </c>
      <c r="H42" s="192">
        <v>6395</v>
      </c>
      <c r="I42" s="192">
        <v>6806</v>
      </c>
      <c r="J42" s="193">
        <v>1.0560993123249962</v>
      </c>
    </row>
    <row r="43" spans="1:10" ht="12.75" customHeight="1" x14ac:dyDescent="0.15">
      <c r="A43" s="205">
        <v>8</v>
      </c>
      <c r="B43" s="206">
        <v>5.2200000000000006</v>
      </c>
      <c r="C43" s="207" t="s">
        <v>29</v>
      </c>
      <c r="D43" s="191">
        <v>0.31217620378879651</v>
      </c>
      <c r="E43" s="191">
        <v>1.2469332200886263</v>
      </c>
      <c r="F43" s="191">
        <v>2.5293072387476543</v>
      </c>
      <c r="G43" s="116">
        <v>2.5284838868977784</v>
      </c>
      <c r="H43" s="192">
        <v>4474</v>
      </c>
      <c r="I43" s="192">
        <v>4177</v>
      </c>
      <c r="J43" s="193" t="s">
        <v>27</v>
      </c>
    </row>
    <row r="44" spans="1:10" ht="12.75" customHeight="1" x14ac:dyDescent="0.15">
      <c r="A44" s="205">
        <v>9</v>
      </c>
      <c r="B44" s="206">
        <v>6.5100000000000007</v>
      </c>
      <c r="C44" s="207" t="s">
        <v>30</v>
      </c>
      <c r="D44" s="191">
        <v>0.70786594865348462</v>
      </c>
      <c r="E44" s="191">
        <v>0.3230054431314624</v>
      </c>
      <c r="F44" s="191">
        <v>2.7242442287218798</v>
      </c>
      <c r="G44" s="116">
        <v>2.7656338921233097</v>
      </c>
      <c r="H44" s="192">
        <v>1353</v>
      </c>
      <c r="I44" s="192">
        <v>1384</v>
      </c>
      <c r="J44" s="193" t="s">
        <v>27</v>
      </c>
    </row>
    <row r="45" spans="1:10" ht="12.75" customHeight="1" x14ac:dyDescent="0.15">
      <c r="A45" s="205">
        <v>10</v>
      </c>
      <c r="B45" s="206">
        <v>7.9766666666666675</v>
      </c>
      <c r="C45" s="207" t="s">
        <v>31</v>
      </c>
      <c r="D45" s="191">
        <v>0.3688852847370514</v>
      </c>
      <c r="E45" s="191">
        <v>0.76127241506646981</v>
      </c>
      <c r="F45" s="191">
        <v>0.99807350511279314</v>
      </c>
      <c r="G45" s="116" t="s">
        <v>27</v>
      </c>
      <c r="H45" s="192">
        <v>7481</v>
      </c>
      <c r="I45" s="192">
        <v>7708</v>
      </c>
      <c r="J45" s="193">
        <v>1.3615934121372562</v>
      </c>
    </row>
    <row r="46" spans="1:10" ht="12.75" customHeight="1" x14ac:dyDescent="0.15">
      <c r="A46" s="205">
        <v>11</v>
      </c>
      <c r="B46" s="206">
        <v>8.5066666666666677</v>
      </c>
      <c r="C46" s="207" t="s">
        <v>32</v>
      </c>
      <c r="D46" s="191">
        <v>0.69316074150247786</v>
      </c>
      <c r="E46" s="191">
        <v>3.104666174298365E-2</v>
      </c>
      <c r="F46" s="191">
        <v>19.024696972168073</v>
      </c>
      <c r="G46" s="116" t="s">
        <v>27</v>
      </c>
      <c r="H46" s="192">
        <v>2410</v>
      </c>
      <c r="I46" s="192" t="s">
        <v>27</v>
      </c>
      <c r="J46" s="193" t="s">
        <v>27</v>
      </c>
    </row>
    <row r="47" spans="1:10" ht="12.75" customHeight="1" x14ac:dyDescent="0.15">
      <c r="A47" s="205" t="s">
        <v>27</v>
      </c>
      <c r="B47" s="206" t="s">
        <v>27</v>
      </c>
      <c r="C47" s="207" t="s">
        <v>70</v>
      </c>
      <c r="D47" s="191" t="s">
        <v>27</v>
      </c>
      <c r="E47" s="191" t="s">
        <v>27</v>
      </c>
      <c r="F47" s="191" t="s">
        <v>27</v>
      </c>
      <c r="G47" s="116" t="s">
        <v>27</v>
      </c>
      <c r="H47" s="192" t="s">
        <v>27</v>
      </c>
      <c r="I47" s="192" t="s">
        <v>27</v>
      </c>
      <c r="J47" s="193" t="s">
        <v>27</v>
      </c>
    </row>
    <row r="48" spans="1:10" ht="12.75" customHeight="1" x14ac:dyDescent="0.15">
      <c r="A48" s="205" t="s">
        <v>27</v>
      </c>
      <c r="B48" s="206" t="s">
        <v>27</v>
      </c>
      <c r="C48" s="207" t="s">
        <v>71</v>
      </c>
      <c r="D48" s="191" t="s">
        <v>27</v>
      </c>
      <c r="E48" s="191" t="s">
        <v>27</v>
      </c>
      <c r="F48" s="191" t="s">
        <v>27</v>
      </c>
      <c r="G48" s="116" t="s">
        <v>27</v>
      </c>
      <c r="H48" s="192" t="s">
        <v>27</v>
      </c>
      <c r="I48" s="192" t="s">
        <v>27</v>
      </c>
      <c r="J48" s="193" t="s">
        <v>27</v>
      </c>
    </row>
    <row r="49" spans="1:10" x14ac:dyDescent="0.15">
      <c r="A49" s="194">
        <v>12</v>
      </c>
      <c r="B49" s="195">
        <v>26.023333333333333</v>
      </c>
      <c r="C49" s="196" t="s">
        <v>34</v>
      </c>
      <c r="D49" s="191">
        <v>1.148305295227825</v>
      </c>
      <c r="E49" s="191">
        <v>0.12445525934861279</v>
      </c>
      <c r="F49" s="191" t="s">
        <v>27</v>
      </c>
      <c r="G49" s="116" t="s">
        <v>27</v>
      </c>
      <c r="H49" s="192">
        <v>8217</v>
      </c>
      <c r="I49" s="192">
        <v>8276</v>
      </c>
      <c r="J49" s="193">
        <v>1.2488993397125052</v>
      </c>
    </row>
    <row r="50" spans="1:10" x14ac:dyDescent="0.15">
      <c r="A50" s="29"/>
      <c r="B50" s="26"/>
      <c r="C50" s="121" t="s">
        <v>55</v>
      </c>
      <c r="D50" s="122">
        <f t="shared" ref="D50:J50" si="0">AVERAGE(D36:D49)</f>
        <v>0.68337053232404144</v>
      </c>
      <c r="E50" s="122">
        <f t="shared" si="0"/>
        <v>26.255001112823617</v>
      </c>
      <c r="F50" s="122">
        <f t="shared" si="0"/>
        <v>2.7384484906025084</v>
      </c>
      <c r="G50" s="123">
        <f t="shared" si="0"/>
        <v>2.4849632512885229</v>
      </c>
      <c r="H50" s="124">
        <f t="shared" si="0"/>
        <v>66651.166666666672</v>
      </c>
      <c r="I50" s="124">
        <f t="shared" si="0"/>
        <v>5670.2</v>
      </c>
      <c r="J50" s="125">
        <f t="shared" si="0"/>
        <v>1.2221973547249192</v>
      </c>
    </row>
  </sheetData>
  <pageMargins left="0.75" right="0.75" top="1" bottom="1" header="0.5" footer="0.5"/>
  <pageSetup orientation="portrait"/>
  <headerFooter alignWithMargins="0">
    <oddHeader>&amp;L&amp;"Microsoft Sans Serif"&amp;08Logged on User: IC 2018
Instrument: TEST-7CVCB84LL6_1
Sequence: 20260221--V2.0ElectronDonorExperiment &amp;R&amp;"Microsoft Sans Serif"&amp;08Page &amp;P of &amp;N
&amp;D  &amp;T</oddHeader>
    <oddFooter>&amp;L&amp;"Microsoft Sans Serif"&amp;08&amp;F/&amp;A  &amp;R&amp;"Microsoft Sans Serif"&amp;08Chromeleon (c) Dionex 1996-2009
Version 7.2.10.23925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39"/>
  <sheetViews>
    <sheetView tabSelected="1" topLeftCell="A59" zoomScaleNormal="100" workbookViewId="0">
      <selection activeCell="N75" sqref="N75"/>
    </sheetView>
  </sheetViews>
  <sheetFormatPr baseColWidth="10" defaultColWidth="9.1640625" defaultRowHeight="13" x14ac:dyDescent="0.15"/>
  <cols>
    <col min="2" max="2" width="25.5" customWidth="1"/>
    <col min="11" max="11" width="13.6640625" customWidth="1"/>
  </cols>
  <sheetData>
    <row r="1" spans="1:10" x14ac:dyDescent="0.15">
      <c r="B1" s="30" t="s">
        <v>80</v>
      </c>
    </row>
    <row r="3" spans="1:10" x14ac:dyDescent="0.15">
      <c r="A3" s="56" t="s">
        <v>13</v>
      </c>
      <c r="B3" s="57" t="s">
        <v>81</v>
      </c>
      <c r="C3" s="58" t="s">
        <v>82</v>
      </c>
      <c r="D3" s="34" t="s">
        <v>17</v>
      </c>
      <c r="E3" s="34" t="s">
        <v>83</v>
      </c>
      <c r="F3" s="34" t="s">
        <v>18</v>
      </c>
      <c r="G3" s="34" t="s">
        <v>84</v>
      </c>
      <c r="H3" s="35" t="s">
        <v>19</v>
      </c>
    </row>
    <row r="4" spans="1:10" x14ac:dyDescent="0.15">
      <c r="A4" s="36" t="s">
        <v>20</v>
      </c>
      <c r="B4" s="37" t="s">
        <v>20</v>
      </c>
      <c r="C4" s="37" t="s">
        <v>21</v>
      </c>
      <c r="D4" s="37" t="s">
        <v>22</v>
      </c>
      <c r="E4" s="37" t="s">
        <v>52</v>
      </c>
      <c r="F4" s="37" t="s">
        <v>23</v>
      </c>
      <c r="G4" s="37" t="s">
        <v>52</v>
      </c>
      <c r="H4" s="38" t="s">
        <v>20</v>
      </c>
    </row>
    <row r="5" spans="1:10" x14ac:dyDescent="0.15">
      <c r="A5" s="36" t="s">
        <v>20</v>
      </c>
      <c r="B5" s="37" t="s">
        <v>20</v>
      </c>
      <c r="C5" s="37" t="s">
        <v>24</v>
      </c>
      <c r="D5" s="37" t="s">
        <v>24</v>
      </c>
      <c r="E5" s="37" t="s">
        <v>24</v>
      </c>
      <c r="F5" s="37" t="s">
        <v>24</v>
      </c>
      <c r="G5" s="37" t="s">
        <v>24</v>
      </c>
      <c r="H5" s="38" t="s">
        <v>24</v>
      </c>
    </row>
    <row r="6" spans="1:10" x14ac:dyDescent="0.15">
      <c r="A6" s="36" t="s">
        <v>20</v>
      </c>
      <c r="B6" s="37" t="s">
        <v>20</v>
      </c>
      <c r="C6" s="45" t="s">
        <v>25</v>
      </c>
      <c r="D6" s="46" t="s">
        <v>25</v>
      </c>
      <c r="E6" s="47" t="s">
        <v>25</v>
      </c>
      <c r="F6" s="48" t="s">
        <v>25</v>
      </c>
      <c r="G6" s="47" t="s">
        <v>25</v>
      </c>
      <c r="H6" s="49" t="s">
        <v>25</v>
      </c>
      <c r="I6" s="208" t="s">
        <v>204</v>
      </c>
      <c r="J6" s="208" t="s">
        <v>205</v>
      </c>
    </row>
    <row r="7" spans="1:10" x14ac:dyDescent="0.15">
      <c r="A7" s="126">
        <v>1</v>
      </c>
      <c r="B7" s="25" t="s">
        <v>85</v>
      </c>
      <c r="C7" s="39">
        <v>2.9833333333333334</v>
      </c>
      <c r="D7" s="50">
        <v>3.1705826173066054E-2</v>
      </c>
      <c r="E7" s="28">
        <v>20.145021423544296</v>
      </c>
      <c r="F7" s="51">
        <v>3.6905164533820867E-2</v>
      </c>
      <c r="G7" s="28">
        <v>9.4280401040566559</v>
      </c>
      <c r="H7" s="55" t="s">
        <v>27</v>
      </c>
      <c r="I7" s="50">
        <v>4.095663883302858E-2</v>
      </c>
    </row>
    <row r="8" spans="1:10" ht="12.75" customHeight="1" x14ac:dyDescent="0.15">
      <c r="A8" s="126">
        <v>2</v>
      </c>
      <c r="B8" s="25" t="s">
        <v>86</v>
      </c>
      <c r="C8" s="39">
        <v>3.0500000000000003</v>
      </c>
      <c r="D8" s="50">
        <v>2.8100213076820701E-3</v>
      </c>
      <c r="E8" s="28">
        <v>4.5303939969335138E-3</v>
      </c>
      <c r="F8" s="51">
        <v>1.5441455771519341E-2</v>
      </c>
      <c r="G8" s="28">
        <v>3.8985472484779184E-3</v>
      </c>
      <c r="H8" s="55" t="s">
        <v>27</v>
      </c>
      <c r="I8" s="50">
        <v>61.317518126708961</v>
      </c>
    </row>
    <row r="9" spans="1:10" ht="12.75" customHeight="1" x14ac:dyDescent="0.15">
      <c r="A9" s="126">
        <v>3</v>
      </c>
      <c r="B9" s="25" t="s">
        <v>87</v>
      </c>
      <c r="C9" s="39">
        <v>3.0633333333333335</v>
      </c>
      <c r="D9" s="50">
        <v>0.3669328469377906</v>
      </c>
      <c r="E9" s="28">
        <v>0.59544716679977094</v>
      </c>
      <c r="F9" s="51">
        <v>2.0149435136251035</v>
      </c>
      <c r="G9" s="28">
        <v>0.5098938484177441</v>
      </c>
      <c r="H9" s="55" t="s">
        <v>27</v>
      </c>
      <c r="I9" s="50">
        <v>60.556380597185495</v>
      </c>
    </row>
    <row r="10" spans="1:10" ht="12.75" customHeight="1" x14ac:dyDescent="0.15">
      <c r="A10" s="126">
        <v>4</v>
      </c>
      <c r="B10" s="25" t="s">
        <v>88</v>
      </c>
      <c r="C10" s="39">
        <v>3.0233333333333334</v>
      </c>
      <c r="D10" s="50">
        <v>3.7427429371232335E-3</v>
      </c>
      <c r="E10" s="28">
        <v>6.1555669341514093E-3</v>
      </c>
      <c r="F10" s="51">
        <v>1.9572377260981932E-2</v>
      </c>
      <c r="G10" s="28">
        <v>5.0209055535004798E-3</v>
      </c>
      <c r="H10" s="55" t="s">
        <v>27</v>
      </c>
      <c r="I10" s="50">
        <v>59.991398085091745</v>
      </c>
    </row>
    <row r="11" spans="1:10" ht="12.75" customHeight="1" x14ac:dyDescent="0.15">
      <c r="A11" s="126">
        <v>5</v>
      </c>
      <c r="B11" s="25" t="s">
        <v>59</v>
      </c>
      <c r="C11" s="39">
        <v>2.9833333333333334</v>
      </c>
      <c r="D11" s="50">
        <v>3.0708852941175868E-2</v>
      </c>
      <c r="E11" s="28">
        <v>17.125754695961387</v>
      </c>
      <c r="F11" s="51">
        <v>3.6926134453781456E-2</v>
      </c>
      <c r="G11" s="28">
        <v>11.808137519773123</v>
      </c>
      <c r="H11" s="55" t="s">
        <v>27</v>
      </c>
      <c r="I11" s="50">
        <v>5.9284909383752749E-2</v>
      </c>
    </row>
    <row r="12" spans="1:10" ht="12.75" customHeight="1" x14ac:dyDescent="0.15">
      <c r="A12" s="126">
        <v>6</v>
      </c>
      <c r="B12" s="25" t="s">
        <v>60</v>
      </c>
      <c r="C12" s="39">
        <v>3.0733333333333337</v>
      </c>
      <c r="D12" s="50">
        <v>0.75531452274826871</v>
      </c>
      <c r="E12" s="28">
        <v>60.529783111118419</v>
      </c>
      <c r="F12" s="51">
        <v>3.7483883833718248</v>
      </c>
      <c r="G12" s="28">
        <v>82.26397248505917</v>
      </c>
      <c r="H12" s="55" t="s">
        <v>27</v>
      </c>
      <c r="I12" s="50">
        <v>6.6206856966898098E-2</v>
      </c>
    </row>
    <row r="13" spans="1:10" ht="12.75" customHeight="1" x14ac:dyDescent="0.15">
      <c r="A13" s="126">
        <v>7</v>
      </c>
      <c r="B13" s="25" t="s">
        <v>61</v>
      </c>
      <c r="C13" s="39">
        <v>3.08</v>
      </c>
      <c r="D13" s="50">
        <v>1.3809058842534776</v>
      </c>
      <c r="E13" s="28">
        <v>56.566227294228369</v>
      </c>
      <c r="F13" s="51">
        <v>6.3708201423932058</v>
      </c>
      <c r="G13" s="28">
        <v>76.007019150043448</v>
      </c>
      <c r="H13" s="55" t="s">
        <v>27</v>
      </c>
      <c r="I13" s="50">
        <v>0.12247340861437273</v>
      </c>
    </row>
    <row r="14" spans="1:10" ht="12.75" customHeight="1" x14ac:dyDescent="0.15">
      <c r="A14" s="126">
        <v>8</v>
      </c>
      <c r="B14" s="25" t="s">
        <v>62</v>
      </c>
      <c r="C14" s="39">
        <v>3.0833333333333335</v>
      </c>
      <c r="D14" s="50">
        <v>2.4475970833932563</v>
      </c>
      <c r="E14" s="28">
        <v>92.24310594997587</v>
      </c>
      <c r="F14" s="51">
        <v>9.8177272265023134</v>
      </c>
      <c r="G14" s="28">
        <v>92.665321222215525</v>
      </c>
      <c r="H14" s="55" t="s">
        <v>27</v>
      </c>
      <c r="I14" s="50">
        <v>9.598185279917848E-2</v>
      </c>
    </row>
    <row r="15" spans="1:10" ht="12.75" customHeight="1" x14ac:dyDescent="0.15">
      <c r="A15" s="126">
        <v>9</v>
      </c>
      <c r="B15" s="25" t="s">
        <v>59</v>
      </c>
      <c r="C15" s="39">
        <v>2.9833333333333334</v>
      </c>
      <c r="D15" s="50">
        <v>7.4291666666663758E-3</v>
      </c>
      <c r="E15" s="28">
        <v>3.4273918851044303</v>
      </c>
      <c r="F15" s="51">
        <v>2.20183529411766E-2</v>
      </c>
      <c r="G15" s="28">
        <v>6.0116856726807582</v>
      </c>
      <c r="H15" s="55" t="s">
        <v>27</v>
      </c>
      <c r="I15" s="50">
        <v>6.6867244418114868E-2</v>
      </c>
    </row>
    <row r="16" spans="1:10" ht="12.75" customHeight="1" x14ac:dyDescent="0.15">
      <c r="A16" s="126">
        <v>10</v>
      </c>
      <c r="B16" s="25" t="s">
        <v>63</v>
      </c>
      <c r="C16" s="39">
        <v>3.0633333333333335</v>
      </c>
      <c r="D16" s="50">
        <v>0.15279939400000031</v>
      </c>
      <c r="E16" s="28">
        <v>22.97524900790426</v>
      </c>
      <c r="F16" s="51">
        <v>0.78447832000000006</v>
      </c>
      <c r="G16" s="28">
        <v>42.977650053703073</v>
      </c>
      <c r="H16" s="55" t="s">
        <v>27</v>
      </c>
      <c r="I16" s="50">
        <v>7.8765377866665265E-2</v>
      </c>
    </row>
    <row r="17" spans="1:12" ht="12.75" customHeight="1" x14ac:dyDescent="0.15">
      <c r="A17" s="126">
        <v>11</v>
      </c>
      <c r="B17" s="25" t="s">
        <v>64</v>
      </c>
      <c r="C17" s="39">
        <v>3.0633333333333335</v>
      </c>
      <c r="D17" s="50">
        <v>0.18699353763016191</v>
      </c>
      <c r="E17" s="28">
        <v>38.375987874854268</v>
      </c>
      <c r="F17" s="51">
        <v>0.99853367684021554</v>
      </c>
      <c r="G17" s="28">
        <v>57.876944596350867</v>
      </c>
      <c r="H17" s="55" t="s">
        <v>27</v>
      </c>
      <c r="I17" s="50">
        <v>7.177782721124859E-2</v>
      </c>
    </row>
    <row r="18" spans="1:12" ht="12.75" customHeight="1" x14ac:dyDescent="0.15">
      <c r="A18" s="126">
        <v>12</v>
      </c>
      <c r="B18" s="25" t="s">
        <v>65</v>
      </c>
      <c r="C18" s="39">
        <v>3.0666666666666669</v>
      </c>
      <c r="D18" s="50">
        <v>0.24614132932583155</v>
      </c>
      <c r="E18" s="28">
        <v>15.884767157561813</v>
      </c>
      <c r="F18" s="51">
        <v>1.4064561563517919</v>
      </c>
      <c r="G18" s="28">
        <v>16.392166459611822</v>
      </c>
      <c r="H18" s="55" t="s">
        <v>27</v>
      </c>
      <c r="I18" s="50">
        <v>1.0162091069687109</v>
      </c>
    </row>
    <row r="19" spans="1:12" ht="12.75" customHeight="1" x14ac:dyDescent="0.15">
      <c r="A19" s="126">
        <v>13</v>
      </c>
      <c r="B19" s="25" t="s">
        <v>66</v>
      </c>
      <c r="C19" s="39">
        <v>3.0700000000000003</v>
      </c>
      <c r="D19" s="50">
        <v>0.39889588945762022</v>
      </c>
      <c r="E19" s="28">
        <v>50.331739648386112</v>
      </c>
      <c r="F19" s="51">
        <v>1.9468449432697268</v>
      </c>
      <c r="G19" s="28">
        <v>70.248717057928047</v>
      </c>
      <c r="H19" s="55" t="s">
        <v>27</v>
      </c>
      <c r="I19" s="50">
        <v>5.0377216666666724E-2</v>
      </c>
    </row>
    <row r="20" spans="1:12" ht="12.75" customHeight="1" x14ac:dyDescent="0.15">
      <c r="A20" s="126">
        <v>14</v>
      </c>
      <c r="B20" s="25" t="s">
        <v>67</v>
      </c>
      <c r="C20" s="39">
        <v>3.0700000000000003</v>
      </c>
      <c r="D20" s="50">
        <v>0.4353255393902159</v>
      </c>
      <c r="E20" s="28">
        <v>54.354459859975648</v>
      </c>
      <c r="F20" s="51">
        <v>2.1190891896869246</v>
      </c>
      <c r="G20" s="28">
        <v>73.27776298130533</v>
      </c>
      <c r="H20" s="55" t="s">
        <v>27</v>
      </c>
      <c r="I20" s="50">
        <v>3.7888999999999728E-2</v>
      </c>
    </row>
    <row r="21" spans="1:12" ht="12.75" customHeight="1" x14ac:dyDescent="0.15">
      <c r="A21" s="126">
        <v>15</v>
      </c>
      <c r="B21" s="25" t="s">
        <v>85</v>
      </c>
      <c r="C21" s="39">
        <v>2.976666666666667</v>
      </c>
      <c r="D21" s="50">
        <v>0.12435262568258401</v>
      </c>
      <c r="E21" s="28">
        <v>6.7149960443064911</v>
      </c>
      <c r="F21" s="51">
        <v>0.27754775182990588</v>
      </c>
      <c r="G21" s="28">
        <v>8.9180165353812413</v>
      </c>
      <c r="H21" s="55" t="s">
        <v>27</v>
      </c>
      <c r="I21" s="50">
        <v>0.28603644460322941</v>
      </c>
    </row>
    <row r="22" spans="1:12" ht="12.75" customHeight="1" x14ac:dyDescent="0.15">
      <c r="A22" s="126">
        <v>16</v>
      </c>
      <c r="B22" s="25" t="s">
        <v>85</v>
      </c>
      <c r="C22" s="39">
        <v>2.976666666666667</v>
      </c>
      <c r="D22" s="50">
        <v>2.8150468241289528E-2</v>
      </c>
      <c r="E22" s="28">
        <v>15.428171632927159</v>
      </c>
      <c r="F22" s="51">
        <v>3.6273929712460129E-2</v>
      </c>
      <c r="G22" s="28">
        <v>11.155376330926202</v>
      </c>
      <c r="H22" s="55" t="s">
        <v>27</v>
      </c>
      <c r="I22" s="50">
        <v>5.7229369047616885E-2</v>
      </c>
    </row>
    <row r="23" spans="1:12" ht="12.75" customHeight="1" x14ac:dyDescent="0.15">
      <c r="A23" s="126">
        <v>17</v>
      </c>
      <c r="B23" s="25" t="s">
        <v>85</v>
      </c>
      <c r="C23" s="39">
        <v>2.976666666666667</v>
      </c>
      <c r="D23" s="50">
        <v>2.9519185831811567E-2</v>
      </c>
      <c r="E23" s="28">
        <v>17.306416741143334</v>
      </c>
      <c r="F23" s="51">
        <v>3.648691042047536E-2</v>
      </c>
      <c r="G23" s="28">
        <v>11.725917988545268</v>
      </c>
      <c r="H23" s="55" t="s">
        <v>27</v>
      </c>
      <c r="I23" s="50">
        <v>4.6151283348567551E-2</v>
      </c>
    </row>
    <row r="24" spans="1:12" ht="12.75" customHeight="1" x14ac:dyDescent="0.15">
      <c r="A24" s="126">
        <v>18</v>
      </c>
      <c r="B24" s="25" t="s">
        <v>87</v>
      </c>
      <c r="C24" s="39">
        <v>3.0633333333333335</v>
      </c>
      <c r="D24" s="50">
        <v>0.35418313658493861</v>
      </c>
      <c r="E24" s="28">
        <v>0.59643738797374546</v>
      </c>
      <c r="F24" s="51">
        <v>1.9302877653239932</v>
      </c>
      <c r="G24" s="28">
        <v>0.50931420222587065</v>
      </c>
      <c r="H24" s="55" t="s">
        <v>27</v>
      </c>
      <c r="I24" s="50">
        <v>58.138214970554579</v>
      </c>
      <c r="J24">
        <f>D24*60/I24</f>
        <v>0.36552529529603484</v>
      </c>
    </row>
    <row r="25" spans="1:12" ht="12.75" customHeight="1" x14ac:dyDescent="0.15">
      <c r="A25" s="126">
        <v>19</v>
      </c>
      <c r="B25" s="25" t="s">
        <v>88</v>
      </c>
      <c r="C25" s="39">
        <v>3.0433333333333334</v>
      </c>
      <c r="D25" s="50">
        <v>2.8880055879329514E-3</v>
      </c>
      <c r="E25" s="28">
        <v>4.7911491149041051E-3</v>
      </c>
      <c r="F25" s="51">
        <v>1.4575323962975673E-2</v>
      </c>
      <c r="G25" s="28">
        <v>3.8116761236585048E-3</v>
      </c>
      <c r="H25" s="55" t="s">
        <v>27</v>
      </c>
      <c r="I25" s="50">
        <v>59.254926413747008</v>
      </c>
      <c r="J25">
        <f t="shared" ref="J25:J88" si="0">D25*60/I25</f>
        <v>2.9243194745707498E-3</v>
      </c>
    </row>
    <row r="26" spans="1:12" ht="12.75" customHeight="1" x14ac:dyDescent="0.15">
      <c r="A26" s="126">
        <v>20</v>
      </c>
      <c r="B26" s="25" t="s">
        <v>86</v>
      </c>
      <c r="C26" s="39">
        <v>2.9933333333333336</v>
      </c>
      <c r="D26" s="50">
        <v>3.8932292128772694E-3</v>
      </c>
      <c r="E26" s="28">
        <v>6.015939607601683E-3</v>
      </c>
      <c r="F26" s="51">
        <v>1.1052060998151481E-2</v>
      </c>
      <c r="G26" s="28">
        <v>2.6759505079221139E-3</v>
      </c>
      <c r="H26" s="55" t="s">
        <v>27</v>
      </c>
      <c r="I26" s="50">
        <v>63.739007898367269</v>
      </c>
      <c r="J26">
        <f t="shared" si="0"/>
        <v>3.6648476415746013E-3</v>
      </c>
    </row>
    <row r="27" spans="1:12" ht="12.75" customHeight="1" x14ac:dyDescent="0.15">
      <c r="A27" s="126">
        <v>21</v>
      </c>
      <c r="B27" s="25" t="s">
        <v>85</v>
      </c>
      <c r="C27" s="39">
        <v>2.9833333333333334</v>
      </c>
      <c r="D27" s="50">
        <v>3.2830477262751456E-2</v>
      </c>
      <c r="E27" s="28">
        <v>13.717107576096604</v>
      </c>
      <c r="F27" s="51">
        <v>3.6646138233680792E-2</v>
      </c>
      <c r="G27" s="28">
        <v>10.572621204703402</v>
      </c>
      <c r="H27" s="55" t="s">
        <v>27</v>
      </c>
      <c r="I27" s="50">
        <v>5.8629709434996791E-2</v>
      </c>
      <c r="J27">
        <f t="shared" si="0"/>
        <v>33.597789495256691</v>
      </c>
    </row>
    <row r="28" spans="1:12" ht="12.75" customHeight="1" x14ac:dyDescent="0.15">
      <c r="A28" s="126">
        <v>22</v>
      </c>
      <c r="B28" s="25" t="s">
        <v>89</v>
      </c>
      <c r="C28" s="39">
        <v>3.0366666666666666</v>
      </c>
      <c r="D28" s="50">
        <v>4.0379704775017622E-3</v>
      </c>
      <c r="E28" s="28">
        <v>5.9571219902162928E-3</v>
      </c>
      <c r="F28" s="51">
        <v>1.2709118457300272E-2</v>
      </c>
      <c r="G28" s="28">
        <v>2.9672617094248619E-3</v>
      </c>
      <c r="H28" s="55" t="s">
        <v>27</v>
      </c>
      <c r="I28" s="50">
        <v>66.89664388762219</v>
      </c>
      <c r="J28">
        <f t="shared" si="0"/>
        <v>3.621679871670426E-3</v>
      </c>
      <c r="K28" s="225" t="s">
        <v>206</v>
      </c>
      <c r="L28" s="225">
        <f>J28</f>
        <v>3.621679871670426E-3</v>
      </c>
    </row>
    <row r="29" spans="1:12" ht="12.75" customHeight="1" x14ac:dyDescent="0.15">
      <c r="A29" s="126">
        <v>23</v>
      </c>
      <c r="B29" s="25" t="s">
        <v>90</v>
      </c>
      <c r="C29" s="39">
        <v>3.0433333333333334</v>
      </c>
      <c r="D29" s="50">
        <v>3.4457686813185173E-3</v>
      </c>
      <c r="E29" s="28">
        <v>5.2910382025556672E-3</v>
      </c>
      <c r="F29" s="51">
        <v>1.0476263736263758E-2</v>
      </c>
      <c r="G29" s="28">
        <v>2.5356516018591314E-3</v>
      </c>
      <c r="H29" s="55" t="s">
        <v>27</v>
      </c>
      <c r="I29" s="50">
        <v>64.292652151897741</v>
      </c>
      <c r="J29">
        <f t="shared" si="0"/>
        <v>3.2157037228866046E-3</v>
      </c>
      <c r="K29" s="208" t="s">
        <v>206</v>
      </c>
      <c r="L29" s="208">
        <f>J29</f>
        <v>3.2157037228866046E-3</v>
      </c>
    </row>
    <row r="30" spans="1:12" ht="12.75" customHeight="1" x14ac:dyDescent="0.15">
      <c r="A30" s="126">
        <v>24</v>
      </c>
      <c r="B30" s="25" t="s">
        <v>91</v>
      </c>
      <c r="C30" s="39">
        <v>3.04</v>
      </c>
      <c r="D30" s="50">
        <v>1.8780046924791738E-3</v>
      </c>
      <c r="E30" s="28">
        <v>2.6268944054731705E-3</v>
      </c>
      <c r="F30" s="51">
        <v>9.5653107074569199E-3</v>
      </c>
      <c r="G30" s="28">
        <v>2.1412619391549567E-3</v>
      </c>
      <c r="H30" s="55" t="s">
        <v>27</v>
      </c>
      <c r="I30" s="50">
        <v>70.558985876059566</v>
      </c>
      <c r="J30">
        <f t="shared" si="0"/>
        <v>1.5969657181110716E-3</v>
      </c>
      <c r="K30" s="208" t="s">
        <v>206</v>
      </c>
      <c r="L30" s="208">
        <f t="shared" ref="L30:L39" si="1">J30</f>
        <v>1.5969657181110716E-3</v>
      </c>
    </row>
    <row r="31" spans="1:12" ht="12.75" customHeight="1" x14ac:dyDescent="0.15">
      <c r="A31" s="126">
        <v>25</v>
      </c>
      <c r="B31" s="25" t="s">
        <v>92</v>
      </c>
      <c r="C31" s="39">
        <v>3.0433333333333334</v>
      </c>
      <c r="D31" s="50">
        <v>2.5120321811867297E-3</v>
      </c>
      <c r="E31" s="28">
        <v>3.9271006090373702E-3</v>
      </c>
      <c r="F31" s="51">
        <v>1.197525568181812E-2</v>
      </c>
      <c r="G31" s="28">
        <v>2.9493711637873571E-3</v>
      </c>
      <c r="H31" s="55" t="s">
        <v>27</v>
      </c>
      <c r="I31" s="50">
        <v>63.136728161916054</v>
      </c>
      <c r="J31">
        <f t="shared" si="0"/>
        <v>2.3872306224781369E-3</v>
      </c>
      <c r="K31" s="208" t="s">
        <v>206</v>
      </c>
      <c r="L31" s="208">
        <f t="shared" si="1"/>
        <v>2.3872306224781369E-3</v>
      </c>
    </row>
    <row r="32" spans="1:12" ht="12.75" customHeight="1" x14ac:dyDescent="0.15">
      <c r="A32" s="126">
        <v>26</v>
      </c>
      <c r="B32" s="25" t="s">
        <v>93</v>
      </c>
      <c r="C32" s="39">
        <v>3.0500000000000003</v>
      </c>
      <c r="D32" s="50">
        <v>2.250221014492737E-3</v>
      </c>
      <c r="E32" s="28">
        <v>3.3786421103954539E-3</v>
      </c>
      <c r="F32" s="51">
        <v>1.1779565217391319E-2</v>
      </c>
      <c r="G32" s="28">
        <v>2.8073714462358373E-3</v>
      </c>
      <c r="H32" s="55" t="s">
        <v>27</v>
      </c>
      <c r="I32" s="50">
        <v>65.753312757466972</v>
      </c>
      <c r="J32">
        <f t="shared" si="0"/>
        <v>2.0533301701096737E-3</v>
      </c>
      <c r="K32" s="208" t="s">
        <v>206</v>
      </c>
      <c r="L32" s="208">
        <f t="shared" si="1"/>
        <v>2.0533301701096737E-3</v>
      </c>
    </row>
    <row r="33" spans="1:12" ht="12.75" customHeight="1" x14ac:dyDescent="0.15">
      <c r="A33" s="126">
        <v>27</v>
      </c>
      <c r="B33" s="25" t="s">
        <v>94</v>
      </c>
      <c r="C33" s="39">
        <v>3.0366666666666666</v>
      </c>
      <c r="D33" s="50">
        <v>2.6613644473455489E-3</v>
      </c>
      <c r="E33" s="28">
        <v>4.1431085540801962E-3</v>
      </c>
      <c r="F33" s="51">
        <v>1.2290313315926893E-2</v>
      </c>
      <c r="G33" s="28">
        <v>3.0172549237991635E-3</v>
      </c>
      <c r="H33" s="55" t="s">
        <v>27</v>
      </c>
      <c r="I33" s="50">
        <v>63.425098809374994</v>
      </c>
      <c r="J33">
        <f t="shared" si="0"/>
        <v>2.5176447469267486E-3</v>
      </c>
      <c r="K33" s="208" t="s">
        <v>206</v>
      </c>
      <c r="L33" s="208">
        <f t="shared" si="1"/>
        <v>2.5176447469267486E-3</v>
      </c>
    </row>
    <row r="34" spans="1:12" ht="12.75" customHeight="1" x14ac:dyDescent="0.15">
      <c r="A34" s="126">
        <v>28</v>
      </c>
      <c r="B34" s="25" t="s">
        <v>95</v>
      </c>
      <c r="C34" s="39">
        <v>3.0100000000000002</v>
      </c>
      <c r="D34" s="50">
        <v>4.7974922522521779E-3</v>
      </c>
      <c r="E34" s="28">
        <v>7.0120693090217788E-3</v>
      </c>
      <c r="F34" s="51">
        <v>2.7839891891891955E-2</v>
      </c>
      <c r="G34" s="28">
        <v>6.4922411563465478E-3</v>
      </c>
      <c r="H34" s="55" t="s">
        <v>27</v>
      </c>
      <c r="I34" s="50">
        <v>67.552395389219171</v>
      </c>
      <c r="J34">
        <f t="shared" si="0"/>
        <v>4.2611299492285541E-3</v>
      </c>
      <c r="K34" s="208" t="s">
        <v>206</v>
      </c>
      <c r="L34" s="208">
        <f t="shared" si="1"/>
        <v>4.2611299492285541E-3</v>
      </c>
    </row>
    <row r="35" spans="1:12" ht="12.75" customHeight="1" x14ac:dyDescent="0.15">
      <c r="A35" s="126">
        <v>29</v>
      </c>
      <c r="B35" s="25" t="s">
        <v>96</v>
      </c>
      <c r="C35" s="39">
        <v>3.0466666666666669</v>
      </c>
      <c r="D35" s="50">
        <v>2.1041296747967841E-3</v>
      </c>
      <c r="E35" s="28">
        <v>3.2398157423962287E-3</v>
      </c>
      <c r="F35" s="51">
        <v>1.1162059620596243E-2</v>
      </c>
      <c r="G35" s="28">
        <v>2.7211764558244377E-3</v>
      </c>
      <c r="H35" s="55" t="s">
        <v>27</v>
      </c>
      <c r="I35" s="50">
        <v>64.131110996801894</v>
      </c>
      <c r="J35">
        <f t="shared" si="0"/>
        <v>1.9685887009520666E-3</v>
      </c>
      <c r="K35" s="208" t="s">
        <v>206</v>
      </c>
      <c r="L35" s="208">
        <f t="shared" si="1"/>
        <v>1.9685887009520666E-3</v>
      </c>
    </row>
    <row r="36" spans="1:12" ht="12.75" customHeight="1" x14ac:dyDescent="0.15">
      <c r="A36" s="126">
        <v>30</v>
      </c>
      <c r="B36" s="25" t="s">
        <v>97</v>
      </c>
      <c r="C36" s="39">
        <v>3.0466666666666669</v>
      </c>
      <c r="D36" s="50">
        <v>1.9461047619049321E-3</v>
      </c>
      <c r="E36" s="28">
        <v>2.7784864750603749E-3</v>
      </c>
      <c r="F36" s="51">
        <v>1.0641746031746058E-2</v>
      </c>
      <c r="G36" s="28">
        <v>2.4301587020672771E-3</v>
      </c>
      <c r="H36" s="55" t="s">
        <v>27</v>
      </c>
      <c r="I36" s="50">
        <v>69.155521096757155</v>
      </c>
      <c r="J36">
        <f t="shared" si="0"/>
        <v>1.6884593429774813E-3</v>
      </c>
      <c r="K36" s="208" t="s">
        <v>206</v>
      </c>
      <c r="L36" s="208">
        <f t="shared" si="1"/>
        <v>1.6884593429774813E-3</v>
      </c>
    </row>
    <row r="37" spans="1:12" ht="12.75" customHeight="1" x14ac:dyDescent="0.15">
      <c r="A37" s="126">
        <v>31</v>
      </c>
      <c r="B37" s="25" t="s">
        <v>98</v>
      </c>
      <c r="C37" s="39">
        <v>3.0366666666666666</v>
      </c>
      <c r="D37" s="50">
        <v>2.7366972972974746E-3</v>
      </c>
      <c r="E37" s="28">
        <v>4.1350795028759733E-3</v>
      </c>
      <c r="F37" s="51">
        <v>1.2586540540540536E-2</v>
      </c>
      <c r="G37" s="28">
        <v>3.0186259831938627E-3</v>
      </c>
      <c r="H37" s="55" t="s">
        <v>27</v>
      </c>
      <c r="I37" s="50">
        <v>65.337947505020324</v>
      </c>
      <c r="J37">
        <f t="shared" si="0"/>
        <v>2.5131159472867098E-3</v>
      </c>
      <c r="K37" s="208" t="s">
        <v>206</v>
      </c>
      <c r="L37" s="208">
        <f t="shared" si="1"/>
        <v>2.5131159472867098E-3</v>
      </c>
    </row>
    <row r="38" spans="1:12" ht="12.75" customHeight="1" x14ac:dyDescent="0.15">
      <c r="A38" s="126">
        <v>32</v>
      </c>
      <c r="B38" s="25" t="s">
        <v>99</v>
      </c>
      <c r="C38" s="39">
        <v>3.04</v>
      </c>
      <c r="D38" s="50">
        <v>2.4004539267017955E-3</v>
      </c>
      <c r="E38" s="28">
        <v>3.7927680795707317E-3</v>
      </c>
      <c r="F38" s="51">
        <v>1.1382356020942397E-2</v>
      </c>
      <c r="G38" s="28">
        <v>2.8405258304238265E-3</v>
      </c>
      <c r="H38" s="55" t="s">
        <v>27</v>
      </c>
      <c r="I38" s="50">
        <v>62.489516211383659</v>
      </c>
      <c r="J38">
        <f t="shared" si="0"/>
        <v>2.3048223819641354E-3</v>
      </c>
      <c r="K38" s="208" t="s">
        <v>206</v>
      </c>
      <c r="L38" s="208">
        <f t="shared" si="1"/>
        <v>2.3048223819641354E-3</v>
      </c>
    </row>
    <row r="39" spans="1:12" ht="12.75" customHeight="1" x14ac:dyDescent="0.15">
      <c r="A39" s="126">
        <v>33</v>
      </c>
      <c r="B39" s="25" t="s">
        <v>100</v>
      </c>
      <c r="C39" s="39">
        <v>3.0466666666666669</v>
      </c>
      <c r="D39" s="50">
        <v>2.4467954257246238E-3</v>
      </c>
      <c r="E39" s="28">
        <v>3.7725206282098402E-3</v>
      </c>
      <c r="F39" s="51">
        <v>1.1802173913043501E-2</v>
      </c>
      <c r="G39" s="28">
        <v>2.883905757983851E-3</v>
      </c>
      <c r="H39" s="55" t="s">
        <v>27</v>
      </c>
      <c r="I39" s="50">
        <v>64.038966777314286</v>
      </c>
      <c r="J39">
        <f t="shared" si="0"/>
        <v>2.292474924743537E-3</v>
      </c>
      <c r="K39" s="208" t="s">
        <v>206</v>
      </c>
      <c r="L39" s="208">
        <f t="shared" si="1"/>
        <v>2.292474924743537E-3</v>
      </c>
    </row>
    <row r="40" spans="1:12" ht="12.75" customHeight="1" x14ac:dyDescent="0.15">
      <c r="A40" s="226">
        <v>34</v>
      </c>
      <c r="B40" s="227" t="s">
        <v>101</v>
      </c>
      <c r="C40" s="228">
        <v>3.0633333333333335</v>
      </c>
      <c r="D40" s="229">
        <v>0.28173069061488554</v>
      </c>
      <c r="E40" s="230">
        <v>0.47446482952430286</v>
      </c>
      <c r="F40" s="231">
        <v>1.5730361026352291</v>
      </c>
      <c r="G40" s="230">
        <v>0.41499565221721274</v>
      </c>
      <c r="H40" s="232" t="s">
        <v>27</v>
      </c>
      <c r="I40" s="229">
        <v>58.317270811257515</v>
      </c>
      <c r="J40" s="233">
        <f t="shared" si="0"/>
        <v>0.28985995403663556</v>
      </c>
      <c r="K40" s="225" t="s">
        <v>207</v>
      </c>
      <c r="L40" s="225">
        <f>J64</f>
        <v>2.2306630977864134E-3</v>
      </c>
    </row>
    <row r="41" spans="1:12" ht="12.75" customHeight="1" x14ac:dyDescent="0.15">
      <c r="A41" s="226">
        <v>35</v>
      </c>
      <c r="B41" s="227" t="s">
        <v>102</v>
      </c>
      <c r="C41" s="228">
        <v>3.0633333333333335</v>
      </c>
      <c r="D41" s="229">
        <v>0.30008183144048717</v>
      </c>
      <c r="E41" s="230">
        <v>0.51603127096107637</v>
      </c>
      <c r="F41" s="231">
        <v>1.6509741193455247</v>
      </c>
      <c r="G41" s="230">
        <v>0.4437701465798744</v>
      </c>
      <c r="H41" s="232" t="s">
        <v>27</v>
      </c>
      <c r="I41" s="229">
        <v>57.08700795660895</v>
      </c>
      <c r="J41" s="233">
        <f t="shared" si="0"/>
        <v>0.31539417690474364</v>
      </c>
      <c r="K41" s="208" t="s">
        <v>207</v>
      </c>
      <c r="L41" s="208">
        <f t="shared" ref="L41:L51" si="2">J65</f>
        <v>2.342577170738493E-3</v>
      </c>
    </row>
    <row r="42" spans="1:12" ht="12.75" customHeight="1" x14ac:dyDescent="0.15">
      <c r="A42" s="226">
        <v>36</v>
      </c>
      <c r="B42" s="227" t="s">
        <v>103</v>
      </c>
      <c r="C42" s="228">
        <v>3.0633333333333335</v>
      </c>
      <c r="D42" s="229">
        <v>0.30841868590966937</v>
      </c>
      <c r="E42" s="230">
        <v>0.50835715476242238</v>
      </c>
      <c r="F42" s="231">
        <v>1.7019323568702291</v>
      </c>
      <c r="G42" s="230">
        <v>0.44118794813638557</v>
      </c>
      <c r="H42" s="232" t="s">
        <v>27</v>
      </c>
      <c r="I42" s="229">
        <v>59.570339434128485</v>
      </c>
      <c r="J42" s="233">
        <f t="shared" si="0"/>
        <v>0.31064320482918689</v>
      </c>
      <c r="K42" s="208" t="s">
        <v>207</v>
      </c>
      <c r="L42" s="208">
        <f t="shared" si="2"/>
        <v>3.0528155940000683E-3</v>
      </c>
    </row>
    <row r="43" spans="1:12" ht="12.75" customHeight="1" x14ac:dyDescent="0.15">
      <c r="A43" s="226">
        <v>37</v>
      </c>
      <c r="B43" s="227" t="s">
        <v>104</v>
      </c>
      <c r="C43" s="228">
        <v>3.0633333333333335</v>
      </c>
      <c r="D43" s="229">
        <v>0.29905241995613974</v>
      </c>
      <c r="E43" s="230">
        <v>0.48116911315283062</v>
      </c>
      <c r="F43" s="231">
        <v>1.6828674561403512</v>
      </c>
      <c r="G43" s="230">
        <v>0.42680925441020584</v>
      </c>
      <c r="H43" s="232" t="s">
        <v>27</v>
      </c>
      <c r="I43" s="229">
        <v>61.06775875833339</v>
      </c>
      <c r="J43" s="233">
        <f t="shared" si="0"/>
        <v>0.29382354227827034</v>
      </c>
      <c r="K43" s="208" t="s">
        <v>207</v>
      </c>
      <c r="L43" s="208">
        <f t="shared" si="2"/>
        <v>2.0410634423103521E-3</v>
      </c>
    </row>
    <row r="44" spans="1:12" ht="12.75" customHeight="1" x14ac:dyDescent="0.15">
      <c r="A44" s="226">
        <v>38</v>
      </c>
      <c r="B44" s="227" t="s">
        <v>105</v>
      </c>
      <c r="C44" s="228">
        <v>3.0633333333333335</v>
      </c>
      <c r="D44" s="229">
        <v>0.31098774220926284</v>
      </c>
      <c r="E44" s="230">
        <v>0.50627450912876892</v>
      </c>
      <c r="F44" s="231">
        <v>1.7003105830903791</v>
      </c>
      <c r="G44" s="230">
        <v>0.43538348034507957</v>
      </c>
      <c r="H44" s="232" t="s">
        <v>27</v>
      </c>
      <c r="I44" s="229">
        <v>60.323377152575297</v>
      </c>
      <c r="J44" s="233">
        <f t="shared" si="0"/>
        <v>0.30932062184385145</v>
      </c>
      <c r="K44" s="208" t="s">
        <v>207</v>
      </c>
      <c r="L44" s="208">
        <f t="shared" si="2"/>
        <v>2.4346605094462911E-3</v>
      </c>
    </row>
    <row r="45" spans="1:12" ht="12.75" customHeight="1" x14ac:dyDescent="0.15">
      <c r="A45" s="226">
        <v>39</v>
      </c>
      <c r="B45" s="227" t="s">
        <v>106</v>
      </c>
      <c r="C45" s="228">
        <v>3.0633333333333335</v>
      </c>
      <c r="D45" s="229">
        <v>0.26304322333333408</v>
      </c>
      <c r="E45" s="230">
        <v>0.491697233910454</v>
      </c>
      <c r="F45" s="231">
        <v>1.5016592173913046</v>
      </c>
      <c r="G45" s="230">
        <v>0.43547866253749873</v>
      </c>
      <c r="H45" s="232" t="s">
        <v>27</v>
      </c>
      <c r="I45" s="229">
        <v>52.552244868591423</v>
      </c>
      <c r="J45" s="233">
        <f t="shared" si="0"/>
        <v>0.30032196416090173</v>
      </c>
      <c r="K45" s="208" t="s">
        <v>207</v>
      </c>
      <c r="L45" s="208">
        <f t="shared" si="2"/>
        <v>2.2983128487110822E-3</v>
      </c>
    </row>
    <row r="46" spans="1:12" ht="12.75" customHeight="1" x14ac:dyDescent="0.15">
      <c r="A46" s="226">
        <v>40</v>
      </c>
      <c r="B46" s="227" t="s">
        <v>107</v>
      </c>
      <c r="C46" s="228">
        <v>3.0633333333333335</v>
      </c>
      <c r="D46" s="229">
        <v>0.32687593363095102</v>
      </c>
      <c r="E46" s="230">
        <v>0.54412325931702588</v>
      </c>
      <c r="F46" s="231">
        <v>1.8031498214285717</v>
      </c>
      <c r="G46" s="230">
        <v>0.47057664720759662</v>
      </c>
      <c r="H46" s="232" t="s">
        <v>27</v>
      </c>
      <c r="I46" s="229">
        <v>58.956417335714264</v>
      </c>
      <c r="J46" s="233">
        <f t="shared" si="0"/>
        <v>0.33266193748133815</v>
      </c>
      <c r="K46" s="208" t="s">
        <v>207</v>
      </c>
      <c r="L46" s="208">
        <f t="shared" si="2"/>
        <v>2.6118700825046135E-3</v>
      </c>
    </row>
    <row r="47" spans="1:12" ht="12.75" customHeight="1" x14ac:dyDescent="0.15">
      <c r="A47" s="226">
        <v>41</v>
      </c>
      <c r="B47" s="227" t="s">
        <v>108</v>
      </c>
      <c r="C47" s="228">
        <v>3.0633333333333335</v>
      </c>
      <c r="D47" s="229">
        <v>0.3345518978944928</v>
      </c>
      <c r="E47" s="230">
        <v>0.54332732247776649</v>
      </c>
      <c r="F47" s="231">
        <v>1.825433947246645</v>
      </c>
      <c r="G47" s="230">
        <v>0.46636595645652612</v>
      </c>
      <c r="H47" s="232" t="s">
        <v>27</v>
      </c>
      <c r="I47" s="229">
        <v>60.441143155020875</v>
      </c>
      <c r="J47" s="233">
        <f t="shared" si="0"/>
        <v>0.33211009629956156</v>
      </c>
      <c r="K47" s="208" t="s">
        <v>207</v>
      </c>
      <c r="L47" s="208">
        <f t="shared" si="2"/>
        <v>2.1385138182131191E-3</v>
      </c>
    </row>
    <row r="48" spans="1:12" ht="12.75" customHeight="1" x14ac:dyDescent="0.15">
      <c r="A48" s="226">
        <v>42</v>
      </c>
      <c r="B48" s="227" t="s">
        <v>109</v>
      </c>
      <c r="C48" s="228">
        <v>3.0633333333333335</v>
      </c>
      <c r="D48" s="229">
        <v>0.33183795743169464</v>
      </c>
      <c r="E48" s="230">
        <v>0.54265358538619735</v>
      </c>
      <c r="F48" s="231">
        <v>1.8230900983606559</v>
      </c>
      <c r="G48" s="230">
        <v>0.46881795738292248</v>
      </c>
      <c r="H48" s="232" t="s">
        <v>27</v>
      </c>
      <c r="I48" s="229">
        <v>60.019100703005471</v>
      </c>
      <c r="J48" s="233">
        <f t="shared" si="0"/>
        <v>0.33173235207945501</v>
      </c>
      <c r="K48" s="208" t="s">
        <v>207</v>
      </c>
      <c r="L48" s="208">
        <f t="shared" si="2"/>
        <v>2.2000929285793678E-3</v>
      </c>
    </row>
    <row r="49" spans="1:13" ht="12.75" customHeight="1" x14ac:dyDescent="0.15">
      <c r="A49" s="226">
        <v>43</v>
      </c>
      <c r="B49" s="227" t="s">
        <v>110</v>
      </c>
      <c r="C49" s="228">
        <v>3.0633333333333335</v>
      </c>
      <c r="D49" s="229">
        <v>0.24359534494949653</v>
      </c>
      <c r="E49" s="230">
        <v>0.45371214854230135</v>
      </c>
      <c r="F49" s="231">
        <v>1.4046896103896105</v>
      </c>
      <c r="G49" s="230">
        <v>0.40608728038010627</v>
      </c>
      <c r="H49" s="232" t="s">
        <v>27</v>
      </c>
      <c r="I49" s="229">
        <v>52.753525116563601</v>
      </c>
      <c r="J49" s="233">
        <f t="shared" si="0"/>
        <v>0.27705675904453886</v>
      </c>
      <c r="K49" s="208" t="s">
        <v>207</v>
      </c>
      <c r="L49" s="208">
        <f t="shared" si="2"/>
        <v>2.863963769686337E-3</v>
      </c>
    </row>
    <row r="50" spans="1:13" ht="12.75" customHeight="1" x14ac:dyDescent="0.15">
      <c r="A50" s="226">
        <v>44</v>
      </c>
      <c r="B50" s="227" t="s">
        <v>111</v>
      </c>
      <c r="C50" s="228">
        <v>3.0633333333333335</v>
      </c>
      <c r="D50" s="229">
        <v>0.29461427900291115</v>
      </c>
      <c r="E50" s="230">
        <v>0.47818917704954655</v>
      </c>
      <c r="F50" s="231">
        <v>1.66733672489083</v>
      </c>
      <c r="G50" s="230">
        <v>0.42623792370385949</v>
      </c>
      <c r="H50" s="232" t="s">
        <v>27</v>
      </c>
      <c r="I50" s="229">
        <v>60.537405023923625</v>
      </c>
      <c r="J50" s="233">
        <f t="shared" si="0"/>
        <v>0.29199891758143576</v>
      </c>
      <c r="K50" s="208" t="s">
        <v>207</v>
      </c>
      <c r="L50" s="208">
        <f t="shared" si="2"/>
        <v>2.2774453777141008E-3</v>
      </c>
    </row>
    <row r="51" spans="1:13" ht="12.75" customHeight="1" x14ac:dyDescent="0.15">
      <c r="A51" s="226">
        <v>45</v>
      </c>
      <c r="B51" s="227" t="s">
        <v>112</v>
      </c>
      <c r="C51" s="228">
        <v>3.0633333333333335</v>
      </c>
      <c r="D51" s="229">
        <v>0.29756280741171071</v>
      </c>
      <c r="E51" s="230">
        <v>0.49533647807296827</v>
      </c>
      <c r="F51" s="231">
        <v>1.663056719330855</v>
      </c>
      <c r="G51" s="230">
        <v>0.43418540885502105</v>
      </c>
      <c r="H51" s="232" t="s">
        <v>27</v>
      </c>
      <c r="I51" s="229">
        <v>58.97785507537175</v>
      </c>
      <c r="J51" s="233">
        <f t="shared" si="0"/>
        <v>0.30271986700577896</v>
      </c>
      <c r="K51" s="208" t="s">
        <v>207</v>
      </c>
      <c r="L51" s="208">
        <f t="shared" si="2"/>
        <v>2.5288347041514678E-3</v>
      </c>
    </row>
    <row r="52" spans="1:13" ht="12.75" customHeight="1" x14ac:dyDescent="0.15">
      <c r="A52" s="126">
        <v>46</v>
      </c>
      <c r="B52" s="25" t="s">
        <v>113</v>
      </c>
      <c r="C52" s="39">
        <v>3.0533333333333337</v>
      </c>
      <c r="D52" s="50">
        <v>2.0475872145168827E-2</v>
      </c>
      <c r="E52" s="28">
        <v>3.4703845445816568E-2</v>
      </c>
      <c r="F52" s="51">
        <v>0.11390323162274618</v>
      </c>
      <c r="G52" s="28">
        <v>3.0247659871855501E-2</v>
      </c>
      <c r="H52" s="55" t="s">
        <v>27</v>
      </c>
      <c r="I52" s="50">
        <v>58.102414011450158</v>
      </c>
      <c r="J52">
        <f t="shared" si="0"/>
        <v>2.1144600437221432E-2</v>
      </c>
      <c r="K52" s="225" t="s">
        <v>208</v>
      </c>
      <c r="L52" s="225">
        <f>J40</f>
        <v>0.28985995403663556</v>
      </c>
    </row>
    <row r="53" spans="1:13" ht="12.75" customHeight="1" x14ac:dyDescent="0.15">
      <c r="A53" s="126">
        <v>47</v>
      </c>
      <c r="B53" s="25" t="s">
        <v>114</v>
      </c>
      <c r="C53" s="39">
        <v>3.0466666666666669</v>
      </c>
      <c r="D53" s="50">
        <v>4.2609934640522318E-3</v>
      </c>
      <c r="E53" s="28">
        <v>6.9820004242666552E-3</v>
      </c>
      <c r="F53" s="51">
        <v>2.1730068201193498E-2</v>
      </c>
      <c r="G53" s="28">
        <v>5.6222597956422206E-3</v>
      </c>
      <c r="H53" s="55" t="s">
        <v>27</v>
      </c>
      <c r="I53" s="50">
        <v>60.103360634271141</v>
      </c>
      <c r="J53">
        <f t="shared" si="0"/>
        <v>4.2536657708513543E-3</v>
      </c>
      <c r="K53" s="208" t="s">
        <v>208</v>
      </c>
      <c r="L53" s="208">
        <f t="shared" ref="L53:L63" si="3">J41</f>
        <v>0.31539417690474364</v>
      </c>
    </row>
    <row r="54" spans="1:13" ht="12.75" customHeight="1" x14ac:dyDescent="0.15">
      <c r="A54" s="126">
        <v>48</v>
      </c>
      <c r="B54" s="25" t="s">
        <v>115</v>
      </c>
      <c r="C54" s="39">
        <v>3.0433333333333334</v>
      </c>
      <c r="D54" s="50">
        <v>3.3289889273354634E-3</v>
      </c>
      <c r="E54" s="28">
        <v>5.3016659017512237E-3</v>
      </c>
      <c r="F54" s="51">
        <v>1.4482883506343747E-2</v>
      </c>
      <c r="G54" s="28">
        <v>3.6455460407921925E-3</v>
      </c>
      <c r="H54" s="55" t="s">
        <v>27</v>
      </c>
      <c r="I54" s="50">
        <v>61.815249343156488</v>
      </c>
      <c r="J54">
        <f t="shared" si="0"/>
        <v>3.2312307685003422E-3</v>
      </c>
      <c r="K54" s="208" t="s">
        <v>208</v>
      </c>
      <c r="L54" s="208">
        <f t="shared" si="3"/>
        <v>0.31064320482918689</v>
      </c>
    </row>
    <row r="55" spans="1:13" ht="12.75" customHeight="1" x14ac:dyDescent="0.15">
      <c r="A55" s="126">
        <v>49</v>
      </c>
      <c r="B55" s="25" t="s">
        <v>116</v>
      </c>
      <c r="C55" s="39">
        <v>3.0533333333333337</v>
      </c>
      <c r="D55" s="50">
        <v>9.0621229445757012E-3</v>
      </c>
      <c r="E55" s="28">
        <v>1.5359522969071417E-2</v>
      </c>
      <c r="F55" s="51">
        <v>5.4408896769109538E-2</v>
      </c>
      <c r="G55" s="28">
        <v>1.4494879330465425E-2</v>
      </c>
      <c r="H55" s="55" t="s">
        <v>27</v>
      </c>
      <c r="I55" s="50">
        <v>58.072261120856297</v>
      </c>
      <c r="J55">
        <f t="shared" si="0"/>
        <v>9.3629448239146602E-3</v>
      </c>
      <c r="K55" s="208" t="s">
        <v>208</v>
      </c>
      <c r="L55" s="208">
        <f t="shared" si="3"/>
        <v>0.29382354227827034</v>
      </c>
    </row>
    <row r="56" spans="1:13" ht="12.75" customHeight="1" x14ac:dyDescent="0.15">
      <c r="A56" s="126">
        <v>50</v>
      </c>
      <c r="B56" s="25" t="s">
        <v>117</v>
      </c>
      <c r="C56" s="39">
        <v>3.0466666666666669</v>
      </c>
      <c r="D56" s="50">
        <v>3.497946211466374E-3</v>
      </c>
      <c r="E56" s="28">
        <v>5.4051614619692193E-3</v>
      </c>
      <c r="F56" s="51">
        <v>1.826563958513383E-2</v>
      </c>
      <c r="G56" s="28">
        <v>4.4798674780667149E-3</v>
      </c>
      <c r="H56" s="55" t="s">
        <v>27</v>
      </c>
      <c r="I56" s="50">
        <v>63.70435412129796</v>
      </c>
      <c r="J56">
        <f t="shared" si="0"/>
        <v>3.2945436082494617E-3</v>
      </c>
      <c r="K56" s="208" t="s">
        <v>208</v>
      </c>
      <c r="L56" s="208">
        <f t="shared" si="3"/>
        <v>0.30932062184385145</v>
      </c>
    </row>
    <row r="57" spans="1:13" ht="12.75" customHeight="1" x14ac:dyDescent="0.15">
      <c r="A57" s="126">
        <v>51</v>
      </c>
      <c r="B57" s="25" t="s">
        <v>2</v>
      </c>
      <c r="C57" s="39">
        <v>3.0266666666666668</v>
      </c>
      <c r="D57" s="50">
        <v>4.5160827773917389E-3</v>
      </c>
      <c r="E57" s="28">
        <v>7.172654805913857E-3</v>
      </c>
      <c r="F57" s="51">
        <v>2.2648269631688756E-2</v>
      </c>
      <c r="G57" s="28">
        <v>5.689374095070001E-3</v>
      </c>
      <c r="H57" s="55" t="s">
        <v>27</v>
      </c>
      <c r="I57" s="50">
        <v>61.957858689494955</v>
      </c>
      <c r="J57">
        <f t="shared" si="0"/>
        <v>4.3733752646530188E-3</v>
      </c>
      <c r="K57" s="208" t="s">
        <v>208</v>
      </c>
      <c r="L57" s="208">
        <f t="shared" si="3"/>
        <v>0.30032196416090173</v>
      </c>
    </row>
    <row r="58" spans="1:13" ht="12.75" customHeight="1" x14ac:dyDescent="0.15">
      <c r="A58" s="126">
        <v>52</v>
      </c>
      <c r="B58" s="25" t="s">
        <v>118</v>
      </c>
      <c r="C58" s="39">
        <v>3.0533333333333337</v>
      </c>
      <c r="D58" s="50">
        <v>7.9056305650684888E-3</v>
      </c>
      <c r="E58" s="28">
        <v>1.3377275200206557E-2</v>
      </c>
      <c r="F58" s="51">
        <v>4.8438236301369897E-2</v>
      </c>
      <c r="G58" s="28">
        <v>1.2895532075611135E-2</v>
      </c>
      <c r="H58" s="55" t="s">
        <v>27</v>
      </c>
      <c r="I58" s="50">
        <v>58.164371542037706</v>
      </c>
      <c r="J58">
        <f t="shared" si="0"/>
        <v>8.1551269502032966E-3</v>
      </c>
      <c r="K58" s="208" t="s">
        <v>208</v>
      </c>
      <c r="L58" s="208">
        <f t="shared" si="3"/>
        <v>0.33266193748133815</v>
      </c>
    </row>
    <row r="59" spans="1:13" ht="12.75" customHeight="1" x14ac:dyDescent="0.15">
      <c r="A59" s="126">
        <v>53</v>
      </c>
      <c r="B59" s="25" t="s">
        <v>119</v>
      </c>
      <c r="C59" s="39">
        <v>3.0500000000000003</v>
      </c>
      <c r="D59" s="50">
        <v>3.9666663475534103E-3</v>
      </c>
      <c r="E59" s="28">
        <v>6.3782902857142092E-3</v>
      </c>
      <c r="F59" s="51">
        <v>2.3219566677863623E-2</v>
      </c>
      <c r="G59" s="28">
        <v>5.8986209161344437E-3</v>
      </c>
      <c r="H59" s="55" t="s">
        <v>27</v>
      </c>
      <c r="I59" s="50">
        <v>61.193036757877024</v>
      </c>
      <c r="J59">
        <f t="shared" si="0"/>
        <v>3.88933109815911E-3</v>
      </c>
      <c r="K59" s="208" t="s">
        <v>208</v>
      </c>
      <c r="L59" s="208">
        <f t="shared" si="3"/>
        <v>0.33211009629956156</v>
      </c>
    </row>
    <row r="60" spans="1:13" ht="12.75" customHeight="1" x14ac:dyDescent="0.15">
      <c r="A60" s="126">
        <v>54</v>
      </c>
      <c r="B60" s="25" t="s">
        <v>120</v>
      </c>
      <c r="C60" s="39">
        <v>3.04</v>
      </c>
      <c r="D60" s="50">
        <v>2.5436242746615378E-3</v>
      </c>
      <c r="E60" s="28">
        <v>4.1879984025061509E-3</v>
      </c>
      <c r="F60" s="51">
        <v>1.1652901353965128E-2</v>
      </c>
      <c r="G60" s="28">
        <v>3.0258276263742229E-3</v>
      </c>
      <c r="H60" s="55" t="s">
        <v>27</v>
      </c>
      <c r="I60" s="50">
        <v>59.779423893449362</v>
      </c>
      <c r="J60">
        <f t="shared" si="0"/>
        <v>2.5530098241113379E-3</v>
      </c>
      <c r="K60" s="208" t="s">
        <v>208</v>
      </c>
      <c r="L60" s="208">
        <f t="shared" si="3"/>
        <v>0.33173235207945501</v>
      </c>
    </row>
    <row r="61" spans="1:13" ht="12.75" customHeight="1" x14ac:dyDescent="0.15">
      <c r="A61" s="209">
        <v>55</v>
      </c>
      <c r="B61" s="210" t="s">
        <v>121</v>
      </c>
      <c r="C61" s="211">
        <v>3.0633333333333335</v>
      </c>
      <c r="D61" s="212">
        <v>0.28397486354166823</v>
      </c>
      <c r="E61" s="213">
        <v>0.48003532037546293</v>
      </c>
      <c r="F61" s="214">
        <v>1.5714045585664338</v>
      </c>
      <c r="G61" s="213">
        <v>0.41681495252631434</v>
      </c>
      <c r="H61" s="215" t="s">
        <v>27</v>
      </c>
      <c r="I61" s="212">
        <v>58.075391763694661</v>
      </c>
      <c r="J61" s="216">
        <f t="shared" si="0"/>
        <v>0.29338574041529863</v>
      </c>
      <c r="K61" s="245" t="s">
        <v>208</v>
      </c>
      <c r="L61" s="245">
        <f t="shared" si="3"/>
        <v>0.27705675904453886</v>
      </c>
    </row>
    <row r="62" spans="1:13" ht="12.75" customHeight="1" x14ac:dyDescent="0.15">
      <c r="A62" s="209">
        <v>56</v>
      </c>
      <c r="B62" s="210" t="s">
        <v>122</v>
      </c>
      <c r="C62" s="211">
        <v>3.0633333333333335</v>
      </c>
      <c r="D62" s="212">
        <v>0.26004191764147411</v>
      </c>
      <c r="E62" s="213">
        <v>0.49032776652493532</v>
      </c>
      <c r="F62" s="214">
        <v>1.4463301481200155</v>
      </c>
      <c r="G62" s="213">
        <v>0.42386624467470774</v>
      </c>
      <c r="H62" s="215" t="s">
        <v>27</v>
      </c>
      <c r="I62" s="212">
        <v>52.040401285846315</v>
      </c>
      <c r="J62" s="216">
        <f t="shared" si="0"/>
        <v>0.29981542557266827</v>
      </c>
      <c r="K62" s="245" t="s">
        <v>208</v>
      </c>
      <c r="L62" s="245">
        <f t="shared" si="3"/>
        <v>0.29199891758143576</v>
      </c>
    </row>
    <row r="63" spans="1:13" ht="12.75" customHeight="1" x14ac:dyDescent="0.15">
      <c r="A63" s="209">
        <v>57</v>
      </c>
      <c r="B63" s="210" t="s">
        <v>123</v>
      </c>
      <c r="C63" s="211">
        <v>3.0633333333333335</v>
      </c>
      <c r="D63" s="212">
        <v>0.30600712077922088</v>
      </c>
      <c r="E63" s="213">
        <v>0.49292692212230049</v>
      </c>
      <c r="F63" s="214">
        <v>1.6994299350649351</v>
      </c>
      <c r="G63" s="213">
        <v>0.43188655729671416</v>
      </c>
      <c r="H63" s="215" t="s">
        <v>27</v>
      </c>
      <c r="I63" s="212">
        <v>60.92476189588745</v>
      </c>
      <c r="J63" s="216">
        <f t="shared" si="0"/>
        <v>0.30136231435961708</v>
      </c>
      <c r="K63" s="245" t="s">
        <v>208</v>
      </c>
      <c r="L63" s="245">
        <f t="shared" si="3"/>
        <v>0.30271986700577896</v>
      </c>
      <c r="M63" s="208" t="s">
        <v>212</v>
      </c>
    </row>
    <row r="64" spans="1:13" ht="12.75" customHeight="1" x14ac:dyDescent="0.15">
      <c r="A64" s="126">
        <v>58</v>
      </c>
      <c r="B64" s="25" t="s">
        <v>124</v>
      </c>
      <c r="C64" s="39">
        <v>3.0300000000000002</v>
      </c>
      <c r="D64" s="50">
        <v>2.4455647944368608E-3</v>
      </c>
      <c r="E64" s="28">
        <v>3.6695586074427409E-3</v>
      </c>
      <c r="F64" s="51">
        <v>1.04370288858322E-2</v>
      </c>
      <c r="G64" s="28">
        <v>2.4958216685675555E-3</v>
      </c>
      <c r="H64" s="55" t="s">
        <v>27</v>
      </c>
      <c r="I64" s="50">
        <v>65.78038961231853</v>
      </c>
      <c r="J64">
        <f t="shared" si="0"/>
        <v>2.2306630977864134E-3</v>
      </c>
      <c r="K64" s="225" t="s">
        <v>209</v>
      </c>
      <c r="L64" s="225">
        <f>J76</f>
        <v>0.30861093346304569</v>
      </c>
    </row>
    <row r="65" spans="1:13" ht="12.75" customHeight="1" x14ac:dyDescent="0.15">
      <c r="A65" s="126">
        <v>59</v>
      </c>
      <c r="B65" s="25" t="s">
        <v>90</v>
      </c>
      <c r="C65" s="39">
        <v>3.0366666666666666</v>
      </c>
      <c r="D65" s="50">
        <v>2.4170347517731283E-3</v>
      </c>
      <c r="E65" s="28">
        <v>3.8543239000784902E-3</v>
      </c>
      <c r="F65" s="51">
        <v>1.0747340425531937E-2</v>
      </c>
      <c r="G65" s="28">
        <v>2.705637335632598E-3</v>
      </c>
      <c r="H65" s="55" t="s">
        <v>27</v>
      </c>
      <c r="I65" s="50">
        <v>61.907068385145138</v>
      </c>
      <c r="J65">
        <f t="shared" si="0"/>
        <v>2.342577170738493E-3</v>
      </c>
      <c r="K65" s="208" t="s">
        <v>209</v>
      </c>
      <c r="L65" s="208">
        <f t="shared" ref="L65:L72" si="4">J77</f>
        <v>0.31128434649460923</v>
      </c>
    </row>
    <row r="66" spans="1:13" ht="12.75" customHeight="1" x14ac:dyDescent="0.15">
      <c r="A66" s="126">
        <v>60</v>
      </c>
      <c r="B66" s="25" t="s">
        <v>91</v>
      </c>
      <c r="C66" s="39">
        <v>3.0300000000000002</v>
      </c>
      <c r="D66" s="50">
        <v>3.001871353684904E-3</v>
      </c>
      <c r="E66" s="28">
        <v>5.0209008784138165E-3</v>
      </c>
      <c r="F66" s="51">
        <v>1.2497030527289454E-2</v>
      </c>
      <c r="G66" s="28">
        <v>3.284379733823793E-3</v>
      </c>
      <c r="H66" s="55" t="s">
        <v>27</v>
      </c>
      <c r="I66" s="50">
        <v>58.998742529710171</v>
      </c>
      <c r="J66">
        <f t="shared" si="0"/>
        <v>3.0528155940000683E-3</v>
      </c>
      <c r="K66" s="208" t="s">
        <v>209</v>
      </c>
      <c r="L66" s="208">
        <f t="shared" si="4"/>
        <v>0.30740253145756141</v>
      </c>
    </row>
    <row r="67" spans="1:13" ht="12.75" customHeight="1" x14ac:dyDescent="0.15">
      <c r="A67" s="126">
        <v>61</v>
      </c>
      <c r="B67" s="25" t="s">
        <v>92</v>
      </c>
      <c r="C67" s="39">
        <v>3.0366666666666666</v>
      </c>
      <c r="D67" s="50">
        <v>2.2129219138757317E-3</v>
      </c>
      <c r="E67" s="28">
        <v>3.3583061537965117E-3</v>
      </c>
      <c r="F67" s="51">
        <v>1.0872373205741637E-2</v>
      </c>
      <c r="G67" s="28">
        <v>2.6215923812254057E-3</v>
      </c>
      <c r="H67" s="55" t="s">
        <v>27</v>
      </c>
      <c r="I67" s="50">
        <v>65.052027330542359</v>
      </c>
      <c r="J67">
        <f t="shared" si="0"/>
        <v>2.0410634423103521E-3</v>
      </c>
      <c r="K67" s="208" t="s">
        <v>209</v>
      </c>
      <c r="L67" s="208">
        <f t="shared" si="4"/>
        <v>0.30257289309722185</v>
      </c>
    </row>
    <row r="68" spans="1:13" ht="12.75" customHeight="1" x14ac:dyDescent="0.15">
      <c r="A68" s="126">
        <v>62</v>
      </c>
      <c r="B68" s="25" t="s">
        <v>93</v>
      </c>
      <c r="C68" s="39">
        <v>3.0366666666666666</v>
      </c>
      <c r="D68" s="50">
        <v>2.6202589937106002E-3</v>
      </c>
      <c r="E68" s="28">
        <v>4.0054085643164679E-3</v>
      </c>
      <c r="F68" s="51">
        <v>1.2754891509433874E-2</v>
      </c>
      <c r="G68" s="28">
        <v>3.0923081500525669E-3</v>
      </c>
      <c r="H68" s="55" t="s">
        <v>27</v>
      </c>
      <c r="I68" s="50">
        <v>64.573906305479596</v>
      </c>
      <c r="J68">
        <f t="shared" si="0"/>
        <v>2.4346605094462911E-3</v>
      </c>
      <c r="K68" s="208" t="s">
        <v>209</v>
      </c>
      <c r="L68" s="208">
        <f t="shared" si="4"/>
        <v>0.30539555196499535</v>
      </c>
    </row>
    <row r="69" spans="1:13" ht="12.75" customHeight="1" x14ac:dyDescent="0.15">
      <c r="A69" s="126">
        <v>63</v>
      </c>
      <c r="B69" s="25" t="s">
        <v>94</v>
      </c>
      <c r="C69" s="39">
        <v>3.0366666666666666</v>
      </c>
      <c r="D69" s="50">
        <v>2.3927430548889572E-3</v>
      </c>
      <c r="E69" s="28">
        <v>3.7808391859807666E-3</v>
      </c>
      <c r="F69" s="51">
        <v>1.1457460393663021E-2</v>
      </c>
      <c r="G69" s="28">
        <v>2.862584326218403E-3</v>
      </c>
      <c r="H69" s="55" t="s">
        <v>27</v>
      </c>
      <c r="I69" s="50">
        <v>62.46520501934711</v>
      </c>
      <c r="J69">
        <f t="shared" si="0"/>
        <v>2.2983128487110822E-3</v>
      </c>
      <c r="K69" s="208" t="s">
        <v>209</v>
      </c>
      <c r="L69" s="208">
        <f t="shared" si="4"/>
        <v>0.29813910406731647</v>
      </c>
    </row>
    <row r="70" spans="1:13" ht="12.75" customHeight="1" x14ac:dyDescent="0.15">
      <c r="A70" s="126">
        <v>64</v>
      </c>
      <c r="B70" s="25" t="s">
        <v>95</v>
      </c>
      <c r="C70" s="39">
        <v>3.0266666666666668</v>
      </c>
      <c r="D70" s="50">
        <v>2.7319430232559672E-3</v>
      </c>
      <c r="E70" s="28">
        <v>4.2967338951020268E-3</v>
      </c>
      <c r="F70" s="51">
        <v>1.214976744186036E-2</v>
      </c>
      <c r="G70" s="28">
        <v>3.0177167164966638E-3</v>
      </c>
      <c r="H70" s="55" t="s">
        <v>27</v>
      </c>
      <c r="I70" s="50">
        <v>62.758321132945746</v>
      </c>
      <c r="J70">
        <f t="shared" si="0"/>
        <v>2.6118700825046135E-3</v>
      </c>
      <c r="K70" s="208" t="s">
        <v>209</v>
      </c>
      <c r="L70" s="208">
        <f t="shared" si="4"/>
        <v>0.33067790060945923</v>
      </c>
    </row>
    <row r="71" spans="1:13" ht="12.75" customHeight="1" x14ac:dyDescent="0.15">
      <c r="A71" s="126">
        <v>65</v>
      </c>
      <c r="B71" s="25" t="s">
        <v>96</v>
      </c>
      <c r="C71" s="39">
        <v>3.0433333333333334</v>
      </c>
      <c r="D71" s="50">
        <v>2.2367213165130351E-3</v>
      </c>
      <c r="E71" s="28">
        <v>3.5184434990659656E-3</v>
      </c>
      <c r="F71" s="51">
        <v>1.1060664725861202E-2</v>
      </c>
      <c r="G71" s="28">
        <v>2.7469408894948088E-3</v>
      </c>
      <c r="H71" s="55" t="s">
        <v>27</v>
      </c>
      <c r="I71" s="50">
        <v>62.755394820370405</v>
      </c>
      <c r="J71">
        <f t="shared" si="0"/>
        <v>2.1385138182131191E-3</v>
      </c>
      <c r="K71" s="208" t="s">
        <v>209</v>
      </c>
      <c r="L71" s="208">
        <f t="shared" si="4"/>
        <v>0.33071842584098765</v>
      </c>
    </row>
    <row r="72" spans="1:13" ht="12.75" customHeight="1" x14ac:dyDescent="0.15">
      <c r="A72" s="126">
        <v>66</v>
      </c>
      <c r="B72" s="25" t="s">
        <v>97</v>
      </c>
      <c r="C72" s="39">
        <v>3.0433333333333334</v>
      </c>
      <c r="D72" s="50">
        <v>2.2781420467275215E-3</v>
      </c>
      <c r="E72" s="28">
        <v>3.6192234488654808E-3</v>
      </c>
      <c r="F72" s="51">
        <v>1.2148185309649562E-2</v>
      </c>
      <c r="G72" s="28">
        <v>3.045403881965282E-3</v>
      </c>
      <c r="H72" s="55" t="s">
        <v>27</v>
      </c>
      <c r="I72" s="50">
        <v>62.128522403784586</v>
      </c>
      <c r="J72">
        <f t="shared" si="0"/>
        <v>2.2000929285793678E-3</v>
      </c>
      <c r="K72" s="208" t="s">
        <v>209</v>
      </c>
      <c r="L72" s="208">
        <f t="shared" si="4"/>
        <v>0.33711166311906599</v>
      </c>
    </row>
    <row r="73" spans="1:13" ht="12.75" customHeight="1" x14ac:dyDescent="0.15">
      <c r="A73" s="126">
        <v>67</v>
      </c>
      <c r="B73" s="25" t="s">
        <v>98</v>
      </c>
      <c r="C73" s="39">
        <v>3.0366666666666666</v>
      </c>
      <c r="D73" s="50">
        <v>3.00896856690408E-3</v>
      </c>
      <c r="E73" s="28">
        <v>4.7119470796557743E-3</v>
      </c>
      <c r="F73" s="51">
        <v>1.3558717339667403E-2</v>
      </c>
      <c r="G73" s="28">
        <v>3.3524096909240057E-3</v>
      </c>
      <c r="H73" s="55" t="s">
        <v>27</v>
      </c>
      <c r="I73" s="50">
        <v>63.037848427118</v>
      </c>
      <c r="J73">
        <f t="shared" si="0"/>
        <v>2.863963769686337E-3</v>
      </c>
      <c r="K73" s="246" t="s">
        <v>209</v>
      </c>
      <c r="L73" s="246">
        <f>J85</f>
        <v>1.4249219229143332E-2</v>
      </c>
      <c r="M73" s="246"/>
    </row>
    <row r="74" spans="1:13" ht="12.75" customHeight="1" x14ac:dyDescent="0.15">
      <c r="A74" s="126">
        <v>68</v>
      </c>
      <c r="B74" s="25" t="s">
        <v>99</v>
      </c>
      <c r="C74" s="39">
        <v>3.0366666666666666</v>
      </c>
      <c r="D74" s="50">
        <v>2.5072901103230794E-3</v>
      </c>
      <c r="E74" s="28">
        <v>3.7465300748651871E-3</v>
      </c>
      <c r="F74" s="51">
        <v>1.1981919621749437E-2</v>
      </c>
      <c r="G74" s="28">
        <v>2.8483007195210497E-3</v>
      </c>
      <c r="H74" s="55" t="s">
        <v>27</v>
      </c>
      <c r="I74" s="50">
        <v>66.055330279921179</v>
      </c>
      <c r="J74">
        <f t="shared" si="0"/>
        <v>2.2774453777141008E-3</v>
      </c>
      <c r="K74" s="246" t="s">
        <v>209</v>
      </c>
      <c r="L74" s="246">
        <f>J86</f>
        <v>5.5282157050623431E-3</v>
      </c>
      <c r="M74" s="246"/>
    </row>
    <row r="75" spans="1:13" ht="12.75" customHeight="1" x14ac:dyDescent="0.15">
      <c r="A75" s="126">
        <v>69</v>
      </c>
      <c r="B75" s="25" t="s">
        <v>100</v>
      </c>
      <c r="C75" s="39">
        <v>3.0333333333333337</v>
      </c>
      <c r="D75" s="50">
        <v>2.7294087061087158E-3</v>
      </c>
      <c r="E75" s="28">
        <v>4.1601376088807327E-3</v>
      </c>
      <c r="F75" s="51">
        <v>1.3252626262626355E-2</v>
      </c>
      <c r="G75" s="28">
        <v>3.2050460864676482E-3</v>
      </c>
      <c r="H75" s="55" t="s">
        <v>27</v>
      </c>
      <c r="I75" s="50">
        <v>64.758887600553138</v>
      </c>
      <c r="J75">
        <f t="shared" si="0"/>
        <v>2.5288347041514678E-3</v>
      </c>
      <c r="K75" s="246" t="s">
        <v>209</v>
      </c>
      <c r="L75" s="246">
        <f>J87</f>
        <v>1.2827625192980837E-2</v>
      </c>
      <c r="M75" s="246" t="s">
        <v>217</v>
      </c>
    </row>
    <row r="76" spans="1:13" ht="12.75" customHeight="1" x14ac:dyDescent="0.15">
      <c r="A76" s="226">
        <v>70</v>
      </c>
      <c r="B76" s="227" t="s">
        <v>101</v>
      </c>
      <c r="C76" s="228">
        <v>3.0633333333333335</v>
      </c>
      <c r="D76" s="229">
        <v>0.29204892236982771</v>
      </c>
      <c r="E76" s="230">
        <v>0.50488855900277363</v>
      </c>
      <c r="F76" s="231">
        <v>1.6275547320201558</v>
      </c>
      <c r="G76" s="230">
        <v>0.44036111457772631</v>
      </c>
      <c r="H76" s="232" t="s">
        <v>27</v>
      </c>
      <c r="I76" s="229">
        <v>56.780021192243112</v>
      </c>
      <c r="J76" s="233">
        <f t="shared" si="0"/>
        <v>0.30861093346304569</v>
      </c>
      <c r="K76" s="225" t="s">
        <v>210</v>
      </c>
      <c r="L76" s="225">
        <f>J52</f>
        <v>2.1144600437221432E-2</v>
      </c>
    </row>
    <row r="77" spans="1:13" ht="12.75" customHeight="1" x14ac:dyDescent="0.15">
      <c r="A77" s="226">
        <v>71</v>
      </c>
      <c r="B77" s="227" t="s">
        <v>102</v>
      </c>
      <c r="C77" s="228">
        <v>3.0633333333333335</v>
      </c>
      <c r="D77" s="229">
        <v>0.31175676899667193</v>
      </c>
      <c r="E77" s="230">
        <v>0.50927998663082363</v>
      </c>
      <c r="F77" s="231">
        <v>1.7274439229671898</v>
      </c>
      <c r="G77" s="230">
        <v>0.4441652047709333</v>
      </c>
      <c r="H77" s="232" t="s">
        <v>27</v>
      </c>
      <c r="I77" s="229">
        <v>60.091059349572056</v>
      </c>
      <c r="J77" s="233">
        <f t="shared" si="0"/>
        <v>0.31128434649460923</v>
      </c>
      <c r="K77" s="208" t="s">
        <v>210</v>
      </c>
      <c r="L77" s="208">
        <f t="shared" ref="L77:L87" si="5">J53</f>
        <v>4.2536657708513543E-3</v>
      </c>
    </row>
    <row r="78" spans="1:13" ht="12.75" customHeight="1" x14ac:dyDescent="0.15">
      <c r="A78" s="226">
        <v>72</v>
      </c>
      <c r="B78" s="227" t="s">
        <v>103</v>
      </c>
      <c r="C78" s="228">
        <v>3.0633333333333335</v>
      </c>
      <c r="D78" s="229">
        <v>0.309384486638</v>
      </c>
      <c r="E78" s="230">
        <v>0.50306435478977662</v>
      </c>
      <c r="F78" s="231">
        <v>1.7132018155757289</v>
      </c>
      <c r="G78" s="230">
        <v>0.4386855919690783</v>
      </c>
      <c r="H78" s="232" t="s">
        <v>27</v>
      </c>
      <c r="I78" s="229">
        <v>60.386845580817003</v>
      </c>
      <c r="J78" s="233">
        <f t="shared" si="0"/>
        <v>0.30740253145756141</v>
      </c>
      <c r="K78" s="208" t="s">
        <v>210</v>
      </c>
      <c r="L78" s="208">
        <f t="shared" si="5"/>
        <v>3.2312307685003422E-3</v>
      </c>
    </row>
    <row r="79" spans="1:13" ht="12.75" customHeight="1" x14ac:dyDescent="0.15">
      <c r="A79" s="226">
        <v>73</v>
      </c>
      <c r="B79" s="227" t="s">
        <v>104</v>
      </c>
      <c r="C79" s="228">
        <v>3.0633333333333335</v>
      </c>
      <c r="D79" s="229">
        <v>0.30323867328548604</v>
      </c>
      <c r="E79" s="230">
        <v>0.49524504675500469</v>
      </c>
      <c r="F79" s="231">
        <v>1.676901358851675</v>
      </c>
      <c r="G79" s="230">
        <v>0.43148764832037989</v>
      </c>
      <c r="H79" s="232" t="s">
        <v>27</v>
      </c>
      <c r="I79" s="229">
        <v>60.132023760909121</v>
      </c>
      <c r="J79" s="233">
        <f t="shared" si="0"/>
        <v>0.30257289309722185</v>
      </c>
      <c r="K79" s="208" t="s">
        <v>210</v>
      </c>
      <c r="L79" s="208">
        <f t="shared" si="5"/>
        <v>9.3629448239146602E-3</v>
      </c>
    </row>
    <row r="80" spans="1:13" ht="12.75" customHeight="1" x14ac:dyDescent="0.15">
      <c r="A80" s="226">
        <v>74</v>
      </c>
      <c r="B80" s="227" t="s">
        <v>105</v>
      </c>
      <c r="C80" s="228">
        <v>3.0633333333333335</v>
      </c>
      <c r="D80" s="229">
        <v>0.30208104955698079</v>
      </c>
      <c r="E80" s="230">
        <v>0.49977424946294713</v>
      </c>
      <c r="F80" s="231">
        <v>1.6630241200733273</v>
      </c>
      <c r="G80" s="230">
        <v>0.43324886723318379</v>
      </c>
      <c r="H80" s="232" t="s">
        <v>27</v>
      </c>
      <c r="I80" s="229">
        <v>59.348811260670658</v>
      </c>
      <c r="J80" s="233">
        <f t="shared" si="0"/>
        <v>0.30539555196499535</v>
      </c>
      <c r="K80" s="208" t="s">
        <v>210</v>
      </c>
      <c r="L80" s="208">
        <f t="shared" si="5"/>
        <v>3.2945436082494617E-3</v>
      </c>
    </row>
    <row r="81" spans="1:13" ht="12.75" customHeight="1" x14ac:dyDescent="0.15">
      <c r="A81" s="226">
        <v>75</v>
      </c>
      <c r="B81" s="227" t="s">
        <v>106</v>
      </c>
      <c r="C81" s="228">
        <v>3.0633333333333335</v>
      </c>
      <c r="D81" s="229">
        <v>0.29803680283224443</v>
      </c>
      <c r="E81" s="230">
        <v>0.48822472221449731</v>
      </c>
      <c r="F81" s="231">
        <v>1.6747854248366016</v>
      </c>
      <c r="G81" s="230">
        <v>0.43139052918278881</v>
      </c>
      <c r="H81" s="232" t="s">
        <v>27</v>
      </c>
      <c r="I81" s="229">
        <v>59.979412046187214</v>
      </c>
      <c r="J81" s="233">
        <f t="shared" si="0"/>
        <v>0.29813910406731647</v>
      </c>
      <c r="K81" s="208" t="s">
        <v>210</v>
      </c>
      <c r="L81" s="208">
        <f t="shared" si="5"/>
        <v>4.3733752646530188E-3</v>
      </c>
    </row>
    <row r="82" spans="1:13" ht="12.75" customHeight="1" x14ac:dyDescent="0.15">
      <c r="A82" s="226">
        <v>76</v>
      </c>
      <c r="B82" s="227" t="s">
        <v>107</v>
      </c>
      <c r="C82" s="228">
        <v>3.0633333333333335</v>
      </c>
      <c r="D82" s="229">
        <v>0.32181034391635011</v>
      </c>
      <c r="E82" s="230">
        <v>0.54099045901422105</v>
      </c>
      <c r="F82" s="231">
        <v>1.7723687452471482</v>
      </c>
      <c r="G82" s="230">
        <v>0.467334024920109</v>
      </c>
      <c r="H82" s="232" t="s">
        <v>27</v>
      </c>
      <c r="I82" s="229">
        <v>58.391022198320663</v>
      </c>
      <c r="J82" s="233">
        <f t="shared" si="0"/>
        <v>0.33067790060945923</v>
      </c>
      <c r="K82" s="208" t="s">
        <v>210</v>
      </c>
      <c r="L82" s="208">
        <f t="shared" si="5"/>
        <v>8.1551269502032966E-3</v>
      </c>
    </row>
    <row r="83" spans="1:13" ht="12.75" customHeight="1" x14ac:dyDescent="0.15">
      <c r="A83" s="226">
        <v>77</v>
      </c>
      <c r="B83" s="227" t="s">
        <v>108</v>
      </c>
      <c r="C83" s="228">
        <v>3.0633333333333335</v>
      </c>
      <c r="D83" s="229">
        <v>0.32414435749408965</v>
      </c>
      <c r="E83" s="230">
        <v>0.54102387997757406</v>
      </c>
      <c r="F83" s="231">
        <v>1.7773937021276598</v>
      </c>
      <c r="G83" s="230">
        <v>0.46628097984799965</v>
      </c>
      <c r="H83" s="232" t="s">
        <v>27</v>
      </c>
      <c r="I83" s="229">
        <v>58.807311386383006</v>
      </c>
      <c r="J83" s="233">
        <f t="shared" si="0"/>
        <v>0.33071842584098765</v>
      </c>
      <c r="K83" s="208" t="s">
        <v>210</v>
      </c>
      <c r="L83" s="208">
        <f t="shared" si="5"/>
        <v>3.88933109815911E-3</v>
      </c>
    </row>
    <row r="84" spans="1:13" ht="12.75" customHeight="1" x14ac:dyDescent="0.15">
      <c r="A84" s="226">
        <v>78</v>
      </c>
      <c r="B84" s="227" t="s">
        <v>109</v>
      </c>
      <c r="C84" s="228">
        <v>3.0633333333333335</v>
      </c>
      <c r="D84" s="229">
        <v>0.34496465580952451</v>
      </c>
      <c r="E84" s="230">
        <v>0.5515553321628357</v>
      </c>
      <c r="F84" s="231">
        <v>1.890222157142857</v>
      </c>
      <c r="G84" s="230">
        <v>0.4767320166557959</v>
      </c>
      <c r="H84" s="232" t="s">
        <v>27</v>
      </c>
      <c r="I84" s="229">
        <v>61.39769581707143</v>
      </c>
      <c r="J84" s="233">
        <f t="shared" si="0"/>
        <v>0.33711166311906599</v>
      </c>
      <c r="K84" s="208" t="s">
        <v>210</v>
      </c>
      <c r="L84" s="208">
        <f t="shared" si="5"/>
        <v>2.5530098241113379E-3</v>
      </c>
    </row>
    <row r="85" spans="1:13" ht="12.75" customHeight="1" x14ac:dyDescent="0.15">
      <c r="A85" s="226">
        <v>79</v>
      </c>
      <c r="B85" s="227" t="s">
        <v>110</v>
      </c>
      <c r="C85" s="228">
        <v>3.0533333333333337</v>
      </c>
      <c r="D85" s="229">
        <v>1.3641360330643948E-2</v>
      </c>
      <c r="E85" s="230">
        <v>2.3428318570880881E-2</v>
      </c>
      <c r="F85" s="231">
        <v>6.7427289985761751E-2</v>
      </c>
      <c r="G85" s="230">
        <v>1.8101339780209759E-2</v>
      </c>
      <c r="H85" s="232" t="s">
        <v>27</v>
      </c>
      <c r="I85" s="229">
        <v>57.440453871650085</v>
      </c>
      <c r="J85" s="233">
        <f t="shared" si="0"/>
        <v>1.4249219229143332E-2</v>
      </c>
      <c r="K85" s="245" t="s">
        <v>210</v>
      </c>
      <c r="L85" s="245">
        <f t="shared" si="5"/>
        <v>0.29338574041529863</v>
      </c>
    </row>
    <row r="86" spans="1:13" ht="12.75" customHeight="1" x14ac:dyDescent="0.15">
      <c r="A86" s="226">
        <v>80</v>
      </c>
      <c r="B86" s="227" t="s">
        <v>111</v>
      </c>
      <c r="C86" s="228">
        <v>3.0500000000000003</v>
      </c>
      <c r="D86" s="229">
        <v>5.2277217803030351E-3</v>
      </c>
      <c r="E86" s="230">
        <v>9.0895992578103151E-3</v>
      </c>
      <c r="F86" s="231">
        <v>2.823805871212115E-2</v>
      </c>
      <c r="G86" s="230">
        <v>7.6575331291186682E-3</v>
      </c>
      <c r="H86" s="232" t="s">
        <v>27</v>
      </c>
      <c r="I86" s="229">
        <v>56.738615776325759</v>
      </c>
      <c r="J86" s="233">
        <f t="shared" si="0"/>
        <v>5.5282157050623431E-3</v>
      </c>
      <c r="K86" s="245" t="s">
        <v>210</v>
      </c>
      <c r="L86" s="245">
        <f t="shared" si="5"/>
        <v>0.29981542557266827</v>
      </c>
    </row>
    <row r="87" spans="1:13" ht="12.75" customHeight="1" x14ac:dyDescent="0.15">
      <c r="A87" s="226">
        <v>81</v>
      </c>
      <c r="B87" s="227" t="s">
        <v>112</v>
      </c>
      <c r="C87" s="228">
        <v>3.0500000000000003</v>
      </c>
      <c r="D87" s="229">
        <v>1.2834319034852659E-2</v>
      </c>
      <c r="E87" s="230">
        <v>2.1064878164126784E-2</v>
      </c>
      <c r="F87" s="231">
        <v>6.5497211796246568E-2</v>
      </c>
      <c r="G87" s="230">
        <v>1.6895977636903939E-2</v>
      </c>
      <c r="H87" s="232" t="s">
        <v>27</v>
      </c>
      <c r="I87" s="229">
        <v>60.031309810371532</v>
      </c>
      <c r="J87" s="233">
        <f t="shared" si="0"/>
        <v>1.2827625192980837E-2</v>
      </c>
      <c r="K87" s="245" t="s">
        <v>210</v>
      </c>
      <c r="L87" s="245">
        <f t="shared" si="5"/>
        <v>0.30136231435961708</v>
      </c>
      <c r="M87" s="245" t="s">
        <v>216</v>
      </c>
    </row>
    <row r="88" spans="1:13" ht="12.75" customHeight="1" x14ac:dyDescent="0.15">
      <c r="A88" s="126">
        <v>82</v>
      </c>
      <c r="B88" s="25" t="s">
        <v>113</v>
      </c>
      <c r="C88" s="39">
        <v>3.0233333333333334</v>
      </c>
      <c r="D88" s="50">
        <v>2.6889580738995167E-3</v>
      </c>
      <c r="E88" s="28">
        <v>4.1908241487612725E-3</v>
      </c>
      <c r="F88" s="51">
        <v>1.1694353773584965E-2</v>
      </c>
      <c r="G88" s="28">
        <v>2.8941606087074406E-3</v>
      </c>
      <c r="H88" s="55" t="s">
        <v>27</v>
      </c>
      <c r="I88" s="50">
        <v>62.979314774190286</v>
      </c>
      <c r="J88">
        <f t="shared" si="0"/>
        <v>2.5617535696036047E-3</v>
      </c>
      <c r="K88" s="225" t="s">
        <v>211</v>
      </c>
      <c r="L88" s="225">
        <f>J88</f>
        <v>2.5617535696036047E-3</v>
      </c>
    </row>
    <row r="89" spans="1:13" ht="12.75" customHeight="1" x14ac:dyDescent="0.15">
      <c r="A89" s="126">
        <v>83</v>
      </c>
      <c r="B89" s="25" t="s">
        <v>114</v>
      </c>
      <c r="C89" s="39">
        <v>3.0433333333333334</v>
      </c>
      <c r="D89" s="50">
        <v>3.1746647355165858E-3</v>
      </c>
      <c r="E89" s="28">
        <v>5.2272472230491598E-3</v>
      </c>
      <c r="F89" s="51">
        <v>1.3261151493342949E-2</v>
      </c>
      <c r="G89" s="28">
        <v>3.4392903772382027E-3</v>
      </c>
      <c r="H89" s="55" t="s">
        <v>27</v>
      </c>
      <c r="I89" s="50">
        <v>59.799484012738418</v>
      </c>
      <c r="J89">
        <f t="shared" ref="J89:J152" si="6">D89*60/I89</f>
        <v>3.1853098279312803E-3</v>
      </c>
      <c r="K89" s="208" t="s">
        <v>211</v>
      </c>
      <c r="L89" s="208">
        <f t="shared" ref="L89:L99" si="7">J89</f>
        <v>3.1853098279312803E-3</v>
      </c>
    </row>
    <row r="90" spans="1:13" ht="12.75" customHeight="1" x14ac:dyDescent="0.15">
      <c r="A90" s="126">
        <v>84</v>
      </c>
      <c r="B90" s="25" t="s">
        <v>115</v>
      </c>
      <c r="C90" s="39">
        <v>3.0433333333333334</v>
      </c>
      <c r="D90" s="50">
        <v>2.925608657465717E-3</v>
      </c>
      <c r="E90" s="28">
        <v>4.7958500516714735E-3</v>
      </c>
      <c r="F90" s="51">
        <v>1.267923462986198E-2</v>
      </c>
      <c r="G90" s="28">
        <v>3.2709236746022753E-3</v>
      </c>
      <c r="H90" s="55" t="s">
        <v>27</v>
      </c>
      <c r="I90" s="50">
        <v>60.080990143977424</v>
      </c>
      <c r="J90">
        <f t="shared" si="6"/>
        <v>2.921664889797742E-3</v>
      </c>
      <c r="K90" s="208" t="s">
        <v>211</v>
      </c>
      <c r="L90" s="208">
        <f t="shared" si="7"/>
        <v>2.921664889797742E-3</v>
      </c>
    </row>
    <row r="91" spans="1:13" ht="12.75" customHeight="1" x14ac:dyDescent="0.15">
      <c r="A91" s="126">
        <v>85</v>
      </c>
      <c r="B91" s="25" t="s">
        <v>116</v>
      </c>
      <c r="C91" s="39">
        <v>3.0466666666666669</v>
      </c>
      <c r="D91" s="50">
        <v>2.9867431490895047E-3</v>
      </c>
      <c r="E91" s="28">
        <v>4.9328508809414109E-3</v>
      </c>
      <c r="F91" s="51">
        <v>1.6220972045743354E-2</v>
      </c>
      <c r="G91" s="28">
        <v>4.2224794002561836E-3</v>
      </c>
      <c r="H91" s="55" t="s">
        <v>27</v>
      </c>
      <c r="I91" s="50">
        <v>59.579719599809422</v>
      </c>
      <c r="J91">
        <f t="shared" si="6"/>
        <v>3.0078118888284175E-3</v>
      </c>
      <c r="K91" s="208" t="s">
        <v>211</v>
      </c>
      <c r="L91" s="208">
        <f t="shared" si="7"/>
        <v>3.0078118888284175E-3</v>
      </c>
    </row>
    <row r="92" spans="1:13" ht="12.75" customHeight="1" x14ac:dyDescent="0.15">
      <c r="A92" s="126">
        <v>86</v>
      </c>
      <c r="B92" s="25" t="s">
        <v>117</v>
      </c>
      <c r="C92" s="39">
        <v>3.0533333333333337</v>
      </c>
      <c r="D92" s="50">
        <v>9.2772914700011699E-3</v>
      </c>
      <c r="E92" s="28">
        <v>1.5562396685864358E-2</v>
      </c>
      <c r="F92" s="51">
        <v>5.5529450510743317E-2</v>
      </c>
      <c r="G92" s="28">
        <v>1.4635186653698456E-2</v>
      </c>
      <c r="H92" s="55" t="s">
        <v>27</v>
      </c>
      <c r="I92" s="50">
        <v>58.660169888182494</v>
      </c>
      <c r="J92">
        <f t="shared" si="6"/>
        <v>9.4891898414397324E-3</v>
      </c>
      <c r="K92" s="208" t="s">
        <v>211</v>
      </c>
      <c r="L92" s="208">
        <f t="shared" si="7"/>
        <v>9.4891898414397324E-3</v>
      </c>
    </row>
    <row r="93" spans="1:13" ht="12.75" customHeight="1" x14ac:dyDescent="0.15">
      <c r="A93" s="126">
        <v>87</v>
      </c>
      <c r="B93" s="25" t="s">
        <v>2</v>
      </c>
      <c r="C93" s="39">
        <v>3.0533333333333337</v>
      </c>
      <c r="D93" s="50">
        <v>1.0560229233038398E-2</v>
      </c>
      <c r="E93" s="28">
        <v>1.7670598573844988E-2</v>
      </c>
      <c r="F93" s="51">
        <v>6.534003539823019E-2</v>
      </c>
      <c r="G93" s="28">
        <v>1.7184808671312453E-2</v>
      </c>
      <c r="H93" s="55" t="s">
        <v>27</v>
      </c>
      <c r="I93" s="50">
        <v>58.797769174159257</v>
      </c>
      <c r="J93">
        <f t="shared" si="6"/>
        <v>1.0776152954128874E-2</v>
      </c>
      <c r="K93" s="208" t="s">
        <v>211</v>
      </c>
      <c r="L93" s="208">
        <f t="shared" si="7"/>
        <v>1.0776152954128874E-2</v>
      </c>
    </row>
    <row r="94" spans="1:13" ht="12.75" customHeight="1" x14ac:dyDescent="0.15">
      <c r="A94" s="126">
        <v>88</v>
      </c>
      <c r="B94" s="25" t="s">
        <v>118</v>
      </c>
      <c r="C94" s="39">
        <v>3.0466666666666669</v>
      </c>
      <c r="D94" s="50">
        <v>7.5380002480509023E-3</v>
      </c>
      <c r="E94" s="28">
        <v>1.2356176722404119E-2</v>
      </c>
      <c r="F94" s="51">
        <v>4.5347569099929097E-2</v>
      </c>
      <c r="G94" s="28">
        <v>1.1649709141130758E-2</v>
      </c>
      <c r="H94" s="55" t="s">
        <v>27</v>
      </c>
      <c r="I94" s="50">
        <v>59.994375533297919</v>
      </c>
      <c r="J94">
        <f t="shared" si="6"/>
        <v>7.5387069348197633E-3</v>
      </c>
      <c r="K94" s="208" t="s">
        <v>211</v>
      </c>
      <c r="L94" s="208">
        <f t="shared" si="7"/>
        <v>7.5387069348197633E-3</v>
      </c>
    </row>
    <row r="95" spans="1:13" ht="12.75" customHeight="1" x14ac:dyDescent="0.15">
      <c r="A95" s="126">
        <v>89</v>
      </c>
      <c r="B95" s="25" t="s">
        <v>119</v>
      </c>
      <c r="C95" s="39">
        <v>3.04</v>
      </c>
      <c r="D95" s="50">
        <v>3.5198385786802677E-3</v>
      </c>
      <c r="E95" s="28">
        <v>5.664667039610616E-3</v>
      </c>
      <c r="F95" s="51">
        <v>1.8776103084732543E-2</v>
      </c>
      <c r="G95" s="28">
        <v>4.7520785479779068E-3</v>
      </c>
      <c r="H95" s="55" t="s">
        <v>27</v>
      </c>
      <c r="I95" s="50">
        <v>61.126993004705206</v>
      </c>
      <c r="J95">
        <f t="shared" si="6"/>
        <v>3.454943623753255E-3</v>
      </c>
      <c r="K95" s="208" t="s">
        <v>211</v>
      </c>
      <c r="L95" s="208">
        <f t="shared" si="7"/>
        <v>3.454943623753255E-3</v>
      </c>
    </row>
    <row r="96" spans="1:13" ht="12.75" customHeight="1" x14ac:dyDescent="0.15">
      <c r="A96" s="126">
        <v>90</v>
      </c>
      <c r="B96" s="25" t="s">
        <v>120</v>
      </c>
      <c r="C96" s="39">
        <v>3.0333333333333337</v>
      </c>
      <c r="D96" s="50">
        <v>2.6275134123093236E-3</v>
      </c>
      <c r="E96" s="28">
        <v>4.1581481121795343E-3</v>
      </c>
      <c r="F96" s="51">
        <v>1.259899509803919E-2</v>
      </c>
      <c r="G96" s="28">
        <v>3.1510255654921188E-3</v>
      </c>
      <c r="H96" s="55" t="s">
        <v>27</v>
      </c>
      <c r="I96" s="50">
        <v>62.176815164923703</v>
      </c>
      <c r="J96">
        <f t="shared" si="6"/>
        <v>2.5355239621133925E-3</v>
      </c>
      <c r="K96" s="208" t="s">
        <v>211</v>
      </c>
      <c r="L96" s="208">
        <f t="shared" si="7"/>
        <v>2.5355239621133925E-3</v>
      </c>
    </row>
    <row r="97" spans="1:13" ht="12.75" customHeight="1" x14ac:dyDescent="0.15">
      <c r="A97" s="126">
        <v>91</v>
      </c>
      <c r="B97" s="25" t="s">
        <v>121</v>
      </c>
      <c r="C97" s="39">
        <v>3.0433333333333334</v>
      </c>
      <c r="D97" s="50">
        <v>5.0594688790056297E-3</v>
      </c>
      <c r="E97" s="28">
        <v>8.9692437439769512E-3</v>
      </c>
      <c r="F97" s="51">
        <v>2.7509832364009612E-2</v>
      </c>
      <c r="G97" s="28">
        <v>7.5927915112945759E-3</v>
      </c>
      <c r="H97" s="55" t="s">
        <v>27</v>
      </c>
      <c r="I97" s="50">
        <v>55.484828354972052</v>
      </c>
      <c r="J97">
        <f t="shared" si="6"/>
        <v>5.47119170664488E-3</v>
      </c>
      <c r="K97" s="246" t="s">
        <v>211</v>
      </c>
      <c r="L97" s="246">
        <f t="shared" si="7"/>
        <v>5.47119170664488E-3</v>
      </c>
      <c r="M97" s="246"/>
    </row>
    <row r="98" spans="1:13" ht="12.75" customHeight="1" x14ac:dyDescent="0.15">
      <c r="A98" s="126">
        <v>92</v>
      </c>
      <c r="B98" s="25" t="s">
        <v>122</v>
      </c>
      <c r="C98" s="39">
        <v>3.0333333333333337</v>
      </c>
      <c r="D98" s="50">
        <v>2.7540975612835861E-3</v>
      </c>
      <c r="E98" s="28">
        <v>4.4653300064107079E-3</v>
      </c>
      <c r="F98" s="51">
        <v>1.2573889310083297E-2</v>
      </c>
      <c r="G98" s="28">
        <v>3.204655945057124E-3</v>
      </c>
      <c r="H98" s="55" t="s">
        <v>27</v>
      </c>
      <c r="I98" s="50">
        <v>60.682131420672214</v>
      </c>
      <c r="J98">
        <f t="shared" si="6"/>
        <v>2.7231385880543057E-3</v>
      </c>
      <c r="K98" s="246" t="s">
        <v>211</v>
      </c>
      <c r="L98" s="246">
        <f t="shared" si="7"/>
        <v>2.7231385880543057E-3</v>
      </c>
      <c r="M98" s="246"/>
    </row>
    <row r="99" spans="1:13" ht="12.75" customHeight="1" x14ac:dyDescent="0.15">
      <c r="A99" s="126">
        <v>93</v>
      </c>
      <c r="B99" s="25" t="s">
        <v>123</v>
      </c>
      <c r="C99" s="39">
        <v>3.0233333333333334</v>
      </c>
      <c r="D99" s="50">
        <v>2.2409217444568919E-3</v>
      </c>
      <c r="E99" s="28">
        <v>3.6130725589067067E-3</v>
      </c>
      <c r="F99" s="51">
        <v>1.0011381844909906E-2</v>
      </c>
      <c r="G99" s="28">
        <v>2.5423447372196414E-3</v>
      </c>
      <c r="H99" s="55" t="s">
        <v>27</v>
      </c>
      <c r="I99" s="50">
        <v>61.040575735409782</v>
      </c>
      <c r="J99">
        <f t="shared" si="6"/>
        <v>2.2027201258754785E-3</v>
      </c>
      <c r="K99" s="246" t="s">
        <v>211</v>
      </c>
      <c r="L99" s="246">
        <f t="shared" si="7"/>
        <v>2.2027201258754785E-3</v>
      </c>
      <c r="M99" s="246" t="s">
        <v>217</v>
      </c>
    </row>
    <row r="100" spans="1:13" ht="12.75" customHeight="1" x14ac:dyDescent="0.15">
      <c r="A100" s="126">
        <v>94</v>
      </c>
      <c r="B100" s="25" t="s">
        <v>125</v>
      </c>
      <c r="C100" s="39">
        <v>3.0033333333333334</v>
      </c>
      <c r="D100" s="50">
        <v>2.1325680952379855E-3</v>
      </c>
      <c r="E100" s="28">
        <v>3.0807589370394953E-3</v>
      </c>
      <c r="F100" s="51">
        <v>9.4890389610390313E-3</v>
      </c>
      <c r="G100" s="28">
        <v>2.1906639047929019E-3</v>
      </c>
      <c r="H100" s="55" t="s">
        <v>27</v>
      </c>
      <c r="I100" s="50">
        <v>68.187503026666704</v>
      </c>
      <c r="J100">
        <f t="shared" si="6"/>
        <v>1.8765034652205841E-3</v>
      </c>
    </row>
    <row r="101" spans="1:13" ht="12.75" customHeight="1" x14ac:dyDescent="0.15">
      <c r="A101" s="126">
        <v>95</v>
      </c>
      <c r="B101" s="25" t="s">
        <v>126</v>
      </c>
      <c r="C101" s="39">
        <v>2.9966666666666666</v>
      </c>
      <c r="D101" s="50">
        <v>2.1615785439229596E-3</v>
      </c>
      <c r="E101" s="28">
        <v>3.2715412773181417E-3</v>
      </c>
      <c r="F101" s="51">
        <v>9.4076823104692897E-3</v>
      </c>
      <c r="G101" s="28">
        <v>2.2537559815672742E-3</v>
      </c>
      <c r="H101" s="55" t="s">
        <v>27</v>
      </c>
      <c r="I101" s="50">
        <v>64.91833024007218</v>
      </c>
      <c r="J101">
        <f t="shared" si="6"/>
        <v>1.9978134396827236E-3</v>
      </c>
    </row>
    <row r="102" spans="1:13" ht="12.75" customHeight="1" x14ac:dyDescent="0.15">
      <c r="A102" s="126">
        <v>96</v>
      </c>
      <c r="B102" s="25" t="s">
        <v>85</v>
      </c>
      <c r="C102" s="39">
        <v>2.976666666666667</v>
      </c>
      <c r="D102" s="50">
        <v>2.9910334307215014E-2</v>
      </c>
      <c r="E102" s="28">
        <v>14.093928302342494</v>
      </c>
      <c r="F102" s="51">
        <v>5.5492749003984043E-2</v>
      </c>
      <c r="G102" s="28">
        <v>17.670049667753752</v>
      </c>
      <c r="H102" s="55" t="s">
        <v>27</v>
      </c>
      <c r="I102" s="50">
        <v>4.7912273660913218E-2</v>
      </c>
      <c r="J102">
        <f t="shared" si="6"/>
        <v>37.456374354802328</v>
      </c>
    </row>
    <row r="103" spans="1:13" ht="12.75" customHeight="1" x14ac:dyDescent="0.15">
      <c r="A103" s="126">
        <v>97</v>
      </c>
      <c r="B103" s="25" t="s">
        <v>85</v>
      </c>
      <c r="C103" s="39">
        <v>2.976666666666667</v>
      </c>
      <c r="D103" s="50">
        <v>2.6500189601399549E-2</v>
      </c>
      <c r="E103" s="28">
        <v>15.157932862506442</v>
      </c>
      <c r="F103" s="51">
        <v>3.7976006389776384E-2</v>
      </c>
      <c r="G103" s="28">
        <v>9.6438057131008073</v>
      </c>
      <c r="H103" s="55" t="s">
        <v>27</v>
      </c>
      <c r="I103" s="50">
        <v>4.2384752959074734E-2</v>
      </c>
      <c r="J103">
        <f t="shared" si="6"/>
        <v>37.513758252153394</v>
      </c>
    </row>
    <row r="104" spans="1:13" ht="12.75" customHeight="1" x14ac:dyDescent="0.15">
      <c r="A104" s="126">
        <v>98</v>
      </c>
      <c r="B104" s="25" t="s">
        <v>85</v>
      </c>
      <c r="C104" s="39">
        <v>2.9833333333333334</v>
      </c>
      <c r="D104" s="50">
        <v>4.3652462473412756E-3</v>
      </c>
      <c r="E104" s="28">
        <v>0.88506937667284913</v>
      </c>
      <c r="F104" s="51">
        <v>2.5840583409298068E-2</v>
      </c>
      <c r="G104" s="28">
        <v>2.3762191907829919</v>
      </c>
      <c r="H104" s="55" t="s">
        <v>27</v>
      </c>
      <c r="I104" s="50">
        <v>0.15383328163172283</v>
      </c>
      <c r="J104">
        <f t="shared" si="6"/>
        <v>1.702588491010034</v>
      </c>
    </row>
    <row r="105" spans="1:13" ht="12.75" customHeight="1" x14ac:dyDescent="0.15">
      <c r="A105" s="126">
        <v>99</v>
      </c>
      <c r="B105" s="25" t="s">
        <v>85</v>
      </c>
      <c r="C105" s="39">
        <v>3.0133333333333336</v>
      </c>
      <c r="D105" s="50">
        <v>0.11002695766205578</v>
      </c>
      <c r="E105" s="28">
        <v>5.3160992777974974</v>
      </c>
      <c r="F105" s="51">
        <v>0.40804014374830477</v>
      </c>
      <c r="G105" s="28">
        <v>13.032983482251845</v>
      </c>
      <c r="H105" s="55" t="s">
        <v>27</v>
      </c>
      <c r="I105" s="50">
        <v>0.4038991018443201</v>
      </c>
      <c r="J105">
        <f t="shared" si="6"/>
        <v>16.344719336038263</v>
      </c>
    </row>
    <row r="106" spans="1:13" ht="12.75" customHeight="1" x14ac:dyDescent="0.15">
      <c r="A106" s="126">
        <v>100</v>
      </c>
      <c r="B106" s="25" t="s">
        <v>127</v>
      </c>
      <c r="C106" s="39">
        <v>3.0100000000000002</v>
      </c>
      <c r="D106" s="50">
        <v>2.3007534608380786E-3</v>
      </c>
      <c r="E106" s="28">
        <v>3.1256068227976724E-3</v>
      </c>
      <c r="F106" s="51">
        <v>7.8285519125682601E-3</v>
      </c>
      <c r="G106" s="28">
        <v>1.7044077108000402E-3</v>
      </c>
      <c r="H106" s="55" t="s">
        <v>27</v>
      </c>
      <c r="I106" s="221">
        <v>72.528602379227749</v>
      </c>
      <c r="J106" s="225">
        <f>D106*60/I106</f>
        <v>1.9033209399030276E-3</v>
      </c>
      <c r="K106" s="225" t="s">
        <v>206</v>
      </c>
      <c r="L106" s="225">
        <f>J106</f>
        <v>1.9033209399030276E-3</v>
      </c>
    </row>
    <row r="107" spans="1:13" ht="12.75" customHeight="1" x14ac:dyDescent="0.15">
      <c r="A107" s="126">
        <v>101</v>
      </c>
      <c r="B107" s="25" t="s">
        <v>90</v>
      </c>
      <c r="C107" s="39">
        <v>3.02</v>
      </c>
      <c r="D107" s="50">
        <v>2.9780229055257346E-3</v>
      </c>
      <c r="E107" s="28">
        <v>4.5018784518197196E-3</v>
      </c>
      <c r="F107" s="51">
        <v>1.0430855614973367E-2</v>
      </c>
      <c r="G107" s="28">
        <v>2.4879348161041728E-3</v>
      </c>
      <c r="H107" s="55" t="s">
        <v>27</v>
      </c>
      <c r="I107" s="50">
        <v>65.189621435077129</v>
      </c>
      <c r="J107">
        <f t="shared" si="6"/>
        <v>2.7409481815981137E-3</v>
      </c>
      <c r="K107" s="208" t="s">
        <v>206</v>
      </c>
      <c r="L107" s="208">
        <f t="shared" ref="L107:L117" si="8">J107</f>
        <v>2.7409481815981137E-3</v>
      </c>
    </row>
    <row r="108" spans="1:13" ht="12.75" customHeight="1" x14ac:dyDescent="0.15">
      <c r="A108" s="126">
        <v>102</v>
      </c>
      <c r="B108" s="25" t="s">
        <v>91</v>
      </c>
      <c r="C108" s="39">
        <v>3.0066666666666668</v>
      </c>
      <c r="D108" s="50">
        <v>3.1590362068966704E-3</v>
      </c>
      <c r="E108" s="28">
        <v>4.939358011473138E-3</v>
      </c>
      <c r="F108" s="51">
        <v>1.0559045092838226E-2</v>
      </c>
      <c r="G108" s="28">
        <v>2.5963585144152274E-3</v>
      </c>
      <c r="H108" s="55" t="s">
        <v>27</v>
      </c>
      <c r="I108" s="50">
        <v>63.049454443403043</v>
      </c>
      <c r="J108">
        <f t="shared" si="6"/>
        <v>3.0062460347526814E-3</v>
      </c>
      <c r="K108" s="208" t="s">
        <v>206</v>
      </c>
      <c r="L108" s="208">
        <f t="shared" si="8"/>
        <v>3.0062460347526814E-3</v>
      </c>
    </row>
    <row r="109" spans="1:13" ht="12.75" customHeight="1" x14ac:dyDescent="0.15">
      <c r="A109" s="126">
        <v>103</v>
      </c>
      <c r="B109" s="25" t="s">
        <v>92</v>
      </c>
      <c r="C109" s="39">
        <v>3.0133333333333336</v>
      </c>
      <c r="D109" s="50">
        <v>3.2166722666667757E-3</v>
      </c>
      <c r="E109" s="28">
        <v>4.8979886015935075E-3</v>
      </c>
      <c r="F109" s="51">
        <v>1.258816000000007E-2</v>
      </c>
      <c r="G109" s="28">
        <v>3.0303221202909805E-3</v>
      </c>
      <c r="H109" s="55" t="s">
        <v>27</v>
      </c>
      <c r="I109" s="50">
        <v>64.751162166727894</v>
      </c>
      <c r="J109">
        <f t="shared" si="6"/>
        <v>2.9806466716852061E-3</v>
      </c>
      <c r="K109" s="208" t="s">
        <v>206</v>
      </c>
      <c r="L109" s="208">
        <f t="shared" si="8"/>
        <v>2.9806466716852061E-3</v>
      </c>
    </row>
    <row r="110" spans="1:13" ht="12.75" customHeight="1" x14ac:dyDescent="0.15">
      <c r="A110" s="126">
        <v>104</v>
      </c>
      <c r="B110" s="25" t="s">
        <v>93</v>
      </c>
      <c r="C110" s="39">
        <v>3.0033333333333334</v>
      </c>
      <c r="D110" s="50">
        <v>2.9898911999997613E-3</v>
      </c>
      <c r="E110" s="28">
        <v>4.7017938086787916E-3</v>
      </c>
      <c r="F110" s="51">
        <v>9.2163199999999446E-3</v>
      </c>
      <c r="G110" s="28">
        <v>2.2806551025230646E-3</v>
      </c>
      <c r="H110" s="55" t="s">
        <v>27</v>
      </c>
      <c r="I110" s="50">
        <v>62.68294141354761</v>
      </c>
      <c r="J110">
        <f t="shared" si="6"/>
        <v>2.8619185372372063E-3</v>
      </c>
      <c r="K110" s="208" t="s">
        <v>206</v>
      </c>
      <c r="L110" s="208">
        <f t="shared" si="8"/>
        <v>2.8619185372372063E-3</v>
      </c>
    </row>
    <row r="111" spans="1:13" ht="12.75" customHeight="1" x14ac:dyDescent="0.15">
      <c r="A111" s="126">
        <v>105</v>
      </c>
      <c r="B111" s="25" t="s">
        <v>94</v>
      </c>
      <c r="C111" s="39">
        <v>2.9933333333333336</v>
      </c>
      <c r="D111" s="50">
        <v>2.6713218637992031E-3</v>
      </c>
      <c r="E111" s="28">
        <v>4.1429708602283956E-3</v>
      </c>
      <c r="F111" s="51">
        <v>9.1455913978494285E-3</v>
      </c>
      <c r="G111" s="28">
        <v>2.2405665140819912E-3</v>
      </c>
      <c r="H111" s="55" t="s">
        <v>27</v>
      </c>
      <c r="I111" s="50">
        <v>63.563630264790291</v>
      </c>
      <c r="J111">
        <f t="shared" si="6"/>
        <v>2.5215569211555159E-3</v>
      </c>
      <c r="K111" s="208" t="s">
        <v>206</v>
      </c>
      <c r="L111" s="208">
        <f t="shared" si="8"/>
        <v>2.5215569211555159E-3</v>
      </c>
    </row>
    <row r="112" spans="1:13" ht="12.75" customHeight="1" x14ac:dyDescent="0.15">
      <c r="A112" s="126">
        <v>106</v>
      </c>
      <c r="B112" s="25" t="s">
        <v>95</v>
      </c>
      <c r="C112" s="39">
        <v>2.9933333333333336</v>
      </c>
      <c r="D112" s="50">
        <v>2.9313666666667682E-3</v>
      </c>
      <c r="E112" s="28">
        <v>4.6765220910955658E-3</v>
      </c>
      <c r="F112" s="51">
        <v>1.0382195121951265E-2</v>
      </c>
      <c r="G112" s="28">
        <v>2.6074380665005075E-3</v>
      </c>
      <c r="H112" s="55" t="s">
        <v>27</v>
      </c>
      <c r="I112" s="50">
        <v>61.808598238098114</v>
      </c>
      <c r="J112">
        <f t="shared" si="6"/>
        <v>2.8455911477311977E-3</v>
      </c>
      <c r="K112" s="208" t="s">
        <v>206</v>
      </c>
      <c r="L112" s="208">
        <f t="shared" si="8"/>
        <v>2.8455911477311977E-3</v>
      </c>
    </row>
    <row r="113" spans="1:12" ht="12.75" customHeight="1" x14ac:dyDescent="0.15">
      <c r="A113" s="126">
        <v>107</v>
      </c>
      <c r="B113" s="25" t="s">
        <v>96</v>
      </c>
      <c r="C113" s="39">
        <v>2.9833333333333334</v>
      </c>
      <c r="D113" s="50">
        <v>2.950833333333347E-3</v>
      </c>
      <c r="E113" s="28">
        <v>4.6572829945420481E-3</v>
      </c>
      <c r="F113" s="51">
        <v>1.0775454545454588E-2</v>
      </c>
      <c r="G113" s="28">
        <v>2.68036232002429E-3</v>
      </c>
      <c r="H113" s="55" t="s">
        <v>27</v>
      </c>
      <c r="I113" s="50">
        <v>62.479177663466629</v>
      </c>
      <c r="J113">
        <f t="shared" si="6"/>
        <v>2.8337440827670662E-3</v>
      </c>
      <c r="K113" s="208" t="s">
        <v>206</v>
      </c>
      <c r="L113" s="208">
        <f t="shared" si="8"/>
        <v>2.8337440827670662E-3</v>
      </c>
    </row>
    <row r="114" spans="1:12" ht="12.75" customHeight="1" x14ac:dyDescent="0.15">
      <c r="A114" s="126">
        <v>108</v>
      </c>
      <c r="B114" s="25" t="s">
        <v>97</v>
      </c>
      <c r="C114" s="39">
        <v>3</v>
      </c>
      <c r="D114" s="50">
        <v>3.3455494077835324E-3</v>
      </c>
      <c r="E114" s="28">
        <v>5.3957144017439274E-3</v>
      </c>
      <c r="F114" s="51">
        <v>1.0920761421319813E-2</v>
      </c>
      <c r="G114" s="28">
        <v>2.7695239995512307E-3</v>
      </c>
      <c r="H114" s="55" t="s">
        <v>27</v>
      </c>
      <c r="I114" s="50">
        <v>61.138778907283374</v>
      </c>
      <c r="J114">
        <f t="shared" si="6"/>
        <v>3.2832347661280966E-3</v>
      </c>
      <c r="K114" s="208" t="s">
        <v>206</v>
      </c>
      <c r="L114" s="208">
        <f t="shared" si="8"/>
        <v>3.2832347661280966E-3</v>
      </c>
    </row>
    <row r="115" spans="1:12" ht="12.75" customHeight="1" x14ac:dyDescent="0.15">
      <c r="A115" s="126">
        <v>109</v>
      </c>
      <c r="B115" s="25" t="s">
        <v>98</v>
      </c>
      <c r="C115" s="39">
        <v>3.0100000000000002</v>
      </c>
      <c r="D115" s="50">
        <v>3.4333749999997942E-3</v>
      </c>
      <c r="E115" s="28">
        <v>5.455034903898935E-3</v>
      </c>
      <c r="F115" s="51">
        <v>1.0619222797927486E-2</v>
      </c>
      <c r="G115" s="28">
        <v>2.6538796058292961E-3</v>
      </c>
      <c r="H115" s="55" t="s">
        <v>27</v>
      </c>
      <c r="I115" s="50">
        <v>62.069148476412423</v>
      </c>
      <c r="J115">
        <f t="shared" si="6"/>
        <v>3.3189193835690034E-3</v>
      </c>
      <c r="K115" s="208" t="s">
        <v>206</v>
      </c>
      <c r="L115" s="208">
        <f t="shared" si="8"/>
        <v>3.3189193835690034E-3</v>
      </c>
    </row>
    <row r="116" spans="1:12" ht="12.75" customHeight="1" x14ac:dyDescent="0.15">
      <c r="A116" s="126">
        <v>110</v>
      </c>
      <c r="B116" s="25" t="s">
        <v>99</v>
      </c>
      <c r="C116" s="39">
        <v>2.99</v>
      </c>
      <c r="D116" s="50">
        <v>2.8549974222223384E-3</v>
      </c>
      <c r="E116" s="28">
        <v>4.5161085628655142E-3</v>
      </c>
      <c r="F116" s="51">
        <v>8.7009600000000908E-3</v>
      </c>
      <c r="G116" s="28">
        <v>2.1690178410637161E-3</v>
      </c>
      <c r="H116" s="55" t="s">
        <v>27</v>
      </c>
      <c r="I116" s="50">
        <v>62.328627549857508</v>
      </c>
      <c r="J116">
        <f t="shared" si="6"/>
        <v>2.7483333432348602E-3</v>
      </c>
      <c r="K116" s="208" t="s">
        <v>206</v>
      </c>
      <c r="L116" s="208">
        <f t="shared" si="8"/>
        <v>2.7483333432348602E-3</v>
      </c>
    </row>
    <row r="117" spans="1:12" ht="12.75" customHeight="1" x14ac:dyDescent="0.15">
      <c r="A117" s="126">
        <v>111</v>
      </c>
      <c r="B117" s="25" t="s">
        <v>100</v>
      </c>
      <c r="C117" s="39">
        <v>3.0133333333333336</v>
      </c>
      <c r="D117" s="50">
        <v>2.7846884751773215E-3</v>
      </c>
      <c r="E117" s="28">
        <v>4.3461579413863801E-3</v>
      </c>
      <c r="F117" s="51">
        <v>7.9890159574468322E-3</v>
      </c>
      <c r="G117" s="28">
        <v>1.9684284617160607E-3</v>
      </c>
      <c r="H117" s="55" t="s">
        <v>27</v>
      </c>
      <c r="I117" s="50">
        <v>63.186515348977927</v>
      </c>
      <c r="J117">
        <f t="shared" si="6"/>
        <v>2.6442557812826422E-3</v>
      </c>
      <c r="K117" s="208" t="s">
        <v>206</v>
      </c>
      <c r="L117" s="208">
        <f t="shared" si="8"/>
        <v>2.6442557812826422E-3</v>
      </c>
    </row>
    <row r="118" spans="1:12" ht="12.75" customHeight="1" x14ac:dyDescent="0.15">
      <c r="A118" s="126">
        <v>112</v>
      </c>
      <c r="B118" s="25" t="s">
        <v>101</v>
      </c>
      <c r="C118" s="39">
        <v>3.0300000000000002</v>
      </c>
      <c r="D118" s="50">
        <v>2.3083239185750504E-3</v>
      </c>
      <c r="E118" s="28">
        <v>3.8757268854540425E-3</v>
      </c>
      <c r="F118" s="51">
        <v>1.0248778625954191E-2</v>
      </c>
      <c r="G118" s="28">
        <v>2.6975244167652167E-3</v>
      </c>
      <c r="H118" s="55" t="s">
        <v>27</v>
      </c>
      <c r="I118" s="50">
        <v>58.798614919514108</v>
      </c>
      <c r="J118">
        <f t="shared" si="6"/>
        <v>2.3554880553578782E-3</v>
      </c>
      <c r="K118" s="225" t="s">
        <v>207</v>
      </c>
      <c r="L118" s="225">
        <f>J142</f>
        <v>2.3219412935838067E-3</v>
      </c>
    </row>
    <row r="119" spans="1:12" ht="12.75" customHeight="1" x14ac:dyDescent="0.15">
      <c r="A119" s="126">
        <v>113</v>
      </c>
      <c r="B119" s="25" t="s">
        <v>102</v>
      </c>
      <c r="C119" s="39">
        <v>3.0300000000000002</v>
      </c>
      <c r="D119" s="50">
        <v>2.8279467629045985E-3</v>
      </c>
      <c r="E119" s="28">
        <v>4.7366713286315703E-3</v>
      </c>
      <c r="F119" s="51">
        <v>1.220590551181111E-2</v>
      </c>
      <c r="G119" s="28">
        <v>3.2081242796300085E-3</v>
      </c>
      <c r="H119" s="55" t="s">
        <v>27</v>
      </c>
      <c r="I119" s="50">
        <v>59.009617148523198</v>
      </c>
      <c r="J119">
        <f t="shared" si="6"/>
        <v>2.8754093650058925E-3</v>
      </c>
      <c r="K119" s="208" t="s">
        <v>207</v>
      </c>
      <c r="L119" s="208">
        <f t="shared" ref="L119:L129" si="9">J143</f>
        <v>2.2397403343253595E-3</v>
      </c>
    </row>
    <row r="120" spans="1:12" ht="12.75" customHeight="1" x14ac:dyDescent="0.15">
      <c r="A120" s="126">
        <v>114</v>
      </c>
      <c r="B120" s="25" t="s">
        <v>103</v>
      </c>
      <c r="C120" s="39">
        <v>3.0433333333333334</v>
      </c>
      <c r="D120" s="50">
        <v>2.6671569053708377E-3</v>
      </c>
      <c r="E120" s="28">
        <v>4.5902292361426804E-3</v>
      </c>
      <c r="F120" s="51">
        <v>1.1342864450127887E-2</v>
      </c>
      <c r="G120" s="28">
        <v>3.054057420298348E-3</v>
      </c>
      <c r="H120" s="55" t="s">
        <v>27</v>
      </c>
      <c r="I120" s="50">
        <v>57.328802262839211</v>
      </c>
      <c r="J120">
        <f t="shared" si="6"/>
        <v>2.7914313225759131E-3</v>
      </c>
      <c r="K120" s="208" t="s">
        <v>207</v>
      </c>
      <c r="L120" s="208">
        <f t="shared" si="9"/>
        <v>2.1799176622060356E-3</v>
      </c>
    </row>
    <row r="121" spans="1:12" ht="12.75" customHeight="1" x14ac:dyDescent="0.15">
      <c r="A121" s="126">
        <v>115</v>
      </c>
      <c r="B121" s="25" t="s">
        <v>104</v>
      </c>
      <c r="C121" s="39">
        <v>3.04</v>
      </c>
      <c r="D121" s="50">
        <v>2.3434695462477562E-3</v>
      </c>
      <c r="E121" s="28">
        <v>3.8696109448423137E-3</v>
      </c>
      <c r="F121" s="51">
        <v>1.1184895287958185E-2</v>
      </c>
      <c r="G121" s="28">
        <v>2.9007573522206961E-3</v>
      </c>
      <c r="H121" s="55" t="s">
        <v>27</v>
      </c>
      <c r="I121" s="50">
        <v>59.90720697599388</v>
      </c>
      <c r="J121">
        <f t="shared" si="6"/>
        <v>2.3470994538471826E-3</v>
      </c>
      <c r="K121" s="208" t="s">
        <v>207</v>
      </c>
      <c r="L121" s="208">
        <f t="shared" si="9"/>
        <v>1.9777004527674886E-3</v>
      </c>
    </row>
    <row r="122" spans="1:12" ht="12.75" customHeight="1" x14ac:dyDescent="0.15">
      <c r="A122" s="126">
        <v>116</v>
      </c>
      <c r="B122" s="25" t="s">
        <v>105</v>
      </c>
      <c r="C122" s="39">
        <v>3.04</v>
      </c>
      <c r="D122" s="50">
        <v>2.0734823955668169E-3</v>
      </c>
      <c r="E122" s="28">
        <v>3.5179157233723398E-3</v>
      </c>
      <c r="F122" s="51">
        <v>9.6171867007672773E-3</v>
      </c>
      <c r="G122" s="28">
        <v>2.5509445107788028E-3</v>
      </c>
      <c r="H122" s="55" t="s">
        <v>27</v>
      </c>
      <c r="I122" s="50">
        <v>58.248754310844475</v>
      </c>
      <c r="J122">
        <f t="shared" si="6"/>
        <v>2.1358215331112609E-3</v>
      </c>
      <c r="K122" s="208" t="s">
        <v>207</v>
      </c>
      <c r="L122" s="208">
        <f t="shared" si="9"/>
        <v>1.9478769120101801E-3</v>
      </c>
    </row>
    <row r="123" spans="1:12" ht="12.75" customHeight="1" x14ac:dyDescent="0.15">
      <c r="A123" s="126">
        <v>117</v>
      </c>
      <c r="B123" s="25" t="s">
        <v>106</v>
      </c>
      <c r="C123" s="39">
        <v>3.0366666666666666</v>
      </c>
      <c r="D123" s="50">
        <v>2.4619699293720321E-3</v>
      </c>
      <c r="E123" s="28">
        <v>3.9723292384067554E-3</v>
      </c>
      <c r="F123" s="51">
        <v>1.112572086596042E-2</v>
      </c>
      <c r="G123" s="28">
        <v>2.8339555913836634E-3</v>
      </c>
      <c r="H123" s="55" t="s">
        <v>27</v>
      </c>
      <c r="I123" s="50">
        <v>61.378396839106351</v>
      </c>
      <c r="J123">
        <f t="shared" si="6"/>
        <v>2.4066805809467712E-3</v>
      </c>
      <c r="K123" s="208" t="s">
        <v>207</v>
      </c>
      <c r="L123" s="208">
        <f t="shared" si="9"/>
        <v>1.9203628659936525E-3</v>
      </c>
    </row>
    <row r="124" spans="1:12" ht="12.75" customHeight="1" x14ac:dyDescent="0.15">
      <c r="A124" s="126">
        <v>118</v>
      </c>
      <c r="B124" s="25" t="s">
        <v>107</v>
      </c>
      <c r="C124" s="39">
        <v>3.0233333333333334</v>
      </c>
      <c r="D124" s="50">
        <v>2.5233534156756665E-3</v>
      </c>
      <c r="E124" s="28">
        <v>4.203398917512014E-3</v>
      </c>
      <c r="F124" s="51">
        <v>1.1143961573650607E-2</v>
      </c>
      <c r="G124" s="28">
        <v>2.9159432181550954E-3</v>
      </c>
      <c r="H124" s="55" t="s">
        <v>27</v>
      </c>
      <c r="I124" s="50">
        <v>59.428621547056991</v>
      </c>
      <c r="J124">
        <f t="shared" si="6"/>
        <v>2.5476142807831564E-3</v>
      </c>
      <c r="K124" s="208" t="s">
        <v>207</v>
      </c>
      <c r="L124" s="208">
        <f t="shared" si="9"/>
        <v>2.3329649195499578E-3</v>
      </c>
    </row>
    <row r="125" spans="1:12" ht="12.75" customHeight="1" x14ac:dyDescent="0.15">
      <c r="A125" s="126">
        <v>119</v>
      </c>
      <c r="B125" s="25" t="s">
        <v>108</v>
      </c>
      <c r="C125" s="39">
        <v>3.0333333333333337</v>
      </c>
      <c r="D125" s="50">
        <v>2.4882425108224693E-3</v>
      </c>
      <c r="E125" s="28">
        <v>4.1114338925878824E-3</v>
      </c>
      <c r="F125" s="51">
        <v>1.147701298701298E-2</v>
      </c>
      <c r="G125" s="28">
        <v>2.9823097925220712E-3</v>
      </c>
      <c r="H125" s="55" t="s">
        <v>27</v>
      </c>
      <c r="I125" s="50">
        <v>59.93522948004108</v>
      </c>
      <c r="J125">
        <f t="shared" si="6"/>
        <v>2.490931492955482E-3</v>
      </c>
      <c r="K125" s="208" t="s">
        <v>207</v>
      </c>
      <c r="L125" s="208">
        <f t="shared" si="9"/>
        <v>2.2397639532758772E-3</v>
      </c>
    </row>
    <row r="126" spans="1:12" ht="12.75" customHeight="1" x14ac:dyDescent="0.15">
      <c r="A126" s="126">
        <v>120</v>
      </c>
      <c r="B126" s="25" t="s">
        <v>109</v>
      </c>
      <c r="C126" s="39">
        <v>3.0300000000000002</v>
      </c>
      <c r="D126" s="50">
        <v>3.1983595481672733E-3</v>
      </c>
      <c r="E126" s="28">
        <v>5.3177506838643727E-3</v>
      </c>
      <c r="F126" s="51">
        <v>1.6416138107416822E-2</v>
      </c>
      <c r="G126" s="28">
        <v>4.2905222538317826E-3</v>
      </c>
      <c r="H126" s="55" t="s">
        <v>27</v>
      </c>
      <c r="I126" s="50">
        <v>59.554015054556189</v>
      </c>
      <c r="J126">
        <f t="shared" si="6"/>
        <v>3.2223112533091075E-3</v>
      </c>
      <c r="K126" s="208" t="s">
        <v>207</v>
      </c>
      <c r="L126" s="208">
        <f t="shared" si="9"/>
        <v>1.9746328700488138E-3</v>
      </c>
    </row>
    <row r="127" spans="1:12" ht="12.75" customHeight="1" x14ac:dyDescent="0.15">
      <c r="A127" s="126">
        <v>121</v>
      </c>
      <c r="B127" s="25" t="s">
        <v>110</v>
      </c>
      <c r="C127" s="39">
        <v>3.0133333333333336</v>
      </c>
      <c r="D127" s="50">
        <v>2.3203917665129414E-3</v>
      </c>
      <c r="E127" s="28">
        <v>3.5952839758213767E-3</v>
      </c>
      <c r="F127" s="51">
        <v>9.7085576036866073E-3</v>
      </c>
      <c r="G127" s="28">
        <v>2.3802852578951768E-3</v>
      </c>
      <c r="H127" s="55" t="s">
        <v>27</v>
      </c>
      <c r="I127" s="50">
        <v>63.662097994377888</v>
      </c>
      <c r="J127">
        <f t="shared" si="6"/>
        <v>2.186913569877505E-3</v>
      </c>
      <c r="K127" s="208" t="s">
        <v>207</v>
      </c>
      <c r="L127" s="208">
        <f t="shared" si="9"/>
        <v>2.3664418763208704E-3</v>
      </c>
    </row>
    <row r="128" spans="1:12" ht="12.75" customHeight="1" x14ac:dyDescent="0.15">
      <c r="A128" s="126">
        <v>122</v>
      </c>
      <c r="B128" s="25" t="s">
        <v>111</v>
      </c>
      <c r="C128" s="39">
        <v>3.0100000000000002</v>
      </c>
      <c r="D128" s="50">
        <v>2.4633311320756412E-3</v>
      </c>
      <c r="E128" s="28">
        <v>3.750480943773271E-3</v>
      </c>
      <c r="F128" s="51">
        <v>7.1077628032345519E-3</v>
      </c>
      <c r="G128" s="28">
        <v>1.7182832650952731E-3</v>
      </c>
      <c r="H128" s="55" t="s">
        <v>27</v>
      </c>
      <c r="I128" s="50">
        <v>64.808927823086563</v>
      </c>
      <c r="J128">
        <f t="shared" si="6"/>
        <v>2.2805479567259319E-3</v>
      </c>
      <c r="K128" s="208" t="s">
        <v>207</v>
      </c>
      <c r="L128" s="208">
        <f t="shared" si="9"/>
        <v>2.2479726914538555E-3</v>
      </c>
    </row>
    <row r="129" spans="1:12" ht="12.75" customHeight="1" x14ac:dyDescent="0.15">
      <c r="A129" s="126">
        <v>123</v>
      </c>
      <c r="B129" s="25" t="s">
        <v>112</v>
      </c>
      <c r="C129" s="39">
        <v>3.0100000000000002</v>
      </c>
      <c r="D129" s="50">
        <v>2.0177643405275836E-3</v>
      </c>
      <c r="E129" s="28">
        <v>3.151084243999275E-3</v>
      </c>
      <c r="F129" s="51">
        <v>8.6583309352518123E-3</v>
      </c>
      <c r="G129" s="28">
        <v>2.1314872088237652E-3</v>
      </c>
      <c r="H129" s="55" t="s">
        <v>27</v>
      </c>
      <c r="I129" s="50">
        <v>63.177905111294947</v>
      </c>
      <c r="J129">
        <f t="shared" si="6"/>
        <v>1.916268990217133E-3</v>
      </c>
      <c r="K129" s="208" t="s">
        <v>207</v>
      </c>
      <c r="L129" s="208">
        <f t="shared" si="9"/>
        <v>2.4101069286925144E-3</v>
      </c>
    </row>
    <row r="130" spans="1:12" ht="12.75" customHeight="1" x14ac:dyDescent="0.15">
      <c r="A130" s="126">
        <v>124</v>
      </c>
      <c r="B130" s="25" t="s">
        <v>113</v>
      </c>
      <c r="C130" s="39">
        <v>3.0066666666666668</v>
      </c>
      <c r="D130" s="50">
        <v>2.7917761641862993E-3</v>
      </c>
      <c r="E130" s="28">
        <v>4.777901508880503E-3</v>
      </c>
      <c r="F130" s="51">
        <v>1.1141785885741662E-2</v>
      </c>
      <c r="G130" s="28">
        <v>2.9824080173567117E-3</v>
      </c>
      <c r="H130" s="55" t="s">
        <v>27</v>
      </c>
      <c r="I130" s="50">
        <v>57.515285421219353</v>
      </c>
      <c r="J130">
        <f t="shared" si="6"/>
        <v>2.9123835276905199E-3</v>
      </c>
      <c r="K130" s="225" t="s">
        <v>208</v>
      </c>
      <c r="L130" s="225">
        <f>J118</f>
        <v>2.3554880553578782E-3</v>
      </c>
    </row>
    <row r="131" spans="1:12" ht="12.75" customHeight="1" x14ac:dyDescent="0.15">
      <c r="A131" s="126">
        <v>125</v>
      </c>
      <c r="B131" s="25" t="s">
        <v>114</v>
      </c>
      <c r="C131" s="39">
        <v>3.02</v>
      </c>
      <c r="D131" s="50">
        <v>2.3886643369175065E-3</v>
      </c>
      <c r="E131" s="28">
        <v>4.1576956966633653E-3</v>
      </c>
      <c r="F131" s="51">
        <v>1.015582299421014E-2</v>
      </c>
      <c r="G131" s="28">
        <v>2.761506007786001E-3</v>
      </c>
      <c r="H131" s="55" t="s">
        <v>27</v>
      </c>
      <c r="I131" s="50">
        <v>56.531876479473389</v>
      </c>
      <c r="J131">
        <f t="shared" si="6"/>
        <v>2.5352043685846789E-3</v>
      </c>
      <c r="K131" s="208" t="s">
        <v>208</v>
      </c>
      <c r="L131" s="208">
        <f t="shared" ref="L131:L141" si="10">J119</f>
        <v>2.8754093650058925E-3</v>
      </c>
    </row>
    <row r="132" spans="1:12" ht="12.75" customHeight="1" x14ac:dyDescent="0.15">
      <c r="A132" s="126">
        <v>126</v>
      </c>
      <c r="B132" s="25" t="s">
        <v>115</v>
      </c>
      <c r="C132" s="39">
        <v>3.0233333333333334</v>
      </c>
      <c r="D132" s="50">
        <v>2.670464889643398E-3</v>
      </c>
      <c r="E132" s="28">
        <v>5.04810471886171E-3</v>
      </c>
      <c r="F132" s="51">
        <v>1.1140967741935515E-2</v>
      </c>
      <c r="G132" s="28">
        <v>3.2622932390390033E-3</v>
      </c>
      <c r="H132" s="55" t="s">
        <v>27</v>
      </c>
      <c r="I132" s="50">
        <v>52.028434852631598</v>
      </c>
      <c r="J132">
        <f t="shared" si="6"/>
        <v>3.0796216306033962E-3</v>
      </c>
      <c r="K132" s="208" t="s">
        <v>208</v>
      </c>
      <c r="L132" s="208">
        <f t="shared" si="10"/>
        <v>2.7914313225759131E-3</v>
      </c>
    </row>
    <row r="133" spans="1:12" ht="12.75" customHeight="1" x14ac:dyDescent="0.15">
      <c r="A133" s="126">
        <v>127</v>
      </c>
      <c r="B133" s="25" t="s">
        <v>116</v>
      </c>
      <c r="C133" s="39">
        <v>3.0100000000000002</v>
      </c>
      <c r="D133" s="50">
        <v>2.4788279754601739E-3</v>
      </c>
      <c r="E133" s="28">
        <v>4.4167977403682364E-3</v>
      </c>
      <c r="F133" s="51">
        <v>1.0832867075664554E-2</v>
      </c>
      <c r="G133" s="28">
        <v>3.0071788331836324E-3</v>
      </c>
      <c r="H133" s="55" t="s">
        <v>27</v>
      </c>
      <c r="I133" s="50">
        <v>55.180376519706869</v>
      </c>
      <c r="J133">
        <f t="shared" si="6"/>
        <v>2.6953364204481967E-3</v>
      </c>
      <c r="K133" s="208" t="s">
        <v>208</v>
      </c>
      <c r="L133" s="208">
        <f t="shared" si="10"/>
        <v>2.3470994538471826E-3</v>
      </c>
    </row>
    <row r="134" spans="1:12" ht="12.75" customHeight="1" x14ac:dyDescent="0.15">
      <c r="A134" s="126">
        <v>128</v>
      </c>
      <c r="B134" s="25" t="s">
        <v>117</v>
      </c>
      <c r="C134" s="39">
        <v>3.0100000000000002</v>
      </c>
      <c r="D134" s="50">
        <v>2.1438571419843677E-3</v>
      </c>
      <c r="E134" s="28">
        <v>3.6783003683904039E-3</v>
      </c>
      <c r="F134" s="51">
        <v>9.2684640762463744E-3</v>
      </c>
      <c r="G134" s="28">
        <v>2.492260273137837E-3</v>
      </c>
      <c r="H134" s="55" t="s">
        <v>27</v>
      </c>
      <c r="I134" s="50">
        <v>57.321218836632454</v>
      </c>
      <c r="J134">
        <f t="shared" si="6"/>
        <v>2.2440455930580663E-3</v>
      </c>
      <c r="K134" s="208" t="s">
        <v>208</v>
      </c>
      <c r="L134" s="208">
        <f t="shared" si="10"/>
        <v>2.1358215331112609E-3</v>
      </c>
    </row>
    <row r="135" spans="1:12" ht="12.75" customHeight="1" x14ac:dyDescent="0.15">
      <c r="A135" s="126">
        <v>129</v>
      </c>
      <c r="B135" s="25" t="s">
        <v>2</v>
      </c>
      <c r="C135" s="39">
        <v>3.0100000000000002</v>
      </c>
      <c r="D135" s="50">
        <v>3.1251282988675466E-3</v>
      </c>
      <c r="E135" s="28">
        <v>6.4389523013401884E-3</v>
      </c>
      <c r="F135" s="51">
        <v>1.3496078286558411E-2</v>
      </c>
      <c r="G135" s="28">
        <v>4.2836531817826316E-3</v>
      </c>
      <c r="H135" s="55" t="s">
        <v>27</v>
      </c>
      <c r="I135" s="50">
        <v>47.724144799753816</v>
      </c>
      <c r="J135">
        <f t="shared" si="6"/>
        <v>3.9289902148863659E-3</v>
      </c>
      <c r="K135" s="208" t="s">
        <v>208</v>
      </c>
      <c r="L135" s="208">
        <f t="shared" si="10"/>
        <v>2.4066805809467712E-3</v>
      </c>
    </row>
    <row r="136" spans="1:12" ht="12.75" customHeight="1" x14ac:dyDescent="0.15">
      <c r="A136" s="126">
        <v>130</v>
      </c>
      <c r="B136" s="25" t="s">
        <v>118</v>
      </c>
      <c r="C136" s="39">
        <v>3.0366666666666666</v>
      </c>
      <c r="D136" s="50">
        <v>3.0639332295719912E-3</v>
      </c>
      <c r="E136" s="28">
        <v>5.8255220123415042E-3</v>
      </c>
      <c r="F136" s="51">
        <v>1.4299743190661518E-2</v>
      </c>
      <c r="G136" s="28">
        <v>4.2115436246231317E-3</v>
      </c>
      <c r="H136" s="55" t="s">
        <v>27</v>
      </c>
      <c r="I136" s="50">
        <v>51.717306669682266</v>
      </c>
      <c r="J136">
        <f t="shared" si="6"/>
        <v>3.5546320102954601E-3</v>
      </c>
      <c r="K136" s="208" t="s">
        <v>208</v>
      </c>
      <c r="L136" s="208">
        <f t="shared" si="10"/>
        <v>2.5476142807831564E-3</v>
      </c>
    </row>
    <row r="137" spans="1:12" ht="12.75" customHeight="1" x14ac:dyDescent="0.15">
      <c r="A137" s="126">
        <v>131</v>
      </c>
      <c r="B137" s="25" t="s">
        <v>119</v>
      </c>
      <c r="C137" s="39">
        <v>3.0166666666666666</v>
      </c>
      <c r="D137" s="50">
        <v>2.802389885765616E-3</v>
      </c>
      <c r="E137" s="28">
        <v>5.7612662364964944E-3</v>
      </c>
      <c r="F137" s="51">
        <v>1.1607050442818623E-2</v>
      </c>
      <c r="G137" s="28">
        <v>3.667114180307737E-3</v>
      </c>
      <c r="H137" s="55" t="s">
        <v>27</v>
      </c>
      <c r="I137" s="50">
        <v>47.821912068194067</v>
      </c>
      <c r="J137">
        <f t="shared" si="6"/>
        <v>3.5160324184897586E-3</v>
      </c>
      <c r="K137" s="208" t="s">
        <v>208</v>
      </c>
      <c r="L137" s="208">
        <f t="shared" si="10"/>
        <v>2.490931492955482E-3</v>
      </c>
    </row>
    <row r="138" spans="1:12" ht="12.75" customHeight="1" x14ac:dyDescent="0.15">
      <c r="A138" s="126">
        <v>132</v>
      </c>
      <c r="B138" s="25" t="s">
        <v>120</v>
      </c>
      <c r="C138" s="39">
        <v>3.0133333333333336</v>
      </c>
      <c r="D138" s="50">
        <v>2.4279152395915438E-3</v>
      </c>
      <c r="E138" s="28">
        <v>4.2527378869064939E-3</v>
      </c>
      <c r="F138" s="51">
        <v>1.021751767478396E-2</v>
      </c>
      <c r="G138" s="28">
        <v>2.7882185910572889E-3</v>
      </c>
      <c r="H138" s="55" t="s">
        <v>27</v>
      </c>
      <c r="I138" s="50">
        <v>56.152897415161078</v>
      </c>
      <c r="J138">
        <f t="shared" si="6"/>
        <v>2.594254634777954E-3</v>
      </c>
      <c r="K138" s="208" t="s">
        <v>208</v>
      </c>
      <c r="L138" s="208">
        <f t="shared" si="10"/>
        <v>3.2223112533091075E-3</v>
      </c>
    </row>
    <row r="139" spans="1:12" ht="12.75" customHeight="1" x14ac:dyDescent="0.15">
      <c r="A139" s="126">
        <v>133</v>
      </c>
      <c r="B139" s="25" t="s">
        <v>121</v>
      </c>
      <c r="C139" s="39">
        <v>3.0100000000000002</v>
      </c>
      <c r="D139" s="50">
        <v>1.9735193303460907E-3</v>
      </c>
      <c r="E139" s="28">
        <v>3.1471968188057425E-3</v>
      </c>
      <c r="F139" s="51">
        <v>8.4852875280059248E-3</v>
      </c>
      <c r="G139" s="28">
        <v>2.1333876302325498E-3</v>
      </c>
      <c r="H139" s="55" t="s">
        <v>27</v>
      </c>
      <c r="I139" s="50">
        <v>61.928488706995253</v>
      </c>
      <c r="J139">
        <f t="shared" si="6"/>
        <v>1.9120628049072684E-3</v>
      </c>
      <c r="K139" s="208" t="s">
        <v>208</v>
      </c>
      <c r="L139" s="208">
        <f t="shared" si="10"/>
        <v>2.186913569877505E-3</v>
      </c>
    </row>
    <row r="140" spans="1:12" ht="12.75" customHeight="1" x14ac:dyDescent="0.15">
      <c r="A140" s="126">
        <v>134</v>
      </c>
      <c r="B140" s="25" t="s">
        <v>122</v>
      </c>
      <c r="C140" s="39">
        <v>3.0100000000000002</v>
      </c>
      <c r="D140" s="50">
        <v>2.2753040625001497E-3</v>
      </c>
      <c r="E140" s="28">
        <v>3.6396398130169633E-3</v>
      </c>
      <c r="F140" s="51">
        <v>9.248729166666636E-3</v>
      </c>
      <c r="G140" s="28">
        <v>2.3323643135248684E-3</v>
      </c>
      <c r="H140" s="55" t="s">
        <v>27</v>
      </c>
      <c r="I140" s="50">
        <v>61.817186380277789</v>
      </c>
      <c r="J140">
        <f t="shared" si="6"/>
        <v>2.2084189162249529E-3</v>
      </c>
      <c r="K140" s="208" t="s">
        <v>208</v>
      </c>
      <c r="L140" s="208">
        <f t="shared" si="10"/>
        <v>2.2805479567259319E-3</v>
      </c>
    </row>
    <row r="141" spans="1:12" ht="12.75" customHeight="1" x14ac:dyDescent="0.15">
      <c r="A141" s="126">
        <v>135</v>
      </c>
      <c r="B141" s="25" t="s">
        <v>123</v>
      </c>
      <c r="C141" s="39">
        <v>3.0033333333333334</v>
      </c>
      <c r="D141" s="50">
        <v>2.4131883665716169E-3</v>
      </c>
      <c r="E141" s="28">
        <v>3.8750822554832897E-3</v>
      </c>
      <c r="F141" s="51">
        <v>1.0790007122507106E-2</v>
      </c>
      <c r="G141" s="28">
        <v>2.7289901986581946E-3</v>
      </c>
      <c r="H141" s="55" t="s">
        <v>27</v>
      </c>
      <c r="I141" s="50">
        <v>61.506300755140082</v>
      </c>
      <c r="J141">
        <f t="shared" si="6"/>
        <v>2.3540889342495014E-3</v>
      </c>
      <c r="K141" s="208" t="s">
        <v>208</v>
      </c>
      <c r="L141" s="208">
        <f t="shared" si="10"/>
        <v>1.916268990217133E-3</v>
      </c>
    </row>
    <row r="142" spans="1:12" ht="12.75" customHeight="1" x14ac:dyDescent="0.15">
      <c r="A142" s="126">
        <v>136</v>
      </c>
      <c r="B142" s="25" t="s">
        <v>128</v>
      </c>
      <c r="C142" s="39">
        <v>3.0333333333333337</v>
      </c>
      <c r="D142" s="50">
        <v>2.416854945054947E-3</v>
      </c>
      <c r="E142" s="28">
        <v>3.8172654636388467E-3</v>
      </c>
      <c r="F142" s="51">
        <v>1.0762225274725257E-2</v>
      </c>
      <c r="G142" s="28">
        <v>2.681193426478923E-3</v>
      </c>
      <c r="H142" s="55" t="s">
        <v>27</v>
      </c>
      <c r="I142" s="221">
        <v>62.452611142238979</v>
      </c>
      <c r="J142" s="225">
        <f t="shared" si="6"/>
        <v>2.3219412935838067E-3</v>
      </c>
      <c r="K142" s="225" t="s">
        <v>209</v>
      </c>
      <c r="L142" s="225">
        <f>J154</f>
        <v>2.5544298861458307E-3</v>
      </c>
    </row>
    <row r="143" spans="1:12" ht="12.75" customHeight="1" x14ac:dyDescent="0.15">
      <c r="A143" s="126">
        <v>137</v>
      </c>
      <c r="B143" s="25" t="s">
        <v>90</v>
      </c>
      <c r="C143" s="39">
        <v>3.0300000000000002</v>
      </c>
      <c r="D143" s="50">
        <v>2.3596521469466114E-3</v>
      </c>
      <c r="E143" s="28">
        <v>3.683377876562274E-3</v>
      </c>
      <c r="F143" s="51">
        <v>1.1091784351144995E-2</v>
      </c>
      <c r="G143" s="28">
        <v>2.7360673841266489E-3</v>
      </c>
      <c r="H143" s="55" t="s">
        <v>27</v>
      </c>
      <c r="I143" s="50">
        <v>63.212295928689542</v>
      </c>
      <c r="J143">
        <f t="shared" si="6"/>
        <v>2.2397403343253595E-3</v>
      </c>
      <c r="K143" s="208" t="s">
        <v>209</v>
      </c>
      <c r="L143" s="208">
        <f t="shared" ref="L143:L153" si="11">J155</f>
        <v>2.9473840993314592E-3</v>
      </c>
    </row>
    <row r="144" spans="1:12" ht="12.75" customHeight="1" x14ac:dyDescent="0.15">
      <c r="A144" s="126">
        <v>138</v>
      </c>
      <c r="B144" s="25" t="s">
        <v>91</v>
      </c>
      <c r="C144" s="39">
        <v>3.04</v>
      </c>
      <c r="D144" s="50">
        <v>2.299668718434511E-3</v>
      </c>
      <c r="E144" s="28">
        <v>3.5850563825941908E-3</v>
      </c>
      <c r="F144" s="51">
        <v>1.0812727272727196E-2</v>
      </c>
      <c r="G144" s="28">
        <v>2.6639824307424405E-3</v>
      </c>
      <c r="H144" s="55" t="s">
        <v>27</v>
      </c>
      <c r="I144" s="50">
        <v>63.296025119791629</v>
      </c>
      <c r="J144">
        <f t="shared" si="6"/>
        <v>2.1799176622060356E-3</v>
      </c>
      <c r="K144" s="208" t="s">
        <v>209</v>
      </c>
      <c r="L144" s="208">
        <f t="shared" si="11"/>
        <v>4.3619037354611766E-3</v>
      </c>
    </row>
    <row r="145" spans="1:12" ht="12.75" customHeight="1" x14ac:dyDescent="0.15">
      <c r="A145" s="126">
        <v>139</v>
      </c>
      <c r="B145" s="25" t="s">
        <v>92</v>
      </c>
      <c r="C145" s="39">
        <v>3.0300000000000002</v>
      </c>
      <c r="D145" s="50">
        <v>2.0613169264068754E-3</v>
      </c>
      <c r="E145" s="28">
        <v>3.2540556064549766E-3</v>
      </c>
      <c r="F145" s="51">
        <v>9.5094025974025165E-3</v>
      </c>
      <c r="G145" s="28">
        <v>2.3698795682280229E-3</v>
      </c>
      <c r="H145" s="55" t="s">
        <v>27</v>
      </c>
      <c r="I145" s="50">
        <v>62.536778717597343</v>
      </c>
      <c r="J145">
        <f t="shared" si="6"/>
        <v>1.9777004527674886E-3</v>
      </c>
      <c r="K145" s="208" t="s">
        <v>209</v>
      </c>
      <c r="L145" s="208">
        <f t="shared" si="11"/>
        <v>2.9060112172996731E-3</v>
      </c>
    </row>
    <row r="146" spans="1:12" ht="12.75" customHeight="1" x14ac:dyDescent="0.15">
      <c r="A146" s="126">
        <v>140</v>
      </c>
      <c r="B146" s="25" t="s">
        <v>93</v>
      </c>
      <c r="C146" s="39">
        <v>3.04</v>
      </c>
      <c r="D146" s="50">
        <v>2.0301174242424169E-3</v>
      </c>
      <c r="E146" s="28">
        <v>3.2050798058231135E-3</v>
      </c>
      <c r="F146" s="51">
        <v>9.8705882352940755E-3</v>
      </c>
      <c r="G146" s="28">
        <v>2.4598015985708059E-3</v>
      </c>
      <c r="H146" s="55" t="s">
        <v>27</v>
      </c>
      <c r="I146" s="50">
        <v>62.533235392600837</v>
      </c>
      <c r="J146">
        <f t="shared" si="6"/>
        <v>1.9478769120101801E-3</v>
      </c>
      <c r="K146" s="208" t="s">
        <v>209</v>
      </c>
      <c r="L146" s="208">
        <f t="shared" si="11"/>
        <v>2.3919981313505582E-3</v>
      </c>
    </row>
    <row r="147" spans="1:12" ht="12.75" customHeight="1" x14ac:dyDescent="0.15">
      <c r="A147" s="126">
        <v>141</v>
      </c>
      <c r="B147" s="25" t="s">
        <v>94</v>
      </c>
      <c r="C147" s="39">
        <v>3.0266666666666668</v>
      </c>
      <c r="D147" s="50">
        <v>2.0388974020782991E-3</v>
      </c>
      <c r="E147" s="28">
        <v>3.1586384146124902E-3</v>
      </c>
      <c r="F147" s="51">
        <v>8.8553477218225041E-3</v>
      </c>
      <c r="G147" s="28">
        <v>2.1692120457528362E-3</v>
      </c>
      <c r="H147" s="55" t="s">
        <v>27</v>
      </c>
      <c r="I147" s="50">
        <v>63.703504317346187</v>
      </c>
      <c r="J147">
        <f t="shared" si="6"/>
        <v>1.9203628659936525E-3</v>
      </c>
      <c r="K147" s="208" t="s">
        <v>209</v>
      </c>
      <c r="L147" s="208">
        <f t="shared" si="11"/>
        <v>2.4017595661227071E-3</v>
      </c>
    </row>
    <row r="148" spans="1:12" ht="12.75" customHeight="1" x14ac:dyDescent="0.15">
      <c r="A148" s="126">
        <v>142</v>
      </c>
      <c r="B148" s="25" t="s">
        <v>95</v>
      </c>
      <c r="C148" s="39">
        <v>3.0333333333333337</v>
      </c>
      <c r="D148" s="50">
        <v>2.4464628425749924E-3</v>
      </c>
      <c r="E148" s="28">
        <v>3.8377175022532408E-3</v>
      </c>
      <c r="F148" s="51">
        <v>1.1156515296367076E-2</v>
      </c>
      <c r="G148" s="28">
        <v>2.7600376979393629E-3</v>
      </c>
      <c r="H148" s="55" t="s">
        <v>27</v>
      </c>
      <c r="I148" s="50">
        <v>62.918978902955701</v>
      </c>
      <c r="J148">
        <f t="shared" si="6"/>
        <v>2.3329649195499578E-3</v>
      </c>
      <c r="K148" s="208" t="s">
        <v>209</v>
      </c>
      <c r="L148" s="208">
        <f t="shared" si="11"/>
        <v>2.4053834762118352E-3</v>
      </c>
    </row>
    <row r="149" spans="1:12" ht="12.75" customHeight="1" x14ac:dyDescent="0.15">
      <c r="A149" s="126">
        <v>143</v>
      </c>
      <c r="B149" s="25" t="s">
        <v>96</v>
      </c>
      <c r="C149" s="39">
        <v>3.0433333333333334</v>
      </c>
      <c r="D149" s="50">
        <v>2.3640983572419949E-3</v>
      </c>
      <c r="E149" s="28">
        <v>3.6839265069505541E-3</v>
      </c>
      <c r="F149" s="51">
        <v>1.0574058306339729E-2</v>
      </c>
      <c r="G149" s="28">
        <v>2.6014958499812908E-3</v>
      </c>
      <c r="H149" s="55" t="s">
        <v>27</v>
      </c>
      <c r="I149" s="50">
        <v>63.33073680691038</v>
      </c>
      <c r="J149">
        <f t="shared" si="6"/>
        <v>2.2397639532758772E-3</v>
      </c>
      <c r="K149" s="208" t="s">
        <v>209</v>
      </c>
      <c r="L149" s="208">
        <f t="shared" si="11"/>
        <v>6.0576889550258009E-3</v>
      </c>
    </row>
    <row r="150" spans="1:12" ht="12.75" customHeight="1" x14ac:dyDescent="0.15">
      <c r="A150" s="126">
        <v>144</v>
      </c>
      <c r="B150" s="25" t="s">
        <v>97</v>
      </c>
      <c r="C150" s="39">
        <v>3.0333333333333337</v>
      </c>
      <c r="D150" s="50">
        <v>2.1137837429110462E-3</v>
      </c>
      <c r="E150" s="28">
        <v>3.2478474463438849E-3</v>
      </c>
      <c r="F150" s="51">
        <v>1.0063809073724062E-2</v>
      </c>
      <c r="G150" s="28">
        <v>2.4507710388466785E-3</v>
      </c>
      <c r="H150" s="55" t="s">
        <v>27</v>
      </c>
      <c r="I150" s="50">
        <v>64.228154255088214</v>
      </c>
      <c r="J150">
        <f t="shared" si="6"/>
        <v>1.9746328700488138E-3</v>
      </c>
      <c r="K150" s="208" t="s">
        <v>209</v>
      </c>
      <c r="L150" s="208">
        <f t="shared" si="11"/>
        <v>3.5401346599804131E-3</v>
      </c>
    </row>
    <row r="151" spans="1:12" ht="12.75" customHeight="1" x14ac:dyDescent="0.15">
      <c r="A151" s="126">
        <v>145</v>
      </c>
      <c r="B151" s="25" t="s">
        <v>98</v>
      </c>
      <c r="C151" s="39">
        <v>3</v>
      </c>
      <c r="D151" s="50">
        <v>2.3950403508771201E-3</v>
      </c>
      <c r="E151" s="28">
        <v>3.8939086623462947E-3</v>
      </c>
      <c r="F151" s="51">
        <v>1.0584052631578911E-2</v>
      </c>
      <c r="G151" s="28">
        <v>2.7111035372356985E-3</v>
      </c>
      <c r="H151" s="55" t="s">
        <v>27</v>
      </c>
      <c r="I151" s="50">
        <v>60.725100620701795</v>
      </c>
      <c r="J151">
        <f t="shared" si="6"/>
        <v>2.3664418763208704E-3</v>
      </c>
      <c r="K151" s="208" t="s">
        <v>209</v>
      </c>
      <c r="L151" s="208">
        <f t="shared" si="11"/>
        <v>2.3456313897333297E-3</v>
      </c>
    </row>
    <row r="152" spans="1:12" ht="12.75" customHeight="1" x14ac:dyDescent="0.15">
      <c r="A152" s="126">
        <v>146</v>
      </c>
      <c r="B152" s="25" t="s">
        <v>99</v>
      </c>
      <c r="C152" s="39">
        <v>3.0033333333333334</v>
      </c>
      <c r="D152" s="50">
        <v>2.1979656135530656E-3</v>
      </c>
      <c r="E152" s="28">
        <v>3.6984192882311665E-3</v>
      </c>
      <c r="F152" s="51">
        <v>8.9501007326007187E-3</v>
      </c>
      <c r="G152" s="28">
        <v>2.3611330908939153E-3</v>
      </c>
      <c r="H152" s="55" t="s">
        <v>27</v>
      </c>
      <c r="I152" s="50">
        <v>58.665275300961554</v>
      </c>
      <c r="J152">
        <f t="shared" si="6"/>
        <v>2.2479726914538555E-3</v>
      </c>
      <c r="K152" s="208" t="s">
        <v>209</v>
      </c>
      <c r="L152" s="208">
        <f t="shared" si="11"/>
        <v>2.5342570398942045E-3</v>
      </c>
    </row>
    <row r="153" spans="1:12" ht="12.75" customHeight="1" x14ac:dyDescent="0.15">
      <c r="A153" s="126">
        <v>147</v>
      </c>
      <c r="B153" s="25" t="s">
        <v>100</v>
      </c>
      <c r="C153" s="39">
        <v>3.0100000000000002</v>
      </c>
      <c r="D153" s="50">
        <v>2.375414574680712E-3</v>
      </c>
      <c r="E153" s="28">
        <v>3.9654425879761049E-3</v>
      </c>
      <c r="F153" s="51">
        <v>9.8597092754960647E-3</v>
      </c>
      <c r="G153" s="28">
        <v>2.5814606341809181E-3</v>
      </c>
      <c r="H153" s="55" t="s">
        <v>27</v>
      </c>
      <c r="I153" s="50">
        <v>59.136328261652118</v>
      </c>
      <c r="J153">
        <f t="shared" ref="J153:J183" si="12">D153*60/I153</f>
        <v>2.4101069286925144E-3</v>
      </c>
      <c r="K153" s="208" t="s">
        <v>209</v>
      </c>
      <c r="L153" s="208" t="e">
        <f t="shared" si="11"/>
        <v>#VALUE!</v>
      </c>
    </row>
    <row r="154" spans="1:12" ht="12.75" customHeight="1" x14ac:dyDescent="0.15">
      <c r="A154" s="126">
        <v>148</v>
      </c>
      <c r="B154" s="25" t="s">
        <v>101</v>
      </c>
      <c r="C154" s="39">
        <v>3.0233333333333334</v>
      </c>
      <c r="D154" s="50">
        <v>2.5113157142857556E-3</v>
      </c>
      <c r="E154" s="28">
        <v>4.2006868157509671E-3</v>
      </c>
      <c r="F154" s="51">
        <v>1.168199999999997E-2</v>
      </c>
      <c r="G154" s="28">
        <v>3.066364745061024E-3</v>
      </c>
      <c r="H154" s="55" t="s">
        <v>27</v>
      </c>
      <c r="I154" s="50">
        <v>58.987308156064685</v>
      </c>
      <c r="J154">
        <f t="shared" si="12"/>
        <v>2.5544298861458307E-3</v>
      </c>
      <c r="K154" s="225" t="s">
        <v>210</v>
      </c>
      <c r="L154" s="225">
        <f>J130</f>
        <v>2.9123835276905199E-3</v>
      </c>
    </row>
    <row r="155" spans="1:12" ht="12.75" customHeight="1" x14ac:dyDescent="0.15">
      <c r="A155" s="126">
        <v>149</v>
      </c>
      <c r="B155" s="25" t="s">
        <v>102</v>
      </c>
      <c r="C155" s="39">
        <v>3.0266666666666668</v>
      </c>
      <c r="D155" s="50">
        <v>2.8642592747559759E-3</v>
      </c>
      <c r="E155" s="28">
        <v>4.8486890387325317E-3</v>
      </c>
      <c r="F155" s="51">
        <v>1.3131757322175752E-2</v>
      </c>
      <c r="G155" s="28">
        <v>3.4996880328896094E-3</v>
      </c>
      <c r="H155" s="55" t="s">
        <v>27</v>
      </c>
      <c r="I155" s="50">
        <v>58.307825072524381</v>
      </c>
      <c r="J155">
        <f t="shared" si="12"/>
        <v>2.9473840993314592E-3</v>
      </c>
      <c r="K155" s="208" t="s">
        <v>210</v>
      </c>
      <c r="L155" s="208">
        <f t="shared" ref="L155:L165" si="13">J131</f>
        <v>2.5352043685846789E-3</v>
      </c>
    </row>
    <row r="156" spans="1:12" ht="12.75" customHeight="1" x14ac:dyDescent="0.15">
      <c r="A156" s="126">
        <v>150</v>
      </c>
      <c r="B156" s="25" t="s">
        <v>103</v>
      </c>
      <c r="C156" s="39">
        <v>3.0100000000000002</v>
      </c>
      <c r="D156" s="50">
        <v>4.3033354261220458E-3</v>
      </c>
      <c r="E156" s="28">
        <v>7.1746853398175449E-3</v>
      </c>
      <c r="F156" s="51">
        <v>2.2318880484115011E-2</v>
      </c>
      <c r="G156" s="28">
        <v>5.836561946037897E-3</v>
      </c>
      <c r="H156" s="55" t="s">
        <v>27</v>
      </c>
      <c r="I156" s="50">
        <v>59.194365860993422</v>
      </c>
      <c r="J156">
        <f t="shared" si="12"/>
        <v>4.3619037354611766E-3</v>
      </c>
      <c r="K156" s="208" t="s">
        <v>210</v>
      </c>
      <c r="L156" s="208">
        <f t="shared" si="13"/>
        <v>3.0796216306033962E-3</v>
      </c>
    </row>
    <row r="157" spans="1:12" ht="12.75" customHeight="1" x14ac:dyDescent="0.15">
      <c r="A157" s="126">
        <v>151</v>
      </c>
      <c r="B157" s="25" t="s">
        <v>104</v>
      </c>
      <c r="C157" s="39">
        <v>3.0366666666666666</v>
      </c>
      <c r="D157" s="50">
        <v>2.7892192671944982E-3</v>
      </c>
      <c r="E157" s="28">
        <v>4.787574276992927E-3</v>
      </c>
      <c r="F157" s="51">
        <v>1.1992035398230128E-2</v>
      </c>
      <c r="G157" s="28">
        <v>3.2201599763590993E-3</v>
      </c>
      <c r="H157" s="55" t="s">
        <v>27</v>
      </c>
      <c r="I157" s="50">
        <v>57.588613228815397</v>
      </c>
      <c r="J157">
        <f t="shared" si="12"/>
        <v>2.9060112172996731E-3</v>
      </c>
      <c r="K157" s="208" t="s">
        <v>210</v>
      </c>
      <c r="L157" s="208">
        <f t="shared" si="13"/>
        <v>2.6953364204481967E-3</v>
      </c>
    </row>
    <row r="158" spans="1:12" ht="12.75" customHeight="1" x14ac:dyDescent="0.15">
      <c r="A158" s="126">
        <v>152</v>
      </c>
      <c r="B158" s="25" t="s">
        <v>105</v>
      </c>
      <c r="C158" s="39">
        <v>3.0366666666666666</v>
      </c>
      <c r="D158" s="50">
        <v>2.3719282732448388E-3</v>
      </c>
      <c r="E158" s="28">
        <v>3.9447320931598586E-3</v>
      </c>
      <c r="F158" s="51">
        <v>1.0087267552182255E-2</v>
      </c>
      <c r="G158" s="28">
        <v>2.6502637789290826E-3</v>
      </c>
      <c r="H158" s="55" t="s">
        <v>27</v>
      </c>
      <c r="I158" s="50">
        <v>59.496575072296039</v>
      </c>
      <c r="J158">
        <f t="shared" si="12"/>
        <v>2.3919981313505582E-3</v>
      </c>
      <c r="K158" s="208" t="s">
        <v>210</v>
      </c>
      <c r="L158" s="208">
        <f t="shared" si="13"/>
        <v>2.2440455930580663E-3</v>
      </c>
    </row>
    <row r="159" spans="1:12" ht="12.75" customHeight="1" x14ac:dyDescent="0.15">
      <c r="A159" s="126">
        <v>153</v>
      </c>
      <c r="B159" s="25" t="s">
        <v>106</v>
      </c>
      <c r="C159" s="39">
        <v>3.04</v>
      </c>
      <c r="D159" s="50">
        <v>2.3878000000001065E-3</v>
      </c>
      <c r="E159" s="28">
        <v>3.9581505166916536E-3</v>
      </c>
      <c r="F159" s="51">
        <v>1.0459193548387202E-2</v>
      </c>
      <c r="G159" s="28">
        <v>2.7231036803127499E-3</v>
      </c>
      <c r="H159" s="55" t="s">
        <v>27</v>
      </c>
      <c r="I159" s="50">
        <v>59.651266521774204</v>
      </c>
      <c r="J159">
        <f t="shared" si="12"/>
        <v>2.4017595661227071E-3</v>
      </c>
      <c r="K159" s="208" t="s">
        <v>210</v>
      </c>
      <c r="L159" s="208">
        <f t="shared" si="13"/>
        <v>3.9289902148863659E-3</v>
      </c>
    </row>
    <row r="160" spans="1:12" ht="12.75" customHeight="1" x14ac:dyDescent="0.15">
      <c r="A160" s="126">
        <v>154</v>
      </c>
      <c r="B160" s="25" t="s">
        <v>107</v>
      </c>
      <c r="C160" s="39">
        <v>3.0333333333333337</v>
      </c>
      <c r="D160" s="50">
        <v>2.3287250196819542E-3</v>
      </c>
      <c r="E160" s="28">
        <v>3.9713847891511131E-3</v>
      </c>
      <c r="F160" s="51">
        <v>1.0779211147850742E-2</v>
      </c>
      <c r="G160" s="28">
        <v>2.8746431133767798E-3</v>
      </c>
      <c r="H160" s="55" t="s">
        <v>27</v>
      </c>
      <c r="I160" s="50">
        <v>58.087827809045862</v>
      </c>
      <c r="J160">
        <f t="shared" si="12"/>
        <v>2.4053834762118352E-3</v>
      </c>
      <c r="K160" s="208" t="s">
        <v>210</v>
      </c>
      <c r="L160" s="208">
        <f t="shared" si="13"/>
        <v>3.5546320102954601E-3</v>
      </c>
    </row>
    <row r="161" spans="1:12" ht="12.75" customHeight="1" x14ac:dyDescent="0.15">
      <c r="A161" s="126">
        <v>155</v>
      </c>
      <c r="B161" s="25" t="s">
        <v>108</v>
      </c>
      <c r="C161" s="39">
        <v>3.0066666666666668</v>
      </c>
      <c r="D161" s="50">
        <v>6.0058244069911559E-3</v>
      </c>
      <c r="E161" s="28">
        <v>9.9895582838321634E-3</v>
      </c>
      <c r="F161" s="51">
        <v>3.1078071161048659E-2</v>
      </c>
      <c r="G161" s="28">
        <v>8.1025177765670971E-3</v>
      </c>
      <c r="H161" s="55" t="s">
        <v>27</v>
      </c>
      <c r="I161" s="50">
        <v>59.486293716104903</v>
      </c>
      <c r="J161">
        <f t="shared" si="12"/>
        <v>6.0576889550258009E-3</v>
      </c>
      <c r="K161" s="208" t="s">
        <v>210</v>
      </c>
      <c r="L161" s="208">
        <f t="shared" si="13"/>
        <v>3.5160324184897586E-3</v>
      </c>
    </row>
    <row r="162" spans="1:12" ht="12.75" customHeight="1" x14ac:dyDescent="0.15">
      <c r="A162" s="126">
        <v>156</v>
      </c>
      <c r="B162" s="25" t="s">
        <v>109</v>
      </c>
      <c r="C162" s="39">
        <v>3.0166666666666666</v>
      </c>
      <c r="D162" s="50">
        <v>3.4973144297417158E-3</v>
      </c>
      <c r="E162" s="28">
        <v>5.8437946023963631E-3</v>
      </c>
      <c r="F162" s="51">
        <v>1.6208468809073784E-2</v>
      </c>
      <c r="G162" s="28">
        <v>4.2453328046080617E-3</v>
      </c>
      <c r="H162" s="55" t="s">
        <v>27</v>
      </c>
      <c r="I162" s="50">
        <v>59.274260992564599</v>
      </c>
      <c r="J162">
        <f t="shared" si="12"/>
        <v>3.5401346599804131E-3</v>
      </c>
      <c r="K162" s="208" t="s">
        <v>210</v>
      </c>
      <c r="L162" s="208">
        <f t="shared" si="13"/>
        <v>2.594254634777954E-3</v>
      </c>
    </row>
    <row r="163" spans="1:12" ht="12.75" customHeight="1" x14ac:dyDescent="0.15">
      <c r="A163" s="126">
        <v>157</v>
      </c>
      <c r="B163" s="25" t="s">
        <v>110</v>
      </c>
      <c r="C163" s="39">
        <v>3.0033333333333334</v>
      </c>
      <c r="D163" s="50">
        <v>2.3245643527207704E-3</v>
      </c>
      <c r="E163" s="28">
        <v>3.855943240460279E-3</v>
      </c>
      <c r="F163" s="51">
        <v>9.6776735459662699E-3</v>
      </c>
      <c r="G163" s="28">
        <v>2.5133529081412093E-3</v>
      </c>
      <c r="H163" s="55" t="s">
        <v>27</v>
      </c>
      <c r="I163" s="50">
        <v>59.461116428486548</v>
      </c>
      <c r="J163">
        <f t="shared" si="12"/>
        <v>2.3456313897333297E-3</v>
      </c>
      <c r="K163" s="208" t="s">
        <v>210</v>
      </c>
      <c r="L163" s="208">
        <f t="shared" si="13"/>
        <v>1.9120628049072684E-3</v>
      </c>
    </row>
    <row r="164" spans="1:12" ht="12.75" customHeight="1" x14ac:dyDescent="0.15">
      <c r="A164" s="126">
        <v>158</v>
      </c>
      <c r="B164" s="25" t="s">
        <v>111</v>
      </c>
      <c r="C164" s="39">
        <v>3.0033333333333334</v>
      </c>
      <c r="D164" s="50">
        <v>2.5963396319213516E-3</v>
      </c>
      <c r="E164" s="28">
        <v>4.165895874359689E-3</v>
      </c>
      <c r="F164" s="51">
        <v>1.1377177534507399E-2</v>
      </c>
      <c r="G164" s="28">
        <v>2.8695740430228272E-3</v>
      </c>
      <c r="H164" s="55" t="s">
        <v>27</v>
      </c>
      <c r="I164" s="50">
        <v>61.469841244589908</v>
      </c>
      <c r="J164">
        <f t="shared" si="12"/>
        <v>2.5342570398942045E-3</v>
      </c>
      <c r="K164" s="208" t="s">
        <v>210</v>
      </c>
      <c r="L164" s="208">
        <f t="shared" si="13"/>
        <v>2.2084189162249529E-3</v>
      </c>
    </row>
    <row r="165" spans="1:12" ht="12.75" customHeight="1" x14ac:dyDescent="0.15">
      <c r="A165" s="126">
        <v>159</v>
      </c>
      <c r="B165" s="25" t="s">
        <v>112</v>
      </c>
      <c r="C165" s="39" t="s">
        <v>27</v>
      </c>
      <c r="D165" s="50" t="s">
        <v>27</v>
      </c>
      <c r="E165" s="28" t="s">
        <v>27</v>
      </c>
      <c r="F165" s="51" t="s">
        <v>27</v>
      </c>
      <c r="G165" s="28" t="s">
        <v>27</v>
      </c>
      <c r="H165" s="55" t="s">
        <v>27</v>
      </c>
      <c r="I165" s="50">
        <v>60.970947925299335</v>
      </c>
      <c r="J165" t="e">
        <f t="shared" si="12"/>
        <v>#VALUE!</v>
      </c>
      <c r="K165" s="208" t="s">
        <v>210</v>
      </c>
      <c r="L165" s="208">
        <f t="shared" si="13"/>
        <v>2.3540889342495014E-3</v>
      </c>
    </row>
    <row r="166" spans="1:12" ht="12.75" customHeight="1" x14ac:dyDescent="0.15">
      <c r="A166" s="126">
        <v>160</v>
      </c>
      <c r="B166" s="25" t="s">
        <v>113</v>
      </c>
      <c r="C166" s="39">
        <v>3.0066666666666668</v>
      </c>
      <c r="D166" s="50">
        <v>2.9384379042288744E-3</v>
      </c>
      <c r="E166" s="28">
        <v>5.2854267775356012E-3</v>
      </c>
      <c r="F166" s="51">
        <v>1.2930382462686629E-2</v>
      </c>
      <c r="G166" s="28">
        <v>3.6322085943465625E-3</v>
      </c>
      <c r="H166" s="55" t="s">
        <v>27</v>
      </c>
      <c r="I166" s="50">
        <v>54.520806399696767</v>
      </c>
      <c r="J166">
        <f t="shared" si="12"/>
        <v>3.2337429670650109E-3</v>
      </c>
      <c r="K166" s="225" t="s">
        <v>211</v>
      </c>
      <c r="L166" s="225">
        <f>J166</f>
        <v>3.2337429670650109E-3</v>
      </c>
    </row>
    <row r="167" spans="1:12" ht="12.75" customHeight="1" x14ac:dyDescent="0.15">
      <c r="A167" s="126">
        <v>161</v>
      </c>
      <c r="B167" s="25" t="s">
        <v>114</v>
      </c>
      <c r="C167" s="39">
        <v>3.0033333333333334</v>
      </c>
      <c r="D167" s="50">
        <v>3.0863445518454213E-3</v>
      </c>
      <c r="E167" s="28">
        <v>6.9058849034896834E-3</v>
      </c>
      <c r="F167" s="51">
        <v>1.339944112478042E-2</v>
      </c>
      <c r="G167" s="28">
        <v>4.5831512552269252E-3</v>
      </c>
      <c r="H167" s="55" t="s">
        <v>27</v>
      </c>
      <c r="I167" s="50">
        <v>43.950901400527229</v>
      </c>
      <c r="J167">
        <f t="shared" si="12"/>
        <v>4.2133532466868562E-3</v>
      </c>
      <c r="K167" s="208" t="s">
        <v>211</v>
      </c>
      <c r="L167" s="208">
        <f t="shared" ref="L167:L171" si="14">J167</f>
        <v>4.2133532466868562E-3</v>
      </c>
    </row>
    <row r="168" spans="1:12" ht="12.75" customHeight="1" x14ac:dyDescent="0.15">
      <c r="A168" s="126">
        <v>162</v>
      </c>
      <c r="B168" s="25" t="s">
        <v>115</v>
      </c>
      <c r="C168" s="39">
        <v>3.0133333333333336</v>
      </c>
      <c r="D168" s="50">
        <v>2.929087971985378E-3</v>
      </c>
      <c r="E168" s="28">
        <v>5.385601725579137E-3</v>
      </c>
      <c r="F168" s="51">
        <v>1.2462015834348472E-2</v>
      </c>
      <c r="G168" s="28">
        <v>3.5635405415313276E-3</v>
      </c>
      <c r="H168" s="55" t="s">
        <v>27</v>
      </c>
      <c r="I168" s="50">
        <v>53.485458857105151</v>
      </c>
      <c r="J168">
        <f t="shared" si="12"/>
        <v>3.2858515580590593E-3</v>
      </c>
      <c r="K168" s="208" t="s">
        <v>211</v>
      </c>
      <c r="L168" s="208">
        <f t="shared" si="14"/>
        <v>3.2858515580590593E-3</v>
      </c>
    </row>
    <row r="169" spans="1:12" ht="12.75" customHeight="1" x14ac:dyDescent="0.15">
      <c r="A169" s="126">
        <v>163</v>
      </c>
      <c r="B169" s="25" t="s">
        <v>116</v>
      </c>
      <c r="C169" s="39">
        <v>3.0033333333333334</v>
      </c>
      <c r="D169" s="50">
        <v>2.3968507988980092E-3</v>
      </c>
      <c r="E169" s="28">
        <v>3.9875992090007417E-3</v>
      </c>
      <c r="F169" s="51">
        <v>1.0150099173553806E-2</v>
      </c>
      <c r="G169" s="28">
        <v>2.6526551938725169E-3</v>
      </c>
      <c r="H169" s="55" t="s">
        <v>27</v>
      </c>
      <c r="I169" s="50">
        <v>59.119502351570304</v>
      </c>
      <c r="J169">
        <f t="shared" si="12"/>
        <v>2.4325483506046582E-3</v>
      </c>
      <c r="K169" s="208" t="s">
        <v>211</v>
      </c>
      <c r="L169" s="208">
        <f t="shared" si="14"/>
        <v>2.4325483506046582E-3</v>
      </c>
    </row>
    <row r="170" spans="1:12" ht="12.75" customHeight="1" x14ac:dyDescent="0.15">
      <c r="A170" s="126">
        <v>164</v>
      </c>
      <c r="B170" s="25" t="s">
        <v>117</v>
      </c>
      <c r="C170" s="39">
        <v>3.0133333333333336</v>
      </c>
      <c r="D170" s="50">
        <v>2.5340510406233197E-3</v>
      </c>
      <c r="E170" s="28">
        <v>4.2592968053763482E-3</v>
      </c>
      <c r="F170" s="51">
        <v>1.0617248747913255E-2</v>
      </c>
      <c r="G170" s="28">
        <v>2.7968394713676864E-3</v>
      </c>
      <c r="H170" s="55" t="s">
        <v>27</v>
      </c>
      <c r="I170" s="50">
        <v>58.525964938708938</v>
      </c>
      <c r="J170">
        <f t="shared" si="12"/>
        <v>2.5978736548235575E-3</v>
      </c>
      <c r="K170" s="208" t="s">
        <v>211</v>
      </c>
      <c r="L170" s="208">
        <f t="shared" si="14"/>
        <v>2.5978736548235575E-3</v>
      </c>
    </row>
    <row r="171" spans="1:12" ht="12.75" customHeight="1" x14ac:dyDescent="0.15">
      <c r="A171" s="126">
        <v>165</v>
      </c>
      <c r="B171" s="25" t="s">
        <v>2</v>
      </c>
      <c r="C171" s="39">
        <v>3.0100000000000002</v>
      </c>
      <c r="D171" s="50">
        <v>2.4158932989691295E-3</v>
      </c>
      <c r="E171" s="28">
        <v>4.0262077419217154E-3</v>
      </c>
      <c r="F171" s="51">
        <v>1.0260309278350643E-2</v>
      </c>
      <c r="G171" s="28">
        <v>2.6794407882818659E-3</v>
      </c>
      <c r="H171" s="55" t="s">
        <v>27</v>
      </c>
      <c r="I171" s="50">
        <v>59.032344493814414</v>
      </c>
      <c r="J171">
        <f t="shared" si="12"/>
        <v>2.4554945120523961E-3</v>
      </c>
      <c r="K171" s="208" t="s">
        <v>211</v>
      </c>
      <c r="L171" s="208">
        <f t="shared" si="14"/>
        <v>2.4554945120523961E-3</v>
      </c>
    </row>
    <row r="172" spans="1:12" ht="12.75" customHeight="1" x14ac:dyDescent="0.15">
      <c r="A172" s="126">
        <v>166</v>
      </c>
      <c r="B172" s="25" t="s">
        <v>118</v>
      </c>
      <c r="C172" s="39" t="s">
        <v>27</v>
      </c>
      <c r="D172" s="50" t="s">
        <v>27</v>
      </c>
      <c r="E172" s="28" t="s">
        <v>27</v>
      </c>
      <c r="F172" s="51" t="s">
        <v>27</v>
      </c>
      <c r="G172" s="28" t="s">
        <v>27</v>
      </c>
      <c r="H172" s="55" t="s">
        <v>27</v>
      </c>
      <c r="I172" s="212">
        <v>56.395719049521624</v>
      </c>
      <c r="J172" s="216" t="e">
        <f t="shared" si="12"/>
        <v>#VALUE!</v>
      </c>
      <c r="K172" s="208" t="s">
        <v>211</v>
      </c>
      <c r="L172" s="208">
        <f t="shared" ref="L172:L177" si="15">J173</f>
        <v>2.5910174845893679E-3</v>
      </c>
    </row>
    <row r="173" spans="1:12" ht="12.75" customHeight="1" x14ac:dyDescent="0.15">
      <c r="A173" s="126">
        <v>167</v>
      </c>
      <c r="B173" s="25" t="s">
        <v>118</v>
      </c>
      <c r="C173" s="39">
        <v>3.0266666666666668</v>
      </c>
      <c r="D173" s="50">
        <v>2.4420066875650015E-3</v>
      </c>
      <c r="E173" s="28">
        <v>4.2454775847961092E-3</v>
      </c>
      <c r="F173" s="51">
        <v>8.5384952978057038E-3</v>
      </c>
      <c r="G173" s="28">
        <v>2.2947220020137788E-3</v>
      </c>
      <c r="H173" s="55" t="s">
        <v>27</v>
      </c>
      <c r="I173" s="212">
        <v>56.54936800903954</v>
      </c>
      <c r="J173" s="216">
        <f t="shared" si="12"/>
        <v>2.5910174845893679E-3</v>
      </c>
      <c r="K173" s="208" t="s">
        <v>211</v>
      </c>
      <c r="L173" s="208">
        <f t="shared" si="15"/>
        <v>2.7202759399882256E-3</v>
      </c>
    </row>
    <row r="174" spans="1:12" ht="12.75" customHeight="1" x14ac:dyDescent="0.15">
      <c r="A174" s="126">
        <v>168</v>
      </c>
      <c r="B174" s="25" t="s">
        <v>119</v>
      </c>
      <c r="C174" s="39">
        <v>3.0266666666666668</v>
      </c>
      <c r="D174" s="50">
        <v>2.8727000000000058E-3</v>
      </c>
      <c r="E174" s="28">
        <v>4.4592657779339191E-3</v>
      </c>
      <c r="F174" s="51">
        <v>8.1663736263736242E-3</v>
      </c>
      <c r="G174" s="28">
        <v>1.9917604924475354E-3</v>
      </c>
      <c r="H174" s="55" t="s">
        <v>27</v>
      </c>
      <c r="I174" s="50">
        <v>63.361954376123471</v>
      </c>
      <c r="J174">
        <f t="shared" si="12"/>
        <v>2.7202759399882256E-3</v>
      </c>
      <c r="K174" s="208" t="s">
        <v>211</v>
      </c>
      <c r="L174" s="208">
        <f t="shared" si="15"/>
        <v>1.7153637674253042E-3</v>
      </c>
    </row>
    <row r="175" spans="1:12" ht="12.75" customHeight="1" x14ac:dyDescent="0.15">
      <c r="A175" s="126">
        <v>169</v>
      </c>
      <c r="B175" s="25" t="s">
        <v>120</v>
      </c>
      <c r="C175" s="39">
        <v>3.0133333333333336</v>
      </c>
      <c r="D175" s="50">
        <v>1.7842836769760839E-3</v>
      </c>
      <c r="E175" s="28">
        <v>2.8125793118410876E-3</v>
      </c>
      <c r="F175" s="51">
        <v>7.9081958762885485E-3</v>
      </c>
      <c r="G175" s="28">
        <v>1.9540788228830791E-3</v>
      </c>
      <c r="H175" s="55" t="s">
        <v>27</v>
      </c>
      <c r="I175" s="50">
        <v>62.41068084308062</v>
      </c>
      <c r="J175">
        <f t="shared" si="12"/>
        <v>1.7153637674253042E-3</v>
      </c>
      <c r="K175" s="208" t="s">
        <v>211</v>
      </c>
      <c r="L175" s="208">
        <f t="shared" si="15"/>
        <v>3.6028015777958265E-3</v>
      </c>
    </row>
    <row r="176" spans="1:12" ht="12.75" customHeight="1" x14ac:dyDescent="0.15">
      <c r="A176" s="126">
        <v>170</v>
      </c>
      <c r="B176" s="25" t="s">
        <v>121</v>
      </c>
      <c r="C176" s="39">
        <v>3.0166666666666666</v>
      </c>
      <c r="D176" s="50">
        <v>3.5388243183817059E-3</v>
      </c>
      <c r="E176" s="28">
        <v>5.9069990061970537E-3</v>
      </c>
      <c r="F176" s="51">
        <v>1.8399023746701881E-2</v>
      </c>
      <c r="G176" s="28">
        <v>4.765300125551257E-3</v>
      </c>
      <c r="H176" s="55" t="s">
        <v>27</v>
      </c>
      <c r="I176" s="50">
        <v>58.934541500007974</v>
      </c>
      <c r="J176">
        <f t="shared" si="12"/>
        <v>3.6028015777958265E-3</v>
      </c>
      <c r="K176" s="208" t="s">
        <v>211</v>
      </c>
      <c r="L176" s="208">
        <f t="shared" si="15"/>
        <v>1.8754010034202173E-3</v>
      </c>
    </row>
    <row r="177" spans="1:12" ht="12.75" customHeight="1" x14ac:dyDescent="0.15">
      <c r="A177" s="126">
        <v>171</v>
      </c>
      <c r="B177" s="25" t="s">
        <v>122</v>
      </c>
      <c r="C177" s="39">
        <v>3.0033333333333334</v>
      </c>
      <c r="D177" s="50">
        <v>1.913258692676334E-3</v>
      </c>
      <c r="E177" s="28">
        <v>3.0746642373806108E-3</v>
      </c>
      <c r="F177" s="51">
        <v>7.5494045174538948E-3</v>
      </c>
      <c r="G177" s="28">
        <v>1.8988801543349297E-3</v>
      </c>
      <c r="H177" s="55" t="s">
        <v>27</v>
      </c>
      <c r="I177" s="50">
        <v>61.211187021455402</v>
      </c>
      <c r="J177">
        <f t="shared" si="12"/>
        <v>1.8754010034202173E-3</v>
      </c>
      <c r="K177" s="208" t="s">
        <v>211</v>
      </c>
      <c r="L177" s="208">
        <f t="shared" si="15"/>
        <v>2.4083407079818642E-3</v>
      </c>
    </row>
    <row r="178" spans="1:12" ht="12.75" customHeight="1" x14ac:dyDescent="0.15">
      <c r="A178" s="126">
        <v>172</v>
      </c>
      <c r="B178" s="25" t="s">
        <v>123</v>
      </c>
      <c r="C178" s="39">
        <v>2.9866666666666668</v>
      </c>
      <c r="D178" s="50">
        <v>2.4688378600822292E-3</v>
      </c>
      <c r="E178" s="28">
        <v>3.9487680974544101E-3</v>
      </c>
      <c r="F178" s="51">
        <v>1.2527654320987569E-2</v>
      </c>
      <c r="G178" s="28">
        <v>3.1388781879148984E-3</v>
      </c>
      <c r="H178" s="55" t="s">
        <v>27</v>
      </c>
      <c r="I178" s="50">
        <v>61.507190869627252</v>
      </c>
      <c r="J178">
        <f t="shared" si="12"/>
        <v>2.4083407079818642E-3</v>
      </c>
    </row>
    <row r="179" spans="1:12" ht="12.75" customHeight="1" x14ac:dyDescent="0.15">
      <c r="A179" s="126">
        <v>173</v>
      </c>
      <c r="B179" s="25" t="s">
        <v>113</v>
      </c>
      <c r="C179" s="39">
        <v>3.0066666666666668</v>
      </c>
      <c r="D179" s="50">
        <v>2.8205051709403461E-3</v>
      </c>
      <c r="E179" s="28">
        <v>5.1569236466331107E-3</v>
      </c>
      <c r="F179" s="51">
        <v>1.2424410256410279E-2</v>
      </c>
      <c r="G179" s="28">
        <v>3.4927901061351657E-3</v>
      </c>
      <c r="H179" s="55" t="s">
        <v>27</v>
      </c>
      <c r="I179" s="212">
        <v>53.88129227396081</v>
      </c>
      <c r="J179" s="216">
        <f t="shared" si="12"/>
        <v>3.1407990253085418E-3</v>
      </c>
      <c r="K179" s="216"/>
      <c r="L179" s="208"/>
    </row>
    <row r="180" spans="1:12" x14ac:dyDescent="0.15">
      <c r="A180" s="126">
        <v>174</v>
      </c>
      <c r="B180" s="25" t="s">
        <v>85</v>
      </c>
      <c r="C180" s="39" t="s">
        <v>27</v>
      </c>
      <c r="D180" s="50" t="s">
        <v>27</v>
      </c>
      <c r="E180" s="28" t="s">
        <v>27</v>
      </c>
      <c r="F180" s="51" t="s">
        <v>27</v>
      </c>
      <c r="G180" s="28" t="s">
        <v>27</v>
      </c>
      <c r="H180" s="55" t="s">
        <v>27</v>
      </c>
      <c r="I180" s="50" t="s">
        <v>27</v>
      </c>
      <c r="J180" t="e">
        <f t="shared" si="12"/>
        <v>#VALUE!</v>
      </c>
    </row>
    <row r="181" spans="1:12" x14ac:dyDescent="0.15">
      <c r="A181" s="32"/>
      <c r="B181" s="52" t="s">
        <v>129</v>
      </c>
      <c r="C181" s="53">
        <f t="shared" ref="C181:H181" si="16">SUM(C7:C180)</f>
        <v>518.32999999999993</v>
      </c>
      <c r="D181" s="53">
        <f t="shared" si="16"/>
        <v>14.849560234798311</v>
      </c>
      <c r="E181" s="53">
        <f t="shared" si="16"/>
        <v>534.59176097957538</v>
      </c>
      <c r="F181" s="53">
        <f t="shared" si="16"/>
        <v>74.35973500463875</v>
      </c>
      <c r="G181" s="53">
        <f t="shared" si="16"/>
        <v>636.15398979176064</v>
      </c>
      <c r="H181" s="54">
        <f t="shared" si="16"/>
        <v>0</v>
      </c>
      <c r="I181" s="53">
        <f t="shared" ref="I181" si="17">SUM(I7:I180)</f>
        <v>9309.2728036290046</v>
      </c>
      <c r="J181">
        <f t="shared" si="12"/>
        <v>9.5708186115307875E-2</v>
      </c>
    </row>
    <row r="182" spans="1:12" x14ac:dyDescent="0.15">
      <c r="A182" s="31"/>
      <c r="B182" s="41" t="s">
        <v>130</v>
      </c>
      <c r="C182" s="39">
        <f t="shared" ref="C182:I182" si="18">AVERAGE(C7:C180)</f>
        <v>3.0311695906432745</v>
      </c>
      <c r="D182" s="39">
        <f t="shared" si="18"/>
        <v>8.6839533536832228E-2</v>
      </c>
      <c r="E182" s="39">
        <f t="shared" si="18"/>
        <v>3.1262676080676921</v>
      </c>
      <c r="F182" s="39">
        <f t="shared" si="18"/>
        <v>0.43485225148911549</v>
      </c>
      <c r="G182" s="39">
        <f t="shared" si="18"/>
        <v>3.7201987707120505</v>
      </c>
      <c r="H182" s="40" t="e">
        <f t="shared" si="18"/>
        <v>#DIV/0!</v>
      </c>
      <c r="I182" s="39">
        <f t="shared" si="18"/>
        <v>53.810825454502918</v>
      </c>
      <c r="J182">
        <f t="shared" si="12"/>
        <v>9.6827580104960592E-2</v>
      </c>
    </row>
    <row r="183" spans="1:12" ht="14" thickBot="1" x14ac:dyDescent="0.2">
      <c r="A183" s="33"/>
      <c r="B183" s="42" t="s">
        <v>131</v>
      </c>
      <c r="C183" s="43">
        <f t="shared" ref="C183:I183" si="19">STDEV(C7:C180)/AVERAGE(C7:C180)</f>
        <v>8.3421675402659181E-3</v>
      </c>
      <c r="D183" s="43">
        <f t="shared" si="19"/>
        <v>2.8131632614840121</v>
      </c>
      <c r="E183" s="43">
        <f t="shared" si="19"/>
        <v>3.7518271132056182</v>
      </c>
      <c r="F183" s="43">
        <f t="shared" si="19"/>
        <v>2.5341050687450797</v>
      </c>
      <c r="G183" s="43">
        <f t="shared" si="19"/>
        <v>3.9028635233695042</v>
      </c>
      <c r="H183" s="44" t="e">
        <f t="shared" si="19"/>
        <v>#DIV/0!</v>
      </c>
      <c r="I183" s="43">
        <f t="shared" si="19"/>
        <v>0.35799885115208518</v>
      </c>
      <c r="J183">
        <f t="shared" si="12"/>
        <v>471.48138924427826</v>
      </c>
    </row>
    <row r="184" spans="1:12" ht="14" thickBot="1" x14ac:dyDescent="0.2"/>
    <row r="185" spans="1:12" ht="11.25" customHeight="1" x14ac:dyDescent="0.15">
      <c r="A185" s="56" t="s">
        <v>13</v>
      </c>
      <c r="B185" s="57" t="s">
        <v>81</v>
      </c>
      <c r="C185" s="58" t="s">
        <v>82</v>
      </c>
      <c r="D185" s="34" t="s">
        <v>17</v>
      </c>
      <c r="E185" s="34" t="s">
        <v>83</v>
      </c>
      <c r="F185" s="34" t="s">
        <v>18</v>
      </c>
      <c r="G185" s="34" t="s">
        <v>84</v>
      </c>
      <c r="H185" s="35" t="s">
        <v>19</v>
      </c>
    </row>
    <row r="186" spans="1:12" ht="11.25" customHeight="1" x14ac:dyDescent="0.15">
      <c r="A186" s="36" t="s">
        <v>20</v>
      </c>
      <c r="B186" s="37" t="s">
        <v>20</v>
      </c>
      <c r="C186" s="37" t="s">
        <v>21</v>
      </c>
      <c r="D186" s="37" t="s">
        <v>22</v>
      </c>
      <c r="E186" s="37" t="s">
        <v>52</v>
      </c>
      <c r="F186" s="37" t="s">
        <v>23</v>
      </c>
      <c r="G186" s="37" t="s">
        <v>52</v>
      </c>
      <c r="H186" s="38" t="s">
        <v>20</v>
      </c>
    </row>
    <row r="187" spans="1:12" ht="11.25" customHeight="1" x14ac:dyDescent="0.15">
      <c r="A187" s="36" t="s">
        <v>20</v>
      </c>
      <c r="B187" s="37" t="s">
        <v>20</v>
      </c>
      <c r="C187" s="37" t="s">
        <v>24</v>
      </c>
      <c r="D187" s="37" t="s">
        <v>24</v>
      </c>
      <c r="E187" s="37" t="s">
        <v>24</v>
      </c>
      <c r="F187" s="37" t="s">
        <v>24</v>
      </c>
      <c r="G187" s="37" t="s">
        <v>24</v>
      </c>
      <c r="H187" s="38" t="s">
        <v>24</v>
      </c>
    </row>
    <row r="188" spans="1:12" ht="11.25" customHeight="1" x14ac:dyDescent="0.15">
      <c r="A188" s="36" t="s">
        <v>20</v>
      </c>
      <c r="B188" s="37" t="s">
        <v>20</v>
      </c>
      <c r="C188" s="45" t="s">
        <v>28</v>
      </c>
      <c r="D188" s="46" t="s">
        <v>28</v>
      </c>
      <c r="E188" s="47" t="s">
        <v>28</v>
      </c>
      <c r="F188" s="48" t="s">
        <v>28</v>
      </c>
      <c r="G188" s="47" t="s">
        <v>28</v>
      </c>
      <c r="H188" s="49" t="s">
        <v>28</v>
      </c>
    </row>
    <row r="189" spans="1:12" ht="11.25" customHeight="1" x14ac:dyDescent="0.15">
      <c r="A189" s="126">
        <v>1</v>
      </c>
      <c r="B189" s="25" t="s">
        <v>85</v>
      </c>
      <c r="C189" s="39">
        <v>4.5666666666666673</v>
      </c>
      <c r="D189" s="50">
        <v>4.095663883302858E-2</v>
      </c>
      <c r="E189" s="28">
        <v>26.022736711671691</v>
      </c>
      <c r="F189" s="51">
        <v>0.2016924314442412</v>
      </c>
      <c r="G189" s="28">
        <v>51.52569718523705</v>
      </c>
      <c r="H189" s="55" t="s">
        <v>27</v>
      </c>
    </row>
    <row r="190" spans="1:12" ht="12.75" customHeight="1" x14ac:dyDescent="0.15">
      <c r="A190" s="126">
        <v>2</v>
      </c>
      <c r="B190" s="25" t="s">
        <v>86</v>
      </c>
      <c r="C190" s="39">
        <v>4.6566666666666672</v>
      </c>
      <c r="D190" s="50">
        <v>61.317518126708961</v>
      </c>
      <c r="E190" s="28">
        <v>98.857797009820416</v>
      </c>
      <c r="F190" s="51">
        <v>393.44033518445065</v>
      </c>
      <c r="G190" s="28">
        <v>99.332974744689466</v>
      </c>
      <c r="H190" s="55" t="s">
        <v>27</v>
      </c>
    </row>
    <row r="191" spans="1:12" ht="12.75" customHeight="1" x14ac:dyDescent="0.15">
      <c r="A191" s="126">
        <v>3</v>
      </c>
      <c r="B191" s="25" t="s">
        <v>87</v>
      </c>
      <c r="C191" s="39">
        <v>4.6533333333333333</v>
      </c>
      <c r="D191" s="50">
        <v>60.556380597185495</v>
      </c>
      <c r="E191" s="28">
        <v>98.269003604237099</v>
      </c>
      <c r="F191" s="51">
        <v>390.48241050371598</v>
      </c>
      <c r="G191" s="28">
        <v>98.813975520815561</v>
      </c>
      <c r="H191" s="55" t="s">
        <v>27</v>
      </c>
    </row>
    <row r="192" spans="1:12" ht="12.75" customHeight="1" x14ac:dyDescent="0.15">
      <c r="A192" s="126">
        <v>4</v>
      </c>
      <c r="B192" s="25" t="s">
        <v>88</v>
      </c>
      <c r="C192" s="39">
        <v>4.6533333333333333</v>
      </c>
      <c r="D192" s="50">
        <v>59.991398085091745</v>
      </c>
      <c r="E192" s="28">
        <v>98.665890922752936</v>
      </c>
      <c r="F192" s="51">
        <v>387.01970790301448</v>
      </c>
      <c r="G192" s="28">
        <v>99.282237145417184</v>
      </c>
      <c r="H192" s="55" t="s">
        <v>27</v>
      </c>
    </row>
    <row r="193" spans="1:8" ht="12.75" customHeight="1" x14ac:dyDescent="0.15">
      <c r="A193" s="126">
        <v>5</v>
      </c>
      <c r="B193" s="25" t="s">
        <v>59</v>
      </c>
      <c r="C193" s="39">
        <v>4.5666666666666673</v>
      </c>
      <c r="D193" s="50">
        <v>5.9284909383752749E-2</v>
      </c>
      <c r="E193" s="28">
        <v>33.062088552226207</v>
      </c>
      <c r="F193" s="51">
        <v>0.1460499159663865</v>
      </c>
      <c r="G193" s="28">
        <v>46.703439663877219</v>
      </c>
      <c r="H193" s="55" t="s">
        <v>27</v>
      </c>
    </row>
    <row r="194" spans="1:8" ht="12.75" customHeight="1" x14ac:dyDescent="0.15">
      <c r="A194" s="126">
        <v>6</v>
      </c>
      <c r="B194" s="25" t="s">
        <v>60</v>
      </c>
      <c r="C194" s="39">
        <v>4.5666666666666673</v>
      </c>
      <c r="D194" s="50">
        <v>6.6206856966898098E-2</v>
      </c>
      <c r="E194" s="28">
        <v>5.3057191037365987</v>
      </c>
      <c r="F194" s="51">
        <v>0.19821411085450358</v>
      </c>
      <c r="G194" s="28">
        <v>4.3501042298123762</v>
      </c>
      <c r="H194" s="55" t="s">
        <v>27</v>
      </c>
    </row>
    <row r="195" spans="1:8" ht="12.75" customHeight="1" x14ac:dyDescent="0.15">
      <c r="A195" s="126">
        <v>7</v>
      </c>
      <c r="B195" s="25" t="s">
        <v>61</v>
      </c>
      <c r="C195" s="39">
        <v>4.5666666666666673</v>
      </c>
      <c r="D195" s="50">
        <v>0.12247340861437273</v>
      </c>
      <c r="E195" s="28">
        <v>5.0168941621425116</v>
      </c>
      <c r="F195" s="51">
        <v>0.69450069947539339</v>
      </c>
      <c r="G195" s="28">
        <v>8.2857350835390768</v>
      </c>
      <c r="H195" s="55" t="s">
        <v>27</v>
      </c>
    </row>
    <row r="196" spans="1:8" ht="12.75" customHeight="1" x14ac:dyDescent="0.15">
      <c r="A196" s="126">
        <v>8</v>
      </c>
      <c r="B196" s="25" t="s">
        <v>62</v>
      </c>
      <c r="C196" s="39">
        <v>4.5666666666666673</v>
      </c>
      <c r="D196" s="50">
        <v>9.598185279917848E-2</v>
      </c>
      <c r="E196" s="28">
        <v>3.6172882690133057</v>
      </c>
      <c r="F196" s="51">
        <v>0.47221183872624561</v>
      </c>
      <c r="G196" s="28">
        <v>4.4570052427592035</v>
      </c>
      <c r="H196" s="55" t="s">
        <v>27</v>
      </c>
    </row>
    <row r="197" spans="1:8" ht="12.75" customHeight="1" x14ac:dyDescent="0.15">
      <c r="A197" s="126">
        <v>9</v>
      </c>
      <c r="B197" s="25" t="s">
        <v>59</v>
      </c>
      <c r="C197" s="39">
        <v>4.5666666666666673</v>
      </c>
      <c r="D197" s="50">
        <v>6.6867244418114868E-2</v>
      </c>
      <c r="E197" s="28">
        <v>30.848715768652884</v>
      </c>
      <c r="F197" s="51">
        <v>0.19609859399684038</v>
      </c>
      <c r="G197" s="28">
        <v>53.540930655126921</v>
      </c>
      <c r="H197" s="55" t="s">
        <v>27</v>
      </c>
    </row>
    <row r="198" spans="1:8" ht="12.75" customHeight="1" x14ac:dyDescent="0.15">
      <c r="A198" s="126">
        <v>10</v>
      </c>
      <c r="B198" s="25" t="s">
        <v>63</v>
      </c>
      <c r="C198" s="39">
        <v>4.5666666666666673</v>
      </c>
      <c r="D198" s="50">
        <v>7.8765377866665265E-2</v>
      </c>
      <c r="E198" s="28">
        <v>11.843333421127976</v>
      </c>
      <c r="F198" s="51">
        <v>0.29949880000000006</v>
      </c>
      <c r="G198" s="28">
        <v>16.408043778576328</v>
      </c>
      <c r="H198" s="55" t="s">
        <v>27</v>
      </c>
    </row>
    <row r="199" spans="1:8" ht="12.75" customHeight="1" x14ac:dyDescent="0.15">
      <c r="A199" s="126">
        <v>11</v>
      </c>
      <c r="B199" s="25" t="s">
        <v>64</v>
      </c>
      <c r="C199" s="39">
        <v>4.5666666666666673</v>
      </c>
      <c r="D199" s="50">
        <v>7.177782721124859E-2</v>
      </c>
      <c r="E199" s="28">
        <v>14.730696374065253</v>
      </c>
      <c r="F199" s="51">
        <v>0.27542540394973059</v>
      </c>
      <c r="G199" s="28">
        <v>15.964189505625402</v>
      </c>
      <c r="H199" s="55" t="s">
        <v>27</v>
      </c>
    </row>
    <row r="200" spans="1:8" ht="12.75" customHeight="1" x14ac:dyDescent="0.15">
      <c r="A200" s="126">
        <v>12</v>
      </c>
      <c r="B200" s="25" t="s">
        <v>65</v>
      </c>
      <c r="C200" s="39">
        <v>4.57</v>
      </c>
      <c r="D200" s="50">
        <v>1.0162091069687109</v>
      </c>
      <c r="E200" s="28">
        <v>65.581205284803559</v>
      </c>
      <c r="F200" s="51">
        <v>6.6909643973941373</v>
      </c>
      <c r="G200" s="28">
        <v>77.982809262905519</v>
      </c>
      <c r="H200" s="55" t="s">
        <v>27</v>
      </c>
    </row>
    <row r="201" spans="1:8" ht="12.75" customHeight="1" x14ac:dyDescent="0.15">
      <c r="A201" s="126">
        <v>13</v>
      </c>
      <c r="B201" s="25" t="s">
        <v>66</v>
      </c>
      <c r="C201" s="39">
        <v>4.5666666666666673</v>
      </c>
      <c r="D201" s="50">
        <v>5.0377216666666724E-2</v>
      </c>
      <c r="E201" s="28">
        <v>6.356478019677346</v>
      </c>
      <c r="F201" s="51">
        <v>0.3313390454545454</v>
      </c>
      <c r="G201" s="28">
        <v>11.955827779118367</v>
      </c>
      <c r="H201" s="55" t="s">
        <v>27</v>
      </c>
    </row>
    <row r="202" spans="1:8" ht="12.75" customHeight="1" x14ac:dyDescent="0.15">
      <c r="A202" s="126">
        <v>14</v>
      </c>
      <c r="B202" s="25" t="s">
        <v>67</v>
      </c>
      <c r="C202" s="39">
        <v>4.5666666666666673</v>
      </c>
      <c r="D202" s="50">
        <v>3.7888999999999728E-2</v>
      </c>
      <c r="E202" s="28">
        <v>4.730795561683256</v>
      </c>
      <c r="F202" s="51">
        <v>0.24716904109589044</v>
      </c>
      <c r="G202" s="28">
        <v>8.547065643998236</v>
      </c>
      <c r="H202" s="55" t="s">
        <v>27</v>
      </c>
    </row>
    <row r="203" spans="1:8" ht="12.75" customHeight="1" x14ac:dyDescent="0.15">
      <c r="A203" s="126">
        <v>15</v>
      </c>
      <c r="B203" s="25" t="s">
        <v>85</v>
      </c>
      <c r="C203" s="39">
        <v>4.5600000000000005</v>
      </c>
      <c r="D203" s="50">
        <v>0.28603644460322941</v>
      </c>
      <c r="E203" s="28">
        <v>15.445862791357072</v>
      </c>
      <c r="F203" s="51">
        <v>0.45052662600209137</v>
      </c>
      <c r="G203" s="28">
        <v>14.476081588938497</v>
      </c>
      <c r="H203" s="55" t="s">
        <v>27</v>
      </c>
    </row>
    <row r="204" spans="1:8" ht="12.75" customHeight="1" x14ac:dyDescent="0.15">
      <c r="A204" s="126">
        <v>16</v>
      </c>
      <c r="B204" s="25" t="s">
        <v>85</v>
      </c>
      <c r="C204" s="39">
        <v>4.5600000000000005</v>
      </c>
      <c r="D204" s="50">
        <v>5.7229369047616885E-2</v>
      </c>
      <c r="E204" s="28">
        <v>31.365180875240604</v>
      </c>
      <c r="F204" s="51">
        <v>0.14219936558649016</v>
      </c>
      <c r="G204" s="28">
        <v>43.730785434900454</v>
      </c>
      <c r="H204" s="55" t="s">
        <v>27</v>
      </c>
    </row>
    <row r="205" spans="1:8" ht="12.75" customHeight="1" x14ac:dyDescent="0.15">
      <c r="A205" s="126">
        <v>17</v>
      </c>
      <c r="B205" s="25" t="s">
        <v>85</v>
      </c>
      <c r="C205" s="39">
        <v>4.5600000000000005</v>
      </c>
      <c r="D205" s="50">
        <v>4.6151283348567551E-2</v>
      </c>
      <c r="E205" s="28">
        <v>27.057431303141151</v>
      </c>
      <c r="F205" s="51">
        <v>0.13988598720292511</v>
      </c>
      <c r="G205" s="28">
        <v>44.955618187055656</v>
      </c>
      <c r="H205" s="55" t="s">
        <v>27</v>
      </c>
    </row>
    <row r="206" spans="1:8" ht="12.75" customHeight="1" x14ac:dyDescent="0.15">
      <c r="A206" s="126">
        <v>18</v>
      </c>
      <c r="B206" s="25" t="s">
        <v>87</v>
      </c>
      <c r="C206" s="39">
        <v>4.6533333333333333</v>
      </c>
      <c r="D206" s="50">
        <v>58.138214970554579</v>
      </c>
      <c r="E206" s="28">
        <v>97.903602675272737</v>
      </c>
      <c r="F206" s="51">
        <v>374.04588651838884</v>
      </c>
      <c r="G206" s="28">
        <v>98.693513843002435</v>
      </c>
      <c r="H206" s="55" t="s">
        <v>27</v>
      </c>
    </row>
    <row r="207" spans="1:8" ht="12.75" customHeight="1" x14ac:dyDescent="0.15">
      <c r="A207" s="126">
        <v>19</v>
      </c>
      <c r="B207" s="25" t="s">
        <v>88</v>
      </c>
      <c r="C207" s="39">
        <v>4.6533333333333333</v>
      </c>
      <c r="D207" s="50">
        <v>59.254926413747008</v>
      </c>
      <c r="E207" s="28">
        <v>98.302852815506014</v>
      </c>
      <c r="F207" s="51">
        <v>379.15595304765174</v>
      </c>
      <c r="G207" s="28">
        <v>99.155236415044712</v>
      </c>
      <c r="H207" s="55" t="s">
        <v>27</v>
      </c>
    </row>
    <row r="208" spans="1:8" ht="12.75" customHeight="1" x14ac:dyDescent="0.15">
      <c r="A208" s="126">
        <v>20</v>
      </c>
      <c r="B208" s="25" t="s">
        <v>86</v>
      </c>
      <c r="C208" s="39">
        <v>4.6533333333333333</v>
      </c>
      <c r="D208" s="50">
        <v>63.739007898367269</v>
      </c>
      <c r="E208" s="28">
        <v>98.491509540903095</v>
      </c>
      <c r="F208" s="51">
        <v>409.57686750462113</v>
      </c>
      <c r="G208" s="28">
        <v>99.167696126130025</v>
      </c>
      <c r="H208" s="55" t="s">
        <v>27</v>
      </c>
    </row>
    <row r="209" spans="1:8" ht="12.75" customHeight="1" x14ac:dyDescent="0.15">
      <c r="A209" s="126">
        <v>21</v>
      </c>
      <c r="B209" s="25" t="s">
        <v>85</v>
      </c>
      <c r="C209" s="39">
        <v>4.57</v>
      </c>
      <c r="D209" s="50">
        <v>5.8629709434996791E-2</v>
      </c>
      <c r="E209" s="28">
        <v>24.496446549913362</v>
      </c>
      <c r="F209" s="51">
        <v>0.16525251234229299</v>
      </c>
      <c r="G209" s="28">
        <v>47.676298249479991</v>
      </c>
      <c r="H209" s="55" t="s">
        <v>27</v>
      </c>
    </row>
    <row r="210" spans="1:8" ht="12.75" customHeight="1" x14ac:dyDescent="0.15">
      <c r="A210" s="126">
        <v>22</v>
      </c>
      <c r="B210" s="25" t="s">
        <v>89</v>
      </c>
      <c r="C210" s="39">
        <v>4.66</v>
      </c>
      <c r="D210" s="50">
        <v>66.89664388762219</v>
      </c>
      <c r="E210" s="28">
        <v>98.691030703418164</v>
      </c>
      <c r="F210" s="51">
        <v>425.11068736000004</v>
      </c>
      <c r="G210" s="28">
        <v>99.252727017115788</v>
      </c>
      <c r="H210" s="55" t="s">
        <v>27</v>
      </c>
    </row>
    <row r="211" spans="1:8" ht="12.75" customHeight="1" x14ac:dyDescent="0.15">
      <c r="A211" s="126">
        <v>23</v>
      </c>
      <c r="B211" s="25" t="s">
        <v>90</v>
      </c>
      <c r="C211" s="39">
        <v>4.6566666666666672</v>
      </c>
      <c r="D211" s="50">
        <v>64.292652151897741</v>
      </c>
      <c r="E211" s="28">
        <v>98.722494206763301</v>
      </c>
      <c r="F211" s="51">
        <v>410.16254362623766</v>
      </c>
      <c r="G211" s="28">
        <v>99.274830889223139</v>
      </c>
      <c r="H211" s="55" t="s">
        <v>27</v>
      </c>
    </row>
    <row r="212" spans="1:8" ht="12.75" customHeight="1" x14ac:dyDescent="0.15">
      <c r="A212" s="126">
        <v>24</v>
      </c>
      <c r="B212" s="25" t="s">
        <v>91</v>
      </c>
      <c r="C212" s="39">
        <v>4.666666666666667</v>
      </c>
      <c r="D212" s="50">
        <v>70.558985876059566</v>
      </c>
      <c r="E212" s="28">
        <v>98.695709332332669</v>
      </c>
      <c r="F212" s="51">
        <v>443.32106735659659</v>
      </c>
      <c r="G212" s="28">
        <v>99.240532523026417</v>
      </c>
      <c r="H212" s="55" t="s">
        <v>27</v>
      </c>
    </row>
    <row r="213" spans="1:8" ht="12.75" customHeight="1" x14ac:dyDescent="0.15">
      <c r="A213" s="126">
        <v>25</v>
      </c>
      <c r="B213" s="25" t="s">
        <v>92</v>
      </c>
      <c r="C213" s="39">
        <v>4.6566666666666672</v>
      </c>
      <c r="D213" s="50">
        <v>63.136728161916054</v>
      </c>
      <c r="E213" s="28">
        <v>98.702670082894414</v>
      </c>
      <c r="F213" s="51">
        <v>403.05171067234846</v>
      </c>
      <c r="G213" s="28">
        <v>99.267115839292885</v>
      </c>
      <c r="H213" s="55" t="s">
        <v>27</v>
      </c>
    </row>
    <row r="214" spans="1:8" ht="12.75" customHeight="1" x14ac:dyDescent="0.15">
      <c r="A214" s="126">
        <v>26</v>
      </c>
      <c r="B214" s="25" t="s">
        <v>93</v>
      </c>
      <c r="C214" s="39">
        <v>4.66</v>
      </c>
      <c r="D214" s="50">
        <v>65.753312757466972</v>
      </c>
      <c r="E214" s="28">
        <v>98.726707265446521</v>
      </c>
      <c r="F214" s="51">
        <v>416.51943577351489</v>
      </c>
      <c r="G214" s="28">
        <v>99.267226694109169</v>
      </c>
      <c r="H214" s="55" t="s">
        <v>27</v>
      </c>
    </row>
    <row r="215" spans="1:8" ht="12.75" customHeight="1" x14ac:dyDescent="0.15">
      <c r="A215" s="126">
        <v>27</v>
      </c>
      <c r="B215" s="25" t="s">
        <v>94</v>
      </c>
      <c r="C215" s="39">
        <v>4.6566666666666672</v>
      </c>
      <c r="D215" s="50">
        <v>63.425098809374994</v>
      </c>
      <c r="E215" s="28">
        <v>98.73772443402018</v>
      </c>
      <c r="F215" s="51">
        <v>404.39928125000006</v>
      </c>
      <c r="G215" s="28">
        <v>99.279464336453657</v>
      </c>
      <c r="H215" s="55" t="s">
        <v>27</v>
      </c>
    </row>
    <row r="216" spans="1:8" ht="12.75" customHeight="1" x14ac:dyDescent="0.15">
      <c r="A216" s="126">
        <v>28</v>
      </c>
      <c r="B216" s="25" t="s">
        <v>95</v>
      </c>
      <c r="C216" s="39">
        <v>4.663333333333334</v>
      </c>
      <c r="D216" s="50">
        <v>67.552395389219171</v>
      </c>
      <c r="E216" s="28">
        <v>98.73535037753912</v>
      </c>
      <c r="F216" s="51">
        <v>425.66546058269569</v>
      </c>
      <c r="G216" s="28">
        <v>99.264854646760682</v>
      </c>
      <c r="H216" s="55" t="s">
        <v>27</v>
      </c>
    </row>
    <row r="217" spans="1:8" ht="12.75" customHeight="1" x14ac:dyDescent="0.15">
      <c r="A217" s="126">
        <v>29</v>
      </c>
      <c r="B217" s="25" t="s">
        <v>96</v>
      </c>
      <c r="C217" s="39">
        <v>4.6566666666666672</v>
      </c>
      <c r="D217" s="50">
        <v>64.131110996801894</v>
      </c>
      <c r="E217" s="28">
        <v>98.745331845987721</v>
      </c>
      <c r="F217" s="51">
        <v>407.24380687701228</v>
      </c>
      <c r="G217" s="28">
        <v>99.281162860769982</v>
      </c>
      <c r="H217" s="55" t="s">
        <v>27</v>
      </c>
    </row>
    <row r="218" spans="1:8" ht="12.75" customHeight="1" x14ac:dyDescent="0.15">
      <c r="A218" s="126">
        <v>30</v>
      </c>
      <c r="B218" s="25" t="s">
        <v>97</v>
      </c>
      <c r="C218" s="39">
        <v>4.666666666666667</v>
      </c>
      <c r="D218" s="50">
        <v>69.155521096757155</v>
      </c>
      <c r="E218" s="28">
        <v>98.734499706485309</v>
      </c>
      <c r="F218" s="51">
        <v>434.65540399241951</v>
      </c>
      <c r="G218" s="28">
        <v>99.258299273604777</v>
      </c>
      <c r="H218" s="55" t="s">
        <v>27</v>
      </c>
    </row>
    <row r="219" spans="1:8" ht="12.75" customHeight="1" x14ac:dyDescent="0.15">
      <c r="A219" s="126">
        <v>31</v>
      </c>
      <c r="B219" s="25" t="s">
        <v>98</v>
      </c>
      <c r="C219" s="39">
        <v>4.66</v>
      </c>
      <c r="D219" s="50">
        <v>65.337947505020324</v>
      </c>
      <c r="E219" s="28">
        <v>98.723964742026794</v>
      </c>
      <c r="F219" s="51">
        <v>413.91581289024396</v>
      </c>
      <c r="G219" s="28">
        <v>99.269296723819309</v>
      </c>
      <c r="H219" s="55" t="s">
        <v>27</v>
      </c>
    </row>
    <row r="220" spans="1:8" ht="12.75" customHeight="1" x14ac:dyDescent="0.15">
      <c r="A220" s="126">
        <v>32</v>
      </c>
      <c r="B220" s="25" t="s">
        <v>99</v>
      </c>
      <c r="C220" s="39">
        <v>4.6566666666666672</v>
      </c>
      <c r="D220" s="50">
        <v>62.489516211383659</v>
      </c>
      <c r="E220" s="28">
        <v>98.734760020993676</v>
      </c>
      <c r="F220" s="51">
        <v>397.81348554716982</v>
      </c>
      <c r="G220" s="28">
        <v>99.276413363681954</v>
      </c>
      <c r="H220" s="55" t="s">
        <v>27</v>
      </c>
    </row>
    <row r="221" spans="1:8" ht="12.75" customHeight="1" x14ac:dyDescent="0.15">
      <c r="A221" s="126">
        <v>33</v>
      </c>
      <c r="B221" s="25" t="s">
        <v>100</v>
      </c>
      <c r="C221" s="39">
        <v>4.66</v>
      </c>
      <c r="D221" s="50">
        <v>64.038966777314286</v>
      </c>
      <c r="E221" s="28">
        <v>98.73662531681245</v>
      </c>
      <c r="F221" s="51">
        <v>406.26533282689917</v>
      </c>
      <c r="G221" s="28">
        <v>99.272468041998579</v>
      </c>
      <c r="H221" s="55" t="s">
        <v>27</v>
      </c>
    </row>
    <row r="222" spans="1:8" ht="12.75" customHeight="1" x14ac:dyDescent="0.15">
      <c r="A222" s="126">
        <v>34</v>
      </c>
      <c r="B222" s="25" t="s">
        <v>101</v>
      </c>
      <c r="C222" s="39">
        <v>4.6500000000000004</v>
      </c>
      <c r="D222" s="50">
        <v>58.317270811257515</v>
      </c>
      <c r="E222" s="28">
        <v>98.21256567183508</v>
      </c>
      <c r="F222" s="51">
        <v>374.74010791493299</v>
      </c>
      <c r="G222" s="28">
        <v>98.863284342666333</v>
      </c>
      <c r="H222" s="55" t="s">
        <v>27</v>
      </c>
    </row>
    <row r="223" spans="1:8" ht="12.75" customHeight="1" x14ac:dyDescent="0.15">
      <c r="A223" s="126">
        <v>35</v>
      </c>
      <c r="B223" s="25" t="s">
        <v>102</v>
      </c>
      <c r="C223" s="39">
        <v>4.6500000000000004</v>
      </c>
      <c r="D223" s="50">
        <v>57.08700795660895</v>
      </c>
      <c r="E223" s="28">
        <v>98.168826582412734</v>
      </c>
      <c r="F223" s="51">
        <v>367.73640655437924</v>
      </c>
      <c r="G223" s="28">
        <v>98.844940769928442</v>
      </c>
      <c r="H223" s="55" t="s">
        <v>27</v>
      </c>
    </row>
    <row r="224" spans="1:8" ht="12.75" customHeight="1" x14ac:dyDescent="0.15">
      <c r="A224" s="126">
        <v>36</v>
      </c>
      <c r="B224" s="25" t="s">
        <v>103</v>
      </c>
      <c r="C224" s="39">
        <v>4.6533333333333333</v>
      </c>
      <c r="D224" s="50">
        <v>59.570339434128485</v>
      </c>
      <c r="E224" s="28">
        <v>98.187981618709927</v>
      </c>
      <c r="F224" s="51">
        <v>381.27267102576343</v>
      </c>
      <c r="G224" s="28">
        <v>98.836423628299229</v>
      </c>
      <c r="H224" s="55" t="s">
        <v>27</v>
      </c>
    </row>
    <row r="225" spans="1:8" ht="12.75" customHeight="1" x14ac:dyDescent="0.15">
      <c r="A225" s="126">
        <v>37</v>
      </c>
      <c r="B225" s="25" t="s">
        <v>104</v>
      </c>
      <c r="C225" s="39">
        <v>4.6533333333333333</v>
      </c>
      <c r="D225" s="50">
        <v>61.06775875833339</v>
      </c>
      <c r="E225" s="28">
        <v>98.256751536362259</v>
      </c>
      <c r="F225" s="51">
        <v>389.78141776315795</v>
      </c>
      <c r="G225" s="28">
        <v>98.856458178826287</v>
      </c>
      <c r="H225" s="55" t="s">
        <v>27</v>
      </c>
    </row>
    <row r="226" spans="1:8" ht="12.75" customHeight="1" x14ac:dyDescent="0.15">
      <c r="A226" s="126">
        <v>38</v>
      </c>
      <c r="B226" s="25" t="s">
        <v>105</v>
      </c>
      <c r="C226" s="39">
        <v>4.6533333333333333</v>
      </c>
      <c r="D226" s="50">
        <v>60.323377152575297</v>
      </c>
      <c r="E226" s="28">
        <v>98.203832536779657</v>
      </c>
      <c r="F226" s="51">
        <v>385.99175654518956</v>
      </c>
      <c r="G226" s="28">
        <v>98.837492409010338</v>
      </c>
      <c r="H226" s="55" t="s">
        <v>27</v>
      </c>
    </row>
    <row r="227" spans="1:8" ht="12.75" customHeight="1" x14ac:dyDescent="0.15">
      <c r="A227" s="126">
        <v>39</v>
      </c>
      <c r="B227" s="25" t="s">
        <v>106</v>
      </c>
      <c r="C227" s="39">
        <v>4.6433333333333335</v>
      </c>
      <c r="D227" s="50">
        <v>52.552244868591423</v>
      </c>
      <c r="E227" s="28">
        <v>98.234020668635537</v>
      </c>
      <c r="F227" s="51">
        <v>340.93235729695431</v>
      </c>
      <c r="G227" s="28">
        <v>98.869813638113925</v>
      </c>
      <c r="H227" s="55" t="s">
        <v>27</v>
      </c>
    </row>
    <row r="228" spans="1:8" ht="12.75" customHeight="1" x14ac:dyDescent="0.15">
      <c r="A228" s="126">
        <v>40</v>
      </c>
      <c r="B228" s="25" t="s">
        <v>107</v>
      </c>
      <c r="C228" s="39">
        <v>4.6533333333333333</v>
      </c>
      <c r="D228" s="50">
        <v>58.956417335714264</v>
      </c>
      <c r="E228" s="28">
        <v>98.139858759323857</v>
      </c>
      <c r="F228" s="51">
        <v>378.61672928571431</v>
      </c>
      <c r="G228" s="28">
        <v>98.809421672360742</v>
      </c>
      <c r="H228" s="55" t="s">
        <v>27</v>
      </c>
    </row>
    <row r="229" spans="1:8" ht="12.75" customHeight="1" x14ac:dyDescent="0.15">
      <c r="A229" s="126">
        <v>41</v>
      </c>
      <c r="B229" s="25" t="s">
        <v>108</v>
      </c>
      <c r="C229" s="39">
        <v>4.6533333333333333</v>
      </c>
      <c r="D229" s="50">
        <v>60.441143155020875</v>
      </c>
      <c r="E229" s="28">
        <v>98.159133708664143</v>
      </c>
      <c r="F229" s="51">
        <v>386.76226975937067</v>
      </c>
      <c r="G229" s="28">
        <v>98.810891585361034</v>
      </c>
      <c r="H229" s="55" t="s">
        <v>27</v>
      </c>
    </row>
    <row r="230" spans="1:8" ht="12.75" customHeight="1" x14ac:dyDescent="0.15">
      <c r="A230" s="126">
        <v>42</v>
      </c>
      <c r="B230" s="25" t="s">
        <v>109</v>
      </c>
      <c r="C230" s="39">
        <v>4.6533333333333333</v>
      </c>
      <c r="D230" s="50">
        <v>60.019100703005471</v>
      </c>
      <c r="E230" s="28">
        <v>98.149049735653776</v>
      </c>
      <c r="F230" s="51">
        <v>384.2276647213115</v>
      </c>
      <c r="G230" s="28">
        <v>98.806322905616796</v>
      </c>
      <c r="H230" s="55" t="s">
        <v>27</v>
      </c>
    </row>
    <row r="231" spans="1:8" ht="12.75" customHeight="1" x14ac:dyDescent="0.15">
      <c r="A231" s="126">
        <v>43</v>
      </c>
      <c r="B231" s="25" t="s">
        <v>110</v>
      </c>
      <c r="C231" s="39">
        <v>4.6433333333333335</v>
      </c>
      <c r="D231" s="50">
        <v>52.753525116563601</v>
      </c>
      <c r="E231" s="28">
        <v>98.256866233542539</v>
      </c>
      <c r="F231" s="51">
        <v>342.0893516388374</v>
      </c>
      <c r="G231" s="28">
        <v>98.895964935255989</v>
      </c>
      <c r="H231" s="55" t="s">
        <v>27</v>
      </c>
    </row>
    <row r="232" spans="1:8" ht="12.75" customHeight="1" x14ac:dyDescent="0.15">
      <c r="A232" s="126">
        <v>44</v>
      </c>
      <c r="B232" s="25" t="s">
        <v>111</v>
      </c>
      <c r="C232" s="39">
        <v>4.6533333333333333</v>
      </c>
      <c r="D232" s="50">
        <v>60.537405023923625</v>
      </c>
      <c r="E232" s="28">
        <v>98.258414314056665</v>
      </c>
      <c r="F232" s="51">
        <v>386.70352205579144</v>
      </c>
      <c r="G232" s="28">
        <v>98.856879878791361</v>
      </c>
      <c r="H232" s="55" t="s">
        <v>27</v>
      </c>
    </row>
    <row r="233" spans="1:8" ht="12.75" customHeight="1" x14ac:dyDescent="0.15">
      <c r="A233" s="126">
        <v>45</v>
      </c>
      <c r="B233" s="25" t="s">
        <v>112</v>
      </c>
      <c r="C233" s="39">
        <v>4.6533333333333333</v>
      </c>
      <c r="D233" s="50">
        <v>58.97785507537175</v>
      </c>
      <c r="E233" s="28">
        <v>98.177199198527433</v>
      </c>
      <c r="F233" s="51">
        <v>378.59295196561339</v>
      </c>
      <c r="G233" s="28">
        <v>98.841809619673526</v>
      </c>
      <c r="H233" s="55" t="s">
        <v>27</v>
      </c>
    </row>
    <row r="234" spans="1:8" ht="12.75" customHeight="1" x14ac:dyDescent="0.15">
      <c r="A234" s="126">
        <v>46</v>
      </c>
      <c r="B234" s="25" t="s">
        <v>113</v>
      </c>
      <c r="C234" s="39">
        <v>4.6500000000000004</v>
      </c>
      <c r="D234" s="50">
        <v>58.102414011450158</v>
      </c>
      <c r="E234" s="28">
        <v>98.475766091261065</v>
      </c>
      <c r="F234" s="51">
        <v>373.58251422098937</v>
      </c>
      <c r="G234" s="28">
        <v>99.206990558927458</v>
      </c>
      <c r="H234" s="55" t="s">
        <v>27</v>
      </c>
    </row>
    <row r="235" spans="1:8" ht="12.75" customHeight="1" x14ac:dyDescent="0.15">
      <c r="A235" s="126">
        <v>47</v>
      </c>
      <c r="B235" s="25" t="s">
        <v>114</v>
      </c>
      <c r="C235" s="39">
        <v>4.6533333333333333</v>
      </c>
      <c r="D235" s="50">
        <v>60.103360634271141</v>
      </c>
      <c r="E235" s="28">
        <v>98.484471517881872</v>
      </c>
      <c r="F235" s="51">
        <v>383.48857401534531</v>
      </c>
      <c r="G235" s="28">
        <v>99.220691431434261</v>
      </c>
      <c r="H235" s="55" t="s">
        <v>27</v>
      </c>
    </row>
    <row r="236" spans="1:8" ht="12.75" customHeight="1" x14ac:dyDescent="0.15">
      <c r="A236" s="126">
        <v>48</v>
      </c>
      <c r="B236" s="25" t="s">
        <v>115</v>
      </c>
      <c r="C236" s="39">
        <v>4.6566666666666672</v>
      </c>
      <c r="D236" s="50">
        <v>61.815249343156488</v>
      </c>
      <c r="E236" s="28">
        <v>98.445445991066705</v>
      </c>
      <c r="F236" s="51">
        <v>394.12772492118421</v>
      </c>
      <c r="G236" s="28">
        <v>99.207507021893122</v>
      </c>
      <c r="H236" s="55" t="s">
        <v>27</v>
      </c>
    </row>
    <row r="237" spans="1:8" ht="12.75" customHeight="1" x14ac:dyDescent="0.15">
      <c r="A237" s="126">
        <v>49</v>
      </c>
      <c r="B237" s="25" t="s">
        <v>116</v>
      </c>
      <c r="C237" s="39">
        <v>4.6500000000000004</v>
      </c>
      <c r="D237" s="50">
        <v>58.072261120856297</v>
      </c>
      <c r="E237" s="28">
        <v>98.427513509470259</v>
      </c>
      <c r="F237" s="51">
        <v>372.36488761229322</v>
      </c>
      <c r="G237" s="28">
        <v>99.200396136443175</v>
      </c>
      <c r="H237" s="55" t="s">
        <v>27</v>
      </c>
    </row>
    <row r="238" spans="1:8" ht="12.75" customHeight="1" x14ac:dyDescent="0.15">
      <c r="A238" s="126">
        <v>50</v>
      </c>
      <c r="B238" s="25" t="s">
        <v>117</v>
      </c>
      <c r="C238" s="39">
        <v>4.66</v>
      </c>
      <c r="D238" s="50">
        <v>63.70435412129796</v>
      </c>
      <c r="E238" s="28">
        <v>98.438426161999843</v>
      </c>
      <c r="F238" s="51">
        <v>404.40122595073473</v>
      </c>
      <c r="G238" s="28">
        <v>99.184257511655701</v>
      </c>
      <c r="H238" s="55" t="s">
        <v>27</v>
      </c>
    </row>
    <row r="239" spans="1:8" ht="12.75" customHeight="1" x14ac:dyDescent="0.15">
      <c r="A239" s="126">
        <v>51</v>
      </c>
      <c r="B239" s="25" t="s">
        <v>2</v>
      </c>
      <c r="C239" s="39">
        <v>4.6566666666666672</v>
      </c>
      <c r="D239" s="50">
        <v>61.957858689494955</v>
      </c>
      <c r="E239" s="28">
        <v>98.404381584431874</v>
      </c>
      <c r="F239" s="51">
        <v>394.87714424600421</v>
      </c>
      <c r="G239" s="28">
        <v>99.195383653727703</v>
      </c>
      <c r="H239" s="55" t="s">
        <v>27</v>
      </c>
    </row>
    <row r="240" spans="1:8" ht="12.75" customHeight="1" x14ac:dyDescent="0.15">
      <c r="A240" s="126">
        <v>52</v>
      </c>
      <c r="B240" s="25" t="s">
        <v>118</v>
      </c>
      <c r="C240" s="39">
        <v>4.6533333333333333</v>
      </c>
      <c r="D240" s="50">
        <v>58.164371542037706</v>
      </c>
      <c r="E240" s="28">
        <v>98.421093492895878</v>
      </c>
      <c r="F240" s="51">
        <v>372.6178802910959</v>
      </c>
      <c r="G240" s="28">
        <v>99.200676864945279</v>
      </c>
      <c r="H240" s="55" t="s">
        <v>27</v>
      </c>
    </row>
    <row r="241" spans="1:8" ht="12.75" customHeight="1" x14ac:dyDescent="0.15">
      <c r="A241" s="126">
        <v>53</v>
      </c>
      <c r="B241" s="25" t="s">
        <v>119</v>
      </c>
      <c r="C241" s="39">
        <v>4.6566666666666672</v>
      </c>
      <c r="D241" s="50">
        <v>61.193036757877024</v>
      </c>
      <c r="E241" s="28">
        <v>98.39671848045802</v>
      </c>
      <c r="F241" s="51">
        <v>390.49099621095064</v>
      </c>
      <c r="G241" s="28">
        <v>99.19902424397938</v>
      </c>
      <c r="H241" s="55" t="s">
        <v>27</v>
      </c>
    </row>
    <row r="242" spans="1:8" ht="12.75" customHeight="1" x14ac:dyDescent="0.15">
      <c r="A242" s="126">
        <v>54</v>
      </c>
      <c r="B242" s="25" t="s">
        <v>120</v>
      </c>
      <c r="C242" s="39">
        <v>4.6533333333333333</v>
      </c>
      <c r="D242" s="50">
        <v>59.779423893449362</v>
      </c>
      <c r="E242" s="28">
        <v>98.424965614002531</v>
      </c>
      <c r="F242" s="51">
        <v>382.05947115667317</v>
      </c>
      <c r="G242" s="28">
        <v>99.206718363785001</v>
      </c>
      <c r="H242" s="55" t="s">
        <v>27</v>
      </c>
    </row>
    <row r="243" spans="1:8" ht="12.75" customHeight="1" x14ac:dyDescent="0.15">
      <c r="A243" s="126">
        <v>55</v>
      </c>
      <c r="B243" s="25" t="s">
        <v>121</v>
      </c>
      <c r="C243" s="39">
        <v>4.6533333333333333</v>
      </c>
      <c r="D243" s="50">
        <v>58.075391763694661</v>
      </c>
      <c r="E243" s="28">
        <v>98.171503433525046</v>
      </c>
      <c r="F243" s="51">
        <v>372.55753747377628</v>
      </c>
      <c r="G243" s="28">
        <v>98.820861533658061</v>
      </c>
      <c r="H243" s="55" t="s">
        <v>27</v>
      </c>
    </row>
    <row r="244" spans="1:8" ht="12.75" customHeight="1" x14ac:dyDescent="0.15">
      <c r="A244" s="126">
        <v>56</v>
      </c>
      <c r="B244" s="25" t="s">
        <v>122</v>
      </c>
      <c r="C244" s="39">
        <v>4.6433333333333335</v>
      </c>
      <c r="D244" s="50">
        <v>52.040401285846315</v>
      </c>
      <c r="E244" s="28">
        <v>98.125925093088554</v>
      </c>
      <c r="F244" s="51">
        <v>337.34215332320548</v>
      </c>
      <c r="G244" s="28">
        <v>98.862595020539914</v>
      </c>
      <c r="H244" s="55" t="s">
        <v>27</v>
      </c>
    </row>
    <row r="245" spans="1:8" ht="12.75" customHeight="1" x14ac:dyDescent="0.15">
      <c r="A245" s="126">
        <v>57</v>
      </c>
      <c r="B245" s="25" t="s">
        <v>123</v>
      </c>
      <c r="C245" s="39">
        <v>4.6533333333333333</v>
      </c>
      <c r="D245" s="50">
        <v>60.92476189588745</v>
      </c>
      <c r="E245" s="28">
        <v>98.139727225632171</v>
      </c>
      <c r="F245" s="51">
        <v>388.86896639610393</v>
      </c>
      <c r="G245" s="28">
        <v>98.825656575201904</v>
      </c>
      <c r="H245" s="55" t="s">
        <v>27</v>
      </c>
    </row>
    <row r="246" spans="1:8" ht="12.75" customHeight="1" x14ac:dyDescent="0.15">
      <c r="A246" s="126">
        <v>58</v>
      </c>
      <c r="B246" s="25" t="s">
        <v>124</v>
      </c>
      <c r="C246" s="39">
        <v>4.66</v>
      </c>
      <c r="D246" s="50">
        <v>65.78038961231853</v>
      </c>
      <c r="E246" s="28">
        <v>98.703168876130377</v>
      </c>
      <c r="F246" s="51">
        <v>415.10333888583222</v>
      </c>
      <c r="G246" s="28">
        <v>99.26425606547447</v>
      </c>
      <c r="H246" s="55" t="s">
        <v>27</v>
      </c>
    </row>
    <row r="247" spans="1:8" ht="12.75" customHeight="1" x14ac:dyDescent="0.15">
      <c r="A247" s="126">
        <v>59</v>
      </c>
      <c r="B247" s="25" t="s">
        <v>90</v>
      </c>
      <c r="C247" s="39">
        <v>4.6566666666666672</v>
      </c>
      <c r="D247" s="50">
        <v>61.907068385145138</v>
      </c>
      <c r="E247" s="28">
        <v>98.720092082091512</v>
      </c>
      <c r="F247" s="51">
        <v>394.36070956145772</v>
      </c>
      <c r="G247" s="28">
        <v>99.280102541576696</v>
      </c>
      <c r="H247" s="55" t="s">
        <v>27</v>
      </c>
    </row>
    <row r="248" spans="1:8" ht="12.75" customHeight="1" x14ac:dyDescent="0.15">
      <c r="A248" s="126">
        <v>60</v>
      </c>
      <c r="B248" s="25" t="s">
        <v>91</v>
      </c>
      <c r="C248" s="39">
        <v>4.6500000000000004</v>
      </c>
      <c r="D248" s="50">
        <v>58.998742529710171</v>
      </c>
      <c r="E248" s="28">
        <v>98.680723885486771</v>
      </c>
      <c r="F248" s="51">
        <v>377.75015721554121</v>
      </c>
      <c r="G248" s="28">
        <v>99.277581030009017</v>
      </c>
      <c r="H248" s="55" t="s">
        <v>27</v>
      </c>
    </row>
    <row r="249" spans="1:8" ht="12.75" customHeight="1" x14ac:dyDescent="0.15">
      <c r="A249" s="126">
        <v>61</v>
      </c>
      <c r="B249" s="25" t="s">
        <v>92</v>
      </c>
      <c r="C249" s="39">
        <v>4.66</v>
      </c>
      <c r="D249" s="50">
        <v>65.052027330542359</v>
      </c>
      <c r="E249" s="28">
        <v>98.722246967349307</v>
      </c>
      <c r="F249" s="51">
        <v>411.65986813397132</v>
      </c>
      <c r="G249" s="28">
        <v>99.261159779389558</v>
      </c>
      <c r="H249" s="55" t="s">
        <v>27</v>
      </c>
    </row>
    <row r="250" spans="1:8" ht="12.75" customHeight="1" x14ac:dyDescent="0.15">
      <c r="A250" s="126">
        <v>62</v>
      </c>
      <c r="B250" s="25" t="s">
        <v>93</v>
      </c>
      <c r="C250" s="39">
        <v>4.6566666666666672</v>
      </c>
      <c r="D250" s="50">
        <v>64.573906305479596</v>
      </c>
      <c r="E250" s="28">
        <v>98.709661132033773</v>
      </c>
      <c r="F250" s="51">
        <v>409.40387948584907</v>
      </c>
      <c r="G250" s="28">
        <v>99.256269820943515</v>
      </c>
      <c r="H250" s="55" t="s">
        <v>27</v>
      </c>
    </row>
    <row r="251" spans="1:8" ht="12.75" customHeight="1" x14ac:dyDescent="0.15">
      <c r="A251" s="126">
        <v>63</v>
      </c>
      <c r="B251" s="25" t="s">
        <v>94</v>
      </c>
      <c r="C251" s="39">
        <v>4.6533333333333333</v>
      </c>
      <c r="D251" s="50">
        <v>62.46520501934711</v>
      </c>
      <c r="E251" s="28">
        <v>98.702990450610784</v>
      </c>
      <c r="F251" s="51">
        <v>397.30867063370141</v>
      </c>
      <c r="G251" s="28">
        <v>99.265416082585475</v>
      </c>
      <c r="H251" s="55" t="s">
        <v>27</v>
      </c>
    </row>
    <row r="252" spans="1:8" ht="12.75" customHeight="1" x14ac:dyDescent="0.15">
      <c r="A252" s="126">
        <v>64</v>
      </c>
      <c r="B252" s="25" t="s">
        <v>95</v>
      </c>
      <c r="C252" s="39">
        <v>4.6566666666666672</v>
      </c>
      <c r="D252" s="50">
        <v>62.758321132945746</v>
      </c>
      <c r="E252" s="28">
        <v>98.704769212297251</v>
      </c>
      <c r="F252" s="51">
        <v>399.67256302325586</v>
      </c>
      <c r="G252" s="28">
        <v>99.269272464006022</v>
      </c>
      <c r="H252" s="55" t="s">
        <v>27</v>
      </c>
    </row>
    <row r="253" spans="1:8" ht="12.75" customHeight="1" x14ac:dyDescent="0.15">
      <c r="A253" s="126">
        <v>65</v>
      </c>
      <c r="B253" s="25" t="s">
        <v>96</v>
      </c>
      <c r="C253" s="39">
        <v>4.6566666666666672</v>
      </c>
      <c r="D253" s="50">
        <v>62.755394820370405</v>
      </c>
      <c r="E253" s="28">
        <v>98.716504960605107</v>
      </c>
      <c r="F253" s="51">
        <v>399.71065323629307</v>
      </c>
      <c r="G253" s="28">
        <v>99.269037128865989</v>
      </c>
      <c r="H253" s="55" t="s">
        <v>27</v>
      </c>
    </row>
    <row r="254" spans="1:8" ht="12.75" customHeight="1" x14ac:dyDescent="0.15">
      <c r="A254" s="126">
        <v>66</v>
      </c>
      <c r="B254" s="25" t="s">
        <v>97</v>
      </c>
      <c r="C254" s="39">
        <v>4.6533333333333333</v>
      </c>
      <c r="D254" s="50">
        <v>62.128522403784586</v>
      </c>
      <c r="E254" s="28">
        <v>98.701924864668328</v>
      </c>
      <c r="F254" s="51">
        <v>395.98760348535768</v>
      </c>
      <c r="G254" s="28">
        <v>99.269327403701325</v>
      </c>
      <c r="H254" s="55" t="s">
        <v>27</v>
      </c>
    </row>
    <row r="255" spans="1:8" ht="12.75" customHeight="1" x14ac:dyDescent="0.15">
      <c r="A255" s="126">
        <v>67</v>
      </c>
      <c r="B255" s="25" t="s">
        <v>98</v>
      </c>
      <c r="C255" s="39">
        <v>4.6533333333333333</v>
      </c>
      <c r="D255" s="50">
        <v>63.037848427118</v>
      </c>
      <c r="E255" s="28">
        <v>98.715223904634016</v>
      </c>
      <c r="F255" s="51">
        <v>401.5031743467934</v>
      </c>
      <c r="G255" s="28">
        <v>99.272158191473764</v>
      </c>
      <c r="H255" s="55" t="s">
        <v>27</v>
      </c>
    </row>
    <row r="256" spans="1:8" ht="12.75" customHeight="1" x14ac:dyDescent="0.15">
      <c r="A256" s="126">
        <v>68</v>
      </c>
      <c r="B256" s="25" t="s">
        <v>99</v>
      </c>
      <c r="C256" s="39">
        <v>4.66</v>
      </c>
      <c r="D256" s="50">
        <v>66.055330279921179</v>
      </c>
      <c r="E256" s="28">
        <v>98.703488870296198</v>
      </c>
      <c r="F256" s="51">
        <v>417.54275360283691</v>
      </c>
      <c r="G256" s="28">
        <v>99.256827208136201</v>
      </c>
      <c r="H256" s="55" t="s">
        <v>27</v>
      </c>
    </row>
    <row r="257" spans="1:8" ht="12.75" customHeight="1" x14ac:dyDescent="0.15">
      <c r="A257" s="126">
        <v>69</v>
      </c>
      <c r="B257" s="25" t="s">
        <v>100</v>
      </c>
      <c r="C257" s="39">
        <v>4.6566666666666672</v>
      </c>
      <c r="D257" s="50">
        <v>64.758887600553138</v>
      </c>
      <c r="E257" s="28">
        <v>98.704852524790937</v>
      </c>
      <c r="F257" s="51">
        <v>410.44531382395388</v>
      </c>
      <c r="G257" s="28">
        <v>99.263053277996022</v>
      </c>
      <c r="H257" s="55" t="s">
        <v>27</v>
      </c>
    </row>
    <row r="258" spans="1:8" ht="12.75" customHeight="1" x14ac:dyDescent="0.15">
      <c r="A258" s="126">
        <v>70</v>
      </c>
      <c r="B258" s="25" t="s">
        <v>101</v>
      </c>
      <c r="C258" s="39">
        <v>4.6466666666666665</v>
      </c>
      <c r="D258" s="50">
        <v>56.780021192243112</v>
      </c>
      <c r="E258" s="28">
        <v>98.160208390004627</v>
      </c>
      <c r="F258" s="51">
        <v>365.30362980760424</v>
      </c>
      <c r="G258" s="28">
        <v>98.838773539551582</v>
      </c>
      <c r="H258" s="55" t="s">
        <v>27</v>
      </c>
    </row>
    <row r="259" spans="1:8" ht="12.75" customHeight="1" x14ac:dyDescent="0.15">
      <c r="A259" s="126">
        <v>71</v>
      </c>
      <c r="B259" s="25" t="s">
        <v>102</v>
      </c>
      <c r="C259" s="39">
        <v>4.6500000000000004</v>
      </c>
      <c r="D259" s="50">
        <v>60.091059349572056</v>
      </c>
      <c r="E259" s="28">
        <v>98.163622880338437</v>
      </c>
      <c r="F259" s="51">
        <v>384.36388914407991</v>
      </c>
      <c r="G259" s="28">
        <v>98.828716381709782</v>
      </c>
      <c r="H259" s="55" t="s">
        <v>27</v>
      </c>
    </row>
    <row r="260" spans="1:8" ht="12.75" customHeight="1" x14ac:dyDescent="0.15">
      <c r="A260" s="126">
        <v>72</v>
      </c>
      <c r="B260" s="25" t="s">
        <v>103</v>
      </c>
      <c r="C260" s="39">
        <v>4.6500000000000004</v>
      </c>
      <c r="D260" s="50">
        <v>60.386845580817003</v>
      </c>
      <c r="E260" s="28">
        <v>98.190021872196724</v>
      </c>
      <c r="F260" s="51">
        <v>385.98931997611089</v>
      </c>
      <c r="G260" s="28">
        <v>98.837131614035087</v>
      </c>
      <c r="H260" s="55" t="s">
        <v>27</v>
      </c>
    </row>
    <row r="261" spans="1:8" ht="12.75" customHeight="1" x14ac:dyDescent="0.15">
      <c r="A261" s="126">
        <v>73</v>
      </c>
      <c r="B261" s="25" t="s">
        <v>104</v>
      </c>
      <c r="C261" s="39">
        <v>4.6500000000000004</v>
      </c>
      <c r="D261" s="50">
        <v>60.132023760909121</v>
      </c>
      <c r="E261" s="28">
        <v>98.206757720865738</v>
      </c>
      <c r="F261" s="51">
        <v>384.16655855502393</v>
      </c>
      <c r="G261" s="28">
        <v>98.850850134532479</v>
      </c>
      <c r="H261" s="55" t="s">
        <v>27</v>
      </c>
    </row>
    <row r="262" spans="1:8" ht="12.75" customHeight="1" x14ac:dyDescent="0.15">
      <c r="A262" s="126">
        <v>74</v>
      </c>
      <c r="B262" s="25" t="s">
        <v>105</v>
      </c>
      <c r="C262" s="39">
        <v>4.6500000000000004</v>
      </c>
      <c r="D262" s="50">
        <v>59.348811260670658</v>
      </c>
      <c r="E262" s="28">
        <v>98.188905420645725</v>
      </c>
      <c r="F262" s="51">
        <v>379.42740175527047</v>
      </c>
      <c r="G262" s="28">
        <v>98.84793011928943</v>
      </c>
      <c r="H262" s="55" t="s">
        <v>27</v>
      </c>
    </row>
    <row r="263" spans="1:8" ht="12.75" customHeight="1" x14ac:dyDescent="0.15">
      <c r="A263" s="126">
        <v>75</v>
      </c>
      <c r="B263" s="25" t="s">
        <v>106</v>
      </c>
      <c r="C263" s="39">
        <v>4.6500000000000004</v>
      </c>
      <c r="D263" s="50">
        <v>59.979412046187214</v>
      </c>
      <c r="E263" s="28">
        <v>98.254415248580401</v>
      </c>
      <c r="F263" s="51">
        <v>383.7976182889027</v>
      </c>
      <c r="G263" s="28">
        <v>98.858429980005951</v>
      </c>
      <c r="H263" s="55" t="s">
        <v>27</v>
      </c>
    </row>
    <row r="264" spans="1:8" ht="12.75" customHeight="1" x14ac:dyDescent="0.15">
      <c r="A264" s="126">
        <v>76</v>
      </c>
      <c r="B264" s="25" t="s">
        <v>107</v>
      </c>
      <c r="C264" s="39">
        <v>4.6500000000000004</v>
      </c>
      <c r="D264" s="50">
        <v>58.391022198320663</v>
      </c>
      <c r="E264" s="28">
        <v>98.160256494397089</v>
      </c>
      <c r="F264" s="51">
        <v>374.76621288973388</v>
      </c>
      <c r="G264" s="28">
        <v>98.817474153440472</v>
      </c>
      <c r="H264" s="55" t="s">
        <v>27</v>
      </c>
    </row>
    <row r="265" spans="1:8" ht="12.75" customHeight="1" x14ac:dyDescent="0.15">
      <c r="A265" s="126">
        <v>77</v>
      </c>
      <c r="B265" s="25" t="s">
        <v>108</v>
      </c>
      <c r="C265" s="39">
        <v>4.6500000000000004</v>
      </c>
      <c r="D265" s="50">
        <v>58.807311386383006</v>
      </c>
      <c r="E265" s="28">
        <v>98.154291573285917</v>
      </c>
      <c r="F265" s="51">
        <v>376.65899431205673</v>
      </c>
      <c r="G265" s="28">
        <v>98.812618006999983</v>
      </c>
      <c r="H265" s="55" t="s">
        <v>27</v>
      </c>
    </row>
    <row r="266" spans="1:8" ht="12.75" customHeight="1" x14ac:dyDescent="0.15">
      <c r="A266" s="126">
        <v>78</v>
      </c>
      <c r="B266" s="25" t="s">
        <v>109</v>
      </c>
      <c r="C266" s="39">
        <v>4.6533333333333333</v>
      </c>
      <c r="D266" s="50">
        <v>61.39769581707143</v>
      </c>
      <c r="E266" s="28">
        <v>98.167235222834037</v>
      </c>
      <c r="F266" s="51">
        <v>391.75089254285717</v>
      </c>
      <c r="G266" s="28">
        <v>98.803303264077414</v>
      </c>
      <c r="H266" s="55" t="s">
        <v>27</v>
      </c>
    </row>
    <row r="267" spans="1:8" ht="12.75" customHeight="1" x14ac:dyDescent="0.15">
      <c r="A267" s="126">
        <v>79</v>
      </c>
      <c r="B267" s="25" t="s">
        <v>110</v>
      </c>
      <c r="C267" s="39">
        <v>4.6466666666666665</v>
      </c>
      <c r="D267" s="50">
        <v>57.440453871650085</v>
      </c>
      <c r="E267" s="28">
        <v>98.650957055796809</v>
      </c>
      <c r="F267" s="51">
        <v>369.71690097294731</v>
      </c>
      <c r="G267" s="28">
        <v>99.253154745069466</v>
      </c>
      <c r="H267" s="55" t="s">
        <v>27</v>
      </c>
    </row>
    <row r="268" spans="1:8" ht="12.75" customHeight="1" x14ac:dyDescent="0.15">
      <c r="A268" s="126">
        <v>80</v>
      </c>
      <c r="B268" s="25" t="s">
        <v>111</v>
      </c>
      <c r="C268" s="39">
        <v>4.6466666666666665</v>
      </c>
      <c r="D268" s="50">
        <v>56.738615776325759</v>
      </c>
      <c r="E268" s="28">
        <v>98.653161266699982</v>
      </c>
      <c r="F268" s="51">
        <v>365.98027152935612</v>
      </c>
      <c r="G268" s="28">
        <v>99.245705323111252</v>
      </c>
      <c r="H268" s="55" t="s">
        <v>27</v>
      </c>
    </row>
    <row r="269" spans="1:8" ht="12.75" customHeight="1" x14ac:dyDescent="0.15">
      <c r="A269" s="126">
        <v>81</v>
      </c>
      <c r="B269" s="25" t="s">
        <v>112</v>
      </c>
      <c r="C269" s="39">
        <v>4.6500000000000004</v>
      </c>
      <c r="D269" s="50">
        <v>60.031309810371532</v>
      </c>
      <c r="E269" s="28">
        <v>98.528969379242369</v>
      </c>
      <c r="F269" s="51">
        <v>384.65384554798766</v>
      </c>
      <c r="G269" s="28">
        <v>99.227166990646538</v>
      </c>
      <c r="H269" s="55" t="s">
        <v>27</v>
      </c>
    </row>
    <row r="270" spans="1:8" ht="12.75" customHeight="1" x14ac:dyDescent="0.15">
      <c r="A270" s="126">
        <v>82</v>
      </c>
      <c r="B270" s="25" t="s">
        <v>113</v>
      </c>
      <c r="C270" s="39">
        <v>4.6533333333333333</v>
      </c>
      <c r="D270" s="50">
        <v>62.979314774190286</v>
      </c>
      <c r="E270" s="28">
        <v>98.155205836049504</v>
      </c>
      <c r="F270" s="51">
        <v>400.6322409716982</v>
      </c>
      <c r="G270" s="28">
        <v>99.149903692628513</v>
      </c>
      <c r="H270" s="55" t="s">
        <v>27</v>
      </c>
    </row>
    <row r="271" spans="1:8" ht="12.75" customHeight="1" x14ac:dyDescent="0.15">
      <c r="A271" s="126">
        <v>83</v>
      </c>
      <c r="B271" s="25" t="s">
        <v>114</v>
      </c>
      <c r="C271" s="39">
        <v>4.6500000000000004</v>
      </c>
      <c r="D271" s="50">
        <v>59.799484012738418</v>
      </c>
      <c r="E271" s="28">
        <v>98.462896963037892</v>
      </c>
      <c r="F271" s="51">
        <v>382.5838602662829</v>
      </c>
      <c r="G271" s="28">
        <v>99.223433934904321</v>
      </c>
      <c r="H271" s="55" t="s">
        <v>27</v>
      </c>
    </row>
    <row r="272" spans="1:8" ht="12.75" customHeight="1" x14ac:dyDescent="0.15">
      <c r="A272" s="126">
        <v>84</v>
      </c>
      <c r="B272" s="25" t="s">
        <v>115</v>
      </c>
      <c r="C272" s="39">
        <v>4.6500000000000004</v>
      </c>
      <c r="D272" s="50">
        <v>60.080990143977424</v>
      </c>
      <c r="E272" s="28">
        <v>98.488708990923499</v>
      </c>
      <c r="F272" s="51">
        <v>384.6488044040151</v>
      </c>
      <c r="G272" s="28">
        <v>99.2297183119679</v>
      </c>
      <c r="H272" s="55" t="s">
        <v>27</v>
      </c>
    </row>
    <row r="273" spans="1:8" ht="12.75" customHeight="1" x14ac:dyDescent="0.15">
      <c r="A273" s="126">
        <v>85</v>
      </c>
      <c r="B273" s="25" t="s">
        <v>116</v>
      </c>
      <c r="C273" s="39">
        <v>4.6500000000000004</v>
      </c>
      <c r="D273" s="50">
        <v>59.579719599809422</v>
      </c>
      <c r="E273" s="28">
        <v>98.400785619531973</v>
      </c>
      <c r="F273" s="51">
        <v>381.10885775095301</v>
      </c>
      <c r="G273" s="28">
        <v>99.206403695816107</v>
      </c>
      <c r="H273" s="55" t="s">
        <v>27</v>
      </c>
    </row>
    <row r="274" spans="1:8" ht="12.75" customHeight="1" x14ac:dyDescent="0.15">
      <c r="A274" s="126">
        <v>86</v>
      </c>
      <c r="B274" s="25" t="s">
        <v>117</v>
      </c>
      <c r="C274" s="39">
        <v>4.6466666666666665</v>
      </c>
      <c r="D274" s="50">
        <v>58.660169888182494</v>
      </c>
      <c r="E274" s="28">
        <v>98.400792560199278</v>
      </c>
      <c r="F274" s="51">
        <v>376.3831989186333</v>
      </c>
      <c r="G274" s="28">
        <v>99.198503115470089</v>
      </c>
      <c r="H274" s="55" t="s">
        <v>27</v>
      </c>
    </row>
    <row r="275" spans="1:8" ht="12.75" customHeight="1" x14ac:dyDescent="0.15">
      <c r="A275" s="126">
        <v>87</v>
      </c>
      <c r="B275" s="25" t="s">
        <v>2</v>
      </c>
      <c r="C275" s="39">
        <v>4.6466666666666665</v>
      </c>
      <c r="D275" s="50">
        <v>58.797769174159257</v>
      </c>
      <c r="E275" s="28">
        <v>98.38723698000878</v>
      </c>
      <c r="F275" s="51">
        <v>377.14616184070798</v>
      </c>
      <c r="G275" s="28">
        <v>99.19163025932427</v>
      </c>
      <c r="H275" s="55" t="s">
        <v>27</v>
      </c>
    </row>
    <row r="276" spans="1:8" ht="12.75" customHeight="1" x14ac:dyDescent="0.15">
      <c r="A276" s="126">
        <v>88</v>
      </c>
      <c r="B276" s="25" t="s">
        <v>118</v>
      </c>
      <c r="C276" s="39">
        <v>4.6466666666666665</v>
      </c>
      <c r="D276" s="50">
        <v>59.994375533297919</v>
      </c>
      <c r="E276" s="28">
        <v>98.341878753769592</v>
      </c>
      <c r="F276" s="51">
        <v>386.07039069454288</v>
      </c>
      <c r="G276" s="28">
        <v>99.180790698683154</v>
      </c>
      <c r="H276" s="55" t="s">
        <v>27</v>
      </c>
    </row>
    <row r="277" spans="1:8" ht="12.75" customHeight="1" x14ac:dyDescent="0.15">
      <c r="A277" s="126">
        <v>89</v>
      </c>
      <c r="B277" s="25" t="s">
        <v>119</v>
      </c>
      <c r="C277" s="39">
        <v>4.6500000000000004</v>
      </c>
      <c r="D277" s="50">
        <v>61.126993004705206</v>
      </c>
      <c r="E277" s="28">
        <v>98.374983614757397</v>
      </c>
      <c r="F277" s="51">
        <v>391.88920837172986</v>
      </c>
      <c r="G277" s="28">
        <v>99.183962288832362</v>
      </c>
      <c r="H277" s="55" t="s">
        <v>27</v>
      </c>
    </row>
    <row r="278" spans="1:8" ht="12.75" customHeight="1" x14ac:dyDescent="0.15">
      <c r="A278" s="126">
        <v>90</v>
      </c>
      <c r="B278" s="25" t="s">
        <v>120</v>
      </c>
      <c r="C278" s="39">
        <v>4.6500000000000004</v>
      </c>
      <c r="D278" s="50">
        <v>62.176815164923703</v>
      </c>
      <c r="E278" s="28">
        <v>98.397368929938963</v>
      </c>
      <c r="F278" s="51">
        <v>396.58158138888894</v>
      </c>
      <c r="G278" s="28">
        <v>99.185585202280677</v>
      </c>
      <c r="H278" s="55" t="s">
        <v>27</v>
      </c>
    </row>
    <row r="279" spans="1:8" ht="12.75" customHeight="1" x14ac:dyDescent="0.15">
      <c r="A279" s="126">
        <v>91</v>
      </c>
      <c r="B279" s="25" t="s">
        <v>121</v>
      </c>
      <c r="C279" s="39">
        <v>4.6433333333333335</v>
      </c>
      <c r="D279" s="50">
        <v>55.484828354972052</v>
      </c>
      <c r="E279" s="28">
        <v>98.36150028978453</v>
      </c>
      <c r="F279" s="51">
        <v>359.39894932261376</v>
      </c>
      <c r="G279" s="28">
        <v>99.195126145334214</v>
      </c>
      <c r="H279" s="55" t="s">
        <v>27</v>
      </c>
    </row>
    <row r="280" spans="1:8" ht="12.75" customHeight="1" x14ac:dyDescent="0.15">
      <c r="A280" s="126">
        <v>92</v>
      </c>
      <c r="B280" s="25" t="s">
        <v>122</v>
      </c>
      <c r="C280" s="39">
        <v>4.6500000000000004</v>
      </c>
      <c r="D280" s="50">
        <v>60.682131420672214</v>
      </c>
      <c r="E280" s="28">
        <v>98.386399267351393</v>
      </c>
      <c r="F280" s="51">
        <v>389.19894608415473</v>
      </c>
      <c r="G280" s="28">
        <v>99.193549873097382</v>
      </c>
      <c r="H280" s="55" t="s">
        <v>27</v>
      </c>
    </row>
    <row r="281" spans="1:8" ht="12.75" customHeight="1" x14ac:dyDescent="0.15">
      <c r="A281" s="126">
        <v>93</v>
      </c>
      <c r="B281" s="25" t="s">
        <v>123</v>
      </c>
      <c r="C281" s="39">
        <v>4.6500000000000004</v>
      </c>
      <c r="D281" s="50">
        <v>61.040575735409782</v>
      </c>
      <c r="E281" s="28">
        <v>98.416658107321169</v>
      </c>
      <c r="F281" s="51">
        <v>390.65051362734295</v>
      </c>
      <c r="G281" s="28">
        <v>99.203915383327669</v>
      </c>
      <c r="H281" s="55" t="s">
        <v>27</v>
      </c>
    </row>
    <row r="282" spans="1:8" ht="12.75" customHeight="1" x14ac:dyDescent="0.15">
      <c r="A282" s="126">
        <v>94</v>
      </c>
      <c r="B282" s="25" t="s">
        <v>125</v>
      </c>
      <c r="C282" s="39">
        <v>4.66</v>
      </c>
      <c r="D282" s="50">
        <v>68.187503026666704</v>
      </c>
      <c r="E282" s="28">
        <v>98.505299696124467</v>
      </c>
      <c r="F282" s="51">
        <v>429.41541412987016</v>
      </c>
      <c r="G282" s="28">
        <v>99.135945353205415</v>
      </c>
      <c r="H282" s="55" t="s">
        <v>27</v>
      </c>
    </row>
    <row r="283" spans="1:8" ht="12.75" customHeight="1" x14ac:dyDescent="0.15">
      <c r="A283" s="126">
        <v>95</v>
      </c>
      <c r="B283" s="25" t="s">
        <v>126</v>
      </c>
      <c r="C283" s="39">
        <v>4.6566666666666672</v>
      </c>
      <c r="D283" s="50">
        <v>64.91833024007218</v>
      </c>
      <c r="E283" s="28">
        <v>98.253657093358072</v>
      </c>
      <c r="F283" s="51">
        <v>413.01931750902526</v>
      </c>
      <c r="G283" s="28">
        <v>98.945173382705875</v>
      </c>
      <c r="H283" s="55" t="s">
        <v>27</v>
      </c>
    </row>
    <row r="284" spans="1:8" ht="12.75" customHeight="1" x14ac:dyDescent="0.15">
      <c r="A284" s="126">
        <v>96</v>
      </c>
      <c r="B284" s="25" t="s">
        <v>85</v>
      </c>
      <c r="C284" s="39">
        <v>4.5633333333333335</v>
      </c>
      <c r="D284" s="50">
        <v>4.7912273660913218E-2</v>
      </c>
      <c r="E284" s="28">
        <v>22.576549725030439</v>
      </c>
      <c r="F284" s="51">
        <v>9.26616600265604E-2</v>
      </c>
      <c r="G284" s="28">
        <v>29.505406820777317</v>
      </c>
      <c r="H284" s="55" t="s">
        <v>27</v>
      </c>
    </row>
    <row r="285" spans="1:8" ht="12.75" customHeight="1" x14ac:dyDescent="0.15">
      <c r="A285" s="126">
        <v>97</v>
      </c>
      <c r="B285" s="25" t="s">
        <v>85</v>
      </c>
      <c r="C285" s="39">
        <v>4.5633333333333335</v>
      </c>
      <c r="D285" s="50">
        <v>4.2384752959074734E-2</v>
      </c>
      <c r="E285" s="28">
        <v>24.243797852436714</v>
      </c>
      <c r="F285" s="51">
        <v>0.17968670926517583</v>
      </c>
      <c r="G285" s="28">
        <v>45.630488250768117</v>
      </c>
      <c r="H285" s="55" t="s">
        <v>27</v>
      </c>
    </row>
    <row r="286" spans="1:8" ht="12.75" customHeight="1" x14ac:dyDescent="0.15">
      <c r="A286" s="126">
        <v>98</v>
      </c>
      <c r="B286" s="25" t="s">
        <v>85</v>
      </c>
      <c r="C286" s="39">
        <v>4.5633333333333335</v>
      </c>
      <c r="D286" s="50">
        <v>0.15383328163172283</v>
      </c>
      <c r="E286" s="28">
        <v>31.190251126898985</v>
      </c>
      <c r="F286" s="51">
        <v>0.3412964995442116</v>
      </c>
      <c r="G286" s="28">
        <v>31.384558123877287</v>
      </c>
      <c r="H286" s="55" t="s">
        <v>27</v>
      </c>
    </row>
    <row r="287" spans="1:8" ht="12.75" customHeight="1" x14ac:dyDescent="0.15">
      <c r="A287" s="126">
        <v>99</v>
      </c>
      <c r="B287" s="25" t="s">
        <v>85</v>
      </c>
      <c r="C287" s="39">
        <v>4.5633333333333335</v>
      </c>
      <c r="D287" s="50">
        <v>0.4038991018443201</v>
      </c>
      <c r="E287" s="28">
        <v>19.514924062633845</v>
      </c>
      <c r="F287" s="51">
        <v>0.65289510713317056</v>
      </c>
      <c r="G287" s="28">
        <v>20.853759801041665</v>
      </c>
      <c r="H287" s="55" t="s">
        <v>27</v>
      </c>
    </row>
    <row r="288" spans="1:8" ht="12.75" customHeight="1" x14ac:dyDescent="0.15">
      <c r="A288" s="126">
        <v>100</v>
      </c>
      <c r="B288" s="25" t="s">
        <v>127</v>
      </c>
      <c r="C288" s="39">
        <v>4.663333333333334</v>
      </c>
      <c r="D288" s="50">
        <v>72.528602379227749</v>
      </c>
      <c r="E288" s="28">
        <v>98.531154381885358</v>
      </c>
      <c r="F288" s="51">
        <v>455.42179994673774</v>
      </c>
      <c r="G288" s="28">
        <v>99.153002517550192</v>
      </c>
      <c r="H288" s="55" t="s">
        <v>27</v>
      </c>
    </row>
    <row r="289" spans="1:8" ht="12.75" customHeight="1" x14ac:dyDescent="0.15">
      <c r="A289" s="126">
        <v>101</v>
      </c>
      <c r="B289" s="25" t="s">
        <v>90</v>
      </c>
      <c r="C289" s="39">
        <v>4.6566666666666672</v>
      </c>
      <c r="D289" s="50">
        <v>65.189621435077129</v>
      </c>
      <c r="E289" s="28">
        <v>98.547177550687437</v>
      </c>
      <c r="F289" s="51">
        <v>415.82671313883304</v>
      </c>
      <c r="G289" s="28">
        <v>99.18167744544192</v>
      </c>
      <c r="H289" s="55" t="s">
        <v>27</v>
      </c>
    </row>
    <row r="290" spans="1:8" ht="12.75" customHeight="1" x14ac:dyDescent="0.15">
      <c r="A290" s="126">
        <v>102</v>
      </c>
      <c r="B290" s="25" t="s">
        <v>91</v>
      </c>
      <c r="C290" s="39">
        <v>4.6533333333333333</v>
      </c>
      <c r="D290" s="50">
        <v>63.049454443403043</v>
      </c>
      <c r="E290" s="28">
        <v>98.581911547625353</v>
      </c>
      <c r="F290" s="51">
        <v>403.4642089683075</v>
      </c>
      <c r="G290" s="28">
        <v>99.207620102614428</v>
      </c>
      <c r="H290" s="55" t="s">
        <v>27</v>
      </c>
    </row>
    <row r="291" spans="1:8" ht="12.75" customHeight="1" x14ac:dyDescent="0.15">
      <c r="A291" s="126">
        <v>103</v>
      </c>
      <c r="B291" s="25" t="s">
        <v>92</v>
      </c>
      <c r="C291" s="39">
        <v>4.6566666666666672</v>
      </c>
      <c r="D291" s="50">
        <v>64.751162166727894</v>
      </c>
      <c r="E291" s="28">
        <v>98.595824485783865</v>
      </c>
      <c r="F291" s="51">
        <v>412.19209881200248</v>
      </c>
      <c r="G291" s="28">
        <v>99.226164494188964</v>
      </c>
      <c r="H291" s="55" t="s">
        <v>27</v>
      </c>
    </row>
    <row r="292" spans="1:8" ht="12.75" customHeight="1" x14ac:dyDescent="0.15">
      <c r="A292" s="126">
        <v>104</v>
      </c>
      <c r="B292" s="25" t="s">
        <v>93</v>
      </c>
      <c r="C292" s="39">
        <v>4.6533333333333333</v>
      </c>
      <c r="D292" s="50">
        <v>62.68294141354761</v>
      </c>
      <c r="E292" s="28">
        <v>98.572906548578459</v>
      </c>
      <c r="F292" s="51">
        <v>400.90350909262764</v>
      </c>
      <c r="G292" s="28">
        <v>99.206910527358914</v>
      </c>
      <c r="H292" s="55" t="s">
        <v>27</v>
      </c>
    </row>
    <row r="293" spans="1:8" ht="12.75" customHeight="1" x14ac:dyDescent="0.15">
      <c r="A293" s="126">
        <v>105</v>
      </c>
      <c r="B293" s="25" t="s">
        <v>94</v>
      </c>
      <c r="C293" s="39">
        <v>4.6533333333333333</v>
      </c>
      <c r="D293" s="50">
        <v>63.563630264790291</v>
      </c>
      <c r="E293" s="28">
        <v>98.58125728916383</v>
      </c>
      <c r="F293" s="51">
        <v>404.96952601444917</v>
      </c>
      <c r="G293" s="28">
        <v>99.212956247421587</v>
      </c>
      <c r="H293" s="55" t="s">
        <v>27</v>
      </c>
    </row>
    <row r="294" spans="1:8" ht="12.75" customHeight="1" x14ac:dyDescent="0.15">
      <c r="A294" s="126">
        <v>106</v>
      </c>
      <c r="B294" s="25" t="s">
        <v>95</v>
      </c>
      <c r="C294" s="39">
        <v>4.6533333333333333</v>
      </c>
      <c r="D294" s="50">
        <v>61.808598238098114</v>
      </c>
      <c r="E294" s="28">
        <v>98.605636192483459</v>
      </c>
      <c r="F294" s="51">
        <v>395.08900111789865</v>
      </c>
      <c r="G294" s="28">
        <v>99.224690835598238</v>
      </c>
      <c r="H294" s="55" t="s">
        <v>27</v>
      </c>
    </row>
    <row r="295" spans="1:8" ht="12.75" customHeight="1" x14ac:dyDescent="0.15">
      <c r="A295" s="126">
        <v>107</v>
      </c>
      <c r="B295" s="25" t="s">
        <v>96</v>
      </c>
      <c r="C295" s="39">
        <v>4.6533333333333333</v>
      </c>
      <c r="D295" s="50">
        <v>62.479177663466629</v>
      </c>
      <c r="E295" s="28">
        <v>98.610520749517022</v>
      </c>
      <c r="F295" s="51">
        <v>398.88922126666671</v>
      </c>
      <c r="G295" s="28">
        <v>99.222509272057792</v>
      </c>
      <c r="H295" s="55" t="s">
        <v>27</v>
      </c>
    </row>
    <row r="296" spans="1:8" ht="12.75" customHeight="1" x14ac:dyDescent="0.15">
      <c r="A296" s="126">
        <v>108</v>
      </c>
      <c r="B296" s="25" t="s">
        <v>97</v>
      </c>
      <c r="C296" s="39">
        <v>4.6500000000000004</v>
      </c>
      <c r="D296" s="50">
        <v>61.138778907283374</v>
      </c>
      <c r="E296" s="28">
        <v>98.604847708293519</v>
      </c>
      <c r="F296" s="51">
        <v>391.24708883289128</v>
      </c>
      <c r="G296" s="28">
        <v>99.220938950453842</v>
      </c>
      <c r="H296" s="55" t="s">
        <v>27</v>
      </c>
    </row>
    <row r="297" spans="1:8" ht="12.75" customHeight="1" x14ac:dyDescent="0.15">
      <c r="A297" s="126">
        <v>109</v>
      </c>
      <c r="B297" s="25" t="s">
        <v>98</v>
      </c>
      <c r="C297" s="39">
        <v>4.6533333333333333</v>
      </c>
      <c r="D297" s="50">
        <v>62.069148476412423</v>
      </c>
      <c r="E297" s="28">
        <v>98.617066703793043</v>
      </c>
      <c r="F297" s="51">
        <v>397.0264169249395</v>
      </c>
      <c r="G297" s="28">
        <v>99.221979885214878</v>
      </c>
      <c r="H297" s="55" t="s">
        <v>27</v>
      </c>
    </row>
    <row r="298" spans="1:8" ht="12.75" customHeight="1" x14ac:dyDescent="0.15">
      <c r="A298" s="126">
        <v>110</v>
      </c>
      <c r="B298" s="25" t="s">
        <v>99</v>
      </c>
      <c r="C298" s="39">
        <v>4.6533333333333333</v>
      </c>
      <c r="D298" s="50">
        <v>62.328627549857508</v>
      </c>
      <c r="E298" s="28">
        <v>98.593030732216846</v>
      </c>
      <c r="F298" s="51">
        <v>398.0140510140501</v>
      </c>
      <c r="G298" s="28">
        <v>99.218888219634366</v>
      </c>
      <c r="H298" s="55" t="s">
        <v>27</v>
      </c>
    </row>
    <row r="299" spans="1:8" ht="12.75" customHeight="1" x14ac:dyDescent="0.15">
      <c r="A299" s="126">
        <v>111</v>
      </c>
      <c r="B299" s="25" t="s">
        <v>100</v>
      </c>
      <c r="C299" s="39">
        <v>4.6533333333333333</v>
      </c>
      <c r="D299" s="50">
        <v>63.186515348977927</v>
      </c>
      <c r="E299" s="28">
        <v>98.617341911111197</v>
      </c>
      <c r="F299" s="51">
        <v>402.69428762202756</v>
      </c>
      <c r="G299" s="28">
        <v>99.220592542038105</v>
      </c>
      <c r="H299" s="55" t="s">
        <v>27</v>
      </c>
    </row>
    <row r="300" spans="1:8" ht="12.75" customHeight="1" x14ac:dyDescent="0.15">
      <c r="A300" s="126">
        <v>112</v>
      </c>
      <c r="B300" s="25" t="s">
        <v>101</v>
      </c>
      <c r="C300" s="39">
        <v>4.6466666666666665</v>
      </c>
      <c r="D300" s="50">
        <v>58.798614919514108</v>
      </c>
      <c r="E300" s="28">
        <v>98.724174210219601</v>
      </c>
      <c r="F300" s="51">
        <v>377.60268387096778</v>
      </c>
      <c r="G300" s="28">
        <v>99.386716871658365</v>
      </c>
      <c r="H300" s="55" t="s">
        <v>27</v>
      </c>
    </row>
    <row r="301" spans="1:8" ht="12.75" customHeight="1" x14ac:dyDescent="0.15">
      <c r="A301" s="126">
        <v>113</v>
      </c>
      <c r="B301" s="25" t="s">
        <v>102</v>
      </c>
      <c r="C301" s="39">
        <v>4.6466666666666665</v>
      </c>
      <c r="D301" s="50">
        <v>59.009617148523198</v>
      </c>
      <c r="E301" s="28">
        <v>98.838197849895309</v>
      </c>
      <c r="F301" s="51">
        <v>378.43736797468358</v>
      </c>
      <c r="G301" s="28">
        <v>99.466123782791286</v>
      </c>
      <c r="H301" s="55" t="s">
        <v>27</v>
      </c>
    </row>
    <row r="302" spans="1:8" ht="12.75" customHeight="1" x14ac:dyDescent="0.15">
      <c r="A302" s="126">
        <v>114</v>
      </c>
      <c r="B302" s="25" t="s">
        <v>103</v>
      </c>
      <c r="C302" s="39">
        <v>4.6466666666666665</v>
      </c>
      <c r="D302" s="50">
        <v>57.328802262839211</v>
      </c>
      <c r="E302" s="28">
        <v>98.66399074235899</v>
      </c>
      <c r="F302" s="51">
        <v>368.91678829890645</v>
      </c>
      <c r="G302" s="28">
        <v>99.330557967146206</v>
      </c>
      <c r="H302" s="55" t="s">
        <v>27</v>
      </c>
    </row>
    <row r="303" spans="1:8" ht="12.75" customHeight="1" x14ac:dyDescent="0.15">
      <c r="A303" s="126">
        <v>115</v>
      </c>
      <c r="B303" s="25" t="s">
        <v>104</v>
      </c>
      <c r="C303" s="39">
        <v>4.6500000000000004</v>
      </c>
      <c r="D303" s="50">
        <v>59.90720697599388</v>
      </c>
      <c r="E303" s="28">
        <v>98.92067262423538</v>
      </c>
      <c r="F303" s="51">
        <v>383.72180963302753</v>
      </c>
      <c r="G303" s="28">
        <v>99.516699248744558</v>
      </c>
      <c r="H303" s="55" t="s">
        <v>27</v>
      </c>
    </row>
    <row r="304" spans="1:8" ht="12.75" customHeight="1" x14ac:dyDescent="0.15">
      <c r="A304" s="126">
        <v>116</v>
      </c>
      <c r="B304" s="25" t="s">
        <v>105</v>
      </c>
      <c r="C304" s="39">
        <v>4.6466666666666665</v>
      </c>
      <c r="D304" s="50">
        <v>58.248754310844475</v>
      </c>
      <c r="E304" s="28">
        <v>98.826114509139984</v>
      </c>
      <c r="F304" s="51">
        <v>374.85248496354802</v>
      </c>
      <c r="G304" s="28">
        <v>99.429065757168573</v>
      </c>
      <c r="H304" s="55" t="s">
        <v>27</v>
      </c>
    </row>
    <row r="305" spans="1:8" ht="12.75" customHeight="1" x14ac:dyDescent="0.15">
      <c r="A305" s="126">
        <v>117</v>
      </c>
      <c r="B305" s="25" t="s">
        <v>106</v>
      </c>
      <c r="C305" s="39">
        <v>4.6500000000000004</v>
      </c>
      <c r="D305" s="50">
        <v>61.378396839106351</v>
      </c>
      <c r="E305" s="28">
        <v>99.032566345237299</v>
      </c>
      <c r="F305" s="51">
        <v>390.90532866881625</v>
      </c>
      <c r="G305" s="28">
        <v>99.571825972377525</v>
      </c>
      <c r="H305" s="55" t="s">
        <v>27</v>
      </c>
    </row>
    <row r="306" spans="1:8" ht="12.75" customHeight="1" x14ac:dyDescent="0.15">
      <c r="A306" s="126">
        <v>118</v>
      </c>
      <c r="B306" s="25" t="s">
        <v>107</v>
      </c>
      <c r="C306" s="39">
        <v>4.6466666666666665</v>
      </c>
      <c r="D306" s="50">
        <v>59.428621547056991</v>
      </c>
      <c r="E306" s="28">
        <v>98.996122353809156</v>
      </c>
      <c r="F306" s="51">
        <v>380.56869750228731</v>
      </c>
      <c r="G306" s="28">
        <v>99.580091441430284</v>
      </c>
      <c r="H306" s="55" t="s">
        <v>27</v>
      </c>
    </row>
    <row r="307" spans="1:8" ht="12.75" customHeight="1" x14ac:dyDescent="0.15">
      <c r="A307" s="126">
        <v>119</v>
      </c>
      <c r="B307" s="25" t="s">
        <v>108</v>
      </c>
      <c r="C307" s="39">
        <v>4.6500000000000004</v>
      </c>
      <c r="D307" s="50">
        <v>59.93522948004108</v>
      </c>
      <c r="E307" s="28">
        <v>99.033648357217871</v>
      </c>
      <c r="F307" s="51">
        <v>383.20503693538467</v>
      </c>
      <c r="G307" s="28">
        <v>99.576094885435481</v>
      </c>
      <c r="H307" s="55" t="s">
        <v>27</v>
      </c>
    </row>
    <row r="308" spans="1:8" ht="12.75" customHeight="1" x14ac:dyDescent="0.15">
      <c r="A308" s="126">
        <v>120</v>
      </c>
      <c r="B308" s="25" t="s">
        <v>109</v>
      </c>
      <c r="C308" s="39">
        <v>4.6466666666666665</v>
      </c>
      <c r="D308" s="50">
        <v>59.554015054556189</v>
      </c>
      <c r="E308" s="28">
        <v>99.017449262296736</v>
      </c>
      <c r="F308" s="51">
        <v>380.98249176366846</v>
      </c>
      <c r="G308" s="28">
        <v>99.573593285852269</v>
      </c>
      <c r="H308" s="55" t="s">
        <v>27</v>
      </c>
    </row>
    <row r="309" spans="1:8" ht="12.75" customHeight="1" x14ac:dyDescent="0.15">
      <c r="A309" s="126">
        <v>121</v>
      </c>
      <c r="B309" s="25" t="s">
        <v>110</v>
      </c>
      <c r="C309" s="39">
        <v>4.6533333333333333</v>
      </c>
      <c r="D309" s="50">
        <v>63.662097994377888</v>
      </c>
      <c r="E309" s="28">
        <v>98.639946964783576</v>
      </c>
      <c r="F309" s="51">
        <v>404.76979125806452</v>
      </c>
      <c r="G309" s="28">
        <v>99.239001950920468</v>
      </c>
      <c r="H309" s="55" t="s">
        <v>27</v>
      </c>
    </row>
    <row r="310" spans="1:8" ht="12.75" customHeight="1" x14ac:dyDescent="0.15">
      <c r="A310" s="126">
        <v>122</v>
      </c>
      <c r="B310" s="25" t="s">
        <v>111</v>
      </c>
      <c r="C310" s="39">
        <v>4.6566666666666672</v>
      </c>
      <c r="D310" s="50">
        <v>64.808927823086563</v>
      </c>
      <c r="E310" s="28">
        <v>98.673152635412606</v>
      </c>
      <c r="F310" s="51">
        <v>410.54231526976162</v>
      </c>
      <c r="G310" s="28">
        <v>99.247542365999848</v>
      </c>
      <c r="H310" s="55" t="s">
        <v>27</v>
      </c>
    </row>
    <row r="311" spans="1:8" ht="12.75" customHeight="1" x14ac:dyDescent="0.15">
      <c r="A311" s="126">
        <v>123</v>
      </c>
      <c r="B311" s="25" t="s">
        <v>112</v>
      </c>
      <c r="C311" s="39">
        <v>4.6533333333333333</v>
      </c>
      <c r="D311" s="50">
        <v>63.177905111294947</v>
      </c>
      <c r="E311" s="28">
        <v>98.663108157134815</v>
      </c>
      <c r="F311" s="51">
        <v>403.14540579856117</v>
      </c>
      <c r="G311" s="28">
        <v>99.245372137154064</v>
      </c>
      <c r="H311" s="55" t="s">
        <v>27</v>
      </c>
    </row>
    <row r="312" spans="1:8" ht="12.75" customHeight="1" x14ac:dyDescent="0.15">
      <c r="A312" s="126">
        <v>124</v>
      </c>
      <c r="B312" s="25" t="s">
        <v>113</v>
      </c>
      <c r="C312" s="39">
        <v>4.6466666666666665</v>
      </c>
      <c r="D312" s="50">
        <v>57.515285421219353</v>
      </c>
      <c r="E312" s="28">
        <v>98.432808662449332</v>
      </c>
      <c r="F312" s="51">
        <v>370.49157722515611</v>
      </c>
      <c r="G312" s="28">
        <v>99.172346481139229</v>
      </c>
      <c r="H312" s="55" t="s">
        <v>27</v>
      </c>
    </row>
    <row r="313" spans="1:8" ht="12.75" customHeight="1" x14ac:dyDescent="0.15">
      <c r="A313" s="126">
        <v>125</v>
      </c>
      <c r="B313" s="25" t="s">
        <v>114</v>
      </c>
      <c r="C313" s="39">
        <v>4.6433333333333335</v>
      </c>
      <c r="D313" s="50">
        <v>56.531876479473389</v>
      </c>
      <c r="E313" s="28">
        <v>98.399065925824431</v>
      </c>
      <c r="F313" s="51">
        <v>364.79615925558318</v>
      </c>
      <c r="G313" s="28">
        <v>99.193023152910953</v>
      </c>
      <c r="H313" s="55" t="s">
        <v>27</v>
      </c>
    </row>
    <row r="314" spans="1:8" ht="12.75" customHeight="1" x14ac:dyDescent="0.15">
      <c r="A314" s="126">
        <v>126</v>
      </c>
      <c r="B314" s="25" t="s">
        <v>115</v>
      </c>
      <c r="C314" s="39">
        <v>4.6366666666666667</v>
      </c>
      <c r="D314" s="50">
        <v>52.028434852631598</v>
      </c>
      <c r="E314" s="28">
        <v>98.351784557493701</v>
      </c>
      <c r="F314" s="51">
        <v>338.77217368760614</v>
      </c>
      <c r="G314" s="28">
        <v>99.19911783207651</v>
      </c>
      <c r="H314" s="55" t="s">
        <v>27</v>
      </c>
    </row>
    <row r="315" spans="1:8" ht="12.75" customHeight="1" x14ac:dyDescent="0.15">
      <c r="A315" s="126">
        <v>127</v>
      </c>
      <c r="B315" s="25" t="s">
        <v>116</v>
      </c>
      <c r="C315" s="39">
        <v>4.6400000000000006</v>
      </c>
      <c r="D315" s="50">
        <v>55.180376519706869</v>
      </c>
      <c r="E315" s="28">
        <v>98.32088581284674</v>
      </c>
      <c r="F315" s="51">
        <v>357.22298086707565</v>
      </c>
      <c r="G315" s="28">
        <v>99.164272882424498</v>
      </c>
      <c r="H315" s="55" t="s">
        <v>27</v>
      </c>
    </row>
    <row r="316" spans="1:8" ht="12.75" customHeight="1" x14ac:dyDescent="0.15">
      <c r="A316" s="126">
        <v>128</v>
      </c>
      <c r="B316" s="25" t="s">
        <v>117</v>
      </c>
      <c r="C316" s="39">
        <v>4.6433333333333335</v>
      </c>
      <c r="D316" s="50">
        <v>57.321218836632454</v>
      </c>
      <c r="E316" s="28">
        <v>98.348279012757786</v>
      </c>
      <c r="F316" s="51">
        <v>368.78190360337248</v>
      </c>
      <c r="G316" s="28">
        <v>99.164271473883531</v>
      </c>
      <c r="H316" s="55" t="s">
        <v>27</v>
      </c>
    </row>
    <row r="317" spans="1:8" ht="12.75" customHeight="1" x14ac:dyDescent="0.15">
      <c r="A317" s="126">
        <v>129</v>
      </c>
      <c r="B317" s="25" t="s">
        <v>2</v>
      </c>
      <c r="C317" s="39">
        <v>4.63</v>
      </c>
      <c r="D317" s="50">
        <v>47.724144799753816</v>
      </c>
      <c r="E317" s="28">
        <v>98.329880440179437</v>
      </c>
      <c r="F317" s="51">
        <v>312.51163887001479</v>
      </c>
      <c r="G317" s="28">
        <v>99.191146328999167</v>
      </c>
      <c r="H317" s="55" t="s">
        <v>27</v>
      </c>
    </row>
    <row r="318" spans="1:8" ht="12.75" customHeight="1" x14ac:dyDescent="0.15">
      <c r="A318" s="126">
        <v>130</v>
      </c>
      <c r="B318" s="25" t="s">
        <v>118</v>
      </c>
      <c r="C318" s="39">
        <v>4.6366666666666667</v>
      </c>
      <c r="D318" s="50">
        <v>51.717306669682266</v>
      </c>
      <c r="E318" s="28">
        <v>98.331225209283289</v>
      </c>
      <c r="F318" s="51">
        <v>336.78936542412453</v>
      </c>
      <c r="G318" s="28">
        <v>99.190809644688841</v>
      </c>
      <c r="H318" s="55" t="s">
        <v>27</v>
      </c>
    </row>
    <row r="319" spans="1:8" ht="12.75" customHeight="1" x14ac:dyDescent="0.15">
      <c r="A319" s="126">
        <v>131</v>
      </c>
      <c r="B319" s="25" t="s">
        <v>119</v>
      </c>
      <c r="C319" s="39">
        <v>4.63</v>
      </c>
      <c r="D319" s="50">
        <v>47.821912068194067</v>
      </c>
      <c r="E319" s="28">
        <v>98.314217005504148</v>
      </c>
      <c r="F319" s="51">
        <v>313.94161385059687</v>
      </c>
      <c r="G319" s="28">
        <v>99.186244568490991</v>
      </c>
      <c r="H319" s="55" t="s">
        <v>27</v>
      </c>
    </row>
    <row r="320" spans="1:8" ht="12.75" customHeight="1" x14ac:dyDescent="0.15">
      <c r="A320" s="126">
        <v>132</v>
      </c>
      <c r="B320" s="25" t="s">
        <v>120</v>
      </c>
      <c r="C320" s="39">
        <v>4.6433333333333335</v>
      </c>
      <c r="D320" s="50">
        <v>56.152897415161078</v>
      </c>
      <c r="E320" s="28">
        <v>98.357451035730534</v>
      </c>
      <c r="F320" s="51">
        <v>363.45066936370779</v>
      </c>
      <c r="G320" s="28">
        <v>99.180637167190696</v>
      </c>
      <c r="H320" s="55" t="s">
        <v>27</v>
      </c>
    </row>
    <row r="321" spans="1:8" ht="12.75" customHeight="1" x14ac:dyDescent="0.15">
      <c r="A321" s="126">
        <v>133</v>
      </c>
      <c r="B321" s="25" t="s">
        <v>121</v>
      </c>
      <c r="C321" s="39">
        <v>4.6500000000000004</v>
      </c>
      <c r="D321" s="50">
        <v>61.928488706995253</v>
      </c>
      <c r="E321" s="28">
        <v>98.758162463969143</v>
      </c>
      <c r="F321" s="51">
        <v>395.46982939507097</v>
      </c>
      <c r="G321" s="28">
        <v>99.429800036474631</v>
      </c>
      <c r="H321" s="55" t="s">
        <v>27</v>
      </c>
    </row>
    <row r="322" spans="1:8" ht="12.75" customHeight="1" x14ac:dyDescent="0.15">
      <c r="A322" s="126">
        <v>134</v>
      </c>
      <c r="B322" s="25" t="s">
        <v>122</v>
      </c>
      <c r="C322" s="39">
        <v>4.6533333333333333</v>
      </c>
      <c r="D322" s="50">
        <v>61.817186380277789</v>
      </c>
      <c r="E322" s="28">
        <v>98.884494774348084</v>
      </c>
      <c r="F322" s="51">
        <v>394.56526152777781</v>
      </c>
      <c r="G322" s="28">
        <v>99.502312021498312</v>
      </c>
      <c r="H322" s="55" t="s">
        <v>27</v>
      </c>
    </row>
    <row r="323" spans="1:8" ht="12.75" customHeight="1" x14ac:dyDescent="0.15">
      <c r="A323" s="126">
        <v>135</v>
      </c>
      <c r="B323" s="25" t="s">
        <v>123</v>
      </c>
      <c r="C323" s="39">
        <v>4.6500000000000004</v>
      </c>
      <c r="D323" s="50">
        <v>61.506300755140082</v>
      </c>
      <c r="E323" s="28">
        <v>98.766419546133861</v>
      </c>
      <c r="F323" s="51">
        <v>393.17061463675219</v>
      </c>
      <c r="G323" s="28">
        <v>99.440041286535148</v>
      </c>
      <c r="H323" s="55" t="s">
        <v>27</v>
      </c>
    </row>
    <row r="324" spans="1:8" ht="12.75" customHeight="1" x14ac:dyDescent="0.15">
      <c r="A324" s="126">
        <v>136</v>
      </c>
      <c r="B324" s="25" t="s">
        <v>128</v>
      </c>
      <c r="C324" s="39">
        <v>4.6500000000000004</v>
      </c>
      <c r="D324" s="50">
        <v>62.452611142238979</v>
      </c>
      <c r="E324" s="28">
        <v>98.639844362655992</v>
      </c>
      <c r="F324" s="51">
        <v>398.38980072802201</v>
      </c>
      <c r="G324" s="28">
        <v>99.250860079723537</v>
      </c>
      <c r="H324" s="55" t="s">
        <v>27</v>
      </c>
    </row>
    <row r="325" spans="1:8" ht="12.75" customHeight="1" x14ac:dyDescent="0.15">
      <c r="A325" s="126">
        <v>137</v>
      </c>
      <c r="B325" s="25" t="s">
        <v>90</v>
      </c>
      <c r="C325" s="39">
        <v>4.6533333333333333</v>
      </c>
      <c r="D325" s="50">
        <v>63.212295928689542</v>
      </c>
      <c r="E325" s="28">
        <v>98.673345836898307</v>
      </c>
      <c r="F325" s="51">
        <v>402.38975263358782</v>
      </c>
      <c r="G325" s="28">
        <v>99.259545897491094</v>
      </c>
      <c r="H325" s="55" t="s">
        <v>27</v>
      </c>
    </row>
    <row r="326" spans="1:8" ht="12.75" customHeight="1" x14ac:dyDescent="0.15">
      <c r="A326" s="126">
        <v>138</v>
      </c>
      <c r="B326" s="25" t="s">
        <v>91</v>
      </c>
      <c r="C326" s="39">
        <v>4.6533333333333333</v>
      </c>
      <c r="D326" s="50">
        <v>63.296025119791629</v>
      </c>
      <c r="E326" s="28">
        <v>98.675003503559338</v>
      </c>
      <c r="F326" s="51">
        <v>402.87652856060606</v>
      </c>
      <c r="G326" s="28">
        <v>99.258583590748614</v>
      </c>
      <c r="H326" s="55" t="s">
        <v>27</v>
      </c>
    </row>
    <row r="327" spans="1:8" ht="12.75" customHeight="1" x14ac:dyDescent="0.15">
      <c r="A327" s="126">
        <v>139</v>
      </c>
      <c r="B327" s="25" t="s">
        <v>92</v>
      </c>
      <c r="C327" s="39">
        <v>4.6500000000000004</v>
      </c>
      <c r="D327" s="50">
        <v>62.536778717597343</v>
      </c>
      <c r="E327" s="28">
        <v>98.722400611318804</v>
      </c>
      <c r="F327" s="51">
        <v>398.32390817073173</v>
      </c>
      <c r="G327" s="28">
        <v>99.268033069543137</v>
      </c>
      <c r="H327" s="55" t="s">
        <v>27</v>
      </c>
    </row>
    <row r="328" spans="1:8" ht="12.75" customHeight="1" x14ac:dyDescent="0.15">
      <c r="A328" s="126">
        <v>140</v>
      </c>
      <c r="B328" s="25" t="s">
        <v>93</v>
      </c>
      <c r="C328" s="39">
        <v>4.6500000000000004</v>
      </c>
      <c r="D328" s="50">
        <v>62.533235392600837</v>
      </c>
      <c r="E328" s="28">
        <v>98.725328671271697</v>
      </c>
      <c r="F328" s="51">
        <v>398.36175794806843</v>
      </c>
      <c r="G328" s="28">
        <v>99.273808779334743</v>
      </c>
      <c r="H328" s="55" t="s">
        <v>27</v>
      </c>
    </row>
    <row r="329" spans="1:8" ht="12.75" customHeight="1" x14ac:dyDescent="0.15">
      <c r="A329" s="126">
        <v>141</v>
      </c>
      <c r="B329" s="25" t="s">
        <v>94</v>
      </c>
      <c r="C329" s="39">
        <v>4.6533333333333333</v>
      </c>
      <c r="D329" s="50">
        <v>63.703504317346187</v>
      </c>
      <c r="E329" s="28">
        <v>98.688798993562628</v>
      </c>
      <c r="F329" s="51">
        <v>405.21053820143891</v>
      </c>
      <c r="G329" s="28">
        <v>99.260651094076763</v>
      </c>
      <c r="H329" s="55" t="s">
        <v>27</v>
      </c>
    </row>
    <row r="330" spans="1:8" ht="12.75" customHeight="1" x14ac:dyDescent="0.15">
      <c r="A330" s="126">
        <v>142</v>
      </c>
      <c r="B330" s="25" t="s">
        <v>95</v>
      </c>
      <c r="C330" s="39">
        <v>4.6533333333333333</v>
      </c>
      <c r="D330" s="50">
        <v>62.918978902955701</v>
      </c>
      <c r="E330" s="28">
        <v>98.699748206935524</v>
      </c>
      <c r="F330" s="51">
        <v>401.24018604684517</v>
      </c>
      <c r="G330" s="28">
        <v>99.263794294094154</v>
      </c>
      <c r="H330" s="55" t="s">
        <v>27</v>
      </c>
    </row>
    <row r="331" spans="1:8" ht="12.75" customHeight="1" x14ac:dyDescent="0.15">
      <c r="A331" s="126">
        <v>143</v>
      </c>
      <c r="B331" s="25" t="s">
        <v>96</v>
      </c>
      <c r="C331" s="39">
        <v>4.6533333333333333</v>
      </c>
      <c r="D331" s="50">
        <v>63.33073680691038</v>
      </c>
      <c r="E331" s="28">
        <v>98.687002303857412</v>
      </c>
      <c r="F331" s="51">
        <v>403.40099541416015</v>
      </c>
      <c r="G331" s="28">
        <v>99.247231767112424</v>
      </c>
      <c r="H331" s="55" t="s">
        <v>27</v>
      </c>
    </row>
    <row r="332" spans="1:8" ht="12.75" customHeight="1" x14ac:dyDescent="0.15">
      <c r="A332" s="126">
        <v>144</v>
      </c>
      <c r="B332" s="25" t="s">
        <v>97</v>
      </c>
      <c r="C332" s="39">
        <v>4.6533333333333333</v>
      </c>
      <c r="D332" s="50">
        <v>64.228154255088214</v>
      </c>
      <c r="E332" s="28">
        <v>98.687127990437943</v>
      </c>
      <c r="F332" s="51">
        <v>407.60431371455581</v>
      </c>
      <c r="G332" s="28">
        <v>99.261108795156716</v>
      </c>
      <c r="H332" s="55" t="s">
        <v>27</v>
      </c>
    </row>
    <row r="333" spans="1:8" ht="12.75" customHeight="1" x14ac:dyDescent="0.15">
      <c r="A333" s="126">
        <v>145</v>
      </c>
      <c r="B333" s="25" t="s">
        <v>98</v>
      </c>
      <c r="C333" s="39">
        <v>4.6500000000000004</v>
      </c>
      <c r="D333" s="50">
        <v>60.725100620701795</v>
      </c>
      <c r="E333" s="28">
        <v>98.728188542712701</v>
      </c>
      <c r="F333" s="51">
        <v>387.88586063157896</v>
      </c>
      <c r="G333" s="28">
        <v>99.356906603469071</v>
      </c>
      <c r="H333" s="55" t="s">
        <v>27</v>
      </c>
    </row>
    <row r="334" spans="1:8" ht="12.75" customHeight="1" x14ac:dyDescent="0.15">
      <c r="A334" s="126">
        <v>146</v>
      </c>
      <c r="B334" s="25" t="s">
        <v>99</v>
      </c>
      <c r="C334" s="39">
        <v>4.6466666666666665</v>
      </c>
      <c r="D334" s="50">
        <v>58.665275300961554</v>
      </c>
      <c r="E334" s="28">
        <v>98.713457746835388</v>
      </c>
      <c r="F334" s="51">
        <v>376.60977668498168</v>
      </c>
      <c r="G334" s="28">
        <v>99.353720438706958</v>
      </c>
      <c r="H334" s="55" t="s">
        <v>27</v>
      </c>
    </row>
    <row r="335" spans="1:8" ht="12.75" customHeight="1" x14ac:dyDescent="0.15">
      <c r="A335" s="126">
        <v>147</v>
      </c>
      <c r="B335" s="25" t="s">
        <v>100</v>
      </c>
      <c r="C335" s="39">
        <v>4.6466666666666665</v>
      </c>
      <c r="D335" s="50">
        <v>59.136328261652118</v>
      </c>
      <c r="E335" s="28">
        <v>98.720331635925263</v>
      </c>
      <c r="F335" s="51">
        <v>379.47558374711588</v>
      </c>
      <c r="G335" s="28">
        <v>99.353972181570015</v>
      </c>
      <c r="H335" s="55" t="s">
        <v>27</v>
      </c>
    </row>
    <row r="336" spans="1:8" ht="12.75" customHeight="1" x14ac:dyDescent="0.15">
      <c r="A336" s="126">
        <v>148</v>
      </c>
      <c r="B336" s="25" t="s">
        <v>101</v>
      </c>
      <c r="C336" s="39">
        <v>4.6466666666666665</v>
      </c>
      <c r="D336" s="50">
        <v>58.987308156064685</v>
      </c>
      <c r="E336" s="28">
        <v>98.668282230812096</v>
      </c>
      <c r="F336" s="51">
        <v>378.27250366576823</v>
      </c>
      <c r="G336" s="28">
        <v>99.29134302916296</v>
      </c>
      <c r="H336" s="55" t="s">
        <v>27</v>
      </c>
    </row>
    <row r="337" spans="1:8" ht="12.75" customHeight="1" x14ac:dyDescent="0.15">
      <c r="A337" s="126">
        <v>149</v>
      </c>
      <c r="B337" s="25" t="s">
        <v>102</v>
      </c>
      <c r="C337" s="39">
        <v>4.6466666666666665</v>
      </c>
      <c r="D337" s="50">
        <v>58.307825072524381</v>
      </c>
      <c r="E337" s="28">
        <v>98.704930378751854</v>
      </c>
      <c r="F337" s="51">
        <v>372.80725451882847</v>
      </c>
      <c r="G337" s="28">
        <v>99.355254228670319</v>
      </c>
      <c r="H337" s="55" t="s">
        <v>27</v>
      </c>
    </row>
    <row r="338" spans="1:8" ht="12.75" customHeight="1" x14ac:dyDescent="0.15">
      <c r="A338" s="126">
        <v>150</v>
      </c>
      <c r="B338" s="25" t="s">
        <v>103</v>
      </c>
      <c r="C338" s="39">
        <v>4.6466666666666665</v>
      </c>
      <c r="D338" s="50">
        <v>59.194365860993422</v>
      </c>
      <c r="E338" s="28">
        <v>98.691109776070903</v>
      </c>
      <c r="F338" s="51">
        <v>379.81526341906203</v>
      </c>
      <c r="G338" s="28">
        <v>99.32466436091309</v>
      </c>
      <c r="H338" s="55" t="s">
        <v>27</v>
      </c>
    </row>
    <row r="339" spans="1:8" ht="12.75" customHeight="1" x14ac:dyDescent="0.15">
      <c r="A339" s="126">
        <v>151</v>
      </c>
      <c r="B339" s="25" t="s">
        <v>104</v>
      </c>
      <c r="C339" s="39">
        <v>4.6466666666666665</v>
      </c>
      <c r="D339" s="50">
        <v>57.588613228815397</v>
      </c>
      <c r="E339" s="28">
        <v>98.84836469643723</v>
      </c>
      <c r="F339" s="51">
        <v>370.44928680484401</v>
      </c>
      <c r="G339" s="28">
        <v>99.47485368628827</v>
      </c>
      <c r="H339" s="55" t="s">
        <v>27</v>
      </c>
    </row>
    <row r="340" spans="1:8" ht="12.75" customHeight="1" x14ac:dyDescent="0.15">
      <c r="A340" s="126">
        <v>152</v>
      </c>
      <c r="B340" s="25" t="s">
        <v>105</v>
      </c>
      <c r="C340" s="39">
        <v>4.6466666666666665</v>
      </c>
      <c r="D340" s="50">
        <v>59.496575072296039</v>
      </c>
      <c r="E340" s="28">
        <v>98.948206726213542</v>
      </c>
      <c r="F340" s="51">
        <v>379.02517032258066</v>
      </c>
      <c r="G340" s="28">
        <v>99.582634743444189</v>
      </c>
      <c r="H340" s="55" t="s">
        <v>27</v>
      </c>
    </row>
    <row r="341" spans="1:8" ht="12.75" customHeight="1" x14ac:dyDescent="0.15">
      <c r="A341" s="126">
        <v>153</v>
      </c>
      <c r="B341" s="25" t="s">
        <v>106</v>
      </c>
      <c r="C341" s="39">
        <v>4.6466666666666665</v>
      </c>
      <c r="D341" s="50">
        <v>59.651266521774204</v>
      </c>
      <c r="E341" s="28">
        <v>98.881267863498451</v>
      </c>
      <c r="F341" s="51">
        <v>382.13604983870971</v>
      </c>
      <c r="G341" s="28">
        <v>99.491043824925285</v>
      </c>
      <c r="H341" s="55" t="s">
        <v>27</v>
      </c>
    </row>
    <row r="342" spans="1:8" ht="12.75" customHeight="1" x14ac:dyDescent="0.15">
      <c r="A342" s="126">
        <v>154</v>
      </c>
      <c r="B342" s="25" t="s">
        <v>107</v>
      </c>
      <c r="C342" s="39">
        <v>4.6466666666666665</v>
      </c>
      <c r="D342" s="50">
        <v>58.087827809045862</v>
      </c>
      <c r="E342" s="28">
        <v>99.062411339222933</v>
      </c>
      <c r="F342" s="51">
        <v>373.45824005196033</v>
      </c>
      <c r="G342" s="28">
        <v>99.595336168290572</v>
      </c>
      <c r="H342" s="55" t="s">
        <v>27</v>
      </c>
    </row>
    <row r="343" spans="1:8" ht="12.75" customHeight="1" x14ac:dyDescent="0.15">
      <c r="A343" s="126">
        <v>155</v>
      </c>
      <c r="B343" s="25" t="s">
        <v>108</v>
      </c>
      <c r="C343" s="39">
        <v>4.6466666666666665</v>
      </c>
      <c r="D343" s="50">
        <v>59.486293716104903</v>
      </c>
      <c r="E343" s="28">
        <v>98.944251096394723</v>
      </c>
      <c r="F343" s="51">
        <v>381.58885031835212</v>
      </c>
      <c r="G343" s="28">
        <v>99.485918126069535</v>
      </c>
      <c r="H343" s="55" t="s">
        <v>27</v>
      </c>
    </row>
    <row r="344" spans="1:8" ht="12.75" customHeight="1" x14ac:dyDescent="0.15">
      <c r="A344" s="126">
        <v>156</v>
      </c>
      <c r="B344" s="25" t="s">
        <v>109</v>
      </c>
      <c r="C344" s="39">
        <v>4.6466666666666665</v>
      </c>
      <c r="D344" s="50">
        <v>59.274260992564599</v>
      </c>
      <c r="E344" s="28">
        <v>99.043598569135128</v>
      </c>
      <c r="F344" s="51">
        <v>380.07121882797736</v>
      </c>
      <c r="G344" s="28">
        <v>99.548503463479534</v>
      </c>
      <c r="H344" s="55" t="s">
        <v>27</v>
      </c>
    </row>
    <row r="345" spans="1:8" ht="12.75" customHeight="1" x14ac:dyDescent="0.15">
      <c r="A345" s="126">
        <v>157</v>
      </c>
      <c r="B345" s="25" t="s">
        <v>110</v>
      </c>
      <c r="C345" s="39">
        <v>4.6466666666666665</v>
      </c>
      <c r="D345" s="50">
        <v>59.461116428486548</v>
      </c>
      <c r="E345" s="28">
        <v>98.632971676730165</v>
      </c>
      <c r="F345" s="51">
        <v>382.13764997185746</v>
      </c>
      <c r="G345" s="28">
        <v>99.243559860245256</v>
      </c>
      <c r="H345" s="55" t="s">
        <v>27</v>
      </c>
    </row>
    <row r="346" spans="1:8" ht="12.75" customHeight="1" x14ac:dyDescent="0.15">
      <c r="A346" s="126">
        <v>158</v>
      </c>
      <c r="B346" s="25" t="s">
        <v>111</v>
      </c>
      <c r="C346" s="39">
        <v>4.6500000000000004</v>
      </c>
      <c r="D346" s="50">
        <v>61.469841244589908</v>
      </c>
      <c r="E346" s="28">
        <v>98.629992351531939</v>
      </c>
      <c r="F346" s="51">
        <v>393.44994784864355</v>
      </c>
      <c r="G346" s="28">
        <v>99.236717907473235</v>
      </c>
      <c r="H346" s="55" t="s">
        <v>27</v>
      </c>
    </row>
    <row r="347" spans="1:8" ht="12.75" customHeight="1" x14ac:dyDescent="0.15">
      <c r="A347" s="126">
        <v>159</v>
      </c>
      <c r="B347" s="25" t="s">
        <v>112</v>
      </c>
      <c r="C347" s="39">
        <v>4.6500000000000004</v>
      </c>
      <c r="D347" s="50">
        <v>60.970947925299335</v>
      </c>
      <c r="E347" s="28">
        <v>98.529705385623387</v>
      </c>
      <c r="F347" s="51">
        <v>389.82064343415254</v>
      </c>
      <c r="G347" s="28">
        <v>99.227024490252219</v>
      </c>
      <c r="H347" s="55" t="s">
        <v>27</v>
      </c>
    </row>
    <row r="348" spans="1:8" ht="12.75" customHeight="1" x14ac:dyDescent="0.15">
      <c r="A348" s="126">
        <v>160</v>
      </c>
      <c r="B348" s="25" t="s">
        <v>113</v>
      </c>
      <c r="C348" s="39">
        <v>4.6433333333333335</v>
      </c>
      <c r="D348" s="50">
        <v>54.520806399696767</v>
      </c>
      <c r="E348" s="28">
        <v>98.067660256858204</v>
      </c>
      <c r="F348" s="51">
        <v>352.900431170709</v>
      </c>
      <c r="G348" s="28">
        <v>99.131482208340429</v>
      </c>
      <c r="H348" s="55" t="s">
        <v>27</v>
      </c>
    </row>
    <row r="349" spans="1:8" ht="12.75" customHeight="1" x14ac:dyDescent="0.15">
      <c r="A349" s="126">
        <v>161</v>
      </c>
      <c r="B349" s="25" t="s">
        <v>114</v>
      </c>
      <c r="C349" s="39">
        <v>4.6266666666666669</v>
      </c>
      <c r="D349" s="50">
        <v>43.950901400527229</v>
      </c>
      <c r="E349" s="28">
        <v>98.342832881435939</v>
      </c>
      <c r="F349" s="51">
        <v>290.07965873462217</v>
      </c>
      <c r="G349" s="28">
        <v>99.218985304297036</v>
      </c>
      <c r="H349" s="55" t="s">
        <v>27</v>
      </c>
    </row>
    <row r="350" spans="1:8" ht="12.75" customHeight="1" x14ac:dyDescent="0.15">
      <c r="A350" s="126">
        <v>162</v>
      </c>
      <c r="B350" s="25" t="s">
        <v>115</v>
      </c>
      <c r="C350" s="39">
        <v>4.6400000000000006</v>
      </c>
      <c r="D350" s="50">
        <v>53.485458857105151</v>
      </c>
      <c r="E350" s="28">
        <v>98.341662069976024</v>
      </c>
      <c r="F350" s="51">
        <v>346.91431733861145</v>
      </c>
      <c r="G350" s="28">
        <v>99.200903827004197</v>
      </c>
      <c r="H350" s="55" t="s">
        <v>27</v>
      </c>
    </row>
    <row r="351" spans="1:8" ht="12.75" customHeight="1" x14ac:dyDescent="0.15">
      <c r="A351" s="126">
        <v>163</v>
      </c>
      <c r="B351" s="25" t="s">
        <v>116</v>
      </c>
      <c r="C351" s="39">
        <v>4.6466666666666665</v>
      </c>
      <c r="D351" s="50">
        <v>59.119502351570304</v>
      </c>
      <c r="E351" s="28">
        <v>98.35609330460899</v>
      </c>
      <c r="F351" s="51">
        <v>379.47501996694217</v>
      </c>
      <c r="G351" s="28">
        <v>99.173058848817575</v>
      </c>
      <c r="H351" s="55" t="s">
        <v>27</v>
      </c>
    </row>
    <row r="352" spans="1:8" ht="12.75" customHeight="1" x14ac:dyDescent="0.15">
      <c r="A352" s="126">
        <v>164</v>
      </c>
      <c r="B352" s="25" t="s">
        <v>117</v>
      </c>
      <c r="C352" s="39">
        <v>4.6466666666666665</v>
      </c>
      <c r="D352" s="50">
        <v>58.525964938708938</v>
      </c>
      <c r="E352" s="28">
        <v>98.371915758134847</v>
      </c>
      <c r="F352" s="51">
        <v>376.47950831719533</v>
      </c>
      <c r="G352" s="28">
        <v>99.173785414943922</v>
      </c>
      <c r="H352" s="55" t="s">
        <v>27</v>
      </c>
    </row>
    <row r="353" spans="1:8" ht="12.75" customHeight="1" x14ac:dyDescent="0.15">
      <c r="A353" s="126">
        <v>165</v>
      </c>
      <c r="B353" s="25" t="s">
        <v>2</v>
      </c>
      <c r="C353" s="39">
        <v>4.6500000000000004</v>
      </c>
      <c r="D353" s="50">
        <v>59.032344493814414</v>
      </c>
      <c r="E353" s="28">
        <v>98.380372397325161</v>
      </c>
      <c r="F353" s="51">
        <v>379.75175309278353</v>
      </c>
      <c r="G353" s="28">
        <v>99.170727612015639</v>
      </c>
      <c r="H353" s="55" t="s">
        <v>27</v>
      </c>
    </row>
    <row r="354" spans="1:8" ht="12.75" customHeight="1" x14ac:dyDescent="0.15">
      <c r="A354" s="126">
        <v>166</v>
      </c>
      <c r="B354" s="25" t="s">
        <v>118</v>
      </c>
      <c r="C354" s="39">
        <v>4.6433333333333335</v>
      </c>
      <c r="D354" s="50">
        <v>56.395719049521624</v>
      </c>
      <c r="E354" s="28">
        <v>98.219872998197232</v>
      </c>
      <c r="F354" s="51">
        <v>364.53061425947192</v>
      </c>
      <c r="G354" s="28">
        <v>98.795509774727407</v>
      </c>
      <c r="H354" s="55" t="s">
        <v>27</v>
      </c>
    </row>
    <row r="355" spans="1:8" ht="12.75" customHeight="1" x14ac:dyDescent="0.15">
      <c r="A355" s="126">
        <v>167</v>
      </c>
      <c r="B355" s="25" t="s">
        <v>118</v>
      </c>
      <c r="C355" s="39">
        <v>4.6833333333333336</v>
      </c>
      <c r="D355" s="50">
        <v>56.54936800903954</v>
      </c>
      <c r="E355" s="28">
        <v>98.312210011248411</v>
      </c>
      <c r="F355" s="51">
        <v>368.81873282485878</v>
      </c>
      <c r="G355" s="28">
        <v>99.120094518942224</v>
      </c>
      <c r="H355" s="55" t="s">
        <v>27</v>
      </c>
    </row>
    <row r="356" spans="1:8" ht="12.75" customHeight="1" x14ac:dyDescent="0.15">
      <c r="A356" s="126">
        <v>168</v>
      </c>
      <c r="B356" s="25" t="s">
        <v>119</v>
      </c>
      <c r="C356" s="39">
        <v>4.6566666666666672</v>
      </c>
      <c r="D356" s="50">
        <v>63.361954376123471</v>
      </c>
      <c r="E356" s="28">
        <v>98.356178776919663</v>
      </c>
      <c r="F356" s="51">
        <v>406.35446763188753</v>
      </c>
      <c r="G356" s="28">
        <v>99.108957242034819</v>
      </c>
      <c r="H356" s="55" t="s">
        <v>27</v>
      </c>
    </row>
    <row r="357" spans="1:8" ht="12.75" customHeight="1" x14ac:dyDescent="0.15">
      <c r="A357" s="126">
        <v>169</v>
      </c>
      <c r="B357" s="25" t="s">
        <v>120</v>
      </c>
      <c r="C357" s="39">
        <v>4.6566666666666672</v>
      </c>
      <c r="D357" s="50">
        <v>62.41068084308062</v>
      </c>
      <c r="E357" s="28">
        <v>98.378409241883261</v>
      </c>
      <c r="F357" s="51">
        <v>401.11529348042268</v>
      </c>
      <c r="G357" s="28">
        <v>99.113743866000576</v>
      </c>
      <c r="H357" s="55" t="s">
        <v>27</v>
      </c>
    </row>
    <row r="358" spans="1:8" ht="12.75" customHeight="1" x14ac:dyDescent="0.15">
      <c r="A358" s="126">
        <v>170</v>
      </c>
      <c r="B358" s="25" t="s">
        <v>121</v>
      </c>
      <c r="C358" s="39">
        <v>4.6533333333333333</v>
      </c>
      <c r="D358" s="50">
        <v>58.934541500007974</v>
      </c>
      <c r="E358" s="28">
        <v>98.373427655889756</v>
      </c>
      <c r="F358" s="51">
        <v>382.68486964363433</v>
      </c>
      <c r="G358" s="28">
        <v>99.114403158823464</v>
      </c>
      <c r="H358" s="55" t="s">
        <v>27</v>
      </c>
    </row>
    <row r="359" spans="1:8" ht="12.75" customHeight="1" x14ac:dyDescent="0.15">
      <c r="A359" s="126">
        <v>171</v>
      </c>
      <c r="B359" s="25" t="s">
        <v>122</v>
      </c>
      <c r="C359" s="39">
        <v>4.6566666666666672</v>
      </c>
      <c r="D359" s="50">
        <v>61.211187021455402</v>
      </c>
      <c r="E359" s="28">
        <v>98.36821773391182</v>
      </c>
      <c r="F359" s="51">
        <v>394.09601197183099</v>
      </c>
      <c r="G359" s="28">
        <v>99.125844204760611</v>
      </c>
      <c r="H359" s="55" t="s">
        <v>27</v>
      </c>
    </row>
    <row r="360" spans="1:8" ht="12.75" customHeight="1" x14ac:dyDescent="0.15">
      <c r="A360" s="126">
        <v>172</v>
      </c>
      <c r="B360" s="25" t="s">
        <v>123</v>
      </c>
      <c r="C360" s="39">
        <v>4.6533333333333333</v>
      </c>
      <c r="D360" s="50">
        <v>61.507190869627252</v>
      </c>
      <c r="E360" s="28">
        <v>98.377312255707935</v>
      </c>
      <c r="F360" s="51">
        <v>395.63046967362231</v>
      </c>
      <c r="G360" s="28">
        <v>99.127563701419589</v>
      </c>
      <c r="H360" s="55" t="s">
        <v>27</v>
      </c>
    </row>
    <row r="361" spans="1:8" ht="12.75" customHeight="1" x14ac:dyDescent="0.15">
      <c r="A361" s="126">
        <v>173</v>
      </c>
      <c r="B361" s="25" t="s">
        <v>113</v>
      </c>
      <c r="C361" s="39">
        <v>4.6433333333333335</v>
      </c>
      <c r="D361" s="50">
        <v>53.88129227396081</v>
      </c>
      <c r="E361" s="28">
        <v>98.514873541643027</v>
      </c>
      <c r="F361" s="51">
        <v>352.8123929529412</v>
      </c>
      <c r="G361" s="28">
        <v>99.183752789562774</v>
      </c>
      <c r="H361" s="55" t="s">
        <v>27</v>
      </c>
    </row>
    <row r="362" spans="1:8" ht="11.25" customHeight="1" x14ac:dyDescent="0.15">
      <c r="A362" s="126">
        <v>174</v>
      </c>
      <c r="B362" s="25" t="s">
        <v>85</v>
      </c>
      <c r="C362" s="39" t="s">
        <v>27</v>
      </c>
      <c r="D362" s="50" t="s">
        <v>27</v>
      </c>
      <c r="E362" s="28" t="s">
        <v>27</v>
      </c>
      <c r="F362" s="51" t="s">
        <v>27</v>
      </c>
      <c r="G362" s="28" t="s">
        <v>27</v>
      </c>
      <c r="H362" s="55" t="s">
        <v>27</v>
      </c>
    </row>
    <row r="363" spans="1:8" ht="11.25" customHeight="1" x14ac:dyDescent="0.15">
      <c r="A363" s="32"/>
      <c r="B363" s="52" t="s">
        <v>129</v>
      </c>
      <c r="C363" s="53">
        <f t="shared" ref="C363:H363" si="20">SUM(C189:C362)</f>
        <v>803.03666666666493</v>
      </c>
      <c r="D363" s="53">
        <f t="shared" si="20"/>
        <v>9309.2728036290046</v>
      </c>
      <c r="E363" s="53">
        <f t="shared" si="20"/>
        <v>15575.631385476456</v>
      </c>
      <c r="F363" s="53">
        <f t="shared" si="20"/>
        <v>59573.537241504942</v>
      </c>
      <c r="G363" s="53">
        <f t="shared" si="20"/>
        <v>15852.61221209117</v>
      </c>
      <c r="H363" s="54">
        <f t="shared" si="20"/>
        <v>0</v>
      </c>
    </row>
    <row r="364" spans="1:8" ht="11.25" customHeight="1" x14ac:dyDescent="0.15">
      <c r="A364" s="31"/>
      <c r="B364" s="41" t="s">
        <v>130</v>
      </c>
      <c r="C364" s="39">
        <f t="shared" ref="C364:H364" si="21">AVERAGE(C189:C362)</f>
        <v>4.6418304431599129</v>
      </c>
      <c r="D364" s="39">
        <f t="shared" si="21"/>
        <v>53.810825454502918</v>
      </c>
      <c r="E364" s="39">
        <f t="shared" si="21"/>
        <v>90.032551361135589</v>
      </c>
      <c r="F364" s="39">
        <f t="shared" si="21"/>
        <v>344.35570659829449</v>
      </c>
      <c r="G364" s="39">
        <f t="shared" si="21"/>
        <v>91.633596601683067</v>
      </c>
      <c r="H364" s="40" t="e">
        <f t="shared" si="21"/>
        <v>#DIV/0!</v>
      </c>
    </row>
    <row r="365" spans="1:8" ht="11.25" customHeight="1" x14ac:dyDescent="0.15">
      <c r="A365" s="33"/>
      <c r="B365" s="42" t="s">
        <v>131</v>
      </c>
      <c r="C365" s="43">
        <f t="shared" ref="C365:H365" si="22">STDEV(C189:C362)/AVERAGE(C189:C362)</f>
        <v>5.9682730431223604E-3</v>
      </c>
      <c r="D365" s="43">
        <f t="shared" si="22"/>
        <v>0.35799885115208518</v>
      </c>
      <c r="E365" s="43">
        <f t="shared" si="22"/>
        <v>0.27452208904172537</v>
      </c>
      <c r="F365" s="43">
        <f t="shared" si="22"/>
        <v>0.35698322976194591</v>
      </c>
      <c r="G365" s="43">
        <f t="shared" si="22"/>
        <v>0.2466077907174796</v>
      </c>
      <c r="H365" s="44" t="e">
        <f t="shared" si="22"/>
        <v>#DIV/0!</v>
      </c>
    </row>
    <row r="367" spans="1:8" ht="11.25" customHeight="1" x14ac:dyDescent="0.15">
      <c r="A367" s="56" t="s">
        <v>13</v>
      </c>
      <c r="B367" s="57" t="s">
        <v>81</v>
      </c>
      <c r="C367" s="58" t="s">
        <v>82</v>
      </c>
      <c r="D367" s="34" t="s">
        <v>17</v>
      </c>
      <c r="E367" s="34" t="s">
        <v>83</v>
      </c>
      <c r="F367" s="34" t="s">
        <v>18</v>
      </c>
      <c r="G367" s="34" t="s">
        <v>84</v>
      </c>
      <c r="H367" s="35" t="s">
        <v>19</v>
      </c>
    </row>
    <row r="368" spans="1:8" ht="11.25" customHeight="1" x14ac:dyDescent="0.15">
      <c r="A368" s="36" t="s">
        <v>20</v>
      </c>
      <c r="B368" s="37" t="s">
        <v>20</v>
      </c>
      <c r="C368" s="37" t="s">
        <v>21</v>
      </c>
      <c r="D368" s="37" t="s">
        <v>22</v>
      </c>
      <c r="E368" s="37" t="s">
        <v>52</v>
      </c>
      <c r="F368" s="37" t="s">
        <v>23</v>
      </c>
      <c r="G368" s="37" t="s">
        <v>52</v>
      </c>
      <c r="H368" s="38" t="s">
        <v>20</v>
      </c>
    </row>
    <row r="369" spans="1:10" ht="11.25" customHeight="1" x14ac:dyDescent="0.15">
      <c r="A369" s="36" t="s">
        <v>20</v>
      </c>
      <c r="B369" s="37" t="s">
        <v>20</v>
      </c>
      <c r="C369" s="37" t="s">
        <v>24</v>
      </c>
      <c r="D369" s="37" t="s">
        <v>24</v>
      </c>
      <c r="E369" s="37" t="s">
        <v>24</v>
      </c>
      <c r="F369" s="37" t="s">
        <v>24</v>
      </c>
      <c r="G369" s="37" t="s">
        <v>24</v>
      </c>
      <c r="H369" s="38" t="s">
        <v>24</v>
      </c>
    </row>
    <row r="370" spans="1:10" ht="11.25" customHeight="1" x14ac:dyDescent="0.15">
      <c r="A370" s="36" t="s">
        <v>20</v>
      </c>
      <c r="B370" s="37" t="s">
        <v>20</v>
      </c>
      <c r="C370" s="45" t="s">
        <v>29</v>
      </c>
      <c r="D370" s="46" t="s">
        <v>29</v>
      </c>
      <c r="E370" s="47" t="s">
        <v>29</v>
      </c>
      <c r="F370" s="48" t="s">
        <v>29</v>
      </c>
      <c r="G370" s="47" t="s">
        <v>29</v>
      </c>
      <c r="H370" s="49" t="s">
        <v>29</v>
      </c>
      <c r="I370" s="208" t="s">
        <v>204</v>
      </c>
      <c r="J370" s="208" t="s">
        <v>205</v>
      </c>
    </row>
    <row r="371" spans="1:10" ht="11.25" customHeight="1" x14ac:dyDescent="0.15">
      <c r="A371" s="126">
        <v>1</v>
      </c>
      <c r="B371" s="25" t="s">
        <v>85</v>
      </c>
      <c r="C371" s="39">
        <v>5.2233333333333336</v>
      </c>
      <c r="D371" s="50">
        <v>1.7318605271176679E-2</v>
      </c>
      <c r="E371" s="28">
        <v>11.00377174558966</v>
      </c>
      <c r="F371" s="51">
        <v>1.8777340036563062E-2</v>
      </c>
      <c r="G371" s="28">
        <v>4.7969848434082181</v>
      </c>
      <c r="H371" s="55" t="s">
        <v>27</v>
      </c>
      <c r="I371" s="50">
        <v>4.095663883302858E-2</v>
      </c>
    </row>
    <row r="372" spans="1:10" ht="12.75" customHeight="1" x14ac:dyDescent="0.15">
      <c r="A372" s="126">
        <v>2</v>
      </c>
      <c r="B372" s="25" t="s">
        <v>86</v>
      </c>
      <c r="C372" s="39">
        <v>5.23</v>
      </c>
      <c r="D372" s="50">
        <v>0.37167895605579837</v>
      </c>
      <c r="E372" s="28">
        <v>0.59923108294530325</v>
      </c>
      <c r="F372" s="51">
        <v>1.4849653946846488</v>
      </c>
      <c r="G372" s="28">
        <v>0.37491333972607316</v>
      </c>
      <c r="H372" s="55" t="s">
        <v>27</v>
      </c>
      <c r="I372" s="50">
        <v>61.317518126708961</v>
      </c>
    </row>
    <row r="373" spans="1:10" ht="12.75" customHeight="1" x14ac:dyDescent="0.15">
      <c r="A373" s="126">
        <v>3</v>
      </c>
      <c r="B373" s="25" t="s">
        <v>87</v>
      </c>
      <c r="C373" s="39">
        <v>5.23</v>
      </c>
      <c r="D373" s="50">
        <v>0.35838735050234161</v>
      </c>
      <c r="E373" s="28">
        <v>0.58157980201122605</v>
      </c>
      <c r="F373" s="51">
        <v>1.4490397894302234</v>
      </c>
      <c r="G373" s="28">
        <v>0.36668843059214629</v>
      </c>
      <c r="H373" s="55" t="s">
        <v>27</v>
      </c>
      <c r="I373" s="50">
        <v>60.556380597185495</v>
      </c>
    </row>
    <row r="374" spans="1:10" ht="12.75" customHeight="1" x14ac:dyDescent="0.15">
      <c r="A374" s="126">
        <v>4</v>
      </c>
      <c r="B374" s="25" t="s">
        <v>88</v>
      </c>
      <c r="C374" s="39">
        <v>5.23</v>
      </c>
      <c r="D374" s="50">
        <v>0.35628366827217028</v>
      </c>
      <c r="E374" s="28">
        <v>0.58596809998392096</v>
      </c>
      <c r="F374" s="51">
        <v>1.4748343971166449</v>
      </c>
      <c r="G374" s="28">
        <v>0.37833954027335109</v>
      </c>
      <c r="H374" s="55" t="s">
        <v>27</v>
      </c>
      <c r="I374" s="50">
        <v>59.991398085091745</v>
      </c>
    </row>
    <row r="375" spans="1:10" ht="12.75" customHeight="1" x14ac:dyDescent="0.15">
      <c r="A375" s="126">
        <v>5</v>
      </c>
      <c r="B375" s="25" t="s">
        <v>59</v>
      </c>
      <c r="C375" s="39">
        <v>5.2333333333333334</v>
      </c>
      <c r="D375" s="50">
        <v>1.8356666666663468E-4</v>
      </c>
      <c r="E375" s="28">
        <v>0.1023717072633753</v>
      </c>
      <c r="F375" s="51">
        <v>1.0594214876032959E-3</v>
      </c>
      <c r="G375" s="28">
        <v>0.33877888390078309</v>
      </c>
      <c r="H375" s="55" t="s">
        <v>27</v>
      </c>
      <c r="I375" s="50">
        <v>5.9284909383752749E-2</v>
      </c>
    </row>
    <row r="376" spans="1:10" ht="12.75" customHeight="1" x14ac:dyDescent="0.15">
      <c r="A376" s="126">
        <v>6</v>
      </c>
      <c r="B376" s="25" t="s">
        <v>60</v>
      </c>
      <c r="C376" s="39" t="s">
        <v>27</v>
      </c>
      <c r="D376" s="50" t="s">
        <v>27</v>
      </c>
      <c r="E376" s="28" t="s">
        <v>27</v>
      </c>
      <c r="F376" s="51" t="s">
        <v>27</v>
      </c>
      <c r="G376" s="28" t="s">
        <v>27</v>
      </c>
      <c r="H376" s="55" t="s">
        <v>27</v>
      </c>
      <c r="I376" s="50">
        <v>6.6206856966898098E-2</v>
      </c>
    </row>
    <row r="377" spans="1:10" ht="12.75" customHeight="1" x14ac:dyDescent="0.15">
      <c r="A377" s="126">
        <v>7</v>
      </c>
      <c r="B377" s="25" t="s">
        <v>61</v>
      </c>
      <c r="C377" s="39">
        <v>5.1933333333333334</v>
      </c>
      <c r="D377" s="50">
        <v>2.6083031097509757E-2</v>
      </c>
      <c r="E377" s="28">
        <v>1.0684425943928684</v>
      </c>
      <c r="F377" s="51">
        <v>2.7720934299275468E-2</v>
      </c>
      <c r="G377" s="28">
        <v>0.3307243866643888</v>
      </c>
      <c r="H377" s="55" t="s">
        <v>27</v>
      </c>
      <c r="I377" s="50">
        <v>0.12247340861437273</v>
      </c>
    </row>
    <row r="378" spans="1:10" ht="12.75" customHeight="1" x14ac:dyDescent="0.15">
      <c r="A378" s="126">
        <v>8</v>
      </c>
      <c r="B378" s="25" t="s">
        <v>62</v>
      </c>
      <c r="C378" s="39">
        <v>5.2266666666666666</v>
      </c>
      <c r="D378" s="50">
        <v>2.2264357361753806E-2</v>
      </c>
      <c r="E378" s="28">
        <v>0.83908151752704441</v>
      </c>
      <c r="F378" s="51">
        <v>2.8609126861838807E-2</v>
      </c>
      <c r="G378" s="28">
        <v>0.27002929184903474</v>
      </c>
      <c r="H378" s="55" t="s">
        <v>27</v>
      </c>
      <c r="I378" s="50">
        <v>9.598185279917848E-2</v>
      </c>
    </row>
    <row r="379" spans="1:10" ht="12.75" customHeight="1" x14ac:dyDescent="0.15">
      <c r="A379" s="126">
        <v>9</v>
      </c>
      <c r="B379" s="25" t="s">
        <v>59</v>
      </c>
      <c r="C379" s="39">
        <v>5.2366666666666672</v>
      </c>
      <c r="D379" s="50">
        <v>1.7874720300157465E-2</v>
      </c>
      <c r="E379" s="28">
        <v>8.2463719087300316</v>
      </c>
      <c r="F379" s="51">
        <v>1.8750821484992075E-2</v>
      </c>
      <c r="G379" s="28">
        <v>5.1195493674513575</v>
      </c>
      <c r="H379" s="55" t="s">
        <v>27</v>
      </c>
      <c r="I379" s="50">
        <v>6.6867244418114868E-2</v>
      </c>
    </row>
    <row r="380" spans="1:10" ht="12.75" customHeight="1" x14ac:dyDescent="0.15">
      <c r="A380" s="126">
        <v>10</v>
      </c>
      <c r="B380" s="25" t="s">
        <v>63</v>
      </c>
      <c r="C380" s="39" t="s">
        <v>27</v>
      </c>
      <c r="D380" s="50" t="s">
        <v>27</v>
      </c>
      <c r="E380" s="28" t="s">
        <v>27</v>
      </c>
      <c r="F380" s="51" t="s">
        <v>27</v>
      </c>
      <c r="G380" s="28" t="s">
        <v>27</v>
      </c>
      <c r="H380" s="55" t="s">
        <v>27</v>
      </c>
      <c r="I380" s="50">
        <v>7.8765377866665265E-2</v>
      </c>
    </row>
    <row r="381" spans="1:10" ht="12.75" customHeight="1" x14ac:dyDescent="0.15">
      <c r="A381" s="126">
        <v>11</v>
      </c>
      <c r="B381" s="25" t="s">
        <v>64</v>
      </c>
      <c r="C381" s="39" t="s">
        <v>27</v>
      </c>
      <c r="D381" s="50" t="s">
        <v>27</v>
      </c>
      <c r="E381" s="28" t="s">
        <v>27</v>
      </c>
      <c r="F381" s="51" t="s">
        <v>27</v>
      </c>
      <c r="G381" s="28" t="s">
        <v>27</v>
      </c>
      <c r="H381" s="55" t="s">
        <v>27</v>
      </c>
      <c r="I381" s="50">
        <v>7.177782721124859E-2</v>
      </c>
    </row>
    <row r="382" spans="1:10" ht="12.75" customHeight="1" x14ac:dyDescent="0.15">
      <c r="A382" s="126">
        <v>12</v>
      </c>
      <c r="B382" s="25" t="s">
        <v>65</v>
      </c>
      <c r="C382" s="39" t="s">
        <v>27</v>
      </c>
      <c r="D382" s="50" t="s">
        <v>27</v>
      </c>
      <c r="E382" s="28" t="s">
        <v>27</v>
      </c>
      <c r="F382" s="51" t="s">
        <v>27</v>
      </c>
      <c r="G382" s="28" t="s">
        <v>27</v>
      </c>
      <c r="H382" s="55" t="s">
        <v>27</v>
      </c>
      <c r="I382" s="50">
        <v>1.0162091069687109</v>
      </c>
    </row>
    <row r="383" spans="1:10" ht="12.75" customHeight="1" x14ac:dyDescent="0.15">
      <c r="A383" s="126">
        <v>13</v>
      </c>
      <c r="B383" s="25" t="s">
        <v>66</v>
      </c>
      <c r="C383" s="39" t="s">
        <v>27</v>
      </c>
      <c r="D383" s="50" t="s">
        <v>27</v>
      </c>
      <c r="E383" s="28" t="s">
        <v>27</v>
      </c>
      <c r="F383" s="51" t="s">
        <v>27</v>
      </c>
      <c r="G383" s="28" t="s">
        <v>27</v>
      </c>
      <c r="H383" s="55" t="s">
        <v>27</v>
      </c>
      <c r="I383" s="50">
        <v>5.0377216666666724E-2</v>
      </c>
    </row>
    <row r="384" spans="1:10" ht="12.75" customHeight="1" x14ac:dyDescent="0.15">
      <c r="A384" s="126">
        <v>14</v>
      </c>
      <c r="B384" s="25" t="s">
        <v>67</v>
      </c>
      <c r="C384" s="39" t="s">
        <v>27</v>
      </c>
      <c r="D384" s="50" t="s">
        <v>27</v>
      </c>
      <c r="E384" s="28" t="s">
        <v>27</v>
      </c>
      <c r="F384" s="51" t="s">
        <v>27</v>
      </c>
      <c r="G384" s="28" t="s">
        <v>27</v>
      </c>
      <c r="H384" s="55" t="s">
        <v>27</v>
      </c>
      <c r="I384" s="50">
        <v>3.7888999999999728E-2</v>
      </c>
    </row>
    <row r="385" spans="1:10" ht="12.75" customHeight="1" x14ac:dyDescent="0.15">
      <c r="A385" s="126">
        <v>15</v>
      </c>
      <c r="B385" s="25" t="s">
        <v>85</v>
      </c>
      <c r="C385" s="39" t="s">
        <v>27</v>
      </c>
      <c r="D385" s="50" t="s">
        <v>27</v>
      </c>
      <c r="E385" s="28" t="s">
        <v>27</v>
      </c>
      <c r="F385" s="51" t="s">
        <v>27</v>
      </c>
      <c r="G385" s="28" t="s">
        <v>27</v>
      </c>
      <c r="H385" s="55" t="s">
        <v>27</v>
      </c>
      <c r="I385" s="50">
        <v>0.28603644460322941</v>
      </c>
    </row>
    <row r="386" spans="1:10" ht="12.75" customHeight="1" x14ac:dyDescent="0.15">
      <c r="A386" s="126">
        <v>16</v>
      </c>
      <c r="B386" s="25" t="s">
        <v>85</v>
      </c>
      <c r="C386" s="39" t="s">
        <v>27</v>
      </c>
      <c r="D386" s="50" t="s">
        <v>27</v>
      </c>
      <c r="E386" s="28" t="s">
        <v>27</v>
      </c>
      <c r="F386" s="51" t="s">
        <v>27</v>
      </c>
      <c r="G386" s="28" t="s">
        <v>27</v>
      </c>
      <c r="H386" s="55" t="s">
        <v>27</v>
      </c>
      <c r="I386" s="50">
        <v>5.7229369047616885E-2</v>
      </c>
    </row>
    <row r="387" spans="1:10" ht="12.75" customHeight="1" x14ac:dyDescent="0.15">
      <c r="A387" s="126">
        <v>17</v>
      </c>
      <c r="B387" s="25" t="s">
        <v>85</v>
      </c>
      <c r="C387" s="39" t="s">
        <v>27</v>
      </c>
      <c r="D387" s="50" t="s">
        <v>27</v>
      </c>
      <c r="E387" s="28" t="s">
        <v>27</v>
      </c>
      <c r="F387" s="51" t="s">
        <v>27</v>
      </c>
      <c r="G387" s="28" t="s">
        <v>27</v>
      </c>
      <c r="H387" s="55" t="s">
        <v>27</v>
      </c>
      <c r="I387" s="50">
        <v>4.6151283348567551E-2</v>
      </c>
    </row>
    <row r="388" spans="1:10" ht="12.75" customHeight="1" x14ac:dyDescent="0.15">
      <c r="A388" s="126">
        <v>18</v>
      </c>
      <c r="B388" s="25" t="s">
        <v>87</v>
      </c>
      <c r="C388" s="39">
        <v>5.2333333333333334</v>
      </c>
      <c r="D388" s="50">
        <v>0.34500803039696459</v>
      </c>
      <c r="E388" s="28">
        <v>0.58098669085162369</v>
      </c>
      <c r="F388" s="51">
        <v>1.3839519754816112</v>
      </c>
      <c r="G388" s="28">
        <v>0.36516130339406916</v>
      </c>
      <c r="H388" s="55" t="s">
        <v>27</v>
      </c>
      <c r="I388" s="50">
        <v>58.138214970554579</v>
      </c>
      <c r="J388">
        <f>D388*60/I388</f>
        <v>0.35605637074172475</v>
      </c>
    </row>
    <row r="389" spans="1:10" ht="12.75" customHeight="1" x14ac:dyDescent="0.15">
      <c r="A389" s="126">
        <v>19</v>
      </c>
      <c r="B389" s="25" t="s">
        <v>88</v>
      </c>
      <c r="C389" s="39">
        <v>5.2333333333333334</v>
      </c>
      <c r="D389" s="50">
        <v>0.35275748658438955</v>
      </c>
      <c r="E389" s="28">
        <v>0.58521829967589134</v>
      </c>
      <c r="F389" s="51">
        <v>1.4253170723345903</v>
      </c>
      <c r="G389" s="28">
        <v>0.37274279920371933</v>
      </c>
      <c r="H389" s="55" t="s">
        <v>27</v>
      </c>
      <c r="I389" s="50">
        <v>59.254926413747008</v>
      </c>
      <c r="J389">
        <f t="shared" ref="J389:J452" si="23">D389*60/I389</f>
        <v>0.3571930719696757</v>
      </c>
    </row>
    <row r="390" spans="1:10" ht="12.75" customHeight="1" x14ac:dyDescent="0.15">
      <c r="A390" s="126">
        <v>20</v>
      </c>
      <c r="B390" s="25" t="s">
        <v>86</v>
      </c>
      <c r="C390" s="39">
        <v>5.2266666666666666</v>
      </c>
      <c r="D390" s="50">
        <v>0.4337806881392483</v>
      </c>
      <c r="E390" s="28">
        <v>0.67029149328225868</v>
      </c>
      <c r="F390" s="51">
        <v>1.7093457301293902</v>
      </c>
      <c r="G390" s="28">
        <v>0.41387073194034002</v>
      </c>
      <c r="H390" s="55" t="s">
        <v>27</v>
      </c>
      <c r="I390" s="50">
        <v>63.739007898367269</v>
      </c>
      <c r="J390">
        <f t="shared" si="23"/>
        <v>0.40833458421340757</v>
      </c>
    </row>
    <row r="391" spans="1:10" ht="12.75" customHeight="1" x14ac:dyDescent="0.15">
      <c r="A391" s="126">
        <v>21</v>
      </c>
      <c r="B391" s="25" t="s">
        <v>85</v>
      </c>
      <c r="C391" s="39">
        <v>5.2233333333333336</v>
      </c>
      <c r="D391" s="50">
        <v>1.4888333333340498E-4</v>
      </c>
      <c r="E391" s="28">
        <v>6.2205879106705643E-2</v>
      </c>
      <c r="F391" s="51">
        <v>8.745161290322212E-4</v>
      </c>
      <c r="G391" s="28">
        <v>0.2523029223625925</v>
      </c>
      <c r="H391" s="55" t="s">
        <v>27</v>
      </c>
      <c r="I391" s="50">
        <v>5.8629709434996791E-2</v>
      </c>
      <c r="J391">
        <f t="shared" si="23"/>
        <v>0.15236302697198909</v>
      </c>
    </row>
    <row r="392" spans="1:10" ht="12.75" customHeight="1" x14ac:dyDescent="0.15">
      <c r="A392" s="126">
        <v>22</v>
      </c>
      <c r="B392" s="25" t="s">
        <v>89</v>
      </c>
      <c r="C392" s="39">
        <v>5.2266666666666666</v>
      </c>
      <c r="D392" s="50">
        <v>0.43949335293333369</v>
      </c>
      <c r="E392" s="28">
        <v>0.64837411068266282</v>
      </c>
      <c r="F392" s="51">
        <v>1.7833412266666668</v>
      </c>
      <c r="G392" s="28">
        <v>0.41636563184971981</v>
      </c>
      <c r="H392" s="55" t="s">
        <v>27</v>
      </c>
      <c r="I392" s="50">
        <v>66.89664388762219</v>
      </c>
      <c r="J392">
        <f t="shared" si="23"/>
        <v>0.39418421677920912</v>
      </c>
    </row>
    <row r="393" spans="1:10" ht="12.75" customHeight="1" x14ac:dyDescent="0.15">
      <c r="A393" s="126">
        <v>23</v>
      </c>
      <c r="B393" s="25" t="s">
        <v>90</v>
      </c>
      <c r="C393" s="39">
        <v>5.2266666666666666</v>
      </c>
      <c r="D393" s="50">
        <v>0.41018045978754025</v>
      </c>
      <c r="E393" s="28">
        <v>0.62983928504663</v>
      </c>
      <c r="F393" s="51">
        <v>1.6686829888613866</v>
      </c>
      <c r="G393" s="28">
        <v>0.4038843236692386</v>
      </c>
      <c r="H393" s="55" t="s">
        <v>27</v>
      </c>
      <c r="I393" s="50">
        <v>64.292652151897741</v>
      </c>
      <c r="J393">
        <f t="shared" si="23"/>
        <v>0.38279378379207168</v>
      </c>
    </row>
    <row r="394" spans="1:10" ht="12.75" customHeight="1" x14ac:dyDescent="0.15">
      <c r="A394" s="126">
        <v>24</v>
      </c>
      <c r="B394" s="25" t="s">
        <v>91</v>
      </c>
      <c r="C394" s="39">
        <v>5.23</v>
      </c>
      <c r="D394" s="50">
        <v>0.45301624471797419</v>
      </c>
      <c r="E394" s="28">
        <v>0.6336649975390346</v>
      </c>
      <c r="F394" s="51">
        <v>1.8433966921606117</v>
      </c>
      <c r="G394" s="28">
        <v>0.41265728802834517</v>
      </c>
      <c r="H394" s="55" t="s">
        <v>27</v>
      </c>
      <c r="I394" s="50">
        <v>70.558985876059566</v>
      </c>
      <c r="J394">
        <f t="shared" si="23"/>
        <v>0.3852234317939775</v>
      </c>
    </row>
    <row r="395" spans="1:10" ht="12.75" customHeight="1" x14ac:dyDescent="0.15">
      <c r="A395" s="126">
        <v>25</v>
      </c>
      <c r="B395" s="25" t="s">
        <v>92</v>
      </c>
      <c r="C395" s="39">
        <v>5.2266666666666666</v>
      </c>
      <c r="D395" s="50">
        <v>0.40214313404356161</v>
      </c>
      <c r="E395" s="28">
        <v>0.62867687701221975</v>
      </c>
      <c r="F395" s="51">
        <v>1.6197329166666665</v>
      </c>
      <c r="G395" s="28">
        <v>0.39892205096773087</v>
      </c>
      <c r="H395" s="55" t="s">
        <v>27</v>
      </c>
      <c r="I395" s="50">
        <v>63.136728161916054</v>
      </c>
      <c r="J395">
        <f t="shared" si="23"/>
        <v>0.38216405482297405</v>
      </c>
    </row>
    <row r="396" spans="1:10" ht="12.75" customHeight="1" x14ac:dyDescent="0.15">
      <c r="A396" s="126">
        <v>26</v>
      </c>
      <c r="B396" s="25" t="s">
        <v>93</v>
      </c>
      <c r="C396" s="39">
        <v>5.2266666666666666</v>
      </c>
      <c r="D396" s="50">
        <v>0.41492429768977002</v>
      </c>
      <c r="E396" s="28">
        <v>0.62299689487031984</v>
      </c>
      <c r="F396" s="51">
        <v>1.6973032116336637</v>
      </c>
      <c r="G396" s="28">
        <v>0.40451073397087312</v>
      </c>
      <c r="H396" s="55" t="s">
        <v>27</v>
      </c>
      <c r="I396" s="50">
        <v>65.753312757466972</v>
      </c>
      <c r="J396">
        <f t="shared" si="23"/>
        <v>0.37861906598096173</v>
      </c>
    </row>
    <row r="397" spans="1:10" ht="12.75" customHeight="1" x14ac:dyDescent="0.15">
      <c r="A397" s="126">
        <v>27</v>
      </c>
      <c r="B397" s="25" t="s">
        <v>94</v>
      </c>
      <c r="C397" s="39">
        <v>5.2266666666666666</v>
      </c>
      <c r="D397" s="50">
        <v>0.39612079062500061</v>
      </c>
      <c r="E397" s="28">
        <v>0.61666542428052595</v>
      </c>
      <c r="F397" s="51">
        <v>1.6234143750000001</v>
      </c>
      <c r="G397" s="28">
        <v>0.39854598417661924</v>
      </c>
      <c r="H397" s="55" t="s">
        <v>27</v>
      </c>
      <c r="I397" s="50">
        <v>63.425098809374994</v>
      </c>
      <c r="J397">
        <f t="shared" si="23"/>
        <v>0.37472937186795441</v>
      </c>
    </row>
    <row r="398" spans="1:10" ht="12.75" customHeight="1" x14ac:dyDescent="0.15">
      <c r="A398" s="126">
        <v>28</v>
      </c>
      <c r="B398" s="25" t="s">
        <v>95</v>
      </c>
      <c r="C398" s="39">
        <v>5.2266666666666666</v>
      </c>
      <c r="D398" s="50">
        <v>0.42165602166960847</v>
      </c>
      <c r="E398" s="28">
        <v>0.61629724302851607</v>
      </c>
      <c r="F398" s="51">
        <v>1.7105998528546205</v>
      </c>
      <c r="G398" s="28">
        <v>0.39891055647301205</v>
      </c>
      <c r="H398" s="55" t="s">
        <v>27</v>
      </c>
      <c r="I398" s="50">
        <v>67.552395389219171</v>
      </c>
      <c r="J398">
        <f t="shared" si="23"/>
        <v>0.37451464384657607</v>
      </c>
    </row>
    <row r="399" spans="1:10" ht="12.75" customHeight="1" x14ac:dyDescent="0.15">
      <c r="A399" s="126">
        <v>29</v>
      </c>
      <c r="B399" s="25" t="s">
        <v>96</v>
      </c>
      <c r="C399" s="39">
        <v>5.2266666666666666</v>
      </c>
      <c r="D399" s="50">
        <v>0.3963064440008579</v>
      </c>
      <c r="E399" s="28">
        <v>0.61020947114918345</v>
      </c>
      <c r="F399" s="51">
        <v>1.6189553766902769</v>
      </c>
      <c r="G399" s="28">
        <v>0.39468193181399969</v>
      </c>
      <c r="H399" s="55" t="s">
        <v>27</v>
      </c>
      <c r="I399" s="50">
        <v>64.131110996801894</v>
      </c>
      <c r="J399">
        <f t="shared" si="23"/>
        <v>0.37077771257131753</v>
      </c>
    </row>
    <row r="400" spans="1:10" ht="12.75" customHeight="1" x14ac:dyDescent="0.15">
      <c r="A400" s="126">
        <v>30</v>
      </c>
      <c r="B400" s="25" t="s">
        <v>97</v>
      </c>
      <c r="C400" s="39">
        <v>5.2266666666666666</v>
      </c>
      <c r="D400" s="50">
        <v>0.43022184129290375</v>
      </c>
      <c r="E400" s="28">
        <v>0.61423495317786914</v>
      </c>
      <c r="F400" s="51">
        <v>1.7675734996841443</v>
      </c>
      <c r="G400" s="28">
        <v>0.40364467531801718</v>
      </c>
      <c r="H400" s="55" t="s">
        <v>27</v>
      </c>
      <c r="I400" s="50">
        <v>69.155521096757155</v>
      </c>
      <c r="J400">
        <f t="shared" si="23"/>
        <v>0.37326463698333212</v>
      </c>
    </row>
    <row r="401" spans="1:10" ht="12.75" customHeight="1" x14ac:dyDescent="0.15">
      <c r="A401" s="126">
        <v>31</v>
      </c>
      <c r="B401" s="25" t="s">
        <v>98</v>
      </c>
      <c r="C401" s="39">
        <v>5.2266666666666666</v>
      </c>
      <c r="D401" s="50">
        <v>0.41034911097560789</v>
      </c>
      <c r="E401" s="28">
        <v>0.62002699366650926</v>
      </c>
      <c r="F401" s="51">
        <v>1.6628676463414633</v>
      </c>
      <c r="G401" s="28">
        <v>0.39880501458609652</v>
      </c>
      <c r="H401" s="55" t="s">
        <v>27</v>
      </c>
      <c r="I401" s="50">
        <v>65.337947505020324</v>
      </c>
      <c r="J401">
        <f t="shared" si="23"/>
        <v>0.37682461109823956</v>
      </c>
    </row>
    <row r="402" spans="1:10" ht="12.75" customHeight="1" x14ac:dyDescent="0.15">
      <c r="A402" s="126">
        <v>32</v>
      </c>
      <c r="B402" s="25" t="s">
        <v>99</v>
      </c>
      <c r="C402" s="39">
        <v>5.2266666666666666</v>
      </c>
      <c r="D402" s="50">
        <v>0.38544157006289392</v>
      </c>
      <c r="E402" s="28">
        <v>0.60900584977391992</v>
      </c>
      <c r="F402" s="51">
        <v>1.5801561509433966</v>
      </c>
      <c r="G402" s="28">
        <v>0.3943361422362352</v>
      </c>
      <c r="H402" s="55" t="s">
        <v>27</v>
      </c>
      <c r="I402" s="50">
        <v>62.489516211383659</v>
      </c>
      <c r="J402">
        <f t="shared" si="23"/>
        <v>0.37008598571228341</v>
      </c>
    </row>
    <row r="403" spans="1:10" ht="12.75" customHeight="1" x14ac:dyDescent="0.15">
      <c r="A403" s="126">
        <v>33</v>
      </c>
      <c r="B403" s="25" t="s">
        <v>100</v>
      </c>
      <c r="C403" s="39">
        <v>5.2266666666666666</v>
      </c>
      <c r="D403" s="50">
        <v>0.39913672418015889</v>
      </c>
      <c r="E403" s="28">
        <v>0.61539739269367777</v>
      </c>
      <c r="F403" s="51">
        <v>1.6280274719800749</v>
      </c>
      <c r="G403" s="28">
        <v>0.39781465984078873</v>
      </c>
      <c r="H403" s="55" t="s">
        <v>27</v>
      </c>
      <c r="I403" s="50">
        <v>64.038966777314286</v>
      </c>
      <c r="J403">
        <f t="shared" si="23"/>
        <v>0.37396298934812217</v>
      </c>
    </row>
    <row r="404" spans="1:10" ht="12.75" customHeight="1" x14ac:dyDescent="0.15">
      <c r="A404" s="126">
        <v>34</v>
      </c>
      <c r="B404" s="25" t="s">
        <v>101</v>
      </c>
      <c r="C404" s="39">
        <v>5.2266666666666666</v>
      </c>
      <c r="D404" s="50">
        <v>0.37266418660810652</v>
      </c>
      <c r="E404" s="28">
        <v>0.62760663164855057</v>
      </c>
      <c r="F404" s="51">
        <v>1.4859345399907538</v>
      </c>
      <c r="G404" s="28">
        <v>0.39201666925666429</v>
      </c>
      <c r="H404" s="55" t="s">
        <v>27</v>
      </c>
      <c r="I404" s="50">
        <v>58.317270811257515</v>
      </c>
      <c r="J404">
        <f t="shared" si="23"/>
        <v>0.38341731163746551</v>
      </c>
    </row>
    <row r="405" spans="1:10" ht="12.75" customHeight="1" x14ac:dyDescent="0.15">
      <c r="A405" s="126">
        <v>35</v>
      </c>
      <c r="B405" s="25" t="s">
        <v>102</v>
      </c>
      <c r="C405" s="39">
        <v>5.2266666666666666</v>
      </c>
      <c r="D405" s="50">
        <v>0.35769969266923429</v>
      </c>
      <c r="E405" s="28">
        <v>0.61511297149990407</v>
      </c>
      <c r="F405" s="51">
        <v>1.4431225024061596</v>
      </c>
      <c r="G405" s="28">
        <v>0.38790110451844534</v>
      </c>
      <c r="H405" s="55" t="s">
        <v>27</v>
      </c>
      <c r="I405" s="50">
        <v>57.08700795660895</v>
      </c>
      <c r="J405">
        <f t="shared" si="23"/>
        <v>0.37595211815036822</v>
      </c>
    </row>
    <row r="406" spans="1:10" ht="12.75" customHeight="1" x14ac:dyDescent="0.15">
      <c r="A406" s="126">
        <v>36</v>
      </c>
      <c r="B406" s="25" t="s">
        <v>103</v>
      </c>
      <c r="C406" s="39">
        <v>5.2266666666666666</v>
      </c>
      <c r="D406" s="50">
        <v>0.37442675554230442</v>
      </c>
      <c r="E406" s="28">
        <v>0.61715625158379361</v>
      </c>
      <c r="F406" s="51">
        <v>1.5060069608778628</v>
      </c>
      <c r="G406" s="28">
        <v>0.3903986655325577</v>
      </c>
      <c r="H406" s="55" t="s">
        <v>27</v>
      </c>
      <c r="I406" s="50">
        <v>59.570339434128485</v>
      </c>
      <c r="J406">
        <f t="shared" si="23"/>
        <v>0.37712736818262077</v>
      </c>
    </row>
    <row r="407" spans="1:10" ht="12.75" customHeight="1" x14ac:dyDescent="0.15">
      <c r="A407" s="126">
        <v>37</v>
      </c>
      <c r="B407" s="25" t="s">
        <v>104</v>
      </c>
      <c r="C407" s="39">
        <v>5.2266666666666666</v>
      </c>
      <c r="D407" s="50">
        <v>0.37294318026315809</v>
      </c>
      <c r="E407" s="28">
        <v>0.60005780702238987</v>
      </c>
      <c r="F407" s="51">
        <v>1.5244818421052635</v>
      </c>
      <c r="G407" s="28">
        <v>0.38663945637355013</v>
      </c>
      <c r="H407" s="55" t="s">
        <v>27</v>
      </c>
      <c r="I407" s="50">
        <v>61.06775875833339</v>
      </c>
      <c r="J407">
        <f t="shared" si="23"/>
        <v>0.36642233595540208</v>
      </c>
    </row>
    <row r="408" spans="1:10" ht="12.75" customHeight="1" x14ac:dyDescent="0.15">
      <c r="A408" s="126">
        <v>38</v>
      </c>
      <c r="B408" s="25" t="s">
        <v>105</v>
      </c>
      <c r="C408" s="39">
        <v>5.2266666666666666</v>
      </c>
      <c r="D408" s="50">
        <v>0.37442772101554878</v>
      </c>
      <c r="E408" s="28">
        <v>0.60955203351325027</v>
      </c>
      <c r="F408" s="51">
        <v>1.5226439990281826</v>
      </c>
      <c r="G408" s="28">
        <v>0.38988997081846793</v>
      </c>
      <c r="H408" s="55" t="s">
        <v>27</v>
      </c>
      <c r="I408" s="50">
        <v>60.323377152575297</v>
      </c>
      <c r="J408">
        <f t="shared" si="23"/>
        <v>0.37242051624713846</v>
      </c>
    </row>
    <row r="409" spans="1:10" ht="12.75" customHeight="1" x14ac:dyDescent="0.15">
      <c r="A409" s="126">
        <v>39</v>
      </c>
      <c r="B409" s="25" t="s">
        <v>106</v>
      </c>
      <c r="C409" s="39">
        <v>5.2266666666666666</v>
      </c>
      <c r="D409" s="50">
        <v>0.31504192540186116</v>
      </c>
      <c r="E409" s="28">
        <v>0.58889653693765542</v>
      </c>
      <c r="F409" s="51">
        <v>1.2886182741116752</v>
      </c>
      <c r="G409" s="28">
        <v>0.37369714515280922</v>
      </c>
      <c r="H409" s="55" t="s">
        <v>27</v>
      </c>
      <c r="I409" s="50">
        <v>52.552244868591423</v>
      </c>
      <c r="J409">
        <f t="shared" si="23"/>
        <v>0.3596899727381393</v>
      </c>
    </row>
    <row r="410" spans="1:10" ht="12.75" customHeight="1" x14ac:dyDescent="0.15">
      <c r="A410" s="126">
        <v>40</v>
      </c>
      <c r="B410" s="25" t="s">
        <v>107</v>
      </c>
      <c r="C410" s="39">
        <v>5.2266666666666666</v>
      </c>
      <c r="D410" s="50">
        <v>0.37243226875000035</v>
      </c>
      <c r="E410" s="28">
        <v>0.61995711246175511</v>
      </c>
      <c r="F410" s="51">
        <v>1.4788271428571429</v>
      </c>
      <c r="G410" s="28">
        <v>0.38593660405543323</v>
      </c>
      <c r="H410" s="55" t="s">
        <v>27</v>
      </c>
      <c r="I410" s="50">
        <v>58.956417335714264</v>
      </c>
      <c r="J410">
        <f t="shared" si="23"/>
        <v>0.37902466151828795</v>
      </c>
    </row>
    <row r="411" spans="1:10" ht="12.75" customHeight="1" x14ac:dyDescent="0.15">
      <c r="A411" s="126">
        <v>41</v>
      </c>
      <c r="B411" s="25" t="s">
        <v>108</v>
      </c>
      <c r="C411" s="39">
        <v>5.2266666666666666</v>
      </c>
      <c r="D411" s="50">
        <v>0.37382683070337808</v>
      </c>
      <c r="E411" s="28">
        <v>0.60711157902464019</v>
      </c>
      <c r="F411" s="51">
        <v>1.5096677880610829</v>
      </c>
      <c r="G411" s="28">
        <v>0.38569331033460058</v>
      </c>
      <c r="H411" s="55" t="s">
        <v>27</v>
      </c>
      <c r="I411" s="50">
        <v>60.441143155020875</v>
      </c>
      <c r="J411">
        <f t="shared" si="23"/>
        <v>0.37109837225736597</v>
      </c>
    </row>
    <row r="412" spans="1:10" ht="12.75" customHeight="1" x14ac:dyDescent="0.15">
      <c r="A412" s="126">
        <v>42</v>
      </c>
      <c r="B412" s="25" t="s">
        <v>109</v>
      </c>
      <c r="C412" s="39">
        <v>5.2266666666666666</v>
      </c>
      <c r="D412" s="50">
        <v>0.37376340825136467</v>
      </c>
      <c r="E412" s="28">
        <v>0.61121414543276675</v>
      </c>
      <c r="F412" s="51">
        <v>1.5054393442622955</v>
      </c>
      <c r="G412" s="28">
        <v>0.38713226459601674</v>
      </c>
      <c r="H412" s="55" t="s">
        <v>27</v>
      </c>
      <c r="I412" s="50">
        <v>60.019100703005471</v>
      </c>
      <c r="J412">
        <f t="shared" si="23"/>
        <v>0.37364446038690652</v>
      </c>
    </row>
    <row r="413" spans="1:10" ht="12.75" customHeight="1" x14ac:dyDescent="0.15">
      <c r="A413" s="126">
        <v>43</v>
      </c>
      <c r="B413" s="25" t="s">
        <v>110</v>
      </c>
      <c r="C413" s="39">
        <v>5.2266666666666666</v>
      </c>
      <c r="D413" s="50">
        <v>0.3178552551020406</v>
      </c>
      <c r="E413" s="28">
        <v>0.59202605348516613</v>
      </c>
      <c r="F413" s="51">
        <v>1.2859808163265307</v>
      </c>
      <c r="G413" s="28">
        <v>0.37176928515772578</v>
      </c>
      <c r="H413" s="55" t="s">
        <v>27</v>
      </c>
      <c r="I413" s="50">
        <v>52.753525116563601</v>
      </c>
      <c r="J413">
        <f t="shared" si="23"/>
        <v>0.36151736332278595</v>
      </c>
    </row>
    <row r="414" spans="1:10" ht="12.75" customHeight="1" x14ac:dyDescent="0.15">
      <c r="A414" s="126">
        <v>44</v>
      </c>
      <c r="B414" s="25" t="s">
        <v>111</v>
      </c>
      <c r="C414" s="39">
        <v>5.2266666666666666</v>
      </c>
      <c r="D414" s="50">
        <v>0.3655846808267641</v>
      </c>
      <c r="E414" s="28">
        <v>0.59338141470306693</v>
      </c>
      <c r="F414" s="51">
        <v>1.5089041600970285</v>
      </c>
      <c r="G414" s="28">
        <v>0.38573622632224108</v>
      </c>
      <c r="H414" s="55" t="s">
        <v>27</v>
      </c>
      <c r="I414" s="50">
        <v>60.537405023923625</v>
      </c>
      <c r="J414">
        <f t="shared" si="23"/>
        <v>0.36233929817337523</v>
      </c>
    </row>
    <row r="415" spans="1:10" ht="12.75" customHeight="1" x14ac:dyDescent="0.15">
      <c r="A415" s="126">
        <v>45</v>
      </c>
      <c r="B415" s="25" t="s">
        <v>112</v>
      </c>
      <c r="C415" s="39">
        <v>5.2266666666666666</v>
      </c>
      <c r="D415" s="50">
        <v>0.37206477918215519</v>
      </c>
      <c r="E415" s="28">
        <v>0.61935582251746257</v>
      </c>
      <c r="F415" s="51">
        <v>1.4835109433085505</v>
      </c>
      <c r="G415" s="28">
        <v>0.3873101848988576</v>
      </c>
      <c r="H415" s="55" t="s">
        <v>27</v>
      </c>
      <c r="I415" s="50">
        <v>58.97785507537175</v>
      </c>
      <c r="J415">
        <f t="shared" si="23"/>
        <v>0.37851303209314957</v>
      </c>
    </row>
    <row r="416" spans="1:10" ht="12.75" customHeight="1" x14ac:dyDescent="0.15">
      <c r="A416" s="126">
        <v>46</v>
      </c>
      <c r="B416" s="25" t="s">
        <v>113</v>
      </c>
      <c r="C416" s="39">
        <v>5.2266666666666666</v>
      </c>
      <c r="D416" s="50">
        <v>0.36680480491601264</v>
      </c>
      <c r="E416" s="28">
        <v>0.62168474037828314</v>
      </c>
      <c r="F416" s="51">
        <v>1.4804588580674989</v>
      </c>
      <c r="G416" s="28">
        <v>0.39314438541495045</v>
      </c>
      <c r="H416" s="55" t="s">
        <v>27</v>
      </c>
      <c r="I416" s="50">
        <v>58.102414011450158</v>
      </c>
      <c r="J416">
        <f t="shared" si="23"/>
        <v>0.3787844045623236</v>
      </c>
    </row>
    <row r="417" spans="1:10" ht="12.75" customHeight="1" x14ac:dyDescent="0.15">
      <c r="A417" s="126">
        <v>47</v>
      </c>
      <c r="B417" s="25" t="s">
        <v>114</v>
      </c>
      <c r="C417" s="39">
        <v>5.23</v>
      </c>
      <c r="D417" s="50">
        <v>0.38013093721227531</v>
      </c>
      <c r="E417" s="28">
        <v>0.62287689180563677</v>
      </c>
      <c r="F417" s="51">
        <v>1.5363693947144079</v>
      </c>
      <c r="G417" s="28">
        <v>0.39750762856250788</v>
      </c>
      <c r="H417" s="55" t="s">
        <v>27</v>
      </c>
      <c r="I417" s="50">
        <v>60.103360634271141</v>
      </c>
      <c r="J417">
        <f t="shared" si="23"/>
        <v>0.37947722044233584</v>
      </c>
    </row>
    <row r="418" spans="1:10" ht="12.75" customHeight="1" x14ac:dyDescent="0.15">
      <c r="A418" s="126">
        <v>48</v>
      </c>
      <c r="B418" s="25" t="s">
        <v>115</v>
      </c>
      <c r="C418" s="39">
        <v>5.2266666666666666</v>
      </c>
      <c r="D418" s="50">
        <v>0.39258793453158913</v>
      </c>
      <c r="E418" s="28">
        <v>0.62522589031589393</v>
      </c>
      <c r="F418" s="51">
        <v>1.5915456824298349</v>
      </c>
      <c r="G418" s="28">
        <v>0.40061449495058049</v>
      </c>
      <c r="H418" s="55" t="s">
        <v>27</v>
      </c>
      <c r="I418" s="50">
        <v>61.815249343156488</v>
      </c>
      <c r="J418">
        <f t="shared" si="23"/>
        <v>0.38105930692170109</v>
      </c>
    </row>
    <row r="419" spans="1:10" ht="12.75" customHeight="1" x14ac:dyDescent="0.15">
      <c r="A419" s="126">
        <v>49</v>
      </c>
      <c r="B419" s="25" t="s">
        <v>116</v>
      </c>
      <c r="C419" s="39">
        <v>5.2266666666666666</v>
      </c>
      <c r="D419" s="50">
        <v>0.36524276162332625</v>
      </c>
      <c r="E419" s="28">
        <v>0.61905522809073088</v>
      </c>
      <c r="F419" s="51">
        <v>1.4777037037037037</v>
      </c>
      <c r="G419" s="28">
        <v>0.39366975151622002</v>
      </c>
      <c r="H419" s="55" t="s">
        <v>27</v>
      </c>
      <c r="I419" s="50">
        <v>58.072261120856297</v>
      </c>
      <c r="J419">
        <f t="shared" si="23"/>
        <v>0.3773671848559913</v>
      </c>
    </row>
    <row r="420" spans="1:10" ht="12.75" customHeight="1" x14ac:dyDescent="0.15">
      <c r="A420" s="126">
        <v>50</v>
      </c>
      <c r="B420" s="25" t="s">
        <v>117</v>
      </c>
      <c r="C420" s="39">
        <v>5.23</v>
      </c>
      <c r="D420" s="50">
        <v>0.39363646583837419</v>
      </c>
      <c r="E420" s="28">
        <v>0.60826225634939179</v>
      </c>
      <c r="F420" s="51">
        <v>1.6437661019878997</v>
      </c>
      <c r="G420" s="28">
        <v>0.40315337809673157</v>
      </c>
      <c r="H420" s="55" t="s">
        <v>27</v>
      </c>
      <c r="I420" s="50">
        <v>63.70435412129796</v>
      </c>
      <c r="J420">
        <f t="shared" si="23"/>
        <v>0.3707468394598526</v>
      </c>
    </row>
    <row r="421" spans="1:10" ht="12.75" customHeight="1" x14ac:dyDescent="0.15">
      <c r="A421" s="126">
        <v>51</v>
      </c>
      <c r="B421" s="25" t="s">
        <v>2</v>
      </c>
      <c r="C421" s="39">
        <v>5.2266666666666666</v>
      </c>
      <c r="D421" s="50">
        <v>0.39317066725735506</v>
      </c>
      <c r="E421" s="28">
        <v>0.62445212257082672</v>
      </c>
      <c r="F421" s="51">
        <v>1.5939451702571232</v>
      </c>
      <c r="G421" s="28">
        <v>0.40040808892236018</v>
      </c>
      <c r="H421" s="55" t="s">
        <v>27</v>
      </c>
      <c r="I421" s="50">
        <v>61.957858689494955</v>
      </c>
      <c r="J421">
        <f t="shared" si="23"/>
        <v>0.38074653537761893</v>
      </c>
    </row>
    <row r="422" spans="1:10" ht="12.75" customHeight="1" x14ac:dyDescent="0.15">
      <c r="A422" s="126">
        <v>52</v>
      </c>
      <c r="B422" s="25" t="s">
        <v>118</v>
      </c>
      <c r="C422" s="39">
        <v>5.23</v>
      </c>
      <c r="D422" s="50">
        <v>0.36806911070205484</v>
      </c>
      <c r="E422" s="28">
        <v>0.62281708537110536</v>
      </c>
      <c r="F422" s="51">
        <v>1.4725082191780823</v>
      </c>
      <c r="G422" s="28">
        <v>0.39202040416725414</v>
      </c>
      <c r="H422" s="55" t="s">
        <v>27</v>
      </c>
      <c r="I422" s="50">
        <v>58.164371542037706</v>
      </c>
      <c r="J422">
        <f t="shared" si="23"/>
        <v>0.3796851243576525</v>
      </c>
    </row>
    <row r="423" spans="1:10" ht="12.75" customHeight="1" x14ac:dyDescent="0.15">
      <c r="A423" s="126">
        <v>53</v>
      </c>
      <c r="B423" s="25" t="s">
        <v>119</v>
      </c>
      <c r="C423" s="39">
        <v>5.2266666666666666</v>
      </c>
      <c r="D423" s="50">
        <v>0.38704674608666423</v>
      </c>
      <c r="E423" s="28">
        <v>0.62236051242487922</v>
      </c>
      <c r="F423" s="51">
        <v>1.5682441283170978</v>
      </c>
      <c r="G423" s="28">
        <v>0.39839148358075116</v>
      </c>
      <c r="H423" s="55" t="s">
        <v>27</v>
      </c>
      <c r="I423" s="50">
        <v>61.193036757877024</v>
      </c>
      <c r="J423">
        <f t="shared" si="23"/>
        <v>0.37950077321845799</v>
      </c>
    </row>
    <row r="424" spans="1:10" ht="12.75" customHeight="1" x14ac:dyDescent="0.15">
      <c r="A424" s="126">
        <v>54</v>
      </c>
      <c r="B424" s="25" t="s">
        <v>120</v>
      </c>
      <c r="C424" s="39">
        <v>5.23</v>
      </c>
      <c r="D424" s="50">
        <v>0.37839823966473274</v>
      </c>
      <c r="E424" s="28">
        <v>0.62302095439701277</v>
      </c>
      <c r="F424" s="51">
        <v>1.5308965454545458</v>
      </c>
      <c r="G424" s="28">
        <v>0.39751722937060813</v>
      </c>
      <c r="H424" s="55" t="s">
        <v>27</v>
      </c>
      <c r="I424" s="50">
        <v>59.779423893449362</v>
      </c>
      <c r="J424">
        <f t="shared" si="23"/>
        <v>0.37979446607500444</v>
      </c>
    </row>
    <row r="425" spans="1:10" s="216" customFormat="1" ht="12.75" customHeight="1" x14ac:dyDescent="0.15">
      <c r="A425" s="209">
        <v>55</v>
      </c>
      <c r="B425" s="210" t="s">
        <v>121</v>
      </c>
      <c r="C425" s="211">
        <v>5.23</v>
      </c>
      <c r="D425" s="212">
        <v>0.31547983438228377</v>
      </c>
      <c r="E425" s="213">
        <v>0.53329179026958584</v>
      </c>
      <c r="F425" s="214">
        <v>1.4353917176573427</v>
      </c>
      <c r="G425" s="213">
        <v>0.38073755570482914</v>
      </c>
      <c r="H425" s="215" t="s">
        <v>27</v>
      </c>
      <c r="I425" s="212">
        <v>58.075391763694661</v>
      </c>
      <c r="J425" s="216">
        <f t="shared" si="23"/>
        <v>0.32593478043087776</v>
      </c>
    </row>
    <row r="426" spans="1:10" s="216" customFormat="1" ht="12.75" customHeight="1" x14ac:dyDescent="0.15">
      <c r="A426" s="209">
        <v>56</v>
      </c>
      <c r="B426" s="210" t="s">
        <v>122</v>
      </c>
      <c r="C426" s="211">
        <v>5.2266666666666666</v>
      </c>
      <c r="D426" s="212">
        <v>0.32377617980124185</v>
      </c>
      <c r="E426" s="213">
        <v>0.61050330860426905</v>
      </c>
      <c r="F426" s="214">
        <v>1.2689673224458793</v>
      </c>
      <c r="G426" s="213">
        <v>0.37188771476498433</v>
      </c>
      <c r="H426" s="215" t="s">
        <v>27</v>
      </c>
      <c r="I426" s="212">
        <v>52.040401285846315</v>
      </c>
      <c r="J426" s="216">
        <f t="shared" si="23"/>
        <v>0.37329786681253074</v>
      </c>
    </row>
    <row r="427" spans="1:10" s="216" customFormat="1" ht="12.75" customHeight="1" x14ac:dyDescent="0.15">
      <c r="A427" s="209">
        <v>57</v>
      </c>
      <c r="B427" s="210" t="s">
        <v>123</v>
      </c>
      <c r="C427" s="211">
        <v>5.2266666666666666</v>
      </c>
      <c r="D427" s="212">
        <v>0.38157312720057601</v>
      </c>
      <c r="E427" s="213">
        <v>0.61465127568473543</v>
      </c>
      <c r="F427" s="214">
        <v>1.5290098160173162</v>
      </c>
      <c r="G427" s="213">
        <v>0.38857664672557901</v>
      </c>
      <c r="H427" s="215" t="s">
        <v>27</v>
      </c>
      <c r="I427" s="212">
        <v>60.92476189588745</v>
      </c>
      <c r="J427" s="216">
        <f t="shared" si="23"/>
        <v>0.37578132305478867</v>
      </c>
    </row>
    <row r="428" spans="1:10" ht="12.75" customHeight="1" x14ac:dyDescent="0.15">
      <c r="A428" s="126">
        <v>58</v>
      </c>
      <c r="B428" s="25" t="s">
        <v>124</v>
      </c>
      <c r="C428" s="39">
        <v>5.2266666666666666</v>
      </c>
      <c r="D428" s="50">
        <v>0.40926173727647874</v>
      </c>
      <c r="E428" s="28">
        <v>0.61409533459762344</v>
      </c>
      <c r="F428" s="51">
        <v>1.6761299403943144</v>
      </c>
      <c r="G428" s="28">
        <v>0.40081535371140409</v>
      </c>
      <c r="H428" s="55" t="s">
        <v>27</v>
      </c>
      <c r="I428" s="50">
        <v>65.78038961231853</v>
      </c>
      <c r="J428">
        <f t="shared" si="23"/>
        <v>0.37329824863169003</v>
      </c>
    </row>
    <row r="429" spans="1:10" ht="12.75" customHeight="1" x14ac:dyDescent="0.15">
      <c r="A429" s="126">
        <v>59</v>
      </c>
      <c r="B429" s="25" t="s">
        <v>90</v>
      </c>
      <c r="C429" s="39">
        <v>5.2266666666666666</v>
      </c>
      <c r="D429" s="50">
        <v>0.37848970678402449</v>
      </c>
      <c r="E429" s="28">
        <v>0.60355852216075045</v>
      </c>
      <c r="F429" s="51">
        <v>1.5555880667078443</v>
      </c>
      <c r="G429" s="28">
        <v>0.39161848285279005</v>
      </c>
      <c r="H429" s="55" t="s">
        <v>27</v>
      </c>
      <c r="I429" s="50">
        <v>61.907068385145138</v>
      </c>
      <c r="J429">
        <f t="shared" si="23"/>
        <v>0.36683020209838724</v>
      </c>
    </row>
    <row r="430" spans="1:10" ht="12.75" customHeight="1" x14ac:dyDescent="0.15">
      <c r="A430" s="126">
        <v>60</v>
      </c>
      <c r="B430" s="25" t="s">
        <v>91</v>
      </c>
      <c r="C430" s="39">
        <v>5.2266666666666666</v>
      </c>
      <c r="D430" s="50">
        <v>0.36895682590194157</v>
      </c>
      <c r="E430" s="28">
        <v>0.61711360448335928</v>
      </c>
      <c r="F430" s="51">
        <v>1.4820449768732655</v>
      </c>
      <c r="G430" s="28">
        <v>0.38950040779916895</v>
      </c>
      <c r="H430" s="55" t="s">
        <v>27</v>
      </c>
      <c r="I430" s="50">
        <v>58.998742529710171</v>
      </c>
      <c r="J430">
        <f t="shared" si="23"/>
        <v>0.3752183284748602</v>
      </c>
    </row>
    <row r="431" spans="1:10" ht="12.75" customHeight="1" x14ac:dyDescent="0.15">
      <c r="A431" s="126">
        <v>61</v>
      </c>
      <c r="B431" s="25" t="s">
        <v>92</v>
      </c>
      <c r="C431" s="39">
        <v>5.2266666666666666</v>
      </c>
      <c r="D431" s="50">
        <v>0.40135242456140363</v>
      </c>
      <c r="E431" s="28">
        <v>0.6090880608096334</v>
      </c>
      <c r="F431" s="51">
        <v>1.6441691387559811</v>
      </c>
      <c r="G431" s="28">
        <v>0.39644898184072186</v>
      </c>
      <c r="H431" s="55" t="s">
        <v>27</v>
      </c>
      <c r="I431" s="50">
        <v>65.052027330542359</v>
      </c>
      <c r="J431">
        <f t="shared" si="23"/>
        <v>0.37018285919550364</v>
      </c>
    </row>
    <row r="432" spans="1:10" ht="12.75" customHeight="1" x14ac:dyDescent="0.15">
      <c r="A432" s="126">
        <v>62</v>
      </c>
      <c r="B432" s="25" t="s">
        <v>93</v>
      </c>
      <c r="C432" s="39">
        <v>5.2266666666666666</v>
      </c>
      <c r="D432" s="50">
        <v>0.40211895314465484</v>
      </c>
      <c r="E432" s="28">
        <v>0.61469141129392679</v>
      </c>
      <c r="F432" s="51">
        <v>1.6463920283018869</v>
      </c>
      <c r="G432" s="28">
        <v>0.39915286488591006</v>
      </c>
      <c r="H432" s="55" t="s">
        <v>27</v>
      </c>
      <c r="I432" s="50">
        <v>64.573906305479596</v>
      </c>
      <c r="J432">
        <f t="shared" si="23"/>
        <v>0.3736360175353356</v>
      </c>
    </row>
    <row r="433" spans="1:10" ht="12.75" customHeight="1" x14ac:dyDescent="0.15">
      <c r="A433" s="126">
        <v>63</v>
      </c>
      <c r="B433" s="25" t="s">
        <v>94</v>
      </c>
      <c r="C433" s="39">
        <v>5.2266666666666666</v>
      </c>
      <c r="D433" s="50">
        <v>0.38759602489998535</v>
      </c>
      <c r="E433" s="28">
        <v>0.61245115152585816</v>
      </c>
      <c r="F433" s="51">
        <v>1.5750466250600099</v>
      </c>
      <c r="G433" s="28">
        <v>0.39351685513603746</v>
      </c>
      <c r="H433" s="55" t="s">
        <v>27</v>
      </c>
      <c r="I433" s="50">
        <v>62.46520501934711</v>
      </c>
      <c r="J433">
        <f t="shared" si="23"/>
        <v>0.3722994503387318</v>
      </c>
    </row>
    <row r="434" spans="1:10" ht="12.75" customHeight="1" x14ac:dyDescent="0.15">
      <c r="A434" s="126">
        <v>64</v>
      </c>
      <c r="B434" s="25" t="s">
        <v>95</v>
      </c>
      <c r="C434" s="39">
        <v>5.2266666666666666</v>
      </c>
      <c r="D434" s="50">
        <v>0.38851827325581301</v>
      </c>
      <c r="E434" s="28">
        <v>0.61105214104179861</v>
      </c>
      <c r="F434" s="51">
        <v>1.5797390697674421</v>
      </c>
      <c r="G434" s="28">
        <v>0.39237006151371651</v>
      </c>
      <c r="H434" s="55" t="s">
        <v>27</v>
      </c>
      <c r="I434" s="50">
        <v>62.758321132945746</v>
      </c>
      <c r="J434">
        <f t="shared" si="23"/>
        <v>0.37144231991112547</v>
      </c>
    </row>
    <row r="435" spans="1:10" ht="12.75" customHeight="1" x14ac:dyDescent="0.15">
      <c r="A435" s="126">
        <v>65</v>
      </c>
      <c r="B435" s="25" t="s">
        <v>96</v>
      </c>
      <c r="C435" s="39">
        <v>5.2266666666666666</v>
      </c>
      <c r="D435" s="50">
        <v>0.38446084313440188</v>
      </c>
      <c r="E435" s="28">
        <v>0.60477080635171432</v>
      </c>
      <c r="F435" s="51">
        <v>1.5862547646773413</v>
      </c>
      <c r="G435" s="28">
        <v>0.39394992816843422</v>
      </c>
      <c r="H435" s="55" t="s">
        <v>27</v>
      </c>
      <c r="I435" s="50">
        <v>62.755394820370405</v>
      </c>
      <c r="J435">
        <f t="shared" si="23"/>
        <v>0.36758035949088397</v>
      </c>
    </row>
    <row r="436" spans="1:10" ht="12.75" customHeight="1" x14ac:dyDescent="0.15">
      <c r="A436" s="126">
        <v>66</v>
      </c>
      <c r="B436" s="25" t="s">
        <v>97</v>
      </c>
      <c r="C436" s="39">
        <v>5.2266666666666666</v>
      </c>
      <c r="D436" s="50">
        <v>0.38468039587133884</v>
      </c>
      <c r="E436" s="28">
        <v>0.61113147490356012</v>
      </c>
      <c r="F436" s="51">
        <v>1.5583325156024967</v>
      </c>
      <c r="G436" s="28">
        <v>0.39065521075307558</v>
      </c>
      <c r="H436" s="55" t="s">
        <v>27</v>
      </c>
      <c r="I436" s="50">
        <v>62.128522403784586</v>
      </c>
      <c r="J436">
        <f t="shared" si="23"/>
        <v>0.37150125029972308</v>
      </c>
    </row>
    <row r="437" spans="1:10" ht="12.75" customHeight="1" x14ac:dyDescent="0.15">
      <c r="A437" s="126">
        <v>67</v>
      </c>
      <c r="B437" s="25" t="s">
        <v>98</v>
      </c>
      <c r="C437" s="39">
        <v>5.2266666666666666</v>
      </c>
      <c r="D437" s="50">
        <v>0.39198037882026904</v>
      </c>
      <c r="E437" s="28">
        <v>0.61382854629315542</v>
      </c>
      <c r="F437" s="51">
        <v>1.587977600950119</v>
      </c>
      <c r="G437" s="28">
        <v>0.3926294327871887</v>
      </c>
      <c r="H437" s="55" t="s">
        <v>27</v>
      </c>
      <c r="I437" s="50">
        <v>63.037848427118</v>
      </c>
      <c r="J437">
        <f t="shared" si="23"/>
        <v>0.37309050540339628</v>
      </c>
    </row>
    <row r="438" spans="1:10" ht="12.75" customHeight="1" x14ac:dyDescent="0.15">
      <c r="A438" s="126">
        <v>68</v>
      </c>
      <c r="B438" s="25" t="s">
        <v>99</v>
      </c>
      <c r="C438" s="39">
        <v>5.2266666666666666</v>
      </c>
      <c r="D438" s="50">
        <v>0.40707261557919583</v>
      </c>
      <c r="E438" s="28">
        <v>0.60827017609261513</v>
      </c>
      <c r="F438" s="51">
        <v>1.6726093238770687</v>
      </c>
      <c r="G438" s="28">
        <v>0.39760693537193692</v>
      </c>
      <c r="H438" s="55" t="s">
        <v>27</v>
      </c>
      <c r="I438" s="50">
        <v>66.055330279921179</v>
      </c>
      <c r="J438">
        <f t="shared" si="23"/>
        <v>0.36975603378636068</v>
      </c>
    </row>
    <row r="439" spans="1:10" ht="12.75" customHeight="1" x14ac:dyDescent="0.15">
      <c r="A439" s="126">
        <v>69</v>
      </c>
      <c r="B439" s="25" t="s">
        <v>100</v>
      </c>
      <c r="C439" s="39">
        <v>5.2266666666666666</v>
      </c>
      <c r="D439" s="50">
        <v>0.39719651936027056</v>
      </c>
      <c r="E439" s="28">
        <v>0.60540298512602775</v>
      </c>
      <c r="F439" s="51">
        <v>1.6266116161616164</v>
      </c>
      <c r="G439" s="28">
        <v>0.39338355215552878</v>
      </c>
      <c r="H439" s="55" t="s">
        <v>27</v>
      </c>
      <c r="I439" s="50">
        <v>64.758887600553138</v>
      </c>
      <c r="J439">
        <f t="shared" si="23"/>
        <v>0.36800803788687492</v>
      </c>
    </row>
    <row r="440" spans="1:10" ht="12.75" customHeight="1" x14ac:dyDescent="0.15">
      <c r="A440" s="126">
        <v>70</v>
      </c>
      <c r="B440" s="25" t="s">
        <v>101</v>
      </c>
      <c r="C440" s="39">
        <v>5.2266666666666666</v>
      </c>
      <c r="D440" s="50">
        <v>0.34961631943808236</v>
      </c>
      <c r="E440" s="28">
        <v>0.60440996766089494</v>
      </c>
      <c r="F440" s="51">
        <v>1.4126290563444801</v>
      </c>
      <c r="G440" s="28">
        <v>0.38220951559927835</v>
      </c>
      <c r="H440" s="55" t="s">
        <v>27</v>
      </c>
      <c r="I440" s="50">
        <v>56.780021192243112</v>
      </c>
      <c r="J440">
        <f t="shared" si="23"/>
        <v>0.36944296120042075</v>
      </c>
    </row>
    <row r="441" spans="1:10" ht="12.75" customHeight="1" x14ac:dyDescent="0.15">
      <c r="A441" s="126">
        <v>71</v>
      </c>
      <c r="B441" s="25" t="s">
        <v>102</v>
      </c>
      <c r="C441" s="39">
        <v>5.2266666666666666</v>
      </c>
      <c r="D441" s="50">
        <v>0.36865881485972474</v>
      </c>
      <c r="E441" s="28">
        <v>0.6022340971371184</v>
      </c>
      <c r="F441" s="51">
        <v>1.4963325962910128</v>
      </c>
      <c r="G441" s="28">
        <v>0.38474121515644899</v>
      </c>
      <c r="H441" s="55" t="s">
        <v>27</v>
      </c>
      <c r="I441" s="50">
        <v>60.091059349572056</v>
      </c>
      <c r="J441">
        <f t="shared" si="23"/>
        <v>0.36810016549892977</v>
      </c>
    </row>
    <row r="442" spans="1:10" ht="12.75" customHeight="1" x14ac:dyDescent="0.15">
      <c r="A442" s="126">
        <v>72</v>
      </c>
      <c r="B442" s="25" t="s">
        <v>103</v>
      </c>
      <c r="C442" s="39">
        <v>5.2266666666666666</v>
      </c>
      <c r="D442" s="50">
        <v>0.36767657896958195</v>
      </c>
      <c r="E442" s="28">
        <v>0.59784827280970354</v>
      </c>
      <c r="F442" s="51">
        <v>1.5038726899187771</v>
      </c>
      <c r="G442" s="28">
        <v>0.38508439299163633</v>
      </c>
      <c r="H442" s="55" t="s">
        <v>27</v>
      </c>
      <c r="I442" s="50">
        <v>60.386845580817003</v>
      </c>
      <c r="J442">
        <f t="shared" si="23"/>
        <v>0.36532119745600478</v>
      </c>
    </row>
    <row r="443" spans="1:10" ht="12.75" customHeight="1" x14ac:dyDescent="0.15">
      <c r="A443" s="126">
        <v>73</v>
      </c>
      <c r="B443" s="25" t="s">
        <v>104</v>
      </c>
      <c r="C443" s="39">
        <v>5.2266666666666666</v>
      </c>
      <c r="D443" s="50">
        <v>0.36161589385964854</v>
      </c>
      <c r="E443" s="28">
        <v>0.5905858851099457</v>
      </c>
      <c r="F443" s="51">
        <v>1.4666016746411485</v>
      </c>
      <c r="G443" s="28">
        <v>0.37737491491269898</v>
      </c>
      <c r="H443" s="55" t="s">
        <v>27</v>
      </c>
      <c r="I443" s="50">
        <v>60.132023760909121</v>
      </c>
      <c r="J443">
        <f t="shared" si="23"/>
        <v>0.36082194269476359</v>
      </c>
    </row>
    <row r="444" spans="1:10" ht="12.75" customHeight="1" x14ac:dyDescent="0.15">
      <c r="A444" s="126">
        <v>74</v>
      </c>
      <c r="B444" s="25" t="s">
        <v>105</v>
      </c>
      <c r="C444" s="39">
        <v>5.2266666666666666</v>
      </c>
      <c r="D444" s="50">
        <v>0.35943648293614339</v>
      </c>
      <c r="E444" s="28">
        <v>0.59466523554675343</v>
      </c>
      <c r="F444" s="51">
        <v>1.4460670302474794</v>
      </c>
      <c r="G444" s="28">
        <v>0.37672749014028134</v>
      </c>
      <c r="H444" s="55" t="s">
        <v>27</v>
      </c>
      <c r="I444" s="50">
        <v>59.348811260670658</v>
      </c>
      <c r="J444">
        <f t="shared" si="23"/>
        <v>0.36338030228518009</v>
      </c>
    </row>
    <row r="445" spans="1:10" ht="12.75" customHeight="1" x14ac:dyDescent="0.15">
      <c r="A445" s="126">
        <v>75</v>
      </c>
      <c r="B445" s="25" t="s">
        <v>106</v>
      </c>
      <c r="C445" s="39">
        <v>5.2266666666666666</v>
      </c>
      <c r="D445" s="50">
        <v>0.35980148307501536</v>
      </c>
      <c r="E445" s="28">
        <v>0.58940364900350672</v>
      </c>
      <c r="F445" s="51">
        <v>1.4784350712957224</v>
      </c>
      <c r="G445" s="28">
        <v>0.38081468724919204</v>
      </c>
      <c r="H445" s="55" t="s">
        <v>27</v>
      </c>
      <c r="I445" s="50">
        <v>59.979412046187214</v>
      </c>
      <c r="J445">
        <f t="shared" si="23"/>
        <v>0.35992498505782267</v>
      </c>
    </row>
    <row r="446" spans="1:10" ht="12.75" customHeight="1" x14ac:dyDescent="0.15">
      <c r="A446" s="126">
        <v>76</v>
      </c>
      <c r="B446" s="25" t="s">
        <v>107</v>
      </c>
      <c r="C446" s="39">
        <v>5.2266666666666666</v>
      </c>
      <c r="D446" s="50">
        <v>0.35471904106463936</v>
      </c>
      <c r="E446" s="28">
        <v>0.5963127676732638</v>
      </c>
      <c r="F446" s="51">
        <v>1.4300913498098859</v>
      </c>
      <c r="G446" s="28">
        <v>0.37708312578988196</v>
      </c>
      <c r="H446" s="55" t="s">
        <v>27</v>
      </c>
      <c r="I446" s="50">
        <v>58.391022198320663</v>
      </c>
      <c r="J446">
        <f t="shared" si="23"/>
        <v>0.36449340433862915</v>
      </c>
    </row>
    <row r="447" spans="1:10" ht="12.75" customHeight="1" x14ac:dyDescent="0.15">
      <c r="A447" s="126">
        <v>77</v>
      </c>
      <c r="B447" s="25" t="s">
        <v>108</v>
      </c>
      <c r="C447" s="39">
        <v>5.2266666666666666</v>
      </c>
      <c r="D447" s="50">
        <v>0.35449177962175038</v>
      </c>
      <c r="E447" s="28">
        <v>0.59167625040214222</v>
      </c>
      <c r="F447" s="51">
        <v>1.4296824539007094</v>
      </c>
      <c r="G447" s="28">
        <v>0.37506250566675797</v>
      </c>
      <c r="H447" s="55" t="s">
        <v>27</v>
      </c>
      <c r="I447" s="50">
        <v>58.807311386383006</v>
      </c>
      <c r="J447">
        <f t="shared" si="23"/>
        <v>0.36168133308386607</v>
      </c>
    </row>
    <row r="448" spans="1:10" ht="12.75" customHeight="1" x14ac:dyDescent="0.15">
      <c r="A448" s="126">
        <v>78</v>
      </c>
      <c r="B448" s="25" t="s">
        <v>109</v>
      </c>
      <c r="C448" s="39">
        <v>5.2266666666666666</v>
      </c>
      <c r="D448" s="50">
        <v>0.37336582959523745</v>
      </c>
      <c r="E448" s="28">
        <v>0.59696525627356201</v>
      </c>
      <c r="F448" s="51">
        <v>1.5184092857142859</v>
      </c>
      <c r="G448" s="28">
        <v>0.38295727206034963</v>
      </c>
      <c r="H448" s="55" t="s">
        <v>27</v>
      </c>
      <c r="I448" s="50">
        <v>61.39769581707143</v>
      </c>
      <c r="J448">
        <f t="shared" si="23"/>
        <v>0.36486629469709608</v>
      </c>
    </row>
    <row r="449" spans="1:10" ht="12.75" customHeight="1" x14ac:dyDescent="0.15">
      <c r="A449" s="126">
        <v>79</v>
      </c>
      <c r="B449" s="25" t="s">
        <v>110</v>
      </c>
      <c r="C449" s="39">
        <v>5.2266666666666666</v>
      </c>
      <c r="D449" s="50">
        <v>0.35459759705742644</v>
      </c>
      <c r="E449" s="28">
        <v>0.60900271431640074</v>
      </c>
      <c r="F449" s="51">
        <v>1.4370610583768393</v>
      </c>
      <c r="G449" s="28">
        <v>0.38578935187933533</v>
      </c>
      <c r="H449" s="55" t="s">
        <v>27</v>
      </c>
      <c r="I449" s="50">
        <v>57.440453871650085</v>
      </c>
      <c r="J449">
        <f t="shared" si="23"/>
        <v>0.37039846291929024</v>
      </c>
    </row>
    <row r="450" spans="1:10" ht="12.75" customHeight="1" x14ac:dyDescent="0.15">
      <c r="A450" s="126">
        <v>80</v>
      </c>
      <c r="B450" s="25" t="s">
        <v>111</v>
      </c>
      <c r="C450" s="39">
        <v>5.2266666666666666</v>
      </c>
      <c r="D450" s="50">
        <v>0.33889700132575851</v>
      </c>
      <c r="E450" s="28">
        <v>0.58925054950919598</v>
      </c>
      <c r="F450" s="51">
        <v>1.41694400094697</v>
      </c>
      <c r="G450" s="28">
        <v>0.38424368119540392</v>
      </c>
      <c r="H450" s="55" t="s">
        <v>27</v>
      </c>
      <c r="I450" s="50">
        <v>56.738615776325759</v>
      </c>
      <c r="J450">
        <f t="shared" si="23"/>
        <v>0.35837709118081473</v>
      </c>
    </row>
    <row r="451" spans="1:10" ht="12.75" customHeight="1" x14ac:dyDescent="0.15">
      <c r="A451" s="126">
        <v>81</v>
      </c>
      <c r="B451" s="25" t="s">
        <v>112</v>
      </c>
      <c r="C451" s="39">
        <v>5.2266666666666666</v>
      </c>
      <c r="D451" s="50">
        <v>0.36003134739938136</v>
      </c>
      <c r="E451" s="28">
        <v>0.59091693510495924</v>
      </c>
      <c r="F451" s="51">
        <v>1.4859480990712073</v>
      </c>
      <c r="G451" s="28">
        <v>0.38332236079927012</v>
      </c>
      <c r="H451" s="55" t="s">
        <v>27</v>
      </c>
      <c r="I451" s="50">
        <v>60.031309810371532</v>
      </c>
      <c r="J451">
        <f t="shared" si="23"/>
        <v>0.359843570166959</v>
      </c>
    </row>
    <row r="452" spans="1:10" ht="12.75" customHeight="1" x14ac:dyDescent="0.15">
      <c r="A452" s="126">
        <v>82</v>
      </c>
      <c r="B452" s="25" t="s">
        <v>113</v>
      </c>
      <c r="C452" s="39">
        <v>5.2266666666666666</v>
      </c>
      <c r="D452" s="50">
        <v>0.38484536603773523</v>
      </c>
      <c r="E452" s="28">
        <v>0.59979338063494159</v>
      </c>
      <c r="F452" s="51">
        <v>1.5787417452830192</v>
      </c>
      <c r="G452" s="28">
        <v>0.39071266860772064</v>
      </c>
      <c r="H452" s="55" t="s">
        <v>27</v>
      </c>
      <c r="I452" s="50">
        <v>62.979314774190286</v>
      </c>
      <c r="J452">
        <f t="shared" si="23"/>
        <v>0.3666397776008668</v>
      </c>
    </row>
    <row r="453" spans="1:10" ht="12.75" customHeight="1" x14ac:dyDescent="0.15">
      <c r="A453" s="126">
        <v>83</v>
      </c>
      <c r="B453" s="25" t="s">
        <v>114</v>
      </c>
      <c r="C453" s="39">
        <v>5.2266666666666666</v>
      </c>
      <c r="D453" s="50">
        <v>0.37011263228379465</v>
      </c>
      <c r="E453" s="28">
        <v>0.60940930476114286</v>
      </c>
      <c r="F453" s="51">
        <v>1.4971556747031305</v>
      </c>
      <c r="G453" s="28">
        <v>0.38828853646826245</v>
      </c>
      <c r="H453" s="55" t="s">
        <v>27</v>
      </c>
      <c r="I453" s="50">
        <v>59.799484012738418</v>
      </c>
      <c r="J453">
        <f t="shared" ref="J453:J516" si="24">D453*60/I453</f>
        <v>0.37135367141792092</v>
      </c>
    </row>
    <row r="454" spans="1:10" ht="12.75" customHeight="1" x14ac:dyDescent="0.15">
      <c r="A454" s="126">
        <v>84</v>
      </c>
      <c r="B454" s="25" t="s">
        <v>115</v>
      </c>
      <c r="C454" s="39">
        <v>5.2266666666666666</v>
      </c>
      <c r="D454" s="50">
        <v>0.36691282310748596</v>
      </c>
      <c r="E454" s="28">
        <v>0.60146762184633806</v>
      </c>
      <c r="F454" s="51">
        <v>1.4944081681304895</v>
      </c>
      <c r="G454" s="28">
        <v>0.38551972570526089</v>
      </c>
      <c r="H454" s="55" t="s">
        <v>27</v>
      </c>
      <c r="I454" s="50">
        <v>60.080990143977424</v>
      </c>
      <c r="J454">
        <f t="shared" si="24"/>
        <v>0.3664182187026746</v>
      </c>
    </row>
    <row r="455" spans="1:10" ht="12.75" customHeight="1" x14ac:dyDescent="0.15">
      <c r="A455" s="126">
        <v>85</v>
      </c>
      <c r="B455" s="25" t="s">
        <v>116</v>
      </c>
      <c r="C455" s="39">
        <v>5.2266666666666666</v>
      </c>
      <c r="D455" s="50">
        <v>0.36852150275307116</v>
      </c>
      <c r="E455" s="28">
        <v>0.60864343827339373</v>
      </c>
      <c r="F455" s="51">
        <v>1.4904422681067344</v>
      </c>
      <c r="G455" s="28">
        <v>0.38797685839075657</v>
      </c>
      <c r="H455" s="55" t="s">
        <v>27</v>
      </c>
      <c r="I455" s="50">
        <v>59.579719599809422</v>
      </c>
      <c r="J455">
        <f t="shared" si="24"/>
        <v>0.37112108471982463</v>
      </c>
    </row>
    <row r="456" spans="1:10" ht="12.75" customHeight="1" x14ac:dyDescent="0.15">
      <c r="A456" s="126">
        <v>86</v>
      </c>
      <c r="B456" s="25" t="s">
        <v>117</v>
      </c>
      <c r="C456" s="39">
        <v>5.2266666666666666</v>
      </c>
      <c r="D456" s="50">
        <v>0.36420433754843262</v>
      </c>
      <c r="E456" s="28">
        <v>0.61094257887323189</v>
      </c>
      <c r="F456" s="51">
        <v>1.476239771046143</v>
      </c>
      <c r="G456" s="28">
        <v>0.38907362482712554</v>
      </c>
      <c r="H456" s="55" t="s">
        <v>27</v>
      </c>
      <c r="I456" s="50">
        <v>58.660169888182494</v>
      </c>
      <c r="J456">
        <f t="shared" si="24"/>
        <v>0.37252296225122677</v>
      </c>
    </row>
    <row r="457" spans="1:10" ht="12.75" customHeight="1" x14ac:dyDescent="0.15">
      <c r="A457" s="126">
        <v>87</v>
      </c>
      <c r="B457" s="25" t="s">
        <v>2</v>
      </c>
      <c r="C457" s="39">
        <v>5.2266666666666666</v>
      </c>
      <c r="D457" s="50">
        <v>0.36418773368731638</v>
      </c>
      <c r="E457" s="28">
        <v>0.60940109400024145</v>
      </c>
      <c r="F457" s="51">
        <v>1.4708882300884958</v>
      </c>
      <c r="G457" s="28">
        <v>0.38685214443028698</v>
      </c>
      <c r="H457" s="55" t="s">
        <v>27</v>
      </c>
      <c r="I457" s="50">
        <v>58.797769174159257</v>
      </c>
      <c r="J457">
        <f t="shared" si="24"/>
        <v>0.37163423592679923</v>
      </c>
    </row>
    <row r="458" spans="1:10" ht="12.75" customHeight="1" x14ac:dyDescent="0.15">
      <c r="A458" s="126">
        <v>88</v>
      </c>
      <c r="B458" s="25" t="s">
        <v>118</v>
      </c>
      <c r="C458" s="39">
        <v>5.2200000000000006</v>
      </c>
      <c r="D458" s="50">
        <v>0.39694656780061421</v>
      </c>
      <c r="E458" s="28">
        <v>0.6506688484607539</v>
      </c>
      <c r="F458" s="51">
        <v>1.6127690644932675</v>
      </c>
      <c r="G458" s="28">
        <v>0.41431747910803662</v>
      </c>
      <c r="H458" s="55" t="s">
        <v>27</v>
      </c>
      <c r="I458" s="50">
        <v>59.994375533297919</v>
      </c>
      <c r="J458">
        <f t="shared" si="24"/>
        <v>0.39698378150161956</v>
      </c>
    </row>
    <row r="459" spans="1:10" ht="12.75" customHeight="1" x14ac:dyDescent="0.15">
      <c r="A459" s="126">
        <v>89</v>
      </c>
      <c r="B459" s="25" t="s">
        <v>119</v>
      </c>
      <c r="C459" s="39">
        <v>5.2200000000000006</v>
      </c>
      <c r="D459" s="50">
        <v>0.40391221116751308</v>
      </c>
      <c r="E459" s="28">
        <v>0.65003781802821492</v>
      </c>
      <c r="F459" s="51">
        <v>1.641368305349473</v>
      </c>
      <c r="G459" s="28">
        <v>0.41541693065822816</v>
      </c>
      <c r="H459" s="55" t="s">
        <v>27</v>
      </c>
      <c r="I459" s="50">
        <v>61.126993004705206</v>
      </c>
      <c r="J459">
        <f t="shared" si="24"/>
        <v>0.39646531718295608</v>
      </c>
    </row>
    <row r="460" spans="1:10" ht="12.75" customHeight="1" x14ac:dyDescent="0.15">
      <c r="A460" s="126">
        <v>90</v>
      </c>
      <c r="B460" s="25" t="s">
        <v>120</v>
      </c>
      <c r="C460" s="39">
        <v>5.2233333333333336</v>
      </c>
      <c r="D460" s="50">
        <v>0.40424222674292098</v>
      </c>
      <c r="E460" s="28">
        <v>0.63972996069960475</v>
      </c>
      <c r="F460" s="51">
        <v>1.6311431862745098</v>
      </c>
      <c r="G460" s="28">
        <v>0.40795109776089755</v>
      </c>
      <c r="H460" s="55" t="s">
        <v>27</v>
      </c>
      <c r="I460" s="50">
        <v>62.176815164923703</v>
      </c>
      <c r="J460">
        <f t="shared" si="24"/>
        <v>0.39008967474838047</v>
      </c>
    </row>
    <row r="461" spans="1:10" ht="12.75" customHeight="1" x14ac:dyDescent="0.15">
      <c r="A461" s="126">
        <v>91</v>
      </c>
      <c r="B461" s="25" t="s">
        <v>121</v>
      </c>
      <c r="C461" s="39">
        <v>5.2200000000000006</v>
      </c>
      <c r="D461" s="50">
        <v>0.36631960749800385</v>
      </c>
      <c r="E461" s="28">
        <v>0.64939817329073202</v>
      </c>
      <c r="F461" s="51">
        <v>1.4735095347245983</v>
      </c>
      <c r="G461" s="28">
        <v>0.40669279765243427</v>
      </c>
      <c r="H461" s="55" t="s">
        <v>27</v>
      </c>
      <c r="I461" s="50">
        <v>55.484828354972052</v>
      </c>
      <c r="J461">
        <f t="shared" si="24"/>
        <v>0.39612948442888452</v>
      </c>
    </row>
    <row r="462" spans="1:10" ht="12.75" customHeight="1" x14ac:dyDescent="0.15">
      <c r="A462" s="126">
        <v>92</v>
      </c>
      <c r="B462" s="25" t="s">
        <v>122</v>
      </c>
      <c r="C462" s="39">
        <v>5.2233333333333336</v>
      </c>
      <c r="D462" s="50">
        <v>0.39788808906368534</v>
      </c>
      <c r="E462" s="28">
        <v>0.64511208617512927</v>
      </c>
      <c r="F462" s="51">
        <v>1.6076142645943898</v>
      </c>
      <c r="G462" s="28">
        <v>0.40972609853179298</v>
      </c>
      <c r="H462" s="55" t="s">
        <v>27</v>
      </c>
      <c r="I462" s="50">
        <v>60.682131420672214</v>
      </c>
      <c r="J462">
        <f t="shared" si="24"/>
        <v>0.3934154055717356</v>
      </c>
    </row>
    <row r="463" spans="1:10" ht="12.75" customHeight="1" x14ac:dyDescent="0.15">
      <c r="A463" s="126">
        <v>93</v>
      </c>
      <c r="B463" s="25" t="s">
        <v>123</v>
      </c>
      <c r="C463" s="39">
        <v>5.2233333333333336</v>
      </c>
      <c r="D463" s="50">
        <v>0.38398898463187614</v>
      </c>
      <c r="E463" s="28">
        <v>0.61911133966533272</v>
      </c>
      <c r="F463" s="51">
        <v>1.5655381073134875</v>
      </c>
      <c r="G463" s="28">
        <v>0.39756125874560139</v>
      </c>
      <c r="H463" s="55" t="s">
        <v>27</v>
      </c>
      <c r="I463" s="50">
        <v>61.040575735409782</v>
      </c>
      <c r="J463">
        <f t="shared" si="24"/>
        <v>0.37744301721170354</v>
      </c>
    </row>
    <row r="464" spans="1:10" ht="12.75" customHeight="1" x14ac:dyDescent="0.15">
      <c r="A464" s="126">
        <v>94</v>
      </c>
      <c r="B464" s="25" t="s">
        <v>125</v>
      </c>
      <c r="C464" s="39">
        <v>5.2266666666666666</v>
      </c>
      <c r="D464" s="50">
        <v>0.49511238571428573</v>
      </c>
      <c r="E464" s="28">
        <v>0.71525120840655365</v>
      </c>
      <c r="F464" s="51">
        <v>2.1174182857142858</v>
      </c>
      <c r="G464" s="28">
        <v>0.48883262350467133</v>
      </c>
      <c r="H464" s="55" t="s">
        <v>27</v>
      </c>
      <c r="I464" s="50">
        <v>68.187503026666704</v>
      </c>
      <c r="J464">
        <f t="shared" si="24"/>
        <v>0.43566257487445254</v>
      </c>
    </row>
    <row r="465" spans="1:12" ht="12.75" customHeight="1" x14ac:dyDescent="0.15">
      <c r="A465" s="126">
        <v>95</v>
      </c>
      <c r="B465" s="25" t="s">
        <v>126</v>
      </c>
      <c r="C465" s="39">
        <v>5.2266666666666666</v>
      </c>
      <c r="D465" s="50">
        <v>0.57677870114320173</v>
      </c>
      <c r="E465" s="28">
        <v>0.87295246983871866</v>
      </c>
      <c r="F465" s="51">
        <v>2.6296338953068594</v>
      </c>
      <c r="G465" s="28">
        <v>0.62996952121613969</v>
      </c>
      <c r="H465" s="55" t="s">
        <v>27</v>
      </c>
      <c r="I465" s="50">
        <v>64.91833024007218</v>
      </c>
      <c r="J465">
        <f t="shared" si="24"/>
        <v>0.53308090242947115</v>
      </c>
    </row>
    <row r="466" spans="1:12" ht="12.75" customHeight="1" x14ac:dyDescent="0.15">
      <c r="A466" s="126">
        <v>96</v>
      </c>
      <c r="B466" s="25" t="s">
        <v>85</v>
      </c>
      <c r="C466" s="39" t="s">
        <v>27</v>
      </c>
      <c r="D466" s="50" t="s">
        <v>27</v>
      </c>
      <c r="E466" s="28" t="s">
        <v>27</v>
      </c>
      <c r="F466" s="51" t="s">
        <v>27</v>
      </c>
      <c r="G466" s="28" t="s">
        <v>27</v>
      </c>
      <c r="H466" s="55" t="s">
        <v>27</v>
      </c>
      <c r="I466" s="50">
        <v>4.7912273660913218E-2</v>
      </c>
      <c r="J466" t="e">
        <f t="shared" si="24"/>
        <v>#VALUE!</v>
      </c>
    </row>
    <row r="467" spans="1:12" ht="12.75" customHeight="1" x14ac:dyDescent="0.15">
      <c r="A467" s="126">
        <v>97</v>
      </c>
      <c r="B467" s="25" t="s">
        <v>85</v>
      </c>
      <c r="C467" s="39">
        <v>5.2133333333333338</v>
      </c>
      <c r="D467" s="50">
        <v>1.5789010056291186E-2</v>
      </c>
      <c r="E467" s="28">
        <v>9.03120913467205</v>
      </c>
      <c r="F467" s="51">
        <v>1.6654938384299434E-2</v>
      </c>
      <c r="G467" s="28">
        <v>4.2294334031155234</v>
      </c>
      <c r="H467" s="55" t="s">
        <v>27</v>
      </c>
      <c r="I467" s="50">
        <v>4.2384752959074734E-2</v>
      </c>
      <c r="J467">
        <f t="shared" si="24"/>
        <v>22.350976170421255</v>
      </c>
    </row>
    <row r="468" spans="1:12" ht="12.75" customHeight="1" x14ac:dyDescent="0.15">
      <c r="A468" s="126">
        <v>98</v>
      </c>
      <c r="B468" s="25" t="s">
        <v>85</v>
      </c>
      <c r="C468" s="39" t="s">
        <v>27</v>
      </c>
      <c r="D468" s="50" t="s">
        <v>27</v>
      </c>
      <c r="E468" s="28" t="s">
        <v>27</v>
      </c>
      <c r="F468" s="51" t="s">
        <v>27</v>
      </c>
      <c r="G468" s="28" t="s">
        <v>27</v>
      </c>
      <c r="H468" s="55" t="s">
        <v>27</v>
      </c>
      <c r="I468" s="50">
        <v>0.15383328163172283</v>
      </c>
      <c r="J468" t="e">
        <f t="shared" si="24"/>
        <v>#VALUE!</v>
      </c>
    </row>
    <row r="469" spans="1:12" ht="12.75" customHeight="1" x14ac:dyDescent="0.15">
      <c r="A469" s="126">
        <v>99</v>
      </c>
      <c r="B469" s="25" t="s">
        <v>85</v>
      </c>
      <c r="C469" s="39" t="s">
        <v>27</v>
      </c>
      <c r="D469" s="50" t="s">
        <v>27</v>
      </c>
      <c r="E469" s="28" t="s">
        <v>27</v>
      </c>
      <c r="F469" s="51" t="s">
        <v>27</v>
      </c>
      <c r="G469" s="28" t="s">
        <v>27</v>
      </c>
      <c r="H469" s="55" t="s">
        <v>27</v>
      </c>
      <c r="I469" s="50">
        <v>0.4038991018443201</v>
      </c>
      <c r="J469" t="e">
        <f t="shared" si="24"/>
        <v>#VALUE!</v>
      </c>
    </row>
    <row r="470" spans="1:12" ht="12.75" customHeight="1" x14ac:dyDescent="0.15">
      <c r="A470" s="126">
        <v>100</v>
      </c>
      <c r="B470" s="25" t="s">
        <v>127</v>
      </c>
      <c r="C470" s="39">
        <v>5.2200000000000006</v>
      </c>
      <c r="D470" s="50">
        <v>0.56421674857967175</v>
      </c>
      <c r="E470" s="28">
        <v>0.76649660596618485</v>
      </c>
      <c r="F470" s="51">
        <v>2.2383053661784289</v>
      </c>
      <c r="G470" s="28">
        <v>0.48731680748196826</v>
      </c>
      <c r="H470" s="55" t="s">
        <v>27</v>
      </c>
      <c r="I470" s="50">
        <v>72.528602379227749</v>
      </c>
      <c r="J470">
        <f t="shared" si="24"/>
        <v>0.4667538571579567</v>
      </c>
      <c r="L470" s="217">
        <v>0.4667538571579567</v>
      </c>
    </row>
    <row r="471" spans="1:12" ht="12.75" customHeight="1" x14ac:dyDescent="0.15">
      <c r="A471" s="126">
        <v>101</v>
      </c>
      <c r="B471" s="25" t="s">
        <v>90</v>
      </c>
      <c r="C471" s="39">
        <v>5.2233333333333336</v>
      </c>
      <c r="D471" s="50">
        <v>0.49430249490274991</v>
      </c>
      <c r="E471" s="28">
        <v>0.74723728496324915</v>
      </c>
      <c r="F471" s="51">
        <v>1.9615861971830988</v>
      </c>
      <c r="G471" s="28">
        <v>0.46787135925413503</v>
      </c>
      <c r="H471" s="55" t="s">
        <v>27</v>
      </c>
      <c r="I471" s="50">
        <v>65.189621435077129</v>
      </c>
      <c r="J471">
        <f t="shared" si="24"/>
        <v>0.45495201599999757</v>
      </c>
      <c r="L471" s="217">
        <v>0.45495201599999757</v>
      </c>
    </row>
    <row r="472" spans="1:12" ht="12.75" customHeight="1" x14ac:dyDescent="0.15">
      <c r="A472" s="126">
        <v>102</v>
      </c>
      <c r="B472" s="25" t="s">
        <v>91</v>
      </c>
      <c r="C472" s="39">
        <v>5.2200000000000006</v>
      </c>
      <c r="D472" s="50">
        <v>0.4676671128118689</v>
      </c>
      <c r="E472" s="28">
        <v>0.73122786479204616</v>
      </c>
      <c r="F472" s="51">
        <v>1.8693039109912342</v>
      </c>
      <c r="G472" s="28">
        <v>0.45964223873081378</v>
      </c>
      <c r="H472" s="55" t="s">
        <v>27</v>
      </c>
      <c r="I472" s="50">
        <v>63.049454443403043</v>
      </c>
      <c r="J472">
        <f t="shared" si="24"/>
        <v>0.44504789163402658</v>
      </c>
      <c r="L472" s="217">
        <v>0.44504789163402658</v>
      </c>
    </row>
    <row r="473" spans="1:12" ht="12.75" customHeight="1" x14ac:dyDescent="0.15">
      <c r="A473" s="126">
        <v>103</v>
      </c>
      <c r="B473" s="25" t="s">
        <v>92</v>
      </c>
      <c r="C473" s="39">
        <v>5.2200000000000006</v>
      </c>
      <c r="D473" s="50">
        <v>0.45752140312308642</v>
      </c>
      <c r="E473" s="28">
        <v>0.69666239881008374</v>
      </c>
      <c r="F473" s="51">
        <v>1.7996319289650951</v>
      </c>
      <c r="G473" s="28">
        <v>0.43322172920624008</v>
      </c>
      <c r="H473" s="55" t="s">
        <v>27</v>
      </c>
      <c r="I473" s="50">
        <v>64.751162166727894</v>
      </c>
      <c r="J473">
        <f t="shared" si="24"/>
        <v>0.42395044766456574</v>
      </c>
      <c r="L473" s="217">
        <v>0.42395044766456574</v>
      </c>
    </row>
    <row r="474" spans="1:12" ht="12.75" customHeight="1" x14ac:dyDescent="0.15">
      <c r="A474" s="126">
        <v>104</v>
      </c>
      <c r="B474" s="25" t="s">
        <v>93</v>
      </c>
      <c r="C474" s="39">
        <v>5.2200000000000006</v>
      </c>
      <c r="D474" s="50">
        <v>0.45853351442974155</v>
      </c>
      <c r="E474" s="28">
        <v>0.72107307423683453</v>
      </c>
      <c r="F474" s="51">
        <v>1.8439397920604916</v>
      </c>
      <c r="G474" s="28">
        <v>0.45629825087541492</v>
      </c>
      <c r="H474" s="55" t="s">
        <v>27</v>
      </c>
      <c r="I474" s="50">
        <v>62.68294141354761</v>
      </c>
      <c r="J474">
        <f t="shared" si="24"/>
        <v>0.43890746422181054</v>
      </c>
      <c r="L474" s="217">
        <v>0.43890746422181054</v>
      </c>
    </row>
    <row r="475" spans="1:12" ht="12.75" customHeight="1" x14ac:dyDescent="0.15">
      <c r="A475" s="126">
        <v>105</v>
      </c>
      <c r="B475" s="25" t="s">
        <v>94</v>
      </c>
      <c r="C475" s="39">
        <v>5.2200000000000006</v>
      </c>
      <c r="D475" s="50">
        <v>0.4615065589203281</v>
      </c>
      <c r="E475" s="28">
        <v>0.71575359424936724</v>
      </c>
      <c r="F475" s="51">
        <v>1.8415346718844072</v>
      </c>
      <c r="G475" s="28">
        <v>0.45115517858313803</v>
      </c>
      <c r="H475" s="55" t="s">
        <v>27</v>
      </c>
      <c r="I475" s="50">
        <v>63.563630264790291</v>
      </c>
      <c r="J475">
        <f t="shared" si="24"/>
        <v>0.43563266320486083</v>
      </c>
      <c r="L475" s="217">
        <v>0.43563266320486083</v>
      </c>
    </row>
    <row r="476" spans="1:12" ht="12.75" customHeight="1" x14ac:dyDescent="0.15">
      <c r="A476" s="126">
        <v>106</v>
      </c>
      <c r="B476" s="25" t="s">
        <v>95</v>
      </c>
      <c r="C476" s="39">
        <v>5.2200000000000006</v>
      </c>
      <c r="D476" s="50">
        <v>0.43487535928527787</v>
      </c>
      <c r="E476" s="28">
        <v>0.69377340190718306</v>
      </c>
      <c r="F476" s="51">
        <v>1.7523415394013442</v>
      </c>
      <c r="G476" s="28">
        <v>0.44009209821963224</v>
      </c>
      <c r="H476" s="55" t="s">
        <v>27</v>
      </c>
      <c r="I476" s="50">
        <v>61.808598238098114</v>
      </c>
      <c r="J476">
        <f t="shared" si="24"/>
        <v>0.42215035287814601</v>
      </c>
      <c r="L476" s="217">
        <v>0.42215035287814601</v>
      </c>
    </row>
    <row r="477" spans="1:12" ht="12.75" customHeight="1" x14ac:dyDescent="0.15">
      <c r="A477" s="126">
        <v>107</v>
      </c>
      <c r="B477" s="25" t="s">
        <v>96</v>
      </c>
      <c r="C477" s="39">
        <v>5.2200000000000006</v>
      </c>
      <c r="D477" s="50">
        <v>0.44368332595555471</v>
      </c>
      <c r="E477" s="28">
        <v>0.70026279884822995</v>
      </c>
      <c r="F477" s="51">
        <v>1.7910135333333335</v>
      </c>
      <c r="G477" s="28">
        <v>0.44550929792797073</v>
      </c>
      <c r="H477" s="55" t="s">
        <v>27</v>
      </c>
      <c r="I477" s="50">
        <v>62.479177663466629</v>
      </c>
      <c r="J477">
        <f t="shared" si="24"/>
        <v>0.42607794393074006</v>
      </c>
      <c r="L477" s="217">
        <v>0.42607794393074006</v>
      </c>
    </row>
    <row r="478" spans="1:12" ht="12.75" customHeight="1" x14ac:dyDescent="0.15">
      <c r="A478" s="126">
        <v>108</v>
      </c>
      <c r="B478" s="25" t="s">
        <v>97</v>
      </c>
      <c r="C478" s="39">
        <v>5.2200000000000006</v>
      </c>
      <c r="D478" s="50">
        <v>0.42980548330017565</v>
      </c>
      <c r="E478" s="28">
        <v>0.69319186582502279</v>
      </c>
      <c r="F478" s="51">
        <v>1.7367850331564987</v>
      </c>
      <c r="G478" s="28">
        <v>0.44045169066672907</v>
      </c>
      <c r="H478" s="55" t="s">
        <v>27</v>
      </c>
      <c r="I478" s="50">
        <v>61.138778907283374</v>
      </c>
      <c r="J478">
        <f t="shared" si="24"/>
        <v>0.42179987004840902</v>
      </c>
      <c r="L478" s="217">
        <v>0.42179987004840902</v>
      </c>
    </row>
    <row r="479" spans="1:12" ht="12.75" customHeight="1" x14ac:dyDescent="0.15">
      <c r="A479" s="126">
        <v>109</v>
      </c>
      <c r="B479" s="25" t="s">
        <v>98</v>
      </c>
      <c r="C479" s="39">
        <v>5.2233333333333336</v>
      </c>
      <c r="D479" s="50">
        <v>0.42682217907586828</v>
      </c>
      <c r="E479" s="28">
        <v>0.67814610539693521</v>
      </c>
      <c r="F479" s="51">
        <v>1.7404957990314771</v>
      </c>
      <c r="G479" s="28">
        <v>0.43497216255625487</v>
      </c>
      <c r="H479" s="55" t="s">
        <v>27</v>
      </c>
      <c r="I479" s="50">
        <v>62.069148476412423</v>
      </c>
      <c r="J479">
        <f t="shared" si="24"/>
        <v>0.4125935569147397</v>
      </c>
      <c r="L479" s="217">
        <v>0.4125935569147397</v>
      </c>
    </row>
    <row r="480" spans="1:12" ht="12.75" customHeight="1" x14ac:dyDescent="0.15">
      <c r="A480" s="126">
        <v>110</v>
      </c>
      <c r="B480" s="25" t="s">
        <v>99</v>
      </c>
      <c r="C480" s="39">
        <v>5.2200000000000006</v>
      </c>
      <c r="D480" s="50">
        <v>0.43559549611077042</v>
      </c>
      <c r="E480" s="28">
        <v>0.68903619128322391</v>
      </c>
      <c r="F480" s="51">
        <v>1.7594448930971289</v>
      </c>
      <c r="G480" s="28">
        <v>0.43860302351649422</v>
      </c>
      <c r="H480" s="55" t="s">
        <v>27</v>
      </c>
      <c r="I480" s="50">
        <v>62.328627549857508</v>
      </c>
      <c r="J480">
        <f t="shared" si="24"/>
        <v>0.4193214385434671</v>
      </c>
      <c r="L480" s="217">
        <v>0.4193214385434671</v>
      </c>
    </row>
    <row r="481" spans="1:12" ht="12.75" customHeight="1" x14ac:dyDescent="0.15">
      <c r="A481" s="126">
        <v>111</v>
      </c>
      <c r="B481" s="25" t="s">
        <v>100</v>
      </c>
      <c r="C481" s="39">
        <v>5.2200000000000006</v>
      </c>
      <c r="D481" s="50">
        <v>0.43622472221526953</v>
      </c>
      <c r="E481" s="28">
        <v>0.68083074914303843</v>
      </c>
      <c r="F481" s="51">
        <v>1.7791333667083855</v>
      </c>
      <c r="G481" s="28">
        <v>0.43836397059053073</v>
      </c>
      <c r="H481" s="55" t="s">
        <v>27</v>
      </c>
      <c r="I481" s="50">
        <v>63.186515348977927</v>
      </c>
      <c r="J481">
        <f t="shared" si="24"/>
        <v>0.41422577567951829</v>
      </c>
      <c r="L481" s="217">
        <v>0.41422577567951829</v>
      </c>
    </row>
    <row r="482" spans="1:12" ht="12.75" customHeight="1" x14ac:dyDescent="0.15">
      <c r="A482" s="126">
        <v>112</v>
      </c>
      <c r="B482" s="25" t="s">
        <v>101</v>
      </c>
      <c r="C482" s="39">
        <v>5.2133333333333338</v>
      </c>
      <c r="D482" s="50">
        <v>0.27551247497013132</v>
      </c>
      <c r="E482" s="28">
        <v>0.46259153575763823</v>
      </c>
      <c r="F482" s="51">
        <v>0.96827922341696537</v>
      </c>
      <c r="G482" s="28">
        <v>0.25485542646019888</v>
      </c>
      <c r="H482" s="55" t="s">
        <v>27</v>
      </c>
      <c r="I482" s="50">
        <v>58.798614919514108</v>
      </c>
      <c r="J482">
        <f t="shared" si="24"/>
        <v>0.2811418010583383</v>
      </c>
      <c r="L482">
        <v>0.39203774252208973</v>
      </c>
    </row>
    <row r="483" spans="1:12" ht="12.75" customHeight="1" x14ac:dyDescent="0.15">
      <c r="A483" s="126">
        <v>113</v>
      </c>
      <c r="B483" s="25" t="s">
        <v>102</v>
      </c>
      <c r="C483" s="39">
        <v>5.1433333333333335</v>
      </c>
      <c r="D483" s="50">
        <v>0.21667972869198404</v>
      </c>
      <c r="E483" s="28">
        <v>0.36292785700704938</v>
      </c>
      <c r="F483" s="51">
        <v>0.65355784810126594</v>
      </c>
      <c r="G483" s="28">
        <v>0.17177707943155338</v>
      </c>
      <c r="H483" s="55" t="s">
        <v>27</v>
      </c>
      <c r="I483" s="50">
        <v>59.009617148523198</v>
      </c>
      <c r="J483">
        <f t="shared" si="24"/>
        <v>0.22031635434605434</v>
      </c>
      <c r="L483">
        <v>0.38172919591732363</v>
      </c>
    </row>
    <row r="484" spans="1:12" ht="12.75" customHeight="1" x14ac:dyDescent="0.15">
      <c r="A484" s="126">
        <v>114</v>
      </c>
      <c r="B484" s="25" t="s">
        <v>103</v>
      </c>
      <c r="C484" s="39">
        <v>5.2166666666666668</v>
      </c>
      <c r="D484" s="50">
        <v>0.30930423375860649</v>
      </c>
      <c r="E484" s="28">
        <v>0.53231864004793572</v>
      </c>
      <c r="F484" s="51">
        <v>1.1583352369380318</v>
      </c>
      <c r="G484" s="28">
        <v>0.31188086052846692</v>
      </c>
      <c r="H484" s="55" t="s">
        <v>27</v>
      </c>
      <c r="I484" s="50">
        <v>57.328802262839211</v>
      </c>
      <c r="J484">
        <f t="shared" si="24"/>
        <v>0.32371606056639934</v>
      </c>
      <c r="L484">
        <v>0.38483463831436709</v>
      </c>
    </row>
    <row r="485" spans="1:12" ht="12.75" customHeight="1" x14ac:dyDescent="0.15">
      <c r="A485" s="126">
        <v>115</v>
      </c>
      <c r="B485" s="25" t="s">
        <v>104</v>
      </c>
      <c r="C485" s="39">
        <v>5.2266666666666666</v>
      </c>
      <c r="D485" s="50">
        <v>0.16824603149847062</v>
      </c>
      <c r="E485" s="28">
        <v>0.27781316209343931</v>
      </c>
      <c r="F485" s="51">
        <v>0.46798110091743139</v>
      </c>
      <c r="G485" s="28">
        <v>0.12136900563102078</v>
      </c>
      <c r="H485" s="55" t="s">
        <v>27</v>
      </c>
      <c r="I485" s="50">
        <v>59.90720697599388</v>
      </c>
      <c r="J485">
        <f t="shared" si="24"/>
        <v>0.16850663550302769</v>
      </c>
      <c r="L485">
        <v>0.37434953329698378</v>
      </c>
    </row>
    <row r="486" spans="1:12" ht="12.75" customHeight="1" x14ac:dyDescent="0.15">
      <c r="A486" s="126">
        <v>116</v>
      </c>
      <c r="B486" s="25" t="s">
        <v>105</v>
      </c>
      <c r="C486" s="39">
        <v>5.2233333333333336</v>
      </c>
      <c r="D486" s="50">
        <v>0.13590727660996355</v>
      </c>
      <c r="E486" s="28">
        <v>0.23058326722673045</v>
      </c>
      <c r="F486" s="51">
        <v>0.5615637667071689</v>
      </c>
      <c r="G486" s="28">
        <v>0.14895395636019332</v>
      </c>
      <c r="H486" s="55" t="s">
        <v>27</v>
      </c>
      <c r="I486" s="50">
        <v>58.248754310844475</v>
      </c>
      <c r="J486">
        <f t="shared" si="24"/>
        <v>0.13999332162678815</v>
      </c>
      <c r="L486">
        <v>0.3693818999028361</v>
      </c>
    </row>
    <row r="487" spans="1:12" ht="12.75" customHeight="1" x14ac:dyDescent="0.15">
      <c r="A487" s="126">
        <v>117</v>
      </c>
      <c r="B487" s="25" t="s">
        <v>106</v>
      </c>
      <c r="C487" s="39">
        <v>5.46</v>
      </c>
      <c r="D487" s="50">
        <v>8.8497984546292319E-2</v>
      </c>
      <c r="E487" s="28">
        <v>0.14278936852936028</v>
      </c>
      <c r="F487" s="51">
        <v>0.22157775218793185</v>
      </c>
      <c r="G487" s="28">
        <v>5.6440523477487639E-2</v>
      </c>
      <c r="H487" s="55" t="s">
        <v>27</v>
      </c>
      <c r="I487" s="50">
        <v>61.378396839106351</v>
      </c>
      <c r="J487">
        <f t="shared" si="24"/>
        <v>8.6510553325407594E-2</v>
      </c>
      <c r="L487">
        <v>0.37712146777172029</v>
      </c>
    </row>
    <row r="488" spans="1:12" ht="12.75" customHeight="1" x14ac:dyDescent="0.15">
      <c r="A488" s="126">
        <v>118</v>
      </c>
      <c r="B488" s="25" t="s">
        <v>107</v>
      </c>
      <c r="C488" s="39" t="s">
        <v>27</v>
      </c>
      <c r="D488" s="50" t="s">
        <v>27</v>
      </c>
      <c r="E488" s="28" t="s">
        <v>27</v>
      </c>
      <c r="F488" s="51" t="s">
        <v>27</v>
      </c>
      <c r="G488" s="28" t="s">
        <v>27</v>
      </c>
      <c r="H488" s="55" t="s">
        <v>27</v>
      </c>
      <c r="I488" s="50">
        <v>59.428621547056991</v>
      </c>
      <c r="J488" t="e">
        <f t="shared" si="24"/>
        <v>#VALUE!</v>
      </c>
      <c r="L488">
        <v>0.37074854890210585</v>
      </c>
    </row>
    <row r="489" spans="1:12" ht="12.75" customHeight="1" x14ac:dyDescent="0.15">
      <c r="A489" s="126">
        <v>119</v>
      </c>
      <c r="B489" s="25" t="s">
        <v>108</v>
      </c>
      <c r="C489" s="39">
        <v>5.4066666666666672</v>
      </c>
      <c r="D489" s="50">
        <v>0.10152986733333347</v>
      </c>
      <c r="E489" s="28">
        <v>0.16776232053291265</v>
      </c>
      <c r="F489" s="51">
        <v>0.23833031384615377</v>
      </c>
      <c r="G489" s="28">
        <v>6.1930297512299844E-2</v>
      </c>
      <c r="H489" s="55" t="s">
        <v>27</v>
      </c>
      <c r="I489" s="50">
        <v>59.93522948004108</v>
      </c>
      <c r="J489">
        <f t="shared" si="24"/>
        <v>0.10163958814954775</v>
      </c>
      <c r="L489">
        <v>0.36741009796962371</v>
      </c>
    </row>
    <row r="490" spans="1:12" ht="12.75" customHeight="1" x14ac:dyDescent="0.15">
      <c r="A490" s="126">
        <v>120</v>
      </c>
      <c r="B490" s="25" t="s">
        <v>109</v>
      </c>
      <c r="C490" s="39">
        <v>5.496666666666667</v>
      </c>
      <c r="D490" s="50">
        <v>0.10658077433862434</v>
      </c>
      <c r="E490" s="28">
        <v>0.17720646384199831</v>
      </c>
      <c r="F490" s="51">
        <v>0.19840123456790126</v>
      </c>
      <c r="G490" s="28">
        <v>5.1854151477727088E-2</v>
      </c>
      <c r="H490" s="55" t="s">
        <v>27</v>
      </c>
      <c r="I490" s="50">
        <v>59.554015054556189</v>
      </c>
      <c r="J490">
        <f t="shared" si="24"/>
        <v>0.10737893078173276</v>
      </c>
      <c r="L490">
        <v>0.38117677865043981</v>
      </c>
    </row>
    <row r="491" spans="1:12" s="241" customFormat="1" ht="12.75" customHeight="1" x14ac:dyDescent="0.15">
      <c r="A491" s="234">
        <v>121</v>
      </c>
      <c r="B491" s="235" t="s">
        <v>110</v>
      </c>
      <c r="C491" s="236">
        <v>5.2200000000000006</v>
      </c>
      <c r="D491" s="237">
        <v>0.41917843963133505</v>
      </c>
      <c r="E491" s="238">
        <v>0.64948753428872408</v>
      </c>
      <c r="F491" s="239">
        <v>1.6954343456221199</v>
      </c>
      <c r="G491" s="238">
        <v>0.41567630778449033</v>
      </c>
      <c r="H491" s="240" t="s">
        <v>27</v>
      </c>
      <c r="I491" s="237">
        <v>63.662097994377888</v>
      </c>
      <c r="J491" s="241">
        <f t="shared" si="24"/>
        <v>0.39506562256401295</v>
      </c>
      <c r="K491" s="244" t="s">
        <v>215</v>
      </c>
      <c r="L491" s="241">
        <v>0.29299920369749366</v>
      </c>
    </row>
    <row r="492" spans="1:12" s="241" customFormat="1" ht="12.75" customHeight="1" x14ac:dyDescent="0.15">
      <c r="A492" s="234">
        <v>122</v>
      </c>
      <c r="B492" s="235" t="s">
        <v>111</v>
      </c>
      <c r="C492" s="236">
        <v>5.2233333333333336</v>
      </c>
      <c r="D492" s="237">
        <v>0.41671121252613985</v>
      </c>
      <c r="E492" s="238">
        <v>0.63445285178490984</v>
      </c>
      <c r="F492" s="239">
        <v>1.6946739899623591</v>
      </c>
      <c r="G492" s="238">
        <v>0.40968305180631742</v>
      </c>
      <c r="H492" s="240" t="s">
        <v>27</v>
      </c>
      <c r="I492" s="237">
        <v>64.808927823086563</v>
      </c>
      <c r="J492" s="241">
        <f t="shared" si="24"/>
        <v>0.3857905629887895</v>
      </c>
      <c r="K492" s="244"/>
      <c r="L492" s="241">
        <v>0.29677223458152308</v>
      </c>
    </row>
    <row r="493" spans="1:12" s="241" customFormat="1" ht="12.75" customHeight="1" x14ac:dyDescent="0.15">
      <c r="A493" s="234">
        <v>123</v>
      </c>
      <c r="B493" s="235" t="s">
        <v>112</v>
      </c>
      <c r="C493" s="236">
        <v>5.2200000000000006</v>
      </c>
      <c r="D493" s="237">
        <v>0.40675164016786614</v>
      </c>
      <c r="E493" s="238">
        <v>0.63521227866416652</v>
      </c>
      <c r="F493" s="239">
        <v>1.6616380287769787</v>
      </c>
      <c r="G493" s="238">
        <v>0.40905807718820569</v>
      </c>
      <c r="H493" s="240" t="s">
        <v>27</v>
      </c>
      <c r="I493" s="237">
        <v>63.177905111294947</v>
      </c>
      <c r="J493" s="241">
        <f t="shared" si="24"/>
        <v>0.38629166901117817</v>
      </c>
      <c r="K493" s="244"/>
      <c r="L493" s="241">
        <v>0.29720397654100628</v>
      </c>
    </row>
    <row r="494" spans="1:12" ht="12.75" customHeight="1" x14ac:dyDescent="0.15">
      <c r="A494" s="126">
        <v>124</v>
      </c>
      <c r="B494" s="25" t="s">
        <v>113</v>
      </c>
      <c r="C494" s="39">
        <v>5.2200000000000006</v>
      </c>
      <c r="D494" s="50">
        <v>0.345393826676268</v>
      </c>
      <c r="E494" s="28">
        <v>0.59111389616564824</v>
      </c>
      <c r="F494" s="51">
        <v>1.5091079884781564</v>
      </c>
      <c r="G494" s="28">
        <v>0.40395460925649584</v>
      </c>
      <c r="H494" s="55" t="s">
        <v>27</v>
      </c>
      <c r="I494" s="50">
        <v>57.515285421219353</v>
      </c>
      <c r="J494">
        <f t="shared" si="24"/>
        <v>0.3603151657651415</v>
      </c>
      <c r="L494" s="217">
        <v>0.2811418010583383</v>
      </c>
    </row>
    <row r="495" spans="1:12" ht="12.75" customHeight="1" x14ac:dyDescent="0.15">
      <c r="A495" s="126">
        <v>125</v>
      </c>
      <c r="B495" s="25" t="s">
        <v>114</v>
      </c>
      <c r="C495" s="39">
        <v>5.2200000000000006</v>
      </c>
      <c r="D495" s="50">
        <v>0.36689210744416867</v>
      </c>
      <c r="E495" s="28">
        <v>0.63861033661551858</v>
      </c>
      <c r="F495" s="51">
        <v>1.4856780314309348</v>
      </c>
      <c r="G495" s="28">
        <v>0.40397600586098931</v>
      </c>
      <c r="H495" s="55" t="s">
        <v>27</v>
      </c>
      <c r="I495" s="50">
        <v>56.531876479473389</v>
      </c>
      <c r="J495">
        <f t="shared" si="24"/>
        <v>0.38940024314677024</v>
      </c>
      <c r="L495" s="217">
        <v>0.22031635434605434</v>
      </c>
    </row>
    <row r="496" spans="1:12" ht="12.75" customHeight="1" x14ac:dyDescent="0.15">
      <c r="A496" s="126">
        <v>126</v>
      </c>
      <c r="B496" s="25" t="s">
        <v>115</v>
      </c>
      <c r="C496" s="39">
        <v>5.2200000000000006</v>
      </c>
      <c r="D496" s="50">
        <v>0.34211539360497978</v>
      </c>
      <c r="E496" s="28">
        <v>0.6467167344346364</v>
      </c>
      <c r="F496" s="51">
        <v>1.3663891544991515</v>
      </c>
      <c r="G496" s="28">
        <v>0.40010546694612298</v>
      </c>
      <c r="H496" s="55" t="s">
        <v>27</v>
      </c>
      <c r="I496" s="50">
        <v>52.028434852631598</v>
      </c>
      <c r="J496">
        <f t="shared" si="24"/>
        <v>0.3945327910485959</v>
      </c>
      <c r="L496" s="217">
        <v>0.32371606056639934</v>
      </c>
    </row>
    <row r="497" spans="1:12" ht="12.75" customHeight="1" x14ac:dyDescent="0.15">
      <c r="A497" s="126">
        <v>127</v>
      </c>
      <c r="B497" s="25" t="s">
        <v>116</v>
      </c>
      <c r="C497" s="39">
        <v>5.2200000000000006</v>
      </c>
      <c r="D497" s="50">
        <v>0.37116547975460201</v>
      </c>
      <c r="E497" s="28">
        <v>0.6613459540202602</v>
      </c>
      <c r="F497" s="51">
        <v>1.4916044498977508</v>
      </c>
      <c r="G497" s="28">
        <v>0.41406594375107875</v>
      </c>
      <c r="H497" s="55" t="s">
        <v>27</v>
      </c>
      <c r="I497" s="50">
        <v>55.180376519706869</v>
      </c>
      <c r="J497">
        <f t="shared" si="24"/>
        <v>0.40358421217591256</v>
      </c>
      <c r="L497" s="217">
        <v>0.16850663550302769</v>
      </c>
    </row>
    <row r="498" spans="1:12" ht="12.75" customHeight="1" x14ac:dyDescent="0.15">
      <c r="A498" s="126">
        <v>128</v>
      </c>
      <c r="B498" s="25" t="s">
        <v>117</v>
      </c>
      <c r="C498" s="39">
        <v>5.2200000000000006</v>
      </c>
      <c r="D498" s="50">
        <v>0.37501651967864147</v>
      </c>
      <c r="E498" s="28">
        <v>0.64343065378396946</v>
      </c>
      <c r="F498" s="51">
        <v>1.5170746627565985</v>
      </c>
      <c r="G498" s="28">
        <v>0.40793651270249009</v>
      </c>
      <c r="H498" s="55" t="s">
        <v>27</v>
      </c>
      <c r="I498" s="50">
        <v>57.321218836632454</v>
      </c>
      <c r="J498">
        <f t="shared" si="24"/>
        <v>0.39254209239421661</v>
      </c>
      <c r="L498" s="217">
        <v>0.13999332162678815</v>
      </c>
    </row>
    <row r="499" spans="1:12" ht="12.75" customHeight="1" x14ac:dyDescent="0.15">
      <c r="A499" s="126">
        <v>129</v>
      </c>
      <c r="B499" s="25" t="s">
        <v>2</v>
      </c>
      <c r="C499" s="39">
        <v>5.2200000000000006</v>
      </c>
      <c r="D499" s="50">
        <v>0.31374402693254666</v>
      </c>
      <c r="E499" s="28">
        <v>0.64643196408323889</v>
      </c>
      <c r="F499" s="51">
        <v>1.2469332200886263</v>
      </c>
      <c r="G499" s="28">
        <v>0.39577641313943551</v>
      </c>
      <c r="H499" s="55" t="s">
        <v>27</v>
      </c>
      <c r="I499" s="50">
        <v>47.724144799753816</v>
      </c>
      <c r="J499">
        <f t="shared" si="24"/>
        <v>0.39444691350550731</v>
      </c>
      <c r="L499" s="217">
        <v>8.6510553325407594E-2</v>
      </c>
    </row>
    <row r="500" spans="1:12" ht="12.75" customHeight="1" x14ac:dyDescent="0.15">
      <c r="A500" s="126">
        <v>130</v>
      </c>
      <c r="B500" s="25" t="s">
        <v>118</v>
      </c>
      <c r="C500" s="39">
        <v>5.2200000000000006</v>
      </c>
      <c r="D500" s="50">
        <v>0.34064783177042823</v>
      </c>
      <c r="E500" s="28">
        <v>0.64768103406491295</v>
      </c>
      <c r="F500" s="51">
        <v>1.3425635369649807</v>
      </c>
      <c r="G500" s="28">
        <v>0.39541024124467339</v>
      </c>
      <c r="H500" s="55" t="s">
        <v>27</v>
      </c>
      <c r="I500" s="50">
        <v>51.717306669682266</v>
      </c>
      <c r="J500">
        <f t="shared" si="24"/>
        <v>0.39520367981976473</v>
      </c>
      <c r="L500" s="217" t="e">
        <v>#VALUE!</v>
      </c>
    </row>
    <row r="501" spans="1:12" ht="12.75" customHeight="1" x14ac:dyDescent="0.15">
      <c r="A501" s="126">
        <v>131</v>
      </c>
      <c r="B501" s="25" t="s">
        <v>119</v>
      </c>
      <c r="C501" s="39">
        <v>5.2200000000000006</v>
      </c>
      <c r="D501" s="50">
        <v>0.31162353728019498</v>
      </c>
      <c r="E501" s="28">
        <v>0.64064824560965883</v>
      </c>
      <c r="F501" s="51">
        <v>1.240299849826723</v>
      </c>
      <c r="G501" s="28">
        <v>0.39185848200971818</v>
      </c>
      <c r="H501" s="55" t="s">
        <v>27</v>
      </c>
      <c r="I501" s="50">
        <v>47.821912068194067</v>
      </c>
      <c r="J501">
        <f t="shared" si="24"/>
        <v>0.39098002209006583</v>
      </c>
      <c r="L501" s="217">
        <v>0.10163958814954775</v>
      </c>
    </row>
    <row r="502" spans="1:12" ht="12.75" customHeight="1" x14ac:dyDescent="0.15">
      <c r="A502" s="126">
        <v>132</v>
      </c>
      <c r="B502" s="25" t="s">
        <v>120</v>
      </c>
      <c r="C502" s="39">
        <v>5.2200000000000006</v>
      </c>
      <c r="D502" s="50">
        <v>0.36690645007855438</v>
      </c>
      <c r="E502" s="28">
        <v>0.64267357268284964</v>
      </c>
      <c r="F502" s="51">
        <v>1.4824841476826398</v>
      </c>
      <c r="G502" s="28">
        <v>0.40454932333687932</v>
      </c>
      <c r="H502" s="55" t="s">
        <v>27</v>
      </c>
      <c r="I502" s="50">
        <v>56.152897415161078</v>
      </c>
      <c r="J502">
        <f t="shared" si="24"/>
        <v>0.39204365256439039</v>
      </c>
      <c r="L502" s="217">
        <v>0.10737893078173276</v>
      </c>
    </row>
    <row r="503" spans="1:12" s="216" customFormat="1" ht="12.75" customHeight="1" x14ac:dyDescent="0.15">
      <c r="A503" s="209">
        <v>133</v>
      </c>
      <c r="B503" s="210" t="s">
        <v>121</v>
      </c>
      <c r="C503" s="211">
        <v>5.21</v>
      </c>
      <c r="D503" s="212">
        <v>0.2447539564724921</v>
      </c>
      <c r="E503" s="213">
        <v>0.39031230216795637</v>
      </c>
      <c r="F503" s="214">
        <v>0.77805494398805075</v>
      </c>
      <c r="G503" s="213">
        <v>0.1956200998100377</v>
      </c>
      <c r="H503" s="215" t="s">
        <v>27</v>
      </c>
      <c r="I503" s="212">
        <v>61.928488706995253</v>
      </c>
      <c r="J503" s="216">
        <f t="shared" si="24"/>
        <v>0.23713217769337758</v>
      </c>
      <c r="K503" s="243" t="s">
        <v>213</v>
      </c>
      <c r="L503" s="242">
        <v>0.39506562256401295</v>
      </c>
    </row>
    <row r="504" spans="1:12" s="216" customFormat="1" ht="12.75" customHeight="1" x14ac:dyDescent="0.15">
      <c r="A504" s="209">
        <v>134</v>
      </c>
      <c r="B504" s="210" t="s">
        <v>122</v>
      </c>
      <c r="C504" s="211">
        <v>5.41</v>
      </c>
      <c r="D504" s="212">
        <v>7.9237773668981298E-2</v>
      </c>
      <c r="E504" s="213">
        <v>0.12675095188093463</v>
      </c>
      <c r="F504" s="214">
        <v>0.25050372916666674</v>
      </c>
      <c r="G504" s="213">
        <v>6.3172566499080374E-2</v>
      </c>
      <c r="H504" s="215" t="s">
        <v>27</v>
      </c>
      <c r="I504" s="212">
        <v>61.817186380277789</v>
      </c>
      <c r="J504" s="216">
        <f t="shared" si="24"/>
        <v>7.6908489346187436E-2</v>
      </c>
      <c r="K504" s="243"/>
      <c r="L504" s="242">
        <v>0.3857905629887895</v>
      </c>
    </row>
    <row r="505" spans="1:12" s="216" customFormat="1" ht="12.75" customHeight="1" x14ac:dyDescent="0.15">
      <c r="A505" s="209">
        <v>135</v>
      </c>
      <c r="B505" s="210" t="s">
        <v>123</v>
      </c>
      <c r="C505" s="211">
        <v>5.21</v>
      </c>
      <c r="D505" s="212">
        <v>0.22682614710351368</v>
      </c>
      <c r="E505" s="213">
        <v>0.36423595849221191</v>
      </c>
      <c r="F505" s="214">
        <v>0.7009114743589745</v>
      </c>
      <c r="G505" s="213">
        <v>0.1772733346637739</v>
      </c>
      <c r="H505" s="215" t="s">
        <v>27</v>
      </c>
      <c r="I505" s="212">
        <v>61.506300755140082</v>
      </c>
      <c r="J505" s="216">
        <f t="shared" si="24"/>
        <v>0.22127113253634373</v>
      </c>
      <c r="K505" s="243"/>
      <c r="L505" s="242">
        <v>0.38629166901117817</v>
      </c>
    </row>
    <row r="506" spans="1:12" ht="12.75" customHeight="1" x14ac:dyDescent="0.15">
      <c r="A506" s="126">
        <v>136</v>
      </c>
      <c r="B506" s="25" t="s">
        <v>128</v>
      </c>
      <c r="C506" s="39">
        <v>5.2200000000000006</v>
      </c>
      <c r="D506" s="50">
        <v>0.40806301144688795</v>
      </c>
      <c r="E506" s="28">
        <v>0.64450903177776553</v>
      </c>
      <c r="F506" s="51">
        <v>1.6408188186813188</v>
      </c>
      <c r="G506" s="28">
        <v>0.40877722946601047</v>
      </c>
      <c r="H506" s="55" t="s">
        <v>27</v>
      </c>
      <c r="I506" s="50">
        <v>62.452611142238979</v>
      </c>
      <c r="J506">
        <f t="shared" si="24"/>
        <v>0.39203774252208973</v>
      </c>
      <c r="L506">
        <v>0.34739036269374557</v>
      </c>
    </row>
    <row r="507" spans="1:12" ht="12.75" customHeight="1" x14ac:dyDescent="0.15">
      <c r="A507" s="126">
        <v>137</v>
      </c>
      <c r="B507" s="25" t="s">
        <v>90</v>
      </c>
      <c r="C507" s="39">
        <v>5.2233333333333336</v>
      </c>
      <c r="D507" s="50">
        <v>0.40216631494910948</v>
      </c>
      <c r="E507" s="28">
        <v>0.62777494941318646</v>
      </c>
      <c r="F507" s="51">
        <v>1.6338639790076339</v>
      </c>
      <c r="G507" s="28">
        <v>0.40303361492965772</v>
      </c>
      <c r="H507" s="55" t="s">
        <v>27</v>
      </c>
      <c r="I507" s="50">
        <v>63.212295928689542</v>
      </c>
      <c r="J507">
        <f t="shared" si="24"/>
        <v>0.38172919591732363</v>
      </c>
      <c r="L507">
        <v>0.30648267347895936</v>
      </c>
    </row>
    <row r="508" spans="1:12" ht="12.75" customHeight="1" x14ac:dyDescent="0.15">
      <c r="A508" s="126">
        <v>138</v>
      </c>
      <c r="B508" s="25" t="s">
        <v>91</v>
      </c>
      <c r="C508" s="39">
        <v>5.2200000000000006</v>
      </c>
      <c r="D508" s="50">
        <v>0.40597504889520175</v>
      </c>
      <c r="E508" s="28">
        <v>0.63289265473268608</v>
      </c>
      <c r="F508" s="51">
        <v>1.6376469318181819</v>
      </c>
      <c r="G508" s="28">
        <v>0.40347477043343066</v>
      </c>
      <c r="H508" s="55" t="s">
        <v>27</v>
      </c>
      <c r="I508" s="50">
        <v>63.296025119791629</v>
      </c>
      <c r="J508">
        <f t="shared" si="24"/>
        <v>0.38483463831436709</v>
      </c>
      <c r="L508">
        <v>0.32265709488962274</v>
      </c>
    </row>
    <row r="509" spans="1:12" ht="12.75" customHeight="1" x14ac:dyDescent="0.15">
      <c r="A509" s="126">
        <v>139</v>
      </c>
      <c r="B509" s="25" t="s">
        <v>92</v>
      </c>
      <c r="C509" s="39">
        <v>5.2200000000000006</v>
      </c>
      <c r="D509" s="50">
        <v>0.39017689878048856</v>
      </c>
      <c r="E509" s="28">
        <v>0.61594474324675097</v>
      </c>
      <c r="F509" s="51">
        <v>1.6020148780487806</v>
      </c>
      <c r="G509" s="28">
        <v>0.39924509332711877</v>
      </c>
      <c r="H509" s="55" t="s">
        <v>27</v>
      </c>
      <c r="I509" s="50">
        <v>62.536778717597343</v>
      </c>
      <c r="J509">
        <f t="shared" si="24"/>
        <v>0.37434953329698378</v>
      </c>
      <c r="L509">
        <v>0.21534150123338439</v>
      </c>
    </row>
    <row r="510" spans="1:12" ht="12.75" customHeight="1" x14ac:dyDescent="0.15">
      <c r="A510" s="126">
        <v>140</v>
      </c>
      <c r="B510" s="25" t="s">
        <v>93</v>
      </c>
      <c r="C510" s="39">
        <v>5.2200000000000006</v>
      </c>
      <c r="D510" s="50">
        <v>0.38497742160650283</v>
      </c>
      <c r="E510" s="28">
        <v>0.60778915788543797</v>
      </c>
      <c r="F510" s="51">
        <v>1.5777240025332491</v>
      </c>
      <c r="G510" s="28">
        <v>0.39317697497075188</v>
      </c>
      <c r="H510" s="55" t="s">
        <v>27</v>
      </c>
      <c r="I510" s="50">
        <v>62.533235392600837</v>
      </c>
      <c r="J510">
        <f t="shared" si="24"/>
        <v>0.3693818999028361</v>
      </c>
      <c r="L510">
        <v>6.4795662528734504E-3</v>
      </c>
    </row>
    <row r="511" spans="1:12" ht="12.75" customHeight="1" x14ac:dyDescent="0.15">
      <c r="A511" s="126">
        <v>141</v>
      </c>
      <c r="B511" s="25" t="s">
        <v>94</v>
      </c>
      <c r="C511" s="39">
        <v>5.2200000000000006</v>
      </c>
      <c r="D511" s="50">
        <v>0.40039931750599522</v>
      </c>
      <c r="E511" s="28">
        <v>0.62029441215134351</v>
      </c>
      <c r="F511" s="51">
        <v>1.6272994004796162</v>
      </c>
      <c r="G511" s="28">
        <v>0.39862437619109747</v>
      </c>
      <c r="H511" s="55" t="s">
        <v>27</v>
      </c>
      <c r="I511" s="50">
        <v>63.703504317346187</v>
      </c>
      <c r="J511">
        <f t="shared" si="24"/>
        <v>0.37712146777172029</v>
      </c>
      <c r="L511">
        <v>0.19743642009394707</v>
      </c>
    </row>
    <row r="512" spans="1:12" ht="12.75" customHeight="1" x14ac:dyDescent="0.15">
      <c r="A512" s="126">
        <v>142</v>
      </c>
      <c r="B512" s="25" t="s">
        <v>95</v>
      </c>
      <c r="C512" s="39">
        <v>5.2200000000000006</v>
      </c>
      <c r="D512" s="50">
        <v>0.38878533544455063</v>
      </c>
      <c r="E512" s="28">
        <v>0.60987980707874279</v>
      </c>
      <c r="F512" s="51">
        <v>1.6004580640535373</v>
      </c>
      <c r="G512" s="28">
        <v>0.39594124808821257</v>
      </c>
      <c r="H512" s="55" t="s">
        <v>27</v>
      </c>
      <c r="I512" s="50">
        <v>62.918978902955701</v>
      </c>
      <c r="J512">
        <f t="shared" si="24"/>
        <v>0.37074854890210585</v>
      </c>
      <c r="L512">
        <v>0</v>
      </c>
    </row>
    <row r="513" spans="1:12" ht="12.75" customHeight="1" x14ac:dyDescent="0.15">
      <c r="A513" s="126">
        <v>143</v>
      </c>
      <c r="B513" s="25" t="s">
        <v>96</v>
      </c>
      <c r="C513" s="39">
        <v>5.2233333333333336</v>
      </c>
      <c r="D513" s="50">
        <v>0.38780587024525659</v>
      </c>
      <c r="E513" s="28">
        <v>0.6043100197464788</v>
      </c>
      <c r="F513" s="51">
        <v>1.6162460805182786</v>
      </c>
      <c r="G513" s="28">
        <v>0.39763895272791394</v>
      </c>
      <c r="H513" s="55" t="s">
        <v>27</v>
      </c>
      <c r="I513" s="50">
        <v>63.33073680691038</v>
      </c>
      <c r="J513">
        <f t="shared" si="24"/>
        <v>0.36741009796962371</v>
      </c>
      <c r="L513">
        <v>7.6042561745558804E-2</v>
      </c>
    </row>
    <row r="514" spans="1:12" ht="12.75" customHeight="1" x14ac:dyDescent="0.15">
      <c r="A514" s="126">
        <v>144</v>
      </c>
      <c r="B514" s="25" t="s">
        <v>97</v>
      </c>
      <c r="C514" s="39">
        <v>5.2233333333333336</v>
      </c>
      <c r="D514" s="50">
        <v>0.40803801562696773</v>
      </c>
      <c r="E514" s="28">
        <v>0.62695402569431313</v>
      </c>
      <c r="F514" s="51">
        <v>1.6482607183364841</v>
      </c>
      <c r="G514" s="28">
        <v>0.40138973259285793</v>
      </c>
      <c r="H514" s="55" t="s">
        <v>27</v>
      </c>
      <c r="I514" s="50">
        <v>64.228154255088214</v>
      </c>
      <c r="J514">
        <f t="shared" si="24"/>
        <v>0.38117677865043981</v>
      </c>
      <c r="L514">
        <v>5.0481343739076132E-2</v>
      </c>
    </row>
    <row r="515" spans="1:12" ht="12.75" customHeight="1" x14ac:dyDescent="0.15">
      <c r="A515" s="126">
        <v>145</v>
      </c>
      <c r="B515" s="25" t="s">
        <v>98</v>
      </c>
      <c r="C515" s="39">
        <v>5.2200000000000006</v>
      </c>
      <c r="D515" s="50">
        <v>0.29654010210526338</v>
      </c>
      <c r="E515" s="28">
        <v>0.4821213437585139</v>
      </c>
      <c r="F515" s="51">
        <v>1.0813616315789474</v>
      </c>
      <c r="G515" s="28">
        <v>0.27699062414500741</v>
      </c>
      <c r="H515" s="55" t="s">
        <v>27</v>
      </c>
      <c r="I515" s="50">
        <v>60.725100620701795</v>
      </c>
      <c r="J515">
        <f t="shared" si="24"/>
        <v>0.29299920369749366</v>
      </c>
      <c r="L515">
        <v>0.37269195504295277</v>
      </c>
    </row>
    <row r="516" spans="1:12" ht="12.75" customHeight="1" x14ac:dyDescent="0.15">
      <c r="A516" s="126">
        <v>146</v>
      </c>
      <c r="B516" s="25" t="s">
        <v>99</v>
      </c>
      <c r="C516" s="39">
        <v>5.2200000000000006</v>
      </c>
      <c r="D516" s="50">
        <v>0.29017041405677657</v>
      </c>
      <c r="E516" s="28">
        <v>0.48825689064661826</v>
      </c>
      <c r="F516" s="51">
        <v>1.0450732417582418</v>
      </c>
      <c r="G516" s="28">
        <v>0.27570159121618504</v>
      </c>
      <c r="H516" s="55" t="s">
        <v>27</v>
      </c>
      <c r="I516" s="50">
        <v>58.665275300961554</v>
      </c>
      <c r="J516">
        <f t="shared" si="24"/>
        <v>0.29677223458152308</v>
      </c>
      <c r="L516">
        <v>0.38329642872000014</v>
      </c>
    </row>
    <row r="517" spans="1:12" ht="12.75" customHeight="1" x14ac:dyDescent="0.15">
      <c r="A517" s="126">
        <v>147</v>
      </c>
      <c r="B517" s="25" t="s">
        <v>100</v>
      </c>
      <c r="C517" s="39">
        <v>5.2200000000000006</v>
      </c>
      <c r="D517" s="50">
        <v>0.29292586528995501</v>
      </c>
      <c r="E517" s="28">
        <v>0.48900125212739814</v>
      </c>
      <c r="F517" s="51">
        <v>1.0743431656668205</v>
      </c>
      <c r="G517" s="28">
        <v>0.28128360707985184</v>
      </c>
      <c r="H517" s="55" t="s">
        <v>27</v>
      </c>
      <c r="I517" s="50">
        <v>59.136328261652118</v>
      </c>
      <c r="J517">
        <f t="shared" ref="J517:J547" si="25">D517*60/I517</f>
        <v>0.29720397654100628</v>
      </c>
      <c r="L517">
        <v>0.3709724495041965</v>
      </c>
    </row>
    <row r="518" spans="1:12" ht="12.75" customHeight="1" x14ac:dyDescent="0.15">
      <c r="A518" s="126">
        <v>148</v>
      </c>
      <c r="B518" s="25" t="s">
        <v>101</v>
      </c>
      <c r="C518" s="39">
        <v>5.2200000000000006</v>
      </c>
      <c r="D518" s="50">
        <v>0.34152703957771746</v>
      </c>
      <c r="E518" s="28">
        <v>0.57127350584217784</v>
      </c>
      <c r="F518" s="51">
        <v>1.3671520754716981</v>
      </c>
      <c r="G518" s="28">
        <v>0.35885866507134351</v>
      </c>
      <c r="H518" s="55" t="s">
        <v>27</v>
      </c>
      <c r="I518" s="50">
        <v>58.987308156064685</v>
      </c>
      <c r="J518">
        <f t="shared" si="25"/>
        <v>0.34739036269374557</v>
      </c>
      <c r="L518" s="217">
        <v>0.3603151657651415</v>
      </c>
    </row>
    <row r="519" spans="1:12" ht="12.75" customHeight="1" x14ac:dyDescent="0.15">
      <c r="A519" s="126">
        <v>149</v>
      </c>
      <c r="B519" s="25" t="s">
        <v>102</v>
      </c>
      <c r="C519" s="39">
        <v>5.2200000000000006</v>
      </c>
      <c r="D519" s="50">
        <v>0.29783896854951286</v>
      </c>
      <c r="E519" s="28">
        <v>0.50418918246724043</v>
      </c>
      <c r="F519" s="51">
        <v>1.0666738912133891</v>
      </c>
      <c r="G519" s="28">
        <v>0.28427466031307835</v>
      </c>
      <c r="H519" s="55" t="s">
        <v>27</v>
      </c>
      <c r="I519" s="50">
        <v>58.307825072524381</v>
      </c>
      <c r="J519">
        <f t="shared" si="25"/>
        <v>0.30648267347895936</v>
      </c>
      <c r="L519" s="217">
        <v>0.38940024314677024</v>
      </c>
    </row>
    <row r="520" spans="1:12" ht="12.75" customHeight="1" x14ac:dyDescent="0.15">
      <c r="A520" s="126">
        <v>150</v>
      </c>
      <c r="B520" s="25" t="s">
        <v>103</v>
      </c>
      <c r="C520" s="39">
        <v>5.2200000000000006</v>
      </c>
      <c r="D520" s="50">
        <v>0.31832470204235996</v>
      </c>
      <c r="E520" s="28">
        <v>0.530723112862998</v>
      </c>
      <c r="F520" s="51">
        <v>1.2046311800302572</v>
      </c>
      <c r="G520" s="28">
        <v>0.31502048274237687</v>
      </c>
      <c r="H520" s="55" t="s">
        <v>27</v>
      </c>
      <c r="I520" s="50">
        <v>59.194365860993422</v>
      </c>
      <c r="J520">
        <f t="shared" si="25"/>
        <v>0.32265709488962274</v>
      </c>
      <c r="L520" s="217">
        <v>0.3945327910485959</v>
      </c>
    </row>
    <row r="521" spans="1:12" ht="12.75" customHeight="1" x14ac:dyDescent="0.15">
      <c r="A521" s="126">
        <v>151</v>
      </c>
      <c r="B521" s="25" t="s">
        <v>104</v>
      </c>
      <c r="C521" s="39">
        <v>5.21</v>
      </c>
      <c r="D521" s="50">
        <v>0.20668697377736411</v>
      </c>
      <c r="E521" s="28">
        <v>0.35476925413659782</v>
      </c>
      <c r="F521" s="51">
        <v>0.62417632044713556</v>
      </c>
      <c r="G521" s="28">
        <v>0.16760687727719686</v>
      </c>
      <c r="H521" s="55" t="s">
        <v>27</v>
      </c>
      <c r="I521" s="50">
        <v>57.588613228815397</v>
      </c>
      <c r="J521">
        <f t="shared" si="25"/>
        <v>0.21534150123338439</v>
      </c>
      <c r="L521" s="217">
        <v>0.40358421217591256</v>
      </c>
    </row>
    <row r="522" spans="1:12" ht="12.75" customHeight="1" x14ac:dyDescent="0.15">
      <c r="A522" s="126">
        <v>152</v>
      </c>
      <c r="B522" s="25" t="s">
        <v>105</v>
      </c>
      <c r="C522" s="39">
        <v>5.2133333333333338</v>
      </c>
      <c r="D522" s="50">
        <v>6.4252000000000198E-3</v>
      </c>
      <c r="E522" s="28">
        <v>1.0685691018091985E-2</v>
      </c>
      <c r="F522" s="51">
        <v>0</v>
      </c>
      <c r="G522" s="28">
        <v>0</v>
      </c>
      <c r="H522" s="55" t="s">
        <v>27</v>
      </c>
      <c r="I522" s="50">
        <v>59.496575072296039</v>
      </c>
      <c r="J522">
        <f t="shared" si="25"/>
        <v>6.4795662528734504E-3</v>
      </c>
      <c r="L522" s="217">
        <v>0.39254209239421661</v>
      </c>
    </row>
    <row r="523" spans="1:12" ht="12.75" customHeight="1" x14ac:dyDescent="0.15">
      <c r="A523" s="126">
        <v>153</v>
      </c>
      <c r="B523" s="25" t="s">
        <v>106</v>
      </c>
      <c r="C523" s="39">
        <v>5.206666666666667</v>
      </c>
      <c r="D523" s="50">
        <v>0.19628887526881689</v>
      </c>
      <c r="E523" s="28">
        <v>0.32537939235532976</v>
      </c>
      <c r="F523" s="51">
        <v>0.57382209677419349</v>
      </c>
      <c r="G523" s="28">
        <v>0.14939747087972505</v>
      </c>
      <c r="H523" s="55" t="s">
        <v>27</v>
      </c>
      <c r="I523" s="50">
        <v>59.651266521774204</v>
      </c>
      <c r="J523">
        <f t="shared" si="25"/>
        <v>0.19743642009394707</v>
      </c>
      <c r="L523" s="217">
        <v>0.39444691350550731</v>
      </c>
    </row>
    <row r="524" spans="1:12" ht="12.75" customHeight="1" x14ac:dyDescent="0.15">
      <c r="A524" s="126">
        <v>154</v>
      </c>
      <c r="B524" s="25" t="s">
        <v>107</v>
      </c>
      <c r="C524" s="39" t="s">
        <v>27</v>
      </c>
      <c r="D524" s="50" t="s">
        <v>27</v>
      </c>
      <c r="E524" s="28" t="s">
        <v>27</v>
      </c>
      <c r="F524" s="51" t="s">
        <v>27</v>
      </c>
      <c r="G524" s="28" t="s">
        <v>27</v>
      </c>
      <c r="H524" s="55" t="s">
        <v>27</v>
      </c>
      <c r="I524" s="50">
        <v>58.087827809045862</v>
      </c>
      <c r="J524" t="e">
        <f t="shared" si="25"/>
        <v>#VALUE!</v>
      </c>
      <c r="L524" s="217">
        <v>0.39520367981976473</v>
      </c>
    </row>
    <row r="525" spans="1:12" ht="12.75" customHeight="1" x14ac:dyDescent="0.15">
      <c r="A525" s="126">
        <v>155</v>
      </c>
      <c r="B525" s="25" t="s">
        <v>108</v>
      </c>
      <c r="C525" s="39">
        <v>5.2200000000000006</v>
      </c>
      <c r="D525" s="50">
        <v>7.5391502715355885E-2</v>
      </c>
      <c r="E525" s="28">
        <v>0.12539957205609448</v>
      </c>
      <c r="F525" s="51">
        <v>0.38797159176029972</v>
      </c>
      <c r="G525" s="28">
        <v>0.10114999424355491</v>
      </c>
      <c r="H525" s="55" t="s">
        <v>27</v>
      </c>
      <c r="I525" s="50">
        <v>59.486293716104903</v>
      </c>
      <c r="J525">
        <f t="shared" si="25"/>
        <v>7.6042561745558804E-2</v>
      </c>
      <c r="L525" s="217">
        <v>0.39098002209006583</v>
      </c>
    </row>
    <row r="526" spans="1:12" ht="12.75" customHeight="1" x14ac:dyDescent="0.15">
      <c r="A526" s="126">
        <v>156</v>
      </c>
      <c r="B526" s="25" t="s">
        <v>109</v>
      </c>
      <c r="C526" s="39">
        <v>5.453333333333334</v>
      </c>
      <c r="D526" s="50">
        <v>4.9870739067422759E-2</v>
      </c>
      <c r="E526" s="28">
        <v>8.3330899075392997E-2</v>
      </c>
      <c r="F526" s="51">
        <v>0.20691215500945193</v>
      </c>
      <c r="G526" s="28">
        <v>5.4194567647378553E-2</v>
      </c>
      <c r="H526" s="55" t="s">
        <v>27</v>
      </c>
      <c r="I526" s="50">
        <v>59.274260992564599</v>
      </c>
      <c r="J526">
        <f t="shared" si="25"/>
        <v>5.0481343739076132E-2</v>
      </c>
      <c r="L526" s="217">
        <v>0.39204365256439039</v>
      </c>
    </row>
    <row r="527" spans="1:12" s="241" customFormat="1" ht="12.75" customHeight="1" x14ac:dyDescent="0.15">
      <c r="A527" s="234">
        <v>157</v>
      </c>
      <c r="B527" s="235" t="s">
        <v>110</v>
      </c>
      <c r="C527" s="236">
        <v>5.2233333333333336</v>
      </c>
      <c r="D527" s="237">
        <v>0.36934466217948814</v>
      </c>
      <c r="E527" s="238">
        <v>0.61266191743161258</v>
      </c>
      <c r="F527" s="239">
        <v>1.493330656660413</v>
      </c>
      <c r="G527" s="238">
        <v>0.38782739786653186</v>
      </c>
      <c r="H527" s="240" t="s">
        <v>27</v>
      </c>
      <c r="I527" s="237">
        <v>59.461116428486548</v>
      </c>
      <c r="J527" s="241">
        <f t="shared" si="25"/>
        <v>0.37269195504295277</v>
      </c>
      <c r="K527" s="244" t="s">
        <v>215</v>
      </c>
      <c r="L527" s="241">
        <v>0.23713217769337758</v>
      </c>
    </row>
    <row r="528" spans="1:12" s="241" customFormat="1" ht="12.75" customHeight="1" x14ac:dyDescent="0.15">
      <c r="A528" s="234">
        <v>158</v>
      </c>
      <c r="B528" s="235" t="s">
        <v>111</v>
      </c>
      <c r="C528" s="236">
        <v>5.2200000000000006</v>
      </c>
      <c r="D528" s="237">
        <v>0.39268617705061137</v>
      </c>
      <c r="E528" s="238">
        <v>0.63007539721705208</v>
      </c>
      <c r="F528" s="239">
        <v>1.5881676963350786</v>
      </c>
      <c r="G528" s="238">
        <v>0.40057077280791697</v>
      </c>
      <c r="H528" s="240" t="s">
        <v>27</v>
      </c>
      <c r="I528" s="237">
        <v>61.469841244589908</v>
      </c>
      <c r="J528" s="241">
        <f t="shared" si="25"/>
        <v>0.38329642872000014</v>
      </c>
      <c r="K528" s="244"/>
      <c r="L528" s="241">
        <v>7.6908489346187436E-2</v>
      </c>
    </row>
    <row r="529" spans="1:12" s="241" customFormat="1" ht="12.75" customHeight="1" x14ac:dyDescent="0.15">
      <c r="A529" s="234">
        <v>159</v>
      </c>
      <c r="B529" s="235" t="s">
        <v>112</v>
      </c>
      <c r="C529" s="236">
        <v>5.2233333333333336</v>
      </c>
      <c r="D529" s="237">
        <v>0.37697569834068501</v>
      </c>
      <c r="E529" s="238">
        <v>0.6091967692638588</v>
      </c>
      <c r="F529" s="239">
        <v>1.5571555765595466</v>
      </c>
      <c r="G529" s="238">
        <v>0.39636668076175574</v>
      </c>
      <c r="H529" s="240" t="s">
        <v>27</v>
      </c>
      <c r="I529" s="237">
        <v>60.970947925299335</v>
      </c>
      <c r="J529" s="241">
        <f t="shared" si="25"/>
        <v>0.3709724495041965</v>
      </c>
      <c r="K529" s="244"/>
      <c r="L529" s="241">
        <v>0.22127113253634373</v>
      </c>
    </row>
    <row r="530" spans="1:12" ht="12.75" customHeight="1" x14ac:dyDescent="0.15">
      <c r="A530" s="126">
        <v>160</v>
      </c>
      <c r="B530" s="25" t="s">
        <v>113</v>
      </c>
      <c r="C530" s="39">
        <v>5.2233333333333336</v>
      </c>
      <c r="D530" s="50">
        <v>0.33567344169776081</v>
      </c>
      <c r="E530" s="28">
        <v>0.60378250454214466</v>
      </c>
      <c r="F530" s="51">
        <v>1.3662184561567163</v>
      </c>
      <c r="G530" s="28">
        <v>0.38377754351252574</v>
      </c>
      <c r="H530" s="55" t="s">
        <v>27</v>
      </c>
      <c r="I530" s="50">
        <v>54.520806399696767</v>
      </c>
      <c r="J530">
        <f t="shared" si="25"/>
        <v>0.3694077148128474</v>
      </c>
      <c r="L530">
        <v>0.3694077148128474</v>
      </c>
    </row>
    <row r="531" spans="1:12" ht="12.75" customHeight="1" x14ac:dyDescent="0.15">
      <c r="A531" s="126">
        <v>161</v>
      </c>
      <c r="B531" s="25" t="s">
        <v>114</v>
      </c>
      <c r="C531" s="39">
        <v>5.2200000000000006</v>
      </c>
      <c r="D531" s="50">
        <v>0.27774092712360876</v>
      </c>
      <c r="E531" s="28">
        <v>0.62146232978339966</v>
      </c>
      <c r="F531" s="51">
        <v>1.0975091950790863</v>
      </c>
      <c r="G531" s="28">
        <v>0.37539257034738721</v>
      </c>
      <c r="H531" s="55" t="s">
        <v>27</v>
      </c>
      <c r="I531" s="50">
        <v>43.950901400527229</v>
      </c>
      <c r="J531">
        <f t="shared" si="25"/>
        <v>0.37916072472672019</v>
      </c>
      <c r="L531">
        <v>0.37916072472672019</v>
      </c>
    </row>
    <row r="532" spans="1:12" ht="12.75" customHeight="1" x14ac:dyDescent="0.15">
      <c r="A532" s="126">
        <v>162</v>
      </c>
      <c r="B532" s="25" t="s">
        <v>115</v>
      </c>
      <c r="C532" s="39">
        <v>5.2200000000000006</v>
      </c>
      <c r="D532" s="50">
        <v>0.34762254453918051</v>
      </c>
      <c r="E532" s="28">
        <v>0.63916024155855122</v>
      </c>
      <c r="F532" s="51">
        <v>1.3665159987819733</v>
      </c>
      <c r="G532" s="28">
        <v>0.39075822299060059</v>
      </c>
      <c r="H532" s="55" t="s">
        <v>27</v>
      </c>
      <c r="I532" s="50">
        <v>53.485458857105151</v>
      </c>
      <c r="J532">
        <f t="shared" si="25"/>
        <v>0.38996305010815263</v>
      </c>
      <c r="L532">
        <v>0.38996305010815263</v>
      </c>
    </row>
    <row r="533" spans="1:12" ht="12.75" customHeight="1" x14ac:dyDescent="0.15">
      <c r="A533" s="126">
        <v>163</v>
      </c>
      <c r="B533" s="25" t="s">
        <v>116</v>
      </c>
      <c r="C533" s="39">
        <v>5.2233333333333336</v>
      </c>
      <c r="D533" s="50">
        <v>0.37682047933884277</v>
      </c>
      <c r="E533" s="28">
        <v>0.62690971254351679</v>
      </c>
      <c r="F533" s="51">
        <v>1.500332314049587</v>
      </c>
      <c r="G533" s="28">
        <v>0.3921010265365672</v>
      </c>
      <c r="H533" s="55" t="s">
        <v>27</v>
      </c>
      <c r="I533" s="50">
        <v>59.119502351570304</v>
      </c>
      <c r="J533">
        <f t="shared" si="25"/>
        <v>0.38243266368987</v>
      </c>
      <c r="L533">
        <v>0.38243266368987</v>
      </c>
    </row>
    <row r="534" spans="1:12" ht="12.75" customHeight="1" x14ac:dyDescent="0.15">
      <c r="A534" s="126">
        <v>164</v>
      </c>
      <c r="B534" s="25" t="s">
        <v>117</v>
      </c>
      <c r="C534" s="39">
        <v>5.2233333333333336</v>
      </c>
      <c r="D534" s="50">
        <v>0.37170002707289984</v>
      </c>
      <c r="E534" s="28">
        <v>0.62476276621503146</v>
      </c>
      <c r="F534" s="51">
        <v>1.4922390617696162</v>
      </c>
      <c r="G534" s="28">
        <v>0.39309177054877115</v>
      </c>
      <c r="H534" s="55" t="s">
        <v>27</v>
      </c>
      <c r="I534" s="50">
        <v>58.525964938708938</v>
      </c>
      <c r="J534">
        <f t="shared" si="25"/>
        <v>0.38106166464285834</v>
      </c>
      <c r="L534">
        <v>0.38106166464285834</v>
      </c>
    </row>
    <row r="535" spans="1:12" ht="12.75" customHeight="1" x14ac:dyDescent="0.15">
      <c r="A535" s="126">
        <v>165</v>
      </c>
      <c r="B535" s="25" t="s">
        <v>2</v>
      </c>
      <c r="C535" s="39">
        <v>5.2233333333333336</v>
      </c>
      <c r="D535" s="50">
        <v>0.37503937577319602</v>
      </c>
      <c r="E535" s="28">
        <v>0.62502199037840211</v>
      </c>
      <c r="F535" s="51">
        <v>1.5209724398625433</v>
      </c>
      <c r="G535" s="28">
        <v>0.39719617437062327</v>
      </c>
      <c r="H535" s="55" t="s">
        <v>27</v>
      </c>
      <c r="I535" s="50">
        <v>59.032344493814414</v>
      </c>
      <c r="J535">
        <f t="shared" si="25"/>
        <v>0.38118700416429552</v>
      </c>
      <c r="L535">
        <v>0.38118700416429552</v>
      </c>
    </row>
    <row r="536" spans="1:12" s="216" customFormat="1" ht="12.75" customHeight="1" x14ac:dyDescent="0.15">
      <c r="A536" s="209">
        <v>166</v>
      </c>
      <c r="B536" s="210" t="s">
        <v>118</v>
      </c>
      <c r="C536" s="211">
        <v>5.2200000000000006</v>
      </c>
      <c r="D536" s="212">
        <v>0.34717639602628025</v>
      </c>
      <c r="E536" s="213">
        <v>0.60464911345008066</v>
      </c>
      <c r="F536" s="214">
        <v>1.3878861615001914</v>
      </c>
      <c r="G536" s="213">
        <v>0.37614651683850514</v>
      </c>
      <c r="H536" s="215" t="s">
        <v>27</v>
      </c>
      <c r="I536" s="212">
        <v>56.395719049521624</v>
      </c>
      <c r="J536" s="216">
        <f t="shared" si="25"/>
        <v>0.36936462753999605</v>
      </c>
      <c r="K536" s="243" t="s">
        <v>214</v>
      </c>
      <c r="L536">
        <v>0.44585046480570967</v>
      </c>
    </row>
    <row r="537" spans="1:12" s="216" customFormat="1" ht="12.75" customHeight="1" x14ac:dyDescent="0.15">
      <c r="A537" s="209">
        <v>167</v>
      </c>
      <c r="B537" s="210" t="s">
        <v>118</v>
      </c>
      <c r="C537" s="211">
        <v>5.24</v>
      </c>
      <c r="D537" s="212">
        <v>0.42020936685499011</v>
      </c>
      <c r="E537" s="213">
        <v>0.73054240882652743</v>
      </c>
      <c r="F537" s="214">
        <v>1.7654293220338986</v>
      </c>
      <c r="G537" s="213">
        <v>0.47445941784526846</v>
      </c>
      <c r="H537" s="215" t="s">
        <v>27</v>
      </c>
      <c r="I537" s="212">
        <v>56.54936800903954</v>
      </c>
      <c r="J537" s="216">
        <f t="shared" si="25"/>
        <v>0.44585046480570967</v>
      </c>
      <c r="K537" s="243"/>
      <c r="L537">
        <v>0.4187262727402033</v>
      </c>
    </row>
    <row r="538" spans="1:12" ht="12.75" customHeight="1" x14ac:dyDescent="0.15">
      <c r="A538" s="126">
        <v>168</v>
      </c>
      <c r="B538" s="25" t="s">
        <v>119</v>
      </c>
      <c r="C538" s="39">
        <v>5.2200000000000006</v>
      </c>
      <c r="D538" s="50">
        <v>0.44218858315748322</v>
      </c>
      <c r="E538" s="28">
        <v>0.68640526900381094</v>
      </c>
      <c r="F538" s="51">
        <v>1.9900893317702228</v>
      </c>
      <c r="G538" s="28">
        <v>0.48537839300666558</v>
      </c>
      <c r="H538" s="55" t="s">
        <v>27</v>
      </c>
      <c r="I538" s="50">
        <v>63.361954376123471</v>
      </c>
      <c r="J538">
        <f t="shared" si="25"/>
        <v>0.4187262727402033</v>
      </c>
      <c r="K538" s="243"/>
      <c r="L538">
        <v>0.42024817605336307</v>
      </c>
    </row>
    <row r="539" spans="1:12" ht="12.75" customHeight="1" x14ac:dyDescent="0.15">
      <c r="A539" s="126">
        <v>169</v>
      </c>
      <c r="B539" s="25" t="s">
        <v>120</v>
      </c>
      <c r="C539" s="39">
        <v>5.2200000000000006</v>
      </c>
      <c r="D539" s="50">
        <v>0.43713291317588665</v>
      </c>
      <c r="E539" s="28">
        <v>0.68905578411554602</v>
      </c>
      <c r="F539" s="51">
        <v>1.9641763642013674</v>
      </c>
      <c r="G539" s="28">
        <v>0.48533894427191226</v>
      </c>
      <c r="H539" s="55" t="s">
        <v>27</v>
      </c>
      <c r="I539" s="50">
        <v>62.41068084308062</v>
      </c>
      <c r="J539">
        <f t="shared" si="25"/>
        <v>0.42024817605336307</v>
      </c>
      <c r="L539">
        <v>0.41750439329962313</v>
      </c>
    </row>
    <row r="540" spans="1:12" ht="12.75" customHeight="1" x14ac:dyDescent="0.15">
      <c r="A540" s="126">
        <v>170</v>
      </c>
      <c r="B540" s="25" t="s">
        <v>121</v>
      </c>
      <c r="C540" s="39">
        <v>5.2200000000000006</v>
      </c>
      <c r="D540" s="50">
        <v>0.41009049988920487</v>
      </c>
      <c r="E540" s="28">
        <v>0.68452230383794366</v>
      </c>
      <c r="F540" s="51">
        <v>1.8120928677816344</v>
      </c>
      <c r="G540" s="28">
        <v>0.46932742134746447</v>
      </c>
      <c r="H540" s="55" t="s">
        <v>27</v>
      </c>
      <c r="I540" s="50">
        <v>58.934541500007974</v>
      </c>
      <c r="J540">
        <f t="shared" si="25"/>
        <v>0.41750439329962313</v>
      </c>
      <c r="L540">
        <v>0.42166003233272797</v>
      </c>
    </row>
    <row r="541" spans="1:12" ht="12.75" customHeight="1" x14ac:dyDescent="0.15">
      <c r="A541" s="126">
        <v>171</v>
      </c>
      <c r="B541" s="25" t="s">
        <v>122</v>
      </c>
      <c r="C541" s="39">
        <v>5.2233333333333336</v>
      </c>
      <c r="D541" s="50">
        <v>0.43017185164319238</v>
      </c>
      <c r="E541" s="28">
        <v>0.69129909783656807</v>
      </c>
      <c r="F541" s="51">
        <v>1.8549876056338028</v>
      </c>
      <c r="G541" s="28">
        <v>0.46657973390241092</v>
      </c>
      <c r="H541" s="55" t="s">
        <v>27</v>
      </c>
      <c r="I541" s="50">
        <v>61.211187021455402</v>
      </c>
      <c r="J541">
        <f t="shared" si="25"/>
        <v>0.42166003233272797</v>
      </c>
      <c r="L541">
        <v>0.41294846082623371</v>
      </c>
    </row>
    <row r="542" spans="1:12" ht="12.75" customHeight="1" x14ac:dyDescent="0.15">
      <c r="A542" s="126">
        <v>172</v>
      </c>
      <c r="B542" s="25" t="s">
        <v>123</v>
      </c>
      <c r="C542" s="39">
        <v>5.2200000000000006</v>
      </c>
      <c r="D542" s="50">
        <v>0.42332166332263244</v>
      </c>
      <c r="E542" s="28">
        <v>0.67707932793693948</v>
      </c>
      <c r="F542" s="51">
        <v>1.8360333386837882</v>
      </c>
      <c r="G542" s="28">
        <v>0.46002905663067495</v>
      </c>
      <c r="H542" s="55" t="s">
        <v>27</v>
      </c>
      <c r="I542" s="50">
        <v>61.507190869627252</v>
      </c>
      <c r="J542">
        <f t="shared" si="25"/>
        <v>0.41294846082623371</v>
      </c>
    </row>
    <row r="543" spans="1:12" ht="12.75" customHeight="1" x14ac:dyDescent="0.15">
      <c r="A543" s="126">
        <v>173</v>
      </c>
      <c r="B543" s="25" t="s">
        <v>113</v>
      </c>
      <c r="C543" s="39">
        <v>5.2200000000000006</v>
      </c>
      <c r="D543" s="50">
        <v>0.39214387639215742</v>
      </c>
      <c r="E543" s="28">
        <v>0.71698362757295553</v>
      </c>
      <c r="F543" s="51">
        <v>1.6178854352941177</v>
      </c>
      <c r="G543" s="28">
        <v>0.45482514860936146</v>
      </c>
      <c r="H543" s="55" t="s">
        <v>27</v>
      </c>
      <c r="I543" s="50">
        <v>53.88129227396081</v>
      </c>
      <c r="J543">
        <f t="shared" si="25"/>
        <v>0.43667535781988132</v>
      </c>
    </row>
    <row r="544" spans="1:12" ht="11.25" customHeight="1" x14ac:dyDescent="0.15">
      <c r="A544" s="126">
        <v>174</v>
      </c>
      <c r="B544" s="25" t="s">
        <v>85</v>
      </c>
      <c r="C544" s="39" t="s">
        <v>27</v>
      </c>
      <c r="D544" s="50" t="s">
        <v>27</v>
      </c>
      <c r="E544" s="28" t="s">
        <v>27</v>
      </c>
      <c r="F544" s="51" t="s">
        <v>27</v>
      </c>
      <c r="G544" s="28" t="s">
        <v>27</v>
      </c>
      <c r="H544" s="55" t="s">
        <v>27</v>
      </c>
      <c r="I544" s="50" t="s">
        <v>27</v>
      </c>
      <c r="J544" t="e">
        <f t="shared" si="25"/>
        <v>#VALUE!</v>
      </c>
    </row>
    <row r="545" spans="1:10" ht="11.25" customHeight="1" x14ac:dyDescent="0.15">
      <c r="A545" s="32"/>
      <c r="B545" s="52" t="s">
        <v>129</v>
      </c>
      <c r="C545" s="53">
        <f t="shared" ref="C545:I545" si="26">SUM(C371:C544)</f>
        <v>831.6000000000023</v>
      </c>
      <c r="D545" s="53">
        <f t="shared" si="26"/>
        <v>55.028155090299592</v>
      </c>
      <c r="E545" s="53">
        <f t="shared" si="26"/>
        <v>119.6882332620128</v>
      </c>
      <c r="F545" s="53">
        <f t="shared" si="26"/>
        <v>221.3881044833393</v>
      </c>
      <c r="G545" s="53">
        <f t="shared" si="26"/>
        <v>71.895920701656351</v>
      </c>
      <c r="H545" s="54">
        <f t="shared" si="26"/>
        <v>0</v>
      </c>
      <c r="I545" s="53">
        <f t="shared" si="26"/>
        <v>9309.2728036290046</v>
      </c>
      <c r="J545">
        <f t="shared" si="25"/>
        <v>0.35466672586186199</v>
      </c>
    </row>
    <row r="546" spans="1:10" ht="11.25" customHeight="1" x14ac:dyDescent="0.15">
      <c r="A546" s="31"/>
      <c r="B546" s="41" t="s">
        <v>130</v>
      </c>
      <c r="C546" s="39">
        <f t="shared" ref="C546:I546" si="27">AVERAGE(C371:C544)</f>
        <v>5.2301886792452974</v>
      </c>
      <c r="D546" s="39">
        <f t="shared" si="27"/>
        <v>0.34608902572515465</v>
      </c>
      <c r="E546" s="39">
        <f t="shared" si="27"/>
        <v>0.75275618403781641</v>
      </c>
      <c r="F546" s="39">
        <f t="shared" si="27"/>
        <v>1.3923780156184862</v>
      </c>
      <c r="G546" s="39">
        <f t="shared" si="27"/>
        <v>0.45217560189720973</v>
      </c>
      <c r="H546" s="40" t="e">
        <f t="shared" si="27"/>
        <v>#DIV/0!</v>
      </c>
      <c r="I546" s="39">
        <f t="shared" si="27"/>
        <v>53.810825454502918</v>
      </c>
      <c r="J546">
        <f t="shared" si="25"/>
        <v>0.38589524260441588</v>
      </c>
    </row>
    <row r="547" spans="1:10" ht="11.25" customHeight="1" thickBot="1" x14ac:dyDescent="0.2">
      <c r="A547" s="33"/>
      <c r="B547" s="42" t="s">
        <v>131</v>
      </c>
      <c r="C547" s="43">
        <f t="shared" ref="C547:I547" si="28">STDEV(C371:C544)/AVERAGE(C371:C544)</f>
        <v>7.6878865279827804E-3</v>
      </c>
      <c r="D547" s="43">
        <f t="shared" si="28"/>
        <v>0.32161973890276208</v>
      </c>
      <c r="E547" s="43">
        <f t="shared" si="28"/>
        <v>1.6287970371415275</v>
      </c>
      <c r="F547" s="43">
        <f t="shared" si="28"/>
        <v>0.35088133956673223</v>
      </c>
      <c r="G547" s="43">
        <f t="shared" si="28"/>
        <v>1.3325832867836698</v>
      </c>
      <c r="H547" s="44" t="e">
        <f t="shared" si="28"/>
        <v>#DIV/0!</v>
      </c>
      <c r="I547" s="43">
        <f t="shared" si="28"/>
        <v>0.35799885115208518</v>
      </c>
      <c r="J547">
        <f t="shared" si="25"/>
        <v>53.902922515156028</v>
      </c>
    </row>
    <row r="548" spans="1:10" ht="14" thickBot="1" x14ac:dyDescent="0.2"/>
    <row r="549" spans="1:10" ht="11.25" customHeight="1" x14ac:dyDescent="0.15">
      <c r="A549" s="56" t="s">
        <v>13</v>
      </c>
      <c r="B549" s="57" t="s">
        <v>81</v>
      </c>
      <c r="C549" s="58" t="s">
        <v>82</v>
      </c>
      <c r="D549" s="34" t="s">
        <v>17</v>
      </c>
      <c r="E549" s="34" t="s">
        <v>83</v>
      </c>
      <c r="F549" s="34" t="s">
        <v>18</v>
      </c>
      <c r="G549" s="34" t="s">
        <v>84</v>
      </c>
      <c r="H549" s="35" t="s">
        <v>19</v>
      </c>
    </row>
    <row r="550" spans="1:10" ht="11.25" customHeight="1" x14ac:dyDescent="0.15">
      <c r="A550" s="36" t="s">
        <v>20</v>
      </c>
      <c r="B550" s="37" t="s">
        <v>20</v>
      </c>
      <c r="C550" s="37" t="s">
        <v>21</v>
      </c>
      <c r="D550" s="37" t="s">
        <v>22</v>
      </c>
      <c r="E550" s="37" t="s">
        <v>52</v>
      </c>
      <c r="F550" s="37" t="s">
        <v>23</v>
      </c>
      <c r="G550" s="37" t="s">
        <v>52</v>
      </c>
      <c r="H550" s="38" t="s">
        <v>20</v>
      </c>
    </row>
    <row r="551" spans="1:10" ht="11.25" customHeight="1" x14ac:dyDescent="0.15">
      <c r="A551" s="36" t="s">
        <v>20</v>
      </c>
      <c r="B551" s="37" t="s">
        <v>20</v>
      </c>
      <c r="C551" s="37" t="s">
        <v>24</v>
      </c>
      <c r="D551" s="37" t="s">
        <v>24</v>
      </c>
      <c r="E551" s="37" t="s">
        <v>24</v>
      </c>
      <c r="F551" s="37" t="s">
        <v>24</v>
      </c>
      <c r="G551" s="37" t="s">
        <v>24</v>
      </c>
      <c r="H551" s="38" t="s">
        <v>24</v>
      </c>
    </row>
    <row r="552" spans="1:10" ht="11.25" customHeight="1" x14ac:dyDescent="0.15">
      <c r="A552" s="36" t="s">
        <v>20</v>
      </c>
      <c r="B552" s="37" t="s">
        <v>20</v>
      </c>
      <c r="C552" s="45" t="s">
        <v>30</v>
      </c>
      <c r="D552" s="46" t="s">
        <v>30</v>
      </c>
      <c r="E552" s="47" t="s">
        <v>30</v>
      </c>
      <c r="F552" s="48" t="s">
        <v>30</v>
      </c>
      <c r="G552" s="47" t="s">
        <v>30</v>
      </c>
      <c r="H552" s="49" t="s">
        <v>30</v>
      </c>
      <c r="I552" s="208" t="s">
        <v>204</v>
      </c>
      <c r="J552" s="208" t="s">
        <v>205</v>
      </c>
    </row>
    <row r="553" spans="1:10" ht="11.25" customHeight="1" x14ac:dyDescent="0.15">
      <c r="A553" s="126">
        <v>1</v>
      </c>
      <c r="B553" s="25" t="s">
        <v>85</v>
      </c>
      <c r="C553" s="39">
        <v>6.5566666666666666</v>
      </c>
      <c r="D553" s="50">
        <v>5.1787270490550541E-2</v>
      </c>
      <c r="E553" s="28">
        <v>32.904226113031065</v>
      </c>
      <c r="F553" s="51">
        <v>5.9630301645338224E-2</v>
      </c>
      <c r="G553" s="28">
        <v>15.233555585805135</v>
      </c>
      <c r="H553" s="55" t="s">
        <v>27</v>
      </c>
      <c r="I553" s="50">
        <v>4.095663883302858E-2</v>
      </c>
    </row>
    <row r="554" spans="1:10" ht="12.75" customHeight="1" x14ac:dyDescent="0.15">
      <c r="A554" s="126">
        <v>2</v>
      </c>
      <c r="B554" s="25" t="s">
        <v>86</v>
      </c>
      <c r="C554" s="39">
        <v>6.5366666666666671</v>
      </c>
      <c r="D554" s="50">
        <v>7.2744277654369194E-2</v>
      </c>
      <c r="E554" s="28">
        <v>0.1172803344571314</v>
      </c>
      <c r="F554" s="51">
        <v>0.13015261800872668</v>
      </c>
      <c r="G554" s="28">
        <v>3.2859993146241641E-2</v>
      </c>
      <c r="H554" s="55" t="s">
        <v>27</v>
      </c>
      <c r="I554" s="50">
        <v>61.317518126708961</v>
      </c>
    </row>
    <row r="555" spans="1:10" ht="12.75" customHeight="1" x14ac:dyDescent="0.15">
      <c r="A555" s="126">
        <v>3</v>
      </c>
      <c r="B555" s="25" t="s">
        <v>87</v>
      </c>
      <c r="C555" s="39">
        <v>6.5366666666666671</v>
      </c>
      <c r="D555" s="50">
        <v>6.9601995472062139E-2</v>
      </c>
      <c r="E555" s="28">
        <v>0.11294794498045117</v>
      </c>
      <c r="F555" s="51">
        <v>0.12595788191577206</v>
      </c>
      <c r="G555" s="28">
        <v>3.1874416684283487E-2</v>
      </c>
      <c r="H555" s="55" t="s">
        <v>27</v>
      </c>
      <c r="I555" s="50">
        <v>60.556380597185495</v>
      </c>
    </row>
    <row r="556" spans="1:10" ht="12.75" customHeight="1" x14ac:dyDescent="0.15">
      <c r="A556" s="126">
        <v>4</v>
      </c>
      <c r="B556" s="25" t="s">
        <v>88</v>
      </c>
      <c r="C556" s="39">
        <v>6.54</v>
      </c>
      <c r="D556" s="50">
        <v>6.8690532110092128E-2</v>
      </c>
      <c r="E556" s="28">
        <v>0.11297307222257319</v>
      </c>
      <c r="F556" s="51">
        <v>0.13289406290956751</v>
      </c>
      <c r="G556" s="28">
        <v>3.4091338501841977E-2</v>
      </c>
      <c r="H556" s="55" t="s">
        <v>27</v>
      </c>
      <c r="I556" s="50">
        <v>59.991398085091745</v>
      </c>
    </row>
    <row r="557" spans="1:10" ht="12.75" customHeight="1" x14ac:dyDescent="0.15">
      <c r="A557" s="126">
        <v>5</v>
      </c>
      <c r="B557" s="25" t="s">
        <v>59</v>
      </c>
      <c r="C557" s="39">
        <v>6.5566666666666666</v>
      </c>
      <c r="D557" s="50">
        <v>4.4050040336133689E-2</v>
      </c>
      <c r="E557" s="28">
        <v>24.565886149798462</v>
      </c>
      <c r="F557" s="51">
        <v>6.3272352941176502E-2</v>
      </c>
      <c r="G557" s="28">
        <v>20.233058666462259</v>
      </c>
      <c r="H557" s="55" t="s">
        <v>27</v>
      </c>
      <c r="I557" s="50">
        <v>5.9284909383752749E-2</v>
      </c>
    </row>
    <row r="558" spans="1:10" ht="12.75" customHeight="1" x14ac:dyDescent="0.15">
      <c r="A558" s="126">
        <v>6</v>
      </c>
      <c r="B558" s="25" t="s">
        <v>60</v>
      </c>
      <c r="C558" s="39">
        <v>6.58</v>
      </c>
      <c r="D558" s="50">
        <v>3.1231198883756583E-2</v>
      </c>
      <c r="E558" s="28">
        <v>2.5028218547361734</v>
      </c>
      <c r="F558" s="51">
        <v>3.845540415704396E-2</v>
      </c>
      <c r="G558" s="28">
        <v>0.84396118702918543</v>
      </c>
      <c r="H558" s="55" t="s">
        <v>27</v>
      </c>
      <c r="I558" s="50">
        <v>6.6206856966898098E-2</v>
      </c>
    </row>
    <row r="559" spans="1:10" ht="12.75" customHeight="1" x14ac:dyDescent="0.15">
      <c r="A559" s="126">
        <v>7</v>
      </c>
      <c r="B559" s="25" t="s">
        <v>61</v>
      </c>
      <c r="C559" s="39">
        <v>6.5866666666666669</v>
      </c>
      <c r="D559" s="50">
        <v>2.7944052743774983E-2</v>
      </c>
      <c r="E559" s="28">
        <v>1.1446758660752667</v>
      </c>
      <c r="F559" s="51">
        <v>4.4821456407694193E-2</v>
      </c>
      <c r="G559" s="28">
        <v>0.53474202996926901</v>
      </c>
      <c r="H559" s="55" t="s">
        <v>27</v>
      </c>
      <c r="I559" s="50">
        <v>0.12247340861437273</v>
      </c>
    </row>
    <row r="560" spans="1:10" ht="12.75" customHeight="1" x14ac:dyDescent="0.15">
      <c r="A560" s="126">
        <v>8</v>
      </c>
      <c r="B560" s="25" t="s">
        <v>62</v>
      </c>
      <c r="C560" s="39">
        <v>6.5833333333333339</v>
      </c>
      <c r="D560" s="50">
        <v>2.2057753886320364E-2</v>
      </c>
      <c r="E560" s="28">
        <v>0.83129520890486741</v>
      </c>
      <c r="F560" s="51">
        <v>3.9867996918335868E-2</v>
      </c>
      <c r="G560" s="28">
        <v>0.37629694283531856</v>
      </c>
      <c r="H560" s="55" t="s">
        <v>27</v>
      </c>
      <c r="I560" s="50">
        <v>9.598185279917848E-2</v>
      </c>
    </row>
    <row r="561" spans="1:10" ht="12.75" customHeight="1" x14ac:dyDescent="0.15">
      <c r="A561" s="126">
        <v>9</v>
      </c>
      <c r="B561" s="25" t="s">
        <v>59</v>
      </c>
      <c r="C561" s="39">
        <v>6.5833333333333339</v>
      </c>
      <c r="D561" s="50">
        <v>4.5011605845182157E-2</v>
      </c>
      <c r="E561" s="28">
        <v>20.765776234566797</v>
      </c>
      <c r="F561" s="51">
        <v>6.3912164296998419E-2</v>
      </c>
      <c r="G561" s="28">
        <v>17.449981088083714</v>
      </c>
      <c r="H561" s="55" t="s">
        <v>27</v>
      </c>
      <c r="I561" s="50">
        <v>6.6867244418114868E-2</v>
      </c>
    </row>
    <row r="562" spans="1:10" ht="12.75" customHeight="1" x14ac:dyDescent="0.15">
      <c r="A562" s="126">
        <v>10</v>
      </c>
      <c r="B562" s="25" t="s">
        <v>63</v>
      </c>
      <c r="C562" s="39">
        <v>6.5200000000000005</v>
      </c>
      <c r="D562" s="50">
        <v>0.21889585000000089</v>
      </c>
      <c r="E562" s="28">
        <v>32.913655799884062</v>
      </c>
      <c r="F562" s="51">
        <v>0.41839408000000011</v>
      </c>
      <c r="G562" s="28">
        <v>22.92172249550638</v>
      </c>
      <c r="H562" s="55" t="s">
        <v>27</v>
      </c>
      <c r="I562" s="50">
        <v>7.8765377866665265E-2</v>
      </c>
    </row>
    <row r="563" spans="1:10" ht="12.75" customHeight="1" x14ac:dyDescent="0.15">
      <c r="A563" s="126">
        <v>11</v>
      </c>
      <c r="B563" s="25" t="s">
        <v>64</v>
      </c>
      <c r="C563" s="39">
        <v>6.5633333333333335</v>
      </c>
      <c r="D563" s="50">
        <v>5.8527883393178382E-2</v>
      </c>
      <c r="E563" s="28">
        <v>12.01145971086869</v>
      </c>
      <c r="F563" s="51">
        <v>9.8585059245960505E-2</v>
      </c>
      <c r="G563" s="28">
        <v>5.7141808477226368</v>
      </c>
      <c r="H563" s="55" t="s">
        <v>27</v>
      </c>
      <c r="I563" s="50">
        <v>7.177782721124859E-2</v>
      </c>
    </row>
    <row r="564" spans="1:10" ht="12.75" customHeight="1" x14ac:dyDescent="0.15">
      <c r="A564" s="126">
        <v>12</v>
      </c>
      <c r="B564" s="25" t="s">
        <v>65</v>
      </c>
      <c r="C564" s="39">
        <v>6.5633333333333335</v>
      </c>
      <c r="D564" s="50">
        <v>6.5123894842561647E-2</v>
      </c>
      <c r="E564" s="28">
        <v>4.2027802027437415</v>
      </c>
      <c r="F564" s="51">
        <v>0.10496186556114906</v>
      </c>
      <c r="G564" s="28">
        <v>1.223324569642253</v>
      </c>
      <c r="H564" s="55" t="s">
        <v>27</v>
      </c>
      <c r="I564" s="50">
        <v>1.0162091069687109</v>
      </c>
    </row>
    <row r="565" spans="1:10" ht="12.75" customHeight="1" x14ac:dyDescent="0.15">
      <c r="A565" s="126">
        <v>13</v>
      </c>
      <c r="B565" s="25" t="s">
        <v>66</v>
      </c>
      <c r="C565" s="39">
        <v>6.5633333333333335</v>
      </c>
      <c r="D565" s="50">
        <v>6.8789940914562031E-2</v>
      </c>
      <c r="E565" s="28">
        <v>8.679752005585522</v>
      </c>
      <c r="F565" s="51">
        <v>0.10690053378029918</v>
      </c>
      <c r="G565" s="28">
        <v>3.8573309994895113</v>
      </c>
      <c r="H565" s="55" t="s">
        <v>27</v>
      </c>
      <c r="I565" s="50">
        <v>5.0377216666666724E-2</v>
      </c>
    </row>
    <row r="566" spans="1:10" ht="12.75" customHeight="1" x14ac:dyDescent="0.15">
      <c r="A566" s="126">
        <v>14</v>
      </c>
      <c r="B566" s="25" t="s">
        <v>67</v>
      </c>
      <c r="C566" s="39">
        <v>6.5633333333333335</v>
      </c>
      <c r="D566" s="50">
        <v>6.1888209208102118E-2</v>
      </c>
      <c r="E566" s="28">
        <v>7.7273210019323919</v>
      </c>
      <c r="F566" s="51">
        <v>0.10123424186617547</v>
      </c>
      <c r="G566" s="28">
        <v>3.5006637838389962</v>
      </c>
      <c r="H566" s="55" t="s">
        <v>27</v>
      </c>
      <c r="I566" s="50">
        <v>3.7888999999999728E-2</v>
      </c>
    </row>
    <row r="567" spans="1:10" ht="12.75" customHeight="1" x14ac:dyDescent="0.15">
      <c r="A567" s="126">
        <v>15</v>
      </c>
      <c r="B567" s="25" t="s">
        <v>85</v>
      </c>
      <c r="C567" s="39">
        <v>6.6000000000000005</v>
      </c>
      <c r="D567" s="50">
        <v>0.1632701304171017</v>
      </c>
      <c r="E567" s="28">
        <v>8.8165269843416851</v>
      </c>
      <c r="F567" s="51">
        <v>0.190937891251307</v>
      </c>
      <c r="G567" s="28">
        <v>6.1351146250809059</v>
      </c>
      <c r="H567" s="55" t="s">
        <v>27</v>
      </c>
      <c r="I567" s="50">
        <v>0.28603644460322941</v>
      </c>
    </row>
    <row r="568" spans="1:10" ht="12.75" customHeight="1" x14ac:dyDescent="0.15">
      <c r="A568" s="126">
        <v>16</v>
      </c>
      <c r="B568" s="25" t="s">
        <v>85</v>
      </c>
      <c r="C568" s="39">
        <v>6.5600000000000005</v>
      </c>
      <c r="D568" s="50">
        <v>4.0970076517572895E-2</v>
      </c>
      <c r="E568" s="28">
        <v>22.454097989039987</v>
      </c>
      <c r="F568" s="51">
        <v>6.340886353263353E-2</v>
      </c>
      <c r="G568" s="28">
        <v>19.500223467100515</v>
      </c>
      <c r="H568" s="55" t="s">
        <v>27</v>
      </c>
      <c r="I568" s="50">
        <v>5.7229369047616885E-2</v>
      </c>
    </row>
    <row r="569" spans="1:10" ht="12.75" customHeight="1" x14ac:dyDescent="0.15">
      <c r="A569" s="126">
        <v>17</v>
      </c>
      <c r="B569" s="25" t="s">
        <v>85</v>
      </c>
      <c r="C569" s="39">
        <v>6.5666666666666673</v>
      </c>
      <c r="D569" s="50">
        <v>4.0963032053626058E-2</v>
      </c>
      <c r="E569" s="28">
        <v>24.015679420835809</v>
      </c>
      <c r="F569" s="51">
        <v>6.2425511882998164E-2</v>
      </c>
      <c r="G569" s="28">
        <v>20.061891354939718</v>
      </c>
      <c r="H569" s="55" t="s">
        <v>27</v>
      </c>
      <c r="I569" s="50">
        <v>4.6151283348567551E-2</v>
      </c>
    </row>
    <row r="570" spans="1:10" ht="12.75" customHeight="1" x14ac:dyDescent="0.15">
      <c r="A570" s="126">
        <v>18</v>
      </c>
      <c r="B570" s="25" t="s">
        <v>87</v>
      </c>
      <c r="C570" s="39">
        <v>6.5233333333333334</v>
      </c>
      <c r="D570" s="50">
        <v>0.22809543827787682</v>
      </c>
      <c r="E570" s="28">
        <v>0.3841082009915453</v>
      </c>
      <c r="F570" s="51">
        <v>0.45168549211908948</v>
      </c>
      <c r="G570" s="28">
        <v>0.11917903651895168</v>
      </c>
      <c r="H570" s="55" t="s">
        <v>27</v>
      </c>
      <c r="I570" s="50">
        <v>58.138214970554579</v>
      </c>
      <c r="J570">
        <f>D570*60/I570</f>
        <v>0.23539983646907728</v>
      </c>
    </row>
    <row r="571" spans="1:10" ht="12.75" customHeight="1" x14ac:dyDescent="0.15">
      <c r="A571" s="126">
        <v>19</v>
      </c>
      <c r="B571" s="25" t="s">
        <v>88</v>
      </c>
      <c r="C571" s="39">
        <v>6.5266666666666673</v>
      </c>
      <c r="D571" s="50">
        <v>0.21882825331390676</v>
      </c>
      <c r="E571" s="28">
        <v>0.36303212035380472</v>
      </c>
      <c r="F571" s="51">
        <v>0.43697650668495025</v>
      </c>
      <c r="G571" s="28">
        <v>0.11427621927044132</v>
      </c>
      <c r="H571" s="55" t="s">
        <v>27</v>
      </c>
      <c r="I571" s="50">
        <v>59.254926413747008</v>
      </c>
      <c r="J571">
        <f t="shared" ref="J571:J634" si="29">D571*60/I571</f>
        <v>0.22157980767972646</v>
      </c>
    </row>
    <row r="572" spans="1:10" ht="12.75" customHeight="1" x14ac:dyDescent="0.15">
      <c r="A572" s="126">
        <v>20</v>
      </c>
      <c r="B572" s="25" t="s">
        <v>86</v>
      </c>
      <c r="C572" s="39">
        <v>6.5</v>
      </c>
      <c r="D572" s="50">
        <v>0.22719859260628494</v>
      </c>
      <c r="E572" s="28">
        <v>0.351074374848167</v>
      </c>
      <c r="F572" s="51">
        <v>0.46534167282809624</v>
      </c>
      <c r="G572" s="28">
        <v>0.11266959945026926</v>
      </c>
      <c r="H572" s="55" t="s">
        <v>27</v>
      </c>
      <c r="I572" s="50">
        <v>63.739007898367269</v>
      </c>
      <c r="J572">
        <f t="shared" si="29"/>
        <v>0.21387084621890215</v>
      </c>
    </row>
    <row r="573" spans="1:10" ht="12.75" customHeight="1" x14ac:dyDescent="0.15">
      <c r="A573" s="126">
        <v>21</v>
      </c>
      <c r="B573" s="25" t="s">
        <v>85</v>
      </c>
      <c r="C573" s="39">
        <v>6.5900000000000007</v>
      </c>
      <c r="D573" s="50">
        <v>4.7258141726090663E-2</v>
      </c>
      <c r="E573" s="28">
        <v>19.7452205374634</v>
      </c>
      <c r="F573" s="51">
        <v>6.4034744925946185E-2</v>
      </c>
      <c r="G573" s="28">
        <v>18.474391427678459</v>
      </c>
      <c r="H573" s="55" t="s">
        <v>27</v>
      </c>
      <c r="I573" s="50">
        <v>5.8629709434996791E-2</v>
      </c>
      <c r="J573">
        <f t="shared" si="29"/>
        <v>48.36265659322715</v>
      </c>
    </row>
    <row r="574" spans="1:10" ht="12.75" customHeight="1" x14ac:dyDescent="0.15">
      <c r="A574" s="126">
        <v>22</v>
      </c>
      <c r="B574" s="25" t="s">
        <v>89</v>
      </c>
      <c r="C574" s="39">
        <v>6.5066666666666668</v>
      </c>
      <c r="D574" s="50">
        <v>0.18351207239999923</v>
      </c>
      <c r="E574" s="28">
        <v>0.27073100411584738</v>
      </c>
      <c r="F574" s="51">
        <v>0.37580066666666667</v>
      </c>
      <c r="G574" s="28">
        <v>8.7740068858655554E-2</v>
      </c>
      <c r="H574" s="55" t="s">
        <v>27</v>
      </c>
      <c r="I574" s="50">
        <v>66.89664388762219</v>
      </c>
      <c r="J574">
        <f t="shared" si="29"/>
        <v>0.1645930752893458</v>
      </c>
    </row>
    <row r="575" spans="1:10" ht="12.75" customHeight="1" x14ac:dyDescent="0.15">
      <c r="A575" s="126">
        <v>23</v>
      </c>
      <c r="B575" s="25" t="s">
        <v>90</v>
      </c>
      <c r="C575" s="39">
        <v>6.5066666666666668</v>
      </c>
      <c r="D575" s="50">
        <v>0.17824717289603909</v>
      </c>
      <c r="E575" s="28">
        <v>0.2737016580374767</v>
      </c>
      <c r="F575" s="51">
        <v>0.36526120668316842</v>
      </c>
      <c r="G575" s="28">
        <v>8.8407011043183742E-2</v>
      </c>
      <c r="H575" s="55" t="s">
        <v>27</v>
      </c>
      <c r="I575" s="50">
        <v>64.292652151897741</v>
      </c>
      <c r="J575">
        <f t="shared" si="29"/>
        <v>0.16634607557477568</v>
      </c>
    </row>
    <row r="576" spans="1:10" ht="12.75" customHeight="1" x14ac:dyDescent="0.15">
      <c r="A576" s="126">
        <v>24</v>
      </c>
      <c r="B576" s="25" t="s">
        <v>91</v>
      </c>
      <c r="C576" s="39">
        <v>6.5066666666666668</v>
      </c>
      <c r="D576" s="50">
        <v>0.19965093730879491</v>
      </c>
      <c r="E576" s="28">
        <v>0.27926550575951986</v>
      </c>
      <c r="F576" s="51">
        <v>0.40447737571701725</v>
      </c>
      <c r="G576" s="28">
        <v>9.0545099512234439E-2</v>
      </c>
      <c r="H576" s="55" t="s">
        <v>27</v>
      </c>
      <c r="I576" s="50">
        <v>70.558985876059566</v>
      </c>
      <c r="J576">
        <f t="shared" si="29"/>
        <v>0.16977364526708918</v>
      </c>
    </row>
    <row r="577" spans="1:10" ht="12.75" customHeight="1" x14ac:dyDescent="0.15">
      <c r="A577" s="126">
        <v>25</v>
      </c>
      <c r="B577" s="25" t="s">
        <v>92</v>
      </c>
      <c r="C577" s="39">
        <v>6.5100000000000007</v>
      </c>
      <c r="D577" s="50">
        <v>0.17687372582070671</v>
      </c>
      <c r="E577" s="28">
        <v>0.27650956130070919</v>
      </c>
      <c r="F577" s="51">
        <v>0.35466177083333339</v>
      </c>
      <c r="G577" s="28">
        <v>8.7349216383059494E-2</v>
      </c>
      <c r="H577" s="55" t="s">
        <v>27</v>
      </c>
      <c r="I577" s="50">
        <v>63.136728161916054</v>
      </c>
      <c r="J577">
        <f t="shared" si="29"/>
        <v>0.16808637156531964</v>
      </c>
    </row>
    <row r="578" spans="1:10" ht="12.75" customHeight="1" x14ac:dyDescent="0.15">
      <c r="A578" s="126">
        <v>26</v>
      </c>
      <c r="B578" s="25" t="s">
        <v>93</v>
      </c>
      <c r="C578" s="39">
        <v>6.5100000000000007</v>
      </c>
      <c r="D578" s="50">
        <v>0.18057836468646848</v>
      </c>
      <c r="E578" s="28">
        <v>0.27113321901563775</v>
      </c>
      <c r="F578" s="51">
        <v>0.37129829207920806</v>
      </c>
      <c r="G578" s="28">
        <v>8.8489872417391702E-2</v>
      </c>
      <c r="H578" s="55" t="s">
        <v>27</v>
      </c>
      <c r="I578" s="50">
        <v>65.753312757466972</v>
      </c>
      <c r="J578">
        <f t="shared" si="29"/>
        <v>0.16477803819789621</v>
      </c>
    </row>
    <row r="579" spans="1:10" ht="12.75" customHeight="1" x14ac:dyDescent="0.15">
      <c r="A579" s="126">
        <v>27</v>
      </c>
      <c r="B579" s="25" t="s">
        <v>94</v>
      </c>
      <c r="C579" s="39">
        <v>6.5100000000000007</v>
      </c>
      <c r="D579" s="50">
        <v>0.17344538854166758</v>
      </c>
      <c r="E579" s="28">
        <v>0.27001302795995585</v>
      </c>
      <c r="F579" s="51">
        <v>0.35638375</v>
      </c>
      <c r="G579" s="28">
        <v>8.7491717811297678E-2</v>
      </c>
      <c r="H579" s="55" t="s">
        <v>27</v>
      </c>
      <c r="I579" s="50">
        <v>63.425098809374994</v>
      </c>
      <c r="J579">
        <f t="shared" si="29"/>
        <v>0.16407894521028032</v>
      </c>
    </row>
    <row r="580" spans="1:10" ht="12.75" customHeight="1" x14ac:dyDescent="0.15">
      <c r="A580" s="126">
        <v>28</v>
      </c>
      <c r="B580" s="25" t="s">
        <v>95</v>
      </c>
      <c r="C580" s="39">
        <v>6.5100000000000007</v>
      </c>
      <c r="D580" s="50">
        <v>0.18048730521875633</v>
      </c>
      <c r="E580" s="28">
        <v>0.26380230067038835</v>
      </c>
      <c r="F580" s="51">
        <v>0.36942428487345491</v>
      </c>
      <c r="G580" s="28">
        <v>8.6149456173277711E-2</v>
      </c>
      <c r="H580" s="55" t="s">
        <v>27</v>
      </c>
      <c r="I580" s="50">
        <v>67.552395389219171</v>
      </c>
      <c r="J580">
        <f t="shared" si="29"/>
        <v>0.16030872407603242</v>
      </c>
    </row>
    <row r="581" spans="1:10" ht="12.75" customHeight="1" x14ac:dyDescent="0.15">
      <c r="A581" s="126">
        <v>29</v>
      </c>
      <c r="B581" s="25" t="s">
        <v>96</v>
      </c>
      <c r="C581" s="39">
        <v>6.5100000000000007</v>
      </c>
      <c r="D581" s="50">
        <v>0.17520128145524771</v>
      </c>
      <c r="E581" s="28">
        <v>0.2697646806400012</v>
      </c>
      <c r="F581" s="51">
        <v>0.35878170637475859</v>
      </c>
      <c r="G581" s="28">
        <v>8.7466683152813904E-2</v>
      </c>
      <c r="H581" s="55" t="s">
        <v>27</v>
      </c>
      <c r="I581" s="50">
        <v>64.131110996801894</v>
      </c>
      <c r="J581">
        <f t="shared" si="29"/>
        <v>0.16391540274172203</v>
      </c>
    </row>
    <row r="582" spans="1:10" ht="12.75" customHeight="1" x14ac:dyDescent="0.15">
      <c r="A582" s="126">
        <v>30</v>
      </c>
      <c r="B582" s="25" t="s">
        <v>97</v>
      </c>
      <c r="C582" s="39">
        <v>6.5066666666666668</v>
      </c>
      <c r="D582" s="50">
        <v>0.18804374140871727</v>
      </c>
      <c r="E582" s="28">
        <v>0.26847320989670065</v>
      </c>
      <c r="F582" s="51">
        <v>0.38555523057485797</v>
      </c>
      <c r="G582" s="28">
        <v>8.804573947864773E-2</v>
      </c>
      <c r="H582" s="55" t="s">
        <v>27</v>
      </c>
      <c r="I582" s="50">
        <v>69.155521096757155</v>
      </c>
      <c r="J582">
        <f t="shared" si="29"/>
        <v>0.16314857159036145</v>
      </c>
    </row>
    <row r="583" spans="1:10" ht="12.75" customHeight="1" x14ac:dyDescent="0.15">
      <c r="A583" s="126">
        <v>31</v>
      </c>
      <c r="B583" s="25" t="s">
        <v>98</v>
      </c>
      <c r="C583" s="39">
        <v>6.5100000000000007</v>
      </c>
      <c r="D583" s="50">
        <v>0.17996348821138342</v>
      </c>
      <c r="E583" s="28">
        <v>0.27192022007834948</v>
      </c>
      <c r="F583" s="51">
        <v>0.36594282926829269</v>
      </c>
      <c r="G583" s="28">
        <v>8.7763951439614893E-2</v>
      </c>
      <c r="H583" s="55" t="s">
        <v>27</v>
      </c>
      <c r="I583" s="50">
        <v>65.337947505020324</v>
      </c>
      <c r="J583">
        <f t="shared" si="29"/>
        <v>0.16526091964938663</v>
      </c>
    </row>
    <row r="584" spans="1:10" ht="12.75" customHeight="1" x14ac:dyDescent="0.15">
      <c r="A584" s="126">
        <v>32</v>
      </c>
      <c r="B584" s="25" t="s">
        <v>99</v>
      </c>
      <c r="C584" s="39">
        <v>6.5100000000000007</v>
      </c>
      <c r="D584" s="50">
        <v>0.17253083113207568</v>
      </c>
      <c r="E584" s="28">
        <v>0.27260236981871305</v>
      </c>
      <c r="F584" s="51">
        <v>0.35400218867924527</v>
      </c>
      <c r="G584" s="28">
        <v>8.8343077577247589E-2</v>
      </c>
      <c r="H584" s="55" t="s">
        <v>27</v>
      </c>
      <c r="I584" s="50">
        <v>62.489516211383659</v>
      </c>
      <c r="J584">
        <f t="shared" si="29"/>
        <v>0.16565738535896607</v>
      </c>
    </row>
    <row r="585" spans="1:10" ht="12.75" customHeight="1" x14ac:dyDescent="0.15">
      <c r="A585" s="126">
        <v>33</v>
      </c>
      <c r="B585" s="25" t="s">
        <v>100</v>
      </c>
      <c r="C585" s="39">
        <v>6.5100000000000007</v>
      </c>
      <c r="D585" s="50">
        <v>0.17726448310502252</v>
      </c>
      <c r="E585" s="28">
        <v>0.27331010681639034</v>
      </c>
      <c r="F585" s="51">
        <v>0.36359240348692401</v>
      </c>
      <c r="G585" s="28">
        <v>8.8845176634473735E-2</v>
      </c>
      <c r="H585" s="55" t="s">
        <v>27</v>
      </c>
      <c r="I585" s="50">
        <v>64.038966777314286</v>
      </c>
      <c r="J585">
        <f t="shared" si="29"/>
        <v>0.16608433148657689</v>
      </c>
    </row>
    <row r="586" spans="1:10" ht="12.75" customHeight="1" x14ac:dyDescent="0.15">
      <c r="A586" s="126">
        <v>34</v>
      </c>
      <c r="B586" s="25" t="s">
        <v>101</v>
      </c>
      <c r="C586" s="39">
        <v>6.5100000000000007</v>
      </c>
      <c r="D586" s="50">
        <v>0.18645971537987505</v>
      </c>
      <c r="E586" s="28">
        <v>0.31401824514672921</v>
      </c>
      <c r="F586" s="51">
        <v>0.37485835876098006</v>
      </c>
      <c r="G586" s="28">
        <v>9.8894481075467527E-2</v>
      </c>
      <c r="H586" s="55" t="s">
        <v>27</v>
      </c>
      <c r="I586" s="50">
        <v>58.317270811257515</v>
      </c>
      <c r="J586">
        <f t="shared" si="29"/>
        <v>0.19183996039528073</v>
      </c>
    </row>
    <row r="587" spans="1:10" ht="12.75" customHeight="1" x14ac:dyDescent="0.15">
      <c r="A587" s="126">
        <v>35</v>
      </c>
      <c r="B587" s="25" t="s">
        <v>102</v>
      </c>
      <c r="C587" s="39">
        <v>6.5100000000000007</v>
      </c>
      <c r="D587" s="50">
        <v>0.184478527157524</v>
      </c>
      <c r="E587" s="28">
        <v>0.31723576324881286</v>
      </c>
      <c r="F587" s="51">
        <v>0.37283256015399424</v>
      </c>
      <c r="G587" s="28">
        <v>0.10021475075265017</v>
      </c>
      <c r="H587" s="55" t="s">
        <v>27</v>
      </c>
      <c r="I587" s="50">
        <v>57.08700795660895</v>
      </c>
      <c r="J587">
        <f t="shared" si="29"/>
        <v>0.19389195590465372</v>
      </c>
    </row>
    <row r="588" spans="1:10" ht="12.75" customHeight="1" x14ac:dyDescent="0.15">
      <c r="A588" s="126">
        <v>36</v>
      </c>
      <c r="B588" s="25" t="s">
        <v>103</v>
      </c>
      <c r="C588" s="39">
        <v>6.5100000000000007</v>
      </c>
      <c r="D588" s="50">
        <v>0.19145727436386806</v>
      </c>
      <c r="E588" s="28">
        <v>0.31557321167852448</v>
      </c>
      <c r="F588" s="51">
        <v>0.38519664122137409</v>
      </c>
      <c r="G588" s="28">
        <v>9.9853625253358766E-2</v>
      </c>
      <c r="H588" s="55" t="s">
        <v>27</v>
      </c>
      <c r="I588" s="50">
        <v>59.570339434128485</v>
      </c>
      <c r="J588">
        <f t="shared" si="29"/>
        <v>0.19283819046447814</v>
      </c>
    </row>
    <row r="589" spans="1:10" ht="12.75" customHeight="1" x14ac:dyDescent="0.15">
      <c r="A589" s="126">
        <v>37</v>
      </c>
      <c r="B589" s="25" t="s">
        <v>104</v>
      </c>
      <c r="C589" s="39">
        <v>6.5100000000000007</v>
      </c>
      <c r="D589" s="50">
        <v>0.18228085411184214</v>
      </c>
      <c r="E589" s="28">
        <v>0.29328609656661259</v>
      </c>
      <c r="F589" s="51">
        <v>0.3780791118421053</v>
      </c>
      <c r="G589" s="28">
        <v>9.5888516498796525E-2</v>
      </c>
      <c r="H589" s="55" t="s">
        <v>27</v>
      </c>
      <c r="I589" s="50">
        <v>61.06775875833339</v>
      </c>
      <c r="J589">
        <f t="shared" si="29"/>
        <v>0.1790937062221572</v>
      </c>
    </row>
    <row r="590" spans="1:10" ht="12.75" customHeight="1" x14ac:dyDescent="0.15">
      <c r="A590" s="126">
        <v>38</v>
      </c>
      <c r="B590" s="25" t="s">
        <v>105</v>
      </c>
      <c r="C590" s="39">
        <v>6.5100000000000007</v>
      </c>
      <c r="D590" s="50">
        <v>0.19136554646906445</v>
      </c>
      <c r="E590" s="28">
        <v>0.31153478080686403</v>
      </c>
      <c r="F590" s="51">
        <v>0.38841178814382893</v>
      </c>
      <c r="G590" s="28">
        <v>9.9457168479040806E-2</v>
      </c>
      <c r="H590" s="55" t="s">
        <v>27</v>
      </c>
      <c r="I590" s="50">
        <v>60.323377152575297</v>
      </c>
      <c r="J590">
        <f t="shared" si="29"/>
        <v>0.19033968803011034</v>
      </c>
    </row>
    <row r="591" spans="1:10" ht="12.75" customHeight="1" x14ac:dyDescent="0.15">
      <c r="A591" s="126">
        <v>39</v>
      </c>
      <c r="B591" s="25" t="s">
        <v>106</v>
      </c>
      <c r="C591" s="39">
        <v>6.5133333333333336</v>
      </c>
      <c r="D591" s="50">
        <v>0.16573630219966118</v>
      </c>
      <c r="E591" s="28">
        <v>0.30980490703176933</v>
      </c>
      <c r="F591" s="51">
        <v>0.34419362944162435</v>
      </c>
      <c r="G591" s="28">
        <v>9.9815577107803768E-2</v>
      </c>
      <c r="H591" s="55" t="s">
        <v>27</v>
      </c>
      <c r="I591" s="50">
        <v>52.552244868591423</v>
      </c>
      <c r="J591">
        <f t="shared" si="29"/>
        <v>0.18922461175246477</v>
      </c>
    </row>
    <row r="592" spans="1:10" ht="12.75" customHeight="1" x14ac:dyDescent="0.15">
      <c r="A592" s="126">
        <v>40</v>
      </c>
      <c r="B592" s="25" t="s">
        <v>107</v>
      </c>
      <c r="C592" s="39">
        <v>6.5133333333333336</v>
      </c>
      <c r="D592" s="50">
        <v>0.18577529315476249</v>
      </c>
      <c r="E592" s="28">
        <v>0.30924472440994011</v>
      </c>
      <c r="F592" s="51">
        <v>0.37196035714285713</v>
      </c>
      <c r="G592" s="28">
        <v>9.7072276345706657E-2</v>
      </c>
      <c r="H592" s="55" t="s">
        <v>27</v>
      </c>
      <c r="I592" s="50">
        <v>58.956417335714264</v>
      </c>
      <c r="J592">
        <f t="shared" si="29"/>
        <v>0.18906368624494893</v>
      </c>
    </row>
    <row r="593" spans="1:10" ht="12.75" customHeight="1" x14ac:dyDescent="0.15">
      <c r="A593" s="126">
        <v>41</v>
      </c>
      <c r="B593" s="25" t="s">
        <v>108</v>
      </c>
      <c r="C593" s="39">
        <v>6.5133333333333336</v>
      </c>
      <c r="D593" s="50">
        <v>0.19209073496066664</v>
      </c>
      <c r="E593" s="28">
        <v>0.31196398931169644</v>
      </c>
      <c r="F593" s="51">
        <v>0.38938429430819066</v>
      </c>
      <c r="G593" s="28">
        <v>9.9480772294223335E-2</v>
      </c>
      <c r="H593" s="55" t="s">
        <v>27</v>
      </c>
      <c r="I593" s="50">
        <v>60.441143155020875</v>
      </c>
      <c r="J593">
        <f t="shared" si="29"/>
        <v>0.19068871791652361</v>
      </c>
    </row>
    <row r="594" spans="1:10" ht="12.75" customHeight="1" x14ac:dyDescent="0.15">
      <c r="A594" s="126">
        <v>42</v>
      </c>
      <c r="B594" s="25" t="s">
        <v>109</v>
      </c>
      <c r="C594" s="39">
        <v>6.5133333333333336</v>
      </c>
      <c r="D594" s="50">
        <v>0.18819043005464531</v>
      </c>
      <c r="E594" s="28">
        <v>0.30774722818002054</v>
      </c>
      <c r="F594" s="51">
        <v>0.38004239344262303</v>
      </c>
      <c r="G594" s="28">
        <v>9.7730056661983242E-2</v>
      </c>
      <c r="H594" s="55" t="s">
        <v>27</v>
      </c>
      <c r="I594" s="50">
        <v>60.019100703005471</v>
      </c>
      <c r="J594">
        <f t="shared" si="29"/>
        <v>0.18813053962858356</v>
      </c>
    </row>
    <row r="595" spans="1:10" ht="12.75" customHeight="1" x14ac:dyDescent="0.15">
      <c r="A595" s="126">
        <v>43</v>
      </c>
      <c r="B595" s="25" t="s">
        <v>110</v>
      </c>
      <c r="C595" s="39">
        <v>6.5133333333333336</v>
      </c>
      <c r="D595" s="50">
        <v>0.16866290055658717</v>
      </c>
      <c r="E595" s="28">
        <v>0.31414560490378468</v>
      </c>
      <c r="F595" s="51">
        <v>0.34810837353123059</v>
      </c>
      <c r="G595" s="28">
        <v>0.10063602780234897</v>
      </c>
      <c r="H595" s="55" t="s">
        <v>27</v>
      </c>
      <c r="I595" s="50">
        <v>52.753525116563601</v>
      </c>
      <c r="J595">
        <f t="shared" si="29"/>
        <v>0.19183123802693169</v>
      </c>
    </row>
    <row r="596" spans="1:10" ht="12.75" customHeight="1" x14ac:dyDescent="0.15">
      <c r="A596" s="126">
        <v>44</v>
      </c>
      <c r="B596" s="25" t="s">
        <v>111</v>
      </c>
      <c r="C596" s="39">
        <v>6.5100000000000007</v>
      </c>
      <c r="D596" s="50">
        <v>0.1887078260865187</v>
      </c>
      <c r="E596" s="28">
        <v>0.30629214702193602</v>
      </c>
      <c r="F596" s="51">
        <v>0.3915993935718618</v>
      </c>
      <c r="G596" s="28">
        <v>0.10010846036555077</v>
      </c>
      <c r="H596" s="55" t="s">
        <v>27</v>
      </c>
      <c r="I596" s="50">
        <v>60.537405023923625</v>
      </c>
      <c r="J596">
        <f t="shared" si="29"/>
        <v>0.18703262157861944</v>
      </c>
    </row>
    <row r="597" spans="1:10" ht="12.75" customHeight="1" x14ac:dyDescent="0.15">
      <c r="A597" s="126">
        <v>45</v>
      </c>
      <c r="B597" s="25" t="s">
        <v>112</v>
      </c>
      <c r="C597" s="39">
        <v>6.5133333333333336</v>
      </c>
      <c r="D597" s="50">
        <v>0.19167462611524133</v>
      </c>
      <c r="E597" s="28">
        <v>0.31907023280806729</v>
      </c>
      <c r="F597" s="51">
        <v>0.38620225371747208</v>
      </c>
      <c r="G597" s="28">
        <v>0.1008284212329932</v>
      </c>
      <c r="H597" s="55" t="s">
        <v>27</v>
      </c>
      <c r="I597" s="50">
        <v>58.97785507537175</v>
      </c>
      <c r="J597">
        <f t="shared" si="29"/>
        <v>0.19499653814499102</v>
      </c>
    </row>
    <row r="598" spans="1:10" ht="12.75" customHeight="1" x14ac:dyDescent="0.15">
      <c r="A598" s="126">
        <v>46</v>
      </c>
      <c r="B598" s="25" t="s">
        <v>113</v>
      </c>
      <c r="C598" s="39">
        <v>6.5133333333333336</v>
      </c>
      <c r="D598" s="50">
        <v>0.18184291860841384</v>
      </c>
      <c r="E598" s="28">
        <v>0.30819925510677498</v>
      </c>
      <c r="F598" s="51">
        <v>0.36809105409153964</v>
      </c>
      <c r="G598" s="28">
        <v>9.7748701660280601E-2</v>
      </c>
      <c r="H598" s="55" t="s">
        <v>27</v>
      </c>
      <c r="I598" s="50">
        <v>58.102414011450158</v>
      </c>
      <c r="J598">
        <f t="shared" si="29"/>
        <v>0.18778178673186796</v>
      </c>
    </row>
    <row r="599" spans="1:10" ht="12.75" customHeight="1" x14ac:dyDescent="0.15">
      <c r="A599" s="126">
        <v>47</v>
      </c>
      <c r="B599" s="25" t="s">
        <v>114</v>
      </c>
      <c r="C599" s="39">
        <v>6.5166666666666666</v>
      </c>
      <c r="D599" s="50">
        <v>0.18950776641091105</v>
      </c>
      <c r="E599" s="28">
        <v>0.31052460339248894</v>
      </c>
      <c r="F599" s="51">
        <v>0.37636873827791995</v>
      </c>
      <c r="G599" s="28">
        <v>9.7378563470883056E-2</v>
      </c>
      <c r="H599" s="55" t="s">
        <v>27</v>
      </c>
      <c r="I599" s="50">
        <v>60.103360634271141</v>
      </c>
      <c r="J599">
        <f t="shared" si="29"/>
        <v>0.18918186711461829</v>
      </c>
    </row>
    <row r="600" spans="1:10" ht="12.75" customHeight="1" x14ac:dyDescent="0.15">
      <c r="A600" s="126">
        <v>48</v>
      </c>
      <c r="B600" s="25" t="s">
        <v>115</v>
      </c>
      <c r="C600" s="39">
        <v>6.5133333333333336</v>
      </c>
      <c r="D600" s="50">
        <v>0.19757076742919466</v>
      </c>
      <c r="E600" s="28">
        <v>0.31464634570009498</v>
      </c>
      <c r="F600" s="51">
        <v>0.39060102652825823</v>
      </c>
      <c r="G600" s="28">
        <v>9.8319787296897207E-2</v>
      </c>
      <c r="H600" s="55" t="s">
        <v>27</v>
      </c>
      <c r="I600" s="50">
        <v>61.815249343156488</v>
      </c>
      <c r="J600">
        <f t="shared" si="29"/>
        <v>0.19176895946734626</v>
      </c>
    </row>
    <row r="601" spans="1:10" ht="12.75" customHeight="1" x14ac:dyDescent="0.15">
      <c r="A601" s="126">
        <v>49</v>
      </c>
      <c r="B601" s="25" t="s">
        <v>116</v>
      </c>
      <c r="C601" s="39">
        <v>6.5166666666666666</v>
      </c>
      <c r="D601" s="50">
        <v>0.18262802123719535</v>
      </c>
      <c r="E601" s="28">
        <v>0.3095388689984388</v>
      </c>
      <c r="F601" s="51">
        <v>0.36108143420015781</v>
      </c>
      <c r="G601" s="28">
        <v>9.6194411723013795E-2</v>
      </c>
      <c r="H601" s="55" t="s">
        <v>27</v>
      </c>
      <c r="I601" s="50">
        <v>58.072261120856297</v>
      </c>
      <c r="J601">
        <f t="shared" si="29"/>
        <v>0.18869045328590342</v>
      </c>
    </row>
    <row r="602" spans="1:10" ht="12.75" customHeight="1" x14ac:dyDescent="0.15">
      <c r="A602" s="126">
        <v>50</v>
      </c>
      <c r="B602" s="25" t="s">
        <v>117</v>
      </c>
      <c r="C602" s="39">
        <v>6.5133333333333336</v>
      </c>
      <c r="D602" s="50">
        <v>0.20000402325698841</v>
      </c>
      <c r="E602" s="28">
        <v>0.30905393433545125</v>
      </c>
      <c r="F602" s="51">
        <v>0.39893316767502163</v>
      </c>
      <c r="G602" s="28">
        <v>9.7843150548312469E-2</v>
      </c>
      <c r="H602" s="55" t="s">
        <v>27</v>
      </c>
      <c r="I602" s="50">
        <v>63.70435412129796</v>
      </c>
      <c r="J602">
        <f t="shared" si="29"/>
        <v>0.18837395906361326</v>
      </c>
    </row>
    <row r="603" spans="1:10" ht="12.75" customHeight="1" x14ac:dyDescent="0.15">
      <c r="A603" s="126">
        <v>51</v>
      </c>
      <c r="B603" s="25" t="s">
        <v>2</v>
      </c>
      <c r="C603" s="39">
        <v>6.5133333333333336</v>
      </c>
      <c r="D603" s="50">
        <v>0.19530218993513904</v>
      </c>
      <c r="E603" s="28">
        <v>0.31018811219683351</v>
      </c>
      <c r="F603" s="51">
        <v>0.38520947880472545</v>
      </c>
      <c r="G603" s="28">
        <v>9.6766811130710048E-2</v>
      </c>
      <c r="H603" s="55" t="s">
        <v>27</v>
      </c>
      <c r="I603" s="50">
        <v>61.957858689494955</v>
      </c>
      <c r="J603">
        <f t="shared" si="29"/>
        <v>0.18913067113623744</v>
      </c>
    </row>
    <row r="604" spans="1:10" ht="12.75" customHeight="1" x14ac:dyDescent="0.15">
      <c r="A604" s="126">
        <v>52</v>
      </c>
      <c r="B604" s="25" t="s">
        <v>118</v>
      </c>
      <c r="C604" s="39">
        <v>6.5166666666666666</v>
      </c>
      <c r="D604" s="50">
        <v>0.18658721943493295</v>
      </c>
      <c r="E604" s="28">
        <v>0.31572795650878022</v>
      </c>
      <c r="F604" s="51">
        <v>0.36906174657534241</v>
      </c>
      <c r="G604" s="28">
        <v>9.82539405694422E-2</v>
      </c>
      <c r="H604" s="55" t="s">
        <v>27</v>
      </c>
      <c r="I604" s="50">
        <v>58.164371542037706</v>
      </c>
      <c r="J604">
        <f t="shared" si="29"/>
        <v>0.19247578662488835</v>
      </c>
    </row>
    <row r="605" spans="1:10" ht="12.75" customHeight="1" x14ac:dyDescent="0.15">
      <c r="A605" s="126">
        <v>53</v>
      </c>
      <c r="B605" s="25" t="s">
        <v>119</v>
      </c>
      <c r="C605" s="39">
        <v>6.5166666666666666</v>
      </c>
      <c r="D605" s="50">
        <v>0.19430082911208157</v>
      </c>
      <c r="E605" s="28">
        <v>0.31243038416785307</v>
      </c>
      <c r="F605" s="51">
        <v>0.38016415183070207</v>
      </c>
      <c r="G605" s="28">
        <v>9.6575627300182321E-2</v>
      </c>
      <c r="H605" s="55" t="s">
        <v>27</v>
      </c>
      <c r="I605" s="50">
        <v>61.193036757877024</v>
      </c>
      <c r="J605">
        <f t="shared" si="29"/>
        <v>0.19051268517449776</v>
      </c>
    </row>
    <row r="606" spans="1:10" ht="12.75" customHeight="1" x14ac:dyDescent="0.15">
      <c r="A606" s="126">
        <v>54</v>
      </c>
      <c r="B606" s="25" t="s">
        <v>120</v>
      </c>
      <c r="C606" s="39">
        <v>6.5166666666666666</v>
      </c>
      <c r="D606" s="50">
        <v>0.18834819247582169</v>
      </c>
      <c r="E606" s="28">
        <v>0.31010945172263016</v>
      </c>
      <c r="F606" s="51">
        <v>0.37270064990328822</v>
      </c>
      <c r="G606" s="28">
        <v>9.6776578518041376E-2</v>
      </c>
      <c r="H606" s="55" t="s">
        <v>27</v>
      </c>
      <c r="I606" s="50">
        <v>59.779423893449362</v>
      </c>
      <c r="J606">
        <f t="shared" si="29"/>
        <v>0.18904316590089545</v>
      </c>
    </row>
    <row r="607" spans="1:10" ht="12.75" customHeight="1" x14ac:dyDescent="0.15">
      <c r="A607" s="126">
        <v>55</v>
      </c>
      <c r="B607" s="25" t="s">
        <v>121</v>
      </c>
      <c r="C607" s="39">
        <v>6.5100000000000007</v>
      </c>
      <c r="D607" s="50">
        <v>0.19442026502767984</v>
      </c>
      <c r="E607" s="28">
        <v>0.32865089904814904</v>
      </c>
      <c r="F607" s="51">
        <v>0.38767003933566435</v>
      </c>
      <c r="G607" s="28">
        <v>0.10282945162700952</v>
      </c>
      <c r="H607" s="55" t="s">
        <v>27</v>
      </c>
      <c r="I607" s="50">
        <v>58.075391763694661</v>
      </c>
      <c r="J607">
        <f t="shared" si="29"/>
        <v>0.2008633183074488</v>
      </c>
    </row>
    <row r="608" spans="1:10" ht="12.75" customHeight="1" x14ac:dyDescent="0.15">
      <c r="A608" s="126">
        <v>56</v>
      </c>
      <c r="B608" s="25" t="s">
        <v>122</v>
      </c>
      <c r="C608" s="39">
        <v>6.5166666666666666</v>
      </c>
      <c r="D608" s="50">
        <v>0.18123370293708119</v>
      </c>
      <c r="E608" s="28">
        <v>0.34172920114633748</v>
      </c>
      <c r="F608" s="51">
        <v>0.3555966236232434</v>
      </c>
      <c r="G608" s="28">
        <v>0.10421230980361378</v>
      </c>
      <c r="H608" s="55" t="s">
        <v>27</v>
      </c>
      <c r="I608" s="50">
        <v>52.040401285846315</v>
      </c>
      <c r="J608">
        <f t="shared" si="29"/>
        <v>0.20895346514521079</v>
      </c>
    </row>
    <row r="609" spans="1:10" ht="12.75" customHeight="1" x14ac:dyDescent="0.15">
      <c r="A609" s="126">
        <v>57</v>
      </c>
      <c r="B609" s="25" t="s">
        <v>123</v>
      </c>
      <c r="C609" s="39">
        <v>6.5133333333333336</v>
      </c>
      <c r="D609" s="50">
        <v>0.20433197577561368</v>
      </c>
      <c r="E609" s="28">
        <v>0.32914505928412718</v>
      </c>
      <c r="F609" s="51">
        <v>0.4059807467532468</v>
      </c>
      <c r="G609" s="28">
        <v>0.1031743783172263</v>
      </c>
      <c r="H609" s="55" t="s">
        <v>27</v>
      </c>
      <c r="I609" s="50">
        <v>60.92476189588745</v>
      </c>
      <c r="J609">
        <f t="shared" si="29"/>
        <v>0.20123047124069909</v>
      </c>
    </row>
    <row r="610" spans="1:10" ht="12.75" customHeight="1" x14ac:dyDescent="0.15">
      <c r="A610" s="126">
        <v>58</v>
      </c>
      <c r="B610" s="25" t="s">
        <v>124</v>
      </c>
      <c r="C610" s="39">
        <v>6.5100000000000007</v>
      </c>
      <c r="D610" s="50">
        <v>0.19207608198074189</v>
      </c>
      <c r="E610" s="28">
        <v>0.28820926827195797</v>
      </c>
      <c r="F610" s="51">
        <v>0.38641056396148565</v>
      </c>
      <c r="G610" s="28">
        <v>9.2402911695265225E-2</v>
      </c>
      <c r="H610" s="55" t="s">
        <v>27</v>
      </c>
      <c r="I610" s="50">
        <v>65.78038961231853</v>
      </c>
      <c r="J610">
        <f t="shared" si="29"/>
        <v>0.17519757767877886</v>
      </c>
    </row>
    <row r="611" spans="1:10" ht="12.75" customHeight="1" x14ac:dyDescent="0.15">
      <c r="A611" s="126">
        <v>59</v>
      </c>
      <c r="B611" s="25" t="s">
        <v>90</v>
      </c>
      <c r="C611" s="39">
        <v>6.5066666666666668</v>
      </c>
      <c r="D611" s="50">
        <v>0.181508820671195</v>
      </c>
      <c r="E611" s="28">
        <v>0.28944299831635772</v>
      </c>
      <c r="F611" s="51">
        <v>0.37245663990117372</v>
      </c>
      <c r="G611" s="28">
        <v>9.376576445153445E-2</v>
      </c>
      <c r="H611" s="55" t="s">
        <v>27</v>
      </c>
      <c r="I611" s="50">
        <v>61.907068385145138</v>
      </c>
      <c r="J611">
        <f t="shared" si="29"/>
        <v>0.17591737945848085</v>
      </c>
    </row>
    <row r="612" spans="1:10" ht="12.75" customHeight="1" x14ac:dyDescent="0.15">
      <c r="A612" s="126">
        <v>60</v>
      </c>
      <c r="B612" s="25" t="s">
        <v>91</v>
      </c>
      <c r="C612" s="39">
        <v>6.5066666666666668</v>
      </c>
      <c r="D612" s="50">
        <v>0.1787253686401471</v>
      </c>
      <c r="E612" s="28">
        <v>0.29893431618866795</v>
      </c>
      <c r="F612" s="51">
        <v>0.35863376503237743</v>
      </c>
      <c r="G612" s="28">
        <v>9.4253548246132288E-2</v>
      </c>
      <c r="H612" s="55" t="s">
        <v>27</v>
      </c>
      <c r="I612" s="50">
        <v>58.998742529710171</v>
      </c>
      <c r="J612">
        <f t="shared" si="29"/>
        <v>0.18175848600516784</v>
      </c>
    </row>
    <row r="613" spans="1:10" ht="12.75" customHeight="1" x14ac:dyDescent="0.15">
      <c r="A613" s="126">
        <v>61</v>
      </c>
      <c r="B613" s="25" t="s">
        <v>92</v>
      </c>
      <c r="C613" s="39">
        <v>6.5033333333333339</v>
      </c>
      <c r="D613" s="50">
        <v>0.18404914210526258</v>
      </c>
      <c r="E613" s="28">
        <v>0.27931097010582612</v>
      </c>
      <c r="F613" s="51">
        <v>0.37407557894736854</v>
      </c>
      <c r="G613" s="28">
        <v>9.0198677805965688E-2</v>
      </c>
      <c r="H613" s="55" t="s">
        <v>27</v>
      </c>
      <c r="I613" s="50">
        <v>65.052027330542359</v>
      </c>
      <c r="J613">
        <f t="shared" si="29"/>
        <v>0.16975563990041886</v>
      </c>
    </row>
    <row r="614" spans="1:10" ht="12.75" customHeight="1" x14ac:dyDescent="0.15">
      <c r="A614" s="126">
        <v>62</v>
      </c>
      <c r="B614" s="25" t="s">
        <v>93</v>
      </c>
      <c r="C614" s="39">
        <v>6.5033333333333339</v>
      </c>
      <c r="D614" s="50">
        <v>0.18713515725628871</v>
      </c>
      <c r="E614" s="28">
        <v>0.28606056247042644</v>
      </c>
      <c r="F614" s="51">
        <v>0.37871357075471701</v>
      </c>
      <c r="G614" s="28">
        <v>9.1815681890680387E-2</v>
      </c>
      <c r="H614" s="55" t="s">
        <v>27</v>
      </c>
      <c r="I614" s="50">
        <v>64.573906305479596</v>
      </c>
      <c r="J614">
        <f t="shared" si="29"/>
        <v>0.17387997842751743</v>
      </c>
    </row>
    <row r="615" spans="1:10" ht="12.75" customHeight="1" x14ac:dyDescent="0.15">
      <c r="A615" s="126">
        <v>63</v>
      </c>
      <c r="B615" s="25" t="s">
        <v>94</v>
      </c>
      <c r="C615" s="39">
        <v>6.5033333333333339</v>
      </c>
      <c r="D615" s="50">
        <v>0.18178836206593085</v>
      </c>
      <c r="E615" s="28">
        <v>0.28724879650148133</v>
      </c>
      <c r="F615" s="51">
        <v>0.3681578732597216</v>
      </c>
      <c r="G615" s="28">
        <v>9.1982247492652894E-2</v>
      </c>
      <c r="H615" s="55" t="s">
        <v>27</v>
      </c>
      <c r="I615" s="50">
        <v>62.46520501934711</v>
      </c>
      <c r="J615">
        <f t="shared" si="29"/>
        <v>0.17461403865684222</v>
      </c>
    </row>
    <row r="616" spans="1:10" ht="12.75" customHeight="1" x14ac:dyDescent="0.15">
      <c r="A616" s="126">
        <v>64</v>
      </c>
      <c r="B616" s="25" t="s">
        <v>95</v>
      </c>
      <c r="C616" s="39">
        <v>6.5</v>
      </c>
      <c r="D616" s="50">
        <v>0.18095577519379868</v>
      </c>
      <c r="E616" s="28">
        <v>0.28460286549570857</v>
      </c>
      <c r="F616" s="51">
        <v>0.36573930232558149</v>
      </c>
      <c r="G616" s="28">
        <v>9.0841047928629098E-2</v>
      </c>
      <c r="H616" s="55" t="s">
        <v>27</v>
      </c>
      <c r="I616" s="50">
        <v>62.758321132945746</v>
      </c>
      <c r="J616">
        <f t="shared" si="29"/>
        <v>0.17300250095326761</v>
      </c>
    </row>
    <row r="617" spans="1:10" ht="12.75" customHeight="1" x14ac:dyDescent="0.15">
      <c r="A617" s="126">
        <v>65</v>
      </c>
      <c r="B617" s="25" t="s">
        <v>96</v>
      </c>
      <c r="C617" s="39">
        <v>6.5</v>
      </c>
      <c r="D617" s="50">
        <v>0.18181513420669715</v>
      </c>
      <c r="E617" s="28">
        <v>0.28600177959525053</v>
      </c>
      <c r="F617" s="51">
        <v>0.36875852983988344</v>
      </c>
      <c r="G617" s="28">
        <v>9.1582007869630722E-2</v>
      </c>
      <c r="H617" s="55" t="s">
        <v>27</v>
      </c>
      <c r="I617" s="50">
        <v>62.755394820370405</v>
      </c>
      <c r="J617">
        <f t="shared" si="29"/>
        <v>0.17383219536148622</v>
      </c>
    </row>
    <row r="618" spans="1:10" ht="12.75" customHeight="1" x14ac:dyDescent="0.15">
      <c r="A618" s="126">
        <v>66</v>
      </c>
      <c r="B618" s="25" t="s">
        <v>97</v>
      </c>
      <c r="C618" s="39">
        <v>6.496666666666667</v>
      </c>
      <c r="D618" s="50">
        <v>0.18209102604416705</v>
      </c>
      <c r="E618" s="28">
        <v>0.28928315169534635</v>
      </c>
      <c r="F618" s="51">
        <v>0.36775955352856449</v>
      </c>
      <c r="G618" s="28">
        <v>9.2192894938480083E-2</v>
      </c>
      <c r="H618" s="55" t="s">
        <v>27</v>
      </c>
      <c r="I618" s="50">
        <v>62.128522403784586</v>
      </c>
      <c r="J618">
        <f t="shared" si="29"/>
        <v>0.17585258975971549</v>
      </c>
    </row>
    <row r="619" spans="1:10" ht="12.75" customHeight="1" x14ac:dyDescent="0.15">
      <c r="A619" s="126">
        <v>67</v>
      </c>
      <c r="B619" s="25" t="s">
        <v>98</v>
      </c>
      <c r="C619" s="39">
        <v>6.496666666666667</v>
      </c>
      <c r="D619" s="50">
        <v>0.18028278151227317</v>
      </c>
      <c r="E619" s="28">
        <v>0.28231698237147307</v>
      </c>
      <c r="F619" s="51">
        <v>0.36518033254156779</v>
      </c>
      <c r="G619" s="28">
        <v>9.0291290472261851E-2</v>
      </c>
      <c r="H619" s="55" t="s">
        <v>27</v>
      </c>
      <c r="I619" s="50">
        <v>63.037848427118</v>
      </c>
      <c r="J619">
        <f t="shared" si="29"/>
        <v>0.1715947983732751</v>
      </c>
    </row>
    <row r="620" spans="1:10" ht="12.75" customHeight="1" x14ac:dyDescent="0.15">
      <c r="A620" s="126">
        <v>68</v>
      </c>
      <c r="B620" s="25" t="s">
        <v>99</v>
      </c>
      <c r="C620" s="39">
        <v>6.496666666666667</v>
      </c>
      <c r="D620" s="50">
        <v>0.19543226340425668</v>
      </c>
      <c r="E620" s="28">
        <v>0.29202558149470598</v>
      </c>
      <c r="F620" s="51">
        <v>0.39764096926713932</v>
      </c>
      <c r="G620" s="28">
        <v>9.4525843489949357E-2</v>
      </c>
      <c r="H620" s="55" t="s">
        <v>27</v>
      </c>
      <c r="I620" s="50">
        <v>66.055330279921179</v>
      </c>
      <c r="J620">
        <f t="shared" si="29"/>
        <v>0.17751687493749055</v>
      </c>
    </row>
    <row r="621" spans="1:10" ht="12.75" customHeight="1" x14ac:dyDescent="0.15">
      <c r="A621" s="126">
        <v>69</v>
      </c>
      <c r="B621" s="25" t="s">
        <v>100</v>
      </c>
      <c r="C621" s="39">
        <v>6.496666666666667</v>
      </c>
      <c r="D621" s="50">
        <v>0.1920444432659929</v>
      </c>
      <c r="E621" s="28">
        <v>0.29271223075508018</v>
      </c>
      <c r="F621" s="51">
        <v>0.38828546897546912</v>
      </c>
      <c r="G621" s="28">
        <v>9.3903864646180543E-2</v>
      </c>
      <c r="H621" s="55" t="s">
        <v>27</v>
      </c>
      <c r="I621" s="50">
        <v>64.758887600553138</v>
      </c>
      <c r="J621">
        <f t="shared" si="29"/>
        <v>0.17793181790017581</v>
      </c>
    </row>
    <row r="622" spans="1:10" ht="12.75" customHeight="1" x14ac:dyDescent="0.15">
      <c r="A622" s="126">
        <v>70</v>
      </c>
      <c r="B622" s="25" t="s">
        <v>101</v>
      </c>
      <c r="C622" s="39">
        <v>6.496666666666667</v>
      </c>
      <c r="D622" s="50">
        <v>0.19550918674606743</v>
      </c>
      <c r="E622" s="28">
        <v>0.33799252114009565</v>
      </c>
      <c r="F622" s="51">
        <v>0.39362879065506196</v>
      </c>
      <c r="G622" s="28">
        <v>0.10650260146249811</v>
      </c>
      <c r="H622" s="55" t="s">
        <v>27</v>
      </c>
      <c r="I622" s="50">
        <v>56.780021192243112</v>
      </c>
      <c r="J622">
        <f t="shared" si="29"/>
        <v>0.20659645696586304</v>
      </c>
    </row>
    <row r="623" spans="1:10" ht="12.75" customHeight="1" x14ac:dyDescent="0.15">
      <c r="A623" s="126">
        <v>71</v>
      </c>
      <c r="B623" s="25" t="s">
        <v>102</v>
      </c>
      <c r="C623" s="39">
        <v>6.496666666666667</v>
      </c>
      <c r="D623" s="50">
        <v>0.20440664029957278</v>
      </c>
      <c r="E623" s="28">
        <v>0.33391483807727462</v>
      </c>
      <c r="F623" s="51">
        <v>0.41831135520684737</v>
      </c>
      <c r="G623" s="28">
        <v>0.10755738364248189</v>
      </c>
      <c r="H623" s="55" t="s">
        <v>27</v>
      </c>
      <c r="I623" s="50">
        <v>60.091059349572056</v>
      </c>
      <c r="J623">
        <f t="shared" si="29"/>
        <v>0.20409689146313426</v>
      </c>
    </row>
    <row r="624" spans="1:10" ht="12.75" customHeight="1" x14ac:dyDescent="0.15">
      <c r="A624" s="126">
        <v>72</v>
      </c>
      <c r="B624" s="25" t="s">
        <v>103</v>
      </c>
      <c r="C624" s="39">
        <v>6.496666666666667</v>
      </c>
      <c r="D624" s="50">
        <v>0.20227843095238041</v>
      </c>
      <c r="E624" s="28">
        <v>0.32890811514415835</v>
      </c>
      <c r="F624" s="51">
        <v>0.41584577639751563</v>
      </c>
      <c r="G624" s="28">
        <v>0.10648223048110664</v>
      </c>
      <c r="H624" s="55" t="s">
        <v>27</v>
      </c>
      <c r="I624" s="50">
        <v>60.386845580817003</v>
      </c>
      <c r="J624">
        <f t="shared" si="29"/>
        <v>0.20098261037497003</v>
      </c>
    </row>
    <row r="625" spans="1:10" ht="12.75" customHeight="1" x14ac:dyDescent="0.15">
      <c r="A625" s="126">
        <v>73</v>
      </c>
      <c r="B625" s="25" t="s">
        <v>104</v>
      </c>
      <c r="C625" s="39">
        <v>6.5</v>
      </c>
      <c r="D625" s="50">
        <v>0.19902672413078237</v>
      </c>
      <c r="E625" s="28">
        <v>0.32504758786109111</v>
      </c>
      <c r="F625" s="51">
        <v>0.40379879425837317</v>
      </c>
      <c r="G625" s="28">
        <v>0.10390246940253192</v>
      </c>
      <c r="H625" s="55" t="s">
        <v>27</v>
      </c>
      <c r="I625" s="50">
        <v>60.132023760909121</v>
      </c>
      <c r="J625">
        <f t="shared" si="29"/>
        <v>0.19858974804054391</v>
      </c>
    </row>
    <row r="626" spans="1:10" ht="12.75" customHeight="1" x14ac:dyDescent="0.15">
      <c r="A626" s="126">
        <v>74</v>
      </c>
      <c r="B626" s="25" t="s">
        <v>105</v>
      </c>
      <c r="C626" s="39">
        <v>6.5</v>
      </c>
      <c r="D626" s="50">
        <v>0.20001725329972575</v>
      </c>
      <c r="E626" s="28">
        <v>0.33091606638057169</v>
      </c>
      <c r="F626" s="51">
        <v>0.40157815765352889</v>
      </c>
      <c r="G626" s="28">
        <v>0.10461861605549586</v>
      </c>
      <c r="H626" s="55" t="s">
        <v>27</v>
      </c>
      <c r="I626" s="50">
        <v>59.348811260670658</v>
      </c>
      <c r="J626">
        <f t="shared" si="29"/>
        <v>0.20221188837755888</v>
      </c>
    </row>
    <row r="627" spans="1:10" ht="12.75" customHeight="1" x14ac:dyDescent="0.15">
      <c r="A627" s="126">
        <v>75</v>
      </c>
      <c r="B627" s="25" t="s">
        <v>106</v>
      </c>
      <c r="C627" s="39">
        <v>6.5</v>
      </c>
      <c r="D627" s="50">
        <v>0.18951293484191067</v>
      </c>
      <c r="E627" s="28">
        <v>0.31044790136648104</v>
      </c>
      <c r="F627" s="51">
        <v>0.39490796652200877</v>
      </c>
      <c r="G627" s="28">
        <v>0.10172022883053769</v>
      </c>
      <c r="H627" s="55" t="s">
        <v>27</v>
      </c>
      <c r="I627" s="50">
        <v>59.979412046187214</v>
      </c>
      <c r="J627">
        <f t="shared" si="29"/>
        <v>0.18957798522197186</v>
      </c>
    </row>
    <row r="628" spans="1:10" ht="12.75" customHeight="1" x14ac:dyDescent="0.15">
      <c r="A628" s="126">
        <v>76</v>
      </c>
      <c r="B628" s="25" t="s">
        <v>107</v>
      </c>
      <c r="C628" s="39">
        <v>6.496666666666667</v>
      </c>
      <c r="D628" s="50">
        <v>0.18805782858048103</v>
      </c>
      <c r="E628" s="28">
        <v>0.31614114626289735</v>
      </c>
      <c r="F628" s="51">
        <v>0.38105136882129287</v>
      </c>
      <c r="G628" s="28">
        <v>0.10047472929666203</v>
      </c>
      <c r="H628" s="55" t="s">
        <v>27</v>
      </c>
      <c r="I628" s="50">
        <v>58.391022198320663</v>
      </c>
      <c r="J628">
        <f t="shared" si="29"/>
        <v>0.19323980451147807</v>
      </c>
    </row>
    <row r="629" spans="1:10" ht="12.75" customHeight="1" x14ac:dyDescent="0.15">
      <c r="A629" s="126">
        <v>77</v>
      </c>
      <c r="B629" s="25" t="s">
        <v>108</v>
      </c>
      <c r="C629" s="39">
        <v>6.496666666666667</v>
      </c>
      <c r="D629" s="50">
        <v>0.18990124226950456</v>
      </c>
      <c r="E629" s="28">
        <v>0.31696096054080469</v>
      </c>
      <c r="F629" s="51">
        <v>0.38492951773049655</v>
      </c>
      <c r="G629" s="28">
        <v>0.10098230486860503</v>
      </c>
      <c r="H629" s="55" t="s">
        <v>27</v>
      </c>
      <c r="I629" s="50">
        <v>58.807311386383006</v>
      </c>
      <c r="J629">
        <f t="shared" si="29"/>
        <v>0.19375268597653661</v>
      </c>
    </row>
    <row r="630" spans="1:10" ht="12.75" customHeight="1" x14ac:dyDescent="0.15">
      <c r="A630" s="126">
        <v>78</v>
      </c>
      <c r="B630" s="25" t="s">
        <v>109</v>
      </c>
      <c r="C630" s="39">
        <v>6.4933333333333341</v>
      </c>
      <c r="D630" s="50">
        <v>0.19556969183333295</v>
      </c>
      <c r="E630" s="28">
        <v>0.31269147294810812</v>
      </c>
      <c r="F630" s="51">
        <v>0.39577185714285723</v>
      </c>
      <c r="G630" s="28">
        <v>9.9817428802398855E-2</v>
      </c>
      <c r="H630" s="55" t="s">
        <v>27</v>
      </c>
      <c r="I630" s="50">
        <v>61.39769581707143</v>
      </c>
      <c r="J630">
        <f t="shared" si="29"/>
        <v>0.19111762019475212</v>
      </c>
    </row>
    <row r="631" spans="1:10" ht="12.75" customHeight="1" x14ac:dyDescent="0.15">
      <c r="A631" s="126">
        <v>79</v>
      </c>
      <c r="B631" s="25" t="s">
        <v>110</v>
      </c>
      <c r="C631" s="39">
        <v>6.496666666666667</v>
      </c>
      <c r="D631" s="50">
        <v>0.18161895862205535</v>
      </c>
      <c r="E631" s="28">
        <v>0.31192100479529555</v>
      </c>
      <c r="F631" s="51">
        <v>0.36615365923113441</v>
      </c>
      <c r="G631" s="28">
        <v>9.8296576933604676E-2</v>
      </c>
      <c r="H631" s="55" t="s">
        <v>27</v>
      </c>
      <c r="I631" s="50">
        <v>57.440453871650085</v>
      </c>
      <c r="J631">
        <f t="shared" si="29"/>
        <v>0.18971189784942902</v>
      </c>
    </row>
    <row r="632" spans="1:10" ht="12.75" customHeight="1" x14ac:dyDescent="0.15">
      <c r="A632" s="126">
        <v>80</v>
      </c>
      <c r="B632" s="25" t="s">
        <v>111</v>
      </c>
      <c r="C632" s="39">
        <v>6.4933333333333341</v>
      </c>
      <c r="D632" s="50">
        <v>0.18455846721117619</v>
      </c>
      <c r="E632" s="28">
        <v>0.32089743430991718</v>
      </c>
      <c r="F632" s="51">
        <v>0.37011606534090913</v>
      </c>
      <c r="G632" s="28">
        <v>0.10036724056921431</v>
      </c>
      <c r="H632" s="55" t="s">
        <v>27</v>
      </c>
      <c r="I632" s="50">
        <v>56.738615776325759</v>
      </c>
      <c r="J632">
        <f t="shared" si="29"/>
        <v>0.19516704595551665</v>
      </c>
    </row>
    <row r="633" spans="1:10" ht="12.75" customHeight="1" x14ac:dyDescent="0.15">
      <c r="A633" s="126">
        <v>81</v>
      </c>
      <c r="B633" s="25" t="s">
        <v>112</v>
      </c>
      <c r="C633" s="39">
        <v>6.4933333333333341</v>
      </c>
      <c r="D633" s="50">
        <v>0.18315494608875138</v>
      </c>
      <c r="E633" s="28">
        <v>0.30061093339192102</v>
      </c>
      <c r="F633" s="51">
        <v>0.3775745696594428</v>
      </c>
      <c r="G633" s="28">
        <v>9.7400962732205387E-2</v>
      </c>
      <c r="H633" s="55" t="s">
        <v>27</v>
      </c>
      <c r="I633" s="50">
        <v>60.031309810371532</v>
      </c>
      <c r="J633">
        <f t="shared" si="29"/>
        <v>0.18305942015988591</v>
      </c>
    </row>
    <row r="634" spans="1:10" ht="12.75" customHeight="1" x14ac:dyDescent="0.15">
      <c r="A634" s="126">
        <v>82</v>
      </c>
      <c r="B634" s="25" t="s">
        <v>113</v>
      </c>
      <c r="C634" s="39">
        <v>6.496666666666667</v>
      </c>
      <c r="D634" s="50">
        <v>0.19183548467767375</v>
      </c>
      <c r="E634" s="28">
        <v>0.29898152357973912</v>
      </c>
      <c r="F634" s="51">
        <v>0.38975555188679256</v>
      </c>
      <c r="G634" s="28">
        <v>9.6458101673281699E-2</v>
      </c>
      <c r="H634" s="55" t="s">
        <v>27</v>
      </c>
      <c r="I634" s="50">
        <v>62.979314774190286</v>
      </c>
      <c r="J634">
        <f t="shared" si="29"/>
        <v>0.18276046860670864</v>
      </c>
    </row>
    <row r="635" spans="1:10" ht="12.75" customHeight="1" x14ac:dyDescent="0.15">
      <c r="A635" s="126">
        <v>83</v>
      </c>
      <c r="B635" s="25" t="s">
        <v>114</v>
      </c>
      <c r="C635" s="39">
        <v>6.4933333333333341</v>
      </c>
      <c r="D635" s="50">
        <v>0.19559939309703789</v>
      </c>
      <c r="E635" s="28">
        <v>0.32206436571331948</v>
      </c>
      <c r="F635" s="51">
        <v>0.38759356603094652</v>
      </c>
      <c r="G635" s="28">
        <v>0.10052270518128528</v>
      </c>
      <c r="H635" s="55" t="s">
        <v>27</v>
      </c>
      <c r="I635" s="50">
        <v>59.799484012738418</v>
      </c>
      <c r="J635">
        <f t="shared" ref="J635:J698" si="30">D635*60/I635</f>
        <v>0.1962552650675429</v>
      </c>
    </row>
    <row r="636" spans="1:10" ht="12.75" customHeight="1" x14ac:dyDescent="0.15">
      <c r="A636" s="126">
        <v>84</v>
      </c>
      <c r="B636" s="25" t="s">
        <v>115</v>
      </c>
      <c r="C636" s="39">
        <v>6.496666666666667</v>
      </c>
      <c r="D636" s="50">
        <v>0.19339919077791889</v>
      </c>
      <c r="E636" s="28">
        <v>0.31703266830258631</v>
      </c>
      <c r="F636" s="51">
        <v>0.38507067754077795</v>
      </c>
      <c r="G636" s="28">
        <v>9.9338550971903583E-2</v>
      </c>
      <c r="H636" s="55" t="s">
        <v>27</v>
      </c>
      <c r="I636" s="50">
        <v>60.080990143977424</v>
      </c>
      <c r="J636">
        <f t="shared" si="30"/>
        <v>0.19313848554871602</v>
      </c>
    </row>
    <row r="637" spans="1:10" ht="12.75" customHeight="1" x14ac:dyDescent="0.15">
      <c r="A637" s="126">
        <v>85</v>
      </c>
      <c r="B637" s="25" t="s">
        <v>116</v>
      </c>
      <c r="C637" s="39">
        <v>6.496666666666667</v>
      </c>
      <c r="D637" s="50">
        <v>0.1945735862770015</v>
      </c>
      <c r="E637" s="28">
        <v>0.3213542104439171</v>
      </c>
      <c r="F637" s="51">
        <v>0.38435701397712829</v>
      </c>
      <c r="G637" s="28">
        <v>0.10005193087600985</v>
      </c>
      <c r="H637" s="55" t="s">
        <v>27</v>
      </c>
      <c r="I637" s="50">
        <v>59.579719599809422</v>
      </c>
      <c r="J637">
        <f t="shared" si="30"/>
        <v>0.19594612487329385</v>
      </c>
    </row>
    <row r="638" spans="1:10" ht="12.75" customHeight="1" x14ac:dyDescent="0.15">
      <c r="A638" s="126">
        <v>86</v>
      </c>
      <c r="B638" s="25" t="s">
        <v>117</v>
      </c>
      <c r="C638" s="39">
        <v>6.4933333333333341</v>
      </c>
      <c r="D638" s="50">
        <v>0.1890690781143598</v>
      </c>
      <c r="E638" s="28">
        <v>0.31715808478807778</v>
      </c>
      <c r="F638" s="51">
        <v>0.37185554068333926</v>
      </c>
      <c r="G638" s="28">
        <v>9.8005206175410101E-2</v>
      </c>
      <c r="H638" s="55" t="s">
        <v>27</v>
      </c>
      <c r="I638" s="50">
        <v>58.660169888182494</v>
      </c>
      <c r="J638">
        <f t="shared" si="30"/>
        <v>0.1933875184556352</v>
      </c>
    </row>
    <row r="639" spans="1:10" ht="12.75" customHeight="1" x14ac:dyDescent="0.15">
      <c r="A639" s="126">
        <v>87</v>
      </c>
      <c r="B639" s="25" t="s">
        <v>2</v>
      </c>
      <c r="C639" s="39">
        <v>6.4933333333333341</v>
      </c>
      <c r="D639" s="50">
        <v>0.19108947522123976</v>
      </c>
      <c r="E639" s="28">
        <v>0.31975304075380279</v>
      </c>
      <c r="F639" s="51">
        <v>0.37680999999999998</v>
      </c>
      <c r="G639" s="28">
        <v>9.9103217743476135E-2</v>
      </c>
      <c r="H639" s="55" t="s">
        <v>27</v>
      </c>
      <c r="I639" s="50">
        <v>58.797769174159257</v>
      </c>
      <c r="J639">
        <f t="shared" si="30"/>
        <v>0.19499665844998151</v>
      </c>
    </row>
    <row r="640" spans="1:10" ht="12.75" customHeight="1" x14ac:dyDescent="0.15">
      <c r="A640" s="126">
        <v>88</v>
      </c>
      <c r="B640" s="25" t="s">
        <v>118</v>
      </c>
      <c r="C640" s="39">
        <v>6.5</v>
      </c>
      <c r="D640" s="50">
        <v>0.20621737219465963</v>
      </c>
      <c r="E640" s="28">
        <v>0.33802841738110184</v>
      </c>
      <c r="F640" s="51">
        <v>0.38945356484762594</v>
      </c>
      <c r="G640" s="28">
        <v>0.10004992206866591</v>
      </c>
      <c r="H640" s="55" t="s">
        <v>27</v>
      </c>
      <c r="I640" s="50">
        <v>59.994375533297919</v>
      </c>
      <c r="J640">
        <f t="shared" si="30"/>
        <v>0.20623670505266489</v>
      </c>
    </row>
    <row r="641" spans="1:12" ht="12.75" customHeight="1" x14ac:dyDescent="0.15">
      <c r="A641" s="126">
        <v>89</v>
      </c>
      <c r="B641" s="25" t="s">
        <v>119</v>
      </c>
      <c r="C641" s="39">
        <v>6.5033333333333339</v>
      </c>
      <c r="D641" s="50">
        <v>0.20413315772484553</v>
      </c>
      <c r="E641" s="28">
        <v>0.32852255704553629</v>
      </c>
      <c r="F641" s="51">
        <v>0.39206996876220235</v>
      </c>
      <c r="G641" s="28">
        <v>9.9229711269332319E-2</v>
      </c>
      <c r="H641" s="55" t="s">
        <v>27</v>
      </c>
      <c r="I641" s="50">
        <v>61.126993004705206</v>
      </c>
      <c r="J641">
        <f t="shared" si="30"/>
        <v>0.20036957261332899</v>
      </c>
    </row>
    <row r="642" spans="1:12" ht="12.75" customHeight="1" x14ac:dyDescent="0.15">
      <c r="A642" s="126">
        <v>90</v>
      </c>
      <c r="B642" s="25" t="s">
        <v>120</v>
      </c>
      <c r="C642" s="39">
        <v>6.5033333333333339</v>
      </c>
      <c r="D642" s="50">
        <v>0.20422868032407338</v>
      </c>
      <c r="E642" s="28">
        <v>0.32320029179074267</v>
      </c>
      <c r="F642" s="51">
        <v>0.39387161764705891</v>
      </c>
      <c r="G642" s="28">
        <v>9.850781963720065E-2</v>
      </c>
      <c r="H642" s="55" t="s">
        <v>27</v>
      </c>
      <c r="I642" s="50">
        <v>62.176815164923703</v>
      </c>
      <c r="J642">
        <f t="shared" si="30"/>
        <v>0.19707861824285255</v>
      </c>
    </row>
    <row r="643" spans="1:12" ht="12.75" customHeight="1" x14ac:dyDescent="0.15">
      <c r="A643" s="126">
        <v>91</v>
      </c>
      <c r="B643" s="25" t="s">
        <v>121</v>
      </c>
      <c r="C643" s="39">
        <v>6.5066666666666668</v>
      </c>
      <c r="D643" s="50">
        <v>0.19410018535750884</v>
      </c>
      <c r="E643" s="28">
        <v>0.34409380013120261</v>
      </c>
      <c r="F643" s="51">
        <v>0.36864908313376665</v>
      </c>
      <c r="G643" s="28">
        <v>0.10174818923020951</v>
      </c>
      <c r="H643" s="55" t="s">
        <v>27</v>
      </c>
      <c r="I643" s="50">
        <v>55.484828354972052</v>
      </c>
      <c r="J643">
        <f t="shared" si="30"/>
        <v>0.2098954158593323</v>
      </c>
    </row>
    <row r="644" spans="1:12" ht="12.75" customHeight="1" x14ac:dyDescent="0.15">
      <c r="A644" s="126">
        <v>92</v>
      </c>
      <c r="B644" s="25" t="s">
        <v>122</v>
      </c>
      <c r="C644" s="39">
        <v>6.5033333333333339</v>
      </c>
      <c r="D644" s="50">
        <v>0.20702759171089058</v>
      </c>
      <c r="E644" s="28">
        <v>0.33566222577486798</v>
      </c>
      <c r="F644" s="51">
        <v>0.3984846209249433</v>
      </c>
      <c r="G644" s="28">
        <v>0.10156015199186562</v>
      </c>
      <c r="H644" s="55" t="s">
        <v>27</v>
      </c>
      <c r="I644" s="50">
        <v>60.682131420672214</v>
      </c>
      <c r="J644">
        <f t="shared" si="30"/>
        <v>0.20470038233399668</v>
      </c>
    </row>
    <row r="645" spans="1:12" ht="12.75" customHeight="1" x14ac:dyDescent="0.15">
      <c r="A645" s="126">
        <v>93</v>
      </c>
      <c r="B645" s="25" t="s">
        <v>123</v>
      </c>
      <c r="C645" s="39">
        <v>6.5033333333333339</v>
      </c>
      <c r="D645" s="50">
        <v>0.20514005671321733</v>
      </c>
      <c r="E645" s="28">
        <v>0.33075046528352747</v>
      </c>
      <c r="F645" s="51">
        <v>0.39610020213156916</v>
      </c>
      <c r="G645" s="28">
        <v>0.10058783891185137</v>
      </c>
      <c r="H645" s="55" t="s">
        <v>27</v>
      </c>
      <c r="I645" s="50">
        <v>61.040575735409782</v>
      </c>
      <c r="J645">
        <f t="shared" si="30"/>
        <v>0.20164297689697094</v>
      </c>
    </row>
    <row r="646" spans="1:12" ht="12.75" customHeight="1" x14ac:dyDescent="0.15">
      <c r="A646" s="126">
        <v>94</v>
      </c>
      <c r="B646" s="25" t="s">
        <v>125</v>
      </c>
      <c r="C646" s="39">
        <v>6.5066666666666668</v>
      </c>
      <c r="D646" s="50">
        <v>0.20537691956709936</v>
      </c>
      <c r="E646" s="28">
        <v>0.29669241597998042</v>
      </c>
      <c r="F646" s="51">
        <v>0.39274002597402602</v>
      </c>
      <c r="G646" s="28">
        <v>9.0668971051892241E-2</v>
      </c>
      <c r="H646" s="55" t="s">
        <v>27</v>
      </c>
      <c r="I646" s="50">
        <v>68.187503026666704</v>
      </c>
      <c r="J646">
        <f t="shared" si="30"/>
        <v>0.18071662147837919</v>
      </c>
    </row>
    <row r="647" spans="1:12" ht="12.75" customHeight="1" x14ac:dyDescent="0.15">
      <c r="A647" s="126">
        <v>95</v>
      </c>
      <c r="B647" s="25" t="s">
        <v>126</v>
      </c>
      <c r="C647" s="39">
        <v>6.5033333333333339</v>
      </c>
      <c r="D647" s="50">
        <v>0.22456036631769027</v>
      </c>
      <c r="E647" s="28">
        <v>0.33987129902053193</v>
      </c>
      <c r="F647" s="51">
        <v>0.43539550902527091</v>
      </c>
      <c r="G647" s="28">
        <v>0.10430573657033734</v>
      </c>
      <c r="H647" s="55" t="s">
        <v>27</v>
      </c>
      <c r="I647" s="50">
        <v>64.91833024007218</v>
      </c>
      <c r="J647">
        <f t="shared" si="30"/>
        <v>0.20754726637661647</v>
      </c>
    </row>
    <row r="648" spans="1:12" ht="12.75" customHeight="1" x14ac:dyDescent="0.15">
      <c r="A648" s="126">
        <v>96</v>
      </c>
      <c r="B648" s="25" t="s">
        <v>85</v>
      </c>
      <c r="C648" s="39">
        <v>6.5533333333333337</v>
      </c>
      <c r="D648" s="50">
        <v>6.2193549385789915E-2</v>
      </c>
      <c r="E648" s="28">
        <v>29.305972207073495</v>
      </c>
      <c r="F648" s="51">
        <v>0.10109262616201864</v>
      </c>
      <c r="G648" s="28">
        <v>32.190002430737124</v>
      </c>
      <c r="H648" s="55" t="s">
        <v>27</v>
      </c>
      <c r="I648" s="50">
        <v>4.7912273660913218E-2</v>
      </c>
      <c r="J648">
        <f t="shared" si="30"/>
        <v>77.884280540659063</v>
      </c>
    </row>
    <row r="649" spans="1:12" ht="12.75" customHeight="1" x14ac:dyDescent="0.15">
      <c r="A649" s="126">
        <v>97</v>
      </c>
      <c r="B649" s="25" t="s">
        <v>85</v>
      </c>
      <c r="C649" s="39">
        <v>6.5733333333333333</v>
      </c>
      <c r="D649" s="50">
        <v>3.7514454769512096E-2</v>
      </c>
      <c r="E649" s="28">
        <v>21.458019558462606</v>
      </c>
      <c r="F649" s="51">
        <v>6.2795540848927467E-2</v>
      </c>
      <c r="G649" s="28">
        <v>15.946595052163612</v>
      </c>
      <c r="H649" s="55" t="s">
        <v>27</v>
      </c>
      <c r="I649" s="50">
        <v>4.2384752959074734E-2</v>
      </c>
      <c r="J649">
        <f t="shared" si="30"/>
        <v>53.105589369462315</v>
      </c>
    </row>
    <row r="650" spans="1:12" ht="12.75" customHeight="1" x14ac:dyDescent="0.15">
      <c r="A650" s="126">
        <v>98</v>
      </c>
      <c r="B650" s="25" t="s">
        <v>85</v>
      </c>
      <c r="C650" s="39">
        <v>6.5866666666666669</v>
      </c>
      <c r="D650" s="50">
        <v>0.10635424012458239</v>
      </c>
      <c r="E650" s="28">
        <v>21.563704698425802</v>
      </c>
      <c r="F650" s="51">
        <v>0.11973789425706471</v>
      </c>
      <c r="G650" s="28">
        <v>11.010722075849237</v>
      </c>
      <c r="H650" s="55" t="s">
        <v>27</v>
      </c>
      <c r="I650" s="50">
        <v>0.15383328163172283</v>
      </c>
      <c r="J650">
        <f t="shared" si="30"/>
        <v>41.481624390953826</v>
      </c>
    </row>
    <row r="651" spans="1:12" ht="12.75" customHeight="1" x14ac:dyDescent="0.15">
      <c r="A651" s="126">
        <v>99</v>
      </c>
      <c r="B651" s="25" t="s">
        <v>85</v>
      </c>
      <c r="C651" s="39">
        <v>6.6066666666666674</v>
      </c>
      <c r="D651" s="50">
        <v>0.24258996138233457</v>
      </c>
      <c r="E651" s="28">
        <v>11.721057692666692</v>
      </c>
      <c r="F651" s="51">
        <v>0.14110390832655262</v>
      </c>
      <c r="G651" s="28">
        <v>4.506921523965322</v>
      </c>
      <c r="H651" s="55" t="s">
        <v>27</v>
      </c>
      <c r="I651" s="50">
        <v>0.4038991018443201</v>
      </c>
      <c r="J651">
        <f t="shared" si="30"/>
        <v>36.037212304944283</v>
      </c>
    </row>
    <row r="652" spans="1:12" s="225" customFormat="1" ht="12.75" customHeight="1" x14ac:dyDescent="0.15">
      <c r="A652" s="218">
        <v>100</v>
      </c>
      <c r="B652" s="219" t="s">
        <v>127</v>
      </c>
      <c r="C652" s="220">
        <v>6.5166666666666666</v>
      </c>
      <c r="D652" s="221">
        <v>0.21824408515312954</v>
      </c>
      <c r="E652" s="222">
        <v>0.29648774334186062</v>
      </c>
      <c r="F652" s="223">
        <v>0.42989882822902803</v>
      </c>
      <c r="G652" s="222">
        <v>9.359622135495016E-2</v>
      </c>
      <c r="H652" s="224" t="s">
        <v>27</v>
      </c>
      <c r="I652" s="221">
        <v>72.528602379227749</v>
      </c>
      <c r="J652" s="225">
        <f t="shared" si="30"/>
        <v>0.18054456696573667</v>
      </c>
      <c r="K652" s="225" t="s">
        <v>206</v>
      </c>
      <c r="L652" s="225">
        <f>J652</f>
        <v>0.18054456696573667</v>
      </c>
    </row>
    <row r="653" spans="1:12" ht="12.75" customHeight="1" x14ac:dyDescent="0.15">
      <c r="A653" s="126">
        <v>101</v>
      </c>
      <c r="B653" s="25" t="s">
        <v>90</v>
      </c>
      <c r="C653" s="39">
        <v>6.5200000000000005</v>
      </c>
      <c r="D653" s="50">
        <v>0.20191678853118677</v>
      </c>
      <c r="E653" s="28">
        <v>0.3052376923167805</v>
      </c>
      <c r="F653" s="51">
        <v>0.3943276659959758</v>
      </c>
      <c r="G653" s="28">
        <v>9.4053792459382113E-2</v>
      </c>
      <c r="H653" s="55" t="s">
        <v>27</v>
      </c>
      <c r="I653" s="50">
        <v>65.189621435077129</v>
      </c>
      <c r="J653">
        <f t="shared" si="30"/>
        <v>0.18584257808486648</v>
      </c>
      <c r="K653" s="208" t="s">
        <v>206</v>
      </c>
      <c r="L653" s="208">
        <f t="shared" ref="L653:L663" si="31">J653</f>
        <v>0.18584257808486648</v>
      </c>
    </row>
    <row r="654" spans="1:12" ht="12.75" customHeight="1" x14ac:dyDescent="0.15">
      <c r="A654" s="126">
        <v>102</v>
      </c>
      <c r="B654" s="25" t="s">
        <v>91</v>
      </c>
      <c r="C654" s="39">
        <v>6.5200000000000005</v>
      </c>
      <c r="D654" s="50">
        <v>0.18978718623286106</v>
      </c>
      <c r="E654" s="28">
        <v>0.29674457568662149</v>
      </c>
      <c r="F654" s="51">
        <v>0.37243877950101145</v>
      </c>
      <c r="G654" s="28">
        <v>9.1578792187537214E-2</v>
      </c>
      <c r="H654" s="55" t="s">
        <v>27</v>
      </c>
      <c r="I654" s="50">
        <v>63.049454443403043</v>
      </c>
      <c r="J654">
        <f t="shared" si="30"/>
        <v>0.18060792554824598</v>
      </c>
      <c r="K654" s="208" t="s">
        <v>206</v>
      </c>
      <c r="L654" s="208">
        <f t="shared" si="31"/>
        <v>0.18060792554824598</v>
      </c>
    </row>
    <row r="655" spans="1:12" ht="12.75" customHeight="1" x14ac:dyDescent="0.15">
      <c r="A655" s="126">
        <v>103</v>
      </c>
      <c r="B655" s="25" t="s">
        <v>92</v>
      </c>
      <c r="C655" s="39">
        <v>6.5200000000000005</v>
      </c>
      <c r="D655" s="50">
        <v>0.2047466963461928</v>
      </c>
      <c r="E655" s="28">
        <v>0.31176535928441457</v>
      </c>
      <c r="F655" s="51">
        <v>0.39404835272504601</v>
      </c>
      <c r="G655" s="28">
        <v>9.4858457449454314E-2</v>
      </c>
      <c r="H655" s="55" t="s">
        <v>27</v>
      </c>
      <c r="I655" s="50">
        <v>64.751162166727894</v>
      </c>
      <c r="J655">
        <f t="shared" si="30"/>
        <v>0.18972326317695129</v>
      </c>
      <c r="K655" s="208" t="s">
        <v>206</v>
      </c>
      <c r="L655" s="208">
        <f t="shared" si="31"/>
        <v>0.18972326317695129</v>
      </c>
    </row>
    <row r="656" spans="1:12" ht="12.75" customHeight="1" x14ac:dyDescent="0.15">
      <c r="A656" s="126">
        <v>104</v>
      </c>
      <c r="B656" s="25" t="s">
        <v>93</v>
      </c>
      <c r="C656" s="39">
        <v>6.5200000000000005</v>
      </c>
      <c r="D656" s="50">
        <v>0.19631378194706861</v>
      </c>
      <c r="E656" s="28">
        <v>0.30871589057057303</v>
      </c>
      <c r="F656" s="51">
        <v>0.37669198487712663</v>
      </c>
      <c r="G656" s="28">
        <v>9.3215567318578899E-2</v>
      </c>
      <c r="H656" s="55" t="s">
        <v>27</v>
      </c>
      <c r="I656" s="50">
        <v>62.68294141354761</v>
      </c>
      <c r="J656">
        <f t="shared" si="30"/>
        <v>0.18791120281216364</v>
      </c>
      <c r="K656" s="208" t="s">
        <v>206</v>
      </c>
      <c r="L656" s="208">
        <f t="shared" si="31"/>
        <v>0.18791120281216364</v>
      </c>
    </row>
    <row r="657" spans="1:12" ht="12.75" customHeight="1" x14ac:dyDescent="0.15">
      <c r="A657" s="126">
        <v>105</v>
      </c>
      <c r="B657" s="25" t="s">
        <v>94</v>
      </c>
      <c r="C657" s="39">
        <v>6.5200000000000005</v>
      </c>
      <c r="D657" s="50">
        <v>0.19761035948223826</v>
      </c>
      <c r="E657" s="28">
        <v>0.30647522191496968</v>
      </c>
      <c r="F657" s="51">
        <v>0.37972041541240231</v>
      </c>
      <c r="G657" s="28">
        <v>9.3027209556551319E-2</v>
      </c>
      <c r="H657" s="55" t="s">
        <v>27</v>
      </c>
      <c r="I657" s="50">
        <v>63.563630264790291</v>
      </c>
      <c r="J657">
        <f t="shared" si="30"/>
        <v>0.18653153571535414</v>
      </c>
      <c r="K657" s="208" t="s">
        <v>206</v>
      </c>
      <c r="L657" s="208">
        <f t="shared" si="31"/>
        <v>0.18653153571535414</v>
      </c>
    </row>
    <row r="658" spans="1:12" ht="12.75" customHeight="1" x14ac:dyDescent="0.15">
      <c r="A658" s="126">
        <v>106</v>
      </c>
      <c r="B658" s="25" t="s">
        <v>95</v>
      </c>
      <c r="C658" s="39">
        <v>6.5233333333333334</v>
      </c>
      <c r="D658" s="50">
        <v>0.1902538586947673</v>
      </c>
      <c r="E658" s="28">
        <v>0.30351930490973122</v>
      </c>
      <c r="F658" s="51">
        <v>0.36593150885766657</v>
      </c>
      <c r="G658" s="28">
        <v>9.1901927744556036E-2</v>
      </c>
      <c r="H658" s="55" t="s">
        <v>27</v>
      </c>
      <c r="I658" s="50">
        <v>61.808598238098114</v>
      </c>
      <c r="J658">
        <f t="shared" si="30"/>
        <v>0.18468678868452029</v>
      </c>
      <c r="K658" s="208" t="s">
        <v>206</v>
      </c>
      <c r="L658" s="208">
        <f t="shared" si="31"/>
        <v>0.18468678868452029</v>
      </c>
    </row>
    <row r="659" spans="1:12" ht="12.75" customHeight="1" x14ac:dyDescent="0.15">
      <c r="A659" s="126">
        <v>107</v>
      </c>
      <c r="B659" s="25" t="s">
        <v>96</v>
      </c>
      <c r="C659" s="39">
        <v>6.5200000000000005</v>
      </c>
      <c r="D659" s="50">
        <v>0.19302593126666556</v>
      </c>
      <c r="E659" s="28">
        <v>0.30465169856895102</v>
      </c>
      <c r="F659" s="51">
        <v>0.3715187333333333</v>
      </c>
      <c r="G659" s="28">
        <v>9.2414181676436016E-2</v>
      </c>
      <c r="H659" s="55" t="s">
        <v>27</v>
      </c>
      <c r="I659" s="50">
        <v>62.479177663466629</v>
      </c>
      <c r="J659">
        <f t="shared" si="30"/>
        <v>0.18536665028438751</v>
      </c>
      <c r="K659" s="208" t="s">
        <v>206</v>
      </c>
      <c r="L659" s="208">
        <f t="shared" si="31"/>
        <v>0.18536665028438751</v>
      </c>
    </row>
    <row r="660" spans="1:12" ht="12.75" customHeight="1" x14ac:dyDescent="0.15">
      <c r="A660" s="126">
        <v>108</v>
      </c>
      <c r="B660" s="25" t="s">
        <v>97</v>
      </c>
      <c r="C660" s="39">
        <v>6.5200000000000005</v>
      </c>
      <c r="D660" s="50">
        <v>0.18900754827586086</v>
      </c>
      <c r="E660" s="28">
        <v>0.30483206970361959</v>
      </c>
      <c r="F660" s="51">
        <v>0.36356899867374015</v>
      </c>
      <c r="G660" s="28">
        <v>9.220172737717805E-2</v>
      </c>
      <c r="H660" s="55" t="s">
        <v>27</v>
      </c>
      <c r="I660" s="50">
        <v>61.138778907283374</v>
      </c>
      <c r="J660">
        <f t="shared" si="30"/>
        <v>0.185487068914958</v>
      </c>
      <c r="K660" s="208" t="s">
        <v>206</v>
      </c>
      <c r="L660" s="208">
        <f t="shared" si="31"/>
        <v>0.185487068914958</v>
      </c>
    </row>
    <row r="661" spans="1:12" ht="12.75" customHeight="1" x14ac:dyDescent="0.15">
      <c r="A661" s="126">
        <v>109</v>
      </c>
      <c r="B661" s="25" t="s">
        <v>98</v>
      </c>
      <c r="C661" s="39">
        <v>6.5200000000000005</v>
      </c>
      <c r="D661" s="50">
        <v>0.19469603539144464</v>
      </c>
      <c r="E661" s="28">
        <v>0.3093380911526229</v>
      </c>
      <c r="F661" s="51">
        <v>0.37628200968523018</v>
      </c>
      <c r="G661" s="28">
        <v>9.4037687177915552E-2</v>
      </c>
      <c r="H661" s="55" t="s">
        <v>27</v>
      </c>
      <c r="I661" s="50">
        <v>62.069148476412423</v>
      </c>
      <c r="J661">
        <f t="shared" si="30"/>
        <v>0.18820561277598311</v>
      </c>
      <c r="K661" s="208" t="s">
        <v>206</v>
      </c>
      <c r="L661" s="208">
        <f t="shared" si="31"/>
        <v>0.18820561277598311</v>
      </c>
    </row>
    <row r="662" spans="1:12" ht="12.75" customHeight="1" x14ac:dyDescent="0.15">
      <c r="A662" s="126">
        <v>110</v>
      </c>
      <c r="B662" s="25" t="s">
        <v>99</v>
      </c>
      <c r="C662" s="39">
        <v>6.5166666666666666</v>
      </c>
      <c r="D662" s="50">
        <v>0.19888448025860339</v>
      </c>
      <c r="E662" s="28">
        <v>0.31460060080116886</v>
      </c>
      <c r="F662" s="51">
        <v>0.38093171044593765</v>
      </c>
      <c r="G662" s="28">
        <v>9.4960518860464568E-2</v>
      </c>
      <c r="H662" s="55" t="s">
        <v>27</v>
      </c>
      <c r="I662" s="50">
        <v>62.328627549857508</v>
      </c>
      <c r="J662">
        <f t="shared" si="30"/>
        <v>0.19145406027063216</v>
      </c>
      <c r="K662" s="208" t="s">
        <v>206</v>
      </c>
      <c r="L662" s="208">
        <f t="shared" si="31"/>
        <v>0.19145406027063216</v>
      </c>
    </row>
    <row r="663" spans="1:12" ht="12.75" customHeight="1" x14ac:dyDescent="0.15">
      <c r="A663" s="126">
        <v>111</v>
      </c>
      <c r="B663" s="25" t="s">
        <v>100</v>
      </c>
      <c r="C663" s="39">
        <v>6.5200000000000005</v>
      </c>
      <c r="D663" s="50">
        <v>0.20088257509386587</v>
      </c>
      <c r="E663" s="28">
        <v>0.31352426198221556</v>
      </c>
      <c r="F663" s="51">
        <v>0.38559360450563218</v>
      </c>
      <c r="G663" s="28">
        <v>9.5007123506502769E-2</v>
      </c>
      <c r="H663" s="55" t="s">
        <v>27</v>
      </c>
      <c r="I663" s="50">
        <v>63.186515348977927</v>
      </c>
      <c r="J663">
        <f t="shared" si="30"/>
        <v>0.19075200521921035</v>
      </c>
      <c r="K663" s="208" t="s">
        <v>206</v>
      </c>
      <c r="L663" s="208">
        <f t="shared" si="31"/>
        <v>0.19075200521921035</v>
      </c>
    </row>
    <row r="664" spans="1:12" ht="12.75" customHeight="1" x14ac:dyDescent="0.15">
      <c r="A664" s="126">
        <v>112</v>
      </c>
      <c r="B664" s="25" t="s">
        <v>101</v>
      </c>
      <c r="C664" s="39">
        <v>6.5133333333333336</v>
      </c>
      <c r="D664" s="50">
        <v>0.24760171756272409</v>
      </c>
      <c r="E664" s="28">
        <v>0.41572875709525237</v>
      </c>
      <c r="F664" s="51">
        <v>0.47877209080047789</v>
      </c>
      <c r="G664" s="28">
        <v>0.12601495769743784</v>
      </c>
      <c r="H664" s="55" t="s">
        <v>27</v>
      </c>
      <c r="I664" s="50">
        <v>58.798614919514108</v>
      </c>
      <c r="J664">
        <f t="shared" si="30"/>
        <v>0.25266076546359251</v>
      </c>
      <c r="K664" s="225" t="s">
        <v>207</v>
      </c>
      <c r="L664" s="225">
        <f>J688</f>
        <v>0.18692249115507037</v>
      </c>
    </row>
    <row r="665" spans="1:12" ht="12.75" customHeight="1" x14ac:dyDescent="0.15">
      <c r="A665" s="126">
        <v>113</v>
      </c>
      <c r="B665" s="25" t="s">
        <v>102</v>
      </c>
      <c r="C665" s="39">
        <v>6.5100000000000007</v>
      </c>
      <c r="D665" s="50">
        <v>0.25051508016877722</v>
      </c>
      <c r="E665" s="28">
        <v>0.41960040167323226</v>
      </c>
      <c r="F665" s="51">
        <v>0.48794139240506329</v>
      </c>
      <c r="G665" s="28">
        <v>0.12824748040990583</v>
      </c>
      <c r="H665" s="55" t="s">
        <v>27</v>
      </c>
      <c r="I665" s="50">
        <v>59.009617148523198</v>
      </c>
      <c r="J665">
        <f t="shared" si="30"/>
        <v>0.25471957854420352</v>
      </c>
      <c r="K665" s="208" t="s">
        <v>207</v>
      </c>
      <c r="L665" s="208">
        <f t="shared" ref="L665:L675" si="32">J689</f>
        <v>0.18368059123198607</v>
      </c>
    </row>
    <row r="666" spans="1:12" ht="12.75" customHeight="1" x14ac:dyDescent="0.15">
      <c r="A666" s="126">
        <v>114</v>
      </c>
      <c r="B666" s="25" t="s">
        <v>103</v>
      </c>
      <c r="C666" s="39">
        <v>6.5100000000000007</v>
      </c>
      <c r="D666" s="50">
        <v>0.2399428038679623</v>
      </c>
      <c r="E666" s="28">
        <v>0.41294626165371157</v>
      </c>
      <c r="F666" s="51">
        <v>0.46887460510328072</v>
      </c>
      <c r="G666" s="28">
        <v>0.12624412230272108</v>
      </c>
      <c r="H666" s="55" t="s">
        <v>27</v>
      </c>
      <c r="I666" s="50">
        <v>57.328802262839211</v>
      </c>
      <c r="J666">
        <f t="shared" si="30"/>
        <v>0.25112278058894066</v>
      </c>
      <c r="K666" s="208" t="s">
        <v>207</v>
      </c>
      <c r="L666" s="208">
        <f t="shared" si="32"/>
        <v>0.18578139419190284</v>
      </c>
    </row>
    <row r="667" spans="1:12" ht="12.75" customHeight="1" x14ac:dyDescent="0.15">
      <c r="A667" s="126">
        <v>115</v>
      </c>
      <c r="B667" s="25" t="s">
        <v>104</v>
      </c>
      <c r="C667" s="39">
        <v>6.5033333333333339</v>
      </c>
      <c r="D667" s="50">
        <v>0.25246146223241528</v>
      </c>
      <c r="E667" s="28">
        <v>0.41687234168229548</v>
      </c>
      <c r="F667" s="51">
        <v>0.49525238532110105</v>
      </c>
      <c r="G667" s="28">
        <v>0.12844170293410725</v>
      </c>
      <c r="H667" s="55" t="s">
        <v>27</v>
      </c>
      <c r="I667" s="50">
        <v>59.90720697599388</v>
      </c>
      <c r="J667">
        <f t="shared" si="30"/>
        <v>0.25285251138506465</v>
      </c>
      <c r="K667" s="208" t="s">
        <v>207</v>
      </c>
      <c r="L667" s="208">
        <f t="shared" si="32"/>
        <v>0.17418882026447652</v>
      </c>
    </row>
    <row r="668" spans="1:12" ht="12.75" customHeight="1" x14ac:dyDescent="0.15">
      <c r="A668" s="126">
        <v>116</v>
      </c>
      <c r="B668" s="25" t="s">
        <v>105</v>
      </c>
      <c r="C668" s="39">
        <v>6.5066666666666668</v>
      </c>
      <c r="D668" s="50">
        <v>0.25311543724179875</v>
      </c>
      <c r="E668" s="28">
        <v>0.42944120403673547</v>
      </c>
      <c r="F668" s="51">
        <v>0.49370474483596605</v>
      </c>
      <c r="G668" s="28">
        <v>0.13095445143893053</v>
      </c>
      <c r="H668" s="55" t="s">
        <v>27</v>
      </c>
      <c r="I668" s="50">
        <v>58.248754310844475</v>
      </c>
      <c r="J668">
        <f t="shared" si="30"/>
        <v>0.26072533935168629</v>
      </c>
      <c r="K668" s="208" t="s">
        <v>207</v>
      </c>
      <c r="L668" s="208">
        <f t="shared" si="32"/>
        <v>0.17396628806062134</v>
      </c>
    </row>
    <row r="669" spans="1:12" ht="12.75" customHeight="1" x14ac:dyDescent="0.15">
      <c r="A669" s="126">
        <v>117</v>
      </c>
      <c r="B669" s="25" t="s">
        <v>106</v>
      </c>
      <c r="C669" s="39">
        <v>6.5033333333333339</v>
      </c>
      <c r="D669" s="50">
        <v>0.26296135150468269</v>
      </c>
      <c r="E669" s="28">
        <v>0.42428181298682344</v>
      </c>
      <c r="F669" s="51">
        <v>0.50432949332105015</v>
      </c>
      <c r="G669" s="28">
        <v>0.12846335124852165</v>
      </c>
      <c r="H669" s="55" t="s">
        <v>27</v>
      </c>
      <c r="I669" s="50">
        <v>61.378396839106351</v>
      </c>
      <c r="J669">
        <f t="shared" si="30"/>
        <v>0.25705593340340294</v>
      </c>
      <c r="K669" s="208" t="s">
        <v>207</v>
      </c>
      <c r="L669" s="208">
        <f t="shared" si="32"/>
        <v>0.17749503263761254</v>
      </c>
    </row>
    <row r="670" spans="1:12" ht="12.75" customHeight="1" x14ac:dyDescent="0.15">
      <c r="A670" s="126">
        <v>118</v>
      </c>
      <c r="B670" s="25" t="s">
        <v>107</v>
      </c>
      <c r="C670" s="39">
        <v>6.5</v>
      </c>
      <c r="D670" s="50">
        <v>0.26087194505946898</v>
      </c>
      <c r="E670" s="28">
        <v>0.43456015501443651</v>
      </c>
      <c r="F670" s="51">
        <v>0.50348365965233299</v>
      </c>
      <c r="G670" s="28">
        <v>0.13174217742157826</v>
      </c>
      <c r="H670" s="55" t="s">
        <v>27</v>
      </c>
      <c r="I670" s="50">
        <v>59.428621547056991</v>
      </c>
      <c r="J670">
        <f t="shared" si="30"/>
        <v>0.26338010702762582</v>
      </c>
      <c r="K670" s="208" t="s">
        <v>207</v>
      </c>
      <c r="L670" s="208">
        <f t="shared" si="32"/>
        <v>0.17737928030018307</v>
      </c>
    </row>
    <row r="671" spans="1:12" ht="12.75" customHeight="1" x14ac:dyDescent="0.15">
      <c r="A671" s="126">
        <v>119</v>
      </c>
      <c r="B671" s="25" t="s">
        <v>108</v>
      </c>
      <c r="C671" s="39">
        <v>6.5033333333333339</v>
      </c>
      <c r="D671" s="50">
        <v>0.25106232764102598</v>
      </c>
      <c r="E671" s="28">
        <v>0.41484146280987838</v>
      </c>
      <c r="F671" s="51">
        <v>0.49191168615384606</v>
      </c>
      <c r="G671" s="28">
        <v>0.12782359315378541</v>
      </c>
      <c r="H671" s="55" t="s">
        <v>27</v>
      </c>
      <c r="I671" s="50">
        <v>59.93522948004108</v>
      </c>
      <c r="J671">
        <f t="shared" si="30"/>
        <v>0.25133364448830392</v>
      </c>
      <c r="K671" s="208" t="s">
        <v>207</v>
      </c>
      <c r="L671" s="208">
        <f t="shared" si="32"/>
        <v>0.17721619522876192</v>
      </c>
    </row>
    <row r="672" spans="1:12" ht="12" customHeight="1" x14ac:dyDescent="0.15">
      <c r="A672" s="126">
        <v>120</v>
      </c>
      <c r="B672" s="25" t="s">
        <v>109</v>
      </c>
      <c r="C672" s="39">
        <v>6.5</v>
      </c>
      <c r="D672" s="50">
        <v>0.24733811413874096</v>
      </c>
      <c r="E672" s="28">
        <v>0.4112365748124529</v>
      </c>
      <c r="F672" s="51">
        <v>0.48629629629629634</v>
      </c>
      <c r="G672" s="28">
        <v>0.12709841179226966</v>
      </c>
      <c r="H672" s="55" t="s">
        <v>27</v>
      </c>
      <c r="I672" s="50">
        <v>59.554015054556189</v>
      </c>
      <c r="J672">
        <f t="shared" si="30"/>
        <v>0.24919036667350775</v>
      </c>
      <c r="K672" s="208" t="s">
        <v>207</v>
      </c>
      <c r="L672" s="208">
        <f t="shared" si="32"/>
        <v>0.17630131213927144</v>
      </c>
    </row>
    <row r="673" spans="1:12" ht="12.75" customHeight="1" x14ac:dyDescent="0.15">
      <c r="A673" s="126">
        <v>121</v>
      </c>
      <c r="B673" s="25" t="s">
        <v>110</v>
      </c>
      <c r="C673" s="39">
        <v>6.5100000000000007</v>
      </c>
      <c r="D673" s="50">
        <v>0.1999992711213523</v>
      </c>
      <c r="E673" s="28">
        <v>0.30988481557971537</v>
      </c>
      <c r="F673" s="51">
        <v>0.38352043317972351</v>
      </c>
      <c r="G673" s="28">
        <v>9.4029213243027918E-2</v>
      </c>
      <c r="H673" s="55" t="s">
        <v>27</v>
      </c>
      <c r="I673" s="50">
        <v>63.662097994377888</v>
      </c>
      <c r="J673">
        <f t="shared" si="30"/>
        <v>0.18849451471644676</v>
      </c>
      <c r="K673" s="208" t="s">
        <v>207</v>
      </c>
      <c r="L673" s="208">
        <f t="shared" si="32"/>
        <v>0.23742299200130682</v>
      </c>
    </row>
    <row r="674" spans="1:12" ht="12.75" customHeight="1" x14ac:dyDescent="0.15">
      <c r="A674" s="126">
        <v>122</v>
      </c>
      <c r="B674" s="25" t="s">
        <v>111</v>
      </c>
      <c r="C674" s="39">
        <v>6.5066666666666668</v>
      </c>
      <c r="D674" s="50">
        <v>0.19843895872020001</v>
      </c>
      <c r="E674" s="28">
        <v>0.30212809130342588</v>
      </c>
      <c r="F674" s="51">
        <v>0.38646109159347553</v>
      </c>
      <c r="G674" s="28">
        <v>9.3425968856660421E-2</v>
      </c>
      <c r="H674" s="55" t="s">
        <v>27</v>
      </c>
      <c r="I674" s="50">
        <v>64.808927823086563</v>
      </c>
      <c r="J674">
        <f t="shared" si="30"/>
        <v>0.18371446532356711</v>
      </c>
      <c r="K674" s="208" t="s">
        <v>207</v>
      </c>
      <c r="L674" s="208">
        <f t="shared" si="32"/>
        <v>0.2401472028718134</v>
      </c>
    </row>
    <row r="675" spans="1:12" ht="12.75" customHeight="1" x14ac:dyDescent="0.15">
      <c r="A675" s="126">
        <v>123</v>
      </c>
      <c r="B675" s="25" t="s">
        <v>112</v>
      </c>
      <c r="C675" s="39">
        <v>6.5066666666666668</v>
      </c>
      <c r="D675" s="50">
        <v>0.19665879565947209</v>
      </c>
      <c r="E675" s="28">
        <v>0.30711635645439445</v>
      </c>
      <c r="F675" s="51">
        <v>0.37876979856115112</v>
      </c>
      <c r="G675" s="28">
        <v>9.3244643425998558E-2</v>
      </c>
      <c r="H675" s="55" t="s">
        <v>27</v>
      </c>
      <c r="I675" s="50">
        <v>63.177905111294947</v>
      </c>
      <c r="J675">
        <f t="shared" si="30"/>
        <v>0.18676668241503319</v>
      </c>
      <c r="K675" s="208" t="s">
        <v>207</v>
      </c>
      <c r="L675" s="208">
        <f t="shared" si="32"/>
        <v>0.23818176803707805</v>
      </c>
    </row>
    <row r="676" spans="1:12" ht="12.75" customHeight="1" x14ac:dyDescent="0.15">
      <c r="A676" s="126">
        <v>124</v>
      </c>
      <c r="B676" s="25" t="s">
        <v>113</v>
      </c>
      <c r="C676" s="39">
        <v>6.5066666666666668</v>
      </c>
      <c r="D676" s="50">
        <v>0.19671643161305785</v>
      </c>
      <c r="E676" s="28">
        <v>0.33666443158402759</v>
      </c>
      <c r="F676" s="51">
        <v>0.3780740038406144</v>
      </c>
      <c r="G676" s="28">
        <v>0.10120199326854529</v>
      </c>
      <c r="H676" s="55" t="s">
        <v>27</v>
      </c>
      <c r="I676" s="50">
        <v>57.515285421219353</v>
      </c>
      <c r="J676">
        <f t="shared" si="30"/>
        <v>0.20521476700225064</v>
      </c>
      <c r="K676" s="225" t="s">
        <v>208</v>
      </c>
      <c r="L676" s="225">
        <f>J664</f>
        <v>0.25266076546359251</v>
      </c>
    </row>
    <row r="677" spans="1:12" ht="12.75" customHeight="1" x14ac:dyDescent="0.15">
      <c r="A677" s="126">
        <v>125</v>
      </c>
      <c r="B677" s="25" t="s">
        <v>114</v>
      </c>
      <c r="C677" s="39">
        <v>6.5066666666666668</v>
      </c>
      <c r="D677" s="50">
        <v>0.19695633318169303</v>
      </c>
      <c r="E677" s="28">
        <v>0.34282108467230893</v>
      </c>
      <c r="F677" s="51">
        <v>0.37240420181968559</v>
      </c>
      <c r="G677" s="28">
        <v>0.10126175310815318</v>
      </c>
      <c r="H677" s="55" t="s">
        <v>27</v>
      </c>
      <c r="I677" s="50">
        <v>56.531876479473389</v>
      </c>
      <c r="J677">
        <f t="shared" si="30"/>
        <v>0.20903923108217448</v>
      </c>
      <c r="K677" s="208" t="s">
        <v>208</v>
      </c>
      <c r="L677" s="208">
        <f t="shared" ref="L677:L687" si="33">J665</f>
        <v>0.25471957854420352</v>
      </c>
    </row>
    <row r="678" spans="1:12" ht="12.75" customHeight="1" x14ac:dyDescent="0.15">
      <c r="A678" s="126">
        <v>126</v>
      </c>
      <c r="B678" s="25" t="s">
        <v>115</v>
      </c>
      <c r="C678" s="39">
        <v>6.5100000000000007</v>
      </c>
      <c r="D678" s="50">
        <v>0.18689137955857449</v>
      </c>
      <c r="E678" s="28">
        <v>0.35328951851158713</v>
      </c>
      <c r="F678" s="51">
        <v>0.34815804414261464</v>
      </c>
      <c r="G678" s="28">
        <v>0.10194748426101931</v>
      </c>
      <c r="H678" s="55" t="s">
        <v>27</v>
      </c>
      <c r="I678" s="50">
        <v>52.028434852631598</v>
      </c>
      <c r="J678">
        <f t="shared" si="30"/>
        <v>0.21552604465762229</v>
      </c>
      <c r="K678" s="208" t="s">
        <v>208</v>
      </c>
      <c r="L678" s="208">
        <f t="shared" si="33"/>
        <v>0.25112278058894066</v>
      </c>
    </row>
    <row r="679" spans="1:12" ht="12.75" customHeight="1" x14ac:dyDescent="0.15">
      <c r="A679" s="126">
        <v>127</v>
      </c>
      <c r="B679" s="25" t="s">
        <v>116</v>
      </c>
      <c r="C679" s="39">
        <v>6.5066666666666668</v>
      </c>
      <c r="D679" s="50">
        <v>0.19484765231765477</v>
      </c>
      <c r="E679" s="28">
        <v>0.34718128042463686</v>
      </c>
      <c r="F679" s="51">
        <v>0.36724205316973413</v>
      </c>
      <c r="G679" s="28">
        <v>0.10194554416972519</v>
      </c>
      <c r="H679" s="55" t="s">
        <v>27</v>
      </c>
      <c r="I679" s="50">
        <v>55.180376519706869</v>
      </c>
      <c r="J679">
        <f t="shared" si="30"/>
        <v>0.21186624442267199</v>
      </c>
      <c r="K679" s="208" t="s">
        <v>208</v>
      </c>
      <c r="L679" s="208">
        <f t="shared" si="33"/>
        <v>0.25285251138506465</v>
      </c>
    </row>
    <row r="680" spans="1:12" ht="12.75" customHeight="1" x14ac:dyDescent="0.15">
      <c r="A680" s="126">
        <v>128</v>
      </c>
      <c r="B680" s="25" t="s">
        <v>117</v>
      </c>
      <c r="C680" s="39">
        <v>6.5033333333333339</v>
      </c>
      <c r="D680" s="50">
        <v>0.18297664552174975</v>
      </c>
      <c r="E680" s="28">
        <v>0.31394025723491981</v>
      </c>
      <c r="F680" s="51">
        <v>0.37377655791788866</v>
      </c>
      <c r="G680" s="28">
        <v>0.10050731800497248</v>
      </c>
      <c r="H680" s="55" t="s">
        <v>27</v>
      </c>
      <c r="I680" s="50">
        <v>57.321218836632454</v>
      </c>
      <c r="J680">
        <f t="shared" si="30"/>
        <v>0.19152765684544126</v>
      </c>
      <c r="K680" s="208" t="s">
        <v>208</v>
      </c>
      <c r="L680" s="208">
        <f t="shared" si="33"/>
        <v>0.26072533935168629</v>
      </c>
    </row>
    <row r="681" spans="1:12" ht="12.75" customHeight="1" x14ac:dyDescent="0.15">
      <c r="A681" s="126">
        <v>129</v>
      </c>
      <c r="B681" s="25" t="s">
        <v>2</v>
      </c>
      <c r="C681" s="39">
        <v>6.5100000000000007</v>
      </c>
      <c r="D681" s="50">
        <v>0.17330011501723308</v>
      </c>
      <c r="E681" s="28">
        <v>0.35706411631710955</v>
      </c>
      <c r="F681" s="51">
        <v>0.3230054431314624</v>
      </c>
      <c r="G681" s="28">
        <v>0.1025218781948868</v>
      </c>
      <c r="H681" s="55" t="s">
        <v>27</v>
      </c>
      <c r="I681" s="50">
        <v>47.724144799753816</v>
      </c>
      <c r="J681">
        <f t="shared" si="30"/>
        <v>0.21787728087455685</v>
      </c>
      <c r="K681" s="208" t="s">
        <v>208</v>
      </c>
      <c r="L681" s="208">
        <f t="shared" si="33"/>
        <v>0.25705593340340294</v>
      </c>
    </row>
    <row r="682" spans="1:12" ht="12.75" customHeight="1" x14ac:dyDescent="0.15">
      <c r="A682" s="126">
        <v>130</v>
      </c>
      <c r="B682" s="25" t="s">
        <v>118</v>
      </c>
      <c r="C682" s="39">
        <v>6.5066666666666668</v>
      </c>
      <c r="D682" s="50">
        <v>0.18505417975356542</v>
      </c>
      <c r="E682" s="28">
        <v>0.35184748388945497</v>
      </c>
      <c r="F682" s="51">
        <v>0.34923068871595331</v>
      </c>
      <c r="G682" s="28">
        <v>0.1028550136162535</v>
      </c>
      <c r="H682" s="55" t="s">
        <v>27</v>
      </c>
      <c r="I682" s="50">
        <v>51.717306669682266</v>
      </c>
      <c r="J682">
        <f t="shared" si="30"/>
        <v>0.21469120300734601</v>
      </c>
      <c r="K682" s="208" t="s">
        <v>208</v>
      </c>
      <c r="L682" s="208">
        <f t="shared" si="33"/>
        <v>0.26338010702762582</v>
      </c>
    </row>
    <row r="683" spans="1:12" ht="12.75" customHeight="1" x14ac:dyDescent="0.15">
      <c r="A683" s="126">
        <v>131</v>
      </c>
      <c r="B683" s="25" t="s">
        <v>119</v>
      </c>
      <c r="C683" s="39">
        <v>6.5066666666666668</v>
      </c>
      <c r="D683" s="50">
        <v>0.17100216316904127</v>
      </c>
      <c r="E683" s="28">
        <v>0.3515531489882277</v>
      </c>
      <c r="F683" s="51">
        <v>0.32171287639584134</v>
      </c>
      <c r="G683" s="28">
        <v>0.10164148564967304</v>
      </c>
      <c r="H683" s="55" t="s">
        <v>27</v>
      </c>
      <c r="I683" s="50">
        <v>47.821912068194067</v>
      </c>
      <c r="J683">
        <f t="shared" si="30"/>
        <v>0.21454871514780768</v>
      </c>
      <c r="K683" s="208" t="s">
        <v>208</v>
      </c>
      <c r="L683" s="208">
        <f t="shared" si="33"/>
        <v>0.25133364448830392</v>
      </c>
    </row>
    <row r="684" spans="1:12" ht="12.75" customHeight="1" x14ac:dyDescent="0.15">
      <c r="A684" s="126">
        <v>132</v>
      </c>
      <c r="B684" s="25" t="s">
        <v>120</v>
      </c>
      <c r="C684" s="39">
        <v>6.5033333333333339</v>
      </c>
      <c r="D684" s="50">
        <v>0.19251763218119877</v>
      </c>
      <c r="E684" s="28">
        <v>0.33721400769009136</v>
      </c>
      <c r="F684" s="51">
        <v>0.36843797329143757</v>
      </c>
      <c r="G684" s="28">
        <v>0.10054160310560716</v>
      </c>
      <c r="H684" s="55" t="s">
        <v>27</v>
      </c>
      <c r="I684" s="50">
        <v>56.152897415161078</v>
      </c>
      <c r="J684">
        <f t="shared" si="30"/>
        <v>0.20570724686689423</v>
      </c>
      <c r="K684" s="208" t="s">
        <v>208</v>
      </c>
      <c r="L684" s="208">
        <f t="shared" si="33"/>
        <v>0.24919036667350775</v>
      </c>
    </row>
    <row r="685" spans="1:12" ht="12.75" customHeight="1" x14ac:dyDescent="0.15">
      <c r="A685" s="126">
        <v>133</v>
      </c>
      <c r="B685" s="25" t="s">
        <v>121</v>
      </c>
      <c r="C685" s="39">
        <v>6.496666666666667</v>
      </c>
      <c r="D685" s="50">
        <v>0.25827952226786111</v>
      </c>
      <c r="E685" s="28">
        <v>0.41188169699940613</v>
      </c>
      <c r="F685" s="51">
        <v>0.50101995519044062</v>
      </c>
      <c r="G685" s="28">
        <v>0.12596741965138109</v>
      </c>
      <c r="H685" s="55" t="s">
        <v>27</v>
      </c>
      <c r="I685" s="50">
        <v>61.928488706995253</v>
      </c>
      <c r="J685">
        <f t="shared" si="30"/>
        <v>0.25023654960146313</v>
      </c>
      <c r="K685" s="208" t="s">
        <v>208</v>
      </c>
      <c r="L685" s="208">
        <f t="shared" si="33"/>
        <v>0.18849451471644676</v>
      </c>
    </row>
    <row r="686" spans="1:12" ht="12.75" customHeight="1" x14ac:dyDescent="0.15">
      <c r="A686" s="126">
        <v>134</v>
      </c>
      <c r="B686" s="25" t="s">
        <v>122</v>
      </c>
      <c r="C686" s="39">
        <v>6.4933333333333341</v>
      </c>
      <c r="D686" s="50">
        <v>0.26498752638889123</v>
      </c>
      <c r="E686" s="28">
        <v>0.42388143496659719</v>
      </c>
      <c r="F686" s="51">
        <v>0.51407036111111115</v>
      </c>
      <c r="G686" s="28">
        <v>0.12963936377526483</v>
      </c>
      <c r="H686" s="55" t="s">
        <v>27</v>
      </c>
      <c r="I686" s="50">
        <v>61.817186380277789</v>
      </c>
      <c r="J686">
        <f t="shared" si="30"/>
        <v>0.25719791718644097</v>
      </c>
      <c r="K686" s="208" t="s">
        <v>208</v>
      </c>
      <c r="L686" s="208">
        <f t="shared" si="33"/>
        <v>0.18371446532356711</v>
      </c>
    </row>
    <row r="687" spans="1:12" ht="12.75" customHeight="1" x14ac:dyDescent="0.15">
      <c r="A687" s="126">
        <v>135</v>
      </c>
      <c r="B687" s="25" t="s">
        <v>123</v>
      </c>
      <c r="C687" s="39">
        <v>6.496666666666667</v>
      </c>
      <c r="D687" s="50">
        <v>0.26100030141263009</v>
      </c>
      <c r="E687" s="28">
        <v>0.41911259423016012</v>
      </c>
      <c r="F687" s="51">
        <v>0.50865456552706556</v>
      </c>
      <c r="G687" s="28">
        <v>0.12864804518345582</v>
      </c>
      <c r="H687" s="55" t="s">
        <v>27</v>
      </c>
      <c r="I687" s="50">
        <v>61.506300755140082</v>
      </c>
      <c r="J687">
        <f t="shared" si="30"/>
        <v>0.25460835544477284</v>
      </c>
      <c r="K687" s="208" t="s">
        <v>208</v>
      </c>
      <c r="L687" s="208">
        <f t="shared" si="33"/>
        <v>0.18676668241503319</v>
      </c>
    </row>
    <row r="688" spans="1:12" s="225" customFormat="1" ht="12.75" customHeight="1" x14ac:dyDescent="0.15">
      <c r="A688" s="218">
        <v>136</v>
      </c>
      <c r="B688" s="219" t="s">
        <v>128</v>
      </c>
      <c r="C688" s="220">
        <v>6.5033333333333339</v>
      </c>
      <c r="D688" s="221">
        <v>0.19456329423077023</v>
      </c>
      <c r="E688" s="222">
        <v>0.30730009059026803</v>
      </c>
      <c r="F688" s="223">
        <v>0.38080814560439558</v>
      </c>
      <c r="G688" s="222">
        <v>9.4870741940513689E-2</v>
      </c>
      <c r="H688" s="224" t="s">
        <v>27</v>
      </c>
      <c r="I688" s="221">
        <v>62.452611142238979</v>
      </c>
      <c r="J688" s="225">
        <f t="shared" si="30"/>
        <v>0.18692249115507037</v>
      </c>
      <c r="K688" s="225" t="s">
        <v>209</v>
      </c>
      <c r="L688" s="225">
        <f>J700</f>
        <v>0.22962021891258808</v>
      </c>
    </row>
    <row r="689" spans="1:12" ht="12.75" customHeight="1" x14ac:dyDescent="0.15">
      <c r="A689" s="126">
        <v>137</v>
      </c>
      <c r="B689" s="25" t="s">
        <v>90</v>
      </c>
      <c r="C689" s="39">
        <v>6.5033333333333339</v>
      </c>
      <c r="D689" s="50">
        <v>0.19351453148854936</v>
      </c>
      <c r="E689" s="28">
        <v>0.30207297503599523</v>
      </c>
      <c r="F689" s="51">
        <v>0.38170489503816807</v>
      </c>
      <c r="G689" s="28">
        <v>9.4157105891407661E-2</v>
      </c>
      <c r="H689" s="55" t="s">
        <v>27</v>
      </c>
      <c r="I689" s="50">
        <v>63.212295928689542</v>
      </c>
      <c r="J689">
        <f t="shared" si="30"/>
        <v>0.18368059123198607</v>
      </c>
      <c r="K689" s="208" t="s">
        <v>209</v>
      </c>
      <c r="L689" s="208">
        <f t="shared" ref="L689:L699" si="34">J701</f>
        <v>0.2397860932047377</v>
      </c>
    </row>
    <row r="690" spans="1:12" ht="12.75" customHeight="1" x14ac:dyDescent="0.15">
      <c r="A690" s="126">
        <v>138</v>
      </c>
      <c r="B690" s="25" t="s">
        <v>91</v>
      </c>
      <c r="C690" s="39">
        <v>6.5</v>
      </c>
      <c r="D690" s="50">
        <v>0.19598706322600989</v>
      </c>
      <c r="E690" s="28">
        <v>0.30553299537970258</v>
      </c>
      <c r="F690" s="51">
        <v>0.38781784090909099</v>
      </c>
      <c r="G690" s="28">
        <v>9.5548503948320318E-2</v>
      </c>
      <c r="H690" s="55" t="s">
        <v>27</v>
      </c>
      <c r="I690" s="50">
        <v>63.296025119791629</v>
      </c>
      <c r="J690">
        <f t="shared" si="30"/>
        <v>0.18578139419190284</v>
      </c>
      <c r="K690" s="208" t="s">
        <v>209</v>
      </c>
      <c r="L690" s="208">
        <f t="shared" si="34"/>
        <v>0.23273715678995693</v>
      </c>
    </row>
    <row r="691" spans="1:12" ht="12.75" customHeight="1" x14ac:dyDescent="0.15">
      <c r="A691" s="126">
        <v>139</v>
      </c>
      <c r="B691" s="25" t="s">
        <v>92</v>
      </c>
      <c r="C691" s="39">
        <v>6.5033333333333339</v>
      </c>
      <c r="D691" s="50">
        <v>0.18155346179931509</v>
      </c>
      <c r="E691" s="28">
        <v>0.28660564160271101</v>
      </c>
      <c r="F691" s="51">
        <v>0.36607167522464701</v>
      </c>
      <c r="G691" s="28">
        <v>9.1230313864181622E-2</v>
      </c>
      <c r="H691" s="55" t="s">
        <v>27</v>
      </c>
      <c r="I691" s="50">
        <v>62.536778717597343</v>
      </c>
      <c r="J691">
        <f t="shared" si="30"/>
        <v>0.17418882026447652</v>
      </c>
      <c r="K691" s="208" t="s">
        <v>209</v>
      </c>
      <c r="L691" s="208">
        <f t="shared" si="34"/>
        <v>0.24146481907466505</v>
      </c>
    </row>
    <row r="692" spans="1:12" ht="12.75" customHeight="1" x14ac:dyDescent="0.15">
      <c r="A692" s="126">
        <v>140</v>
      </c>
      <c r="B692" s="25" t="s">
        <v>93</v>
      </c>
      <c r="C692" s="39">
        <v>6.5033333333333339</v>
      </c>
      <c r="D692" s="50">
        <v>0.1813112473611973</v>
      </c>
      <c r="E692" s="28">
        <v>0.2862479827750995</v>
      </c>
      <c r="F692" s="51">
        <v>0.3664845345155161</v>
      </c>
      <c r="G692" s="28">
        <v>9.1329839961243858E-2</v>
      </c>
      <c r="H692" s="55" t="s">
        <v>27</v>
      </c>
      <c r="I692" s="50">
        <v>62.533235392600837</v>
      </c>
      <c r="J692">
        <f t="shared" si="30"/>
        <v>0.17396628806062134</v>
      </c>
      <c r="K692" s="208" t="s">
        <v>209</v>
      </c>
      <c r="L692" s="208">
        <f t="shared" si="34"/>
        <v>0.24307490232840726</v>
      </c>
    </row>
    <row r="693" spans="1:12" ht="12.75" customHeight="1" x14ac:dyDescent="0.15">
      <c r="A693" s="126">
        <v>141</v>
      </c>
      <c r="B693" s="25" t="s">
        <v>94</v>
      </c>
      <c r="C693" s="39">
        <v>6.5</v>
      </c>
      <c r="D693" s="50">
        <v>0.18845092629896087</v>
      </c>
      <c r="E693" s="28">
        <v>0.29194619330548632</v>
      </c>
      <c r="F693" s="51">
        <v>0.37383328537170268</v>
      </c>
      <c r="G693" s="28">
        <v>9.1574457740747003E-2</v>
      </c>
      <c r="H693" s="55" t="s">
        <v>27</v>
      </c>
      <c r="I693" s="50">
        <v>63.703504317346187</v>
      </c>
      <c r="J693">
        <f t="shared" si="30"/>
        <v>0.17749503263761254</v>
      </c>
      <c r="K693" s="208" t="s">
        <v>209</v>
      </c>
      <c r="L693" s="208">
        <f t="shared" si="34"/>
        <v>0.24021370964350958</v>
      </c>
    </row>
    <row r="694" spans="1:12" ht="12.75" customHeight="1" x14ac:dyDescent="0.15">
      <c r="A694" s="126">
        <v>142</v>
      </c>
      <c r="B694" s="25" t="s">
        <v>95</v>
      </c>
      <c r="C694" s="39">
        <v>6.5033333333333339</v>
      </c>
      <c r="D694" s="50">
        <v>0.18600871991714474</v>
      </c>
      <c r="E694" s="28">
        <v>0.2917881717125918</v>
      </c>
      <c r="F694" s="51">
        <v>0.37058557361376676</v>
      </c>
      <c r="G694" s="28">
        <v>9.1680074495980465E-2</v>
      </c>
      <c r="H694" s="55" t="s">
        <v>27</v>
      </c>
      <c r="I694" s="50">
        <v>62.918978902955701</v>
      </c>
      <c r="J694">
        <f t="shared" si="30"/>
        <v>0.17737928030018307</v>
      </c>
      <c r="K694" s="208" t="s">
        <v>209</v>
      </c>
      <c r="L694" s="208">
        <f t="shared" si="34"/>
        <v>0.24042176761118775</v>
      </c>
    </row>
    <row r="695" spans="1:12" ht="12.75" customHeight="1" x14ac:dyDescent="0.15">
      <c r="A695" s="126">
        <v>143</v>
      </c>
      <c r="B695" s="25" t="s">
        <v>96</v>
      </c>
      <c r="C695" s="39">
        <v>6.5033333333333339</v>
      </c>
      <c r="D695" s="50">
        <v>0.18705387029924614</v>
      </c>
      <c r="E695" s="28">
        <v>0.29148225111369458</v>
      </c>
      <c r="F695" s="51">
        <v>0.37150231374363729</v>
      </c>
      <c r="G695" s="28">
        <v>9.1399318924038173E-2</v>
      </c>
      <c r="H695" s="55" t="s">
        <v>27</v>
      </c>
      <c r="I695" s="50">
        <v>63.33073680691038</v>
      </c>
      <c r="J695">
        <f t="shared" si="30"/>
        <v>0.17721619522876192</v>
      </c>
      <c r="K695" s="208" t="s">
        <v>209</v>
      </c>
      <c r="L695" s="208">
        <f t="shared" si="34"/>
        <v>0.24125134721773137</v>
      </c>
    </row>
    <row r="696" spans="1:12" ht="12.75" customHeight="1" x14ac:dyDescent="0.15">
      <c r="A696" s="126">
        <v>144</v>
      </c>
      <c r="B696" s="25" t="s">
        <v>97</v>
      </c>
      <c r="C696" s="39">
        <v>6.5033333333333339</v>
      </c>
      <c r="D696" s="50">
        <v>0.18872513119092638</v>
      </c>
      <c r="E696" s="28">
        <v>0.28997783593284054</v>
      </c>
      <c r="F696" s="51">
        <v>0.37643644612476368</v>
      </c>
      <c r="G696" s="28">
        <v>9.1671009790684585E-2</v>
      </c>
      <c r="H696" s="55" t="s">
        <v>27</v>
      </c>
      <c r="I696" s="50">
        <v>64.228154255088214</v>
      </c>
      <c r="J696">
        <f t="shared" si="30"/>
        <v>0.17630131213927144</v>
      </c>
      <c r="K696" s="208" t="s">
        <v>209</v>
      </c>
      <c r="L696" s="208">
        <f t="shared" si="34"/>
        <v>0.2402120019952162</v>
      </c>
    </row>
    <row r="697" spans="1:12" ht="12.75" customHeight="1" x14ac:dyDescent="0.15">
      <c r="A697" s="126">
        <v>145</v>
      </c>
      <c r="B697" s="25" t="s">
        <v>98</v>
      </c>
      <c r="C697" s="39">
        <v>6.5</v>
      </c>
      <c r="D697" s="50">
        <v>0.24029225131579057</v>
      </c>
      <c r="E697" s="28">
        <v>0.39067236531133315</v>
      </c>
      <c r="F697" s="51">
        <v>0.48605194736842117</v>
      </c>
      <c r="G697" s="28">
        <v>0.12450213539747378</v>
      </c>
      <c r="H697" s="55" t="s">
        <v>27</v>
      </c>
      <c r="I697" s="50">
        <v>60.725100620701795</v>
      </c>
      <c r="J697">
        <f t="shared" si="30"/>
        <v>0.23742299200130682</v>
      </c>
      <c r="K697" s="208" t="s">
        <v>209</v>
      </c>
      <c r="L697" s="208">
        <f t="shared" si="34"/>
        <v>0.19297684658788314</v>
      </c>
    </row>
    <row r="698" spans="1:12" ht="12.75" customHeight="1" x14ac:dyDescent="0.15">
      <c r="A698" s="126">
        <v>146</v>
      </c>
      <c r="B698" s="25" t="s">
        <v>99</v>
      </c>
      <c r="C698" s="39">
        <v>6.496666666666667</v>
      </c>
      <c r="D698" s="50">
        <v>0.23480502948717996</v>
      </c>
      <c r="E698" s="28">
        <v>0.39509601272845762</v>
      </c>
      <c r="F698" s="51">
        <v>0.47248028388278385</v>
      </c>
      <c r="G698" s="28">
        <v>0.12464539410233258</v>
      </c>
      <c r="H698" s="55" t="s">
        <v>27</v>
      </c>
      <c r="I698" s="50">
        <v>58.665275300961554</v>
      </c>
      <c r="J698">
        <f t="shared" si="30"/>
        <v>0.2401472028718134</v>
      </c>
      <c r="K698" s="208" t="s">
        <v>209</v>
      </c>
      <c r="L698" s="208">
        <f t="shared" si="34"/>
        <v>0.1890202311709539</v>
      </c>
    </row>
    <row r="699" spans="1:12" ht="12.75" customHeight="1" x14ac:dyDescent="0.15">
      <c r="A699" s="126">
        <v>147</v>
      </c>
      <c r="B699" s="25" t="s">
        <v>100</v>
      </c>
      <c r="C699" s="39">
        <v>6.496666666666667</v>
      </c>
      <c r="D699" s="50">
        <v>0.23475325367635547</v>
      </c>
      <c r="E699" s="28">
        <v>0.39188971883752288</v>
      </c>
      <c r="F699" s="51">
        <v>0.47222338255652974</v>
      </c>
      <c r="G699" s="28">
        <v>0.12363712139454594</v>
      </c>
      <c r="H699" s="55" t="s">
        <v>27</v>
      </c>
      <c r="I699" s="50">
        <v>59.136328261652118</v>
      </c>
      <c r="J699">
        <f t="shared" ref="J699:J729" si="35">D699*60/I699</f>
        <v>0.23818176803707805</v>
      </c>
      <c r="K699" s="208" t="s">
        <v>209</v>
      </c>
      <c r="L699" s="208">
        <f t="shared" si="34"/>
        <v>0.18298164473959067</v>
      </c>
    </row>
    <row r="700" spans="1:12" ht="12.75" customHeight="1" x14ac:dyDescent="0.15">
      <c r="A700" s="126">
        <v>148</v>
      </c>
      <c r="B700" s="25" t="s">
        <v>101</v>
      </c>
      <c r="C700" s="39">
        <v>6.496666666666667</v>
      </c>
      <c r="D700" s="50">
        <v>0.22574464353099777</v>
      </c>
      <c r="E700" s="28">
        <v>0.37760387609280172</v>
      </c>
      <c r="F700" s="51">
        <v>0.46306126684636117</v>
      </c>
      <c r="G700" s="28">
        <v>0.12154723022264859</v>
      </c>
      <c r="H700" s="55" t="s">
        <v>27</v>
      </c>
      <c r="I700" s="50">
        <v>58.987308156064685</v>
      </c>
      <c r="J700">
        <f t="shared" si="35"/>
        <v>0.22962021891258808</v>
      </c>
      <c r="K700" s="225" t="s">
        <v>210</v>
      </c>
      <c r="L700" s="225">
        <f>J676</f>
        <v>0.20521476700225064</v>
      </c>
    </row>
    <row r="701" spans="1:12" ht="12.75" customHeight="1" x14ac:dyDescent="0.15">
      <c r="A701" s="126">
        <v>149</v>
      </c>
      <c r="B701" s="25" t="s">
        <v>102</v>
      </c>
      <c r="C701" s="39">
        <v>6.496666666666667</v>
      </c>
      <c r="D701" s="50">
        <v>0.23302342629009787</v>
      </c>
      <c r="E701" s="28">
        <v>0.39446782725944224</v>
      </c>
      <c r="F701" s="51">
        <v>0.46675359832635988</v>
      </c>
      <c r="G701" s="28">
        <v>0.12439248931385813</v>
      </c>
      <c r="H701" s="55" t="s">
        <v>27</v>
      </c>
      <c r="I701" s="50">
        <v>58.307825072524381</v>
      </c>
      <c r="J701">
        <f t="shared" si="35"/>
        <v>0.2397860932047377</v>
      </c>
      <c r="K701" s="208" t="s">
        <v>210</v>
      </c>
      <c r="L701" s="208">
        <f t="shared" ref="L701:L711" si="36">J677</f>
        <v>0.20903923108217448</v>
      </c>
    </row>
    <row r="702" spans="1:12" ht="12.75" customHeight="1" x14ac:dyDescent="0.15">
      <c r="A702" s="126">
        <v>150</v>
      </c>
      <c r="B702" s="25" t="s">
        <v>103</v>
      </c>
      <c r="C702" s="39">
        <v>6.496666666666667</v>
      </c>
      <c r="D702" s="50">
        <v>0.22961214014120168</v>
      </c>
      <c r="E702" s="28">
        <v>0.38281813816213772</v>
      </c>
      <c r="F702" s="51">
        <v>0.46773154311649034</v>
      </c>
      <c r="G702" s="28">
        <v>0.12231545966018641</v>
      </c>
      <c r="H702" s="55" t="s">
        <v>27</v>
      </c>
      <c r="I702" s="50">
        <v>59.194365860993422</v>
      </c>
      <c r="J702">
        <f t="shared" si="35"/>
        <v>0.23273715678995693</v>
      </c>
      <c r="K702" s="208" t="s">
        <v>210</v>
      </c>
      <c r="L702" s="208">
        <f t="shared" si="36"/>
        <v>0.21552604465762229</v>
      </c>
    </row>
    <row r="703" spans="1:12" ht="12.75" customHeight="1" x14ac:dyDescent="0.15">
      <c r="A703" s="126">
        <v>151</v>
      </c>
      <c r="B703" s="25" t="s">
        <v>104</v>
      </c>
      <c r="C703" s="39">
        <v>6.496666666666667</v>
      </c>
      <c r="D703" s="50">
        <v>0.23176040123427954</v>
      </c>
      <c r="E703" s="28">
        <v>0.39780670828752873</v>
      </c>
      <c r="F703" s="51">
        <v>0.4660829063809967</v>
      </c>
      <c r="G703" s="28">
        <v>0.1251548607849105</v>
      </c>
      <c r="H703" s="55" t="s">
        <v>27</v>
      </c>
      <c r="I703" s="50">
        <v>57.588613228815397</v>
      </c>
      <c r="J703">
        <f t="shared" si="35"/>
        <v>0.24146481907466505</v>
      </c>
      <c r="K703" s="208" t="s">
        <v>210</v>
      </c>
      <c r="L703" s="208">
        <f t="shared" si="36"/>
        <v>0.21186624442267199</v>
      </c>
    </row>
    <row r="704" spans="1:12" ht="12.75" customHeight="1" x14ac:dyDescent="0.15">
      <c r="A704" s="126">
        <v>152</v>
      </c>
      <c r="B704" s="25" t="s">
        <v>105</v>
      </c>
      <c r="C704" s="39">
        <v>6.496666666666667</v>
      </c>
      <c r="D704" s="50">
        <v>0.24103540290955183</v>
      </c>
      <c r="E704" s="28">
        <v>0.4008637614257568</v>
      </c>
      <c r="F704" s="51">
        <v>0.48336383301707797</v>
      </c>
      <c r="G704" s="28">
        <v>0.12699590370360997</v>
      </c>
      <c r="H704" s="55" t="s">
        <v>27</v>
      </c>
      <c r="I704" s="50">
        <v>59.496575072296039</v>
      </c>
      <c r="J704">
        <f t="shared" si="35"/>
        <v>0.24307490232840726</v>
      </c>
      <c r="K704" s="208" t="s">
        <v>210</v>
      </c>
      <c r="L704" s="208">
        <f t="shared" si="36"/>
        <v>0.19152765684544126</v>
      </c>
    </row>
    <row r="705" spans="1:12" ht="12.75" customHeight="1" x14ac:dyDescent="0.15">
      <c r="A705" s="126">
        <v>153</v>
      </c>
      <c r="B705" s="25" t="s">
        <v>106</v>
      </c>
      <c r="C705" s="39">
        <v>6.4933333333333341</v>
      </c>
      <c r="D705" s="50">
        <v>0.23881753360215119</v>
      </c>
      <c r="E705" s="28">
        <v>0.39587726946240848</v>
      </c>
      <c r="F705" s="51">
        <v>0.48240145161290338</v>
      </c>
      <c r="G705" s="28">
        <v>0.12559564580176169</v>
      </c>
      <c r="H705" s="55" t="s">
        <v>27</v>
      </c>
      <c r="I705" s="50">
        <v>59.651266521774204</v>
      </c>
      <c r="J705">
        <f t="shared" si="35"/>
        <v>0.24021370964350958</v>
      </c>
      <c r="K705" s="208" t="s">
        <v>210</v>
      </c>
      <c r="L705" s="208">
        <f t="shared" si="36"/>
        <v>0.21787728087455685</v>
      </c>
    </row>
    <row r="706" spans="1:12" ht="12.75" customHeight="1" x14ac:dyDescent="0.15">
      <c r="A706" s="126">
        <v>154</v>
      </c>
      <c r="B706" s="25" t="s">
        <v>107</v>
      </c>
      <c r="C706" s="39">
        <v>6.4933333333333341</v>
      </c>
      <c r="D706" s="50">
        <v>0.23275963730908522</v>
      </c>
      <c r="E706" s="28">
        <v>0.39694600063337571</v>
      </c>
      <c r="F706" s="51">
        <v>0.47085589041095888</v>
      </c>
      <c r="G706" s="28">
        <v>0.12556973086408427</v>
      </c>
      <c r="H706" s="55" t="s">
        <v>27</v>
      </c>
      <c r="I706" s="50">
        <v>58.087827809045862</v>
      </c>
      <c r="J706">
        <f t="shared" si="35"/>
        <v>0.24042176761118775</v>
      </c>
      <c r="K706" s="208" t="s">
        <v>210</v>
      </c>
      <c r="L706" s="208">
        <f t="shared" si="36"/>
        <v>0.21469120300734601</v>
      </c>
    </row>
    <row r="707" spans="1:12" ht="12.75" customHeight="1" x14ac:dyDescent="0.15">
      <c r="A707" s="126">
        <v>155</v>
      </c>
      <c r="B707" s="25" t="s">
        <v>108</v>
      </c>
      <c r="C707" s="39">
        <v>6.4933333333333341</v>
      </c>
      <c r="D707" s="50">
        <v>0.23918580833333292</v>
      </c>
      <c r="E707" s="28">
        <v>0.39784056460757866</v>
      </c>
      <c r="F707" s="51">
        <v>0.4837616292134832</v>
      </c>
      <c r="G707" s="28">
        <v>0.12612388909244801</v>
      </c>
      <c r="H707" s="55" t="s">
        <v>27</v>
      </c>
      <c r="I707" s="50">
        <v>59.486293716104903</v>
      </c>
      <c r="J707">
        <f t="shared" si="35"/>
        <v>0.24125134721773137</v>
      </c>
      <c r="K707" s="208" t="s">
        <v>210</v>
      </c>
      <c r="L707" s="208">
        <f t="shared" si="36"/>
        <v>0.21454871514780768</v>
      </c>
    </row>
    <row r="708" spans="1:12" ht="12.75" customHeight="1" x14ac:dyDescent="0.15">
      <c r="A708" s="126">
        <v>156</v>
      </c>
      <c r="B708" s="25" t="s">
        <v>109</v>
      </c>
      <c r="C708" s="39">
        <v>6.4933333333333341</v>
      </c>
      <c r="D708" s="50">
        <v>0.23730648166351487</v>
      </c>
      <c r="E708" s="28">
        <v>0.39652435161837468</v>
      </c>
      <c r="F708" s="51">
        <v>0.48030735349716458</v>
      </c>
      <c r="G708" s="28">
        <v>0.1258024177431547</v>
      </c>
      <c r="H708" s="55" t="s">
        <v>27</v>
      </c>
      <c r="I708" s="50">
        <v>59.274260992564599</v>
      </c>
      <c r="J708">
        <f t="shared" si="35"/>
        <v>0.2402120019952162</v>
      </c>
      <c r="K708" s="208" t="s">
        <v>210</v>
      </c>
      <c r="L708" s="208">
        <f t="shared" si="36"/>
        <v>0.20570724686689423</v>
      </c>
    </row>
    <row r="709" spans="1:12" ht="12.75" customHeight="1" x14ac:dyDescent="0.15">
      <c r="A709" s="126">
        <v>157</v>
      </c>
      <c r="B709" s="25" t="s">
        <v>110</v>
      </c>
      <c r="C709" s="39">
        <v>6.496666666666667</v>
      </c>
      <c r="D709" s="50">
        <v>0.19124364571607178</v>
      </c>
      <c r="E709" s="28">
        <v>0.31723133072945636</v>
      </c>
      <c r="F709" s="51">
        <v>0.38317245778611631</v>
      </c>
      <c r="G709" s="28">
        <v>9.9512305981612273E-2</v>
      </c>
      <c r="H709" s="55" t="s">
        <v>27</v>
      </c>
      <c r="I709" s="50">
        <v>59.461116428486548</v>
      </c>
      <c r="J709">
        <f t="shared" si="35"/>
        <v>0.19297684658788314</v>
      </c>
      <c r="K709" s="208" t="s">
        <v>210</v>
      </c>
      <c r="L709" s="208">
        <f t="shared" si="36"/>
        <v>0.25023654960146313</v>
      </c>
    </row>
    <row r="710" spans="1:12" ht="12.75" customHeight="1" x14ac:dyDescent="0.15">
      <c r="A710" s="126">
        <v>158</v>
      </c>
      <c r="B710" s="25" t="s">
        <v>111</v>
      </c>
      <c r="C710" s="39">
        <v>6.496666666666667</v>
      </c>
      <c r="D710" s="50">
        <v>0.19365072670157035</v>
      </c>
      <c r="E710" s="28">
        <v>0.310717732577933</v>
      </c>
      <c r="F710" s="51">
        <v>0.38917443122322704</v>
      </c>
      <c r="G710" s="28">
        <v>9.8158338714426821E-2</v>
      </c>
      <c r="H710" s="55" t="s">
        <v>27</v>
      </c>
      <c r="I710" s="50">
        <v>61.469841244589908</v>
      </c>
      <c r="J710">
        <f t="shared" si="35"/>
        <v>0.1890202311709539</v>
      </c>
      <c r="K710" s="208" t="s">
        <v>210</v>
      </c>
      <c r="L710" s="208">
        <f t="shared" si="36"/>
        <v>0.25719791718644097</v>
      </c>
    </row>
    <row r="711" spans="1:12" ht="12.75" customHeight="1" x14ac:dyDescent="0.15">
      <c r="A711" s="126">
        <v>159</v>
      </c>
      <c r="B711" s="25" t="s">
        <v>112</v>
      </c>
      <c r="C711" s="39">
        <v>6.5</v>
      </c>
      <c r="D711" s="50">
        <v>0.18594273887838675</v>
      </c>
      <c r="E711" s="28">
        <v>0.30048545911947783</v>
      </c>
      <c r="F711" s="51">
        <v>0.38064057971014509</v>
      </c>
      <c r="G711" s="28">
        <v>9.6890282136282882E-2</v>
      </c>
      <c r="H711" s="55" t="s">
        <v>27</v>
      </c>
      <c r="I711" s="50">
        <v>60.970947925299335</v>
      </c>
      <c r="J711">
        <f t="shared" si="35"/>
        <v>0.18298164473959067</v>
      </c>
      <c r="K711" s="208" t="s">
        <v>210</v>
      </c>
      <c r="L711" s="208">
        <f t="shared" si="36"/>
        <v>0.25460835544477284</v>
      </c>
    </row>
    <row r="712" spans="1:12" ht="12.75" customHeight="1" x14ac:dyDescent="0.15">
      <c r="A712" s="126">
        <v>160</v>
      </c>
      <c r="B712" s="25" t="s">
        <v>113</v>
      </c>
      <c r="C712" s="39">
        <v>6.5033333333333339</v>
      </c>
      <c r="D712" s="50">
        <v>0.17396120095615619</v>
      </c>
      <c r="E712" s="28">
        <v>0.3129074766094847</v>
      </c>
      <c r="F712" s="51">
        <v>0.34968039645522386</v>
      </c>
      <c r="G712" s="28">
        <v>9.8226958478943402E-2</v>
      </c>
      <c r="H712" s="55" t="s">
        <v>27</v>
      </c>
      <c r="I712" s="50">
        <v>54.520806399696767</v>
      </c>
      <c r="J712">
        <f t="shared" si="35"/>
        <v>0.19144383120179648</v>
      </c>
      <c r="K712" s="225" t="s">
        <v>211</v>
      </c>
      <c r="L712" s="225">
        <f>J712</f>
        <v>0.19144383120179648</v>
      </c>
    </row>
    <row r="713" spans="1:12" ht="12.75" customHeight="1" x14ac:dyDescent="0.15">
      <c r="A713" s="126">
        <v>161</v>
      </c>
      <c r="B713" s="25" t="s">
        <v>114</v>
      </c>
      <c r="C713" s="39">
        <v>6.5066666666666668</v>
      </c>
      <c r="D713" s="50">
        <v>0.15804431579378919</v>
      </c>
      <c r="E713" s="28">
        <v>0.35363383322516001</v>
      </c>
      <c r="F713" s="51">
        <v>0.30472378910369069</v>
      </c>
      <c r="G713" s="28">
        <v>0.10422787066434246</v>
      </c>
      <c r="H713" s="55" t="s">
        <v>27</v>
      </c>
      <c r="I713" s="50">
        <v>43.950901400527229</v>
      </c>
      <c r="J713">
        <f t="shared" si="35"/>
        <v>0.21575573299876846</v>
      </c>
      <c r="K713" s="208" t="s">
        <v>211</v>
      </c>
      <c r="L713" s="208">
        <f t="shared" ref="L713:L717" si="37">J713</f>
        <v>0.21575573299876846</v>
      </c>
    </row>
    <row r="714" spans="1:12" ht="12.75" customHeight="1" x14ac:dyDescent="0.15">
      <c r="A714" s="126">
        <v>162</v>
      </c>
      <c r="B714" s="25" t="s">
        <v>115</v>
      </c>
      <c r="C714" s="39">
        <v>6.5</v>
      </c>
      <c r="D714" s="50">
        <v>0.18553657437068649</v>
      </c>
      <c r="E714" s="28">
        <v>0.34113898409528526</v>
      </c>
      <c r="F714" s="51">
        <v>0.35348166260657743</v>
      </c>
      <c r="G714" s="28">
        <v>0.1010788504950004</v>
      </c>
      <c r="H714" s="55" t="s">
        <v>27</v>
      </c>
      <c r="I714" s="50">
        <v>53.485458857105151</v>
      </c>
      <c r="J714">
        <f t="shared" si="35"/>
        <v>0.2081349716374801</v>
      </c>
      <c r="K714" s="208" t="s">
        <v>211</v>
      </c>
      <c r="L714" s="208">
        <f t="shared" si="37"/>
        <v>0.2081349716374801</v>
      </c>
    </row>
    <row r="715" spans="1:12" ht="12.75" customHeight="1" x14ac:dyDescent="0.15">
      <c r="A715" s="126">
        <v>163</v>
      </c>
      <c r="B715" s="25" t="s">
        <v>116</v>
      </c>
      <c r="C715" s="39">
        <v>6.5</v>
      </c>
      <c r="D715" s="50">
        <v>0.1776182200550972</v>
      </c>
      <c r="E715" s="28">
        <v>0.29550035993957735</v>
      </c>
      <c r="F715" s="51">
        <v>0.37843490909090916</v>
      </c>
      <c r="G715" s="28">
        <v>9.8901233374963982E-2</v>
      </c>
      <c r="H715" s="55" t="s">
        <v>27</v>
      </c>
      <c r="I715" s="50">
        <v>59.119502351570304</v>
      </c>
      <c r="J715">
        <f t="shared" si="35"/>
        <v>0.18026358104184487</v>
      </c>
      <c r="K715" s="208" t="s">
        <v>211</v>
      </c>
      <c r="L715" s="208">
        <f t="shared" si="37"/>
        <v>0.18026358104184487</v>
      </c>
    </row>
    <row r="716" spans="1:12" ht="12.75" customHeight="1" x14ac:dyDescent="0.15">
      <c r="A716" s="126">
        <v>164</v>
      </c>
      <c r="B716" s="25" t="s">
        <v>117</v>
      </c>
      <c r="C716" s="39">
        <v>6.5033333333333339</v>
      </c>
      <c r="D716" s="50">
        <v>0.175056426655537</v>
      </c>
      <c r="E716" s="28">
        <v>0.29423925045768717</v>
      </c>
      <c r="F716" s="51">
        <v>0.37540793989983301</v>
      </c>
      <c r="G716" s="28">
        <v>9.8891508441209169E-2</v>
      </c>
      <c r="H716" s="55" t="s">
        <v>27</v>
      </c>
      <c r="I716" s="50">
        <v>58.525964938708938</v>
      </c>
      <c r="J716">
        <f t="shared" si="35"/>
        <v>0.17946539814135221</v>
      </c>
      <c r="K716" s="208" t="s">
        <v>211</v>
      </c>
      <c r="L716" s="208">
        <f t="shared" si="37"/>
        <v>0.17946539814135221</v>
      </c>
    </row>
    <row r="717" spans="1:12" ht="12.75" customHeight="1" x14ac:dyDescent="0.15">
      <c r="A717" s="126">
        <v>165</v>
      </c>
      <c r="B717" s="25" t="s">
        <v>2</v>
      </c>
      <c r="C717" s="39">
        <v>6.5033333333333339</v>
      </c>
      <c r="D717" s="50">
        <v>0.18755663522336841</v>
      </c>
      <c r="E717" s="28">
        <v>0.31257256978498793</v>
      </c>
      <c r="F717" s="51">
        <v>0.37268656357388319</v>
      </c>
      <c r="G717" s="28">
        <v>9.7325680210391272E-2</v>
      </c>
      <c r="H717" s="55" t="s">
        <v>27</v>
      </c>
      <c r="I717" s="50">
        <v>59.032344493814414</v>
      </c>
      <c r="J717">
        <f t="shared" si="35"/>
        <v>0.19063105505798214</v>
      </c>
      <c r="K717" s="208" t="s">
        <v>211</v>
      </c>
      <c r="L717" s="208">
        <f t="shared" si="37"/>
        <v>0.19063105505798214</v>
      </c>
    </row>
    <row r="718" spans="1:12" s="216" customFormat="1" ht="12.75" customHeight="1" x14ac:dyDescent="0.15">
      <c r="A718" s="209">
        <v>166</v>
      </c>
      <c r="B718" s="210" t="s">
        <v>118</v>
      </c>
      <c r="C718" s="211">
        <v>6.5066666666666668</v>
      </c>
      <c r="D718" s="212">
        <v>0.18273142245822127</v>
      </c>
      <c r="E718" s="213">
        <v>0.31824857292565478</v>
      </c>
      <c r="F718" s="214">
        <v>0.35969878683505552</v>
      </c>
      <c r="G718" s="213">
        <v>9.7485982303328417E-2</v>
      </c>
      <c r="H718" s="215" t="s">
        <v>27</v>
      </c>
      <c r="I718" s="212">
        <v>56.395719049521624</v>
      </c>
      <c r="J718" s="216">
        <f t="shared" si="35"/>
        <v>0.19440988664167547</v>
      </c>
      <c r="K718" s="208" t="s">
        <v>211</v>
      </c>
      <c r="L718" s="208">
        <f t="shared" ref="L718:L723" si="38">J719</f>
        <v>0.20900353835537838</v>
      </c>
    </row>
    <row r="719" spans="1:12" s="216" customFormat="1" ht="12.75" customHeight="1" x14ac:dyDescent="0.15">
      <c r="A719" s="209">
        <v>167</v>
      </c>
      <c r="B719" s="210" t="s">
        <v>118</v>
      </c>
      <c r="C719" s="211">
        <v>6.4700000000000006</v>
      </c>
      <c r="D719" s="212">
        <v>0.19698363342749503</v>
      </c>
      <c r="E719" s="213">
        <v>0.3424599959314662</v>
      </c>
      <c r="F719" s="214">
        <v>0.39463457627118637</v>
      </c>
      <c r="G719" s="213">
        <v>0.10605810664996197</v>
      </c>
      <c r="H719" s="215" t="s">
        <v>27</v>
      </c>
      <c r="I719" s="212">
        <v>56.54936800903954</v>
      </c>
      <c r="J719" s="216">
        <f t="shared" si="35"/>
        <v>0.20900353835537838</v>
      </c>
      <c r="K719" s="208" t="s">
        <v>211</v>
      </c>
      <c r="L719" s="208">
        <f t="shared" si="38"/>
        <v>0.20033553667659071</v>
      </c>
    </row>
    <row r="720" spans="1:12" ht="12.75" customHeight="1" x14ac:dyDescent="0.15">
      <c r="A720" s="126">
        <v>168</v>
      </c>
      <c r="B720" s="25" t="s">
        <v>119</v>
      </c>
      <c r="C720" s="39">
        <v>6.5133333333333336</v>
      </c>
      <c r="D720" s="50">
        <v>0.21156085224697252</v>
      </c>
      <c r="E720" s="28">
        <v>0.32840396434554836</v>
      </c>
      <c r="F720" s="51">
        <v>0.41753211019929659</v>
      </c>
      <c r="G720" s="28">
        <v>0.10183515957896505</v>
      </c>
      <c r="H720" s="55" t="s">
        <v>27</v>
      </c>
      <c r="I720" s="50">
        <v>63.361954376123471</v>
      </c>
      <c r="J720">
        <f t="shared" si="35"/>
        <v>0.20033553667659071</v>
      </c>
      <c r="K720" s="208" t="s">
        <v>211</v>
      </c>
      <c r="L720" s="208">
        <f t="shared" si="38"/>
        <v>0.19783954628335859</v>
      </c>
    </row>
    <row r="721" spans="1:12" ht="12.75" customHeight="1" x14ac:dyDescent="0.15">
      <c r="A721" s="126">
        <v>169</v>
      </c>
      <c r="B721" s="25" t="s">
        <v>120</v>
      </c>
      <c r="C721" s="39">
        <v>6.5133333333333336</v>
      </c>
      <c r="D721" s="50">
        <v>0.2057883463538428</v>
      </c>
      <c r="E721" s="28">
        <v>0.3243856641415459</v>
      </c>
      <c r="F721" s="51">
        <v>0.41275647607209442</v>
      </c>
      <c r="G721" s="28">
        <v>0.10199022653430505</v>
      </c>
      <c r="H721" s="55" t="s">
        <v>27</v>
      </c>
      <c r="I721" s="50">
        <v>62.41068084308062</v>
      </c>
      <c r="J721">
        <f t="shared" si="35"/>
        <v>0.19783954628335859</v>
      </c>
      <c r="K721" s="208" t="s">
        <v>211</v>
      </c>
      <c r="L721" s="208">
        <f t="shared" si="38"/>
        <v>0.19605908056133947</v>
      </c>
    </row>
    <row r="722" spans="1:12" ht="12.75" customHeight="1" x14ac:dyDescent="0.15">
      <c r="A722" s="126">
        <v>170</v>
      </c>
      <c r="B722" s="25" t="s">
        <v>121</v>
      </c>
      <c r="C722" s="39">
        <v>6.5133333333333336</v>
      </c>
      <c r="D722" s="50">
        <v>0.19257753366326114</v>
      </c>
      <c r="E722" s="28">
        <v>0.32145006296468648</v>
      </c>
      <c r="F722" s="51">
        <v>0.38675493230622848</v>
      </c>
      <c r="G722" s="28">
        <v>0.10016853898603213</v>
      </c>
      <c r="H722" s="55" t="s">
        <v>27</v>
      </c>
      <c r="I722" s="50">
        <v>58.934541500007974</v>
      </c>
      <c r="J722">
        <f t="shared" si="35"/>
        <v>0.19605908056133947</v>
      </c>
      <c r="K722" s="208" t="s">
        <v>211</v>
      </c>
      <c r="L722" s="208">
        <f t="shared" si="38"/>
        <v>0.19823909282566757</v>
      </c>
    </row>
    <row r="723" spans="1:12" ht="12.75" customHeight="1" x14ac:dyDescent="0.15">
      <c r="A723" s="126">
        <v>171</v>
      </c>
      <c r="B723" s="25" t="s">
        <v>122</v>
      </c>
      <c r="C723" s="39">
        <v>6.5166666666666666</v>
      </c>
      <c r="D723" s="50">
        <v>0.20224083643192658</v>
      </c>
      <c r="E723" s="28">
        <v>0.32500710410747374</v>
      </c>
      <c r="F723" s="51">
        <v>0.39817481690140855</v>
      </c>
      <c r="G723" s="28">
        <v>0.10015177435809547</v>
      </c>
      <c r="H723" s="55" t="s">
        <v>27</v>
      </c>
      <c r="I723" s="50">
        <v>61.211187021455402</v>
      </c>
      <c r="J723">
        <f t="shared" si="35"/>
        <v>0.19823909282566757</v>
      </c>
      <c r="K723" s="208" t="s">
        <v>211</v>
      </c>
      <c r="L723" s="208">
        <f t="shared" si="38"/>
        <v>0.19741911521175143</v>
      </c>
    </row>
    <row r="724" spans="1:12" ht="12.75" customHeight="1" x14ac:dyDescent="0.15">
      <c r="A724" s="126">
        <v>172</v>
      </c>
      <c r="B724" s="25" t="s">
        <v>123</v>
      </c>
      <c r="C724" s="39">
        <v>6.5166666666666666</v>
      </c>
      <c r="D724" s="50">
        <v>0.20237825334403547</v>
      </c>
      <c r="E724" s="28">
        <v>0.32369269904053422</v>
      </c>
      <c r="F724" s="51">
        <v>0.40027613697164277</v>
      </c>
      <c r="G724" s="28">
        <v>0.10029156323209283</v>
      </c>
      <c r="H724" s="55" t="s">
        <v>27</v>
      </c>
      <c r="I724" s="50">
        <v>61.507190869627252</v>
      </c>
      <c r="J724">
        <f t="shared" si="35"/>
        <v>0.19741911521175143</v>
      </c>
    </row>
    <row r="725" spans="1:12" s="216" customFormat="1" ht="12.75" customHeight="1" x14ac:dyDescent="0.15">
      <c r="A725" s="209">
        <v>173</v>
      </c>
      <c r="B725" s="210" t="s">
        <v>113</v>
      </c>
      <c r="C725" s="211">
        <v>6.5200000000000005</v>
      </c>
      <c r="D725" s="212">
        <v>0.18051789866666623</v>
      </c>
      <c r="E725" s="213">
        <v>0.33005329324189342</v>
      </c>
      <c r="F725" s="214">
        <v>0.35907814117647063</v>
      </c>
      <c r="G725" s="213">
        <v>0.10094520004951511</v>
      </c>
      <c r="H725" s="215" t="s">
        <v>27</v>
      </c>
      <c r="I725" s="212">
        <v>53.88129227396081</v>
      </c>
      <c r="J725" s="216">
        <f t="shared" si="35"/>
        <v>0.20101733761189505</v>
      </c>
      <c r="L725" s="208"/>
    </row>
    <row r="726" spans="1:12" ht="11.25" customHeight="1" x14ac:dyDescent="0.15">
      <c r="A726" s="126">
        <v>174</v>
      </c>
      <c r="B726" s="25" t="s">
        <v>85</v>
      </c>
      <c r="C726" s="39" t="s">
        <v>27</v>
      </c>
      <c r="D726" s="50" t="s">
        <v>27</v>
      </c>
      <c r="E726" s="28" t="s">
        <v>27</v>
      </c>
      <c r="F726" s="51" t="s">
        <v>27</v>
      </c>
      <c r="G726" s="28" t="s">
        <v>27</v>
      </c>
      <c r="H726" s="55" t="s">
        <v>27</v>
      </c>
      <c r="I726" s="50" t="s">
        <v>27</v>
      </c>
      <c r="J726" t="e">
        <f t="shared" si="35"/>
        <v>#VALUE!</v>
      </c>
    </row>
    <row r="727" spans="1:12" ht="11.25" customHeight="1" x14ac:dyDescent="0.15">
      <c r="A727" s="32"/>
      <c r="B727" s="52" t="s">
        <v>129</v>
      </c>
      <c r="C727" s="53">
        <f t="shared" ref="C727:H727" si="39">SUM(C553:C726)</f>
        <v>1126.8333333333326</v>
      </c>
      <c r="D727" s="53">
        <f t="shared" si="39"/>
        <v>31.758724260313631</v>
      </c>
      <c r="E727" s="53">
        <f t="shared" si="39"/>
        <v>356.94266888854963</v>
      </c>
      <c r="F727" s="53">
        <f t="shared" si="39"/>
        <v>62.196462856385914</v>
      </c>
      <c r="G727" s="53">
        <f t="shared" si="39"/>
        <v>235.20548368855739</v>
      </c>
      <c r="H727" s="54">
        <f t="shared" si="39"/>
        <v>0</v>
      </c>
      <c r="I727" s="53">
        <f t="shared" ref="I727" si="40">SUM(I553:I726)</f>
        <v>9309.2728036290046</v>
      </c>
      <c r="J727">
        <f t="shared" si="35"/>
        <v>0.20469090291091199</v>
      </c>
    </row>
    <row r="728" spans="1:12" ht="11.25" customHeight="1" x14ac:dyDescent="0.15">
      <c r="A728" s="31"/>
      <c r="B728" s="41" t="s">
        <v>130</v>
      </c>
      <c r="C728" s="39">
        <f t="shared" ref="C728:I728" si="41">AVERAGE(C553:C726)</f>
        <v>6.513487475915217</v>
      </c>
      <c r="D728" s="39">
        <f t="shared" si="41"/>
        <v>0.18357644081106145</v>
      </c>
      <c r="E728" s="39">
        <f t="shared" si="41"/>
        <v>2.0632524213210961</v>
      </c>
      <c r="F728" s="39">
        <f t="shared" si="41"/>
        <v>0.35951712633749083</v>
      </c>
      <c r="G728" s="39">
        <f t="shared" si="41"/>
        <v>1.3595692698760542</v>
      </c>
      <c r="H728" s="40" t="e">
        <f t="shared" si="41"/>
        <v>#DIV/0!</v>
      </c>
      <c r="I728" s="39">
        <f t="shared" si="41"/>
        <v>53.810825454502918</v>
      </c>
      <c r="J728">
        <f t="shared" si="35"/>
        <v>0.20469090291091196</v>
      </c>
    </row>
    <row r="729" spans="1:12" ht="11.25" customHeight="1" thickBot="1" x14ac:dyDescent="0.2">
      <c r="A729" s="33"/>
      <c r="B729" s="42" t="s">
        <v>131</v>
      </c>
      <c r="C729" s="43">
        <f t="shared" ref="C729:I729" si="42">STDEV(C553:C726)/AVERAGE(C553:C726)</f>
        <v>3.5660429019533707E-3</v>
      </c>
      <c r="D729" s="43">
        <f t="shared" si="42"/>
        <v>0.2780418686161617</v>
      </c>
      <c r="E729" s="43">
        <f t="shared" si="42"/>
        <v>2.9230347847677205</v>
      </c>
      <c r="F729" s="43">
        <f t="shared" si="42"/>
        <v>0.30291529929898131</v>
      </c>
      <c r="G729" s="43">
        <f t="shared" si="42"/>
        <v>3.4614425638321276</v>
      </c>
      <c r="H729" s="44" t="e">
        <f t="shared" si="42"/>
        <v>#DIV/0!</v>
      </c>
      <c r="I729" s="43">
        <f t="shared" si="42"/>
        <v>0.35799885115208518</v>
      </c>
      <c r="J729">
        <f t="shared" si="35"/>
        <v>46.59934539812987</v>
      </c>
    </row>
    <row r="730" spans="1:12" ht="14" thickBot="1" x14ac:dyDescent="0.2"/>
    <row r="731" spans="1:12" ht="11.25" customHeight="1" x14ac:dyDescent="0.15">
      <c r="A731" s="56" t="s">
        <v>13</v>
      </c>
      <c r="B731" s="57" t="s">
        <v>81</v>
      </c>
      <c r="C731" s="58" t="s">
        <v>82</v>
      </c>
      <c r="D731" s="34" t="s">
        <v>17</v>
      </c>
      <c r="E731" s="34" t="s">
        <v>83</v>
      </c>
      <c r="F731" s="34" t="s">
        <v>18</v>
      </c>
      <c r="G731" s="34" t="s">
        <v>84</v>
      </c>
      <c r="H731" s="35" t="s">
        <v>19</v>
      </c>
    </row>
    <row r="732" spans="1:12" ht="11.25" customHeight="1" x14ac:dyDescent="0.15">
      <c r="A732" s="36" t="s">
        <v>20</v>
      </c>
      <c r="B732" s="37" t="s">
        <v>20</v>
      </c>
      <c r="C732" s="37" t="s">
        <v>21</v>
      </c>
      <c r="D732" s="37" t="s">
        <v>22</v>
      </c>
      <c r="E732" s="37" t="s">
        <v>52</v>
      </c>
      <c r="F732" s="37" t="s">
        <v>23</v>
      </c>
      <c r="G732" s="37" t="s">
        <v>52</v>
      </c>
      <c r="H732" s="38" t="s">
        <v>20</v>
      </c>
    </row>
    <row r="733" spans="1:12" ht="11.25" customHeight="1" x14ac:dyDescent="0.15">
      <c r="A733" s="36" t="s">
        <v>20</v>
      </c>
      <c r="B733" s="37" t="s">
        <v>20</v>
      </c>
      <c r="C733" s="37" t="s">
        <v>24</v>
      </c>
      <c r="D733" s="37" t="s">
        <v>24</v>
      </c>
      <c r="E733" s="37" t="s">
        <v>24</v>
      </c>
      <c r="F733" s="37" t="s">
        <v>24</v>
      </c>
      <c r="G733" s="37" t="s">
        <v>24</v>
      </c>
      <c r="H733" s="38" t="s">
        <v>24</v>
      </c>
    </row>
    <row r="734" spans="1:12" ht="11.25" customHeight="1" x14ac:dyDescent="0.15">
      <c r="A734" s="36" t="s">
        <v>20</v>
      </c>
      <c r="B734" s="37" t="s">
        <v>20</v>
      </c>
      <c r="C734" s="45" t="s">
        <v>31</v>
      </c>
      <c r="D734" s="46" t="s">
        <v>31</v>
      </c>
      <c r="E734" s="47" t="s">
        <v>31</v>
      </c>
      <c r="F734" s="48" t="s">
        <v>31</v>
      </c>
      <c r="G734" s="47" t="s">
        <v>31</v>
      </c>
      <c r="H734" s="49" t="s">
        <v>31</v>
      </c>
      <c r="I734" s="208" t="s">
        <v>204</v>
      </c>
      <c r="J734" s="208" t="s">
        <v>205</v>
      </c>
    </row>
    <row r="735" spans="1:12" ht="11.25" customHeight="1" x14ac:dyDescent="0.15">
      <c r="A735" s="126">
        <v>1</v>
      </c>
      <c r="B735" s="25" t="s">
        <v>85</v>
      </c>
      <c r="C735" s="39">
        <v>7.99</v>
      </c>
      <c r="D735" s="50">
        <v>6.8779492134831699E-3</v>
      </c>
      <c r="E735" s="28">
        <v>4.3700622560458973</v>
      </c>
      <c r="F735" s="51">
        <v>2.7797775280898884E-2</v>
      </c>
      <c r="G735" s="28">
        <v>7.1014055474998301</v>
      </c>
      <c r="H735" s="55" t="s">
        <v>27</v>
      </c>
      <c r="I735" s="50">
        <v>4.095663883302858E-2</v>
      </c>
    </row>
    <row r="736" spans="1:12" ht="12.75" customHeight="1" x14ac:dyDescent="0.15">
      <c r="A736" s="126">
        <v>2</v>
      </c>
      <c r="B736" s="25" t="s">
        <v>86</v>
      </c>
      <c r="C736" s="39">
        <v>7.9866666666666672</v>
      </c>
      <c r="D736" s="50">
        <v>0.22493843955440929</v>
      </c>
      <c r="E736" s="28">
        <v>0.36265196760286839</v>
      </c>
      <c r="F736" s="51">
        <v>0.92674739389131311</v>
      </c>
      <c r="G736" s="28">
        <v>0.23397848984892483</v>
      </c>
      <c r="H736" s="55" t="s">
        <v>27</v>
      </c>
      <c r="I736" s="50">
        <v>61.317518126708961</v>
      </c>
      <c r="J736">
        <f>D736*60/I736</f>
        <v>0.22010522906969673</v>
      </c>
    </row>
    <row r="737" spans="1:10" ht="12.75" customHeight="1" x14ac:dyDescent="0.15">
      <c r="A737" s="126">
        <v>3</v>
      </c>
      <c r="B737" s="25" t="s">
        <v>87</v>
      </c>
      <c r="C737" s="39">
        <v>7.99</v>
      </c>
      <c r="D737" s="50">
        <v>0.2460865709812825</v>
      </c>
      <c r="E737" s="28">
        <v>0.39934160351449322</v>
      </c>
      <c r="F737" s="51">
        <v>1.022111168455822</v>
      </c>
      <c r="G737" s="28">
        <v>0.25865151736043346</v>
      </c>
      <c r="H737" s="55" t="s">
        <v>27</v>
      </c>
      <c r="I737" s="50">
        <v>60.556380597185495</v>
      </c>
      <c r="J737">
        <f t="shared" ref="J737:J738" si="43">D737*60/I737</f>
        <v>0.2438255740067001</v>
      </c>
    </row>
    <row r="738" spans="1:10" ht="12.75" customHeight="1" x14ac:dyDescent="0.15">
      <c r="A738" s="126">
        <v>4</v>
      </c>
      <c r="B738" s="25" t="s">
        <v>88</v>
      </c>
      <c r="C738" s="39">
        <v>7.9933333333333341</v>
      </c>
      <c r="D738" s="50">
        <v>0.22415560598514661</v>
      </c>
      <c r="E738" s="28">
        <v>0.36866139606354931</v>
      </c>
      <c r="F738" s="51">
        <v>0.93805834862385318</v>
      </c>
      <c r="G738" s="28">
        <v>0.24064028141856394</v>
      </c>
      <c r="H738" s="55" t="s">
        <v>27</v>
      </c>
      <c r="I738" s="50">
        <v>59.991398085091745</v>
      </c>
      <c r="J738">
        <f t="shared" si="43"/>
        <v>0.22418774671715885</v>
      </c>
    </row>
    <row r="739" spans="1:10" ht="12.75" customHeight="1" x14ac:dyDescent="0.15">
      <c r="A739" s="126">
        <v>5</v>
      </c>
      <c r="B739" s="25" t="s">
        <v>59</v>
      </c>
      <c r="C739" s="39">
        <v>7.99</v>
      </c>
      <c r="D739" s="50">
        <v>4.0974651680670493E-2</v>
      </c>
      <c r="E739" s="28">
        <v>22.85079923954839</v>
      </c>
      <c r="F739" s="51">
        <v>4.3516302521008354E-2</v>
      </c>
      <c r="G739" s="28">
        <v>13.915523304051002</v>
      </c>
      <c r="H739" s="55" t="s">
        <v>27</v>
      </c>
      <c r="I739" s="50">
        <v>5.9284909383752749E-2</v>
      </c>
    </row>
    <row r="740" spans="1:10" ht="12.75" customHeight="1" x14ac:dyDescent="0.15">
      <c r="A740" s="126">
        <v>6</v>
      </c>
      <c r="B740" s="25" t="s">
        <v>60</v>
      </c>
      <c r="C740" s="39">
        <v>7.99</v>
      </c>
      <c r="D740" s="50">
        <v>5.3326434680518453E-2</v>
      </c>
      <c r="E740" s="28">
        <v>4.2735012078892325</v>
      </c>
      <c r="F740" s="51">
        <v>0.13012491916859126</v>
      </c>
      <c r="G740" s="28">
        <v>2.8557853870191363</v>
      </c>
      <c r="H740" s="55" t="s">
        <v>27</v>
      </c>
      <c r="I740" s="50">
        <v>6.6206856966898098E-2</v>
      </c>
    </row>
    <row r="741" spans="1:10" ht="12.75" customHeight="1" x14ac:dyDescent="0.15">
      <c r="A741" s="126">
        <v>7</v>
      </c>
      <c r="B741" s="25" t="s">
        <v>61</v>
      </c>
      <c r="C741" s="39">
        <v>7.996666666666667</v>
      </c>
      <c r="D741" s="50">
        <v>2.6294890744441468E-2</v>
      </c>
      <c r="E741" s="28">
        <v>1.0771210286579906</v>
      </c>
      <c r="F741" s="51">
        <v>7.5516984761428874E-2</v>
      </c>
      <c r="G741" s="28">
        <v>0.90095478739402834</v>
      </c>
      <c r="H741" s="55" t="s">
        <v>27</v>
      </c>
      <c r="I741" s="50">
        <v>0.12247340861437273</v>
      </c>
    </row>
    <row r="742" spans="1:10" ht="12.75" customHeight="1" x14ac:dyDescent="0.15">
      <c r="A742" s="126">
        <v>8</v>
      </c>
      <c r="B742" s="25" t="s">
        <v>62</v>
      </c>
      <c r="C742" s="39">
        <v>8.0033333333333339</v>
      </c>
      <c r="D742" s="50">
        <v>2.8426800094162319E-2</v>
      </c>
      <c r="E742" s="28">
        <v>1.0713267925901073</v>
      </c>
      <c r="F742" s="51">
        <v>0.10527973805855162</v>
      </c>
      <c r="G742" s="28">
        <v>0.9936903440392294</v>
      </c>
      <c r="H742" s="55" t="s">
        <v>27</v>
      </c>
      <c r="I742" s="50">
        <v>9.598185279917848E-2</v>
      </c>
    </row>
    <row r="743" spans="1:10" ht="12.75" customHeight="1" x14ac:dyDescent="0.15">
      <c r="A743" s="126">
        <v>9</v>
      </c>
      <c r="B743" s="25" t="s">
        <v>59</v>
      </c>
      <c r="C743" s="39">
        <v>8.0033333333333339</v>
      </c>
      <c r="D743" s="50">
        <v>4.5455429778846201E-2</v>
      </c>
      <c r="E743" s="28">
        <v>20.970531171009469</v>
      </c>
      <c r="F743" s="51">
        <v>4.3499273301737862E-2</v>
      </c>
      <c r="G743" s="28">
        <v>11.876635767384881</v>
      </c>
      <c r="H743" s="55" t="s">
        <v>27</v>
      </c>
      <c r="I743" s="50">
        <v>6.6867244418114868E-2</v>
      </c>
    </row>
    <row r="744" spans="1:10" ht="12.75" customHeight="1" x14ac:dyDescent="0.15">
      <c r="A744" s="126">
        <v>10</v>
      </c>
      <c r="B744" s="25" t="s">
        <v>63</v>
      </c>
      <c r="C744" s="39">
        <v>8.0066666666666677</v>
      </c>
      <c r="D744" s="50">
        <v>6.5158666666666587E-2</v>
      </c>
      <c r="E744" s="28">
        <v>9.797398749432821</v>
      </c>
      <c r="F744" s="51">
        <v>0.20655215999999998</v>
      </c>
      <c r="G744" s="28">
        <v>11.315961479109436</v>
      </c>
      <c r="H744" s="55" t="s">
        <v>27</v>
      </c>
      <c r="I744" s="50">
        <v>7.8765377866665265E-2</v>
      </c>
    </row>
    <row r="745" spans="1:10" ht="12.75" customHeight="1" x14ac:dyDescent="0.15">
      <c r="A745" s="126">
        <v>11</v>
      </c>
      <c r="B745" s="25" t="s">
        <v>64</v>
      </c>
      <c r="C745" s="39">
        <v>8.0066666666666677</v>
      </c>
      <c r="D745" s="50">
        <v>6.26793034709755E-2</v>
      </c>
      <c r="E745" s="28">
        <v>12.863440204890166</v>
      </c>
      <c r="F745" s="51">
        <v>0.22395636265709162</v>
      </c>
      <c r="G745" s="28">
        <v>12.980944252698356</v>
      </c>
      <c r="H745" s="55" t="s">
        <v>27</v>
      </c>
      <c r="I745" s="50">
        <v>7.177782721124859E-2</v>
      </c>
    </row>
    <row r="746" spans="1:10" ht="12.75" customHeight="1" x14ac:dyDescent="0.15">
      <c r="A746" s="126">
        <v>12</v>
      </c>
      <c r="B746" s="25" t="s">
        <v>65</v>
      </c>
      <c r="C746" s="39">
        <v>8.0066666666666677</v>
      </c>
      <c r="D746" s="50">
        <v>5.5903861519100095E-2</v>
      </c>
      <c r="E746" s="28">
        <v>3.6077639861283171</v>
      </c>
      <c r="F746" s="51">
        <v>0.19429509920047383</v>
      </c>
      <c r="G746" s="28">
        <v>2.2644983236749594</v>
      </c>
      <c r="H746" s="55" t="s">
        <v>27</v>
      </c>
      <c r="I746" s="50">
        <v>1.0162091069687109</v>
      </c>
    </row>
    <row r="747" spans="1:10" ht="12.75" customHeight="1" x14ac:dyDescent="0.15">
      <c r="A747" s="126">
        <v>13</v>
      </c>
      <c r="B747" s="25" t="s">
        <v>66</v>
      </c>
      <c r="C747" s="39">
        <v>8.01</v>
      </c>
      <c r="D747" s="50">
        <v>0.11489226949028541</v>
      </c>
      <c r="E747" s="28">
        <v>14.496834759215119</v>
      </c>
      <c r="F747" s="51">
        <v>0.20741742908715832</v>
      </c>
      <c r="G747" s="28">
        <v>7.4843188406956349</v>
      </c>
      <c r="H747" s="55" t="s">
        <v>27</v>
      </c>
      <c r="I747" s="50">
        <v>5.0377216666666724E-2</v>
      </c>
    </row>
    <row r="748" spans="1:10" ht="12.75" customHeight="1" x14ac:dyDescent="0.15">
      <c r="A748" s="126">
        <v>14</v>
      </c>
      <c r="B748" s="25" t="s">
        <v>67</v>
      </c>
      <c r="C748" s="39">
        <v>8.0133333333333336</v>
      </c>
      <c r="D748" s="50">
        <v>5.965055849191736E-2</v>
      </c>
      <c r="E748" s="28">
        <v>7.4479294086804115</v>
      </c>
      <c r="F748" s="51">
        <v>0.20473403928790668</v>
      </c>
      <c r="G748" s="28">
        <v>7.0796701140082492</v>
      </c>
      <c r="H748" s="55" t="s">
        <v>27</v>
      </c>
      <c r="I748" s="50">
        <v>3.7888999999999728E-2</v>
      </c>
    </row>
    <row r="749" spans="1:10" ht="12.75" customHeight="1" x14ac:dyDescent="0.15">
      <c r="A749" s="126">
        <v>15</v>
      </c>
      <c r="B749" s="25" t="s">
        <v>85</v>
      </c>
      <c r="C749" s="39">
        <v>8.0066666666666677</v>
      </c>
      <c r="D749" s="50">
        <v>0.12190540632624514</v>
      </c>
      <c r="E749" s="28">
        <v>6.5828470992628052</v>
      </c>
      <c r="F749" s="51">
        <v>0.11282160683164855</v>
      </c>
      <c r="G749" s="28">
        <v>3.6251237801037393</v>
      </c>
      <c r="H749" s="55" t="s">
        <v>27</v>
      </c>
      <c r="I749" s="50">
        <v>0.28603644460322941</v>
      </c>
    </row>
    <row r="750" spans="1:10" ht="12.75" customHeight="1" x14ac:dyDescent="0.15">
      <c r="A750" s="126">
        <v>16</v>
      </c>
      <c r="B750" s="25" t="s">
        <v>85</v>
      </c>
      <c r="C750" s="39">
        <v>7.9766666666666675</v>
      </c>
      <c r="D750" s="50">
        <v>2.0186917320860087E-2</v>
      </c>
      <c r="E750" s="28">
        <v>11.063660557842024</v>
      </c>
      <c r="F750" s="51">
        <v>3.840267457781843E-2</v>
      </c>
      <c r="G750" s="28">
        <v>11.810032451005785</v>
      </c>
      <c r="H750" s="55" t="s">
        <v>27</v>
      </c>
      <c r="I750" s="50">
        <v>5.7229369047616885E-2</v>
      </c>
    </row>
    <row r="751" spans="1:10" ht="12.75" customHeight="1" x14ac:dyDescent="0.15">
      <c r="A751" s="126">
        <v>17</v>
      </c>
      <c r="B751" s="25" t="s">
        <v>85</v>
      </c>
      <c r="C751" s="39">
        <v>7.9866666666666672</v>
      </c>
      <c r="D751" s="50">
        <v>2.0641408805604278E-2</v>
      </c>
      <c r="E751" s="28">
        <v>12.101581152997893</v>
      </c>
      <c r="F751" s="51">
        <v>3.7890557586837348E-2</v>
      </c>
      <c r="G751" s="28">
        <v>12.177012678886006</v>
      </c>
      <c r="H751" s="55" t="s">
        <v>27</v>
      </c>
      <c r="I751" s="50">
        <v>4.6151283348567551E-2</v>
      </c>
    </row>
    <row r="752" spans="1:10" ht="12.75" customHeight="1" x14ac:dyDescent="0.15">
      <c r="A752" s="126">
        <v>18</v>
      </c>
      <c r="B752" s="25" t="s">
        <v>87</v>
      </c>
      <c r="C752" s="39">
        <v>8.0166666666666675</v>
      </c>
      <c r="D752" s="50">
        <v>0.27102041751897199</v>
      </c>
      <c r="E752" s="28">
        <v>0.45639301597241411</v>
      </c>
      <c r="F752" s="51">
        <v>1.0931466690017513</v>
      </c>
      <c r="G752" s="28">
        <v>0.2884311518935857</v>
      </c>
      <c r="H752" s="55" t="s">
        <v>27</v>
      </c>
      <c r="I752" s="50">
        <v>58.138214970554579</v>
      </c>
      <c r="J752">
        <f>D752*60/I752</f>
        <v>0.27969942075748605</v>
      </c>
    </row>
    <row r="753" spans="1:10" ht="12.75" customHeight="1" x14ac:dyDescent="0.15">
      <c r="A753" s="126">
        <v>19</v>
      </c>
      <c r="B753" s="25" t="s">
        <v>88</v>
      </c>
      <c r="C753" s="39">
        <v>8.0233333333333334</v>
      </c>
      <c r="D753" s="50">
        <v>0.26754063028225372</v>
      </c>
      <c r="E753" s="28">
        <v>0.44384507403088358</v>
      </c>
      <c r="F753" s="51">
        <v>1.0784050531367844</v>
      </c>
      <c r="G753" s="28">
        <v>0.2820198578855439</v>
      </c>
      <c r="H753" s="55" t="s">
        <v>27</v>
      </c>
      <c r="I753" s="50">
        <v>59.254926413747008</v>
      </c>
      <c r="J753">
        <f t="shared" ref="J753:J816" si="44">D753*60/I753</f>
        <v>0.27090469583658272</v>
      </c>
    </row>
    <row r="754" spans="1:10" ht="12.75" customHeight="1" x14ac:dyDescent="0.15">
      <c r="A754" s="126">
        <v>20</v>
      </c>
      <c r="B754" s="25" t="s">
        <v>86</v>
      </c>
      <c r="C754" s="39">
        <v>7.9833333333333334</v>
      </c>
      <c r="D754" s="50">
        <v>0.29195575160197129</v>
      </c>
      <c r="E754" s="28">
        <v>0.45113916332487625</v>
      </c>
      <c r="F754" s="51">
        <v>1.1956049306839187</v>
      </c>
      <c r="G754" s="28">
        <v>0.28948262428816951</v>
      </c>
      <c r="H754" s="55" t="s">
        <v>27</v>
      </c>
      <c r="I754" s="50">
        <v>63.739007898367269</v>
      </c>
      <c r="J754">
        <f t="shared" si="44"/>
        <v>0.27482927133177104</v>
      </c>
    </row>
    <row r="755" spans="1:10" ht="12.75" customHeight="1" x14ac:dyDescent="0.15">
      <c r="A755" s="126">
        <v>21</v>
      </c>
      <c r="B755" s="25" t="s">
        <v>85</v>
      </c>
      <c r="C755" s="39">
        <v>8.0333333333333332</v>
      </c>
      <c r="D755" s="50">
        <v>6.3873131815680551E-2</v>
      </c>
      <c r="E755" s="28">
        <v>26.687233734854942</v>
      </c>
      <c r="F755" s="51">
        <v>4.4006719692814E-2</v>
      </c>
      <c r="G755" s="28">
        <v>12.696191200470512</v>
      </c>
      <c r="H755" s="55" t="s">
        <v>27</v>
      </c>
      <c r="I755" s="50">
        <v>5.8629709434996791E-2</v>
      </c>
      <c r="J755">
        <f t="shared" si="44"/>
        <v>65.365971379916715</v>
      </c>
    </row>
    <row r="756" spans="1:10" ht="12.75" customHeight="1" x14ac:dyDescent="0.15">
      <c r="A756" s="126">
        <v>22</v>
      </c>
      <c r="B756" s="25" t="s">
        <v>89</v>
      </c>
      <c r="C756" s="39">
        <v>7.9866666666666672</v>
      </c>
      <c r="D756" s="50">
        <v>0.25488962037777974</v>
      </c>
      <c r="E756" s="28">
        <v>0.37603260625366763</v>
      </c>
      <c r="F756" s="51">
        <v>1.0122197066666667</v>
      </c>
      <c r="G756" s="28">
        <v>0.23632801812402709</v>
      </c>
      <c r="H756" s="55" t="s">
        <v>27</v>
      </c>
      <c r="I756" s="50">
        <v>66.89664388762219</v>
      </c>
      <c r="J756">
        <f t="shared" si="44"/>
        <v>0.22861202496731678</v>
      </c>
    </row>
    <row r="757" spans="1:10" ht="12.75" customHeight="1" x14ac:dyDescent="0.15">
      <c r="A757" s="126">
        <v>23</v>
      </c>
      <c r="B757" s="25" t="s">
        <v>90</v>
      </c>
      <c r="C757" s="39">
        <v>7.99</v>
      </c>
      <c r="D757" s="50">
        <v>0.23744097512376472</v>
      </c>
      <c r="E757" s="28">
        <v>0.36459477882049363</v>
      </c>
      <c r="F757" s="51">
        <v>0.94169773514851496</v>
      </c>
      <c r="G757" s="28">
        <v>0.22792642784764758</v>
      </c>
      <c r="H757" s="55" t="s">
        <v>27</v>
      </c>
      <c r="I757" s="50">
        <v>64.292652151897741</v>
      </c>
      <c r="J757">
        <f t="shared" si="44"/>
        <v>0.22158766251806222</v>
      </c>
    </row>
    <row r="758" spans="1:10" ht="12.75" customHeight="1" x14ac:dyDescent="0.15">
      <c r="A758" s="126">
        <v>24</v>
      </c>
      <c r="B758" s="25" t="s">
        <v>91</v>
      </c>
      <c r="C758" s="39">
        <v>7.99</v>
      </c>
      <c r="D758" s="50">
        <v>0.2629967506373484</v>
      </c>
      <c r="E758" s="28">
        <v>0.36787165424749563</v>
      </c>
      <c r="F758" s="51">
        <v>1.0715917208413002</v>
      </c>
      <c r="G758" s="28">
        <v>0.23988332803055198</v>
      </c>
      <c r="H758" s="55" t="s">
        <v>27</v>
      </c>
      <c r="I758" s="50">
        <v>70.558985876059566</v>
      </c>
      <c r="J758">
        <f t="shared" si="44"/>
        <v>0.22363990698447581</v>
      </c>
    </row>
    <row r="759" spans="1:10" ht="12.75" customHeight="1" x14ac:dyDescent="0.15">
      <c r="A759" s="126">
        <v>25</v>
      </c>
      <c r="B759" s="25" t="s">
        <v>92</v>
      </c>
      <c r="C759" s="39">
        <v>7.99</v>
      </c>
      <c r="D759" s="50">
        <v>0.23440213787878705</v>
      </c>
      <c r="E759" s="28">
        <v>0.36644465995199771</v>
      </c>
      <c r="F759" s="51">
        <v>0.919628475378788</v>
      </c>
      <c r="G759" s="28">
        <v>0.22649417922642093</v>
      </c>
      <c r="H759" s="55" t="s">
        <v>27</v>
      </c>
      <c r="I759" s="50">
        <v>63.136728161916054</v>
      </c>
      <c r="J759">
        <f t="shared" si="44"/>
        <v>0.2227566850892137</v>
      </c>
    </row>
    <row r="760" spans="1:10" ht="12.75" customHeight="1" x14ac:dyDescent="0.15">
      <c r="A760" s="126">
        <v>26</v>
      </c>
      <c r="B760" s="25" t="s">
        <v>93</v>
      </c>
      <c r="C760" s="39">
        <v>7.9933333333333341</v>
      </c>
      <c r="D760" s="50">
        <v>0.24543263015676708</v>
      </c>
      <c r="E760" s="28">
        <v>0.36851003264659227</v>
      </c>
      <c r="F760" s="51">
        <v>0.97070364480198024</v>
      </c>
      <c r="G760" s="28">
        <v>0.23134348720704612</v>
      </c>
      <c r="H760" s="55" t="s">
        <v>27</v>
      </c>
      <c r="I760" s="50">
        <v>65.753312757466972</v>
      </c>
      <c r="J760">
        <f t="shared" si="44"/>
        <v>0.22395765615221783</v>
      </c>
    </row>
    <row r="761" spans="1:10" ht="12.75" customHeight="1" x14ac:dyDescent="0.15">
      <c r="A761" s="126">
        <v>27</v>
      </c>
      <c r="B761" s="25" t="s">
        <v>94</v>
      </c>
      <c r="C761" s="39">
        <v>7.9933333333333341</v>
      </c>
      <c r="D761" s="50">
        <v>0.23305872083333301</v>
      </c>
      <c r="E761" s="28">
        <v>0.36281674268650049</v>
      </c>
      <c r="F761" s="51">
        <v>0.91685562500000006</v>
      </c>
      <c r="G761" s="28">
        <v>0.22508678809345539</v>
      </c>
      <c r="H761" s="55" t="s">
        <v>27</v>
      </c>
      <c r="I761" s="50">
        <v>63.425098809374994</v>
      </c>
      <c r="J761">
        <f t="shared" si="44"/>
        <v>0.22047302270710922</v>
      </c>
    </row>
    <row r="762" spans="1:10" ht="12.75" customHeight="1" x14ac:dyDescent="0.15">
      <c r="A762" s="126">
        <v>28</v>
      </c>
      <c r="B762" s="25" t="s">
        <v>95</v>
      </c>
      <c r="C762" s="39">
        <v>7.9933333333333341</v>
      </c>
      <c r="D762" s="50">
        <v>0.2437386382872273</v>
      </c>
      <c r="E762" s="28">
        <v>0.35625116938006229</v>
      </c>
      <c r="F762" s="51">
        <v>0.99329070629782235</v>
      </c>
      <c r="G762" s="28">
        <v>0.23163462087729433</v>
      </c>
      <c r="H762" s="55" t="s">
        <v>27</v>
      </c>
      <c r="I762" s="50">
        <v>67.552395389219171</v>
      </c>
      <c r="J762">
        <f t="shared" si="44"/>
        <v>0.21648852291576273</v>
      </c>
    </row>
    <row r="763" spans="1:10" ht="12.75" customHeight="1" x14ac:dyDescent="0.15">
      <c r="A763" s="126">
        <v>29</v>
      </c>
      <c r="B763" s="25" t="s">
        <v>96</v>
      </c>
      <c r="C763" s="39">
        <v>7.9933333333333341</v>
      </c>
      <c r="D763" s="50">
        <v>0.23624057875080462</v>
      </c>
      <c r="E763" s="28">
        <v>0.36374941867761662</v>
      </c>
      <c r="F763" s="51">
        <v>0.93572733419188681</v>
      </c>
      <c r="G763" s="28">
        <v>0.22811911756643288</v>
      </c>
      <c r="H763" s="55" t="s">
        <v>27</v>
      </c>
      <c r="I763" s="50">
        <v>64.131110996801894</v>
      </c>
      <c r="J763">
        <f t="shared" si="44"/>
        <v>0.22102275330541415</v>
      </c>
    </row>
    <row r="764" spans="1:10" ht="12.75" customHeight="1" x14ac:dyDescent="0.15">
      <c r="A764" s="126">
        <v>30</v>
      </c>
      <c r="B764" s="25" t="s">
        <v>97</v>
      </c>
      <c r="C764" s="39">
        <v>7.99</v>
      </c>
      <c r="D764" s="50">
        <v>0.25131378121709813</v>
      </c>
      <c r="E764" s="28">
        <v>0.35880490905561024</v>
      </c>
      <c r="F764" s="51">
        <v>1.0309749968414406</v>
      </c>
      <c r="G764" s="28">
        <v>0.23543437822269925</v>
      </c>
      <c r="H764" s="55" t="s">
        <v>27</v>
      </c>
      <c r="I764" s="50">
        <v>69.155521096757155</v>
      </c>
      <c r="J764">
        <f t="shared" si="44"/>
        <v>0.21804227101302204</v>
      </c>
    </row>
    <row r="765" spans="1:10" ht="12.75" customHeight="1" x14ac:dyDescent="0.15">
      <c r="A765" s="126">
        <v>31</v>
      </c>
      <c r="B765" s="25" t="s">
        <v>98</v>
      </c>
      <c r="C765" s="39">
        <v>7.9933333333333341</v>
      </c>
      <c r="D765" s="50">
        <v>0.23437861530487802</v>
      </c>
      <c r="E765" s="28">
        <v>0.35414008301785027</v>
      </c>
      <c r="F765" s="51">
        <v>0.95339557317073176</v>
      </c>
      <c r="G765" s="28">
        <v>0.22865255470043411</v>
      </c>
      <c r="H765" s="55" t="s">
        <v>27</v>
      </c>
      <c r="I765" s="50">
        <v>65.337947505020324</v>
      </c>
      <c r="J765">
        <f t="shared" si="44"/>
        <v>0.21523046644849311</v>
      </c>
    </row>
    <row r="766" spans="1:10" ht="12.75" customHeight="1" x14ac:dyDescent="0.15">
      <c r="A766" s="126">
        <v>32</v>
      </c>
      <c r="B766" s="25" t="s">
        <v>99</v>
      </c>
      <c r="C766" s="39">
        <v>7.9933333333333341</v>
      </c>
      <c r="D766" s="50">
        <v>0.22365838805031446</v>
      </c>
      <c r="E766" s="28">
        <v>0.35338499335040874</v>
      </c>
      <c r="F766" s="51">
        <v>0.91083124528301895</v>
      </c>
      <c r="G766" s="28">
        <v>0.22730264934810096</v>
      </c>
      <c r="H766" s="55" t="s">
        <v>27</v>
      </c>
      <c r="I766" s="50">
        <v>62.489516211383659</v>
      </c>
      <c r="J766">
        <f t="shared" si="44"/>
        <v>0.21474807450300357</v>
      </c>
    </row>
    <row r="767" spans="1:10" ht="12.75" customHeight="1" x14ac:dyDescent="0.15">
      <c r="A767" s="126">
        <v>33</v>
      </c>
      <c r="B767" s="25" t="s">
        <v>100</v>
      </c>
      <c r="C767" s="39">
        <v>7.9933333333333341</v>
      </c>
      <c r="D767" s="50">
        <v>0.22800890136986307</v>
      </c>
      <c r="E767" s="28">
        <v>0.35154891773533975</v>
      </c>
      <c r="F767" s="51">
        <v>0.9293148567870485</v>
      </c>
      <c r="G767" s="28">
        <v>0.22708159413802301</v>
      </c>
      <c r="H767" s="55" t="s">
        <v>27</v>
      </c>
      <c r="I767" s="50">
        <v>64.038966777314286</v>
      </c>
      <c r="J767">
        <f t="shared" si="44"/>
        <v>0.21362827619882982</v>
      </c>
    </row>
    <row r="768" spans="1:10" ht="12.75" customHeight="1" x14ac:dyDescent="0.15">
      <c r="A768" s="126">
        <v>34</v>
      </c>
      <c r="B768" s="25" t="s">
        <v>101</v>
      </c>
      <c r="C768" s="39">
        <v>7.9933333333333341</v>
      </c>
      <c r="D768" s="50">
        <v>0.21710447685313583</v>
      </c>
      <c r="E768" s="28">
        <v>0.36562732435812045</v>
      </c>
      <c r="F768" s="51">
        <v>0.8405345908460472</v>
      </c>
      <c r="G768" s="28">
        <v>0.22174837573970851</v>
      </c>
      <c r="H768" s="55" t="s">
        <v>27</v>
      </c>
      <c r="I768" s="50">
        <v>58.317270811257515</v>
      </c>
      <c r="J768">
        <f t="shared" si="44"/>
        <v>0.22336896823151009</v>
      </c>
    </row>
    <row r="769" spans="1:10" ht="12.75" customHeight="1" x14ac:dyDescent="0.15">
      <c r="A769" s="126">
        <v>35</v>
      </c>
      <c r="B769" s="25" t="s">
        <v>102</v>
      </c>
      <c r="C769" s="39">
        <v>7.9933333333333341</v>
      </c>
      <c r="D769" s="50">
        <v>0.21071810328841889</v>
      </c>
      <c r="E769" s="28">
        <v>0.36235826118648284</v>
      </c>
      <c r="F769" s="51">
        <v>0.81649132820019266</v>
      </c>
      <c r="G769" s="28">
        <v>0.2194670844024082</v>
      </c>
      <c r="H769" s="55" t="s">
        <v>27</v>
      </c>
      <c r="I769" s="50">
        <v>57.08700795660895</v>
      </c>
      <c r="J769">
        <f t="shared" si="44"/>
        <v>0.22147046499467918</v>
      </c>
    </row>
    <row r="770" spans="1:10" ht="12.75" customHeight="1" x14ac:dyDescent="0.15">
      <c r="A770" s="126">
        <v>36</v>
      </c>
      <c r="B770" s="25" t="s">
        <v>103</v>
      </c>
      <c r="C770" s="39">
        <v>7.9933333333333341</v>
      </c>
      <c r="D770" s="50">
        <v>0.22145818507474524</v>
      </c>
      <c r="E770" s="28">
        <v>0.36502280181694369</v>
      </c>
      <c r="F770" s="51">
        <v>0.85959653148854975</v>
      </c>
      <c r="G770" s="28">
        <v>0.22283120032455214</v>
      </c>
      <c r="H770" s="55" t="s">
        <v>27</v>
      </c>
      <c r="I770" s="50">
        <v>59.570339434128485</v>
      </c>
      <c r="J770">
        <f t="shared" si="44"/>
        <v>0.22305548752458795</v>
      </c>
    </row>
    <row r="771" spans="1:10" ht="12.75" customHeight="1" x14ac:dyDescent="0.15">
      <c r="A771" s="126">
        <v>37</v>
      </c>
      <c r="B771" s="25" t="s">
        <v>104</v>
      </c>
      <c r="C771" s="39">
        <v>7.996666666666667</v>
      </c>
      <c r="D771" s="50">
        <v>0.21781032127193045</v>
      </c>
      <c r="E771" s="28">
        <v>0.35045226899457566</v>
      </c>
      <c r="F771" s="51">
        <v>0.88804457236842116</v>
      </c>
      <c r="G771" s="28">
        <v>0.22522608089700033</v>
      </c>
      <c r="H771" s="55" t="s">
        <v>27</v>
      </c>
      <c r="I771" s="50">
        <v>61.06775875833339</v>
      </c>
      <c r="J771">
        <f t="shared" si="44"/>
        <v>0.21400194705086448</v>
      </c>
    </row>
    <row r="772" spans="1:10" ht="12.75" customHeight="1" x14ac:dyDescent="0.15">
      <c r="A772" s="126">
        <v>38</v>
      </c>
      <c r="B772" s="25" t="s">
        <v>105</v>
      </c>
      <c r="C772" s="39">
        <v>7.996666666666667</v>
      </c>
      <c r="D772" s="50">
        <v>0.21774771123258796</v>
      </c>
      <c r="E772" s="28">
        <v>0.35448379680512004</v>
      </c>
      <c r="F772" s="51">
        <v>0.88150727891156466</v>
      </c>
      <c r="G772" s="28">
        <v>0.22571976605855038</v>
      </c>
      <c r="H772" s="55" t="s">
        <v>27</v>
      </c>
      <c r="I772" s="50">
        <v>60.323377152575297</v>
      </c>
      <c r="J772">
        <f t="shared" si="44"/>
        <v>0.21658042521244217</v>
      </c>
    </row>
    <row r="773" spans="1:10" ht="12.75" customHeight="1" x14ac:dyDescent="0.15">
      <c r="A773" s="126">
        <v>39</v>
      </c>
      <c r="B773" s="25" t="s">
        <v>106</v>
      </c>
      <c r="C773" s="39">
        <v>7.9933333333333341</v>
      </c>
      <c r="D773" s="50">
        <v>0.1825372703045689</v>
      </c>
      <c r="E773" s="28">
        <v>0.34121035226436663</v>
      </c>
      <c r="F773" s="51">
        <v>0.73703890862944166</v>
      </c>
      <c r="G773" s="28">
        <v>0.21374005130513543</v>
      </c>
      <c r="H773" s="55" t="s">
        <v>27</v>
      </c>
      <c r="I773" s="50">
        <v>52.552244868591423</v>
      </c>
      <c r="J773">
        <f t="shared" si="44"/>
        <v>0.20840662935828055</v>
      </c>
    </row>
    <row r="774" spans="1:10" ht="12.75" customHeight="1" x14ac:dyDescent="0.15">
      <c r="A774" s="126">
        <v>40</v>
      </c>
      <c r="B774" s="25" t="s">
        <v>107</v>
      </c>
      <c r="C774" s="39">
        <v>7.996666666666667</v>
      </c>
      <c r="D774" s="50">
        <v>0.21065954017857091</v>
      </c>
      <c r="E774" s="28">
        <v>0.3506674668120518</v>
      </c>
      <c r="F774" s="51">
        <v>0.84797696428571423</v>
      </c>
      <c r="G774" s="28">
        <v>0.2213006107538549</v>
      </c>
      <c r="H774" s="55" t="s">
        <v>27</v>
      </c>
      <c r="I774" s="50">
        <v>58.956417335714264</v>
      </c>
      <c r="J774">
        <f t="shared" si="44"/>
        <v>0.21438840726601496</v>
      </c>
    </row>
    <row r="775" spans="1:10" ht="12.75" customHeight="1" x14ac:dyDescent="0.15">
      <c r="A775" s="126">
        <v>41</v>
      </c>
      <c r="B775" s="25" t="s">
        <v>108</v>
      </c>
      <c r="C775" s="39">
        <v>7.996666666666667</v>
      </c>
      <c r="D775" s="50">
        <v>0.21723068000925505</v>
      </c>
      <c r="E775" s="28">
        <v>0.35279239027564913</v>
      </c>
      <c r="F775" s="51">
        <v>0.87664024062933821</v>
      </c>
      <c r="G775" s="28">
        <v>0.22396601361886498</v>
      </c>
      <c r="H775" s="55" t="s">
        <v>27</v>
      </c>
      <c r="I775" s="50">
        <v>60.441143155020875</v>
      </c>
      <c r="J775">
        <f t="shared" si="44"/>
        <v>0.2156451734727419</v>
      </c>
    </row>
    <row r="776" spans="1:10" ht="12.75" customHeight="1" x14ac:dyDescent="0.15">
      <c r="A776" s="126">
        <v>42</v>
      </c>
      <c r="B776" s="25" t="s">
        <v>109</v>
      </c>
      <c r="C776" s="39">
        <v>7.996666666666667</v>
      </c>
      <c r="D776" s="50">
        <v>0.21463159327868875</v>
      </c>
      <c r="E776" s="28">
        <v>0.35098638061562554</v>
      </c>
      <c r="F776" s="51">
        <v>0.86600173770491817</v>
      </c>
      <c r="G776" s="28">
        <v>0.22269725787329908</v>
      </c>
      <c r="H776" s="55" t="s">
        <v>27</v>
      </c>
      <c r="I776" s="50">
        <v>60.019100703005471</v>
      </c>
      <c r="J776">
        <f t="shared" si="44"/>
        <v>0.21456328811798511</v>
      </c>
    </row>
    <row r="777" spans="1:10" ht="12.75" customHeight="1" x14ac:dyDescent="0.15">
      <c r="A777" s="126">
        <v>43</v>
      </c>
      <c r="B777" s="25" t="s">
        <v>110</v>
      </c>
      <c r="C777" s="39">
        <v>7.996666666666667</v>
      </c>
      <c r="D777" s="50">
        <v>0.18655783723974473</v>
      </c>
      <c r="E777" s="28">
        <v>0.34747608653604728</v>
      </c>
      <c r="F777" s="51">
        <v>0.75148656771799627</v>
      </c>
      <c r="G777" s="28">
        <v>0.21725022686124848</v>
      </c>
      <c r="H777" s="55" t="s">
        <v>27</v>
      </c>
      <c r="I777" s="50">
        <v>52.753525116563601</v>
      </c>
      <c r="J777">
        <f t="shared" si="44"/>
        <v>0.21218430824578483</v>
      </c>
    </row>
    <row r="778" spans="1:10" ht="12.75" customHeight="1" x14ac:dyDescent="0.15">
      <c r="A778" s="126">
        <v>44</v>
      </c>
      <c r="B778" s="25" t="s">
        <v>111</v>
      </c>
      <c r="C778" s="39">
        <v>7.996666666666667</v>
      </c>
      <c r="D778" s="50">
        <v>0.21601890821710168</v>
      </c>
      <c r="E778" s="28">
        <v>0.35062083310108905</v>
      </c>
      <c r="F778" s="51">
        <v>0.87858566403881144</v>
      </c>
      <c r="G778" s="28">
        <v>0.22460161984400565</v>
      </c>
      <c r="H778" s="55" t="s">
        <v>27</v>
      </c>
      <c r="I778" s="50">
        <v>60.537405023923625</v>
      </c>
      <c r="J778">
        <f t="shared" si="44"/>
        <v>0.21410125670077901</v>
      </c>
    </row>
    <row r="779" spans="1:10" ht="12.75" customHeight="1" x14ac:dyDescent="0.15">
      <c r="A779" s="126">
        <v>45</v>
      </c>
      <c r="B779" s="25" t="s">
        <v>112</v>
      </c>
      <c r="C779" s="39">
        <v>7.996666666666667</v>
      </c>
      <c r="D779" s="50">
        <v>0.211742343525403</v>
      </c>
      <c r="E779" s="28">
        <v>0.35247586085471899</v>
      </c>
      <c r="F779" s="51">
        <v>0.85304303903345724</v>
      </c>
      <c r="G779" s="28">
        <v>0.22270968654797077</v>
      </c>
      <c r="H779" s="55" t="s">
        <v>27</v>
      </c>
      <c r="I779" s="50">
        <v>58.97785507537175</v>
      </c>
      <c r="J779">
        <f t="shared" si="44"/>
        <v>0.21541204906974318</v>
      </c>
    </row>
    <row r="780" spans="1:10" ht="12.75" customHeight="1" x14ac:dyDescent="0.15">
      <c r="A780" s="126">
        <v>46</v>
      </c>
      <c r="B780" s="25" t="s">
        <v>113</v>
      </c>
      <c r="C780" s="39">
        <v>7.996666666666667</v>
      </c>
      <c r="D780" s="50">
        <v>0.20869366537216838</v>
      </c>
      <c r="E780" s="28">
        <v>0.35370765441634755</v>
      </c>
      <c r="F780" s="51">
        <v>0.84188355987055019</v>
      </c>
      <c r="G780" s="28">
        <v>0.22356703324285665</v>
      </c>
      <c r="H780" s="55" t="s">
        <v>27</v>
      </c>
      <c r="I780" s="50">
        <v>58.102414011450158</v>
      </c>
      <c r="J780">
        <f t="shared" si="44"/>
        <v>0.21550946092984166</v>
      </c>
    </row>
    <row r="781" spans="1:10" ht="12.75" customHeight="1" x14ac:dyDescent="0.15">
      <c r="A781" s="126">
        <v>47</v>
      </c>
      <c r="B781" s="25" t="s">
        <v>114</v>
      </c>
      <c r="C781" s="39">
        <v>8</v>
      </c>
      <c r="D781" s="50">
        <v>0.21937907810457458</v>
      </c>
      <c r="E781" s="28">
        <v>0.35947128981153287</v>
      </c>
      <c r="F781" s="51">
        <v>0.8794504944586532</v>
      </c>
      <c r="G781" s="28">
        <v>0.22754181493921802</v>
      </c>
      <c r="H781" s="55" t="s">
        <v>27</v>
      </c>
      <c r="I781" s="50">
        <v>60.103360634271141</v>
      </c>
      <c r="J781">
        <f t="shared" si="44"/>
        <v>0.21900180867372387</v>
      </c>
    </row>
    <row r="782" spans="1:10" ht="12.75" customHeight="1" x14ac:dyDescent="0.15">
      <c r="A782" s="126">
        <v>48</v>
      </c>
      <c r="B782" s="25" t="s">
        <v>115</v>
      </c>
      <c r="C782" s="39">
        <v>8</v>
      </c>
      <c r="D782" s="50">
        <v>0.23411462843137243</v>
      </c>
      <c r="E782" s="28">
        <v>0.3728452000737727</v>
      </c>
      <c r="F782" s="51">
        <v>0.94008067281814689</v>
      </c>
      <c r="G782" s="28">
        <v>0.23663156396420126</v>
      </c>
      <c r="H782" s="55" t="s">
        <v>27</v>
      </c>
      <c r="I782" s="50">
        <v>61.815249343156488</v>
      </c>
      <c r="J782">
        <f t="shared" si="44"/>
        <v>0.22723968365643199</v>
      </c>
    </row>
    <row r="783" spans="1:10" ht="12.75" customHeight="1" x14ac:dyDescent="0.15">
      <c r="A783" s="126">
        <v>49</v>
      </c>
      <c r="B783" s="25" t="s">
        <v>116</v>
      </c>
      <c r="C783" s="39">
        <v>8</v>
      </c>
      <c r="D783" s="50">
        <v>0.21177761603624945</v>
      </c>
      <c r="E783" s="28">
        <v>0.35894493792880899</v>
      </c>
      <c r="F783" s="51">
        <v>0.84471652482269521</v>
      </c>
      <c r="G783" s="28">
        <v>0.22503790414487124</v>
      </c>
      <c r="H783" s="55" t="s">
        <v>27</v>
      </c>
      <c r="I783" s="50">
        <v>58.072261120856297</v>
      </c>
      <c r="J783">
        <f t="shared" si="44"/>
        <v>0.21880768402888054</v>
      </c>
    </row>
    <row r="784" spans="1:10" ht="12.75" customHeight="1" x14ac:dyDescent="0.15">
      <c r="A784" s="126">
        <v>50</v>
      </c>
      <c r="B784" s="25" t="s">
        <v>117</v>
      </c>
      <c r="C784" s="39">
        <v>8.0033333333333339</v>
      </c>
      <c r="D784" s="50">
        <v>0.23473001871938948</v>
      </c>
      <c r="E784" s="28">
        <v>0.36271388250349434</v>
      </c>
      <c r="F784" s="51">
        <v>0.94340812445980993</v>
      </c>
      <c r="G784" s="28">
        <v>0.23138217282854878</v>
      </c>
      <c r="H784" s="55" t="s">
        <v>27</v>
      </c>
      <c r="I784" s="50">
        <v>63.70435412129796</v>
      </c>
      <c r="J784">
        <f t="shared" si="44"/>
        <v>0.22108066736453735</v>
      </c>
    </row>
    <row r="785" spans="1:10" ht="12.75" customHeight="1" x14ac:dyDescent="0.15">
      <c r="A785" s="126">
        <v>51</v>
      </c>
      <c r="B785" s="25" t="s">
        <v>2</v>
      </c>
      <c r="C785" s="39">
        <v>8</v>
      </c>
      <c r="D785" s="50">
        <v>0.23274534477646458</v>
      </c>
      <c r="E785" s="28">
        <v>0.36965708957379839</v>
      </c>
      <c r="F785" s="51">
        <v>0.93151077831827667</v>
      </c>
      <c r="G785" s="28">
        <v>0.23400080348863841</v>
      </c>
      <c r="H785" s="55" t="s">
        <v>27</v>
      </c>
      <c r="I785" s="50">
        <v>61.957858689494955</v>
      </c>
      <c r="J785">
        <f t="shared" si="44"/>
        <v>0.22539062811342145</v>
      </c>
    </row>
    <row r="786" spans="1:10" ht="12.75" customHeight="1" x14ac:dyDescent="0.15">
      <c r="A786" s="126">
        <v>52</v>
      </c>
      <c r="B786" s="25" t="s">
        <v>118</v>
      </c>
      <c r="C786" s="39">
        <v>8</v>
      </c>
      <c r="D786" s="50">
        <v>0.21184980316780888</v>
      </c>
      <c r="E786" s="28">
        <v>0.35847527844362642</v>
      </c>
      <c r="F786" s="51">
        <v>0.84814583904109586</v>
      </c>
      <c r="G786" s="28">
        <v>0.2257987223998337</v>
      </c>
      <c r="H786" s="55" t="s">
        <v>27</v>
      </c>
      <c r="I786" s="50">
        <v>58.164371542037706</v>
      </c>
      <c r="J786">
        <f t="shared" si="44"/>
        <v>0.21853564051460259</v>
      </c>
    </row>
    <row r="787" spans="1:10" ht="12.75" customHeight="1" x14ac:dyDescent="0.15">
      <c r="A787" s="126">
        <v>53</v>
      </c>
      <c r="B787" s="25" t="s">
        <v>119</v>
      </c>
      <c r="C787" s="39">
        <v>8.0033333333333339</v>
      </c>
      <c r="D787" s="50">
        <v>0.22870120486507661</v>
      </c>
      <c r="E787" s="28">
        <v>0.36774524134649622</v>
      </c>
      <c r="F787" s="51">
        <v>0.91439544507893855</v>
      </c>
      <c r="G787" s="28">
        <v>0.23228995496727978</v>
      </c>
      <c r="H787" s="55" t="s">
        <v>27</v>
      </c>
      <c r="I787" s="50">
        <v>61.193036757877024</v>
      </c>
      <c r="J787">
        <f t="shared" si="44"/>
        <v>0.22424238146897055</v>
      </c>
    </row>
    <row r="788" spans="1:10" ht="12.75" customHeight="1" x14ac:dyDescent="0.15">
      <c r="A788" s="126">
        <v>54</v>
      </c>
      <c r="B788" s="25" t="s">
        <v>120</v>
      </c>
      <c r="C788" s="39">
        <v>8</v>
      </c>
      <c r="D788" s="50">
        <v>0.2182912032624118</v>
      </c>
      <c r="E788" s="28">
        <v>0.35940968941483026</v>
      </c>
      <c r="F788" s="51">
        <v>0.87501266150870416</v>
      </c>
      <c r="G788" s="28">
        <v>0.22720843540989585</v>
      </c>
      <c r="H788" s="55" t="s">
        <v>27</v>
      </c>
      <c r="I788" s="50">
        <v>59.779423893449362</v>
      </c>
      <c r="J788">
        <f t="shared" si="44"/>
        <v>0.21909666140459294</v>
      </c>
    </row>
    <row r="789" spans="1:10" ht="12.75" customHeight="1" x14ac:dyDescent="0.15">
      <c r="A789" s="126">
        <v>55</v>
      </c>
      <c r="B789" s="25" t="s">
        <v>121</v>
      </c>
      <c r="C789" s="39">
        <v>8</v>
      </c>
      <c r="D789" s="50">
        <v>0.2101853353729608</v>
      </c>
      <c r="E789" s="28">
        <v>0.35530040773900617</v>
      </c>
      <c r="F789" s="51">
        <v>0.83747308566433565</v>
      </c>
      <c r="G789" s="28">
        <v>0.22213967914265054</v>
      </c>
      <c r="H789" s="55" t="s">
        <v>27</v>
      </c>
      <c r="I789" s="50">
        <v>58.075391763694661</v>
      </c>
      <c r="J789">
        <f t="shared" si="44"/>
        <v>0.2171508403024047</v>
      </c>
    </row>
    <row r="790" spans="1:10" ht="12.75" customHeight="1" x14ac:dyDescent="0.15">
      <c r="A790" s="126">
        <v>56</v>
      </c>
      <c r="B790" s="25" t="s">
        <v>122</v>
      </c>
      <c r="C790" s="39">
        <v>8.0033333333333339</v>
      </c>
      <c r="D790" s="50">
        <v>0.18664340913406796</v>
      </c>
      <c r="E790" s="28">
        <v>0.35192959184173961</v>
      </c>
      <c r="F790" s="51">
        <v>0.73587475883023168</v>
      </c>
      <c r="G790" s="28">
        <v>0.21565786413407065</v>
      </c>
      <c r="H790" s="55" t="s">
        <v>27</v>
      </c>
      <c r="I790" s="50">
        <v>52.040401285846315</v>
      </c>
      <c r="J790">
        <f t="shared" si="44"/>
        <v>0.21519058791519766</v>
      </c>
    </row>
    <row r="791" spans="1:10" ht="12.75" customHeight="1" x14ac:dyDescent="0.15">
      <c r="A791" s="126">
        <v>57</v>
      </c>
      <c r="B791" s="25" t="s">
        <v>123</v>
      </c>
      <c r="C791" s="39">
        <v>8.0033333333333339</v>
      </c>
      <c r="D791" s="50">
        <v>0.22791452429653636</v>
      </c>
      <c r="E791" s="28">
        <v>0.36713264933960527</v>
      </c>
      <c r="F791" s="51">
        <v>0.90846428571428572</v>
      </c>
      <c r="G791" s="28">
        <v>0.23087360337051471</v>
      </c>
      <c r="H791" s="55" t="s">
        <v>27</v>
      </c>
      <c r="I791" s="50">
        <v>60.92476189588745</v>
      </c>
      <c r="J791">
        <f t="shared" si="44"/>
        <v>0.22445506608890439</v>
      </c>
    </row>
    <row r="792" spans="1:10" ht="12.75" customHeight="1" x14ac:dyDescent="0.15">
      <c r="A792" s="126">
        <v>58</v>
      </c>
      <c r="B792" s="25" t="s">
        <v>124</v>
      </c>
      <c r="C792" s="39">
        <v>7.9933333333333341</v>
      </c>
      <c r="D792" s="50">
        <v>0.24840506184471889</v>
      </c>
      <c r="E792" s="28">
        <v>0.37273064074940354</v>
      </c>
      <c r="F792" s="51">
        <v>0.96565920678587813</v>
      </c>
      <c r="G792" s="28">
        <v>0.23091946943057456</v>
      </c>
      <c r="H792" s="55" t="s">
        <v>27</v>
      </c>
      <c r="I792" s="50">
        <v>65.78038961231853</v>
      </c>
      <c r="J792">
        <f t="shared" si="44"/>
        <v>0.22657670163589366</v>
      </c>
    </row>
    <row r="793" spans="1:10" ht="12.75" customHeight="1" x14ac:dyDescent="0.15">
      <c r="A793" s="126">
        <v>59</v>
      </c>
      <c r="B793" s="25" t="s">
        <v>90</v>
      </c>
      <c r="C793" s="39">
        <v>7.99</v>
      </c>
      <c r="D793" s="50">
        <v>0.22652625946057148</v>
      </c>
      <c r="E793" s="28">
        <v>0.36123004652446755</v>
      </c>
      <c r="F793" s="51">
        <v>0.89800772081531821</v>
      </c>
      <c r="G793" s="28">
        <v>0.22607297442185589</v>
      </c>
      <c r="H793" s="55" t="s">
        <v>27</v>
      </c>
      <c r="I793" s="50">
        <v>61.907068385145138</v>
      </c>
      <c r="J793">
        <f t="shared" si="44"/>
        <v>0.21954804067083952</v>
      </c>
    </row>
    <row r="794" spans="1:10" ht="12.75" customHeight="1" x14ac:dyDescent="0.15">
      <c r="A794" s="126">
        <v>60</v>
      </c>
      <c r="B794" s="25" t="s">
        <v>91</v>
      </c>
      <c r="C794" s="39">
        <v>7.9866666666666672</v>
      </c>
      <c r="D794" s="50">
        <v>0.21970787758248633</v>
      </c>
      <c r="E794" s="28">
        <v>0.36748126271107778</v>
      </c>
      <c r="F794" s="51">
        <v>0.85799455134135072</v>
      </c>
      <c r="G794" s="28">
        <v>0.22549196067043428</v>
      </c>
      <c r="H794" s="55" t="s">
        <v>27</v>
      </c>
      <c r="I794" s="50">
        <v>58.998742529710171</v>
      </c>
      <c r="J794">
        <f t="shared" si="44"/>
        <v>0.22343650202901941</v>
      </c>
    </row>
    <row r="795" spans="1:10" ht="12.75" customHeight="1" x14ac:dyDescent="0.15">
      <c r="A795" s="126">
        <v>61</v>
      </c>
      <c r="B795" s="25" t="s">
        <v>92</v>
      </c>
      <c r="C795" s="39">
        <v>7.9866666666666672</v>
      </c>
      <c r="D795" s="50">
        <v>0.23381964682615675</v>
      </c>
      <c r="E795" s="28">
        <v>0.35484214508027367</v>
      </c>
      <c r="F795" s="51">
        <v>0.95512026794258376</v>
      </c>
      <c r="G795" s="28">
        <v>0.23030261840808885</v>
      </c>
      <c r="H795" s="55" t="s">
        <v>27</v>
      </c>
      <c r="I795" s="50">
        <v>65.052027330542359</v>
      </c>
      <c r="J795">
        <f t="shared" si="44"/>
        <v>0.21566090074770985</v>
      </c>
    </row>
    <row r="796" spans="1:10" ht="12.75" customHeight="1" x14ac:dyDescent="0.15">
      <c r="A796" s="126">
        <v>62</v>
      </c>
      <c r="B796" s="25" t="s">
        <v>93</v>
      </c>
      <c r="C796" s="39">
        <v>7.9833333333333334</v>
      </c>
      <c r="D796" s="50">
        <v>0.23385687949685596</v>
      </c>
      <c r="E796" s="28">
        <v>0.35748082544869458</v>
      </c>
      <c r="F796" s="51">
        <v>0.95587789150943414</v>
      </c>
      <c r="G796" s="28">
        <v>0.2317439542455883</v>
      </c>
      <c r="H796" s="55" t="s">
        <v>27</v>
      </c>
      <c r="I796" s="50">
        <v>64.573906305479596</v>
      </c>
      <c r="J796">
        <f t="shared" si="44"/>
        <v>0.21729230230293012</v>
      </c>
    </row>
    <row r="797" spans="1:10" ht="12.75" customHeight="1" x14ac:dyDescent="0.15">
      <c r="A797" s="126">
        <v>63</v>
      </c>
      <c r="B797" s="25" t="s">
        <v>94</v>
      </c>
      <c r="C797" s="39">
        <v>7.9833333333333334</v>
      </c>
      <c r="D797" s="50">
        <v>0.22391466949912064</v>
      </c>
      <c r="E797" s="28">
        <v>0.35381373483810868</v>
      </c>
      <c r="F797" s="51">
        <v>0.91199566490638517</v>
      </c>
      <c r="G797" s="28">
        <v>0.22785716958568542</v>
      </c>
      <c r="H797" s="55" t="s">
        <v>27</v>
      </c>
      <c r="I797" s="50">
        <v>62.46520501934711</v>
      </c>
      <c r="J797">
        <f t="shared" si="44"/>
        <v>0.21507782077696061</v>
      </c>
    </row>
    <row r="798" spans="1:10" ht="12.75" customHeight="1" x14ac:dyDescent="0.15">
      <c r="A798" s="126">
        <v>64</v>
      </c>
      <c r="B798" s="25" t="s">
        <v>95</v>
      </c>
      <c r="C798" s="39">
        <v>7.98</v>
      </c>
      <c r="D798" s="50">
        <v>0.22454374341085237</v>
      </c>
      <c r="E798" s="28">
        <v>0.35315696741604602</v>
      </c>
      <c r="F798" s="51">
        <v>0.9141346511627908</v>
      </c>
      <c r="G798" s="28">
        <v>0.22704956544587215</v>
      </c>
      <c r="H798" s="55" t="s">
        <v>27</v>
      </c>
      <c r="I798" s="50">
        <v>62.758321132945746</v>
      </c>
      <c r="J798">
        <f t="shared" si="44"/>
        <v>0.21467471343140382</v>
      </c>
    </row>
    <row r="799" spans="1:10" ht="12.75" customHeight="1" x14ac:dyDescent="0.15">
      <c r="A799" s="126">
        <v>65</v>
      </c>
      <c r="B799" s="25" t="s">
        <v>96</v>
      </c>
      <c r="C799" s="39">
        <v>7.98</v>
      </c>
      <c r="D799" s="50">
        <v>0.22285898088306577</v>
      </c>
      <c r="E799" s="28">
        <v>0.35056523434886283</v>
      </c>
      <c r="F799" s="51">
        <v>0.90933039301310059</v>
      </c>
      <c r="G799" s="28">
        <v>0.22583424238397948</v>
      </c>
      <c r="H799" s="55" t="s">
        <v>27</v>
      </c>
      <c r="I799" s="50">
        <v>62.755394820370405</v>
      </c>
      <c r="J799">
        <f t="shared" si="44"/>
        <v>0.21307393398222305</v>
      </c>
    </row>
    <row r="800" spans="1:10" ht="12.75" customHeight="1" x14ac:dyDescent="0.15">
      <c r="A800" s="126">
        <v>66</v>
      </c>
      <c r="B800" s="25" t="s">
        <v>97</v>
      </c>
      <c r="C800" s="39">
        <v>7.9766666666666675</v>
      </c>
      <c r="D800" s="50">
        <v>0.2222082179628736</v>
      </c>
      <c r="E800" s="28">
        <v>0.35301626346657444</v>
      </c>
      <c r="F800" s="51">
        <v>0.90463728276524258</v>
      </c>
      <c r="G800" s="28">
        <v>0.22678168158296452</v>
      </c>
      <c r="H800" s="55" t="s">
        <v>27</v>
      </c>
      <c r="I800" s="50">
        <v>62.128522403784586</v>
      </c>
      <c r="J800">
        <f t="shared" si="44"/>
        <v>0.21459536718291986</v>
      </c>
    </row>
    <row r="801" spans="1:10" ht="12.75" customHeight="1" x14ac:dyDescent="0.15">
      <c r="A801" s="126">
        <v>67</v>
      </c>
      <c r="B801" s="25" t="s">
        <v>98</v>
      </c>
      <c r="C801" s="39">
        <v>7.9766666666666675</v>
      </c>
      <c r="D801" s="50">
        <v>0.22411544936658778</v>
      </c>
      <c r="E801" s="28">
        <v>0.35095751705880107</v>
      </c>
      <c r="F801" s="51">
        <v>0.91354501187648463</v>
      </c>
      <c r="G801" s="28">
        <v>0.22587513805233869</v>
      </c>
      <c r="H801" s="55" t="s">
        <v>27</v>
      </c>
      <c r="I801" s="50">
        <v>63.037848427118</v>
      </c>
      <c r="J801">
        <f t="shared" si="44"/>
        <v>0.21331513205978311</v>
      </c>
    </row>
    <row r="802" spans="1:10" ht="12.75" customHeight="1" x14ac:dyDescent="0.15">
      <c r="A802" s="126">
        <v>68</v>
      </c>
      <c r="B802" s="25" t="s">
        <v>99</v>
      </c>
      <c r="C802" s="39">
        <v>7.9766666666666675</v>
      </c>
      <c r="D802" s="50">
        <v>0.23987139215918041</v>
      </c>
      <c r="E802" s="28">
        <v>0.3584289592672425</v>
      </c>
      <c r="F802" s="51">
        <v>0.98009414657210403</v>
      </c>
      <c r="G802" s="28">
        <v>0.23298460939534335</v>
      </c>
      <c r="H802" s="55" t="s">
        <v>27</v>
      </c>
      <c r="I802" s="50">
        <v>66.055330279921179</v>
      </c>
      <c r="J802">
        <f t="shared" si="44"/>
        <v>0.21788224309167736</v>
      </c>
    </row>
    <row r="803" spans="1:10" ht="12.75" customHeight="1" x14ac:dyDescent="0.15">
      <c r="A803" s="126">
        <v>69</v>
      </c>
      <c r="B803" s="25" t="s">
        <v>100</v>
      </c>
      <c r="C803" s="39">
        <v>7.9766666666666675</v>
      </c>
      <c r="D803" s="50">
        <v>0.23392901334776395</v>
      </c>
      <c r="E803" s="28">
        <v>0.35655227597769407</v>
      </c>
      <c r="F803" s="51">
        <v>0.9526811399711399</v>
      </c>
      <c r="G803" s="28">
        <v>0.23039863184906045</v>
      </c>
      <c r="H803" s="55" t="s">
        <v>27</v>
      </c>
      <c r="I803" s="50">
        <v>64.758887600553138</v>
      </c>
      <c r="J803">
        <f t="shared" si="44"/>
        <v>0.21673844812531878</v>
      </c>
    </row>
    <row r="804" spans="1:10" ht="12.75" customHeight="1" x14ac:dyDescent="0.15">
      <c r="A804" s="126">
        <v>70</v>
      </c>
      <c r="B804" s="25" t="s">
        <v>101</v>
      </c>
      <c r="C804" s="39">
        <v>7.9766666666666675</v>
      </c>
      <c r="D804" s="50">
        <v>0.2134138730722257</v>
      </c>
      <c r="E804" s="28">
        <v>0.36894579843780584</v>
      </c>
      <c r="F804" s="51">
        <v>0.82898997709573985</v>
      </c>
      <c r="G804" s="28">
        <v>0.22429657393735067</v>
      </c>
      <c r="H804" s="55" t="s">
        <v>27</v>
      </c>
      <c r="I804" s="50">
        <v>56.780021192243112</v>
      </c>
      <c r="J804">
        <f t="shared" si="44"/>
        <v>0.22551651294703723</v>
      </c>
    </row>
    <row r="805" spans="1:10" ht="12.75" customHeight="1" x14ac:dyDescent="0.15">
      <c r="A805" s="126">
        <v>71</v>
      </c>
      <c r="B805" s="25" t="s">
        <v>102</v>
      </c>
      <c r="C805" s="39">
        <v>7.9766666666666675</v>
      </c>
      <c r="D805" s="50">
        <v>0.22531370354255942</v>
      </c>
      <c r="E805" s="28">
        <v>0.36806822285587959</v>
      </c>
      <c r="F805" s="51">
        <v>0.88003345221112705</v>
      </c>
      <c r="G805" s="28">
        <v>0.22627665842560074</v>
      </c>
      <c r="H805" s="55" t="s">
        <v>27</v>
      </c>
      <c r="I805" s="50">
        <v>60.091059349572056</v>
      </c>
      <c r="J805">
        <f t="shared" si="44"/>
        <v>0.2249722730616138</v>
      </c>
    </row>
    <row r="806" spans="1:10" ht="12.75" customHeight="1" x14ac:dyDescent="0.15">
      <c r="A806" s="126">
        <v>72</v>
      </c>
      <c r="B806" s="25" t="s">
        <v>103</v>
      </c>
      <c r="C806" s="39">
        <v>7.9766666666666675</v>
      </c>
      <c r="D806" s="50">
        <v>0.22126562331581612</v>
      </c>
      <c r="E806" s="28">
        <v>0.35978160779848578</v>
      </c>
      <c r="F806" s="51">
        <v>0.86957464882943158</v>
      </c>
      <c r="G806" s="28">
        <v>0.2226648758569334</v>
      </c>
      <c r="H806" s="55" t="s">
        <v>27</v>
      </c>
      <c r="I806" s="50">
        <v>60.386845580817003</v>
      </c>
      <c r="J806">
        <f t="shared" si="44"/>
        <v>0.2198481684422727</v>
      </c>
    </row>
    <row r="807" spans="1:10" ht="12.75" customHeight="1" x14ac:dyDescent="0.15">
      <c r="A807" s="126">
        <v>73</v>
      </c>
      <c r="B807" s="25" t="s">
        <v>104</v>
      </c>
      <c r="C807" s="39">
        <v>7.9766666666666675</v>
      </c>
      <c r="D807" s="50">
        <v>0.21308575762360482</v>
      </c>
      <c r="E807" s="28">
        <v>0.34800859947628177</v>
      </c>
      <c r="F807" s="51">
        <v>0.85842851674641163</v>
      </c>
      <c r="G807" s="28">
        <v>0.22088437103760716</v>
      </c>
      <c r="H807" s="55" t="s">
        <v>27</v>
      </c>
      <c r="I807" s="50">
        <v>60.132023760909121</v>
      </c>
      <c r="J807">
        <f t="shared" si="44"/>
        <v>0.21261791401286101</v>
      </c>
    </row>
    <row r="808" spans="1:10" ht="12.75" customHeight="1" x14ac:dyDescent="0.15">
      <c r="A808" s="126">
        <v>74</v>
      </c>
      <c r="B808" s="25" t="s">
        <v>105</v>
      </c>
      <c r="C808" s="39">
        <v>7.9766666666666675</v>
      </c>
      <c r="D808" s="50">
        <v>0.21119436417659665</v>
      </c>
      <c r="E808" s="28">
        <v>0.34940789897928826</v>
      </c>
      <c r="F808" s="51">
        <v>0.84783276351970682</v>
      </c>
      <c r="G808" s="28">
        <v>0.22087628192782705</v>
      </c>
      <c r="H808" s="55" t="s">
        <v>27</v>
      </c>
      <c r="I808" s="50">
        <v>59.348811260670658</v>
      </c>
      <c r="J808">
        <f t="shared" si="44"/>
        <v>0.21351163707289064</v>
      </c>
    </row>
    <row r="809" spans="1:10" ht="12.75" customHeight="1" x14ac:dyDescent="0.15">
      <c r="A809" s="126">
        <v>75</v>
      </c>
      <c r="B809" s="25" t="s">
        <v>106</v>
      </c>
      <c r="C809" s="39">
        <v>7.9766666666666675</v>
      </c>
      <c r="D809" s="50">
        <v>0.21068351280223174</v>
      </c>
      <c r="E809" s="28">
        <v>0.34512818059902911</v>
      </c>
      <c r="F809" s="51">
        <v>0.85825972721636712</v>
      </c>
      <c r="G809" s="28">
        <v>0.22107018153460889</v>
      </c>
      <c r="H809" s="55" t="s">
        <v>27</v>
      </c>
      <c r="I809" s="50">
        <v>59.979412046187214</v>
      </c>
      <c r="J809">
        <f t="shared" si="44"/>
        <v>0.21075582999045872</v>
      </c>
    </row>
    <row r="810" spans="1:10" ht="12.75" customHeight="1" x14ac:dyDescent="0.15">
      <c r="A810" s="126">
        <v>76</v>
      </c>
      <c r="B810" s="25" t="s">
        <v>107</v>
      </c>
      <c r="C810" s="39">
        <v>7.9766666666666675</v>
      </c>
      <c r="D810" s="50">
        <v>0.20598461726869455</v>
      </c>
      <c r="E810" s="28">
        <v>0.34627759720186557</v>
      </c>
      <c r="F810" s="51">
        <v>0.83214296577946778</v>
      </c>
      <c r="G810" s="28">
        <v>0.21941750132388316</v>
      </c>
      <c r="H810" s="55" t="s">
        <v>27</v>
      </c>
      <c r="I810" s="50">
        <v>58.391022198320663</v>
      </c>
      <c r="J810">
        <f t="shared" si="44"/>
        <v>0.21166056990995991</v>
      </c>
    </row>
    <row r="811" spans="1:10" ht="12.75" customHeight="1" x14ac:dyDescent="0.15">
      <c r="A811" s="126">
        <v>77</v>
      </c>
      <c r="B811" s="25" t="s">
        <v>108</v>
      </c>
      <c r="C811" s="39">
        <v>7.9766666666666675</v>
      </c>
      <c r="D811" s="50">
        <v>0.2148585190780139</v>
      </c>
      <c r="E811" s="28">
        <v>0.35861673032498254</v>
      </c>
      <c r="F811" s="51">
        <v>0.87003798581560288</v>
      </c>
      <c r="G811" s="28">
        <v>0.22824552829541961</v>
      </c>
      <c r="H811" s="55" t="s">
        <v>27</v>
      </c>
      <c r="I811" s="50">
        <v>58.807311386383006</v>
      </c>
      <c r="J811">
        <f t="shared" si="44"/>
        <v>0.21921612875615834</v>
      </c>
    </row>
    <row r="812" spans="1:10" ht="12.75" customHeight="1" x14ac:dyDescent="0.15">
      <c r="A812" s="126">
        <v>78</v>
      </c>
      <c r="B812" s="25" t="s">
        <v>109</v>
      </c>
      <c r="C812" s="39">
        <v>7.9733333333333336</v>
      </c>
      <c r="D812" s="50">
        <v>0.21950067380952354</v>
      </c>
      <c r="E812" s="28">
        <v>0.35095411954268779</v>
      </c>
      <c r="F812" s="51">
        <v>0.8888439142857143</v>
      </c>
      <c r="G812" s="28">
        <v>0.22417489401889126</v>
      </c>
      <c r="H812" s="55" t="s">
        <v>27</v>
      </c>
      <c r="I812" s="50">
        <v>61.39769581707143</v>
      </c>
      <c r="J812">
        <f t="shared" si="44"/>
        <v>0.21450382222502762</v>
      </c>
    </row>
    <row r="813" spans="1:10" ht="12.75" customHeight="1" x14ac:dyDescent="0.15">
      <c r="A813" s="126">
        <v>79</v>
      </c>
      <c r="B813" s="25" t="s">
        <v>110</v>
      </c>
      <c r="C813" s="39">
        <v>7.9733333333333336</v>
      </c>
      <c r="D813" s="50">
        <v>0.20847544881347924</v>
      </c>
      <c r="E813" s="28">
        <v>0.35804561353295761</v>
      </c>
      <c r="F813" s="51">
        <v>0.84504870431893697</v>
      </c>
      <c r="G813" s="28">
        <v>0.22685938780771359</v>
      </c>
      <c r="H813" s="55" t="s">
        <v>27</v>
      </c>
      <c r="I813" s="50">
        <v>57.440453871650085</v>
      </c>
      <c r="J813">
        <f t="shared" si="44"/>
        <v>0.21776511301179632</v>
      </c>
    </row>
    <row r="814" spans="1:10" ht="12.75" customHeight="1" x14ac:dyDescent="0.15">
      <c r="A814" s="126">
        <v>80</v>
      </c>
      <c r="B814" s="25" t="s">
        <v>111</v>
      </c>
      <c r="C814" s="39">
        <v>7.9700000000000006</v>
      </c>
      <c r="D814" s="50">
        <v>0.20608994453124951</v>
      </c>
      <c r="E814" s="28">
        <v>0.35833487044232609</v>
      </c>
      <c r="F814" s="51">
        <v>0.83090902462121219</v>
      </c>
      <c r="G814" s="28">
        <v>0.22532403690305469</v>
      </c>
      <c r="H814" s="55" t="s">
        <v>27</v>
      </c>
      <c r="I814" s="50">
        <v>56.738615776325759</v>
      </c>
      <c r="J814">
        <f t="shared" si="44"/>
        <v>0.21793617103070823</v>
      </c>
    </row>
    <row r="815" spans="1:10" ht="12.75" customHeight="1" x14ac:dyDescent="0.15">
      <c r="A815" s="126">
        <v>81</v>
      </c>
      <c r="B815" s="25" t="s">
        <v>112</v>
      </c>
      <c r="C815" s="39">
        <v>7.9700000000000006</v>
      </c>
      <c r="D815" s="50">
        <v>0.21592151815273464</v>
      </c>
      <c r="E815" s="28">
        <v>0.35439047919482086</v>
      </c>
      <c r="F815" s="51">
        <v>0.87995092879256964</v>
      </c>
      <c r="G815" s="28">
        <v>0.2269963988803585</v>
      </c>
      <c r="H815" s="55" t="s">
        <v>27</v>
      </c>
      <c r="I815" s="50">
        <v>60.031309810371532</v>
      </c>
      <c r="J815">
        <f t="shared" si="44"/>
        <v>0.21580890255580945</v>
      </c>
    </row>
    <row r="816" spans="1:10" ht="12.75" customHeight="1" x14ac:dyDescent="0.15">
      <c r="A816" s="126">
        <v>82</v>
      </c>
      <c r="B816" s="25" t="s">
        <v>113</v>
      </c>
      <c r="C816" s="39">
        <v>7.9733333333333336</v>
      </c>
      <c r="D816" s="50">
        <v>0.22981240934748393</v>
      </c>
      <c r="E816" s="28">
        <v>0.35816973277748343</v>
      </c>
      <c r="F816" s="51">
        <v>0.93425800943396231</v>
      </c>
      <c r="G816" s="28">
        <v>0.23121352249328314</v>
      </c>
      <c r="H816" s="55" t="s">
        <v>27</v>
      </c>
      <c r="I816" s="50">
        <v>62.979314774190286</v>
      </c>
      <c r="J816">
        <f t="shared" si="44"/>
        <v>0.21894084764637414</v>
      </c>
    </row>
    <row r="817" spans="1:10" ht="12.75" customHeight="1" x14ac:dyDescent="0.15">
      <c r="A817" s="126">
        <v>83</v>
      </c>
      <c r="B817" s="25" t="s">
        <v>114</v>
      </c>
      <c r="C817" s="39">
        <v>7.9733333333333336</v>
      </c>
      <c r="D817" s="50">
        <v>0.21934923211586932</v>
      </c>
      <c r="E817" s="28">
        <v>0.36116968561376867</v>
      </c>
      <c r="F817" s="51">
        <v>0.87721889168765743</v>
      </c>
      <c r="G817" s="28">
        <v>0.22750742983574618</v>
      </c>
      <c r="H817" s="55" t="s">
        <v>27</v>
      </c>
      <c r="I817" s="50">
        <v>59.799484012738418</v>
      </c>
      <c r="J817">
        <f t="shared" ref="J817:J880" si="45">D817*60/I817</f>
        <v>0.22008474059991265</v>
      </c>
    </row>
    <row r="818" spans="1:10" ht="12.75" customHeight="1" x14ac:dyDescent="0.15">
      <c r="A818" s="126">
        <v>84</v>
      </c>
      <c r="B818" s="25" t="s">
        <v>115</v>
      </c>
      <c r="C818" s="39">
        <v>7.9766666666666675</v>
      </c>
      <c r="D818" s="50">
        <v>0.22042068178586371</v>
      </c>
      <c r="E818" s="28">
        <v>0.36132807285575358</v>
      </c>
      <c r="F818" s="51">
        <v>0.88293415307402756</v>
      </c>
      <c r="G818" s="28">
        <v>0.22777480729025545</v>
      </c>
      <c r="H818" s="55" t="s">
        <v>27</v>
      </c>
      <c r="I818" s="50">
        <v>60.080990143977424</v>
      </c>
      <c r="J818">
        <f t="shared" si="45"/>
        <v>0.22012355115085488</v>
      </c>
    </row>
    <row r="819" spans="1:10" ht="12.75" customHeight="1" x14ac:dyDescent="0.15">
      <c r="A819" s="126">
        <v>85</v>
      </c>
      <c r="B819" s="25" t="s">
        <v>116</v>
      </c>
      <c r="C819" s="39">
        <v>7.9733333333333336</v>
      </c>
      <c r="D819" s="50">
        <v>0.22347232191867883</v>
      </c>
      <c r="E819" s="28">
        <v>0.36908283873644293</v>
      </c>
      <c r="F819" s="51">
        <v>0.89243702033036854</v>
      </c>
      <c r="G819" s="28">
        <v>0.23231017991673639</v>
      </c>
      <c r="H819" s="55" t="s">
        <v>27</v>
      </c>
      <c r="I819" s="50">
        <v>59.579719599809422</v>
      </c>
      <c r="J819">
        <f t="shared" si="45"/>
        <v>0.22504871464960063</v>
      </c>
    </row>
    <row r="820" spans="1:10" ht="12.75" customHeight="1" x14ac:dyDescent="0.15">
      <c r="A820" s="126">
        <v>86</v>
      </c>
      <c r="B820" s="25" t="s">
        <v>117</v>
      </c>
      <c r="C820" s="39">
        <v>7.9733333333333336</v>
      </c>
      <c r="D820" s="50">
        <v>0.21595153938006362</v>
      </c>
      <c r="E820" s="28">
        <v>0.36225266087874508</v>
      </c>
      <c r="F820" s="51">
        <v>0.8585994399436423</v>
      </c>
      <c r="G820" s="28">
        <v>0.22629006678006039</v>
      </c>
      <c r="H820" s="55" t="s">
        <v>27</v>
      </c>
      <c r="I820" s="50">
        <v>58.660169888182494</v>
      </c>
      <c r="J820">
        <f t="shared" si="45"/>
        <v>0.22088398972424583</v>
      </c>
    </row>
    <row r="821" spans="1:10" ht="12.75" customHeight="1" x14ac:dyDescent="0.15">
      <c r="A821" s="126">
        <v>87</v>
      </c>
      <c r="B821" s="25" t="s">
        <v>2</v>
      </c>
      <c r="C821" s="39">
        <v>7.9700000000000006</v>
      </c>
      <c r="D821" s="50">
        <v>0.21813418681415941</v>
      </c>
      <c r="E821" s="28">
        <v>0.36500738434406921</v>
      </c>
      <c r="F821" s="51">
        <v>0.86933322123893819</v>
      </c>
      <c r="G821" s="28">
        <v>0.22863968449903135</v>
      </c>
      <c r="H821" s="55" t="s">
        <v>27</v>
      </c>
      <c r="I821" s="50">
        <v>58.797769174159257</v>
      </c>
      <c r="J821">
        <f t="shared" si="45"/>
        <v>0.22259434996730401</v>
      </c>
    </row>
    <row r="822" spans="1:10" ht="12.75" customHeight="1" x14ac:dyDescent="0.15">
      <c r="A822" s="126">
        <v>88</v>
      </c>
      <c r="B822" s="25" t="s">
        <v>118</v>
      </c>
      <c r="C822" s="39">
        <v>7.9833333333333334</v>
      </c>
      <c r="D822" s="50">
        <v>0.22371530683912089</v>
      </c>
      <c r="E822" s="28">
        <v>0.36671076888406784</v>
      </c>
      <c r="F822" s="51">
        <v>0.87456364989369251</v>
      </c>
      <c r="G822" s="28">
        <v>0.22467383255353285</v>
      </c>
      <c r="H822" s="55" t="s">
        <v>27</v>
      </c>
      <c r="I822" s="50">
        <v>59.994375533297919</v>
      </c>
      <c r="J822">
        <f t="shared" si="45"/>
        <v>0.2237362801267479</v>
      </c>
    </row>
    <row r="823" spans="1:10" ht="12.75" customHeight="1" x14ac:dyDescent="0.15">
      <c r="A823" s="126">
        <v>89</v>
      </c>
      <c r="B823" s="25" t="s">
        <v>119</v>
      </c>
      <c r="C823" s="39">
        <v>7.9866666666666672</v>
      </c>
      <c r="D823" s="50">
        <v>0.22838819946635402</v>
      </c>
      <c r="E823" s="28">
        <v>0.36755751061690678</v>
      </c>
      <c r="F823" s="51">
        <v>0.90495669660288947</v>
      </c>
      <c r="G823" s="28">
        <v>0.22903715884859821</v>
      </c>
      <c r="H823" s="55" t="s">
        <v>27</v>
      </c>
      <c r="I823" s="50">
        <v>61.126993004705206</v>
      </c>
      <c r="J823">
        <f t="shared" si="45"/>
        <v>0.22417742627919618</v>
      </c>
    </row>
    <row r="824" spans="1:10" ht="12.75" customHeight="1" x14ac:dyDescent="0.15">
      <c r="A824" s="126">
        <v>90</v>
      </c>
      <c r="B824" s="25" t="s">
        <v>120</v>
      </c>
      <c r="C824" s="39">
        <v>7.9833333333333334</v>
      </c>
      <c r="D824" s="50">
        <v>0.23013589810729806</v>
      </c>
      <c r="E824" s="28">
        <v>0.36419953016283502</v>
      </c>
      <c r="F824" s="51">
        <v>0.91196230392156863</v>
      </c>
      <c r="G824" s="28">
        <v>0.22808299487862996</v>
      </c>
      <c r="H824" s="55" t="s">
        <v>27</v>
      </c>
      <c r="I824" s="50">
        <v>62.176815164923703</v>
      </c>
      <c r="J824">
        <f t="shared" si="45"/>
        <v>0.22207882230397008</v>
      </c>
    </row>
    <row r="825" spans="1:10" ht="12.75" customHeight="1" x14ac:dyDescent="0.15">
      <c r="A825" s="126">
        <v>91</v>
      </c>
      <c r="B825" s="25" t="s">
        <v>121</v>
      </c>
      <c r="C825" s="39">
        <v>7.9866666666666672</v>
      </c>
      <c r="D825" s="50">
        <v>0.20797085988710207</v>
      </c>
      <c r="E825" s="28">
        <v>0.36868323110201739</v>
      </c>
      <c r="F825" s="51">
        <v>0.81827136161477942</v>
      </c>
      <c r="G825" s="28">
        <v>0.225845209312595</v>
      </c>
      <c r="H825" s="55" t="s">
        <v>27</v>
      </c>
      <c r="I825" s="50">
        <v>55.484828354972052</v>
      </c>
      <c r="J825">
        <f t="shared" si="45"/>
        <v>0.22489483996228196</v>
      </c>
    </row>
    <row r="826" spans="1:10" ht="12.75" customHeight="1" x14ac:dyDescent="0.15">
      <c r="A826" s="126">
        <v>92</v>
      </c>
      <c r="B826" s="25" t="s">
        <v>122</v>
      </c>
      <c r="C826" s="39">
        <v>7.9833333333333334</v>
      </c>
      <c r="D826" s="50">
        <v>0.22685535713292848</v>
      </c>
      <c r="E826" s="28">
        <v>0.36780978552138416</v>
      </c>
      <c r="F826" s="51">
        <v>0.90012597043214559</v>
      </c>
      <c r="G826" s="28">
        <v>0.22941143915848411</v>
      </c>
      <c r="H826" s="55" t="s">
        <v>27</v>
      </c>
      <c r="I826" s="50">
        <v>60.682131420672214</v>
      </c>
      <c r="J826">
        <f t="shared" si="45"/>
        <v>0.22430526267471915</v>
      </c>
    </row>
    <row r="827" spans="1:10" ht="12.75" customHeight="1" x14ac:dyDescent="0.15">
      <c r="A827" s="126">
        <v>93</v>
      </c>
      <c r="B827" s="25" t="s">
        <v>123</v>
      </c>
      <c r="C827" s="39">
        <v>7.9866666666666672</v>
      </c>
      <c r="D827" s="50">
        <v>0.23136749785005517</v>
      </c>
      <c r="E827" s="28">
        <v>0.37303737159618683</v>
      </c>
      <c r="F827" s="51">
        <v>0.91965882763689832</v>
      </c>
      <c r="G827" s="28">
        <v>0.23354316284210161</v>
      </c>
      <c r="H827" s="55" t="s">
        <v>27</v>
      </c>
      <c r="I827" s="50">
        <v>61.040575735409782</v>
      </c>
      <c r="J827">
        <f t="shared" si="45"/>
        <v>0.22742331152276962</v>
      </c>
    </row>
    <row r="828" spans="1:10" ht="12.75" customHeight="1" x14ac:dyDescent="0.15">
      <c r="A828" s="126">
        <v>94</v>
      </c>
      <c r="B828" s="25" t="s">
        <v>125</v>
      </c>
      <c r="C828" s="39">
        <v>7.9866666666666672</v>
      </c>
      <c r="D828" s="50">
        <v>0.28160215129870136</v>
      </c>
      <c r="E828" s="28">
        <v>0.40680921103539608</v>
      </c>
      <c r="F828" s="51">
        <v>1.1393473506493508</v>
      </c>
      <c r="G828" s="28">
        <v>0.26303265550251842</v>
      </c>
      <c r="H828" s="55" t="s">
        <v>27</v>
      </c>
      <c r="I828" s="50">
        <v>68.187503026666704</v>
      </c>
      <c r="J828">
        <f t="shared" si="45"/>
        <v>0.24778923304046432</v>
      </c>
    </row>
    <row r="829" spans="1:10" ht="12.75" customHeight="1" x14ac:dyDescent="0.15">
      <c r="A829" s="126">
        <v>95</v>
      </c>
      <c r="B829" s="25" t="s">
        <v>126</v>
      </c>
      <c r="C829" s="39">
        <v>7.9866666666666672</v>
      </c>
      <c r="D829" s="50">
        <v>0.2689841106377856</v>
      </c>
      <c r="E829" s="28">
        <v>0.40710647474190931</v>
      </c>
      <c r="F829" s="51">
        <v>1.1032990288808664</v>
      </c>
      <c r="G829" s="28">
        <v>0.26431236767322108</v>
      </c>
      <c r="H829" s="55" t="s">
        <v>27</v>
      </c>
      <c r="I829" s="50">
        <v>64.91833024007218</v>
      </c>
      <c r="J829">
        <f t="shared" si="45"/>
        <v>0.24860538739342028</v>
      </c>
    </row>
    <row r="830" spans="1:10" ht="12.75" customHeight="1" x14ac:dyDescent="0.15">
      <c r="A830" s="126">
        <v>96</v>
      </c>
      <c r="B830" s="25" t="s">
        <v>85</v>
      </c>
      <c r="C830" s="39">
        <v>7.9833333333333334</v>
      </c>
      <c r="D830" s="50">
        <v>4.206455057547176E-2</v>
      </c>
      <c r="E830" s="28">
        <v>19.82106765479881</v>
      </c>
      <c r="F830" s="51">
        <v>3.1738094289508578E-2</v>
      </c>
      <c r="G830" s="28">
        <v>10.106071739484474</v>
      </c>
      <c r="H830" s="55" t="s">
        <v>27</v>
      </c>
      <c r="I830" s="50">
        <v>4.7912273660913218E-2</v>
      </c>
      <c r="J830">
        <f t="shared" si="45"/>
        <v>52.676962324734724</v>
      </c>
    </row>
    <row r="831" spans="1:10" ht="12.75" customHeight="1" x14ac:dyDescent="0.15">
      <c r="A831" s="126">
        <v>97</v>
      </c>
      <c r="B831" s="25" t="s">
        <v>85</v>
      </c>
      <c r="C831" s="39">
        <v>7.9866666666666672</v>
      </c>
      <c r="D831" s="50">
        <v>2.1888127879198915E-2</v>
      </c>
      <c r="E831" s="28">
        <v>12.519864116795999</v>
      </c>
      <c r="F831" s="51">
        <v>4.7902049292560589E-2</v>
      </c>
      <c r="G831" s="28">
        <v>12.164471742905468</v>
      </c>
      <c r="H831" s="55" t="s">
        <v>27</v>
      </c>
      <c r="I831" s="50">
        <v>4.2384752959074734E-2</v>
      </c>
      <c r="J831">
        <f t="shared" si="45"/>
        <v>30.984908040398409</v>
      </c>
    </row>
    <row r="832" spans="1:10" ht="12.75" customHeight="1" x14ac:dyDescent="0.15">
      <c r="A832" s="126">
        <v>98</v>
      </c>
      <c r="B832" s="25" t="s">
        <v>85</v>
      </c>
      <c r="C832" s="39">
        <v>8.0066666666666677</v>
      </c>
      <c r="D832" s="50">
        <v>5.8884677316924539E-2</v>
      </c>
      <c r="E832" s="28">
        <v>11.939080110363758</v>
      </c>
      <c r="F832" s="51">
        <v>7.249574293527794E-2</v>
      </c>
      <c r="G832" s="28">
        <v>6.6664816689429918</v>
      </c>
      <c r="H832" s="55" t="s">
        <v>27</v>
      </c>
      <c r="I832" s="50">
        <v>0.15383328163172283</v>
      </c>
      <c r="J832">
        <f t="shared" si="45"/>
        <v>22.966945784031797</v>
      </c>
    </row>
    <row r="833" spans="1:10" ht="12.75" customHeight="1" x14ac:dyDescent="0.15">
      <c r="A833" s="126">
        <v>99</v>
      </c>
      <c r="B833" s="25" t="s">
        <v>85</v>
      </c>
      <c r="C833" s="39">
        <v>8.0066666666666677</v>
      </c>
      <c r="D833" s="50">
        <v>1.1409566666666593E-2</v>
      </c>
      <c r="E833" s="28">
        <v>0.55126843825807359</v>
      </c>
      <c r="F833" s="51">
        <v>5.1140000000000185E-2</v>
      </c>
      <c r="G833" s="28">
        <v>1.6334343213384646</v>
      </c>
      <c r="H833" s="55" t="s">
        <v>27</v>
      </c>
      <c r="I833" s="50">
        <v>0.4038991018443201</v>
      </c>
      <c r="J833">
        <f t="shared" si="45"/>
        <v>1.6949134000893609</v>
      </c>
    </row>
    <row r="834" spans="1:10" ht="12.75" customHeight="1" x14ac:dyDescent="0.15">
      <c r="A834" s="126">
        <v>100</v>
      </c>
      <c r="B834" s="25" t="s">
        <v>127</v>
      </c>
      <c r="C834" s="39">
        <v>7.996666666666667</v>
      </c>
      <c r="D834" s="50">
        <v>0.28285773619618282</v>
      </c>
      <c r="E834" s="28">
        <v>0.38426632196126209</v>
      </c>
      <c r="F834" s="51">
        <v>1.1643449134487351</v>
      </c>
      <c r="G834" s="28">
        <v>0.25349751405835441</v>
      </c>
      <c r="H834" s="55" t="s">
        <v>27</v>
      </c>
      <c r="I834" s="50">
        <v>72.528602379227749</v>
      </c>
      <c r="J834">
        <f t="shared" si="45"/>
        <v>0.23399684558972847</v>
      </c>
    </row>
    <row r="835" spans="1:10" ht="12.75" customHeight="1" x14ac:dyDescent="0.15">
      <c r="A835" s="126">
        <v>101</v>
      </c>
      <c r="B835" s="25" t="s">
        <v>90</v>
      </c>
      <c r="C835" s="39">
        <v>7.996666666666667</v>
      </c>
      <c r="D835" s="50">
        <v>0.24640657877263583</v>
      </c>
      <c r="E835" s="28">
        <v>0.37249292653352345</v>
      </c>
      <c r="F835" s="51">
        <v>1.0121634004024147</v>
      </c>
      <c r="G835" s="28">
        <v>0.24141802517453267</v>
      </c>
      <c r="H835" s="55" t="s">
        <v>27</v>
      </c>
      <c r="I835" s="50">
        <v>65.189621435077129</v>
      </c>
      <c r="J835">
        <f t="shared" si="45"/>
        <v>0.22679062097456798</v>
      </c>
    </row>
    <row r="836" spans="1:10" ht="12.75" customHeight="1" x14ac:dyDescent="0.15">
      <c r="A836" s="126">
        <v>102</v>
      </c>
      <c r="B836" s="25" t="s">
        <v>91</v>
      </c>
      <c r="C836" s="39">
        <v>7.996666666666667</v>
      </c>
      <c r="D836" s="50">
        <v>0.24091827172398217</v>
      </c>
      <c r="E836" s="28">
        <v>0.37669134432590479</v>
      </c>
      <c r="F836" s="51">
        <v>0.95345913014160488</v>
      </c>
      <c r="G836" s="28">
        <v>0.23444560648473209</v>
      </c>
      <c r="H836" s="55" t="s">
        <v>27</v>
      </c>
      <c r="I836" s="50">
        <v>63.049454443403043</v>
      </c>
      <c r="J836">
        <f t="shared" si="45"/>
        <v>0.22926600128498634</v>
      </c>
    </row>
    <row r="837" spans="1:10" ht="12.75" customHeight="1" x14ac:dyDescent="0.15">
      <c r="A837" s="126">
        <v>103</v>
      </c>
      <c r="B837" s="25" t="s">
        <v>92</v>
      </c>
      <c r="C837" s="39">
        <v>7.996666666666667</v>
      </c>
      <c r="D837" s="50">
        <v>0.24996844818330333</v>
      </c>
      <c r="E837" s="28">
        <v>0.38062398294263966</v>
      </c>
      <c r="F837" s="51">
        <v>0.98295516227801605</v>
      </c>
      <c r="G837" s="28">
        <v>0.23662479437068368</v>
      </c>
      <c r="H837" s="55" t="s">
        <v>27</v>
      </c>
      <c r="I837" s="50">
        <v>64.751162166727894</v>
      </c>
      <c r="J837">
        <f t="shared" si="45"/>
        <v>0.23162683709644538</v>
      </c>
    </row>
    <row r="838" spans="1:10" ht="12.75" customHeight="1" x14ac:dyDescent="0.15">
      <c r="A838" s="126">
        <v>104</v>
      </c>
      <c r="B838" s="25" t="s">
        <v>93</v>
      </c>
      <c r="C838" s="39">
        <v>7.9933333333333341</v>
      </c>
      <c r="D838" s="50">
        <v>0.24676590050409697</v>
      </c>
      <c r="E838" s="28">
        <v>0.38805505136217078</v>
      </c>
      <c r="F838" s="51">
        <v>0.96438580340264668</v>
      </c>
      <c r="G838" s="28">
        <v>0.23864529479565208</v>
      </c>
      <c r="H838" s="55" t="s">
        <v>27</v>
      </c>
      <c r="I838" s="50">
        <v>62.68294141354761</v>
      </c>
      <c r="J838">
        <f t="shared" si="45"/>
        <v>0.23620388093411679</v>
      </c>
    </row>
    <row r="839" spans="1:10" ht="12.75" customHeight="1" x14ac:dyDescent="0.15">
      <c r="A839" s="126">
        <v>105</v>
      </c>
      <c r="B839" s="25" t="s">
        <v>94</v>
      </c>
      <c r="C839" s="39">
        <v>7.996666666666667</v>
      </c>
      <c r="D839" s="50">
        <v>0.24793363094521625</v>
      </c>
      <c r="E839" s="28">
        <v>0.38452191860391366</v>
      </c>
      <c r="F839" s="51">
        <v>0.96674509331727876</v>
      </c>
      <c r="G839" s="28">
        <v>0.23684162013285542</v>
      </c>
      <c r="H839" s="55" t="s">
        <v>27</v>
      </c>
      <c r="I839" s="50">
        <v>63.563630264790291</v>
      </c>
      <c r="J839">
        <f t="shared" si="45"/>
        <v>0.23403348415978101</v>
      </c>
    </row>
    <row r="840" spans="1:10" ht="12.75" customHeight="1" x14ac:dyDescent="0.15">
      <c r="A840" s="126">
        <v>106</v>
      </c>
      <c r="B840" s="25" t="s">
        <v>95</v>
      </c>
      <c r="C840" s="39">
        <v>7.9933333333333341</v>
      </c>
      <c r="D840" s="50">
        <v>0.24314770006108755</v>
      </c>
      <c r="E840" s="28">
        <v>0.38790288627649738</v>
      </c>
      <c r="F840" s="51">
        <v>0.94851101405009164</v>
      </c>
      <c r="G840" s="28">
        <v>0.2382139514311486</v>
      </c>
      <c r="H840" s="55" t="s">
        <v>27</v>
      </c>
      <c r="I840" s="50">
        <v>61.808598238098114</v>
      </c>
      <c r="J840">
        <f t="shared" si="45"/>
        <v>0.23603288894315749</v>
      </c>
    </row>
    <row r="841" spans="1:10" ht="12.75" customHeight="1" x14ac:dyDescent="0.15">
      <c r="A841" s="126">
        <v>107</v>
      </c>
      <c r="B841" s="25" t="s">
        <v>96</v>
      </c>
      <c r="C841" s="39">
        <v>7.996666666666667</v>
      </c>
      <c r="D841" s="50">
        <v>0.23796144597777857</v>
      </c>
      <c r="E841" s="28">
        <v>0.37557315867007263</v>
      </c>
      <c r="F841" s="51">
        <v>0.94260864000000011</v>
      </c>
      <c r="G841" s="28">
        <v>0.23447110008469282</v>
      </c>
      <c r="H841" s="55" t="s">
        <v>27</v>
      </c>
      <c r="I841" s="50">
        <v>62.479177663466629</v>
      </c>
      <c r="J841">
        <f t="shared" si="45"/>
        <v>0.22851912097132623</v>
      </c>
    </row>
    <row r="842" spans="1:10" ht="12.75" customHeight="1" x14ac:dyDescent="0.15">
      <c r="A842" s="126">
        <v>108</v>
      </c>
      <c r="B842" s="25" t="s">
        <v>97</v>
      </c>
      <c r="C842" s="39">
        <v>7.9933333333333341</v>
      </c>
      <c r="D842" s="50">
        <v>0.224590620545977</v>
      </c>
      <c r="E842" s="28">
        <v>0.36222057966239513</v>
      </c>
      <c r="F842" s="51">
        <v>0.91982882625994689</v>
      </c>
      <c r="G842" s="28">
        <v>0.23327018250144038</v>
      </c>
      <c r="H842" s="55" t="s">
        <v>27</v>
      </c>
      <c r="I842" s="50">
        <v>61.138778907283374</v>
      </c>
      <c r="J842">
        <f t="shared" si="45"/>
        <v>0.22040736621832188</v>
      </c>
    </row>
    <row r="843" spans="1:10" ht="12.75" customHeight="1" x14ac:dyDescent="0.15">
      <c r="A843" s="126">
        <v>109</v>
      </c>
      <c r="B843" s="25" t="s">
        <v>98</v>
      </c>
      <c r="C843" s="39">
        <v>7.9933333333333341</v>
      </c>
      <c r="D843" s="50">
        <v>0.22995522806698943</v>
      </c>
      <c r="E843" s="28">
        <v>0.36535880742404853</v>
      </c>
      <c r="F843" s="51">
        <v>0.93936138014527848</v>
      </c>
      <c r="G843" s="28">
        <v>0.23475842410592943</v>
      </c>
      <c r="H843" s="55" t="s">
        <v>27</v>
      </c>
      <c r="I843" s="50">
        <v>62.069148476412423</v>
      </c>
      <c r="J843">
        <f t="shared" si="45"/>
        <v>0.22228939856106827</v>
      </c>
    </row>
    <row r="844" spans="1:10" ht="12.75" customHeight="1" x14ac:dyDescent="0.15">
      <c r="A844" s="126">
        <v>110</v>
      </c>
      <c r="B844" s="25" t="s">
        <v>99</v>
      </c>
      <c r="C844" s="39">
        <v>7.9933333333333341</v>
      </c>
      <c r="D844" s="50">
        <v>0.24753244548971609</v>
      </c>
      <c r="E844" s="28">
        <v>0.39155320700534441</v>
      </c>
      <c r="F844" s="51">
        <v>0.96995034819792314</v>
      </c>
      <c r="G844" s="28">
        <v>0.24179396413582374</v>
      </c>
      <c r="H844" s="55" t="s">
        <v>27</v>
      </c>
      <c r="I844" s="50">
        <v>62.328627549857508</v>
      </c>
      <c r="J844">
        <f t="shared" si="45"/>
        <v>0.23828451408628715</v>
      </c>
    </row>
    <row r="845" spans="1:10" ht="12.75" customHeight="1" x14ac:dyDescent="0.15">
      <c r="A845" s="126">
        <v>111</v>
      </c>
      <c r="B845" s="25" t="s">
        <v>100</v>
      </c>
      <c r="C845" s="39">
        <v>7.9933333333333341</v>
      </c>
      <c r="D845" s="50">
        <v>0.23356401239048807</v>
      </c>
      <c r="E845" s="28">
        <v>0.36453129185602973</v>
      </c>
      <c r="F845" s="51">
        <v>0.95118254067584473</v>
      </c>
      <c r="G845" s="28">
        <v>0.23436363068075497</v>
      </c>
      <c r="H845" s="55" t="s">
        <v>27</v>
      </c>
      <c r="I845" s="50">
        <v>63.186515348977927</v>
      </c>
      <c r="J845">
        <f t="shared" si="45"/>
        <v>0.22178530760924395</v>
      </c>
    </row>
    <row r="846" spans="1:10" ht="12.75" customHeight="1" x14ac:dyDescent="0.15">
      <c r="A846" s="126">
        <v>112</v>
      </c>
      <c r="B846" s="25" t="s">
        <v>101</v>
      </c>
      <c r="C846" s="39">
        <v>7.9933333333333341</v>
      </c>
      <c r="D846" s="50">
        <v>0.22120670963759492</v>
      </c>
      <c r="E846" s="28">
        <v>0.37141095531969121</v>
      </c>
      <c r="F846" s="51">
        <v>0.85232689366786163</v>
      </c>
      <c r="G846" s="28">
        <v>0.22433625416712985</v>
      </c>
      <c r="H846" s="55" t="s">
        <v>27</v>
      </c>
      <c r="I846" s="50">
        <v>58.798614919514108</v>
      </c>
      <c r="J846">
        <f t="shared" si="45"/>
        <v>0.22572644944823089</v>
      </c>
    </row>
    <row r="847" spans="1:10" ht="12.75" customHeight="1" x14ac:dyDescent="0.15">
      <c r="A847" s="126">
        <v>113</v>
      </c>
      <c r="B847" s="25" t="s">
        <v>102</v>
      </c>
      <c r="C847" s="39">
        <v>7.99</v>
      </c>
      <c r="D847" s="50">
        <v>0.21956537573839685</v>
      </c>
      <c r="E847" s="28">
        <v>0.36776117346427123</v>
      </c>
      <c r="F847" s="51">
        <v>0.85843430379746832</v>
      </c>
      <c r="G847" s="28">
        <v>0.22562553264197016</v>
      </c>
      <c r="H847" s="55" t="s">
        <v>27</v>
      </c>
      <c r="I847" s="50">
        <v>59.009617148523198</v>
      </c>
      <c r="J847">
        <f t="shared" si="45"/>
        <v>0.223250432402331</v>
      </c>
    </row>
    <row r="848" spans="1:10" ht="12.75" customHeight="1" x14ac:dyDescent="0.15">
      <c r="A848" s="126">
        <v>114</v>
      </c>
      <c r="B848" s="25" t="s">
        <v>103</v>
      </c>
      <c r="C848" s="39">
        <v>7.9866666666666672</v>
      </c>
      <c r="D848" s="50">
        <v>0.21471909953422341</v>
      </c>
      <c r="E848" s="28">
        <v>0.36953577281318012</v>
      </c>
      <c r="F848" s="51">
        <v>0.82259140947752141</v>
      </c>
      <c r="G848" s="28">
        <v>0.22148209643465999</v>
      </c>
      <c r="H848" s="55" t="s">
        <v>27</v>
      </c>
      <c r="I848" s="50">
        <v>57.328802262839211</v>
      </c>
      <c r="J848">
        <f t="shared" si="45"/>
        <v>0.22472379438501403</v>
      </c>
    </row>
    <row r="849" spans="1:10" ht="12.75" customHeight="1" x14ac:dyDescent="0.15">
      <c r="A849" s="126">
        <v>115</v>
      </c>
      <c r="B849" s="25" t="s">
        <v>104</v>
      </c>
      <c r="C849" s="39">
        <v>7.9866666666666672</v>
      </c>
      <c r="D849" s="50">
        <v>0.22642283027522803</v>
      </c>
      <c r="E849" s="28">
        <v>0.37387653003559262</v>
      </c>
      <c r="F849" s="51">
        <v>0.87075009174311935</v>
      </c>
      <c r="G849" s="28">
        <v>0.22582551427996361</v>
      </c>
      <c r="H849" s="55" t="s">
        <v>27</v>
      </c>
      <c r="I849" s="50">
        <v>59.90720697599388</v>
      </c>
      <c r="J849">
        <f t="shared" si="45"/>
        <v>0.2267735469950658</v>
      </c>
    </row>
    <row r="850" spans="1:10" ht="12.75" customHeight="1" x14ac:dyDescent="0.15">
      <c r="A850" s="126">
        <v>116</v>
      </c>
      <c r="B850" s="25" t="s">
        <v>105</v>
      </c>
      <c r="C850" s="39">
        <v>7.9866666666666672</v>
      </c>
      <c r="D850" s="50">
        <v>0.22791059012758264</v>
      </c>
      <c r="E850" s="28">
        <v>0.38667810744239089</v>
      </c>
      <c r="F850" s="51">
        <v>0.87912005467800736</v>
      </c>
      <c r="G850" s="28">
        <v>0.23318529083120598</v>
      </c>
      <c r="H850" s="55" t="s">
        <v>27</v>
      </c>
      <c r="I850" s="50">
        <v>58.248754310844475</v>
      </c>
      <c r="J850">
        <f t="shared" si="45"/>
        <v>0.2347627098543647</v>
      </c>
    </row>
    <row r="851" spans="1:10" ht="12.75" customHeight="1" x14ac:dyDescent="0.15">
      <c r="A851" s="126">
        <v>117</v>
      </c>
      <c r="B851" s="25" t="s">
        <v>106</v>
      </c>
      <c r="C851" s="39">
        <v>7.9833333333333334</v>
      </c>
      <c r="D851" s="50">
        <v>0.23638929730538805</v>
      </c>
      <c r="E851" s="28">
        <v>0.38140844294232812</v>
      </c>
      <c r="F851" s="51">
        <v>0.89832806540764631</v>
      </c>
      <c r="G851" s="28">
        <v>0.22882309151292035</v>
      </c>
      <c r="H851" s="55" t="s">
        <v>27</v>
      </c>
      <c r="I851" s="50">
        <v>61.378396839106351</v>
      </c>
      <c r="J851">
        <f t="shared" si="45"/>
        <v>0.23108061742802904</v>
      </c>
    </row>
    <row r="852" spans="1:10" ht="12.75" customHeight="1" x14ac:dyDescent="0.15">
      <c r="A852" s="126">
        <v>118</v>
      </c>
      <c r="B852" s="25" t="s">
        <v>107</v>
      </c>
      <c r="C852" s="39">
        <v>7.98</v>
      </c>
      <c r="D852" s="50">
        <v>0.23161940641964107</v>
      </c>
      <c r="E852" s="28">
        <v>0.38583131327182774</v>
      </c>
      <c r="F852" s="51">
        <v>0.8671235407136324</v>
      </c>
      <c r="G852" s="28">
        <v>0.22689265313199156</v>
      </c>
      <c r="H852" s="55" t="s">
        <v>27</v>
      </c>
      <c r="I852" s="50">
        <v>59.428621547056991</v>
      </c>
      <c r="J852">
        <f t="shared" si="45"/>
        <v>0.23384631888482149</v>
      </c>
    </row>
    <row r="853" spans="1:10" ht="12.75" customHeight="1" x14ac:dyDescent="0.15">
      <c r="A853" s="126">
        <v>119</v>
      </c>
      <c r="B853" s="25" t="s">
        <v>108</v>
      </c>
      <c r="C853" s="39">
        <v>7.9833333333333334</v>
      </c>
      <c r="D853" s="50">
        <v>0.22521428900512652</v>
      </c>
      <c r="E853" s="28">
        <v>0.37213159765713227</v>
      </c>
      <c r="F853" s="51">
        <v>0.86884001230769226</v>
      </c>
      <c r="G853" s="28">
        <v>0.2257686803850697</v>
      </c>
      <c r="H853" s="55" t="s">
        <v>27</v>
      </c>
      <c r="I853" s="50">
        <v>59.93522948004108</v>
      </c>
      <c r="J853">
        <f t="shared" si="45"/>
        <v>0.22545767251642013</v>
      </c>
    </row>
    <row r="854" spans="1:10" ht="12.75" customHeight="1" x14ac:dyDescent="0.15">
      <c r="A854" s="126">
        <v>120</v>
      </c>
      <c r="B854" s="25" t="s">
        <v>109</v>
      </c>
      <c r="C854" s="39">
        <v>7.98</v>
      </c>
      <c r="D854" s="50">
        <v>0.22398483333333541</v>
      </c>
      <c r="E854" s="28">
        <v>0.37240825576227488</v>
      </c>
      <c r="F854" s="51">
        <v>0.86022243386243391</v>
      </c>
      <c r="G854" s="28">
        <v>0.22482775617394471</v>
      </c>
      <c r="H854" s="55" t="s">
        <v>27</v>
      </c>
      <c r="I854" s="50">
        <v>59.554015054556189</v>
      </c>
      <c r="J854">
        <f t="shared" si="45"/>
        <v>0.22566219905893592</v>
      </c>
    </row>
    <row r="855" spans="1:10" ht="12.75" customHeight="1" x14ac:dyDescent="0.15">
      <c r="A855" s="126">
        <v>121</v>
      </c>
      <c r="B855" s="25" t="s">
        <v>110</v>
      </c>
      <c r="C855" s="39">
        <v>7.98</v>
      </c>
      <c r="D855" s="50">
        <v>0.23476033182027622</v>
      </c>
      <c r="E855" s="28">
        <v>0.36374463628628845</v>
      </c>
      <c r="F855" s="51">
        <v>0.95308620737327188</v>
      </c>
      <c r="G855" s="28">
        <v>0.23367189458219498</v>
      </c>
      <c r="H855" s="55" t="s">
        <v>27</v>
      </c>
      <c r="I855" s="50">
        <v>63.662097994377888</v>
      </c>
      <c r="J855">
        <f t="shared" si="45"/>
        <v>0.22125598044947403</v>
      </c>
    </row>
    <row r="856" spans="1:10" ht="12.75" customHeight="1" x14ac:dyDescent="0.15">
      <c r="A856" s="126">
        <v>122</v>
      </c>
      <c r="B856" s="25" t="s">
        <v>111</v>
      </c>
      <c r="C856" s="39">
        <v>7.98</v>
      </c>
      <c r="D856" s="50">
        <v>0.24234152634880746</v>
      </c>
      <c r="E856" s="28">
        <v>0.36897080730282472</v>
      </c>
      <c r="F856" s="51">
        <v>0.98775376411543303</v>
      </c>
      <c r="G856" s="28">
        <v>0.23878691648827166</v>
      </c>
      <c r="H856" s="55" t="s">
        <v>27</v>
      </c>
      <c r="I856" s="50">
        <v>64.808927823086563</v>
      </c>
      <c r="J856">
        <f t="shared" si="45"/>
        <v>0.22435939104903321</v>
      </c>
    </row>
    <row r="857" spans="1:10" ht="12.75" customHeight="1" x14ac:dyDescent="0.15">
      <c r="A857" s="126">
        <v>123</v>
      </c>
      <c r="B857" s="25" t="s">
        <v>112</v>
      </c>
      <c r="C857" s="39">
        <v>7.9766666666666675</v>
      </c>
      <c r="D857" s="50">
        <v>0.23513674820143904</v>
      </c>
      <c r="E857" s="28">
        <v>0.36720626267438522</v>
      </c>
      <c r="F857" s="51">
        <v>0.95525552517985601</v>
      </c>
      <c r="G857" s="28">
        <v>0.23516252131102844</v>
      </c>
      <c r="H857" s="55" t="s">
        <v>27</v>
      </c>
      <c r="I857" s="50">
        <v>63.177905111294947</v>
      </c>
      <c r="J857">
        <f t="shared" si="45"/>
        <v>0.22330915954293135</v>
      </c>
    </row>
    <row r="858" spans="1:10" ht="12.75" customHeight="1" x14ac:dyDescent="0.15">
      <c r="A858" s="126">
        <v>124</v>
      </c>
      <c r="B858" s="25" t="s">
        <v>113</v>
      </c>
      <c r="C858" s="39">
        <v>7.98</v>
      </c>
      <c r="D858" s="50">
        <v>0.22652789964794329</v>
      </c>
      <c r="E858" s="28">
        <v>0.3876843736313289</v>
      </c>
      <c r="F858" s="51">
        <v>0.91645933749399922</v>
      </c>
      <c r="G858" s="28">
        <v>0.24531576030565427</v>
      </c>
      <c r="H858" s="55" t="s">
        <v>27</v>
      </c>
      <c r="I858" s="50">
        <v>57.515285421219353</v>
      </c>
      <c r="J858">
        <f t="shared" si="45"/>
        <v>0.23631411857450618</v>
      </c>
    </row>
    <row r="859" spans="1:10" ht="12.75" customHeight="1" x14ac:dyDescent="0.15">
      <c r="A859" s="126">
        <v>125</v>
      </c>
      <c r="B859" s="25" t="s">
        <v>114</v>
      </c>
      <c r="C859" s="39">
        <v>7.9766666666666675</v>
      </c>
      <c r="D859" s="50">
        <v>0.22261600984284546</v>
      </c>
      <c r="E859" s="28">
        <v>0.38748417340478464</v>
      </c>
      <c r="F859" s="51">
        <v>0.89101472291149719</v>
      </c>
      <c r="G859" s="28">
        <v>0.24227898731088951</v>
      </c>
      <c r="H859" s="55" t="s">
        <v>27</v>
      </c>
      <c r="I859" s="50">
        <v>56.531876479473389</v>
      </c>
      <c r="J859">
        <f t="shared" si="45"/>
        <v>0.23627308029339186</v>
      </c>
    </row>
    <row r="860" spans="1:10" ht="12.75" customHeight="1" x14ac:dyDescent="0.15">
      <c r="A860" s="126">
        <v>126</v>
      </c>
      <c r="B860" s="25" t="s">
        <v>115</v>
      </c>
      <c r="C860" s="39">
        <v>7.9766666666666675</v>
      </c>
      <c r="D860" s="50">
        <v>0.20659234194680309</v>
      </c>
      <c r="E860" s="28">
        <v>0.39053116942556504</v>
      </c>
      <c r="F860" s="51">
        <v>0.81930778947368432</v>
      </c>
      <c r="G860" s="28">
        <v>0.23990934398196576</v>
      </c>
      <c r="H860" s="55" t="s">
        <v>27</v>
      </c>
      <c r="I860" s="50">
        <v>52.028434852631598</v>
      </c>
      <c r="J860">
        <f t="shared" si="45"/>
        <v>0.23824550079044363</v>
      </c>
    </row>
    <row r="861" spans="1:10" ht="12.75" customHeight="1" x14ac:dyDescent="0.15">
      <c r="A861" s="126">
        <v>127</v>
      </c>
      <c r="B861" s="25" t="s">
        <v>116</v>
      </c>
      <c r="C861" s="39">
        <v>7.9766666666666675</v>
      </c>
      <c r="D861" s="50">
        <v>0.2282427026584869</v>
      </c>
      <c r="E861" s="28">
        <v>0.40668487823177746</v>
      </c>
      <c r="F861" s="51">
        <v>0.91746423721881387</v>
      </c>
      <c r="G861" s="28">
        <v>0.25468594925947907</v>
      </c>
      <c r="H861" s="55" t="s">
        <v>27</v>
      </c>
      <c r="I861" s="50">
        <v>55.180376519706869</v>
      </c>
      <c r="J861">
        <f t="shared" si="45"/>
        <v>0.24817812097781539</v>
      </c>
    </row>
    <row r="862" spans="1:10" ht="12.75" customHeight="1" x14ac:dyDescent="0.15">
      <c r="A862" s="126">
        <v>128</v>
      </c>
      <c r="B862" s="25" t="s">
        <v>117</v>
      </c>
      <c r="C862" s="39">
        <v>7.9766666666666675</v>
      </c>
      <c r="D862" s="50">
        <v>0.22959063721896367</v>
      </c>
      <c r="E862" s="28">
        <v>0.39391772377138151</v>
      </c>
      <c r="F862" s="51">
        <v>0.9184973570381233</v>
      </c>
      <c r="G862" s="28">
        <v>0.24698099438017015</v>
      </c>
      <c r="H862" s="55" t="s">
        <v>27</v>
      </c>
      <c r="I862" s="50">
        <v>57.321218836632454</v>
      </c>
      <c r="J862">
        <f t="shared" si="45"/>
        <v>0.24032005098144052</v>
      </c>
    </row>
    <row r="863" spans="1:10" ht="12.75" customHeight="1" x14ac:dyDescent="0.15">
      <c r="A863" s="126">
        <v>129</v>
      </c>
      <c r="B863" s="25" t="s">
        <v>2</v>
      </c>
      <c r="C863" s="39">
        <v>7.9766666666666675</v>
      </c>
      <c r="D863" s="50">
        <v>0.19239192061792254</v>
      </c>
      <c r="E863" s="28">
        <v>0.39640049353203716</v>
      </c>
      <c r="F863" s="51">
        <v>0.76127241506646981</v>
      </c>
      <c r="G863" s="28">
        <v>0.24162774798444173</v>
      </c>
      <c r="H863" s="55" t="s">
        <v>27</v>
      </c>
      <c r="I863" s="50">
        <v>47.724144799753816</v>
      </c>
      <c r="J863">
        <f t="shared" si="45"/>
        <v>0.24187998099307795</v>
      </c>
    </row>
    <row r="864" spans="1:10" ht="12.75" customHeight="1" x14ac:dyDescent="0.15">
      <c r="A864" s="126">
        <v>130</v>
      </c>
      <c r="B864" s="25" t="s">
        <v>118</v>
      </c>
      <c r="C864" s="39">
        <v>7.9766666666666675</v>
      </c>
      <c r="D864" s="50">
        <v>0.20850356434500616</v>
      </c>
      <c r="E864" s="28">
        <v>0.39643230212075259</v>
      </c>
      <c r="F864" s="51">
        <v>0.83100953307393011</v>
      </c>
      <c r="G864" s="28">
        <v>0.24474795486566014</v>
      </c>
      <c r="H864" s="55" t="s">
        <v>27</v>
      </c>
      <c r="I864" s="50">
        <v>51.717306669682266</v>
      </c>
      <c r="J864">
        <f t="shared" si="45"/>
        <v>0.24189608211044197</v>
      </c>
    </row>
    <row r="865" spans="1:10" ht="12.75" customHeight="1" x14ac:dyDescent="0.15">
      <c r="A865" s="126">
        <v>131</v>
      </c>
      <c r="B865" s="25" t="s">
        <v>119</v>
      </c>
      <c r="C865" s="39">
        <v>7.9766666666666675</v>
      </c>
      <c r="D865" s="50">
        <v>0.1996641649724038</v>
      </c>
      <c r="E865" s="28">
        <v>0.41047764914392271</v>
      </c>
      <c r="F865" s="51">
        <v>0.79541985752791677</v>
      </c>
      <c r="G865" s="28">
        <v>0.25130376172731206</v>
      </c>
      <c r="H865" s="55" t="s">
        <v>27</v>
      </c>
      <c r="I865" s="50">
        <v>47.821912068194067</v>
      </c>
      <c r="J865">
        <f t="shared" si="45"/>
        <v>0.25050963836956069</v>
      </c>
    </row>
    <row r="866" spans="1:10" ht="12.75" customHeight="1" x14ac:dyDescent="0.15">
      <c r="A866" s="126">
        <v>132</v>
      </c>
      <c r="B866" s="25" t="s">
        <v>120</v>
      </c>
      <c r="C866" s="39">
        <v>7.9766666666666675</v>
      </c>
      <c r="D866" s="50">
        <v>0.22968369925373122</v>
      </c>
      <c r="E866" s="28">
        <v>0.40231411455101174</v>
      </c>
      <c r="F866" s="51">
        <v>0.92462956009426556</v>
      </c>
      <c r="G866" s="28">
        <v>0.25231855831856587</v>
      </c>
      <c r="H866" s="55" t="s">
        <v>27</v>
      </c>
      <c r="I866" s="50">
        <v>56.152897415161078</v>
      </c>
      <c r="J866">
        <f t="shared" si="45"/>
        <v>0.24541960592585643</v>
      </c>
    </row>
    <row r="867" spans="1:10" ht="12.75" customHeight="1" x14ac:dyDescent="0.15">
      <c r="A867" s="126">
        <v>133</v>
      </c>
      <c r="B867" s="25" t="s">
        <v>121</v>
      </c>
      <c r="C867" s="39">
        <v>7.9766666666666675</v>
      </c>
      <c r="D867" s="50">
        <v>0.24585549480956082</v>
      </c>
      <c r="E867" s="28">
        <v>0.39206893961097922</v>
      </c>
      <c r="F867" s="51">
        <v>0.91330390589992527</v>
      </c>
      <c r="G867" s="28">
        <v>0.22962465904179705</v>
      </c>
      <c r="H867" s="55" t="s">
        <v>27</v>
      </c>
      <c r="I867" s="50">
        <v>61.928488706995253</v>
      </c>
      <c r="J867">
        <f t="shared" si="45"/>
        <v>0.23819941349396087</v>
      </c>
    </row>
    <row r="868" spans="1:10" ht="12.75" customHeight="1" x14ac:dyDescent="0.15">
      <c r="A868" s="126">
        <v>134</v>
      </c>
      <c r="B868" s="25" t="s">
        <v>122</v>
      </c>
      <c r="C868" s="39">
        <v>7.9733333333333336</v>
      </c>
      <c r="D868" s="50">
        <v>0.26074089630786323</v>
      </c>
      <c r="E868" s="28">
        <v>0.41708840709449768</v>
      </c>
      <c r="F868" s="51">
        <v>0.91131594444444453</v>
      </c>
      <c r="G868" s="28">
        <v>0.22981760508557522</v>
      </c>
      <c r="H868" s="55" t="s">
        <v>27</v>
      </c>
      <c r="I868" s="50">
        <v>61.817186380277789</v>
      </c>
      <c r="J868">
        <f t="shared" si="45"/>
        <v>0.25307612161822712</v>
      </c>
    </row>
    <row r="869" spans="1:10" ht="12.75" customHeight="1" x14ac:dyDescent="0.15">
      <c r="A869" s="126">
        <v>135</v>
      </c>
      <c r="B869" s="25" t="s">
        <v>123</v>
      </c>
      <c r="C869" s="39">
        <v>7.9766666666666675</v>
      </c>
      <c r="D869" s="50">
        <v>0.2574803047008527</v>
      </c>
      <c r="E869" s="28">
        <v>0.41346020629968677</v>
      </c>
      <c r="F869" s="51">
        <v>0.90482977920227936</v>
      </c>
      <c r="G869" s="28">
        <v>0.22884800453434109</v>
      </c>
      <c r="H869" s="55" t="s">
        <v>27</v>
      </c>
      <c r="I869" s="50">
        <v>61.506300755140082</v>
      </c>
      <c r="J869">
        <f t="shared" si="45"/>
        <v>0.25117456410772848</v>
      </c>
    </row>
    <row r="870" spans="1:10" ht="12.75" customHeight="1" x14ac:dyDescent="0.15">
      <c r="A870" s="126">
        <v>136</v>
      </c>
      <c r="B870" s="25" t="s">
        <v>128</v>
      </c>
      <c r="C870" s="39">
        <v>7.9766666666666675</v>
      </c>
      <c r="D870" s="50">
        <v>0.22857515922619021</v>
      </c>
      <c r="E870" s="28">
        <v>0.36101962302087981</v>
      </c>
      <c r="F870" s="51">
        <v>0.92142350274725271</v>
      </c>
      <c r="G870" s="28">
        <v>0.22955425811156757</v>
      </c>
      <c r="H870" s="55" t="s">
        <v>27</v>
      </c>
      <c r="I870" s="50">
        <v>62.452611142238979</v>
      </c>
      <c r="J870">
        <f t="shared" si="45"/>
        <v>0.21959865732972994</v>
      </c>
    </row>
    <row r="871" spans="1:10" ht="12.75" customHeight="1" x14ac:dyDescent="0.15">
      <c r="A871" s="126">
        <v>137</v>
      </c>
      <c r="B871" s="25" t="s">
        <v>90</v>
      </c>
      <c r="C871" s="39">
        <v>7.98</v>
      </c>
      <c r="D871" s="50">
        <v>0.22887212703562387</v>
      </c>
      <c r="E871" s="28">
        <v>0.35726559542924069</v>
      </c>
      <c r="F871" s="51">
        <v>0.9266918893129773</v>
      </c>
      <c r="G871" s="28">
        <v>0.22859184538889843</v>
      </c>
      <c r="H871" s="55" t="s">
        <v>27</v>
      </c>
      <c r="I871" s="50">
        <v>63.212295928689542</v>
      </c>
      <c r="J871">
        <f t="shared" si="45"/>
        <v>0.21724139932567893</v>
      </c>
    </row>
    <row r="872" spans="1:10" ht="12.75" customHeight="1" x14ac:dyDescent="0.15">
      <c r="A872" s="126">
        <v>138</v>
      </c>
      <c r="B872" s="25" t="s">
        <v>91</v>
      </c>
      <c r="C872" s="39">
        <v>7.98</v>
      </c>
      <c r="D872" s="50">
        <v>0.23724339179292886</v>
      </c>
      <c r="E872" s="28">
        <v>0.36984933053945651</v>
      </c>
      <c r="F872" s="51">
        <v>0.93077170454545477</v>
      </c>
      <c r="G872" s="28">
        <v>0.22931859885113784</v>
      </c>
      <c r="H872" s="55" t="s">
        <v>27</v>
      </c>
      <c r="I872" s="50">
        <v>63.296025119791629</v>
      </c>
      <c r="J872">
        <f t="shared" si="45"/>
        <v>0.2248893746587699</v>
      </c>
    </row>
    <row r="873" spans="1:10" ht="12.75" customHeight="1" x14ac:dyDescent="0.15">
      <c r="A873" s="126">
        <v>139</v>
      </c>
      <c r="B873" s="25" t="s">
        <v>92</v>
      </c>
      <c r="C873" s="39">
        <v>7.98</v>
      </c>
      <c r="D873" s="50">
        <v>0.22449823797603818</v>
      </c>
      <c r="E873" s="28">
        <v>0.35439953001239471</v>
      </c>
      <c r="F873" s="51">
        <v>0.91688419768934537</v>
      </c>
      <c r="G873" s="28">
        <v>0.22850069752317037</v>
      </c>
      <c r="H873" s="55" t="s">
        <v>27</v>
      </c>
      <c r="I873" s="50">
        <v>62.536778717597343</v>
      </c>
      <c r="J873">
        <f t="shared" si="45"/>
        <v>0.21539155925170755</v>
      </c>
    </row>
    <row r="874" spans="1:10" ht="12.75" customHeight="1" x14ac:dyDescent="0.15">
      <c r="A874" s="126">
        <v>140</v>
      </c>
      <c r="B874" s="25" t="s">
        <v>93</v>
      </c>
      <c r="C874" s="39">
        <v>7.98</v>
      </c>
      <c r="D874" s="50">
        <v>0.22287715951023801</v>
      </c>
      <c r="E874" s="28">
        <v>0.35187082017782895</v>
      </c>
      <c r="F874" s="51">
        <v>0.91043805573147574</v>
      </c>
      <c r="G874" s="28">
        <v>0.22688586855241857</v>
      </c>
      <c r="H874" s="55" t="s">
        <v>27</v>
      </c>
      <c r="I874" s="50">
        <v>62.533235392600837</v>
      </c>
      <c r="J874">
        <f t="shared" si="45"/>
        <v>0.21384835578484365</v>
      </c>
    </row>
    <row r="875" spans="1:10" ht="12.75" customHeight="1" x14ac:dyDescent="0.15">
      <c r="A875" s="126">
        <v>141</v>
      </c>
      <c r="B875" s="25" t="s">
        <v>94</v>
      </c>
      <c r="C875" s="39">
        <v>7.98</v>
      </c>
      <c r="D875" s="50">
        <v>0.23091384016786598</v>
      </c>
      <c r="E875" s="28">
        <v>0.35772929293864503</v>
      </c>
      <c r="F875" s="51">
        <v>0.93961465227817764</v>
      </c>
      <c r="G875" s="28">
        <v>0.23016864905991546</v>
      </c>
      <c r="H875" s="55" t="s">
        <v>27</v>
      </c>
      <c r="I875" s="50">
        <v>63.703504317346187</v>
      </c>
      <c r="J875">
        <f t="shared" si="45"/>
        <v>0.21748929762250691</v>
      </c>
    </row>
    <row r="876" spans="1:10" ht="12.75" customHeight="1" x14ac:dyDescent="0.15">
      <c r="A876" s="126">
        <v>142</v>
      </c>
      <c r="B876" s="25" t="s">
        <v>95</v>
      </c>
      <c r="C876" s="39">
        <v>7.98</v>
      </c>
      <c r="D876" s="50">
        <v>0.22721083387507979</v>
      </c>
      <c r="E876" s="28">
        <v>0.35642110670528948</v>
      </c>
      <c r="F876" s="51">
        <v>0.92624800669216067</v>
      </c>
      <c r="G876" s="28">
        <v>0.22914676744485149</v>
      </c>
      <c r="H876" s="55" t="s">
        <v>27</v>
      </c>
      <c r="I876" s="50">
        <v>62.918978902955701</v>
      </c>
      <c r="J876">
        <f t="shared" si="45"/>
        <v>0.2166699185238109</v>
      </c>
    </row>
    <row r="877" spans="1:10" ht="12.75" customHeight="1" x14ac:dyDescent="0.15">
      <c r="A877" s="126">
        <v>143</v>
      </c>
      <c r="B877" s="25" t="s">
        <v>96</v>
      </c>
      <c r="C877" s="39">
        <v>7.98</v>
      </c>
      <c r="D877" s="50">
        <v>0.22996542484189408</v>
      </c>
      <c r="E877" s="28">
        <v>0.35835045596221787</v>
      </c>
      <c r="F877" s="51">
        <v>0.9373861453031006</v>
      </c>
      <c r="G877" s="28">
        <v>0.23062159259835904</v>
      </c>
      <c r="H877" s="55" t="s">
        <v>27</v>
      </c>
      <c r="I877" s="50">
        <v>63.33073680691038</v>
      </c>
      <c r="J877">
        <f t="shared" si="45"/>
        <v>0.21787091365417485</v>
      </c>
    </row>
    <row r="878" spans="1:10" ht="12.75" customHeight="1" x14ac:dyDescent="0.15">
      <c r="A878" s="126">
        <v>144</v>
      </c>
      <c r="B878" s="25" t="s">
        <v>97</v>
      </c>
      <c r="C878" s="39">
        <v>7.98</v>
      </c>
      <c r="D878" s="50">
        <v>0.23049233873661024</v>
      </c>
      <c r="E878" s="28">
        <v>0.35415352032964925</v>
      </c>
      <c r="F878" s="51">
        <v>0.93746125708884687</v>
      </c>
      <c r="G878" s="28">
        <v>0.2282935697690027</v>
      </c>
      <c r="H878" s="55" t="s">
        <v>27</v>
      </c>
      <c r="I878" s="50">
        <v>64.228154255088214</v>
      </c>
      <c r="J878">
        <f t="shared" si="45"/>
        <v>0.21531897474853912</v>
      </c>
    </row>
    <row r="879" spans="1:10" ht="12.75" customHeight="1" x14ac:dyDescent="0.15">
      <c r="A879" s="126">
        <v>145</v>
      </c>
      <c r="B879" s="25" t="s">
        <v>98</v>
      </c>
      <c r="C879" s="39">
        <v>7.98</v>
      </c>
      <c r="D879" s="50">
        <v>0.23009863605263114</v>
      </c>
      <c r="E879" s="28">
        <v>0.37409936404256311</v>
      </c>
      <c r="F879" s="51">
        <v>0.89049700000000009</v>
      </c>
      <c r="G879" s="28">
        <v>0.22810067661555342</v>
      </c>
      <c r="H879" s="55" t="s">
        <v>27</v>
      </c>
      <c r="I879" s="50">
        <v>60.725100620701795</v>
      </c>
      <c r="J879">
        <f t="shared" si="45"/>
        <v>0.22735109570903361</v>
      </c>
    </row>
    <row r="880" spans="1:10" ht="12.75" customHeight="1" x14ac:dyDescent="0.15">
      <c r="A880" s="126">
        <v>146</v>
      </c>
      <c r="B880" s="25" t="s">
        <v>99</v>
      </c>
      <c r="C880" s="39">
        <v>7.98</v>
      </c>
      <c r="D880" s="50">
        <v>0.22037445477716711</v>
      </c>
      <c r="E880" s="28">
        <v>0.37081432446241691</v>
      </c>
      <c r="F880" s="51">
        <v>0.84705434065934071</v>
      </c>
      <c r="G880" s="28">
        <v>0.22346206967605098</v>
      </c>
      <c r="H880" s="55" t="s">
        <v>27</v>
      </c>
      <c r="I880" s="50">
        <v>58.665275300961554</v>
      </c>
      <c r="J880">
        <f t="shared" si="45"/>
        <v>0.22538831052606181</v>
      </c>
    </row>
    <row r="881" spans="1:10" ht="12.75" customHeight="1" x14ac:dyDescent="0.15">
      <c r="A881" s="126">
        <v>147</v>
      </c>
      <c r="B881" s="25" t="s">
        <v>100</v>
      </c>
      <c r="C881" s="39">
        <v>7.98</v>
      </c>
      <c r="D881" s="50">
        <v>0.21990437793416273</v>
      </c>
      <c r="E881" s="28">
        <v>0.36710147139672783</v>
      </c>
      <c r="F881" s="51">
        <v>0.84189245962159664</v>
      </c>
      <c r="G881" s="28">
        <v>0.2204235623993645</v>
      </c>
      <c r="H881" s="55" t="s">
        <v>27</v>
      </c>
      <c r="I881" s="50">
        <v>59.136328261652118</v>
      </c>
      <c r="J881">
        <f t="shared" ref="J881:J911" si="46">D881*60/I881</f>
        <v>0.22311602806435635</v>
      </c>
    </row>
    <row r="882" spans="1:10" ht="12.75" customHeight="1" x14ac:dyDescent="0.15">
      <c r="A882" s="126">
        <v>148</v>
      </c>
      <c r="B882" s="25" t="s">
        <v>101</v>
      </c>
      <c r="C882" s="39">
        <v>7.98</v>
      </c>
      <c r="D882" s="50">
        <v>0.21230339415992794</v>
      </c>
      <c r="E882" s="28">
        <v>0.35512064998981346</v>
      </c>
      <c r="F882" s="51">
        <v>0.83448628032345007</v>
      </c>
      <c r="G882" s="28">
        <v>0.21904120101189395</v>
      </c>
      <c r="H882" s="55" t="s">
        <v>27</v>
      </c>
      <c r="I882" s="50">
        <v>58.987308156064685</v>
      </c>
      <c r="J882">
        <f t="shared" si="46"/>
        <v>0.21594821068786163</v>
      </c>
    </row>
    <row r="883" spans="1:10" ht="12.75" customHeight="1" x14ac:dyDescent="0.15">
      <c r="A883" s="126">
        <v>149</v>
      </c>
      <c r="B883" s="25" t="s">
        <v>102</v>
      </c>
      <c r="C883" s="39">
        <v>7.98</v>
      </c>
      <c r="D883" s="50">
        <v>0.21475988598326334</v>
      </c>
      <c r="E883" s="28">
        <v>0.36355085389929043</v>
      </c>
      <c r="F883" s="51">
        <v>0.82020970711297081</v>
      </c>
      <c r="G883" s="28">
        <v>0.21859055311627984</v>
      </c>
      <c r="H883" s="55" t="s">
        <v>27</v>
      </c>
      <c r="I883" s="50">
        <v>58.307825072524381</v>
      </c>
      <c r="J883">
        <f t="shared" si="46"/>
        <v>0.22099251932255154</v>
      </c>
    </row>
    <row r="884" spans="1:10" ht="12.75" customHeight="1" x14ac:dyDescent="0.15">
      <c r="A884" s="126">
        <v>150</v>
      </c>
      <c r="B884" s="25" t="s">
        <v>103</v>
      </c>
      <c r="C884" s="39">
        <v>7.98</v>
      </c>
      <c r="D884" s="50">
        <v>0.2156304947554224</v>
      </c>
      <c r="E884" s="28">
        <v>0.35950740445382534</v>
      </c>
      <c r="F884" s="51">
        <v>0.84343319213313173</v>
      </c>
      <c r="G884" s="28">
        <v>0.2205643816558438</v>
      </c>
      <c r="H884" s="55" t="s">
        <v>27</v>
      </c>
      <c r="I884" s="50">
        <v>59.194365860993422</v>
      </c>
      <c r="J884">
        <f t="shared" si="46"/>
        <v>0.21856522148927732</v>
      </c>
    </row>
    <row r="885" spans="1:10" ht="12.75" customHeight="1" x14ac:dyDescent="0.15">
      <c r="A885" s="126">
        <v>151</v>
      </c>
      <c r="B885" s="25" t="s">
        <v>104</v>
      </c>
      <c r="C885" s="39">
        <v>7.98</v>
      </c>
      <c r="D885" s="50">
        <v>0.21148077343580218</v>
      </c>
      <c r="E885" s="28">
        <v>0.36299760398479036</v>
      </c>
      <c r="F885" s="51">
        <v>0.80792086166744304</v>
      </c>
      <c r="G885" s="28">
        <v>0.21694685984591275</v>
      </c>
      <c r="H885" s="55" t="s">
        <v>27</v>
      </c>
      <c r="I885" s="50">
        <v>57.588613228815397</v>
      </c>
      <c r="J885">
        <f t="shared" si="46"/>
        <v>0.22033602989764406</v>
      </c>
    </row>
    <row r="886" spans="1:10" ht="12.75" customHeight="1" x14ac:dyDescent="0.15">
      <c r="A886" s="126">
        <v>152</v>
      </c>
      <c r="B886" s="25" t="s">
        <v>105</v>
      </c>
      <c r="C886" s="39">
        <v>7.98</v>
      </c>
      <c r="D886" s="50">
        <v>0.21974402381404312</v>
      </c>
      <c r="E886" s="28">
        <v>0.36545426469979209</v>
      </c>
      <c r="F886" s="51">
        <v>0.83927998102466794</v>
      </c>
      <c r="G886" s="28">
        <v>0.22050702259887639</v>
      </c>
      <c r="H886" s="55" t="s">
        <v>27</v>
      </c>
      <c r="I886" s="50">
        <v>59.496575072296039</v>
      </c>
      <c r="J886">
        <f t="shared" si="46"/>
        <v>0.22160336814046089</v>
      </c>
    </row>
    <row r="887" spans="1:10" ht="12.75" customHeight="1" x14ac:dyDescent="0.15">
      <c r="A887" s="126">
        <v>153</v>
      </c>
      <c r="B887" s="25" t="s">
        <v>106</v>
      </c>
      <c r="C887" s="39">
        <v>7.9766666666666675</v>
      </c>
      <c r="D887" s="50">
        <v>0.21948074650537674</v>
      </c>
      <c r="E887" s="28">
        <v>0.3638235321987135</v>
      </c>
      <c r="F887" s="51">
        <v>0.84378451612903238</v>
      </c>
      <c r="G887" s="28">
        <v>0.21968354545042204</v>
      </c>
      <c r="H887" s="55" t="s">
        <v>27</v>
      </c>
      <c r="I887" s="50">
        <v>59.651266521774204</v>
      </c>
      <c r="J887">
        <f t="shared" si="46"/>
        <v>0.22076387574295087</v>
      </c>
    </row>
    <row r="888" spans="1:10" ht="12.75" customHeight="1" x14ac:dyDescent="0.15">
      <c r="A888" s="126">
        <v>154</v>
      </c>
      <c r="B888" s="25" t="s">
        <v>107</v>
      </c>
      <c r="C888" s="39">
        <v>7.9733333333333336</v>
      </c>
      <c r="D888" s="50">
        <v>0.2135812556526524</v>
      </c>
      <c r="E888" s="28">
        <v>0.36423937681684015</v>
      </c>
      <c r="F888" s="51">
        <v>0.82017244685876245</v>
      </c>
      <c r="G888" s="28">
        <v>0.21872686635459637</v>
      </c>
      <c r="H888" s="55" t="s">
        <v>27</v>
      </c>
      <c r="I888" s="50">
        <v>58.087827809045862</v>
      </c>
      <c r="J888">
        <f t="shared" si="46"/>
        <v>0.22061205974659492</v>
      </c>
    </row>
    <row r="889" spans="1:10" ht="12.75" customHeight="1" x14ac:dyDescent="0.15">
      <c r="A889" s="126">
        <v>155</v>
      </c>
      <c r="B889" s="25" t="s">
        <v>108</v>
      </c>
      <c r="C889" s="39">
        <v>7.9766666666666675</v>
      </c>
      <c r="D889" s="50">
        <v>0.21911220115480967</v>
      </c>
      <c r="E889" s="28">
        <v>0.36445189799202055</v>
      </c>
      <c r="F889" s="51">
        <v>0.83968329588014989</v>
      </c>
      <c r="G889" s="28">
        <v>0.21891798870975346</v>
      </c>
      <c r="H889" s="55" t="s">
        <v>27</v>
      </c>
      <c r="I889" s="50">
        <v>59.486293716104903</v>
      </c>
      <c r="J889">
        <f t="shared" si="46"/>
        <v>0.22100439022189958</v>
      </c>
    </row>
    <row r="890" spans="1:10" ht="12.75" customHeight="1" x14ac:dyDescent="0.15">
      <c r="A890" s="126">
        <v>156</v>
      </c>
      <c r="B890" s="25" t="s">
        <v>109</v>
      </c>
      <c r="C890" s="39">
        <v>7.9766666666666675</v>
      </c>
      <c r="D890" s="50">
        <v>0.21768176474479906</v>
      </c>
      <c r="E890" s="28">
        <v>0.36373267185750807</v>
      </c>
      <c r="F890" s="51">
        <v>0.83599710775047253</v>
      </c>
      <c r="G890" s="28">
        <v>0.2189649119788355</v>
      </c>
      <c r="H890" s="55" t="s">
        <v>27</v>
      </c>
      <c r="I890" s="50">
        <v>59.274260992564599</v>
      </c>
      <c r="J890">
        <f t="shared" si="46"/>
        <v>0.2203470050234167</v>
      </c>
    </row>
    <row r="891" spans="1:10" ht="12.75" customHeight="1" x14ac:dyDescent="0.15">
      <c r="A891" s="126">
        <v>157</v>
      </c>
      <c r="B891" s="25" t="s">
        <v>110</v>
      </c>
      <c r="C891" s="39">
        <v>7.9766666666666675</v>
      </c>
      <c r="D891" s="50">
        <v>0.23531017168542845</v>
      </c>
      <c r="E891" s="28">
        <v>0.39032804785979902</v>
      </c>
      <c r="F891" s="51">
        <v>0.95901444652908074</v>
      </c>
      <c r="G891" s="28">
        <v>0.24906210533811057</v>
      </c>
      <c r="H891" s="55" t="s">
        <v>27</v>
      </c>
      <c r="I891" s="50">
        <v>59.461116428486548</v>
      </c>
      <c r="J891">
        <f t="shared" si="46"/>
        <v>0.2374427381986017</v>
      </c>
    </row>
    <row r="892" spans="1:10" ht="12.75" customHeight="1" x14ac:dyDescent="0.15">
      <c r="A892" s="126">
        <v>158</v>
      </c>
      <c r="B892" s="25" t="s">
        <v>111</v>
      </c>
      <c r="C892" s="39">
        <v>7.9766666666666675</v>
      </c>
      <c r="D892" s="50">
        <v>0.23944446387434515</v>
      </c>
      <c r="E892" s="28">
        <v>0.38419499973284638</v>
      </c>
      <c r="F892" s="51">
        <v>0.97725017610661591</v>
      </c>
      <c r="G892" s="28">
        <v>0.24648395706136356</v>
      </c>
      <c r="H892" s="55" t="s">
        <v>27</v>
      </c>
      <c r="I892" s="50">
        <v>61.469841244589908</v>
      </c>
      <c r="J892">
        <f t="shared" si="46"/>
        <v>0.23371896757135599</v>
      </c>
    </row>
    <row r="893" spans="1:10" ht="12.75" customHeight="1" x14ac:dyDescent="0.15">
      <c r="A893" s="126">
        <v>159</v>
      </c>
      <c r="B893" s="25" t="s">
        <v>112</v>
      </c>
      <c r="C893" s="39">
        <v>7.9766666666666675</v>
      </c>
      <c r="D893" s="50">
        <v>0.24137650414828848</v>
      </c>
      <c r="E893" s="28">
        <v>0.39006701798175797</v>
      </c>
      <c r="F893" s="51">
        <v>0.95491284183994962</v>
      </c>
      <c r="G893" s="28">
        <v>0.24306860485523385</v>
      </c>
      <c r="H893" s="55" t="s">
        <v>27</v>
      </c>
      <c r="I893" s="50">
        <v>60.970947925299335</v>
      </c>
      <c r="J893">
        <f t="shared" si="46"/>
        <v>0.23753264040836558</v>
      </c>
    </row>
    <row r="894" spans="1:10" ht="12.75" customHeight="1" x14ac:dyDescent="0.15">
      <c r="A894" s="126">
        <v>160</v>
      </c>
      <c r="B894" s="25" t="s">
        <v>113</v>
      </c>
      <c r="C894" s="39">
        <v>7.9766666666666675</v>
      </c>
      <c r="D894" s="50">
        <v>0.21166203446050991</v>
      </c>
      <c r="E894" s="28">
        <v>0.38072071664853702</v>
      </c>
      <c r="F894" s="51">
        <v>0.8589214319029852</v>
      </c>
      <c r="G894" s="28">
        <v>0.24127529219102939</v>
      </c>
      <c r="H894" s="55" t="s">
        <v>27</v>
      </c>
      <c r="I894" s="50">
        <v>54.520806399696767</v>
      </c>
      <c r="J894">
        <f t="shared" si="46"/>
        <v>0.23293349651741813</v>
      </c>
    </row>
    <row r="895" spans="1:10" ht="12.75" customHeight="1" x14ac:dyDescent="0.15">
      <c r="A895" s="126">
        <v>161</v>
      </c>
      <c r="B895" s="25" t="s">
        <v>114</v>
      </c>
      <c r="C895" s="39">
        <v>7.98</v>
      </c>
      <c r="D895" s="50">
        <v>0.17581417891036921</v>
      </c>
      <c r="E895" s="28">
        <v>0.39339498995035194</v>
      </c>
      <c r="F895" s="51">
        <v>0.69153257293497372</v>
      </c>
      <c r="G895" s="28">
        <v>0.23653213221078787</v>
      </c>
      <c r="H895" s="55" t="s">
        <v>27</v>
      </c>
      <c r="I895" s="50">
        <v>43.950901400527229</v>
      </c>
      <c r="J895">
        <f t="shared" si="46"/>
        <v>0.24001443425448404</v>
      </c>
    </row>
    <row r="896" spans="1:10" ht="12.75" customHeight="1" x14ac:dyDescent="0.15">
      <c r="A896" s="126">
        <v>162</v>
      </c>
      <c r="B896" s="25" t="s">
        <v>115</v>
      </c>
      <c r="C896" s="39">
        <v>7.98</v>
      </c>
      <c r="D896" s="50">
        <v>0.21571666471782369</v>
      </c>
      <c r="E896" s="28">
        <v>0.39662995883084629</v>
      </c>
      <c r="F896" s="51">
        <v>0.85135789890377589</v>
      </c>
      <c r="G896" s="28">
        <v>0.24344764349716844</v>
      </c>
      <c r="H896" s="55" t="s">
        <v>27</v>
      </c>
      <c r="I896" s="50">
        <v>53.485458857105151</v>
      </c>
      <c r="J896">
        <f t="shared" si="46"/>
        <v>0.24199100390348507</v>
      </c>
    </row>
    <row r="897" spans="1:10" ht="12.75" customHeight="1" x14ac:dyDescent="0.15">
      <c r="A897" s="126">
        <v>163</v>
      </c>
      <c r="B897" s="25" t="s">
        <v>116</v>
      </c>
      <c r="C897" s="39">
        <v>7.9833333333333334</v>
      </c>
      <c r="D897" s="50">
        <v>0.24582420501377433</v>
      </c>
      <c r="E897" s="28">
        <v>0.40897347716297056</v>
      </c>
      <c r="F897" s="51">
        <v>0.98781614876033064</v>
      </c>
      <c r="G897" s="28">
        <v>0.25815862414699858</v>
      </c>
      <c r="H897" s="55" t="s">
        <v>27</v>
      </c>
      <c r="I897" s="50">
        <v>59.119502351570304</v>
      </c>
      <c r="J897">
        <f t="shared" si="46"/>
        <v>0.24948539338363854</v>
      </c>
    </row>
    <row r="898" spans="1:10" ht="12.75" customHeight="1" x14ac:dyDescent="0.15">
      <c r="A898" s="126">
        <v>164</v>
      </c>
      <c r="B898" s="25" t="s">
        <v>117</v>
      </c>
      <c r="C898" s="39">
        <v>7.9866666666666672</v>
      </c>
      <c r="D898" s="50">
        <v>0.24154865333889819</v>
      </c>
      <c r="E898" s="28">
        <v>0.40600105957465626</v>
      </c>
      <c r="F898" s="51">
        <v>0.97238788981636071</v>
      </c>
      <c r="G898" s="28">
        <v>0.25615042995510973</v>
      </c>
      <c r="H898" s="55" t="s">
        <v>27</v>
      </c>
      <c r="I898" s="50">
        <v>58.525964938708938</v>
      </c>
      <c r="J898">
        <f t="shared" si="46"/>
        <v>0.24763229816905261</v>
      </c>
    </row>
    <row r="899" spans="1:10" ht="12.75" customHeight="1" x14ac:dyDescent="0.15">
      <c r="A899" s="126">
        <v>165</v>
      </c>
      <c r="B899" s="25" t="s">
        <v>2</v>
      </c>
      <c r="C899" s="39">
        <v>7.99</v>
      </c>
      <c r="D899" s="50">
        <v>0.25278790996563583</v>
      </c>
      <c r="E899" s="28">
        <v>0.42128377134956319</v>
      </c>
      <c r="F899" s="51">
        <v>1.0237801030927836</v>
      </c>
      <c r="G899" s="28">
        <v>0.26735628449780841</v>
      </c>
      <c r="H899" s="55" t="s">
        <v>27</v>
      </c>
      <c r="I899" s="50">
        <v>59.032344493814414</v>
      </c>
      <c r="J899">
        <f t="shared" si="46"/>
        <v>0.25693159788914399</v>
      </c>
    </row>
    <row r="900" spans="1:10" ht="12.75" customHeight="1" x14ac:dyDescent="0.15">
      <c r="A900" s="126">
        <v>166</v>
      </c>
      <c r="B900" s="25" t="s">
        <v>118</v>
      </c>
      <c r="C900" s="39">
        <v>7.9933333333333341</v>
      </c>
      <c r="D900" s="50">
        <v>0.2433216789705317</v>
      </c>
      <c r="E900" s="28">
        <v>0.42377373334326635</v>
      </c>
      <c r="F900" s="51">
        <v>0.89582964408725607</v>
      </c>
      <c r="G900" s="28">
        <v>0.24278878891613809</v>
      </c>
      <c r="H900" s="55" t="s">
        <v>27</v>
      </c>
      <c r="I900" s="50">
        <v>56.395719049521624</v>
      </c>
      <c r="J900">
        <f t="shared" si="46"/>
        <v>0.25887249926562894</v>
      </c>
    </row>
    <row r="901" spans="1:10" ht="12.75" customHeight="1" x14ac:dyDescent="0.15">
      <c r="A901" s="126">
        <v>167</v>
      </c>
      <c r="B901" s="25" t="s">
        <v>118</v>
      </c>
      <c r="C901" s="39">
        <v>7.94</v>
      </c>
      <c r="D901" s="50">
        <v>0.22437334849340906</v>
      </c>
      <c r="E901" s="28">
        <v>0.39007756469506327</v>
      </c>
      <c r="F901" s="51">
        <v>0.9080030508474578</v>
      </c>
      <c r="G901" s="28">
        <v>0.24402596780849231</v>
      </c>
      <c r="H901" s="55" t="s">
        <v>27</v>
      </c>
      <c r="I901" s="50">
        <v>56.54936800903954</v>
      </c>
      <c r="J901">
        <f t="shared" si="46"/>
        <v>0.23806456877559709</v>
      </c>
    </row>
    <row r="902" spans="1:10" ht="12.75" customHeight="1" x14ac:dyDescent="0.15">
      <c r="A902" s="126">
        <v>168</v>
      </c>
      <c r="B902" s="25" t="s">
        <v>119</v>
      </c>
      <c r="C902" s="39">
        <v>8</v>
      </c>
      <c r="D902" s="50">
        <v>0.26988096899179648</v>
      </c>
      <c r="E902" s="28">
        <v>0.41893374495797009</v>
      </c>
      <c r="F902" s="51">
        <v>1.0492857678780774</v>
      </c>
      <c r="G902" s="28">
        <v>0.25591848149067437</v>
      </c>
      <c r="H902" s="55" t="s">
        <v>27</v>
      </c>
      <c r="I902" s="50">
        <v>63.361954376123471</v>
      </c>
      <c r="J902">
        <f t="shared" si="46"/>
        <v>0.255561216489397</v>
      </c>
    </row>
    <row r="903" spans="1:10" ht="12.75" customHeight="1" x14ac:dyDescent="0.15">
      <c r="A903" s="126">
        <v>169</v>
      </c>
      <c r="B903" s="25" t="s">
        <v>120</v>
      </c>
      <c r="C903" s="39">
        <v>8</v>
      </c>
      <c r="D903" s="50">
        <v>0.23811463672053113</v>
      </c>
      <c r="E903" s="28">
        <v>0.37534183029781687</v>
      </c>
      <c r="F903" s="51">
        <v>0.97656402734617775</v>
      </c>
      <c r="G903" s="28">
        <v>0.24130447890754167</v>
      </c>
      <c r="H903" s="55" t="s">
        <v>27</v>
      </c>
      <c r="I903" s="50">
        <v>62.41068084308062</v>
      </c>
      <c r="J903">
        <f t="shared" si="46"/>
        <v>0.22891719831022855</v>
      </c>
    </row>
    <row r="904" spans="1:10" ht="12.75" customHeight="1" x14ac:dyDescent="0.15">
      <c r="A904" s="126">
        <v>170</v>
      </c>
      <c r="B904" s="25" t="s">
        <v>121</v>
      </c>
      <c r="C904" s="39">
        <v>8</v>
      </c>
      <c r="D904" s="50">
        <v>0.23725925874893072</v>
      </c>
      <c r="E904" s="28">
        <v>0.39603271582633431</v>
      </c>
      <c r="F904" s="51">
        <v>0.98165044977522031</v>
      </c>
      <c r="G904" s="28">
        <v>0.25424495755650267</v>
      </c>
      <c r="H904" s="55" t="s">
        <v>27</v>
      </c>
      <c r="I904" s="50">
        <v>58.934541500007974</v>
      </c>
      <c r="J904">
        <f t="shared" si="46"/>
        <v>0.24154859209236265</v>
      </c>
    </row>
    <row r="905" spans="1:10" ht="12.75" customHeight="1" x14ac:dyDescent="0.15">
      <c r="A905" s="126">
        <v>171</v>
      </c>
      <c r="B905" s="25" t="s">
        <v>122</v>
      </c>
      <c r="C905" s="39">
        <v>8</v>
      </c>
      <c r="D905" s="50">
        <v>0.24424840112676061</v>
      </c>
      <c r="E905" s="28">
        <v>0.39251452344447213</v>
      </c>
      <c r="F905" s="51">
        <v>1.0018372112676057</v>
      </c>
      <c r="G905" s="28">
        <v>0.25198925212606016</v>
      </c>
      <c r="H905" s="55" t="s">
        <v>27</v>
      </c>
      <c r="I905" s="50">
        <v>61.211187021455402</v>
      </c>
      <c r="J905">
        <f t="shared" si="46"/>
        <v>0.23941545297053105</v>
      </c>
    </row>
    <row r="906" spans="1:10" ht="12.75" customHeight="1" x14ac:dyDescent="0.15">
      <c r="A906" s="126">
        <v>172</v>
      </c>
      <c r="B906" s="25" t="s">
        <v>123</v>
      </c>
      <c r="C906" s="39">
        <v>8</v>
      </c>
      <c r="D906" s="50">
        <v>0.24831788039950053</v>
      </c>
      <c r="E906" s="28">
        <v>0.39717056352837543</v>
      </c>
      <c r="F906" s="51">
        <v>1.0174766131621189</v>
      </c>
      <c r="G906" s="28">
        <v>0.25493480790076062</v>
      </c>
      <c r="H906" s="55" t="s">
        <v>27</v>
      </c>
      <c r="I906" s="50">
        <v>61.507190869627252</v>
      </c>
      <c r="J906">
        <f t="shared" si="46"/>
        <v>0.24223302370531954</v>
      </c>
    </row>
    <row r="907" spans="1:10" ht="12.75" customHeight="1" x14ac:dyDescent="0.15">
      <c r="A907" s="126">
        <v>173</v>
      </c>
      <c r="B907" s="25" t="s">
        <v>113</v>
      </c>
      <c r="C907" s="39">
        <v>8.0033333333333339</v>
      </c>
      <c r="D907" s="50">
        <v>0.2118500883921568</v>
      </c>
      <c r="E907" s="28">
        <v>0.38734009128109287</v>
      </c>
      <c r="F907" s="51">
        <v>0.86629302352941195</v>
      </c>
      <c r="G907" s="28">
        <v>0.24353507644649133</v>
      </c>
      <c r="H907" s="55" t="s">
        <v>27</v>
      </c>
      <c r="I907" s="50">
        <v>53.88129227396081</v>
      </c>
      <c r="J907">
        <f t="shared" si="46"/>
        <v>0.23590758066640227</v>
      </c>
    </row>
    <row r="908" spans="1:10" ht="11.25" customHeight="1" x14ac:dyDescent="0.15">
      <c r="A908" s="126">
        <v>174</v>
      </c>
      <c r="B908" s="25" t="s">
        <v>85</v>
      </c>
      <c r="C908" s="39" t="s">
        <v>27</v>
      </c>
      <c r="D908" s="50" t="s">
        <v>27</v>
      </c>
      <c r="E908" s="28" t="s">
        <v>27</v>
      </c>
      <c r="F908" s="51" t="s">
        <v>27</v>
      </c>
      <c r="G908" s="28" t="s">
        <v>27</v>
      </c>
      <c r="H908" s="55" t="s">
        <v>27</v>
      </c>
      <c r="I908" s="50" t="s">
        <v>27</v>
      </c>
      <c r="J908" t="e">
        <f t="shared" si="46"/>
        <v>#VALUE!</v>
      </c>
    </row>
    <row r="909" spans="1:10" ht="11.25" customHeight="1" x14ac:dyDescent="0.15">
      <c r="A909" s="32"/>
      <c r="B909" s="52" t="s">
        <v>129</v>
      </c>
      <c r="C909" s="53">
        <f t="shared" ref="C909:H909" si="47">SUM(C735:C908)</f>
        <v>1381.8566666666686</v>
      </c>
      <c r="D909" s="53">
        <f t="shared" si="47"/>
        <v>36.057113322089464</v>
      </c>
      <c r="E909" s="53">
        <f t="shared" si="47"/>
        <v>261.4141717015786</v>
      </c>
      <c r="F909" s="53">
        <f t="shared" si="47"/>
        <v>141.91194972282801</v>
      </c>
      <c r="G909" s="53">
        <f t="shared" si="47"/>
        <v>185.54563954836627</v>
      </c>
      <c r="H909" s="54">
        <f t="shared" si="47"/>
        <v>0</v>
      </c>
      <c r="I909" s="53">
        <f t="shared" ref="I909" si="48">SUM(I735:I908)</f>
        <v>9309.2728036290046</v>
      </c>
      <c r="J909">
        <f t="shared" si="46"/>
        <v>0.23239482234122585</v>
      </c>
    </row>
    <row r="910" spans="1:10" ht="11.25" customHeight="1" x14ac:dyDescent="0.15">
      <c r="A910" s="31"/>
      <c r="B910" s="41" t="s">
        <v>130</v>
      </c>
      <c r="C910" s="39">
        <f t="shared" ref="C910:I910" si="49">AVERAGE(C735:C908)</f>
        <v>7.9876107899807431</v>
      </c>
      <c r="D910" s="39">
        <f t="shared" si="49"/>
        <v>0.20842262035889864</v>
      </c>
      <c r="E910" s="39">
        <f t="shared" si="49"/>
        <v>1.5110645763097028</v>
      </c>
      <c r="F910" s="39">
        <f t="shared" si="49"/>
        <v>0.82030028741519079</v>
      </c>
      <c r="G910" s="39">
        <f t="shared" si="49"/>
        <v>1.0725181476784178</v>
      </c>
      <c r="H910" s="40" t="e">
        <f t="shared" si="49"/>
        <v>#DIV/0!</v>
      </c>
      <c r="I910" s="39">
        <f t="shared" si="49"/>
        <v>53.810825454502918</v>
      </c>
      <c r="J910">
        <f t="shared" si="46"/>
        <v>0.23239482234122583</v>
      </c>
    </row>
    <row r="911" spans="1:10" ht="11.25" customHeight="1" thickBot="1" x14ac:dyDescent="0.2">
      <c r="A911" s="33"/>
      <c r="B911" s="42" t="s">
        <v>131</v>
      </c>
      <c r="C911" s="43">
        <f t="shared" ref="C911:I911" si="50">STDEV(C735:C908)/AVERAGE(C735:C908)</f>
        <v>1.4668628100930473E-3</v>
      </c>
      <c r="D911" s="43">
        <f t="shared" si="50"/>
        <v>0.28646516930674215</v>
      </c>
      <c r="E911" s="43">
        <f t="shared" si="50"/>
        <v>2.7103257918452486</v>
      </c>
      <c r="F911" s="43">
        <f t="shared" si="50"/>
        <v>0.32300150510760278</v>
      </c>
      <c r="G911" s="43">
        <f t="shared" si="50"/>
        <v>2.632966317476487</v>
      </c>
      <c r="H911" s="44" t="e">
        <f t="shared" si="50"/>
        <v>#DIV/0!</v>
      </c>
      <c r="I911" s="43">
        <f t="shared" si="50"/>
        <v>0.35799885115208518</v>
      </c>
      <c r="J911">
        <f t="shared" si="46"/>
        <v>48.011076301199509</v>
      </c>
    </row>
    <row r="912" spans="1:10" ht="14" thickBot="1" x14ac:dyDescent="0.2"/>
    <row r="913" spans="1:10" ht="11.25" customHeight="1" x14ac:dyDescent="0.15">
      <c r="A913" s="56" t="s">
        <v>13</v>
      </c>
      <c r="B913" s="57" t="s">
        <v>81</v>
      </c>
      <c r="C913" s="58" t="s">
        <v>82</v>
      </c>
      <c r="D913" s="34" t="s">
        <v>17</v>
      </c>
      <c r="E913" s="34" t="s">
        <v>83</v>
      </c>
      <c r="F913" s="34" t="s">
        <v>18</v>
      </c>
      <c r="G913" s="34" t="s">
        <v>84</v>
      </c>
      <c r="H913" s="35" t="s">
        <v>19</v>
      </c>
    </row>
    <row r="914" spans="1:10" ht="11.25" customHeight="1" x14ac:dyDescent="0.15">
      <c r="A914" s="36" t="s">
        <v>20</v>
      </c>
      <c r="B914" s="37" t="s">
        <v>20</v>
      </c>
      <c r="C914" s="37" t="s">
        <v>21</v>
      </c>
      <c r="D914" s="37" t="s">
        <v>22</v>
      </c>
      <c r="E914" s="37" t="s">
        <v>52</v>
      </c>
      <c r="F914" s="37" t="s">
        <v>23</v>
      </c>
      <c r="G914" s="37" t="s">
        <v>52</v>
      </c>
      <c r="H914" s="38" t="s">
        <v>20</v>
      </c>
    </row>
    <row r="915" spans="1:10" ht="11.25" customHeight="1" x14ac:dyDescent="0.15">
      <c r="A915" s="36" t="s">
        <v>20</v>
      </c>
      <c r="B915" s="37" t="s">
        <v>20</v>
      </c>
      <c r="C915" s="37" t="s">
        <v>24</v>
      </c>
      <c r="D915" s="37" t="s">
        <v>24</v>
      </c>
      <c r="E915" s="37" t="s">
        <v>24</v>
      </c>
      <c r="F915" s="37" t="s">
        <v>24</v>
      </c>
      <c r="G915" s="37" t="s">
        <v>24</v>
      </c>
      <c r="H915" s="38" t="s">
        <v>24</v>
      </c>
    </row>
    <row r="916" spans="1:10" ht="11.25" customHeight="1" x14ac:dyDescent="0.15">
      <c r="A916" s="36" t="s">
        <v>20</v>
      </c>
      <c r="B916" s="37" t="s">
        <v>20</v>
      </c>
      <c r="C916" s="45" t="s">
        <v>32</v>
      </c>
      <c r="D916" s="46" t="s">
        <v>32</v>
      </c>
      <c r="E916" s="47" t="s">
        <v>32</v>
      </c>
      <c r="F916" s="48" t="s">
        <v>32</v>
      </c>
      <c r="G916" s="47" t="s">
        <v>32</v>
      </c>
      <c r="H916" s="49" t="s">
        <v>32</v>
      </c>
      <c r="I916" s="208" t="s">
        <v>204</v>
      </c>
      <c r="J916" s="208" t="s">
        <v>205</v>
      </c>
    </row>
    <row r="917" spans="1:10" ht="11.25" customHeight="1" x14ac:dyDescent="0.15">
      <c r="A917" s="126">
        <v>1</v>
      </c>
      <c r="B917" s="25" t="s">
        <v>85</v>
      </c>
      <c r="C917" s="39">
        <v>8.5300000000000011</v>
      </c>
      <c r="D917" s="50">
        <v>4.5322507865174222E-3</v>
      </c>
      <c r="E917" s="28">
        <v>2.8796691400784193</v>
      </c>
      <c r="F917" s="51">
        <v>1.6533325842696622E-2</v>
      </c>
      <c r="G917" s="28">
        <v>4.2237139724856236</v>
      </c>
      <c r="H917" s="55" t="s">
        <v>27</v>
      </c>
      <c r="I917" s="50">
        <v>4.095663883302858E-2</v>
      </c>
    </row>
    <row r="918" spans="1:10" ht="12.75" customHeight="1" x14ac:dyDescent="0.15">
      <c r="A918" s="126">
        <v>2</v>
      </c>
      <c r="B918" s="25" t="s">
        <v>86</v>
      </c>
      <c r="C918" s="39">
        <v>8.5400000000000009</v>
      </c>
      <c r="D918" s="50">
        <v>1.4627826563533119E-2</v>
      </c>
      <c r="E918" s="28">
        <v>2.3583386172355992E-2</v>
      </c>
      <c r="F918" s="51">
        <v>2.382050376834588E-2</v>
      </c>
      <c r="G918" s="28">
        <v>6.0140287805458227E-3</v>
      </c>
      <c r="H918" s="55" t="s">
        <v>27</v>
      </c>
      <c r="I918" s="50">
        <v>61.317518126708961</v>
      </c>
    </row>
    <row r="919" spans="1:10" ht="12.75" customHeight="1" x14ac:dyDescent="0.15">
      <c r="A919" s="126">
        <v>3</v>
      </c>
      <c r="B919" s="25" t="s">
        <v>87</v>
      </c>
      <c r="C919" s="39">
        <v>8.5333333333333332</v>
      </c>
      <c r="D919" s="50">
        <v>1.211406322598374E-2</v>
      </c>
      <c r="E919" s="28">
        <v>1.9658323550325936E-2</v>
      </c>
      <c r="F919" s="51">
        <v>2.3338819157720958E-2</v>
      </c>
      <c r="G919" s="28">
        <v>5.9060317261430996E-3</v>
      </c>
      <c r="H919" s="55" t="s">
        <v>27</v>
      </c>
      <c r="I919" s="50">
        <v>60.556380597185495</v>
      </c>
    </row>
    <row r="920" spans="1:10" ht="12.75" customHeight="1" x14ac:dyDescent="0.15">
      <c r="A920" s="126">
        <v>4</v>
      </c>
      <c r="B920" s="25" t="s">
        <v>88</v>
      </c>
      <c r="C920" s="39">
        <v>8.5333333333333332</v>
      </c>
      <c r="D920" s="50">
        <v>5.1841586609870927E-3</v>
      </c>
      <c r="E920" s="28">
        <v>8.5262162459639104E-3</v>
      </c>
      <c r="F920" s="51">
        <v>1.9356684141546565E-2</v>
      </c>
      <c r="G920" s="28">
        <v>4.9655737577362618E-3</v>
      </c>
      <c r="H920" s="55" t="s">
        <v>27</v>
      </c>
      <c r="I920" s="50">
        <v>59.991398085091745</v>
      </c>
    </row>
    <row r="921" spans="1:10" ht="12.75" customHeight="1" x14ac:dyDescent="0.15">
      <c r="A921" s="126">
        <v>5</v>
      </c>
      <c r="B921" s="25" t="s">
        <v>59</v>
      </c>
      <c r="C921" s="39">
        <v>8.5233333333333334</v>
      </c>
      <c r="D921" s="50">
        <v>3.0233666666662495E-3</v>
      </c>
      <c r="E921" s="28">
        <v>1.6860752170865698</v>
      </c>
      <c r="F921" s="51">
        <v>1.3289441340782027E-2</v>
      </c>
      <c r="G921" s="28">
        <v>4.2496609307785906</v>
      </c>
      <c r="H921" s="55" t="s">
        <v>27</v>
      </c>
      <c r="I921" s="50">
        <v>5.9284909383752749E-2</v>
      </c>
    </row>
    <row r="922" spans="1:10" ht="12.75" customHeight="1" x14ac:dyDescent="0.15">
      <c r="A922" s="126">
        <v>6</v>
      </c>
      <c r="B922" s="25" t="s">
        <v>60</v>
      </c>
      <c r="C922" s="39" t="s">
        <v>27</v>
      </c>
      <c r="D922" s="50" t="s">
        <v>27</v>
      </c>
      <c r="E922" s="28" t="s">
        <v>27</v>
      </c>
      <c r="F922" s="51" t="s">
        <v>27</v>
      </c>
      <c r="G922" s="28" t="s">
        <v>27</v>
      </c>
      <c r="H922" s="55" t="s">
        <v>27</v>
      </c>
      <c r="I922" s="50">
        <v>6.6206856966898098E-2</v>
      </c>
    </row>
    <row r="923" spans="1:10" ht="12.75" customHeight="1" x14ac:dyDescent="0.15">
      <c r="A923" s="126">
        <v>7</v>
      </c>
      <c r="B923" s="25" t="s">
        <v>61</v>
      </c>
      <c r="C923" s="39">
        <v>8.5133333333333336</v>
      </c>
      <c r="D923" s="50">
        <v>5.214463775085143E-2</v>
      </c>
      <c r="E923" s="28">
        <v>2.1360075764934847</v>
      </c>
      <c r="F923" s="51">
        <v>1.664217836622528E-2</v>
      </c>
      <c r="G923" s="28">
        <v>0.19854937692605371</v>
      </c>
      <c r="H923" s="55" t="s">
        <v>27</v>
      </c>
      <c r="I923" s="50">
        <v>0.12247340861437273</v>
      </c>
    </row>
    <row r="924" spans="1:10" ht="12.75" customHeight="1" x14ac:dyDescent="0.15">
      <c r="A924" s="126">
        <v>8</v>
      </c>
      <c r="B924" s="25" t="s">
        <v>62</v>
      </c>
      <c r="C924" s="39">
        <v>8.5133333333333336</v>
      </c>
      <c r="D924" s="50">
        <v>2.6777272727273038E-3</v>
      </c>
      <c r="E924" s="28">
        <v>0.10091607078600147</v>
      </c>
      <c r="F924" s="51">
        <v>8.6512788906009108E-3</v>
      </c>
      <c r="G924" s="28">
        <v>8.165571510445313E-2</v>
      </c>
      <c r="H924" s="55" t="s">
        <v>27</v>
      </c>
      <c r="I924" s="50">
        <v>9.598185279917848E-2</v>
      </c>
    </row>
    <row r="925" spans="1:10" ht="12.75" customHeight="1" x14ac:dyDescent="0.15">
      <c r="A925" s="126">
        <v>9</v>
      </c>
      <c r="B925" s="25" t="s">
        <v>59</v>
      </c>
      <c r="C925" s="39">
        <v>8.5233333333333334</v>
      </c>
      <c r="D925" s="50">
        <v>2.7787333333334496E-3</v>
      </c>
      <c r="E925" s="28">
        <v>1.2819483671389733</v>
      </c>
      <c r="F925" s="51">
        <v>1.2586818181818171E-2</v>
      </c>
      <c r="G925" s="28">
        <v>3.4365874109850871</v>
      </c>
      <c r="H925" s="55" t="s">
        <v>27</v>
      </c>
      <c r="I925" s="50">
        <v>6.6867244418114868E-2</v>
      </c>
    </row>
    <row r="926" spans="1:10" ht="12.75" customHeight="1" x14ac:dyDescent="0.15">
      <c r="A926" s="126">
        <v>10</v>
      </c>
      <c r="B926" s="25" t="s">
        <v>63</v>
      </c>
      <c r="C926" s="39">
        <v>8.543333333333333</v>
      </c>
      <c r="D926" s="50">
        <v>7.4387803333334723E-2</v>
      </c>
      <c r="E926" s="28">
        <v>11.185111799163106</v>
      </c>
      <c r="F926" s="51">
        <v>3.1613440000000104E-2</v>
      </c>
      <c r="G926" s="28">
        <v>1.7319425236808881</v>
      </c>
      <c r="H926" s="55" t="s">
        <v>27</v>
      </c>
      <c r="I926" s="50">
        <v>7.8765377866665265E-2</v>
      </c>
    </row>
    <row r="927" spans="1:10" ht="12.75" customHeight="1" x14ac:dyDescent="0.15">
      <c r="A927" s="126">
        <v>11</v>
      </c>
      <c r="B927" s="25" t="s">
        <v>64</v>
      </c>
      <c r="C927" s="39" t="s">
        <v>27</v>
      </c>
      <c r="D927" s="50" t="s">
        <v>27</v>
      </c>
      <c r="E927" s="28" t="s">
        <v>27</v>
      </c>
      <c r="F927" s="51" t="s">
        <v>27</v>
      </c>
      <c r="G927" s="28" t="s">
        <v>27</v>
      </c>
      <c r="H927" s="55" t="s">
        <v>27</v>
      </c>
      <c r="I927" s="50">
        <v>7.177782721124859E-2</v>
      </c>
    </row>
    <row r="928" spans="1:10" ht="12.75" customHeight="1" x14ac:dyDescent="0.15">
      <c r="A928" s="126">
        <v>12</v>
      </c>
      <c r="B928" s="25" t="s">
        <v>65</v>
      </c>
      <c r="C928" s="39" t="s">
        <v>27</v>
      </c>
      <c r="D928" s="50" t="s">
        <v>27</v>
      </c>
      <c r="E928" s="28" t="s">
        <v>27</v>
      </c>
      <c r="F928" s="51" t="s">
        <v>27</v>
      </c>
      <c r="G928" s="28" t="s">
        <v>27</v>
      </c>
      <c r="H928" s="55" t="s">
        <v>27</v>
      </c>
      <c r="I928" s="50">
        <v>1.0162091069687109</v>
      </c>
    </row>
    <row r="929" spans="1:10" ht="12.75" customHeight="1" x14ac:dyDescent="0.15">
      <c r="A929" s="126">
        <v>13</v>
      </c>
      <c r="B929" s="25" t="s">
        <v>66</v>
      </c>
      <c r="C929" s="39" t="s">
        <v>27</v>
      </c>
      <c r="D929" s="50" t="s">
        <v>27</v>
      </c>
      <c r="E929" s="28" t="s">
        <v>27</v>
      </c>
      <c r="F929" s="51" t="s">
        <v>27</v>
      </c>
      <c r="G929" s="28" t="s">
        <v>27</v>
      </c>
      <c r="H929" s="55" t="s">
        <v>27</v>
      </c>
      <c r="I929" s="50">
        <v>5.0377216666666724E-2</v>
      </c>
    </row>
    <row r="930" spans="1:10" ht="12.75" customHeight="1" x14ac:dyDescent="0.15">
      <c r="A930" s="126">
        <v>14</v>
      </c>
      <c r="B930" s="25" t="s">
        <v>67</v>
      </c>
      <c r="C930" s="39" t="s">
        <v>27</v>
      </c>
      <c r="D930" s="50" t="s">
        <v>27</v>
      </c>
      <c r="E930" s="28" t="s">
        <v>27</v>
      </c>
      <c r="F930" s="51" t="s">
        <v>27</v>
      </c>
      <c r="G930" s="28" t="s">
        <v>27</v>
      </c>
      <c r="H930" s="55" t="s">
        <v>27</v>
      </c>
      <c r="I930" s="50">
        <v>3.7888999999999728E-2</v>
      </c>
    </row>
    <row r="931" spans="1:10" ht="12.75" customHeight="1" x14ac:dyDescent="0.15">
      <c r="A931" s="126">
        <v>15</v>
      </c>
      <c r="B931" s="25" t="s">
        <v>85</v>
      </c>
      <c r="C931" s="39">
        <v>8.5333333333333332</v>
      </c>
      <c r="D931" s="50">
        <v>3.1289666666666216E-3</v>
      </c>
      <c r="E931" s="28">
        <v>0.16896304902370782</v>
      </c>
      <c r="F931" s="51">
        <v>1.3215235602094255E-2</v>
      </c>
      <c r="G931" s="28">
        <v>0.42462491171847666</v>
      </c>
      <c r="H931" s="55" t="s">
        <v>27</v>
      </c>
      <c r="I931" s="50">
        <v>0.28603644460322941</v>
      </c>
    </row>
    <row r="932" spans="1:10" ht="12.75" customHeight="1" x14ac:dyDescent="0.15">
      <c r="A932" s="126">
        <v>16</v>
      </c>
      <c r="B932" s="25" t="s">
        <v>85</v>
      </c>
      <c r="C932" s="39">
        <v>8.5133333333333336</v>
      </c>
      <c r="D932" s="50">
        <v>3.1340999999996955E-3</v>
      </c>
      <c r="E932" s="28">
        <v>1.7176777416380664</v>
      </c>
      <c r="F932" s="51">
        <v>1.3185950413223124E-2</v>
      </c>
      <c r="G932" s="28">
        <v>4.0550952242130194</v>
      </c>
      <c r="H932" s="55" t="s">
        <v>27</v>
      </c>
      <c r="I932" s="50">
        <v>5.7229369047616885E-2</v>
      </c>
    </row>
    <row r="933" spans="1:10" ht="12.75" customHeight="1" x14ac:dyDescent="0.15">
      <c r="A933" s="126">
        <v>17</v>
      </c>
      <c r="B933" s="25" t="s">
        <v>85</v>
      </c>
      <c r="C933" s="39">
        <v>8.5233333333333334</v>
      </c>
      <c r="D933" s="50">
        <v>2.9602333333337283E-3</v>
      </c>
      <c r="E933" s="28">
        <v>1.7355164200527466</v>
      </c>
      <c r="F933" s="51">
        <v>1.2956666666666727E-2</v>
      </c>
      <c r="G933" s="28">
        <v>4.1639264324499869</v>
      </c>
      <c r="H933" s="55" t="s">
        <v>27</v>
      </c>
      <c r="I933" s="50">
        <v>4.6151283348567551E-2</v>
      </c>
    </row>
    <row r="934" spans="1:10" ht="12.75" customHeight="1" x14ac:dyDescent="0.15">
      <c r="A934" s="126">
        <v>18</v>
      </c>
      <c r="B934" s="25" t="s">
        <v>87</v>
      </c>
      <c r="C934" s="39">
        <v>8.5333333333333332</v>
      </c>
      <c r="D934" s="50">
        <v>3.2961317145362656E-2</v>
      </c>
      <c r="E934" s="28">
        <v>5.5506205326180787E-2</v>
      </c>
      <c r="F934" s="51">
        <v>3.9759576182136658E-2</v>
      </c>
      <c r="G934" s="28">
        <v>1.0490724330237225E-2</v>
      </c>
      <c r="H934" s="55" t="s">
        <v>27</v>
      </c>
      <c r="I934" s="50">
        <v>58.138214970554579</v>
      </c>
      <c r="J934">
        <f>D934*60/I934</f>
        <v>3.4016851561806637E-2</v>
      </c>
    </row>
    <row r="935" spans="1:10" ht="12.75" customHeight="1" x14ac:dyDescent="0.15">
      <c r="A935" s="126">
        <v>19</v>
      </c>
      <c r="B935" s="25" t="s">
        <v>88</v>
      </c>
      <c r="C935" s="39">
        <v>8.5400000000000009</v>
      </c>
      <c r="D935" s="50">
        <v>2.7698857930516407E-2</v>
      </c>
      <c r="E935" s="28">
        <v>4.5951905083616219E-2</v>
      </c>
      <c r="F935" s="51">
        <v>3.517541995200546E-2</v>
      </c>
      <c r="G935" s="28">
        <v>9.1989247519509137E-3</v>
      </c>
      <c r="H935" s="55" t="s">
        <v>27</v>
      </c>
      <c r="I935" s="50">
        <v>59.254926413747008</v>
      </c>
      <c r="J935">
        <f t="shared" ref="J935:J998" si="51">D935*60/I935</f>
        <v>2.8047144371196455E-2</v>
      </c>
    </row>
    <row r="936" spans="1:10" ht="12.75" customHeight="1" x14ac:dyDescent="0.15">
      <c r="A936" s="126">
        <v>20</v>
      </c>
      <c r="B936" s="25" t="s">
        <v>86</v>
      </c>
      <c r="C936" s="39">
        <v>8.52</v>
      </c>
      <c r="D936" s="50">
        <v>1.3804880375846817E-2</v>
      </c>
      <c r="E936" s="28">
        <v>2.1331733142391309E-2</v>
      </c>
      <c r="F936" s="51">
        <v>3.4112513863216232E-2</v>
      </c>
      <c r="G936" s="28">
        <v>8.2594005601345569E-3</v>
      </c>
      <c r="H936" s="55" t="s">
        <v>27</v>
      </c>
      <c r="I936" s="50">
        <v>63.739007898367269</v>
      </c>
      <c r="J936">
        <f t="shared" si="51"/>
        <v>1.2995069265457244E-2</v>
      </c>
    </row>
    <row r="937" spans="1:10" ht="12.75" customHeight="1" x14ac:dyDescent="0.15">
      <c r="A937" s="126">
        <v>21</v>
      </c>
      <c r="B937" s="25" t="s">
        <v>85</v>
      </c>
      <c r="C937" s="39">
        <v>8.5233333333333334</v>
      </c>
      <c r="D937" s="50">
        <v>2.6681666666666937E-3</v>
      </c>
      <c r="E937" s="28">
        <v>1.1148034463436489</v>
      </c>
      <c r="F937" s="51">
        <v>1.2100487804878157E-2</v>
      </c>
      <c r="G937" s="28">
        <v>3.4910601804019845</v>
      </c>
      <c r="H937" s="55" t="s">
        <v>27</v>
      </c>
      <c r="I937" s="50">
        <v>5.8629709434996791E-2</v>
      </c>
      <c r="J937">
        <f t="shared" si="51"/>
        <v>2.7305269212956724</v>
      </c>
    </row>
    <row r="938" spans="1:10" ht="12.75" customHeight="1" x14ac:dyDescent="0.15">
      <c r="A938" s="126">
        <v>22</v>
      </c>
      <c r="B938" s="25" t="s">
        <v>89</v>
      </c>
      <c r="C938" s="39" t="s">
        <v>27</v>
      </c>
      <c r="D938" s="50" t="s">
        <v>27</v>
      </c>
      <c r="E938" s="28" t="s">
        <v>27</v>
      </c>
      <c r="F938" s="51" t="s">
        <v>27</v>
      </c>
      <c r="G938" s="28" t="s">
        <v>27</v>
      </c>
      <c r="H938" s="55" t="s">
        <v>27</v>
      </c>
      <c r="I938" s="50">
        <v>66.89664388762219</v>
      </c>
      <c r="J938" t="e">
        <f t="shared" si="51"/>
        <v>#VALUE!</v>
      </c>
    </row>
    <row r="939" spans="1:10" ht="12.75" customHeight="1" x14ac:dyDescent="0.15">
      <c r="A939" s="126">
        <v>23</v>
      </c>
      <c r="B939" s="25" t="s">
        <v>90</v>
      </c>
      <c r="C939" s="39" t="s">
        <v>27</v>
      </c>
      <c r="D939" s="50" t="s">
        <v>27</v>
      </c>
      <c r="E939" s="28" t="s">
        <v>27</v>
      </c>
      <c r="F939" s="51" t="s">
        <v>27</v>
      </c>
      <c r="G939" s="28" t="s">
        <v>27</v>
      </c>
      <c r="H939" s="55" t="s">
        <v>27</v>
      </c>
      <c r="I939" s="50">
        <v>64.292652151897741</v>
      </c>
      <c r="J939" t="e">
        <f t="shared" si="51"/>
        <v>#VALUE!</v>
      </c>
    </row>
    <row r="940" spans="1:10" ht="12.75" customHeight="1" x14ac:dyDescent="0.15">
      <c r="A940" s="126">
        <v>24</v>
      </c>
      <c r="B940" s="25" t="s">
        <v>91</v>
      </c>
      <c r="C940" s="39">
        <v>8.5500000000000007</v>
      </c>
      <c r="D940" s="50">
        <v>8.7875798279148931E-3</v>
      </c>
      <c r="E940" s="28">
        <v>1.2291792656345831E-2</v>
      </c>
      <c r="F940" s="51">
        <v>2.4703900573613824E-2</v>
      </c>
      <c r="G940" s="28">
        <v>5.5301415358844294E-3</v>
      </c>
      <c r="H940" s="55" t="s">
        <v>27</v>
      </c>
      <c r="I940" s="50">
        <v>70.558985876059566</v>
      </c>
      <c r="J940">
        <f t="shared" si="51"/>
        <v>7.4725392255643149E-3</v>
      </c>
    </row>
    <row r="941" spans="1:10" ht="12.75" customHeight="1" x14ac:dyDescent="0.15">
      <c r="A941" s="126">
        <v>25</v>
      </c>
      <c r="B941" s="25" t="s">
        <v>92</v>
      </c>
      <c r="C941" s="39" t="s">
        <v>27</v>
      </c>
      <c r="D941" s="50" t="s">
        <v>27</v>
      </c>
      <c r="E941" s="28" t="s">
        <v>27</v>
      </c>
      <c r="F941" s="51" t="s">
        <v>27</v>
      </c>
      <c r="G941" s="28" t="s">
        <v>27</v>
      </c>
      <c r="H941" s="55" t="s">
        <v>27</v>
      </c>
      <c r="I941" s="50">
        <v>63.136728161916054</v>
      </c>
      <c r="J941" t="e">
        <f t="shared" si="51"/>
        <v>#VALUE!</v>
      </c>
    </row>
    <row r="942" spans="1:10" ht="12.75" customHeight="1" x14ac:dyDescent="0.15">
      <c r="A942" s="126">
        <v>26</v>
      </c>
      <c r="B942" s="25" t="s">
        <v>93</v>
      </c>
      <c r="C942" s="39" t="s">
        <v>27</v>
      </c>
      <c r="D942" s="50" t="s">
        <v>27</v>
      </c>
      <c r="E942" s="28" t="s">
        <v>27</v>
      </c>
      <c r="F942" s="51" t="s">
        <v>27</v>
      </c>
      <c r="G942" s="28" t="s">
        <v>27</v>
      </c>
      <c r="H942" s="55" t="s">
        <v>27</v>
      </c>
      <c r="I942" s="50">
        <v>65.753312757466972</v>
      </c>
      <c r="J942" t="e">
        <f t="shared" si="51"/>
        <v>#VALUE!</v>
      </c>
    </row>
    <row r="943" spans="1:10" ht="12.75" customHeight="1" x14ac:dyDescent="0.15">
      <c r="A943" s="126">
        <v>27</v>
      </c>
      <c r="B943" s="25" t="s">
        <v>94</v>
      </c>
      <c r="C943" s="39" t="s">
        <v>27</v>
      </c>
      <c r="D943" s="50" t="s">
        <v>27</v>
      </c>
      <c r="E943" s="28" t="s">
        <v>27</v>
      </c>
      <c r="F943" s="51" t="s">
        <v>27</v>
      </c>
      <c r="G943" s="28" t="s">
        <v>27</v>
      </c>
      <c r="H943" s="55" t="s">
        <v>27</v>
      </c>
      <c r="I943" s="50">
        <v>63.425098809374994</v>
      </c>
      <c r="J943" t="e">
        <f t="shared" si="51"/>
        <v>#VALUE!</v>
      </c>
    </row>
    <row r="944" spans="1:10" ht="12.75" customHeight="1" x14ac:dyDescent="0.15">
      <c r="A944" s="126">
        <v>28</v>
      </c>
      <c r="B944" s="25" t="s">
        <v>95</v>
      </c>
      <c r="C944" s="39">
        <v>8.543333333333333</v>
      </c>
      <c r="D944" s="50">
        <v>9.0080789385922344E-3</v>
      </c>
      <c r="E944" s="28">
        <v>1.3166310759312893E-2</v>
      </c>
      <c r="F944" s="51">
        <v>2.4851177163037086E-2</v>
      </c>
      <c r="G944" s="28">
        <v>5.7952752039427697E-3</v>
      </c>
      <c r="H944" s="55" t="s">
        <v>27</v>
      </c>
      <c r="I944" s="50">
        <v>67.552395389219171</v>
      </c>
      <c r="J944">
        <f t="shared" si="51"/>
        <v>8.0009707013556346E-3</v>
      </c>
    </row>
    <row r="945" spans="1:10" ht="12.75" customHeight="1" x14ac:dyDescent="0.15">
      <c r="A945" s="126">
        <v>29</v>
      </c>
      <c r="B945" s="25" t="s">
        <v>96</v>
      </c>
      <c r="C945" s="39" t="s">
        <v>27</v>
      </c>
      <c r="D945" s="50" t="s">
        <v>27</v>
      </c>
      <c r="E945" s="28" t="s">
        <v>27</v>
      </c>
      <c r="F945" s="51" t="s">
        <v>27</v>
      </c>
      <c r="G945" s="28" t="s">
        <v>27</v>
      </c>
      <c r="H945" s="55" t="s">
        <v>27</v>
      </c>
      <c r="I945" s="50">
        <v>64.131110996801894</v>
      </c>
      <c r="J945" t="e">
        <f t="shared" si="51"/>
        <v>#VALUE!</v>
      </c>
    </row>
    <row r="946" spans="1:10" ht="12.75" customHeight="1" x14ac:dyDescent="0.15">
      <c r="A946" s="126">
        <v>30</v>
      </c>
      <c r="B946" s="25" t="s">
        <v>97</v>
      </c>
      <c r="C946" s="39">
        <v>8.5300000000000011</v>
      </c>
      <c r="D946" s="50">
        <v>8.0461447252055951E-3</v>
      </c>
      <c r="E946" s="28">
        <v>1.1487616048726479E-2</v>
      </c>
      <c r="F946" s="51">
        <v>2.4266664560960161E-2</v>
      </c>
      <c r="G946" s="28">
        <v>5.5415573607039987E-3</v>
      </c>
      <c r="H946" s="55" t="s">
        <v>27</v>
      </c>
      <c r="I946" s="50">
        <v>69.155521096757155</v>
      </c>
      <c r="J946">
        <f t="shared" si="51"/>
        <v>6.9809131050705617E-3</v>
      </c>
    </row>
    <row r="947" spans="1:10" ht="12.75" customHeight="1" x14ac:dyDescent="0.15">
      <c r="A947" s="126">
        <v>31</v>
      </c>
      <c r="B947" s="25" t="s">
        <v>98</v>
      </c>
      <c r="C947" s="39">
        <v>8.5366666666666671</v>
      </c>
      <c r="D947" s="50">
        <v>9.3544652642274517E-3</v>
      </c>
      <c r="E947" s="28">
        <v>1.4134357355733379E-2</v>
      </c>
      <c r="F947" s="51">
        <v>2.5328780487804847E-2</v>
      </c>
      <c r="G947" s="28">
        <v>6.0745933051924925E-3</v>
      </c>
      <c r="H947" s="55" t="s">
        <v>27</v>
      </c>
      <c r="I947" s="50">
        <v>65.337947505020324</v>
      </c>
      <c r="J947">
        <f t="shared" si="51"/>
        <v>8.5902287611731507E-3</v>
      </c>
    </row>
    <row r="948" spans="1:10" ht="12.75" customHeight="1" x14ac:dyDescent="0.15">
      <c r="A948" s="126">
        <v>32</v>
      </c>
      <c r="B948" s="25" t="s">
        <v>99</v>
      </c>
      <c r="C948" s="39">
        <v>8.543333333333333</v>
      </c>
      <c r="D948" s="50">
        <v>7.6408852830194274E-3</v>
      </c>
      <c r="E948" s="28">
        <v>1.2072760688607046E-2</v>
      </c>
      <c r="F948" s="51">
        <v>2.2159547169811278E-2</v>
      </c>
      <c r="G948" s="28">
        <v>5.5300296362661705E-3</v>
      </c>
      <c r="H948" s="55" t="s">
        <v>27</v>
      </c>
      <c r="I948" s="50">
        <v>62.489516211383659</v>
      </c>
      <c r="J948">
        <f t="shared" si="51"/>
        <v>7.3364804974702241E-3</v>
      </c>
    </row>
    <row r="949" spans="1:10" ht="12.75" customHeight="1" x14ac:dyDescent="0.15">
      <c r="A949" s="126">
        <v>33</v>
      </c>
      <c r="B949" s="25" t="s">
        <v>100</v>
      </c>
      <c r="C949" s="39">
        <v>8.5166666666666675</v>
      </c>
      <c r="D949" s="50">
        <v>8.3847806973846861E-3</v>
      </c>
      <c r="E949" s="28">
        <v>1.2927831158802989E-2</v>
      </c>
      <c r="F949" s="51">
        <v>2.4775205479452E-2</v>
      </c>
      <c r="G949" s="28">
        <v>6.0539150044603592E-3</v>
      </c>
      <c r="H949" s="55" t="s">
        <v>27</v>
      </c>
      <c r="I949" s="50">
        <v>64.038966777314286</v>
      </c>
      <c r="J949">
        <f t="shared" si="51"/>
        <v>7.8559487630787163E-3</v>
      </c>
    </row>
    <row r="950" spans="1:10" ht="12.75" customHeight="1" x14ac:dyDescent="0.15">
      <c r="A950" s="126">
        <v>34</v>
      </c>
      <c r="B950" s="25" t="s">
        <v>101</v>
      </c>
      <c r="C950" s="39" t="s">
        <v>27</v>
      </c>
      <c r="D950" s="50" t="s">
        <v>27</v>
      </c>
      <c r="E950" s="28" t="s">
        <v>27</v>
      </c>
      <c r="F950" s="51" t="s">
        <v>27</v>
      </c>
      <c r="G950" s="28" t="s">
        <v>27</v>
      </c>
      <c r="H950" s="55" t="s">
        <v>27</v>
      </c>
      <c r="I950" s="50">
        <v>58.317270811257515</v>
      </c>
      <c r="J950" t="e">
        <f t="shared" si="51"/>
        <v>#VALUE!</v>
      </c>
    </row>
    <row r="951" spans="1:10" ht="12.75" customHeight="1" x14ac:dyDescent="0.15">
      <c r="A951" s="126">
        <v>35</v>
      </c>
      <c r="B951" s="25" t="s">
        <v>102</v>
      </c>
      <c r="C951" s="39" t="s">
        <v>27</v>
      </c>
      <c r="D951" s="50" t="s">
        <v>27</v>
      </c>
      <c r="E951" s="28" t="s">
        <v>27</v>
      </c>
      <c r="F951" s="51" t="s">
        <v>27</v>
      </c>
      <c r="G951" s="28" t="s">
        <v>27</v>
      </c>
      <c r="H951" s="55" t="s">
        <v>27</v>
      </c>
      <c r="I951" s="50">
        <v>57.08700795660895</v>
      </c>
      <c r="J951" t="e">
        <f t="shared" si="51"/>
        <v>#VALUE!</v>
      </c>
    </row>
    <row r="952" spans="1:10" ht="12.75" customHeight="1" x14ac:dyDescent="0.15">
      <c r="A952" s="126">
        <v>36</v>
      </c>
      <c r="B952" s="25" t="s">
        <v>103</v>
      </c>
      <c r="C952" s="39" t="s">
        <v>27</v>
      </c>
      <c r="D952" s="50" t="s">
        <v>27</v>
      </c>
      <c r="E952" s="28" t="s">
        <v>27</v>
      </c>
      <c r="F952" s="51" t="s">
        <v>27</v>
      </c>
      <c r="G952" s="28" t="s">
        <v>27</v>
      </c>
      <c r="H952" s="55" t="s">
        <v>27</v>
      </c>
      <c r="I952" s="50">
        <v>59.570339434128485</v>
      </c>
      <c r="J952" t="e">
        <f t="shared" si="51"/>
        <v>#VALUE!</v>
      </c>
    </row>
    <row r="953" spans="1:10" ht="12.75" customHeight="1" x14ac:dyDescent="0.15">
      <c r="A953" s="126">
        <v>37</v>
      </c>
      <c r="B953" s="25" t="s">
        <v>104</v>
      </c>
      <c r="C953" s="39">
        <v>8.5166666666666675</v>
      </c>
      <c r="D953" s="50">
        <v>7.2576550438598897E-3</v>
      </c>
      <c r="E953" s="28">
        <v>1.1677415757195362E-2</v>
      </c>
      <c r="F953" s="51">
        <v>2.6143388157894742E-2</v>
      </c>
      <c r="G953" s="28">
        <v>6.6304924768222874E-3</v>
      </c>
      <c r="H953" s="55" t="s">
        <v>27</v>
      </c>
      <c r="I953" s="50">
        <v>61.06775875833339</v>
      </c>
      <c r="J953">
        <f t="shared" si="51"/>
        <v>7.1307562531459368E-3</v>
      </c>
    </row>
    <row r="954" spans="1:10" ht="12.75" customHeight="1" x14ac:dyDescent="0.15">
      <c r="A954" s="126">
        <v>38</v>
      </c>
      <c r="B954" s="25" t="s">
        <v>105</v>
      </c>
      <c r="C954" s="39">
        <v>8.5233333333333334</v>
      </c>
      <c r="D954" s="50">
        <v>8.2100566245548734E-3</v>
      </c>
      <c r="E954" s="28">
        <v>1.3365614856674929E-2</v>
      </c>
      <c r="F954" s="51">
        <v>2.5099358600582988E-2</v>
      </c>
      <c r="G954" s="28">
        <v>6.4269705844500783E-3</v>
      </c>
      <c r="H954" s="55" t="s">
        <v>27</v>
      </c>
      <c r="I954" s="50">
        <v>60.323377152575297</v>
      </c>
      <c r="J954">
        <f t="shared" si="51"/>
        <v>8.1660447528883479E-3</v>
      </c>
    </row>
    <row r="955" spans="1:10" ht="12.75" customHeight="1" x14ac:dyDescent="0.15">
      <c r="A955" s="126">
        <v>39</v>
      </c>
      <c r="B955" s="25" t="s">
        <v>106</v>
      </c>
      <c r="C955" s="39">
        <v>8.5366666666666671</v>
      </c>
      <c r="D955" s="50">
        <v>6.1208668358709861E-3</v>
      </c>
      <c r="E955" s="28">
        <v>1.1441516166786587E-2</v>
      </c>
      <c r="F955" s="51">
        <v>1.91254187817258E-2</v>
      </c>
      <c r="G955" s="28">
        <v>5.5463394724165312E-3</v>
      </c>
      <c r="H955" s="55" t="s">
        <v>27</v>
      </c>
      <c r="I955" s="50">
        <v>52.552244868591423</v>
      </c>
      <c r="J955">
        <f t="shared" si="51"/>
        <v>6.9883220226002645E-3</v>
      </c>
    </row>
    <row r="956" spans="1:10" ht="12.75" customHeight="1" x14ac:dyDescent="0.15">
      <c r="A956" s="126">
        <v>40</v>
      </c>
      <c r="B956" s="25" t="s">
        <v>107</v>
      </c>
      <c r="C956" s="39">
        <v>8.52</v>
      </c>
      <c r="D956" s="50">
        <v>1.1688045238096079E-2</v>
      </c>
      <c r="E956" s="28">
        <v>1.945611963338342E-2</v>
      </c>
      <c r="F956" s="51">
        <v>2.6867857142857221E-2</v>
      </c>
      <c r="G956" s="28">
        <v>7.0118333938116806E-3</v>
      </c>
      <c r="H956" s="55" t="s">
        <v>27</v>
      </c>
      <c r="I956" s="50">
        <v>58.956417335714264</v>
      </c>
      <c r="J956">
        <f t="shared" si="51"/>
        <v>1.189493435960441E-2</v>
      </c>
    </row>
    <row r="957" spans="1:10" ht="12.75" customHeight="1" x14ac:dyDescent="0.15">
      <c r="A957" s="126">
        <v>41</v>
      </c>
      <c r="B957" s="25" t="s">
        <v>108</v>
      </c>
      <c r="C957" s="39">
        <v>8.5300000000000011</v>
      </c>
      <c r="D957" s="50">
        <v>9.4848971309566821E-3</v>
      </c>
      <c r="E957" s="28">
        <v>1.5403899348868634E-2</v>
      </c>
      <c r="F957" s="51">
        <v>2.4699569643683472E-2</v>
      </c>
      <c r="G957" s="28">
        <v>6.3103014153514129E-3</v>
      </c>
      <c r="H957" s="55" t="s">
        <v>27</v>
      </c>
      <c r="I957" s="50">
        <v>60.441143155020875</v>
      </c>
      <c r="J957">
        <f t="shared" si="51"/>
        <v>9.4156694951611948E-3</v>
      </c>
    </row>
    <row r="958" spans="1:10" ht="12.75" customHeight="1" x14ac:dyDescent="0.15">
      <c r="A958" s="126">
        <v>42</v>
      </c>
      <c r="B958" s="25" t="s">
        <v>109</v>
      </c>
      <c r="C958" s="39">
        <v>8.5366666666666671</v>
      </c>
      <c r="D958" s="50">
        <v>9.1829254098354518E-3</v>
      </c>
      <c r="E958" s="28">
        <v>1.5016809519167056E-2</v>
      </c>
      <c r="F958" s="51">
        <v>2.3917836065573739E-2</v>
      </c>
      <c r="G958" s="28">
        <v>6.1506071802840886E-3</v>
      </c>
      <c r="H958" s="55" t="s">
        <v>27</v>
      </c>
      <c r="I958" s="50">
        <v>60.019100703005471</v>
      </c>
      <c r="J958">
        <f t="shared" si="51"/>
        <v>9.1800030013201601E-3</v>
      </c>
    </row>
    <row r="959" spans="1:10" ht="12.75" customHeight="1" x14ac:dyDescent="0.15">
      <c r="A959" s="126">
        <v>43</v>
      </c>
      <c r="B959" s="25" t="s">
        <v>110</v>
      </c>
      <c r="C959" s="39">
        <v>8.5166666666666675</v>
      </c>
      <c r="D959" s="50">
        <v>6.7284572047001667E-3</v>
      </c>
      <c r="E959" s="28">
        <v>1.2532188475737739E-2</v>
      </c>
      <c r="F959" s="51">
        <v>2.0699777365491667E-2</v>
      </c>
      <c r="G959" s="28">
        <v>5.9841805852715686E-3</v>
      </c>
      <c r="H959" s="55" t="s">
        <v>27</v>
      </c>
      <c r="I959" s="50">
        <v>52.753525116563601</v>
      </c>
      <c r="J959">
        <f t="shared" si="51"/>
        <v>7.6527100585218246E-3</v>
      </c>
    </row>
    <row r="960" spans="1:10" ht="12.75" customHeight="1" x14ac:dyDescent="0.15">
      <c r="A960" s="126">
        <v>44</v>
      </c>
      <c r="B960" s="25" t="s">
        <v>111</v>
      </c>
      <c r="C960" s="39">
        <v>8.5333333333333332</v>
      </c>
      <c r="D960" s="50">
        <v>7.6259292702649528E-3</v>
      </c>
      <c r="E960" s="28">
        <v>1.2377664973767324E-2</v>
      </c>
      <c r="F960" s="51">
        <v>2.2446761673741711E-2</v>
      </c>
      <c r="G960" s="28">
        <v>5.7382896609066685E-3</v>
      </c>
      <c r="H960" s="55" t="s">
        <v>27</v>
      </c>
      <c r="I960" s="50">
        <v>60.537405023923625</v>
      </c>
      <c r="J960">
        <f t="shared" si="51"/>
        <v>7.5582320721391486E-3</v>
      </c>
    </row>
    <row r="961" spans="1:10" ht="12.75" customHeight="1" x14ac:dyDescent="0.15">
      <c r="A961" s="126">
        <v>45</v>
      </c>
      <c r="B961" s="25" t="s">
        <v>112</v>
      </c>
      <c r="C961" s="39">
        <v>8.52</v>
      </c>
      <c r="D961" s="50">
        <v>9.1729482961591113E-3</v>
      </c>
      <c r="E961" s="28">
        <v>1.5269703704193744E-2</v>
      </c>
      <c r="F961" s="51">
        <v>2.6043675650557652E-2</v>
      </c>
      <c r="G961" s="28">
        <v>6.7993976567285765E-3</v>
      </c>
      <c r="H961" s="55" t="s">
        <v>27</v>
      </c>
      <c r="I961" s="50">
        <v>58.97785507537175</v>
      </c>
      <c r="J961">
        <f t="shared" si="51"/>
        <v>9.3319246192690997E-3</v>
      </c>
    </row>
    <row r="962" spans="1:10" ht="12.75" customHeight="1" x14ac:dyDescent="0.15">
      <c r="A962" s="126">
        <v>46</v>
      </c>
      <c r="B962" s="25" t="s">
        <v>113</v>
      </c>
      <c r="C962" s="39">
        <v>8.52</v>
      </c>
      <c r="D962" s="50">
        <v>9.0422969332712988E-3</v>
      </c>
      <c r="E962" s="28">
        <v>1.5325475419198119E-2</v>
      </c>
      <c r="F962" s="51">
        <v>2.4293028201571865E-2</v>
      </c>
      <c r="G962" s="28">
        <v>6.4511537015232512E-3</v>
      </c>
      <c r="H962" s="55" t="s">
        <v>27</v>
      </c>
      <c r="I962" s="50">
        <v>58.102414011450158</v>
      </c>
      <c r="J962">
        <f t="shared" si="51"/>
        <v>9.3376123045311125E-3</v>
      </c>
    </row>
    <row r="963" spans="1:10" ht="12.75" customHeight="1" x14ac:dyDescent="0.15">
      <c r="A963" s="126">
        <v>47</v>
      </c>
      <c r="B963" s="25" t="s">
        <v>114</v>
      </c>
      <c r="C963" s="39">
        <v>8.5166666666666675</v>
      </c>
      <c r="D963" s="50">
        <v>1.5018279795394607E-2</v>
      </c>
      <c r="E963" s="28">
        <v>2.4608729580983726E-2</v>
      </c>
      <c r="F963" s="51">
        <v>2.9477510656436556E-2</v>
      </c>
      <c r="G963" s="28">
        <v>7.6267695759093769E-3</v>
      </c>
      <c r="H963" s="55" t="s">
        <v>27</v>
      </c>
      <c r="I963" s="50">
        <v>60.103360634271141</v>
      </c>
      <c r="J963">
        <f t="shared" si="51"/>
        <v>1.4992452638494693E-2</v>
      </c>
    </row>
    <row r="964" spans="1:10" ht="12.75" customHeight="1" x14ac:dyDescent="0.15">
      <c r="A964" s="126">
        <v>48</v>
      </c>
      <c r="B964" s="25" t="s">
        <v>115</v>
      </c>
      <c r="C964" s="39">
        <v>8.5266666666666673</v>
      </c>
      <c r="D964" s="50">
        <v>2.1231099525821584E-2</v>
      </c>
      <c r="E964" s="28">
        <v>3.3812127006030181E-2</v>
      </c>
      <c r="F964" s="51">
        <v>3.1451668589004167E-2</v>
      </c>
      <c r="G964" s="28">
        <v>7.9168285687535866E-3</v>
      </c>
      <c r="H964" s="55" t="s">
        <v>27</v>
      </c>
      <c r="I964" s="50">
        <v>61.815249343156488</v>
      </c>
      <c r="J964">
        <f t="shared" si="51"/>
        <v>2.0607632988385312E-2</v>
      </c>
    </row>
    <row r="965" spans="1:10" ht="12.75" customHeight="1" x14ac:dyDescent="0.15">
      <c r="A965" s="126">
        <v>49</v>
      </c>
      <c r="B965" s="25" t="s">
        <v>116</v>
      </c>
      <c r="C965" s="39">
        <v>8.5333333333333332</v>
      </c>
      <c r="D965" s="50">
        <v>1.9585963225633218E-2</v>
      </c>
      <c r="E965" s="28">
        <v>3.3196531748178215E-2</v>
      </c>
      <c r="F965" s="51">
        <v>2.8884759653270309E-2</v>
      </c>
      <c r="G965" s="28">
        <v>7.6950853725333045E-3</v>
      </c>
      <c r="H965" s="55" t="s">
        <v>27</v>
      </c>
      <c r="I965" s="50">
        <v>58.072261120856297</v>
      </c>
      <c r="J965">
        <f t="shared" si="51"/>
        <v>2.0236129450725698E-2</v>
      </c>
    </row>
    <row r="966" spans="1:10" ht="12.75" customHeight="1" x14ac:dyDescent="0.15">
      <c r="A966" s="126">
        <v>50</v>
      </c>
      <c r="B966" s="25" t="s">
        <v>117</v>
      </c>
      <c r="C966" s="39">
        <v>8.5333333333333332</v>
      </c>
      <c r="D966" s="50">
        <v>1.5789205762027692E-2</v>
      </c>
      <c r="E966" s="28">
        <v>2.4398090005002593E-2</v>
      </c>
      <c r="F966" s="51">
        <v>2.9855458081244679E-2</v>
      </c>
      <c r="G966" s="28">
        <v>7.3224096576288691E-3</v>
      </c>
      <c r="H966" s="55" t="s">
        <v>27</v>
      </c>
      <c r="I966" s="50">
        <v>63.70435412129796</v>
      </c>
      <c r="J966">
        <f t="shared" si="51"/>
        <v>1.4871076848496576E-2</v>
      </c>
    </row>
    <row r="967" spans="1:10" ht="12.75" customHeight="1" x14ac:dyDescent="0.15">
      <c r="A967" s="126">
        <v>51</v>
      </c>
      <c r="B967" s="25" t="s">
        <v>2</v>
      </c>
      <c r="C967" s="39">
        <v>8.5300000000000011</v>
      </c>
      <c r="D967" s="50">
        <v>2.7184733622894974E-2</v>
      </c>
      <c r="E967" s="28">
        <v>4.3176070917894049E-2</v>
      </c>
      <c r="F967" s="51">
        <v>3.1868304378040335E-2</v>
      </c>
      <c r="G967" s="28">
        <v>8.0054992425798513E-3</v>
      </c>
      <c r="H967" s="55" t="s">
        <v>27</v>
      </c>
      <c r="I967" s="50">
        <v>61.957858689494955</v>
      </c>
      <c r="J967">
        <f t="shared" si="51"/>
        <v>2.6325700272308655E-2</v>
      </c>
    </row>
    <row r="968" spans="1:10" ht="12.75" customHeight="1" x14ac:dyDescent="0.15">
      <c r="A968" s="126">
        <v>52</v>
      </c>
      <c r="B968" s="25" t="s">
        <v>118</v>
      </c>
      <c r="C968" s="39">
        <v>8.5300000000000011</v>
      </c>
      <c r="D968" s="50">
        <v>1.5940732334474683E-2</v>
      </c>
      <c r="E968" s="28">
        <v>2.6973631208284467E-2</v>
      </c>
      <c r="F968" s="51">
        <v>2.9310582191780843E-2</v>
      </c>
      <c r="G968" s="28">
        <v>7.8032476338998468E-3</v>
      </c>
      <c r="H968" s="55" t="s">
        <v>27</v>
      </c>
      <c r="I968" s="50">
        <v>58.164371542037706</v>
      </c>
      <c r="J968">
        <f t="shared" si="51"/>
        <v>1.6443811128900806E-2</v>
      </c>
    </row>
    <row r="969" spans="1:10" ht="12.75" customHeight="1" x14ac:dyDescent="0.15">
      <c r="A969" s="126">
        <v>53</v>
      </c>
      <c r="B969" s="25" t="s">
        <v>119</v>
      </c>
      <c r="C969" s="39">
        <v>8.5333333333333332</v>
      </c>
      <c r="D969" s="50">
        <v>2.8672357826671213E-2</v>
      </c>
      <c r="E969" s="28">
        <v>4.610436204375426E-2</v>
      </c>
      <c r="F969" s="51">
        <v>3.3701578770574447E-2</v>
      </c>
      <c r="G969" s="28">
        <v>8.5614361456788999E-3</v>
      </c>
      <c r="H969" s="55" t="s">
        <v>27</v>
      </c>
      <c r="I969" s="50">
        <v>61.193036757877024</v>
      </c>
      <c r="J969">
        <f t="shared" si="51"/>
        <v>2.8113353426259292E-2</v>
      </c>
    </row>
    <row r="970" spans="1:10" ht="12.75" customHeight="1" x14ac:dyDescent="0.15">
      <c r="A970" s="126">
        <v>54</v>
      </c>
      <c r="B970" s="25" t="s">
        <v>120</v>
      </c>
      <c r="C970" s="39">
        <v>8.5333333333333332</v>
      </c>
      <c r="D970" s="50">
        <v>2.0552655867184022E-2</v>
      </c>
      <c r="E970" s="28">
        <v>3.3839309836936782E-2</v>
      </c>
      <c r="F970" s="51">
        <v>2.9505969052224357E-2</v>
      </c>
      <c r="G970" s="28">
        <v>7.6616092069451908E-3</v>
      </c>
      <c r="H970" s="55" t="s">
        <v>27</v>
      </c>
      <c r="I970" s="50">
        <v>59.779423893449362</v>
      </c>
      <c r="J970">
        <f t="shared" si="51"/>
        <v>2.0628491740385793E-2</v>
      </c>
    </row>
    <row r="971" spans="1:10" s="216" customFormat="1" ht="12.75" customHeight="1" x14ac:dyDescent="0.15">
      <c r="A971" s="209">
        <v>55</v>
      </c>
      <c r="B971" s="210" t="s">
        <v>121</v>
      </c>
      <c r="C971" s="211">
        <v>8.5333333333333332</v>
      </c>
      <c r="D971" s="212">
        <v>1.5276200065559076E-2</v>
      </c>
      <c r="E971" s="213">
        <v>2.5823115120589945E-2</v>
      </c>
      <c r="F971" s="214">
        <v>2.95123863636364E-2</v>
      </c>
      <c r="G971" s="213">
        <v>7.8281584802831015E-3</v>
      </c>
      <c r="H971" s="215" t="s">
        <v>27</v>
      </c>
      <c r="I971" s="212">
        <v>58.075391763694661</v>
      </c>
      <c r="J971" s="216">
        <f t="shared" si="51"/>
        <v>1.5782450640419644E-2</v>
      </c>
    </row>
    <row r="972" spans="1:10" s="216" customFormat="1" ht="12.75" customHeight="1" x14ac:dyDescent="0.15">
      <c r="A972" s="209">
        <v>56</v>
      </c>
      <c r="B972" s="210" t="s">
        <v>122</v>
      </c>
      <c r="C972" s="211">
        <v>8.5166666666666675</v>
      </c>
      <c r="D972" s="212">
        <v>2.3550577592098776E-2</v>
      </c>
      <c r="E972" s="213">
        <v>4.4406310397336758E-2</v>
      </c>
      <c r="F972" s="214">
        <v>3.179747816179268E-2</v>
      </c>
      <c r="G972" s="213">
        <v>9.3186729710945E-3</v>
      </c>
      <c r="H972" s="215" t="s">
        <v>27</v>
      </c>
      <c r="I972" s="212">
        <v>52.040401285846315</v>
      </c>
      <c r="J972" s="216">
        <f t="shared" si="51"/>
        <v>2.7152647185874727E-2</v>
      </c>
    </row>
    <row r="973" spans="1:10" s="216" customFormat="1" ht="12.75" customHeight="1" x14ac:dyDescent="0.15">
      <c r="A973" s="209">
        <v>57</v>
      </c>
      <c r="B973" s="210" t="s">
        <v>123</v>
      </c>
      <c r="C973" s="211">
        <v>8.5266666666666673</v>
      </c>
      <c r="D973" s="212">
        <v>2.4209872655125864E-2</v>
      </c>
      <c r="E973" s="213">
        <v>3.8998105607725403E-2</v>
      </c>
      <c r="F973" s="214">
        <v>3.1306244588744647E-2</v>
      </c>
      <c r="G973" s="213">
        <v>7.9560480360758076E-3</v>
      </c>
      <c r="H973" s="215" t="s">
        <v>27</v>
      </c>
      <c r="I973" s="212">
        <v>60.92476189588745</v>
      </c>
      <c r="J973" s="216">
        <f t="shared" si="51"/>
        <v>2.3842396984494491E-2</v>
      </c>
    </row>
    <row r="974" spans="1:10" ht="12.75" customHeight="1" x14ac:dyDescent="0.15">
      <c r="A974" s="126">
        <v>58</v>
      </c>
      <c r="B974" s="25" t="s">
        <v>124</v>
      </c>
      <c r="C974" s="39" t="s">
        <v>27</v>
      </c>
      <c r="D974" s="50" t="s">
        <v>27</v>
      </c>
      <c r="E974" s="28" t="s">
        <v>27</v>
      </c>
      <c r="F974" s="51" t="s">
        <v>27</v>
      </c>
      <c r="G974" s="28" t="s">
        <v>27</v>
      </c>
      <c r="H974" s="55" t="s">
        <v>27</v>
      </c>
      <c r="I974" s="50">
        <v>65.78038961231853</v>
      </c>
      <c r="J974" t="e">
        <f t="shared" si="51"/>
        <v>#VALUE!</v>
      </c>
    </row>
    <row r="975" spans="1:10" ht="12.75" customHeight="1" x14ac:dyDescent="0.15">
      <c r="A975" s="126">
        <v>59</v>
      </c>
      <c r="B975" s="25" t="s">
        <v>90</v>
      </c>
      <c r="C975" s="39" t="s">
        <v>27</v>
      </c>
      <c r="D975" s="50" t="s">
        <v>27</v>
      </c>
      <c r="E975" s="28" t="s">
        <v>27</v>
      </c>
      <c r="F975" s="51" t="s">
        <v>27</v>
      </c>
      <c r="G975" s="28" t="s">
        <v>27</v>
      </c>
      <c r="H975" s="55" t="s">
        <v>27</v>
      </c>
      <c r="I975" s="50">
        <v>61.907068385145138</v>
      </c>
      <c r="J975" t="e">
        <f t="shared" si="51"/>
        <v>#VALUE!</v>
      </c>
    </row>
    <row r="976" spans="1:10" ht="12.75" customHeight="1" x14ac:dyDescent="0.15">
      <c r="A976" s="126">
        <v>60</v>
      </c>
      <c r="B976" s="25" t="s">
        <v>91</v>
      </c>
      <c r="C976" s="39" t="s">
        <v>27</v>
      </c>
      <c r="D976" s="50" t="s">
        <v>27</v>
      </c>
      <c r="E976" s="28" t="s">
        <v>27</v>
      </c>
      <c r="F976" s="51" t="s">
        <v>27</v>
      </c>
      <c r="G976" s="28" t="s">
        <v>27</v>
      </c>
      <c r="H976" s="55" t="s">
        <v>27</v>
      </c>
      <c r="I976" s="50">
        <v>58.998742529710171</v>
      </c>
      <c r="J976" t="e">
        <f t="shared" si="51"/>
        <v>#VALUE!</v>
      </c>
    </row>
    <row r="977" spans="1:10" ht="12.75" customHeight="1" x14ac:dyDescent="0.15">
      <c r="A977" s="126">
        <v>61</v>
      </c>
      <c r="B977" s="25" t="s">
        <v>92</v>
      </c>
      <c r="C977" s="39">
        <v>8.543333333333333</v>
      </c>
      <c r="D977" s="50">
        <v>6.4921309409891048E-3</v>
      </c>
      <c r="E977" s="28">
        <v>9.8523870877085043E-3</v>
      </c>
      <c r="F977" s="51">
        <v>2.2271196172248819E-2</v>
      </c>
      <c r="G977" s="28">
        <v>5.3701245442081243E-3</v>
      </c>
      <c r="H977" s="55" t="s">
        <v>27</v>
      </c>
      <c r="I977" s="50">
        <v>65.052027330542359</v>
      </c>
      <c r="J977">
        <f t="shared" si="51"/>
        <v>5.98794338076625E-3</v>
      </c>
    </row>
    <row r="978" spans="1:10" ht="12.75" customHeight="1" x14ac:dyDescent="0.15">
      <c r="A978" s="126">
        <v>62</v>
      </c>
      <c r="B978" s="25" t="s">
        <v>93</v>
      </c>
      <c r="C978" s="39">
        <v>8.5266666666666673</v>
      </c>
      <c r="D978" s="50">
        <v>8.8700717295600029E-3</v>
      </c>
      <c r="E978" s="28">
        <v>1.3559064717251004E-2</v>
      </c>
      <c r="F978" s="51">
        <v>2.4409905660377373E-2</v>
      </c>
      <c r="G978" s="28">
        <v>5.9179609767570302E-3</v>
      </c>
      <c r="H978" s="55" t="s">
        <v>27</v>
      </c>
      <c r="I978" s="50">
        <v>64.573906305479596</v>
      </c>
      <c r="J978">
        <f t="shared" si="51"/>
        <v>8.2417857958894843E-3</v>
      </c>
    </row>
    <row r="979" spans="1:10" ht="12.75" customHeight="1" x14ac:dyDescent="0.15">
      <c r="A979" s="126">
        <v>63</v>
      </c>
      <c r="B979" s="25" t="s">
        <v>94</v>
      </c>
      <c r="C979" s="39">
        <v>8.5266666666666673</v>
      </c>
      <c r="D979" s="50">
        <v>8.1565767562805647E-3</v>
      </c>
      <c r="E979" s="28">
        <v>1.2888431526567158E-2</v>
      </c>
      <c r="F979" s="51">
        <v>2.3264133461353809E-2</v>
      </c>
      <c r="G979" s="28">
        <v>5.8124175446731333E-3</v>
      </c>
      <c r="H979" s="55" t="s">
        <v>27</v>
      </c>
      <c r="I979" s="50">
        <v>62.46520501934711</v>
      </c>
      <c r="J979">
        <f t="shared" si="51"/>
        <v>7.834675404095057E-3</v>
      </c>
    </row>
    <row r="980" spans="1:10" ht="12.75" customHeight="1" x14ac:dyDescent="0.15">
      <c r="A980" s="126">
        <v>64</v>
      </c>
      <c r="B980" s="25" t="s">
        <v>95</v>
      </c>
      <c r="C980" s="39">
        <v>8.5300000000000011</v>
      </c>
      <c r="D980" s="50">
        <v>9.2362945736430557E-3</v>
      </c>
      <c r="E980" s="28">
        <v>1.4526620658589302E-2</v>
      </c>
      <c r="F980" s="51">
        <v>2.5746976744186023E-2</v>
      </c>
      <c r="G980" s="28">
        <v>6.3949439766629894E-3</v>
      </c>
      <c r="H980" s="55" t="s">
        <v>27</v>
      </c>
      <c r="I980" s="50">
        <v>62.758321132945746</v>
      </c>
      <c r="J980">
        <f t="shared" si="51"/>
        <v>8.8303457519940103E-3</v>
      </c>
    </row>
    <row r="981" spans="1:10" ht="12.75" customHeight="1" x14ac:dyDescent="0.15">
      <c r="A981" s="126">
        <v>65</v>
      </c>
      <c r="B981" s="25" t="s">
        <v>96</v>
      </c>
      <c r="C981" s="39">
        <v>8.5333333333333332</v>
      </c>
      <c r="D981" s="50">
        <v>7.946923079411139E-3</v>
      </c>
      <c r="E981" s="28">
        <v>1.2500797323254043E-2</v>
      </c>
      <c r="F981" s="51">
        <v>2.3154332848131953E-2</v>
      </c>
      <c r="G981" s="28">
        <v>5.7504304891182008E-3</v>
      </c>
      <c r="H981" s="55" t="s">
        <v>27</v>
      </c>
      <c r="I981" s="50">
        <v>62.755394820370405</v>
      </c>
      <c r="J981">
        <f t="shared" si="51"/>
        <v>7.5979983255542206E-3</v>
      </c>
    </row>
    <row r="982" spans="1:10" ht="12.75" customHeight="1" x14ac:dyDescent="0.15">
      <c r="A982" s="126">
        <v>66</v>
      </c>
      <c r="B982" s="25" t="s">
        <v>97</v>
      </c>
      <c r="C982" s="39">
        <v>8.5233333333333334</v>
      </c>
      <c r="D982" s="50">
        <v>7.9007391022569706E-3</v>
      </c>
      <c r="E982" s="28">
        <v>1.2551693281519465E-2</v>
      </c>
      <c r="F982" s="51">
        <v>2.3421939510321566E-2</v>
      </c>
      <c r="G982" s="28">
        <v>5.8715984066551041E-3</v>
      </c>
      <c r="H982" s="55" t="s">
        <v>27</v>
      </c>
      <c r="I982" s="50">
        <v>62.128522403784586</v>
      </c>
      <c r="J982">
        <f t="shared" si="51"/>
        <v>7.630059879012053E-3</v>
      </c>
    </row>
    <row r="983" spans="1:10" ht="12.75" customHeight="1" x14ac:dyDescent="0.15">
      <c r="A983" s="126">
        <v>67</v>
      </c>
      <c r="B983" s="25" t="s">
        <v>98</v>
      </c>
      <c r="C983" s="39">
        <v>8.5300000000000011</v>
      </c>
      <c r="D983" s="50">
        <v>7.7542364608071956E-3</v>
      </c>
      <c r="E983" s="28">
        <v>1.2142882530691965E-2</v>
      </c>
      <c r="F983" s="51">
        <v>2.2366175771971419E-2</v>
      </c>
      <c r="G983" s="28">
        <v>5.5300647198760749E-3</v>
      </c>
      <c r="H983" s="55" t="s">
        <v>27</v>
      </c>
      <c r="I983" s="50">
        <v>63.037848427118</v>
      </c>
      <c r="J983">
        <f t="shared" si="51"/>
        <v>7.3805531003543244E-3</v>
      </c>
    </row>
    <row r="984" spans="1:10" ht="12.75" customHeight="1" x14ac:dyDescent="0.15">
      <c r="A984" s="126">
        <v>68</v>
      </c>
      <c r="B984" s="25" t="s">
        <v>99</v>
      </c>
      <c r="C984" s="39">
        <v>8.5333333333333332</v>
      </c>
      <c r="D984" s="50">
        <v>8.5703647517725301E-3</v>
      </c>
      <c r="E984" s="28">
        <v>1.280630795889146E-2</v>
      </c>
      <c r="F984" s="51">
        <v>2.4037413711583855E-2</v>
      </c>
      <c r="G984" s="28">
        <v>5.7140913085288242E-3</v>
      </c>
      <c r="H984" s="55" t="s">
        <v>27</v>
      </c>
      <c r="I984" s="50">
        <v>66.055330279921179</v>
      </c>
      <c r="J984">
        <f t="shared" si="51"/>
        <v>7.7847144647864956E-3</v>
      </c>
    </row>
    <row r="985" spans="1:10" ht="12.75" customHeight="1" x14ac:dyDescent="0.15">
      <c r="A985" s="126">
        <v>69</v>
      </c>
      <c r="B985" s="25" t="s">
        <v>100</v>
      </c>
      <c r="C985" s="39">
        <v>8.52</v>
      </c>
      <c r="D985" s="50">
        <v>8.4223769360274314E-3</v>
      </c>
      <c r="E985" s="28">
        <v>1.2837303174609927E-2</v>
      </c>
      <c r="F985" s="51">
        <v>2.4804415584415596E-2</v>
      </c>
      <c r="G985" s="28">
        <v>5.9987577949092092E-3</v>
      </c>
      <c r="H985" s="55" t="s">
        <v>27</v>
      </c>
      <c r="I985" s="50">
        <v>64.758887600553138</v>
      </c>
      <c r="J985">
        <f t="shared" si="51"/>
        <v>7.8034480653637649E-3</v>
      </c>
    </row>
    <row r="986" spans="1:10" ht="12.75" customHeight="1" x14ac:dyDescent="0.15">
      <c r="A986" s="126">
        <v>70</v>
      </c>
      <c r="B986" s="25" t="s">
        <v>101</v>
      </c>
      <c r="C986" s="39" t="s">
        <v>27</v>
      </c>
      <c r="D986" s="50" t="s">
        <v>27</v>
      </c>
      <c r="E986" s="28" t="s">
        <v>27</v>
      </c>
      <c r="F986" s="51" t="s">
        <v>27</v>
      </c>
      <c r="G986" s="28" t="s">
        <v>27</v>
      </c>
      <c r="H986" s="55" t="s">
        <v>27</v>
      </c>
      <c r="I986" s="50">
        <v>56.780021192243112</v>
      </c>
      <c r="J986" t="e">
        <f t="shared" si="51"/>
        <v>#VALUE!</v>
      </c>
    </row>
    <row r="987" spans="1:10" ht="12.75" customHeight="1" x14ac:dyDescent="0.15">
      <c r="A987" s="126">
        <v>71</v>
      </c>
      <c r="B987" s="25" t="s">
        <v>102</v>
      </c>
      <c r="C987" s="39" t="s">
        <v>27</v>
      </c>
      <c r="D987" s="50" t="s">
        <v>27</v>
      </c>
      <c r="E987" s="28" t="s">
        <v>27</v>
      </c>
      <c r="F987" s="51" t="s">
        <v>27</v>
      </c>
      <c r="G987" s="28" t="s">
        <v>27</v>
      </c>
      <c r="H987" s="55" t="s">
        <v>27</v>
      </c>
      <c r="I987" s="50">
        <v>60.091059349572056</v>
      </c>
      <c r="J987" t="e">
        <f t="shared" si="51"/>
        <v>#VALUE!</v>
      </c>
    </row>
    <row r="988" spans="1:10" ht="12.75" customHeight="1" x14ac:dyDescent="0.15">
      <c r="A988" s="126">
        <v>72</v>
      </c>
      <c r="B988" s="25" t="s">
        <v>103</v>
      </c>
      <c r="C988" s="39" t="s">
        <v>27</v>
      </c>
      <c r="D988" s="50" t="s">
        <v>27</v>
      </c>
      <c r="E988" s="28" t="s">
        <v>27</v>
      </c>
      <c r="F988" s="51" t="s">
        <v>27</v>
      </c>
      <c r="G988" s="28" t="s">
        <v>27</v>
      </c>
      <c r="H988" s="55" t="s">
        <v>27</v>
      </c>
      <c r="I988" s="50">
        <v>60.386845580817003</v>
      </c>
      <c r="J988" t="e">
        <f t="shared" si="51"/>
        <v>#VALUE!</v>
      </c>
    </row>
    <row r="989" spans="1:10" ht="12.75" customHeight="1" x14ac:dyDescent="0.15">
      <c r="A989" s="126">
        <v>73</v>
      </c>
      <c r="B989" s="25" t="s">
        <v>104</v>
      </c>
      <c r="C989" s="39">
        <v>8.5333333333333332</v>
      </c>
      <c r="D989" s="50">
        <v>8.7178607974489619E-3</v>
      </c>
      <c r="E989" s="28">
        <v>1.4237885067421845E-2</v>
      </c>
      <c r="F989" s="51">
        <v>2.3404822966507255E-2</v>
      </c>
      <c r="G989" s="28">
        <v>6.0223530548562804E-3</v>
      </c>
      <c r="H989" s="55" t="s">
        <v>27</v>
      </c>
      <c r="I989" s="50">
        <v>60.132023760909121</v>
      </c>
      <c r="J989">
        <f t="shared" si="51"/>
        <v>8.6987201682538137E-3</v>
      </c>
    </row>
    <row r="990" spans="1:10" ht="12.75" customHeight="1" x14ac:dyDescent="0.15">
      <c r="A990" s="126">
        <v>74</v>
      </c>
      <c r="B990" s="25" t="s">
        <v>105</v>
      </c>
      <c r="C990" s="39">
        <v>8.5333333333333332</v>
      </c>
      <c r="D990" s="50">
        <v>9.056294301863721E-3</v>
      </c>
      <c r="E990" s="28">
        <v>1.498307389446407E-2</v>
      </c>
      <c r="F990" s="51">
        <v>2.3682942254812156E-2</v>
      </c>
      <c r="G990" s="28">
        <v>6.1698491205249935E-3</v>
      </c>
      <c r="H990" s="55" t="s">
        <v>27</v>
      </c>
      <c r="I990" s="50">
        <v>59.348811260670658</v>
      </c>
      <c r="J990">
        <f t="shared" si="51"/>
        <v>9.1556620355075155E-3</v>
      </c>
    </row>
    <row r="991" spans="1:10" ht="12.75" customHeight="1" x14ac:dyDescent="0.15">
      <c r="A991" s="126">
        <v>75</v>
      </c>
      <c r="B991" s="25" t="s">
        <v>106</v>
      </c>
      <c r="C991" s="39">
        <v>8.5233333333333334</v>
      </c>
      <c r="D991" s="50">
        <v>7.1748400392650513E-3</v>
      </c>
      <c r="E991" s="28">
        <v>1.1753361503731217E-2</v>
      </c>
      <c r="F991" s="51">
        <v>2.263667699937999E-2</v>
      </c>
      <c r="G991" s="28">
        <v>5.8307457927961916E-3</v>
      </c>
      <c r="H991" s="55" t="s">
        <v>27</v>
      </c>
      <c r="I991" s="50">
        <v>59.979412046187214</v>
      </c>
      <c r="J991">
        <f t="shared" si="51"/>
        <v>7.1773028055760781E-3</v>
      </c>
    </row>
    <row r="992" spans="1:10" ht="12.75" customHeight="1" x14ac:dyDescent="0.15">
      <c r="A992" s="126">
        <v>76</v>
      </c>
      <c r="B992" s="25" t="s">
        <v>107</v>
      </c>
      <c r="C992" s="39">
        <v>8.5300000000000011</v>
      </c>
      <c r="D992" s="50">
        <v>8.5532835868185053E-3</v>
      </c>
      <c r="E992" s="28">
        <v>1.4378794532827482E-2</v>
      </c>
      <c r="F992" s="51">
        <v>2.3636806083650264E-2</v>
      </c>
      <c r="G992" s="28">
        <v>6.2324974715055968E-3</v>
      </c>
      <c r="H992" s="55" t="s">
        <v>27</v>
      </c>
      <c r="I992" s="50">
        <v>58.391022198320663</v>
      </c>
      <c r="J992">
        <f t="shared" si="51"/>
        <v>8.7889712474303969E-3</v>
      </c>
    </row>
    <row r="993" spans="1:10" ht="12.75" customHeight="1" x14ac:dyDescent="0.15">
      <c r="A993" s="126">
        <v>77</v>
      </c>
      <c r="B993" s="25" t="s">
        <v>108</v>
      </c>
      <c r="C993" s="39">
        <v>8.52</v>
      </c>
      <c r="D993" s="50">
        <v>9.0697179669030348E-3</v>
      </c>
      <c r="E993" s="28">
        <v>1.5138113285978349E-2</v>
      </c>
      <c r="F993" s="51">
        <v>2.4917333333333347E-2</v>
      </c>
      <c r="G993" s="28">
        <v>6.5368064419029934E-3</v>
      </c>
      <c r="H993" s="55" t="s">
        <v>27</v>
      </c>
      <c r="I993" s="50">
        <v>58.807311386383006</v>
      </c>
      <c r="J993">
        <f t="shared" si="51"/>
        <v>9.2536636208161889E-3</v>
      </c>
    </row>
    <row r="994" spans="1:10" ht="12.75" customHeight="1" x14ac:dyDescent="0.15">
      <c r="A994" s="126">
        <v>78</v>
      </c>
      <c r="B994" s="25" t="s">
        <v>109</v>
      </c>
      <c r="C994" s="39">
        <v>8.5300000000000011</v>
      </c>
      <c r="D994" s="50">
        <v>9.0735915238095988E-3</v>
      </c>
      <c r="E994" s="28">
        <v>1.4507537808708218E-2</v>
      </c>
      <c r="F994" s="51">
        <v>2.4162728571428538E-2</v>
      </c>
      <c r="G994" s="28">
        <v>6.0940700944778761E-3</v>
      </c>
      <c r="H994" s="55" t="s">
        <v>27</v>
      </c>
      <c r="I994" s="50">
        <v>61.39769581707143</v>
      </c>
      <c r="J994">
        <f t="shared" si="51"/>
        <v>8.8670345716329469E-3</v>
      </c>
    </row>
    <row r="995" spans="1:10" ht="12.75" customHeight="1" x14ac:dyDescent="0.15">
      <c r="A995" s="126">
        <v>79</v>
      </c>
      <c r="B995" s="25" t="s">
        <v>110</v>
      </c>
      <c r="C995" s="39">
        <v>8.5300000000000011</v>
      </c>
      <c r="D995" s="50">
        <v>8.1462437984491931E-3</v>
      </c>
      <c r="E995" s="28">
        <v>1.3990745075283934E-2</v>
      </c>
      <c r="F995" s="51">
        <v>2.2757062173706766E-2</v>
      </c>
      <c r="G995" s="28">
        <v>6.1092966199977894E-3</v>
      </c>
      <c r="H995" s="55" t="s">
        <v>27</v>
      </c>
      <c r="I995" s="50">
        <v>57.440453871650085</v>
      </c>
      <c r="J995">
        <f t="shared" si="51"/>
        <v>8.5092403517408113E-3</v>
      </c>
    </row>
    <row r="996" spans="1:10" ht="12.75" customHeight="1" x14ac:dyDescent="0.15">
      <c r="A996" s="126">
        <v>80</v>
      </c>
      <c r="B996" s="25" t="s">
        <v>111</v>
      </c>
      <c r="C996" s="39">
        <v>8.5233333333333334</v>
      </c>
      <c r="D996" s="50">
        <v>8.2288465041040482E-3</v>
      </c>
      <c r="E996" s="28">
        <v>1.4307746322338411E-2</v>
      </c>
      <c r="F996" s="51">
        <v>2.3514715909090933E-2</v>
      </c>
      <c r="G996" s="28">
        <v>6.3766676715062238E-3</v>
      </c>
      <c r="H996" s="55" t="s">
        <v>27</v>
      </c>
      <c r="I996" s="50">
        <v>56.738615776325759</v>
      </c>
      <c r="J996">
        <f t="shared" si="51"/>
        <v>8.7018476480396015E-3</v>
      </c>
    </row>
    <row r="997" spans="1:10" ht="12.75" customHeight="1" x14ac:dyDescent="0.15">
      <c r="A997" s="126">
        <v>81</v>
      </c>
      <c r="B997" s="25" t="s">
        <v>112</v>
      </c>
      <c r="C997" s="39">
        <v>8.5233333333333334</v>
      </c>
      <c r="D997" s="50">
        <v>6.9868494427236527E-3</v>
      </c>
      <c r="E997" s="28">
        <v>1.1467467176279406E-2</v>
      </c>
      <c r="F997" s="51">
        <v>2.194349226006187E-2</v>
      </c>
      <c r="G997" s="28">
        <v>5.6606494281765283E-3</v>
      </c>
      <c r="H997" s="55" t="s">
        <v>27</v>
      </c>
      <c r="I997" s="50">
        <v>60.031309810371532</v>
      </c>
      <c r="J997">
        <f t="shared" si="51"/>
        <v>6.9832053954450388E-3</v>
      </c>
    </row>
    <row r="998" spans="1:10" ht="12.75" customHeight="1" x14ac:dyDescent="0.15">
      <c r="A998" s="126">
        <v>82</v>
      </c>
      <c r="B998" s="25" t="s">
        <v>113</v>
      </c>
      <c r="C998" s="39">
        <v>8.5233333333333334</v>
      </c>
      <c r="D998" s="50">
        <v>8.4555651808175813E-3</v>
      </c>
      <c r="E998" s="28">
        <v>1.3178259302424323E-2</v>
      </c>
      <c r="F998" s="51">
        <v>2.4726193396226392E-2</v>
      </c>
      <c r="G998" s="28">
        <v>6.1193270116629023E-3</v>
      </c>
      <c r="H998" s="55" t="s">
        <v>27</v>
      </c>
      <c r="I998" s="50">
        <v>62.979314774190286</v>
      </c>
      <c r="J998">
        <f t="shared" si="51"/>
        <v>8.0555641589318584E-3</v>
      </c>
    </row>
    <row r="999" spans="1:10" ht="12.75" customHeight="1" x14ac:dyDescent="0.15">
      <c r="A999" s="126">
        <v>83</v>
      </c>
      <c r="B999" s="25" t="s">
        <v>114</v>
      </c>
      <c r="C999" s="39">
        <v>8.5133333333333336</v>
      </c>
      <c r="D999" s="50">
        <v>2.3295699448242058E-2</v>
      </c>
      <c r="E999" s="28">
        <v>3.8357555960943437E-2</v>
      </c>
      <c r="F999" s="51">
        <v>2.983083483267357E-2</v>
      </c>
      <c r="G999" s="28">
        <v>7.7366511676229387E-3</v>
      </c>
      <c r="H999" s="55" t="s">
        <v>27</v>
      </c>
      <c r="I999" s="50">
        <v>59.799484012738418</v>
      </c>
      <c r="J999">
        <f t="shared" ref="J999:J1062" si="52">D999*60/I999</f>
        <v>2.3373813168635002E-2</v>
      </c>
    </row>
    <row r="1000" spans="1:10" ht="12.75" customHeight="1" x14ac:dyDescent="0.15">
      <c r="A1000" s="126">
        <v>84</v>
      </c>
      <c r="B1000" s="25" t="s">
        <v>115</v>
      </c>
      <c r="C1000" s="39">
        <v>8.5266666666666673</v>
      </c>
      <c r="D1000" s="50">
        <v>1.5565286637390763E-2</v>
      </c>
      <c r="E1000" s="28">
        <v>2.5515641175629974E-2</v>
      </c>
      <c r="F1000" s="51">
        <v>2.6923350062735163E-2</v>
      </c>
      <c r="G1000" s="28">
        <v>6.9455472424492645E-3</v>
      </c>
      <c r="H1000" s="55" t="s">
        <v>27</v>
      </c>
      <c r="I1000" s="50">
        <v>60.080990143977424</v>
      </c>
      <c r="J1000">
        <f t="shared" si="52"/>
        <v>1.5544304379894821E-2</v>
      </c>
    </row>
    <row r="1001" spans="1:10" ht="12.75" customHeight="1" x14ac:dyDescent="0.15">
      <c r="A1001" s="126">
        <v>85</v>
      </c>
      <c r="B1001" s="25" t="s">
        <v>116</v>
      </c>
      <c r="C1001" s="39">
        <v>8.5300000000000011</v>
      </c>
      <c r="D1001" s="50">
        <v>2.9610898019905019E-2</v>
      </c>
      <c r="E1001" s="28">
        <v>4.8904822775765758E-2</v>
      </c>
      <c r="F1001" s="51">
        <v>3.1479415501906027E-2</v>
      </c>
      <c r="G1001" s="28">
        <v>8.194403092124436E-3</v>
      </c>
      <c r="H1001" s="55" t="s">
        <v>27</v>
      </c>
      <c r="I1001" s="50">
        <v>59.579719599809422</v>
      </c>
      <c r="J1001">
        <f t="shared" si="52"/>
        <v>2.981977580841089E-2</v>
      </c>
    </row>
    <row r="1002" spans="1:10" ht="12.75" customHeight="1" x14ac:dyDescent="0.15">
      <c r="A1002" s="126">
        <v>86</v>
      </c>
      <c r="B1002" s="25" t="s">
        <v>117</v>
      </c>
      <c r="C1002" s="39">
        <v>8.5233333333333334</v>
      </c>
      <c r="D1002" s="50">
        <v>2.5616090014086712E-2</v>
      </c>
      <c r="E1002" s="28">
        <v>4.2970273773232634E-2</v>
      </c>
      <c r="F1002" s="51">
        <v>3.0338524128214139E-2</v>
      </c>
      <c r="G1002" s="28">
        <v>7.9959365585338411E-3</v>
      </c>
      <c r="H1002" s="55" t="s">
        <v>27</v>
      </c>
      <c r="I1002" s="50">
        <v>58.660169888182494</v>
      </c>
      <c r="J1002">
        <f t="shared" si="52"/>
        <v>2.6201175410418224E-2</v>
      </c>
    </row>
    <row r="1003" spans="1:10" ht="12.75" customHeight="1" x14ac:dyDescent="0.15">
      <c r="A1003" s="126">
        <v>87</v>
      </c>
      <c r="B1003" s="25" t="s">
        <v>2</v>
      </c>
      <c r="C1003" s="39">
        <v>8.5233333333333334</v>
      </c>
      <c r="D1003" s="50">
        <v>1.4370762300884521E-2</v>
      </c>
      <c r="E1003" s="28">
        <v>2.4046823815586007E-2</v>
      </c>
      <c r="F1003" s="51">
        <v>2.9947362831858393E-2</v>
      </c>
      <c r="G1003" s="28">
        <v>7.8763302979447114E-3</v>
      </c>
      <c r="H1003" s="55" t="s">
        <v>27</v>
      </c>
      <c r="I1003" s="50">
        <v>58.797769174159257</v>
      </c>
      <c r="J1003">
        <f t="shared" si="52"/>
        <v>1.466459952756193E-2</v>
      </c>
    </row>
    <row r="1004" spans="1:10" ht="12.75" customHeight="1" x14ac:dyDescent="0.15">
      <c r="A1004" s="126">
        <v>88</v>
      </c>
      <c r="B1004" s="25" t="s">
        <v>118</v>
      </c>
      <c r="C1004" s="39">
        <v>8.5333333333333332</v>
      </c>
      <c r="D1004" s="50">
        <v>3.5188911422159741E-2</v>
      </c>
      <c r="E1004" s="28">
        <v>5.7681134769617018E-2</v>
      </c>
      <c r="F1004" s="51">
        <v>3.6339411764705898E-2</v>
      </c>
      <c r="G1004" s="28">
        <v>9.3355296837569803E-3</v>
      </c>
      <c r="H1004" s="55" t="s">
        <v>27</v>
      </c>
      <c r="I1004" s="50">
        <v>59.994375533297919</v>
      </c>
      <c r="J1004">
        <f t="shared" si="52"/>
        <v>3.5192210379083905E-2</v>
      </c>
    </row>
    <row r="1005" spans="1:10" ht="12.75" customHeight="1" x14ac:dyDescent="0.15">
      <c r="A1005" s="126">
        <v>89</v>
      </c>
      <c r="B1005" s="25" t="s">
        <v>119</v>
      </c>
      <c r="C1005" s="39">
        <v>8.5233333333333334</v>
      </c>
      <c r="D1005" s="50">
        <v>2.1858720545359756E-2</v>
      </c>
      <c r="E1005" s="28">
        <v>3.5178423962778683E-2</v>
      </c>
      <c r="F1005" s="51">
        <v>3.3074119484576281E-2</v>
      </c>
      <c r="G1005" s="28">
        <v>8.3707898804472238E-3</v>
      </c>
      <c r="H1005" s="55" t="s">
        <v>27</v>
      </c>
      <c r="I1005" s="50">
        <v>61.126993004705206</v>
      </c>
      <c r="J1005">
        <f t="shared" si="52"/>
        <v>2.1455713233278655E-2</v>
      </c>
    </row>
    <row r="1006" spans="1:10" ht="12.75" customHeight="1" x14ac:dyDescent="0.15">
      <c r="A1006" s="126">
        <v>90</v>
      </c>
      <c r="B1006" s="25" t="s">
        <v>120</v>
      </c>
      <c r="C1006" s="39">
        <v>8.5233333333333334</v>
      </c>
      <c r="D1006" s="50">
        <v>1.9004206740195873E-2</v>
      </c>
      <c r="E1006" s="28">
        <v>3.0074939298126088E-2</v>
      </c>
      <c r="F1006" s="51">
        <v>3.2735392156862719E-2</v>
      </c>
      <c r="G1006" s="28">
        <v>8.187165466771085E-3</v>
      </c>
      <c r="H1006" s="55" t="s">
        <v>27</v>
      </c>
      <c r="I1006" s="50">
        <v>62.176815164923703</v>
      </c>
      <c r="J1006">
        <f t="shared" si="52"/>
        <v>1.8338867974939506E-2</v>
      </c>
    </row>
    <row r="1007" spans="1:10" ht="12.75" customHeight="1" x14ac:dyDescent="0.15">
      <c r="A1007" s="126">
        <v>91</v>
      </c>
      <c r="B1007" s="25" t="s">
        <v>121</v>
      </c>
      <c r="C1007" s="39">
        <v>8.5266666666666673</v>
      </c>
      <c r="D1007" s="50">
        <v>2.8505220726418035E-2</v>
      </c>
      <c r="E1007" s="28">
        <v>5.0533026051808753E-2</v>
      </c>
      <c r="F1007" s="51">
        <v>3.2793814574067826E-2</v>
      </c>
      <c r="G1007" s="28">
        <v>9.0511855407271122E-3</v>
      </c>
      <c r="H1007" s="55" t="s">
        <v>27</v>
      </c>
      <c r="I1007" s="50">
        <v>55.484828354972052</v>
      </c>
      <c r="J1007">
        <f t="shared" si="52"/>
        <v>3.0824881220558362E-2</v>
      </c>
    </row>
    <row r="1008" spans="1:10" ht="12.75" customHeight="1" x14ac:dyDescent="0.15">
      <c r="A1008" s="126">
        <v>92</v>
      </c>
      <c r="B1008" s="25" t="s">
        <v>122</v>
      </c>
      <c r="C1008" s="39">
        <v>8.5233333333333334</v>
      </c>
      <c r="D1008" s="50">
        <v>2.1938571992674571E-2</v>
      </c>
      <c r="E1008" s="28">
        <v>3.5569895995635786E-2</v>
      </c>
      <c r="F1008" s="51">
        <v>3.2905652009097786E-2</v>
      </c>
      <c r="G1008" s="28">
        <v>8.3865294767922153E-3</v>
      </c>
      <c r="H1008" s="55" t="s">
        <v>27</v>
      </c>
      <c r="I1008" s="50">
        <v>60.682131420672214</v>
      </c>
      <c r="J1008">
        <f t="shared" si="52"/>
        <v>2.1691959210121837E-2</v>
      </c>
    </row>
    <row r="1009" spans="1:10" ht="12.75" customHeight="1" x14ac:dyDescent="0.15">
      <c r="A1009" s="126">
        <v>93</v>
      </c>
      <c r="B1009" s="25" t="s">
        <v>123</v>
      </c>
      <c r="C1009" s="39">
        <v>8.5300000000000011</v>
      </c>
      <c r="D1009" s="50">
        <v>2.3270874176153811E-2</v>
      </c>
      <c r="E1009" s="28">
        <v>3.7519987976201936E-2</v>
      </c>
      <c r="F1009" s="51">
        <v>3.208185226019844E-2</v>
      </c>
      <c r="G1009" s="28">
        <v>8.1470399908323103E-3</v>
      </c>
      <c r="H1009" s="55" t="s">
        <v>27</v>
      </c>
      <c r="I1009" s="50">
        <v>61.040575735409782</v>
      </c>
      <c r="J1009">
        <f t="shared" si="52"/>
        <v>2.2874169087485512E-2</v>
      </c>
    </row>
    <row r="1010" spans="1:10" ht="12.75" customHeight="1" x14ac:dyDescent="0.15">
      <c r="A1010" s="126">
        <v>94</v>
      </c>
      <c r="B1010" s="25" t="s">
        <v>125</v>
      </c>
      <c r="C1010" s="39">
        <v>8.5233333333333334</v>
      </c>
      <c r="D1010" s="50">
        <v>3.5448022510816912E-2</v>
      </c>
      <c r="E1010" s="28">
        <v>5.1209062160516565E-2</v>
      </c>
      <c r="F1010" s="51">
        <v>4.5357168831168915E-2</v>
      </c>
      <c r="G1010" s="28">
        <v>1.0471272485023017E-2</v>
      </c>
      <c r="H1010" s="55" t="s">
        <v>27</v>
      </c>
      <c r="I1010" s="50">
        <v>68.187503026666704</v>
      </c>
      <c r="J1010">
        <f t="shared" si="52"/>
        <v>3.1191659119959796E-2</v>
      </c>
    </row>
    <row r="1011" spans="1:10" ht="12.75" customHeight="1" x14ac:dyDescent="0.15">
      <c r="A1011" s="126">
        <v>95</v>
      </c>
      <c r="B1011" s="25" t="s">
        <v>126</v>
      </c>
      <c r="C1011" s="39">
        <v>8.5133333333333336</v>
      </c>
      <c r="D1011" s="50">
        <v>5.6101656979542058E-2</v>
      </c>
      <c r="E1011" s="28">
        <v>8.4909654127773737E-2</v>
      </c>
      <c r="F1011" s="51">
        <v>0.17988066064981956</v>
      </c>
      <c r="G1011" s="28">
        <v>4.3093197827976042E-2</v>
      </c>
      <c r="H1011" s="55" t="s">
        <v>27</v>
      </c>
      <c r="I1011" s="50">
        <v>64.91833024007218</v>
      </c>
      <c r="J1011">
        <f t="shared" si="52"/>
        <v>5.185129386915021E-2</v>
      </c>
    </row>
    <row r="1012" spans="1:10" ht="12.75" customHeight="1" x14ac:dyDescent="0.15">
      <c r="A1012" s="126">
        <v>96</v>
      </c>
      <c r="B1012" s="25" t="s">
        <v>85</v>
      </c>
      <c r="C1012" s="39" t="s">
        <v>27</v>
      </c>
      <c r="D1012" s="50" t="s">
        <v>27</v>
      </c>
      <c r="E1012" s="28" t="s">
        <v>27</v>
      </c>
      <c r="F1012" s="51" t="s">
        <v>27</v>
      </c>
      <c r="G1012" s="28" t="s">
        <v>27</v>
      </c>
      <c r="H1012" s="55" t="s">
        <v>27</v>
      </c>
      <c r="I1012" s="50">
        <v>4.7912273660913218E-2</v>
      </c>
      <c r="J1012" t="e">
        <f t="shared" si="52"/>
        <v>#VALUE!</v>
      </c>
    </row>
    <row r="1013" spans="1:10" ht="12.75" customHeight="1" x14ac:dyDescent="0.15">
      <c r="A1013" s="126">
        <v>97</v>
      </c>
      <c r="B1013" s="25" t="s">
        <v>85</v>
      </c>
      <c r="C1013" s="39" t="s">
        <v>27</v>
      </c>
      <c r="D1013" s="50" t="s">
        <v>27</v>
      </c>
      <c r="E1013" s="28" t="s">
        <v>27</v>
      </c>
      <c r="F1013" s="51" t="s">
        <v>27</v>
      </c>
      <c r="G1013" s="28" t="s">
        <v>27</v>
      </c>
      <c r="H1013" s="55" t="s">
        <v>27</v>
      </c>
      <c r="I1013" s="50">
        <v>4.2384752959074734E-2</v>
      </c>
      <c r="J1013" t="e">
        <f t="shared" si="52"/>
        <v>#VALUE!</v>
      </c>
    </row>
    <row r="1014" spans="1:10" ht="12.75" customHeight="1" x14ac:dyDescent="0.15">
      <c r="A1014" s="126">
        <v>98</v>
      </c>
      <c r="B1014" s="25" t="s">
        <v>85</v>
      </c>
      <c r="C1014" s="39">
        <v>8.51</v>
      </c>
      <c r="D1014" s="50">
        <v>7.5103333333334521E-3</v>
      </c>
      <c r="E1014" s="28">
        <v>1.5227470949633883</v>
      </c>
      <c r="F1014" s="51">
        <v>3.3396574585635386E-2</v>
      </c>
      <c r="G1014" s="28">
        <v>3.0710444953904399</v>
      </c>
      <c r="H1014" s="55" t="s">
        <v>27</v>
      </c>
      <c r="I1014" s="50">
        <v>0.15383328163172283</v>
      </c>
      <c r="J1014">
        <f t="shared" si="52"/>
        <v>2.9292750906711609</v>
      </c>
    </row>
    <row r="1015" spans="1:10" ht="12.75" customHeight="1" x14ac:dyDescent="0.15">
      <c r="A1015" s="126">
        <v>99</v>
      </c>
      <c r="B1015" s="25" t="s">
        <v>85</v>
      </c>
      <c r="C1015" s="39">
        <v>8.5133333333333336</v>
      </c>
      <c r="D1015" s="50">
        <v>7.8483833333332642E-3</v>
      </c>
      <c r="E1015" s="28">
        <v>0.37920511351737141</v>
      </c>
      <c r="F1015" s="51">
        <v>3.5711547619047712E-2</v>
      </c>
      <c r="G1015" s="28">
        <v>1.1406426974787887</v>
      </c>
      <c r="H1015" s="55" t="s">
        <v>27</v>
      </c>
      <c r="I1015" s="50">
        <v>0.4038991018443201</v>
      </c>
      <c r="J1015">
        <f t="shared" si="52"/>
        <v>1.1658926644048391</v>
      </c>
    </row>
    <row r="1016" spans="1:10" ht="12.75" customHeight="1" x14ac:dyDescent="0.15">
      <c r="A1016" s="126">
        <v>100</v>
      </c>
      <c r="B1016" s="25" t="s">
        <v>127</v>
      </c>
      <c r="C1016" s="39">
        <v>8.4966666666666679</v>
      </c>
      <c r="D1016" s="50">
        <v>1.0988984176653727E-2</v>
      </c>
      <c r="E1016" s="28">
        <v>1.4928693796532694E-2</v>
      </c>
      <c r="F1016" s="51">
        <v>4.0331158455392813E-2</v>
      </c>
      <c r="G1016" s="28">
        <v>8.7807730247672893E-3</v>
      </c>
      <c r="H1016" s="55" t="s">
        <v>27</v>
      </c>
      <c r="I1016" s="50">
        <v>72.528602379227749</v>
      </c>
      <c r="J1016">
        <f t="shared" si="52"/>
        <v>9.090745291792067E-3</v>
      </c>
    </row>
    <row r="1017" spans="1:10" ht="12.75" customHeight="1" x14ac:dyDescent="0.15">
      <c r="A1017" s="126">
        <v>101</v>
      </c>
      <c r="B1017" s="25" t="s">
        <v>90</v>
      </c>
      <c r="C1017" s="39">
        <v>8.5133333333333336</v>
      </c>
      <c r="D1017" s="50">
        <v>1.2788969382964921E-2</v>
      </c>
      <c r="E1017" s="28">
        <v>1.9333090279232704E-2</v>
      </c>
      <c r="F1017" s="51">
        <v>4.2989718309859093E-2</v>
      </c>
      <c r="G1017" s="28">
        <v>1.0253772160749304E-2</v>
      </c>
      <c r="H1017" s="55" t="s">
        <v>27</v>
      </c>
      <c r="I1017" s="50">
        <v>65.189621435077129</v>
      </c>
      <c r="J1017">
        <f t="shared" si="52"/>
        <v>1.1770863921062857E-2</v>
      </c>
    </row>
    <row r="1018" spans="1:10" ht="12.75" customHeight="1" x14ac:dyDescent="0.15">
      <c r="A1018" s="126">
        <v>102</v>
      </c>
      <c r="B1018" s="25" t="s">
        <v>91</v>
      </c>
      <c r="C1018" s="39" t="s">
        <v>27</v>
      </c>
      <c r="D1018" s="50" t="s">
        <v>27</v>
      </c>
      <c r="E1018" s="28" t="s">
        <v>27</v>
      </c>
      <c r="F1018" s="51" t="s">
        <v>27</v>
      </c>
      <c r="G1018" s="28" t="s">
        <v>27</v>
      </c>
      <c r="H1018" s="55" t="s">
        <v>27</v>
      </c>
      <c r="I1018" s="50">
        <v>63.049454443403043</v>
      </c>
      <c r="J1018" t="e">
        <f t="shared" si="52"/>
        <v>#VALUE!</v>
      </c>
    </row>
    <row r="1019" spans="1:10" ht="12.75" customHeight="1" x14ac:dyDescent="0.15">
      <c r="A1019" s="126">
        <v>103</v>
      </c>
      <c r="B1019" s="25" t="s">
        <v>92</v>
      </c>
      <c r="C1019" s="39" t="s">
        <v>27</v>
      </c>
      <c r="D1019" s="50" t="s">
        <v>27</v>
      </c>
      <c r="E1019" s="28" t="s">
        <v>27</v>
      </c>
      <c r="F1019" s="51" t="s">
        <v>27</v>
      </c>
      <c r="G1019" s="28" t="s">
        <v>27</v>
      </c>
      <c r="H1019" s="55" t="s">
        <v>27</v>
      </c>
      <c r="I1019" s="50">
        <v>64.751162166727894</v>
      </c>
      <c r="J1019" t="e">
        <f t="shared" si="52"/>
        <v>#VALUE!</v>
      </c>
    </row>
    <row r="1020" spans="1:10" ht="12.75" customHeight="1" x14ac:dyDescent="0.15">
      <c r="A1020" s="126">
        <v>104</v>
      </c>
      <c r="B1020" s="25" t="s">
        <v>93</v>
      </c>
      <c r="C1020" s="39" t="s">
        <v>27</v>
      </c>
      <c r="D1020" s="50" t="s">
        <v>27</v>
      </c>
      <c r="E1020" s="28" t="s">
        <v>27</v>
      </c>
      <c r="F1020" s="51" t="s">
        <v>27</v>
      </c>
      <c r="G1020" s="28" t="s">
        <v>27</v>
      </c>
      <c r="H1020" s="55" t="s">
        <v>27</v>
      </c>
      <c r="I1020" s="50">
        <v>62.68294141354761</v>
      </c>
      <c r="J1020" t="e">
        <f t="shared" si="52"/>
        <v>#VALUE!</v>
      </c>
    </row>
    <row r="1021" spans="1:10" ht="12.75" customHeight="1" x14ac:dyDescent="0.15">
      <c r="A1021" s="126">
        <v>105</v>
      </c>
      <c r="B1021" s="25" t="s">
        <v>94</v>
      </c>
      <c r="C1021" s="39" t="s">
        <v>27</v>
      </c>
      <c r="D1021" s="50" t="s">
        <v>27</v>
      </c>
      <c r="E1021" s="28" t="s">
        <v>27</v>
      </c>
      <c r="F1021" s="51" t="s">
        <v>27</v>
      </c>
      <c r="G1021" s="28" t="s">
        <v>27</v>
      </c>
      <c r="H1021" s="55" t="s">
        <v>27</v>
      </c>
      <c r="I1021" s="50">
        <v>63.563630264790291</v>
      </c>
      <c r="J1021" t="e">
        <f t="shared" si="52"/>
        <v>#VALUE!</v>
      </c>
    </row>
    <row r="1022" spans="1:10" ht="12.75" customHeight="1" x14ac:dyDescent="0.15">
      <c r="A1022" s="126">
        <v>106</v>
      </c>
      <c r="B1022" s="25" t="s">
        <v>95</v>
      </c>
      <c r="C1022" s="39" t="s">
        <v>27</v>
      </c>
      <c r="D1022" s="50" t="s">
        <v>27</v>
      </c>
      <c r="E1022" s="28" t="s">
        <v>27</v>
      </c>
      <c r="F1022" s="51" t="s">
        <v>27</v>
      </c>
      <c r="G1022" s="28" t="s">
        <v>27</v>
      </c>
      <c r="H1022" s="55" t="s">
        <v>27</v>
      </c>
      <c r="I1022" s="50">
        <v>61.808598238098114</v>
      </c>
      <c r="J1022" t="e">
        <f t="shared" si="52"/>
        <v>#VALUE!</v>
      </c>
    </row>
    <row r="1023" spans="1:10" ht="12.75" customHeight="1" x14ac:dyDescent="0.15">
      <c r="A1023" s="126">
        <v>107</v>
      </c>
      <c r="B1023" s="25" t="s">
        <v>96</v>
      </c>
      <c r="C1023" s="39" t="s">
        <v>27</v>
      </c>
      <c r="D1023" s="50" t="s">
        <v>27</v>
      </c>
      <c r="E1023" s="28" t="s">
        <v>27</v>
      </c>
      <c r="F1023" s="51" t="s">
        <v>27</v>
      </c>
      <c r="G1023" s="28" t="s">
        <v>27</v>
      </c>
      <c r="H1023" s="55" t="s">
        <v>27</v>
      </c>
      <c r="I1023" s="50">
        <v>62.479177663466629</v>
      </c>
      <c r="J1023" t="e">
        <f t="shared" si="52"/>
        <v>#VALUE!</v>
      </c>
    </row>
    <row r="1024" spans="1:10" ht="12.75" customHeight="1" x14ac:dyDescent="0.15">
      <c r="A1024" s="126">
        <v>108</v>
      </c>
      <c r="B1024" s="25" t="s">
        <v>97</v>
      </c>
      <c r="C1024" s="39">
        <v>8.5133333333333336</v>
      </c>
      <c r="D1024" s="50">
        <v>8.5966953138815194E-3</v>
      </c>
      <c r="E1024" s="28">
        <v>1.3864781851554209E-2</v>
      </c>
      <c r="F1024" s="51">
        <v>2.8536412466843575E-2</v>
      </c>
      <c r="G1024" s="28">
        <v>7.2368835962048593E-3</v>
      </c>
      <c r="H1024" s="55" t="s">
        <v>27</v>
      </c>
      <c r="I1024" s="50">
        <v>61.138778907283374</v>
      </c>
      <c r="J1024">
        <f t="shared" si="52"/>
        <v>8.4365721404920709E-3</v>
      </c>
    </row>
    <row r="1025" spans="1:10" ht="12.75" customHeight="1" x14ac:dyDescent="0.15">
      <c r="A1025" s="126">
        <v>109</v>
      </c>
      <c r="B1025" s="25" t="s">
        <v>98</v>
      </c>
      <c r="C1025" s="39">
        <v>8.51</v>
      </c>
      <c r="D1025" s="50">
        <v>1.0096027643259564E-2</v>
      </c>
      <c r="E1025" s="28">
        <v>1.6040829558295475E-2</v>
      </c>
      <c r="F1025" s="51">
        <v>3.011439467312349E-2</v>
      </c>
      <c r="G1025" s="28">
        <v>7.5259724167850124E-3</v>
      </c>
      <c r="H1025" s="55" t="s">
        <v>27</v>
      </c>
      <c r="I1025" s="50">
        <v>62.069148476412423</v>
      </c>
      <c r="J1025">
        <f t="shared" si="52"/>
        <v>9.7594646207491628E-3</v>
      </c>
    </row>
    <row r="1026" spans="1:10" ht="12.75" customHeight="1" x14ac:dyDescent="0.15">
      <c r="A1026" s="126">
        <v>110</v>
      </c>
      <c r="B1026" s="25" t="s">
        <v>99</v>
      </c>
      <c r="C1026" s="39" t="s">
        <v>27</v>
      </c>
      <c r="D1026" s="50" t="s">
        <v>27</v>
      </c>
      <c r="E1026" s="28" t="s">
        <v>27</v>
      </c>
      <c r="F1026" s="51" t="s">
        <v>27</v>
      </c>
      <c r="G1026" s="28" t="s">
        <v>27</v>
      </c>
      <c r="H1026" s="55" t="s">
        <v>27</v>
      </c>
      <c r="I1026" s="50">
        <v>62.328627549857508</v>
      </c>
      <c r="J1026" t="e">
        <f t="shared" si="52"/>
        <v>#VALUE!</v>
      </c>
    </row>
    <row r="1027" spans="1:10" ht="12.75" customHeight="1" x14ac:dyDescent="0.15">
      <c r="A1027" s="126">
        <v>111</v>
      </c>
      <c r="B1027" s="25" t="s">
        <v>100</v>
      </c>
      <c r="C1027" s="39">
        <v>8.51</v>
      </c>
      <c r="D1027" s="50">
        <v>1.0071574655819648E-2</v>
      </c>
      <c r="E1027" s="28">
        <v>1.5719048849752944E-2</v>
      </c>
      <c r="F1027" s="51">
        <v>2.9828660826032527E-2</v>
      </c>
      <c r="G1027" s="28">
        <v>7.3495390743470159E-3</v>
      </c>
      <c r="H1027" s="55" t="s">
        <v>27</v>
      </c>
      <c r="I1027" s="50">
        <v>63.186515348977927</v>
      </c>
      <c r="J1027">
        <f t="shared" si="52"/>
        <v>9.5636620568751406E-3</v>
      </c>
    </row>
    <row r="1028" spans="1:10" ht="12.75" customHeight="1" x14ac:dyDescent="0.15">
      <c r="A1028" s="126">
        <v>112</v>
      </c>
      <c r="B1028" s="25" t="s">
        <v>101</v>
      </c>
      <c r="C1028" s="39" t="s">
        <v>27</v>
      </c>
      <c r="D1028" s="50" t="s">
        <v>27</v>
      </c>
      <c r="E1028" s="28" t="s">
        <v>27</v>
      </c>
      <c r="F1028" s="51" t="s">
        <v>27</v>
      </c>
      <c r="G1028" s="28" t="s">
        <v>27</v>
      </c>
      <c r="H1028" s="55" t="s">
        <v>27</v>
      </c>
      <c r="I1028" s="50">
        <v>58.798614919514108</v>
      </c>
      <c r="J1028" t="e">
        <f t="shared" si="52"/>
        <v>#VALUE!</v>
      </c>
    </row>
    <row r="1029" spans="1:10" ht="12.75" customHeight="1" x14ac:dyDescent="0.15">
      <c r="A1029" s="126">
        <v>113</v>
      </c>
      <c r="B1029" s="25" t="s">
        <v>102</v>
      </c>
      <c r="C1029" s="39" t="s">
        <v>27</v>
      </c>
      <c r="D1029" s="50" t="s">
        <v>27</v>
      </c>
      <c r="E1029" s="28" t="s">
        <v>27</v>
      </c>
      <c r="F1029" s="51" t="s">
        <v>27</v>
      </c>
      <c r="G1029" s="28" t="s">
        <v>27</v>
      </c>
      <c r="H1029" s="55" t="s">
        <v>27</v>
      </c>
      <c r="I1029" s="50">
        <v>59.009617148523198</v>
      </c>
      <c r="J1029" t="e">
        <f t="shared" si="52"/>
        <v>#VALUE!</v>
      </c>
    </row>
    <row r="1030" spans="1:10" ht="12.75" customHeight="1" x14ac:dyDescent="0.15">
      <c r="A1030" s="126">
        <v>114</v>
      </c>
      <c r="B1030" s="25" t="s">
        <v>103</v>
      </c>
      <c r="C1030" s="39" t="s">
        <v>27</v>
      </c>
      <c r="D1030" s="50" t="s">
        <v>27</v>
      </c>
      <c r="E1030" s="28" t="s">
        <v>27</v>
      </c>
      <c r="F1030" s="51" t="s">
        <v>27</v>
      </c>
      <c r="G1030" s="28" t="s">
        <v>27</v>
      </c>
      <c r="H1030" s="55" t="s">
        <v>27</v>
      </c>
      <c r="I1030" s="50">
        <v>57.328802262839211</v>
      </c>
      <c r="J1030" t="e">
        <f t="shared" si="52"/>
        <v>#VALUE!</v>
      </c>
    </row>
    <row r="1031" spans="1:10" ht="12.75" customHeight="1" x14ac:dyDescent="0.15">
      <c r="A1031" s="126">
        <v>115</v>
      </c>
      <c r="B1031" s="25" t="s">
        <v>104</v>
      </c>
      <c r="C1031" s="39" t="s">
        <v>27</v>
      </c>
      <c r="D1031" s="50" t="s">
        <v>27</v>
      </c>
      <c r="E1031" s="28" t="s">
        <v>27</v>
      </c>
      <c r="F1031" s="51" t="s">
        <v>27</v>
      </c>
      <c r="G1031" s="28" t="s">
        <v>27</v>
      </c>
      <c r="H1031" s="55" t="s">
        <v>27</v>
      </c>
      <c r="I1031" s="50">
        <v>59.90720697599388</v>
      </c>
      <c r="J1031" t="e">
        <f t="shared" si="52"/>
        <v>#VALUE!</v>
      </c>
    </row>
    <row r="1032" spans="1:10" ht="12.75" customHeight="1" x14ac:dyDescent="0.15">
      <c r="A1032" s="126">
        <v>116</v>
      </c>
      <c r="B1032" s="25" t="s">
        <v>105</v>
      </c>
      <c r="C1032" s="39" t="s">
        <v>27</v>
      </c>
      <c r="D1032" s="50" t="s">
        <v>27</v>
      </c>
      <c r="E1032" s="28" t="s">
        <v>27</v>
      </c>
      <c r="F1032" s="51" t="s">
        <v>27</v>
      </c>
      <c r="G1032" s="28" t="s">
        <v>27</v>
      </c>
      <c r="H1032" s="55" t="s">
        <v>27</v>
      </c>
      <c r="I1032" s="50">
        <v>58.248754310844475</v>
      </c>
      <c r="J1032" t="e">
        <f t="shared" si="52"/>
        <v>#VALUE!</v>
      </c>
    </row>
    <row r="1033" spans="1:10" ht="12.75" customHeight="1" x14ac:dyDescent="0.15">
      <c r="A1033" s="126">
        <v>117</v>
      </c>
      <c r="B1033" s="25" t="s">
        <v>106</v>
      </c>
      <c r="C1033" s="39" t="s">
        <v>27</v>
      </c>
      <c r="D1033" s="50" t="s">
        <v>27</v>
      </c>
      <c r="E1033" s="28" t="s">
        <v>27</v>
      </c>
      <c r="F1033" s="51" t="s">
        <v>27</v>
      </c>
      <c r="G1033" s="28" t="s">
        <v>27</v>
      </c>
      <c r="H1033" s="55" t="s">
        <v>27</v>
      </c>
      <c r="I1033" s="50">
        <v>61.378396839106351</v>
      </c>
      <c r="J1033" t="e">
        <f t="shared" si="52"/>
        <v>#VALUE!</v>
      </c>
    </row>
    <row r="1034" spans="1:10" ht="12.75" customHeight="1" x14ac:dyDescent="0.15">
      <c r="A1034" s="126">
        <v>118</v>
      </c>
      <c r="B1034" s="25" t="s">
        <v>107</v>
      </c>
      <c r="C1034" s="39" t="s">
        <v>27</v>
      </c>
      <c r="D1034" s="50" t="s">
        <v>27</v>
      </c>
      <c r="E1034" s="28" t="s">
        <v>27</v>
      </c>
      <c r="F1034" s="51" t="s">
        <v>27</v>
      </c>
      <c r="G1034" s="28" t="s">
        <v>27</v>
      </c>
      <c r="H1034" s="55" t="s">
        <v>27</v>
      </c>
      <c r="I1034" s="50">
        <v>59.428621547056991</v>
      </c>
      <c r="J1034" t="e">
        <f t="shared" si="52"/>
        <v>#VALUE!</v>
      </c>
    </row>
    <row r="1035" spans="1:10" ht="12.75" customHeight="1" x14ac:dyDescent="0.15">
      <c r="A1035" s="126">
        <v>119</v>
      </c>
      <c r="B1035" s="25" t="s">
        <v>108</v>
      </c>
      <c r="C1035" s="39" t="s">
        <v>27</v>
      </c>
      <c r="D1035" s="50" t="s">
        <v>27</v>
      </c>
      <c r="E1035" s="28" t="s">
        <v>27</v>
      </c>
      <c r="F1035" s="51" t="s">
        <v>27</v>
      </c>
      <c r="G1035" s="28" t="s">
        <v>27</v>
      </c>
      <c r="H1035" s="55" t="s">
        <v>27</v>
      </c>
      <c r="I1035" s="50">
        <v>59.93522948004108</v>
      </c>
      <c r="J1035" t="e">
        <f t="shared" si="52"/>
        <v>#VALUE!</v>
      </c>
    </row>
    <row r="1036" spans="1:10" ht="12.75" customHeight="1" x14ac:dyDescent="0.15">
      <c r="A1036" s="126">
        <v>120</v>
      </c>
      <c r="B1036" s="25" t="s">
        <v>109</v>
      </c>
      <c r="C1036" s="39" t="s">
        <v>27</v>
      </c>
      <c r="D1036" s="50" t="s">
        <v>27</v>
      </c>
      <c r="E1036" s="28" t="s">
        <v>27</v>
      </c>
      <c r="F1036" s="51" t="s">
        <v>27</v>
      </c>
      <c r="G1036" s="28" t="s">
        <v>27</v>
      </c>
      <c r="H1036" s="55" t="s">
        <v>27</v>
      </c>
      <c r="I1036" s="50">
        <v>59.554015054556189</v>
      </c>
      <c r="J1036" t="e">
        <f t="shared" si="52"/>
        <v>#VALUE!</v>
      </c>
    </row>
    <row r="1037" spans="1:10" ht="12.75" customHeight="1" x14ac:dyDescent="0.15">
      <c r="A1037" s="126">
        <v>121</v>
      </c>
      <c r="B1037" s="25" t="s">
        <v>110</v>
      </c>
      <c r="C1037" s="39">
        <v>8.5300000000000011</v>
      </c>
      <c r="D1037" s="50">
        <v>1.0384221251920067E-2</v>
      </c>
      <c r="E1037" s="28">
        <v>1.6089621074857313E-2</v>
      </c>
      <c r="F1037" s="51">
        <v>2.7238027649769569E-2</v>
      </c>
      <c r="G1037" s="28">
        <v>6.6780543841310014E-3</v>
      </c>
      <c r="H1037" s="55" t="s">
        <v>27</v>
      </c>
      <c r="I1037" s="50">
        <v>63.662097994377888</v>
      </c>
      <c r="J1037">
        <f t="shared" si="52"/>
        <v>9.7868793951815247E-3</v>
      </c>
    </row>
    <row r="1038" spans="1:10" ht="12.75" customHeight="1" x14ac:dyDescent="0.15">
      <c r="A1038" s="126">
        <v>122</v>
      </c>
      <c r="B1038" s="25" t="s">
        <v>111</v>
      </c>
      <c r="C1038" s="39">
        <v>8.52</v>
      </c>
      <c r="D1038" s="50">
        <v>8.796926097867197E-3</v>
      </c>
      <c r="E1038" s="28">
        <v>1.3393531736040909E-2</v>
      </c>
      <c r="F1038" s="51">
        <v>2.62785445420326E-2</v>
      </c>
      <c r="G1038" s="28">
        <v>6.3527701426793507E-3</v>
      </c>
      <c r="H1038" s="55" t="s">
        <v>27</v>
      </c>
      <c r="I1038" s="50">
        <v>64.808927823086563</v>
      </c>
      <c r="J1038">
        <f t="shared" si="52"/>
        <v>8.144179877699052E-3</v>
      </c>
    </row>
    <row r="1039" spans="1:10" ht="12.75" customHeight="1" x14ac:dyDescent="0.15">
      <c r="A1039" s="126">
        <v>123</v>
      </c>
      <c r="B1039" s="25" t="s">
        <v>112</v>
      </c>
      <c r="C1039" s="39">
        <v>8.5066666666666677</v>
      </c>
      <c r="D1039" s="50">
        <v>8.7052235731418515E-3</v>
      </c>
      <c r="E1039" s="28">
        <v>1.3594696016208722E-2</v>
      </c>
      <c r="F1039" s="51">
        <v>2.7262964028777037E-2</v>
      </c>
      <c r="G1039" s="28">
        <v>6.71153130280191E-3</v>
      </c>
      <c r="H1039" s="55" t="s">
        <v>27</v>
      </c>
      <c r="I1039" s="50">
        <v>63.177905111294947</v>
      </c>
      <c r="J1039">
        <f t="shared" si="52"/>
        <v>8.2673430445089555E-3</v>
      </c>
    </row>
    <row r="1040" spans="1:10" ht="12.75" customHeight="1" x14ac:dyDescent="0.15">
      <c r="A1040" s="126">
        <v>124</v>
      </c>
      <c r="B1040" s="25" t="s">
        <v>113</v>
      </c>
      <c r="C1040" s="39">
        <v>8.51</v>
      </c>
      <c r="D1040" s="50">
        <v>9.1895539846372776E-3</v>
      </c>
      <c r="E1040" s="28">
        <v>1.5727186302536007E-2</v>
      </c>
      <c r="F1040" s="51">
        <v>2.6208473355736839E-2</v>
      </c>
      <c r="G1040" s="28">
        <v>7.0154248035638172E-3</v>
      </c>
      <c r="H1040" s="55" t="s">
        <v>27</v>
      </c>
      <c r="I1040" s="50">
        <v>57.515285421219353</v>
      </c>
      <c r="J1040">
        <f t="shared" si="52"/>
        <v>9.5865513843875708E-3</v>
      </c>
    </row>
    <row r="1041" spans="1:10" ht="12.75" customHeight="1" x14ac:dyDescent="0.15">
      <c r="A1041" s="126">
        <v>125</v>
      </c>
      <c r="B1041" s="25" t="s">
        <v>114</v>
      </c>
      <c r="C1041" s="39">
        <v>8.5233333333333334</v>
      </c>
      <c r="D1041" s="50">
        <v>1.7276919092911625E-2</v>
      </c>
      <c r="E1041" s="28">
        <v>3.0072108104103431E-2</v>
      </c>
      <c r="F1041" s="51">
        <v>2.9462059553349906E-2</v>
      </c>
      <c r="G1041" s="28">
        <v>8.0111335639374628E-3</v>
      </c>
      <c r="H1041" s="55" t="s">
        <v>27</v>
      </c>
      <c r="I1041" s="50">
        <v>56.531876479473389</v>
      </c>
      <c r="J1041">
        <f t="shared" si="52"/>
        <v>1.8336825347573422E-2</v>
      </c>
    </row>
    <row r="1042" spans="1:10" ht="12.75" customHeight="1" x14ac:dyDescent="0.15">
      <c r="A1042" s="126">
        <v>126</v>
      </c>
      <c r="B1042" s="25" t="s">
        <v>115</v>
      </c>
      <c r="C1042" s="39">
        <v>8.52</v>
      </c>
      <c r="D1042" s="50">
        <v>2.7306997900392371E-2</v>
      </c>
      <c r="E1042" s="28">
        <v>5.1619695691758463E-2</v>
      </c>
      <c r="F1042" s="51">
        <v>3.0876081494057739E-2</v>
      </c>
      <c r="G1042" s="28">
        <v>9.041120505801109E-3</v>
      </c>
      <c r="H1042" s="55" t="s">
        <v>27</v>
      </c>
      <c r="I1042" s="50">
        <v>52.028434852631598</v>
      </c>
      <c r="J1042">
        <f t="shared" si="52"/>
        <v>3.1490854542603468E-2</v>
      </c>
    </row>
    <row r="1043" spans="1:10" ht="12.75" customHeight="1" x14ac:dyDescent="0.15">
      <c r="A1043" s="126">
        <v>127</v>
      </c>
      <c r="B1043" s="25" t="s">
        <v>116</v>
      </c>
      <c r="C1043" s="39">
        <v>8.5166666666666675</v>
      </c>
      <c r="D1043" s="50">
        <v>1.7834961486025813E-2</v>
      </c>
      <c r="E1043" s="28">
        <v>3.1778493050293136E-2</v>
      </c>
      <c r="F1043" s="51">
        <v>3.0601366053169654E-2</v>
      </c>
      <c r="G1043" s="28">
        <v>8.4948684054586398E-3</v>
      </c>
      <c r="H1043" s="55" t="s">
        <v>27</v>
      </c>
      <c r="I1043" s="50">
        <v>55.180376519706869</v>
      </c>
      <c r="J1043">
        <f t="shared" si="52"/>
        <v>1.939272177273707E-2</v>
      </c>
    </row>
    <row r="1044" spans="1:10" ht="12.75" customHeight="1" x14ac:dyDescent="0.15">
      <c r="A1044" s="126">
        <v>128</v>
      </c>
      <c r="B1044" s="25" t="s">
        <v>117</v>
      </c>
      <c r="C1044" s="39">
        <v>8.51</v>
      </c>
      <c r="D1044" s="50">
        <v>2.3309511925707849E-2</v>
      </c>
      <c r="E1044" s="28">
        <v>3.9993050201083256E-2</v>
      </c>
      <c r="F1044" s="51">
        <v>3.227515762463351E-2</v>
      </c>
      <c r="G1044" s="28">
        <v>8.6786864032074237E-3</v>
      </c>
      <c r="H1044" s="55" t="s">
        <v>27</v>
      </c>
      <c r="I1044" s="50">
        <v>57.321218836632454</v>
      </c>
      <c r="J1044">
        <f t="shared" si="52"/>
        <v>2.4398830728433182E-2</v>
      </c>
    </row>
    <row r="1045" spans="1:10" ht="12.75" customHeight="1" x14ac:dyDescent="0.15">
      <c r="A1045" s="126">
        <v>129</v>
      </c>
      <c r="B1045" s="25" t="s">
        <v>2</v>
      </c>
      <c r="C1045" s="39">
        <v>8.5066666666666677</v>
      </c>
      <c r="D1045" s="50">
        <v>2.296677637862965E-2</v>
      </c>
      <c r="E1045" s="28">
        <v>4.7320290072932647E-2</v>
      </c>
      <c r="F1045" s="51">
        <v>3.104666174298365E-2</v>
      </c>
      <c r="G1045" s="28">
        <v>9.8542056836997752E-3</v>
      </c>
      <c r="H1045" s="55" t="s">
        <v>27</v>
      </c>
      <c r="I1045" s="50">
        <v>47.724144799753816</v>
      </c>
      <c r="J1045">
        <f t="shared" si="52"/>
        <v>2.8874411233554203E-2</v>
      </c>
    </row>
    <row r="1046" spans="1:10" ht="12.75" customHeight="1" x14ac:dyDescent="0.15">
      <c r="A1046" s="126">
        <v>130</v>
      </c>
      <c r="B1046" s="25" t="s">
        <v>118</v>
      </c>
      <c r="C1046" s="39">
        <v>8.5166666666666675</v>
      </c>
      <c r="D1046" s="50">
        <v>2.1016177872891006E-2</v>
      </c>
      <c r="E1046" s="28">
        <v>3.9958510072007541E-2</v>
      </c>
      <c r="F1046" s="51">
        <v>3.0998700389105016E-2</v>
      </c>
      <c r="G1046" s="28">
        <v>9.1297009501957616E-3</v>
      </c>
      <c r="H1046" s="55" t="s">
        <v>27</v>
      </c>
      <c r="I1046" s="50">
        <v>51.717306669682266</v>
      </c>
      <c r="J1046">
        <f t="shared" si="52"/>
        <v>2.4381986487178518E-2</v>
      </c>
    </row>
    <row r="1047" spans="1:10" ht="12.75" customHeight="1" x14ac:dyDescent="0.15">
      <c r="A1047" s="126">
        <v>131</v>
      </c>
      <c r="B1047" s="25" t="s">
        <v>119</v>
      </c>
      <c r="C1047" s="39">
        <v>8.5133333333333336</v>
      </c>
      <c r="D1047" s="50">
        <v>2.0519419111796999E-2</v>
      </c>
      <c r="E1047" s="28">
        <v>4.2184650009547013E-2</v>
      </c>
      <c r="F1047" s="51">
        <v>3.0580342703119046E-2</v>
      </c>
      <c r="G1047" s="28">
        <v>9.6615077980178009E-3</v>
      </c>
      <c r="H1047" s="55" t="s">
        <v>27</v>
      </c>
      <c r="I1047" s="50">
        <v>47.821912068194067</v>
      </c>
      <c r="J1047">
        <f t="shared" si="52"/>
        <v>2.5744791319765255E-2</v>
      </c>
    </row>
    <row r="1048" spans="1:10" ht="12.75" customHeight="1" x14ac:dyDescent="0.15">
      <c r="A1048" s="126">
        <v>132</v>
      </c>
      <c r="B1048" s="25" t="s">
        <v>120</v>
      </c>
      <c r="C1048" s="39">
        <v>8.5166666666666675</v>
      </c>
      <c r="D1048" s="50">
        <v>2.0405548808589469E-2</v>
      </c>
      <c r="E1048" s="28">
        <v>3.5742372347400103E-2</v>
      </c>
      <c r="F1048" s="51">
        <v>3.2191091908876701E-2</v>
      </c>
      <c r="G1048" s="28">
        <v>8.7845016552576399E-3</v>
      </c>
      <c r="H1048" s="55" t="s">
        <v>27</v>
      </c>
      <c r="I1048" s="50">
        <v>56.152897415161078</v>
      </c>
      <c r="J1048">
        <f t="shared" si="52"/>
        <v>2.1803557516602921E-2</v>
      </c>
    </row>
    <row r="1049" spans="1:10" s="216" customFormat="1" ht="12.75" customHeight="1" x14ac:dyDescent="0.15">
      <c r="A1049" s="209">
        <v>133</v>
      </c>
      <c r="B1049" s="210" t="s">
        <v>121</v>
      </c>
      <c r="C1049" s="211" t="s">
        <v>27</v>
      </c>
      <c r="D1049" s="212" t="s">
        <v>27</v>
      </c>
      <c r="E1049" s="213" t="s">
        <v>27</v>
      </c>
      <c r="F1049" s="214" t="s">
        <v>27</v>
      </c>
      <c r="G1049" s="213" t="s">
        <v>27</v>
      </c>
      <c r="H1049" s="215" t="s">
        <v>27</v>
      </c>
      <c r="I1049" s="212">
        <v>61.928488706995253</v>
      </c>
      <c r="J1049" s="216" t="e">
        <f t="shared" si="52"/>
        <v>#VALUE!</v>
      </c>
    </row>
    <row r="1050" spans="1:10" s="216" customFormat="1" ht="12.75" customHeight="1" x14ac:dyDescent="0.15">
      <c r="A1050" s="209">
        <v>134</v>
      </c>
      <c r="B1050" s="210" t="s">
        <v>122</v>
      </c>
      <c r="C1050" s="211" t="s">
        <v>27</v>
      </c>
      <c r="D1050" s="212" t="s">
        <v>27</v>
      </c>
      <c r="E1050" s="213" t="s">
        <v>27</v>
      </c>
      <c r="F1050" s="214" t="s">
        <v>27</v>
      </c>
      <c r="G1050" s="213" t="s">
        <v>27</v>
      </c>
      <c r="H1050" s="215" t="s">
        <v>27</v>
      </c>
      <c r="I1050" s="212">
        <v>61.817186380277789</v>
      </c>
      <c r="J1050" s="216" t="e">
        <f t="shared" si="52"/>
        <v>#VALUE!</v>
      </c>
    </row>
    <row r="1051" spans="1:10" s="216" customFormat="1" ht="12.75" customHeight="1" x14ac:dyDescent="0.15">
      <c r="A1051" s="209">
        <v>135</v>
      </c>
      <c r="B1051" s="210" t="s">
        <v>123</v>
      </c>
      <c r="C1051" s="211" t="s">
        <v>27</v>
      </c>
      <c r="D1051" s="212" t="s">
        <v>27</v>
      </c>
      <c r="E1051" s="213" t="s">
        <v>27</v>
      </c>
      <c r="F1051" s="214" t="s">
        <v>27</v>
      </c>
      <c r="G1051" s="213" t="s">
        <v>27</v>
      </c>
      <c r="H1051" s="215" t="s">
        <v>27</v>
      </c>
      <c r="I1051" s="212">
        <v>61.506300755140082</v>
      </c>
      <c r="J1051" s="216" t="e">
        <f t="shared" si="52"/>
        <v>#VALUE!</v>
      </c>
    </row>
    <row r="1052" spans="1:10" ht="12.75" customHeight="1" x14ac:dyDescent="0.15">
      <c r="A1052" s="126">
        <v>136</v>
      </c>
      <c r="B1052" s="25" t="s">
        <v>128</v>
      </c>
      <c r="C1052" s="39" t="s">
        <v>27</v>
      </c>
      <c r="D1052" s="50" t="s">
        <v>27</v>
      </c>
      <c r="E1052" s="28" t="s">
        <v>27</v>
      </c>
      <c r="F1052" s="51" t="s">
        <v>27</v>
      </c>
      <c r="G1052" s="28" t="s">
        <v>27</v>
      </c>
      <c r="H1052" s="55" t="s">
        <v>27</v>
      </c>
      <c r="I1052" s="50">
        <v>62.452611142238979</v>
      </c>
      <c r="J1052" t="e">
        <f t="shared" si="52"/>
        <v>#VALUE!</v>
      </c>
    </row>
    <row r="1053" spans="1:10" ht="12.75" customHeight="1" x14ac:dyDescent="0.15">
      <c r="A1053" s="126">
        <v>137</v>
      </c>
      <c r="B1053" s="25" t="s">
        <v>90</v>
      </c>
      <c r="C1053" s="39" t="s">
        <v>27</v>
      </c>
      <c r="D1053" s="50" t="s">
        <v>27</v>
      </c>
      <c r="E1053" s="28" t="s">
        <v>27</v>
      </c>
      <c r="F1053" s="51" t="s">
        <v>27</v>
      </c>
      <c r="G1053" s="28" t="s">
        <v>27</v>
      </c>
      <c r="H1053" s="55" t="s">
        <v>27</v>
      </c>
      <c r="I1053" s="50">
        <v>63.212295928689542</v>
      </c>
      <c r="J1053" t="e">
        <f t="shared" si="52"/>
        <v>#VALUE!</v>
      </c>
    </row>
    <row r="1054" spans="1:10" ht="12.75" customHeight="1" x14ac:dyDescent="0.15">
      <c r="A1054" s="126">
        <v>138</v>
      </c>
      <c r="B1054" s="25" t="s">
        <v>91</v>
      </c>
      <c r="C1054" s="39" t="s">
        <v>27</v>
      </c>
      <c r="D1054" s="50" t="s">
        <v>27</v>
      </c>
      <c r="E1054" s="28" t="s">
        <v>27</v>
      </c>
      <c r="F1054" s="51" t="s">
        <v>27</v>
      </c>
      <c r="G1054" s="28" t="s">
        <v>27</v>
      </c>
      <c r="H1054" s="55" t="s">
        <v>27</v>
      </c>
      <c r="I1054" s="50">
        <v>63.296025119791629</v>
      </c>
      <c r="J1054" t="e">
        <f t="shared" si="52"/>
        <v>#VALUE!</v>
      </c>
    </row>
    <row r="1055" spans="1:10" ht="12.75" customHeight="1" x14ac:dyDescent="0.15">
      <c r="A1055" s="126">
        <v>139</v>
      </c>
      <c r="B1055" s="25" t="s">
        <v>92</v>
      </c>
      <c r="C1055" s="39">
        <v>8.5166666666666675</v>
      </c>
      <c r="D1055" s="50">
        <v>6.6315648373985736E-3</v>
      </c>
      <c r="E1055" s="28">
        <v>1.0468783553978843E-2</v>
      </c>
      <c r="F1055" s="51">
        <v>2.2992676508344134E-2</v>
      </c>
      <c r="G1055" s="28">
        <v>5.7301048849151739E-3</v>
      </c>
      <c r="H1055" s="55" t="s">
        <v>27</v>
      </c>
      <c r="I1055" s="50">
        <v>62.536778717597343</v>
      </c>
      <c r="J1055">
        <f t="shared" si="52"/>
        <v>6.3625581362403991E-3</v>
      </c>
    </row>
    <row r="1056" spans="1:10" ht="12.75" customHeight="1" x14ac:dyDescent="0.15">
      <c r="A1056" s="126">
        <v>140</v>
      </c>
      <c r="B1056" s="25" t="s">
        <v>93</v>
      </c>
      <c r="C1056" s="39">
        <v>8.52</v>
      </c>
      <c r="D1056" s="50">
        <v>7.3095455879245153E-3</v>
      </c>
      <c r="E1056" s="28">
        <v>1.1540060034873527E-2</v>
      </c>
      <c r="F1056" s="51">
        <v>2.3465370487650405E-2</v>
      </c>
      <c r="G1056" s="28">
        <v>5.8476915925020374E-3</v>
      </c>
      <c r="H1056" s="55" t="s">
        <v>27</v>
      </c>
      <c r="I1056" s="50">
        <v>62.533235392600837</v>
      </c>
      <c r="J1056">
        <f t="shared" si="52"/>
        <v>7.0134342565515879E-3</v>
      </c>
    </row>
    <row r="1057" spans="1:10" ht="12.75" customHeight="1" x14ac:dyDescent="0.15">
      <c r="A1057" s="126">
        <v>141</v>
      </c>
      <c r="B1057" s="25" t="s">
        <v>94</v>
      </c>
      <c r="C1057" s="39">
        <v>8.5066666666666677</v>
      </c>
      <c r="D1057" s="50">
        <v>8.7497776578734365E-3</v>
      </c>
      <c r="E1057" s="28">
        <v>1.3555063536451448E-2</v>
      </c>
      <c r="F1057" s="51">
        <v>2.6356354916067137E-2</v>
      </c>
      <c r="G1057" s="28">
        <v>6.4562707600039045E-3</v>
      </c>
      <c r="H1057" s="55" t="s">
        <v>27</v>
      </c>
      <c r="I1057" s="50">
        <v>63.703504317346187</v>
      </c>
      <c r="J1057">
        <f t="shared" si="52"/>
        <v>8.2410954483308485E-3</v>
      </c>
    </row>
    <row r="1058" spans="1:10" ht="12.75" customHeight="1" x14ac:dyDescent="0.15">
      <c r="A1058" s="126">
        <v>142</v>
      </c>
      <c r="B1058" s="25" t="s">
        <v>95</v>
      </c>
      <c r="C1058" s="39">
        <v>8.51</v>
      </c>
      <c r="D1058" s="50">
        <v>9.1279462077754614E-3</v>
      </c>
      <c r="E1058" s="28">
        <v>1.4318827292849914E-2</v>
      </c>
      <c r="F1058" s="51">
        <v>2.8104952198852784E-2</v>
      </c>
      <c r="G1058" s="28">
        <v>6.9529530957463948E-3</v>
      </c>
      <c r="H1058" s="55" t="s">
        <v>27</v>
      </c>
      <c r="I1058" s="50">
        <v>62.918978902955701</v>
      </c>
      <c r="J1058">
        <f t="shared" si="52"/>
        <v>8.7044764873131127E-3</v>
      </c>
    </row>
    <row r="1059" spans="1:10" ht="12.75" customHeight="1" x14ac:dyDescent="0.15">
      <c r="A1059" s="126">
        <v>143</v>
      </c>
      <c r="B1059" s="25" t="s">
        <v>96</v>
      </c>
      <c r="C1059" s="39">
        <v>8.5166666666666675</v>
      </c>
      <c r="D1059" s="50">
        <v>9.4512940613911134E-3</v>
      </c>
      <c r="E1059" s="28">
        <v>1.4727759786763829E-2</v>
      </c>
      <c r="F1059" s="51">
        <v>2.7159930587690839E-2</v>
      </c>
      <c r="G1059" s="28">
        <v>6.6820557124500834E-3</v>
      </c>
      <c r="H1059" s="55" t="s">
        <v>27</v>
      </c>
      <c r="I1059" s="50">
        <v>63.33073680691038</v>
      </c>
      <c r="J1059">
        <f t="shared" si="52"/>
        <v>8.9542246352262503E-3</v>
      </c>
    </row>
    <row r="1060" spans="1:10" ht="12.75" customHeight="1" x14ac:dyDescent="0.15">
      <c r="A1060" s="126">
        <v>144</v>
      </c>
      <c r="B1060" s="25" t="s">
        <v>97</v>
      </c>
      <c r="C1060" s="39">
        <v>8.52</v>
      </c>
      <c r="D1060" s="50">
        <v>9.7423510239447175E-3</v>
      </c>
      <c r="E1060" s="28">
        <v>1.4969208652787029E-2</v>
      </c>
      <c r="F1060" s="51">
        <v>2.7467892249527393E-2</v>
      </c>
      <c r="G1060" s="28">
        <v>6.6890691516658879E-3</v>
      </c>
      <c r="H1060" s="55" t="s">
        <v>27</v>
      </c>
      <c r="I1060" s="50">
        <v>64.228154255088214</v>
      </c>
      <c r="J1060">
        <f t="shared" si="52"/>
        <v>9.1010098019495122E-3</v>
      </c>
    </row>
    <row r="1061" spans="1:10" ht="12.75" customHeight="1" x14ac:dyDescent="0.15">
      <c r="A1061" s="126">
        <v>145</v>
      </c>
      <c r="B1061" s="25" t="s">
        <v>98</v>
      </c>
      <c r="C1061" s="39" t="s">
        <v>27</v>
      </c>
      <c r="D1061" s="50" t="s">
        <v>27</v>
      </c>
      <c r="E1061" s="28" t="s">
        <v>27</v>
      </c>
      <c r="F1061" s="51" t="s">
        <v>27</v>
      </c>
      <c r="G1061" s="28" t="s">
        <v>27</v>
      </c>
      <c r="H1061" s="55" t="s">
        <v>27</v>
      </c>
      <c r="I1061" s="50">
        <v>60.725100620701795</v>
      </c>
      <c r="J1061" t="e">
        <f t="shared" si="52"/>
        <v>#VALUE!</v>
      </c>
    </row>
    <row r="1062" spans="1:10" ht="12.75" customHeight="1" x14ac:dyDescent="0.15">
      <c r="A1062" s="126">
        <v>146</v>
      </c>
      <c r="B1062" s="25" t="s">
        <v>99</v>
      </c>
      <c r="C1062" s="39" t="s">
        <v>27</v>
      </c>
      <c r="D1062" s="50" t="s">
        <v>27</v>
      </c>
      <c r="E1062" s="28" t="s">
        <v>27</v>
      </c>
      <c r="F1062" s="51" t="s">
        <v>27</v>
      </c>
      <c r="G1062" s="28" t="s">
        <v>27</v>
      </c>
      <c r="H1062" s="55" t="s">
        <v>27</v>
      </c>
      <c r="I1062" s="50">
        <v>58.665275300961554</v>
      </c>
      <c r="J1062" t="e">
        <f t="shared" si="52"/>
        <v>#VALUE!</v>
      </c>
    </row>
    <row r="1063" spans="1:10" ht="12.75" customHeight="1" x14ac:dyDescent="0.15">
      <c r="A1063" s="126">
        <v>147</v>
      </c>
      <c r="B1063" s="25" t="s">
        <v>100</v>
      </c>
      <c r="C1063" s="39" t="s">
        <v>27</v>
      </c>
      <c r="D1063" s="50" t="s">
        <v>27</v>
      </c>
      <c r="E1063" s="28" t="s">
        <v>27</v>
      </c>
      <c r="F1063" s="51" t="s">
        <v>27</v>
      </c>
      <c r="G1063" s="28" t="s">
        <v>27</v>
      </c>
      <c r="H1063" s="55" t="s">
        <v>27</v>
      </c>
      <c r="I1063" s="50">
        <v>59.136328261652118</v>
      </c>
      <c r="J1063" t="e">
        <f t="shared" ref="J1063:J1093" si="53">D1063*60/I1063</f>
        <v>#VALUE!</v>
      </c>
    </row>
    <row r="1064" spans="1:10" ht="12.75" customHeight="1" x14ac:dyDescent="0.15">
      <c r="A1064" s="126">
        <v>148</v>
      </c>
      <c r="B1064" s="25" t="s">
        <v>101</v>
      </c>
      <c r="C1064" s="39" t="s">
        <v>27</v>
      </c>
      <c r="D1064" s="50" t="s">
        <v>27</v>
      </c>
      <c r="E1064" s="28" t="s">
        <v>27</v>
      </c>
      <c r="F1064" s="51" t="s">
        <v>27</v>
      </c>
      <c r="G1064" s="28" t="s">
        <v>27</v>
      </c>
      <c r="H1064" s="55" t="s">
        <v>27</v>
      </c>
      <c r="I1064" s="50">
        <v>58.987308156064685</v>
      </c>
      <c r="J1064" t="e">
        <f t="shared" si="53"/>
        <v>#VALUE!</v>
      </c>
    </row>
    <row r="1065" spans="1:10" ht="12.75" customHeight="1" x14ac:dyDescent="0.15">
      <c r="A1065" s="126">
        <v>149</v>
      </c>
      <c r="B1065" s="25" t="s">
        <v>102</v>
      </c>
      <c r="C1065" s="39" t="s">
        <v>27</v>
      </c>
      <c r="D1065" s="50" t="s">
        <v>27</v>
      </c>
      <c r="E1065" s="28" t="s">
        <v>27</v>
      </c>
      <c r="F1065" s="51" t="s">
        <v>27</v>
      </c>
      <c r="G1065" s="28" t="s">
        <v>27</v>
      </c>
      <c r="H1065" s="55" t="s">
        <v>27</v>
      </c>
      <c r="I1065" s="50">
        <v>58.307825072524381</v>
      </c>
      <c r="J1065" t="e">
        <f t="shared" si="53"/>
        <v>#VALUE!</v>
      </c>
    </row>
    <row r="1066" spans="1:10" ht="12.75" customHeight="1" x14ac:dyDescent="0.15">
      <c r="A1066" s="126">
        <v>150</v>
      </c>
      <c r="B1066" s="25" t="s">
        <v>103</v>
      </c>
      <c r="C1066" s="39" t="s">
        <v>27</v>
      </c>
      <c r="D1066" s="50" t="s">
        <v>27</v>
      </c>
      <c r="E1066" s="28" t="s">
        <v>27</v>
      </c>
      <c r="F1066" s="51" t="s">
        <v>27</v>
      </c>
      <c r="G1066" s="28" t="s">
        <v>27</v>
      </c>
      <c r="H1066" s="55" t="s">
        <v>27</v>
      </c>
      <c r="I1066" s="50">
        <v>59.194365860993422</v>
      </c>
      <c r="J1066" t="e">
        <f t="shared" si="53"/>
        <v>#VALUE!</v>
      </c>
    </row>
    <row r="1067" spans="1:10" ht="12.75" customHeight="1" x14ac:dyDescent="0.15">
      <c r="A1067" s="126">
        <v>151</v>
      </c>
      <c r="B1067" s="25" t="s">
        <v>104</v>
      </c>
      <c r="C1067" s="39" t="s">
        <v>27</v>
      </c>
      <c r="D1067" s="50" t="s">
        <v>27</v>
      </c>
      <c r="E1067" s="28" t="s">
        <v>27</v>
      </c>
      <c r="F1067" s="51" t="s">
        <v>27</v>
      </c>
      <c r="G1067" s="28" t="s">
        <v>27</v>
      </c>
      <c r="H1067" s="55" t="s">
        <v>27</v>
      </c>
      <c r="I1067" s="50">
        <v>57.588613228815397</v>
      </c>
      <c r="J1067" t="e">
        <f t="shared" si="53"/>
        <v>#VALUE!</v>
      </c>
    </row>
    <row r="1068" spans="1:10" ht="12.75" customHeight="1" x14ac:dyDescent="0.15">
      <c r="A1068" s="126">
        <v>152</v>
      </c>
      <c r="B1068" s="25" t="s">
        <v>105</v>
      </c>
      <c r="C1068" s="39" t="s">
        <v>27</v>
      </c>
      <c r="D1068" s="50" t="s">
        <v>27</v>
      </c>
      <c r="E1068" s="28" t="s">
        <v>27</v>
      </c>
      <c r="F1068" s="51" t="s">
        <v>27</v>
      </c>
      <c r="G1068" s="28" t="s">
        <v>27</v>
      </c>
      <c r="H1068" s="55" t="s">
        <v>27</v>
      </c>
      <c r="I1068" s="50">
        <v>59.496575072296039</v>
      </c>
      <c r="J1068" t="e">
        <f t="shared" si="53"/>
        <v>#VALUE!</v>
      </c>
    </row>
    <row r="1069" spans="1:10" ht="12.75" customHeight="1" x14ac:dyDescent="0.15">
      <c r="A1069" s="126">
        <v>153</v>
      </c>
      <c r="B1069" s="25" t="s">
        <v>106</v>
      </c>
      <c r="C1069" s="39" t="s">
        <v>27</v>
      </c>
      <c r="D1069" s="50" t="s">
        <v>27</v>
      </c>
      <c r="E1069" s="28" t="s">
        <v>27</v>
      </c>
      <c r="F1069" s="51" t="s">
        <v>27</v>
      </c>
      <c r="G1069" s="28" t="s">
        <v>27</v>
      </c>
      <c r="H1069" s="55" t="s">
        <v>27</v>
      </c>
      <c r="I1069" s="50">
        <v>59.651266521774204</v>
      </c>
      <c r="J1069" t="e">
        <f t="shared" si="53"/>
        <v>#VALUE!</v>
      </c>
    </row>
    <row r="1070" spans="1:10" ht="12.75" customHeight="1" x14ac:dyDescent="0.15">
      <c r="A1070" s="126">
        <v>154</v>
      </c>
      <c r="B1070" s="25" t="s">
        <v>107</v>
      </c>
      <c r="C1070" s="39" t="s">
        <v>27</v>
      </c>
      <c r="D1070" s="50" t="s">
        <v>27</v>
      </c>
      <c r="E1070" s="28" t="s">
        <v>27</v>
      </c>
      <c r="F1070" s="51" t="s">
        <v>27</v>
      </c>
      <c r="G1070" s="28" t="s">
        <v>27</v>
      </c>
      <c r="H1070" s="55" t="s">
        <v>27</v>
      </c>
      <c r="I1070" s="50">
        <v>58.087827809045862</v>
      </c>
      <c r="J1070" t="e">
        <f t="shared" si="53"/>
        <v>#VALUE!</v>
      </c>
    </row>
    <row r="1071" spans="1:10" ht="12.75" customHeight="1" x14ac:dyDescent="0.15">
      <c r="A1071" s="126">
        <v>155</v>
      </c>
      <c r="B1071" s="25" t="s">
        <v>108</v>
      </c>
      <c r="C1071" s="39" t="s">
        <v>27</v>
      </c>
      <c r="D1071" s="50" t="s">
        <v>27</v>
      </c>
      <c r="E1071" s="28" t="s">
        <v>27</v>
      </c>
      <c r="F1071" s="51" t="s">
        <v>27</v>
      </c>
      <c r="G1071" s="28" t="s">
        <v>27</v>
      </c>
      <c r="H1071" s="55" t="s">
        <v>27</v>
      </c>
      <c r="I1071" s="50">
        <v>59.486293716104903</v>
      </c>
      <c r="J1071" t="e">
        <f t="shared" si="53"/>
        <v>#VALUE!</v>
      </c>
    </row>
    <row r="1072" spans="1:10" ht="12.75" customHeight="1" x14ac:dyDescent="0.15">
      <c r="A1072" s="126">
        <v>156</v>
      </c>
      <c r="B1072" s="25" t="s">
        <v>109</v>
      </c>
      <c r="C1072" s="39" t="s">
        <v>27</v>
      </c>
      <c r="D1072" s="50" t="s">
        <v>27</v>
      </c>
      <c r="E1072" s="28" t="s">
        <v>27</v>
      </c>
      <c r="F1072" s="51" t="s">
        <v>27</v>
      </c>
      <c r="G1072" s="28" t="s">
        <v>27</v>
      </c>
      <c r="H1072" s="55" t="s">
        <v>27</v>
      </c>
      <c r="I1072" s="50">
        <v>59.274260992564599</v>
      </c>
      <c r="J1072" t="e">
        <f t="shared" si="53"/>
        <v>#VALUE!</v>
      </c>
    </row>
    <row r="1073" spans="1:10" ht="12.75" customHeight="1" x14ac:dyDescent="0.15">
      <c r="A1073" s="126">
        <v>157</v>
      </c>
      <c r="B1073" s="25" t="s">
        <v>110</v>
      </c>
      <c r="C1073" s="39">
        <v>8.5166666666666675</v>
      </c>
      <c r="D1073" s="50">
        <v>9.2717542370228667E-3</v>
      </c>
      <c r="E1073" s="28">
        <v>1.5379809999930671E-2</v>
      </c>
      <c r="F1073" s="51">
        <v>2.613138836772988E-2</v>
      </c>
      <c r="G1073" s="28">
        <v>6.7864865079248424E-3</v>
      </c>
      <c r="H1073" s="55" t="s">
        <v>27</v>
      </c>
      <c r="I1073" s="50">
        <v>59.461116428486548</v>
      </c>
      <c r="J1073">
        <f t="shared" si="53"/>
        <v>9.3557821923918351E-3</v>
      </c>
    </row>
    <row r="1074" spans="1:10" ht="12.75" customHeight="1" x14ac:dyDescent="0.15">
      <c r="A1074" s="126">
        <v>158</v>
      </c>
      <c r="B1074" s="25" t="s">
        <v>111</v>
      </c>
      <c r="C1074" s="39">
        <v>8.5166666666666675</v>
      </c>
      <c r="D1074" s="50">
        <v>9.6595037363165215E-3</v>
      </c>
      <c r="E1074" s="28">
        <v>1.5498930212648684E-2</v>
      </c>
      <c r="F1074" s="51">
        <v>2.6892137077582201E-2</v>
      </c>
      <c r="G1074" s="28">
        <v>6.7827875837557488E-3</v>
      </c>
      <c r="H1074" s="55" t="s">
        <v>27</v>
      </c>
      <c r="I1074" s="50">
        <v>61.469841244589908</v>
      </c>
      <c r="J1074">
        <f t="shared" si="53"/>
        <v>9.4285297056953196E-3</v>
      </c>
    </row>
    <row r="1075" spans="1:10" ht="12.75" customHeight="1" x14ac:dyDescent="0.15">
      <c r="A1075" s="126">
        <v>159</v>
      </c>
      <c r="B1075" s="25" t="s">
        <v>112</v>
      </c>
      <c r="C1075" s="39" t="s">
        <v>27</v>
      </c>
      <c r="D1075" s="50" t="s">
        <v>27</v>
      </c>
      <c r="E1075" s="28" t="s">
        <v>27</v>
      </c>
      <c r="F1075" s="51" t="s">
        <v>27</v>
      </c>
      <c r="G1075" s="28" t="s">
        <v>27</v>
      </c>
      <c r="H1075" s="55" t="s">
        <v>27</v>
      </c>
      <c r="I1075" s="50">
        <v>60.970947925299335</v>
      </c>
      <c r="J1075" t="e">
        <f t="shared" si="53"/>
        <v>#VALUE!</v>
      </c>
    </row>
    <row r="1076" spans="1:10" ht="12.75" customHeight="1" x14ac:dyDescent="0.15">
      <c r="A1076" s="126">
        <v>160</v>
      </c>
      <c r="B1076" s="25" t="s">
        <v>113</v>
      </c>
      <c r="C1076" s="39">
        <v>8.52</v>
      </c>
      <c r="D1076" s="50">
        <v>8.2102513992532433E-3</v>
      </c>
      <c r="E1076" s="28">
        <v>1.4767942699575327E-2</v>
      </c>
      <c r="F1076" s="51">
        <v>2.2962854477611927E-2</v>
      </c>
      <c r="G1076" s="28">
        <v>6.4503797644808181E-3</v>
      </c>
      <c r="H1076" s="55" t="s">
        <v>27</v>
      </c>
      <c r="I1076" s="50">
        <v>54.520806399696767</v>
      </c>
      <c r="J1076">
        <f t="shared" si="53"/>
        <v>9.0353594615565774E-3</v>
      </c>
    </row>
    <row r="1077" spans="1:10" ht="12.75" customHeight="1" x14ac:dyDescent="0.15">
      <c r="A1077" s="126">
        <v>161</v>
      </c>
      <c r="B1077" s="25" t="s">
        <v>114</v>
      </c>
      <c r="C1077" s="39">
        <v>8.5166666666666675</v>
      </c>
      <c r="D1077" s="50">
        <v>2.3258455752782847E-2</v>
      </c>
      <c r="E1077" s="28">
        <v>5.2042218800744729E-2</v>
      </c>
      <c r="F1077" s="51">
        <v>2.7224618629174024E-2</v>
      </c>
      <c r="G1077" s="28">
        <v>9.3119215854920948E-3</v>
      </c>
      <c r="H1077" s="55" t="s">
        <v>27</v>
      </c>
      <c r="I1077" s="50">
        <v>43.950901400527229</v>
      </c>
      <c r="J1077">
        <f t="shared" si="53"/>
        <v>3.1751506810966806E-2</v>
      </c>
    </row>
    <row r="1078" spans="1:10" ht="12.75" customHeight="1" x14ac:dyDescent="0.15">
      <c r="A1078" s="126">
        <v>162</v>
      </c>
      <c r="B1078" s="25" t="s">
        <v>115</v>
      </c>
      <c r="C1078" s="39">
        <v>8.5166666666666675</v>
      </c>
      <c r="D1078" s="50">
        <v>4.1017439261073818E-2</v>
      </c>
      <c r="E1078" s="28">
        <v>7.5417192578734665E-2</v>
      </c>
      <c r="F1078" s="51">
        <v>3.50566017052375E-2</v>
      </c>
      <c r="G1078" s="28">
        <v>1.0024511530518476E-2</v>
      </c>
      <c r="H1078" s="55" t="s">
        <v>27</v>
      </c>
      <c r="I1078" s="50">
        <v>53.485458857105151</v>
      </c>
      <c r="J1078">
        <f t="shared" si="53"/>
        <v>4.6013372760613368E-2</v>
      </c>
    </row>
    <row r="1079" spans="1:10" ht="12.75" customHeight="1" x14ac:dyDescent="0.15">
      <c r="A1079" s="126">
        <v>163</v>
      </c>
      <c r="B1079" s="25" t="s">
        <v>116</v>
      </c>
      <c r="C1079" s="39">
        <v>8.5266666666666673</v>
      </c>
      <c r="D1079" s="50">
        <v>3.1558064435259769E-2</v>
      </c>
      <c r="E1079" s="28">
        <v>5.2502605851600638E-2</v>
      </c>
      <c r="F1079" s="51">
        <v>3.4424198347107415E-2</v>
      </c>
      <c r="G1079" s="28">
        <v>8.9965158939802094E-3</v>
      </c>
      <c r="H1079" s="55" t="s">
        <v>27</v>
      </c>
      <c r="I1079" s="50">
        <v>59.119502351570304</v>
      </c>
      <c r="J1079">
        <f t="shared" si="53"/>
        <v>3.2028075183303577E-2</v>
      </c>
    </row>
    <row r="1080" spans="1:10" ht="12.75" customHeight="1" x14ac:dyDescent="0.15">
      <c r="A1080" s="126">
        <v>164</v>
      </c>
      <c r="B1080" s="25" t="s">
        <v>117</v>
      </c>
      <c r="C1080" s="39">
        <v>8.51</v>
      </c>
      <c r="D1080" s="50">
        <v>2.7426027829716482E-2</v>
      </c>
      <c r="E1080" s="28">
        <v>4.6098358259800569E-2</v>
      </c>
      <c r="F1080" s="51">
        <v>3.4108681135225472E-2</v>
      </c>
      <c r="G1080" s="28">
        <v>8.9850495152091533E-3</v>
      </c>
      <c r="H1080" s="55" t="s">
        <v>27</v>
      </c>
      <c r="I1080" s="50">
        <v>58.525964938708938</v>
      </c>
      <c r="J1080">
        <f t="shared" si="53"/>
        <v>2.8116779817407473E-2</v>
      </c>
    </row>
    <row r="1081" spans="1:10" ht="12.75" customHeight="1" x14ac:dyDescent="0.15">
      <c r="A1081" s="126">
        <v>165</v>
      </c>
      <c r="B1081" s="25" t="s">
        <v>2</v>
      </c>
      <c r="C1081" s="39">
        <v>8.51</v>
      </c>
      <c r="D1081" s="50">
        <v>2.0397234936998743E-2</v>
      </c>
      <c r="E1081" s="28">
        <v>3.399301833908925E-2</v>
      </c>
      <c r="F1081" s="51">
        <v>3.3929278350515513E-2</v>
      </c>
      <c r="G1081" s="28">
        <v>8.860502141116184E-3</v>
      </c>
      <c r="H1081" s="55" t="s">
        <v>27</v>
      </c>
      <c r="I1081" s="50">
        <v>59.032344493814414</v>
      </c>
      <c r="J1081">
        <f t="shared" si="53"/>
        <v>2.0731585484431533E-2</v>
      </c>
    </row>
    <row r="1082" spans="1:10" ht="12.75" customHeight="1" x14ac:dyDescent="0.15">
      <c r="A1082" s="126">
        <v>166</v>
      </c>
      <c r="B1082" s="25" t="s">
        <v>118</v>
      </c>
      <c r="C1082" s="39" t="s">
        <v>27</v>
      </c>
      <c r="D1082" s="50" t="s">
        <v>27</v>
      </c>
      <c r="E1082" s="28" t="s">
        <v>27</v>
      </c>
      <c r="F1082" s="51" t="s">
        <v>27</v>
      </c>
      <c r="G1082" s="28" t="s">
        <v>27</v>
      </c>
      <c r="H1082" s="55" t="s">
        <v>27</v>
      </c>
      <c r="I1082" s="50">
        <v>56.395719049521624</v>
      </c>
      <c r="J1082" t="e">
        <f t="shared" si="53"/>
        <v>#VALUE!</v>
      </c>
    </row>
    <row r="1083" spans="1:10" ht="12.75" customHeight="1" x14ac:dyDescent="0.15">
      <c r="A1083" s="126">
        <v>167</v>
      </c>
      <c r="B1083" s="25" t="s">
        <v>118</v>
      </c>
      <c r="C1083" s="39">
        <v>8.4933333333333341</v>
      </c>
      <c r="D1083" s="50">
        <v>8.7371755178908828E-3</v>
      </c>
      <c r="E1083" s="28">
        <v>1.5189754804734834E-2</v>
      </c>
      <c r="F1083" s="51">
        <v>3.0085197740112979E-2</v>
      </c>
      <c r="G1083" s="28">
        <v>8.0854017928561998E-3</v>
      </c>
      <c r="H1083" s="55" t="s">
        <v>27</v>
      </c>
      <c r="I1083" s="50">
        <v>56.54936800903954</v>
      </c>
      <c r="J1083">
        <f t="shared" si="53"/>
        <v>9.2703163541925631E-3</v>
      </c>
    </row>
    <row r="1084" spans="1:10" ht="12.75" customHeight="1" x14ac:dyDescent="0.15">
      <c r="A1084" s="126">
        <v>168</v>
      </c>
      <c r="B1084" s="25" t="s">
        <v>119</v>
      </c>
      <c r="C1084" s="39" t="s">
        <v>27</v>
      </c>
      <c r="D1084" s="50" t="s">
        <v>27</v>
      </c>
      <c r="E1084" s="28" t="s">
        <v>27</v>
      </c>
      <c r="F1084" s="51" t="s">
        <v>27</v>
      </c>
      <c r="G1084" s="28" t="s">
        <v>27</v>
      </c>
      <c r="H1084" s="55" t="s">
        <v>27</v>
      </c>
      <c r="I1084" s="50">
        <v>63.361954376123471</v>
      </c>
      <c r="J1084" t="e">
        <f t="shared" si="53"/>
        <v>#VALUE!</v>
      </c>
    </row>
    <row r="1085" spans="1:10" ht="12.75" customHeight="1" x14ac:dyDescent="0.15">
      <c r="A1085" s="126">
        <v>169</v>
      </c>
      <c r="B1085" s="25" t="s">
        <v>120</v>
      </c>
      <c r="C1085" s="39">
        <v>8.5266666666666673</v>
      </c>
      <c r="D1085" s="50">
        <v>1.1713169504868226E-2</v>
      </c>
      <c r="E1085" s="28">
        <v>1.8463554114507466E-2</v>
      </c>
      <c r="F1085" s="51">
        <v>3.24801553760099E-2</v>
      </c>
      <c r="G1085" s="28">
        <v>8.0256969828622817E-3</v>
      </c>
      <c r="H1085" s="55" t="s">
        <v>27</v>
      </c>
      <c r="I1085" s="50">
        <v>62.41068084308062</v>
      </c>
      <c r="J1085">
        <f t="shared" si="53"/>
        <v>1.1260735515113531E-2</v>
      </c>
    </row>
    <row r="1086" spans="1:10" ht="12.75" customHeight="1" x14ac:dyDescent="0.15">
      <c r="A1086" s="126">
        <v>170</v>
      </c>
      <c r="B1086" s="25" t="s">
        <v>121</v>
      </c>
      <c r="C1086" s="39">
        <v>8.5233333333333334</v>
      </c>
      <c r="D1086" s="50">
        <v>8.947508723770814E-3</v>
      </c>
      <c r="E1086" s="28">
        <v>1.4935165010797471E-2</v>
      </c>
      <c r="F1086" s="51">
        <v>3.0555486193676984E-2</v>
      </c>
      <c r="G1086" s="28">
        <v>7.9137928294216835E-3</v>
      </c>
      <c r="H1086" s="55" t="s">
        <v>27</v>
      </c>
      <c r="I1086" s="50">
        <v>58.934541500007974</v>
      </c>
      <c r="J1086">
        <f t="shared" si="53"/>
        <v>9.1092678378803752E-3</v>
      </c>
    </row>
    <row r="1087" spans="1:10" ht="12.75" customHeight="1" x14ac:dyDescent="0.15">
      <c r="A1087" s="126">
        <v>171</v>
      </c>
      <c r="B1087" s="25" t="s">
        <v>122</v>
      </c>
      <c r="C1087" s="39">
        <v>8.52</v>
      </c>
      <c r="D1087" s="50">
        <v>1.344928934272116E-2</v>
      </c>
      <c r="E1087" s="28">
        <v>2.1613412299412698E-2</v>
      </c>
      <c r="F1087" s="51">
        <v>3.1974028169014068E-2</v>
      </c>
      <c r="G1087" s="28">
        <v>8.0423359754953835E-3</v>
      </c>
      <c r="H1087" s="55" t="s">
        <v>27</v>
      </c>
      <c r="I1087" s="50">
        <v>61.211187021455402</v>
      </c>
      <c r="J1087">
        <f t="shared" si="53"/>
        <v>1.3183167976801682E-2</v>
      </c>
    </row>
    <row r="1088" spans="1:10" ht="12.75" customHeight="1" x14ac:dyDescent="0.15">
      <c r="A1088" s="126">
        <v>172</v>
      </c>
      <c r="B1088" s="25" t="s">
        <v>123</v>
      </c>
      <c r="C1088" s="39">
        <v>8.51</v>
      </c>
      <c r="D1088" s="50">
        <v>1.5182466639914294E-2</v>
      </c>
      <c r="E1088" s="28">
        <v>2.4283506372655271E-2</v>
      </c>
      <c r="F1088" s="51">
        <v>3.4104911717495967E-2</v>
      </c>
      <c r="G1088" s="28">
        <v>8.5451881691426135E-3</v>
      </c>
      <c r="H1088" s="55" t="s">
        <v>27</v>
      </c>
      <c r="I1088" s="50">
        <v>61.507190869627252</v>
      </c>
      <c r="J1088">
        <f t="shared" si="53"/>
        <v>1.4810430870200758E-2</v>
      </c>
    </row>
    <row r="1089" spans="1:10" ht="12.75" customHeight="1" x14ac:dyDescent="0.15">
      <c r="A1089" s="126">
        <v>173</v>
      </c>
      <c r="B1089" s="25" t="s">
        <v>113</v>
      </c>
      <c r="C1089" s="39">
        <v>8.5133333333333336</v>
      </c>
      <c r="D1089" s="50">
        <v>1.0599095921569823E-2</v>
      </c>
      <c r="E1089" s="28">
        <v>1.9379056260568021E-2</v>
      </c>
      <c r="F1089" s="51">
        <v>2.772562352941188E-2</v>
      </c>
      <c r="G1089" s="28">
        <v>7.7943163137255897E-3</v>
      </c>
      <c r="H1089" s="55" t="s">
        <v>27</v>
      </c>
      <c r="I1089" s="50">
        <v>53.88129227396081</v>
      </c>
      <c r="J1089">
        <f t="shared" si="53"/>
        <v>1.1802719059905003E-2</v>
      </c>
    </row>
    <row r="1090" spans="1:10" ht="11.25" customHeight="1" x14ac:dyDescent="0.15">
      <c r="A1090" s="126">
        <v>174</v>
      </c>
      <c r="B1090" s="25" t="s">
        <v>85</v>
      </c>
      <c r="C1090" s="39" t="s">
        <v>27</v>
      </c>
      <c r="D1090" s="50" t="s">
        <v>27</v>
      </c>
      <c r="E1090" s="28" t="s">
        <v>27</v>
      </c>
      <c r="F1090" s="51" t="s">
        <v>27</v>
      </c>
      <c r="G1090" s="28" t="s">
        <v>27</v>
      </c>
      <c r="H1090" s="55" t="s">
        <v>27</v>
      </c>
      <c r="I1090" s="50" t="s">
        <v>27</v>
      </c>
      <c r="J1090" t="e">
        <f t="shared" si="53"/>
        <v>#VALUE!</v>
      </c>
    </row>
    <row r="1091" spans="1:10" ht="11.25" customHeight="1" x14ac:dyDescent="0.15">
      <c r="A1091" s="32"/>
      <c r="B1091" s="52" t="s">
        <v>129</v>
      </c>
      <c r="C1091" s="53">
        <f t="shared" ref="C1091:H1091" si="54">SUM(C917:C1090)</f>
        <v>971.64333333333252</v>
      </c>
      <c r="D1091" s="53">
        <f t="shared" si="54"/>
        <v>1.6932156316351326</v>
      </c>
      <c r="E1091" s="53">
        <f t="shared" si="54"/>
        <v>28.447066857350336</v>
      </c>
      <c r="F1091" s="53">
        <f t="shared" si="54"/>
        <v>3.2501093256253251</v>
      </c>
      <c r="G1091" s="53">
        <f t="shared" si="54"/>
        <v>31.048437107420195</v>
      </c>
      <c r="H1091" s="54">
        <f t="shared" si="54"/>
        <v>0</v>
      </c>
      <c r="I1091" s="53">
        <f t="shared" ref="I1091" si="55">SUM(I917:I1090)</f>
        <v>9309.2728036290046</v>
      </c>
      <c r="J1091">
        <f t="shared" si="53"/>
        <v>1.0913090639958933E-2</v>
      </c>
    </row>
    <row r="1092" spans="1:10" ht="11.25" customHeight="1" x14ac:dyDescent="0.15">
      <c r="A1092" s="31"/>
      <c r="B1092" s="41" t="s">
        <v>130</v>
      </c>
      <c r="C1092" s="39">
        <f t="shared" ref="C1092:I1092" si="56">AVERAGE(C917:C1090)</f>
        <v>8.5231871345029173</v>
      </c>
      <c r="D1092" s="39">
        <f t="shared" si="56"/>
        <v>1.4852768698553794E-2</v>
      </c>
      <c r="E1092" s="39">
        <f t="shared" si="56"/>
        <v>0.24953567418728365</v>
      </c>
      <c r="F1092" s="39">
        <f t="shared" si="56"/>
        <v>2.8509730926537941E-2</v>
      </c>
      <c r="G1092" s="39">
        <f t="shared" si="56"/>
        <v>0.27235471146859819</v>
      </c>
      <c r="H1092" s="40" t="e">
        <f t="shared" si="56"/>
        <v>#DIV/0!</v>
      </c>
      <c r="I1092" s="39">
        <f t="shared" si="56"/>
        <v>53.810825454502918</v>
      </c>
      <c r="J1092">
        <f t="shared" si="53"/>
        <v>1.6561093690463994E-2</v>
      </c>
    </row>
    <row r="1093" spans="1:10" ht="11.25" customHeight="1" thickBot="1" x14ac:dyDescent="0.2">
      <c r="A1093" s="33"/>
      <c r="B1093" s="42" t="s">
        <v>131</v>
      </c>
      <c r="C1093" s="43">
        <f t="shared" ref="C1093:I1093" si="57">STDEV(C917:C1090)/AVERAGE(C917:C1090)</f>
        <v>1.1765997780962502E-3</v>
      </c>
      <c r="D1093" s="43">
        <f t="shared" si="57"/>
        <v>0.76239021607291135</v>
      </c>
      <c r="E1093" s="43">
        <f t="shared" si="57"/>
        <v>4.5417903422014971</v>
      </c>
      <c r="F1093" s="43">
        <f t="shared" si="57"/>
        <v>0.54798141983750559</v>
      </c>
      <c r="G1093" s="43">
        <f t="shared" si="57"/>
        <v>3.4399888379193397</v>
      </c>
      <c r="H1093" s="44" t="e">
        <f t="shared" si="57"/>
        <v>#DIV/0!</v>
      </c>
      <c r="I1093" s="43">
        <f t="shared" si="57"/>
        <v>0.35799885115208518</v>
      </c>
      <c r="J1093">
        <f t="shared" si="53"/>
        <v>127.77530658874085</v>
      </c>
    </row>
    <row r="1094" spans="1:10" ht="14" thickBot="1" x14ac:dyDescent="0.2"/>
    <row r="1095" spans="1:10" ht="11.25" customHeight="1" x14ac:dyDescent="0.15">
      <c r="A1095" s="56" t="s">
        <v>13</v>
      </c>
      <c r="B1095" s="57" t="s">
        <v>81</v>
      </c>
      <c r="C1095" s="58" t="s">
        <v>82</v>
      </c>
      <c r="D1095" s="34" t="s">
        <v>17</v>
      </c>
      <c r="E1095" s="34" t="s">
        <v>83</v>
      </c>
      <c r="F1095" s="34" t="s">
        <v>18</v>
      </c>
      <c r="G1095" s="34" t="s">
        <v>84</v>
      </c>
      <c r="H1095" s="35" t="s">
        <v>19</v>
      </c>
    </row>
    <row r="1096" spans="1:10" ht="11.25" customHeight="1" x14ac:dyDescent="0.15">
      <c r="A1096" s="36" t="s">
        <v>20</v>
      </c>
      <c r="B1096" s="37" t="s">
        <v>20</v>
      </c>
      <c r="C1096" s="37" t="s">
        <v>21</v>
      </c>
      <c r="D1096" s="37" t="s">
        <v>22</v>
      </c>
      <c r="E1096" s="37" t="s">
        <v>52</v>
      </c>
      <c r="F1096" s="37" t="s">
        <v>23</v>
      </c>
      <c r="G1096" s="37" t="s">
        <v>52</v>
      </c>
      <c r="H1096" s="38" t="s">
        <v>20</v>
      </c>
    </row>
    <row r="1097" spans="1:10" ht="11.25" customHeight="1" x14ac:dyDescent="0.15">
      <c r="A1097" s="36" t="s">
        <v>20</v>
      </c>
      <c r="B1097" s="37" t="s">
        <v>20</v>
      </c>
      <c r="C1097" s="37" t="s">
        <v>24</v>
      </c>
      <c r="D1097" s="37" t="s">
        <v>24</v>
      </c>
      <c r="E1097" s="37" t="s">
        <v>24</v>
      </c>
      <c r="F1097" s="37" t="s">
        <v>24</v>
      </c>
      <c r="G1097" s="37" t="s">
        <v>24</v>
      </c>
      <c r="H1097" s="38" t="s">
        <v>24</v>
      </c>
    </row>
    <row r="1098" spans="1:10" ht="11.25" customHeight="1" x14ac:dyDescent="0.15">
      <c r="A1098" s="36" t="s">
        <v>20</v>
      </c>
      <c r="B1098" s="37" t="s">
        <v>20</v>
      </c>
      <c r="C1098" s="45" t="s">
        <v>70</v>
      </c>
      <c r="D1098" s="46" t="s">
        <v>70</v>
      </c>
      <c r="E1098" s="47" t="s">
        <v>70</v>
      </c>
      <c r="F1098" s="48" t="s">
        <v>70</v>
      </c>
      <c r="G1098" s="47" t="s">
        <v>70</v>
      </c>
      <c r="H1098" s="49" t="s">
        <v>70</v>
      </c>
      <c r="I1098" s="208" t="s">
        <v>204</v>
      </c>
      <c r="J1098" s="208" t="s">
        <v>205</v>
      </c>
    </row>
    <row r="1099" spans="1:10" ht="11.25" customHeight="1" x14ac:dyDescent="0.15">
      <c r="A1099" s="126">
        <v>1</v>
      </c>
      <c r="B1099" s="25" t="s">
        <v>85</v>
      </c>
      <c r="C1099" s="39" t="s">
        <v>27</v>
      </c>
      <c r="D1099" s="50" t="s">
        <v>27</v>
      </c>
      <c r="E1099" s="28" t="s">
        <v>27</v>
      </c>
      <c r="F1099" s="51" t="s">
        <v>27</v>
      </c>
      <c r="G1099" s="28" t="s">
        <v>27</v>
      </c>
      <c r="H1099" s="55" t="s">
        <v>27</v>
      </c>
      <c r="I1099" s="50">
        <v>4.095663883302858E-2</v>
      </c>
    </row>
    <row r="1100" spans="1:10" ht="12.75" customHeight="1" x14ac:dyDescent="0.15">
      <c r="A1100" s="126">
        <v>2</v>
      </c>
      <c r="B1100" s="25" t="s">
        <v>86</v>
      </c>
      <c r="C1100" s="39" t="s">
        <v>27</v>
      </c>
      <c r="D1100" s="50" t="s">
        <v>27</v>
      </c>
      <c r="E1100" s="28" t="s">
        <v>27</v>
      </c>
      <c r="F1100" s="51" t="s">
        <v>27</v>
      </c>
      <c r="G1100" s="28" t="s">
        <v>27</v>
      </c>
      <c r="H1100" s="55" t="s">
        <v>27</v>
      </c>
      <c r="I1100" s="50">
        <v>61.317518126708961</v>
      </c>
    </row>
    <row r="1101" spans="1:10" ht="12.75" customHeight="1" x14ac:dyDescent="0.15">
      <c r="A1101" s="126">
        <v>3</v>
      </c>
      <c r="B1101" s="25" t="s">
        <v>87</v>
      </c>
      <c r="C1101" s="39" t="s">
        <v>27</v>
      </c>
      <c r="D1101" s="50" t="s">
        <v>27</v>
      </c>
      <c r="E1101" s="28" t="s">
        <v>27</v>
      </c>
      <c r="F1101" s="51" t="s">
        <v>27</v>
      </c>
      <c r="G1101" s="28" t="s">
        <v>27</v>
      </c>
      <c r="H1101" s="55" t="s">
        <v>27</v>
      </c>
      <c r="I1101" s="50">
        <v>60.556380597185495</v>
      </c>
    </row>
    <row r="1102" spans="1:10" ht="12.75" customHeight="1" x14ac:dyDescent="0.15">
      <c r="A1102" s="126">
        <v>4</v>
      </c>
      <c r="B1102" s="25" t="s">
        <v>88</v>
      </c>
      <c r="C1102" s="39" t="s">
        <v>27</v>
      </c>
      <c r="D1102" s="50" t="s">
        <v>27</v>
      </c>
      <c r="E1102" s="28" t="s">
        <v>27</v>
      </c>
      <c r="F1102" s="51" t="s">
        <v>27</v>
      </c>
      <c r="G1102" s="28" t="s">
        <v>27</v>
      </c>
      <c r="H1102" s="55" t="s">
        <v>27</v>
      </c>
      <c r="I1102" s="50">
        <v>59.991398085091745</v>
      </c>
    </row>
    <row r="1103" spans="1:10" ht="12.75" customHeight="1" x14ac:dyDescent="0.15">
      <c r="A1103" s="126">
        <v>5</v>
      </c>
      <c r="B1103" s="25" t="s">
        <v>59</v>
      </c>
      <c r="C1103" s="39" t="s">
        <v>27</v>
      </c>
      <c r="D1103" s="50" t="s">
        <v>27</v>
      </c>
      <c r="E1103" s="28" t="s">
        <v>27</v>
      </c>
      <c r="F1103" s="51" t="s">
        <v>27</v>
      </c>
      <c r="G1103" s="28" t="s">
        <v>27</v>
      </c>
      <c r="H1103" s="55" t="s">
        <v>27</v>
      </c>
      <c r="I1103" s="50">
        <v>5.9284909383752749E-2</v>
      </c>
    </row>
    <row r="1104" spans="1:10" ht="12.75" customHeight="1" x14ac:dyDescent="0.15">
      <c r="A1104" s="126">
        <v>6</v>
      </c>
      <c r="B1104" s="25" t="s">
        <v>60</v>
      </c>
      <c r="C1104" s="39" t="s">
        <v>27</v>
      </c>
      <c r="D1104" s="50" t="s">
        <v>27</v>
      </c>
      <c r="E1104" s="28" t="s">
        <v>27</v>
      </c>
      <c r="F1104" s="51" t="s">
        <v>27</v>
      </c>
      <c r="G1104" s="28" t="s">
        <v>27</v>
      </c>
      <c r="H1104" s="55" t="s">
        <v>27</v>
      </c>
      <c r="I1104" s="50">
        <v>6.6206856966898098E-2</v>
      </c>
    </row>
    <row r="1105" spans="1:10" ht="12.75" customHeight="1" x14ac:dyDescent="0.15">
      <c r="A1105" s="126">
        <v>7</v>
      </c>
      <c r="B1105" s="25" t="s">
        <v>61</v>
      </c>
      <c r="C1105" s="39" t="s">
        <v>27</v>
      </c>
      <c r="D1105" s="50" t="s">
        <v>27</v>
      </c>
      <c r="E1105" s="28" t="s">
        <v>27</v>
      </c>
      <c r="F1105" s="51" t="s">
        <v>27</v>
      </c>
      <c r="G1105" s="28" t="s">
        <v>27</v>
      </c>
      <c r="H1105" s="55" t="s">
        <v>27</v>
      </c>
      <c r="I1105" s="50">
        <v>0.12247340861437273</v>
      </c>
    </row>
    <row r="1106" spans="1:10" ht="12.75" customHeight="1" x14ac:dyDescent="0.15">
      <c r="A1106" s="126">
        <v>8</v>
      </c>
      <c r="B1106" s="25" t="s">
        <v>62</v>
      </c>
      <c r="C1106" s="39">
        <v>9.1133333333333333</v>
      </c>
      <c r="D1106" s="50">
        <v>1.0384514637903908E-4</v>
      </c>
      <c r="E1106" s="28">
        <v>3.9136338676104693E-3</v>
      </c>
      <c r="F1106" s="51">
        <v>5.2426810477657071E-4</v>
      </c>
      <c r="G1106" s="28">
        <v>4.9483420362851959E-3</v>
      </c>
      <c r="H1106" s="55" t="s">
        <v>27</v>
      </c>
      <c r="I1106" s="50">
        <v>9.598185279917848E-2</v>
      </c>
    </row>
    <row r="1107" spans="1:10" ht="12.75" customHeight="1" x14ac:dyDescent="0.15">
      <c r="A1107" s="126">
        <v>9</v>
      </c>
      <c r="B1107" s="25" t="s">
        <v>59</v>
      </c>
      <c r="C1107" s="39" t="s">
        <v>27</v>
      </c>
      <c r="D1107" s="50" t="s">
        <v>27</v>
      </c>
      <c r="E1107" s="28" t="s">
        <v>27</v>
      </c>
      <c r="F1107" s="51" t="s">
        <v>27</v>
      </c>
      <c r="G1107" s="28" t="s">
        <v>27</v>
      </c>
      <c r="H1107" s="55" t="s">
        <v>27</v>
      </c>
      <c r="I1107" s="50">
        <v>6.6867244418114868E-2</v>
      </c>
    </row>
    <row r="1108" spans="1:10" ht="12.75" customHeight="1" x14ac:dyDescent="0.15">
      <c r="A1108" s="126">
        <v>10</v>
      </c>
      <c r="B1108" s="25" t="s">
        <v>63</v>
      </c>
      <c r="C1108" s="39" t="s">
        <v>27</v>
      </c>
      <c r="D1108" s="50" t="s">
        <v>27</v>
      </c>
      <c r="E1108" s="28" t="s">
        <v>27</v>
      </c>
      <c r="F1108" s="51" t="s">
        <v>27</v>
      </c>
      <c r="G1108" s="28" t="s">
        <v>27</v>
      </c>
      <c r="H1108" s="55" t="s">
        <v>27</v>
      </c>
      <c r="I1108" s="50">
        <v>7.8765377866665265E-2</v>
      </c>
    </row>
    <row r="1109" spans="1:10" ht="12.75" customHeight="1" x14ac:dyDescent="0.15">
      <c r="A1109" s="126">
        <v>11</v>
      </c>
      <c r="B1109" s="25" t="s">
        <v>64</v>
      </c>
      <c r="C1109" s="39">
        <v>9.56</v>
      </c>
      <c r="D1109" s="50">
        <v>1.9819432100542045E-2</v>
      </c>
      <c r="E1109" s="28">
        <v>4.0674682965846856</v>
      </c>
      <c r="F1109" s="51">
        <v>7.9951095152602791E-3</v>
      </c>
      <c r="G1109" s="28">
        <v>0.46341202223720579</v>
      </c>
      <c r="H1109" s="55" t="s">
        <v>27</v>
      </c>
      <c r="I1109" s="50">
        <v>7.177782721124859E-2</v>
      </c>
    </row>
    <row r="1110" spans="1:10" ht="12.75" customHeight="1" x14ac:dyDescent="0.15">
      <c r="A1110" s="126">
        <v>12</v>
      </c>
      <c r="B1110" s="25" t="s">
        <v>65</v>
      </c>
      <c r="C1110" s="39">
        <v>9.6</v>
      </c>
      <c r="D1110" s="50">
        <v>3.7450967155264081E-2</v>
      </c>
      <c r="E1110" s="28">
        <v>2.4169037142858749</v>
      </c>
      <c r="F1110" s="51">
        <v>1.1265851347349698E-2</v>
      </c>
      <c r="G1110" s="28">
        <v>0.13130285630376032</v>
      </c>
      <c r="H1110" s="55" t="s">
        <v>27</v>
      </c>
      <c r="I1110" s="50">
        <v>1.0162091069687109</v>
      </c>
    </row>
    <row r="1111" spans="1:10" ht="12.75" customHeight="1" x14ac:dyDescent="0.15">
      <c r="A1111" s="126">
        <v>13</v>
      </c>
      <c r="B1111" s="25" t="s">
        <v>66</v>
      </c>
      <c r="C1111" s="39" t="s">
        <v>27</v>
      </c>
      <c r="D1111" s="50" t="s">
        <v>27</v>
      </c>
      <c r="E1111" s="28" t="s">
        <v>27</v>
      </c>
      <c r="F1111" s="51" t="s">
        <v>27</v>
      </c>
      <c r="G1111" s="28" t="s">
        <v>27</v>
      </c>
      <c r="H1111" s="55" t="s">
        <v>27</v>
      </c>
      <c r="I1111" s="50">
        <v>5.0377216666666724E-2</v>
      </c>
    </row>
    <row r="1112" spans="1:10" ht="12.75" customHeight="1" x14ac:dyDescent="0.15">
      <c r="A1112" s="126">
        <v>14</v>
      </c>
      <c r="B1112" s="25" t="s">
        <v>67</v>
      </c>
      <c r="C1112" s="39">
        <v>12.106666666666667</v>
      </c>
      <c r="D1112" s="50">
        <v>3.614802117864091E-2</v>
      </c>
      <c r="E1112" s="28">
        <v>4.5134180937883812</v>
      </c>
      <c r="F1112" s="51">
        <v>4.1883179864946607E-3</v>
      </c>
      <c r="G1112" s="28">
        <v>0.14483136160495294</v>
      </c>
      <c r="H1112" s="55" t="s">
        <v>27</v>
      </c>
      <c r="I1112" s="50">
        <v>3.7888999999999728E-2</v>
      </c>
    </row>
    <row r="1113" spans="1:10" ht="12.75" customHeight="1" x14ac:dyDescent="0.15">
      <c r="A1113" s="126">
        <v>15</v>
      </c>
      <c r="B1113" s="25" t="s">
        <v>85</v>
      </c>
      <c r="C1113" s="39" t="s">
        <v>27</v>
      </c>
      <c r="D1113" s="50" t="s">
        <v>27</v>
      </c>
      <c r="E1113" s="28" t="s">
        <v>27</v>
      </c>
      <c r="F1113" s="51" t="s">
        <v>27</v>
      </c>
      <c r="G1113" s="28" t="s">
        <v>27</v>
      </c>
      <c r="H1113" s="55" t="s">
        <v>27</v>
      </c>
      <c r="I1113" s="50">
        <v>0.28603644460322941</v>
      </c>
    </row>
    <row r="1114" spans="1:10" ht="12.75" customHeight="1" x14ac:dyDescent="0.15">
      <c r="A1114" s="126">
        <v>16</v>
      </c>
      <c r="B1114" s="25" t="s">
        <v>85</v>
      </c>
      <c r="C1114" s="39" t="s">
        <v>27</v>
      </c>
      <c r="D1114" s="50" t="s">
        <v>27</v>
      </c>
      <c r="E1114" s="28" t="s">
        <v>27</v>
      </c>
      <c r="F1114" s="51" t="s">
        <v>27</v>
      </c>
      <c r="G1114" s="28" t="s">
        <v>27</v>
      </c>
      <c r="H1114" s="55" t="s">
        <v>27</v>
      </c>
      <c r="I1114" s="50">
        <v>5.7229369047616885E-2</v>
      </c>
    </row>
    <row r="1115" spans="1:10" ht="12.75" customHeight="1" x14ac:dyDescent="0.15">
      <c r="A1115" s="126">
        <v>17</v>
      </c>
      <c r="B1115" s="25" t="s">
        <v>85</v>
      </c>
      <c r="C1115" s="39" t="s">
        <v>27</v>
      </c>
      <c r="D1115" s="50" t="s">
        <v>27</v>
      </c>
      <c r="E1115" s="28" t="s">
        <v>27</v>
      </c>
      <c r="F1115" s="51" t="s">
        <v>27</v>
      </c>
      <c r="G1115" s="28" t="s">
        <v>27</v>
      </c>
      <c r="H1115" s="55" t="s">
        <v>27</v>
      </c>
      <c r="I1115" s="50">
        <v>4.6151283348567551E-2</v>
      </c>
    </row>
    <row r="1116" spans="1:10" ht="12.75" customHeight="1" x14ac:dyDescent="0.15">
      <c r="A1116" s="126">
        <v>18</v>
      </c>
      <c r="B1116" s="25" t="s">
        <v>87</v>
      </c>
      <c r="C1116" s="39" t="s">
        <v>27</v>
      </c>
      <c r="D1116" s="50" t="s">
        <v>27</v>
      </c>
      <c r="E1116" s="28" t="s">
        <v>27</v>
      </c>
      <c r="F1116" s="51" t="s">
        <v>27</v>
      </c>
      <c r="G1116" s="28" t="s">
        <v>27</v>
      </c>
      <c r="H1116" s="55" t="s">
        <v>27</v>
      </c>
      <c r="I1116" s="50">
        <v>58.138214970554579</v>
      </c>
      <c r="J1116" t="e">
        <f>D1116*60/I1116</f>
        <v>#VALUE!</v>
      </c>
    </row>
    <row r="1117" spans="1:10" ht="12.75" customHeight="1" x14ac:dyDescent="0.15">
      <c r="A1117" s="126">
        <v>19</v>
      </c>
      <c r="B1117" s="25" t="s">
        <v>88</v>
      </c>
      <c r="C1117" s="39" t="s">
        <v>27</v>
      </c>
      <c r="D1117" s="50" t="s">
        <v>27</v>
      </c>
      <c r="E1117" s="28" t="s">
        <v>27</v>
      </c>
      <c r="F1117" s="51" t="s">
        <v>27</v>
      </c>
      <c r="G1117" s="28" t="s">
        <v>27</v>
      </c>
      <c r="H1117" s="55" t="s">
        <v>27</v>
      </c>
      <c r="I1117" s="50">
        <v>59.254926413747008</v>
      </c>
      <c r="J1117" t="e">
        <f t="shared" ref="J1117:J1180" si="58">D1117*60/I1117</f>
        <v>#VALUE!</v>
      </c>
    </row>
    <row r="1118" spans="1:10" ht="12.75" customHeight="1" x14ac:dyDescent="0.15">
      <c r="A1118" s="126">
        <v>20</v>
      </c>
      <c r="B1118" s="25" t="s">
        <v>86</v>
      </c>
      <c r="C1118" s="39" t="s">
        <v>27</v>
      </c>
      <c r="D1118" s="50" t="s">
        <v>27</v>
      </c>
      <c r="E1118" s="28" t="s">
        <v>27</v>
      </c>
      <c r="F1118" s="51" t="s">
        <v>27</v>
      </c>
      <c r="G1118" s="28" t="s">
        <v>27</v>
      </c>
      <c r="H1118" s="55" t="s">
        <v>27</v>
      </c>
      <c r="I1118" s="50">
        <v>63.739007898367269</v>
      </c>
      <c r="J1118" t="e">
        <f t="shared" si="58"/>
        <v>#VALUE!</v>
      </c>
    </row>
    <row r="1119" spans="1:10" ht="12.75" customHeight="1" x14ac:dyDescent="0.15">
      <c r="A1119" s="126">
        <v>21</v>
      </c>
      <c r="B1119" s="25" t="s">
        <v>85</v>
      </c>
      <c r="C1119" s="39" t="s">
        <v>27</v>
      </c>
      <c r="D1119" s="50" t="s">
        <v>27</v>
      </c>
      <c r="E1119" s="28" t="s">
        <v>27</v>
      </c>
      <c r="F1119" s="51" t="s">
        <v>27</v>
      </c>
      <c r="G1119" s="28" t="s">
        <v>27</v>
      </c>
      <c r="H1119" s="55" t="s">
        <v>27</v>
      </c>
      <c r="I1119" s="50">
        <v>5.8629709434996791E-2</v>
      </c>
      <c r="J1119" t="e">
        <f t="shared" si="58"/>
        <v>#VALUE!</v>
      </c>
    </row>
    <row r="1120" spans="1:10" ht="12.75" customHeight="1" x14ac:dyDescent="0.15">
      <c r="A1120" s="126">
        <v>22</v>
      </c>
      <c r="B1120" s="25" t="s">
        <v>89</v>
      </c>
      <c r="C1120" s="39" t="s">
        <v>27</v>
      </c>
      <c r="D1120" s="50" t="s">
        <v>27</v>
      </c>
      <c r="E1120" s="28" t="s">
        <v>27</v>
      </c>
      <c r="F1120" s="51" t="s">
        <v>27</v>
      </c>
      <c r="G1120" s="28" t="s">
        <v>27</v>
      </c>
      <c r="H1120" s="55" t="s">
        <v>27</v>
      </c>
      <c r="I1120" s="50">
        <v>66.89664388762219</v>
      </c>
      <c r="J1120" t="e">
        <f t="shared" si="58"/>
        <v>#VALUE!</v>
      </c>
    </row>
    <row r="1121" spans="1:10" ht="12.75" customHeight="1" x14ac:dyDescent="0.15">
      <c r="A1121" s="126">
        <v>23</v>
      </c>
      <c r="B1121" s="25" t="s">
        <v>90</v>
      </c>
      <c r="C1121" s="39" t="s">
        <v>27</v>
      </c>
      <c r="D1121" s="50" t="s">
        <v>27</v>
      </c>
      <c r="E1121" s="28" t="s">
        <v>27</v>
      </c>
      <c r="F1121" s="51" t="s">
        <v>27</v>
      </c>
      <c r="G1121" s="28" t="s">
        <v>27</v>
      </c>
      <c r="H1121" s="55" t="s">
        <v>27</v>
      </c>
      <c r="I1121" s="50">
        <v>64.292652151897741</v>
      </c>
      <c r="J1121" t="e">
        <f t="shared" si="58"/>
        <v>#VALUE!</v>
      </c>
    </row>
    <row r="1122" spans="1:10" ht="12.75" customHeight="1" x14ac:dyDescent="0.15">
      <c r="A1122" s="126">
        <v>24</v>
      </c>
      <c r="B1122" s="25" t="s">
        <v>91</v>
      </c>
      <c r="C1122" s="39" t="s">
        <v>27</v>
      </c>
      <c r="D1122" s="50" t="s">
        <v>27</v>
      </c>
      <c r="E1122" s="28" t="s">
        <v>27</v>
      </c>
      <c r="F1122" s="51" t="s">
        <v>27</v>
      </c>
      <c r="G1122" s="28" t="s">
        <v>27</v>
      </c>
      <c r="H1122" s="55" t="s">
        <v>27</v>
      </c>
      <c r="I1122" s="50">
        <v>70.558985876059566</v>
      </c>
      <c r="J1122" t="e">
        <f t="shared" si="58"/>
        <v>#VALUE!</v>
      </c>
    </row>
    <row r="1123" spans="1:10" ht="12.75" customHeight="1" x14ac:dyDescent="0.15">
      <c r="A1123" s="126">
        <v>25</v>
      </c>
      <c r="B1123" s="25" t="s">
        <v>92</v>
      </c>
      <c r="C1123" s="39" t="s">
        <v>27</v>
      </c>
      <c r="D1123" s="50" t="s">
        <v>27</v>
      </c>
      <c r="E1123" s="28" t="s">
        <v>27</v>
      </c>
      <c r="F1123" s="51" t="s">
        <v>27</v>
      </c>
      <c r="G1123" s="28" t="s">
        <v>27</v>
      </c>
      <c r="H1123" s="55" t="s">
        <v>27</v>
      </c>
      <c r="I1123" s="50">
        <v>63.136728161916054</v>
      </c>
      <c r="J1123" t="e">
        <f t="shared" si="58"/>
        <v>#VALUE!</v>
      </c>
    </row>
    <row r="1124" spans="1:10" ht="12.75" customHeight="1" x14ac:dyDescent="0.15">
      <c r="A1124" s="126">
        <v>26</v>
      </c>
      <c r="B1124" s="25" t="s">
        <v>93</v>
      </c>
      <c r="C1124" s="39" t="s">
        <v>27</v>
      </c>
      <c r="D1124" s="50" t="s">
        <v>27</v>
      </c>
      <c r="E1124" s="28" t="s">
        <v>27</v>
      </c>
      <c r="F1124" s="51" t="s">
        <v>27</v>
      </c>
      <c r="G1124" s="28" t="s">
        <v>27</v>
      </c>
      <c r="H1124" s="55" t="s">
        <v>27</v>
      </c>
      <c r="I1124" s="50">
        <v>65.753312757466972</v>
      </c>
      <c r="J1124" t="e">
        <f t="shared" si="58"/>
        <v>#VALUE!</v>
      </c>
    </row>
    <row r="1125" spans="1:10" ht="12.75" customHeight="1" x14ac:dyDescent="0.15">
      <c r="A1125" s="126">
        <v>27</v>
      </c>
      <c r="B1125" s="25" t="s">
        <v>94</v>
      </c>
      <c r="C1125" s="39" t="s">
        <v>27</v>
      </c>
      <c r="D1125" s="50" t="s">
        <v>27</v>
      </c>
      <c r="E1125" s="28" t="s">
        <v>27</v>
      </c>
      <c r="F1125" s="51" t="s">
        <v>27</v>
      </c>
      <c r="G1125" s="28" t="s">
        <v>27</v>
      </c>
      <c r="H1125" s="55" t="s">
        <v>27</v>
      </c>
      <c r="I1125" s="50">
        <v>63.425098809374994</v>
      </c>
      <c r="J1125" t="e">
        <f t="shared" si="58"/>
        <v>#VALUE!</v>
      </c>
    </row>
    <row r="1126" spans="1:10" ht="12.75" customHeight="1" x14ac:dyDescent="0.15">
      <c r="A1126" s="126">
        <v>28</v>
      </c>
      <c r="B1126" s="25" t="s">
        <v>95</v>
      </c>
      <c r="C1126" s="39" t="s">
        <v>27</v>
      </c>
      <c r="D1126" s="50" t="s">
        <v>27</v>
      </c>
      <c r="E1126" s="28" t="s">
        <v>27</v>
      </c>
      <c r="F1126" s="51" t="s">
        <v>27</v>
      </c>
      <c r="G1126" s="28" t="s">
        <v>27</v>
      </c>
      <c r="H1126" s="55" t="s">
        <v>27</v>
      </c>
      <c r="I1126" s="50">
        <v>67.552395389219171</v>
      </c>
      <c r="J1126" t="e">
        <f t="shared" si="58"/>
        <v>#VALUE!</v>
      </c>
    </row>
    <row r="1127" spans="1:10" ht="12.75" customHeight="1" x14ac:dyDescent="0.15">
      <c r="A1127" s="126">
        <v>29</v>
      </c>
      <c r="B1127" s="25" t="s">
        <v>96</v>
      </c>
      <c r="C1127" s="39" t="s">
        <v>27</v>
      </c>
      <c r="D1127" s="50" t="s">
        <v>27</v>
      </c>
      <c r="E1127" s="28" t="s">
        <v>27</v>
      </c>
      <c r="F1127" s="51" t="s">
        <v>27</v>
      </c>
      <c r="G1127" s="28" t="s">
        <v>27</v>
      </c>
      <c r="H1127" s="55" t="s">
        <v>27</v>
      </c>
      <c r="I1127" s="50">
        <v>64.131110996801894</v>
      </c>
      <c r="J1127" t="e">
        <f t="shared" si="58"/>
        <v>#VALUE!</v>
      </c>
    </row>
    <row r="1128" spans="1:10" ht="12.75" customHeight="1" x14ac:dyDescent="0.15">
      <c r="A1128" s="126">
        <v>30</v>
      </c>
      <c r="B1128" s="25" t="s">
        <v>97</v>
      </c>
      <c r="C1128" s="39" t="s">
        <v>27</v>
      </c>
      <c r="D1128" s="50" t="s">
        <v>27</v>
      </c>
      <c r="E1128" s="28" t="s">
        <v>27</v>
      </c>
      <c r="F1128" s="51" t="s">
        <v>27</v>
      </c>
      <c r="G1128" s="28" t="s">
        <v>27</v>
      </c>
      <c r="H1128" s="55" t="s">
        <v>27</v>
      </c>
      <c r="I1128" s="50">
        <v>69.155521096757155</v>
      </c>
      <c r="J1128" t="e">
        <f t="shared" si="58"/>
        <v>#VALUE!</v>
      </c>
    </row>
    <row r="1129" spans="1:10" ht="12.75" customHeight="1" x14ac:dyDescent="0.15">
      <c r="A1129" s="126">
        <v>31</v>
      </c>
      <c r="B1129" s="25" t="s">
        <v>98</v>
      </c>
      <c r="C1129" s="39" t="s">
        <v>27</v>
      </c>
      <c r="D1129" s="50" t="s">
        <v>27</v>
      </c>
      <c r="E1129" s="28" t="s">
        <v>27</v>
      </c>
      <c r="F1129" s="51" t="s">
        <v>27</v>
      </c>
      <c r="G1129" s="28" t="s">
        <v>27</v>
      </c>
      <c r="H1129" s="55" t="s">
        <v>27</v>
      </c>
      <c r="I1129" s="50">
        <v>65.337947505020324</v>
      </c>
      <c r="J1129" t="e">
        <f t="shared" si="58"/>
        <v>#VALUE!</v>
      </c>
    </row>
    <row r="1130" spans="1:10" ht="12.75" customHeight="1" x14ac:dyDescent="0.15">
      <c r="A1130" s="126">
        <v>32</v>
      </c>
      <c r="B1130" s="25" t="s">
        <v>99</v>
      </c>
      <c r="C1130" s="39" t="s">
        <v>27</v>
      </c>
      <c r="D1130" s="50" t="s">
        <v>27</v>
      </c>
      <c r="E1130" s="28" t="s">
        <v>27</v>
      </c>
      <c r="F1130" s="51" t="s">
        <v>27</v>
      </c>
      <c r="G1130" s="28" t="s">
        <v>27</v>
      </c>
      <c r="H1130" s="55" t="s">
        <v>27</v>
      </c>
      <c r="I1130" s="50">
        <v>62.489516211383659</v>
      </c>
      <c r="J1130" t="e">
        <f t="shared" si="58"/>
        <v>#VALUE!</v>
      </c>
    </row>
    <row r="1131" spans="1:10" ht="12.75" customHeight="1" x14ac:dyDescent="0.15">
      <c r="A1131" s="126">
        <v>33</v>
      </c>
      <c r="B1131" s="25" t="s">
        <v>100</v>
      </c>
      <c r="C1131" s="39" t="s">
        <v>27</v>
      </c>
      <c r="D1131" s="50" t="s">
        <v>27</v>
      </c>
      <c r="E1131" s="28" t="s">
        <v>27</v>
      </c>
      <c r="F1131" s="51" t="s">
        <v>27</v>
      </c>
      <c r="G1131" s="28" t="s">
        <v>27</v>
      </c>
      <c r="H1131" s="55" t="s">
        <v>27</v>
      </c>
      <c r="I1131" s="50">
        <v>64.038966777314286</v>
      </c>
      <c r="J1131" t="e">
        <f t="shared" si="58"/>
        <v>#VALUE!</v>
      </c>
    </row>
    <row r="1132" spans="1:10" ht="12.75" customHeight="1" x14ac:dyDescent="0.15">
      <c r="A1132" s="126">
        <v>34</v>
      </c>
      <c r="B1132" s="25" t="s">
        <v>101</v>
      </c>
      <c r="C1132" s="39" t="s">
        <v>27</v>
      </c>
      <c r="D1132" s="50" t="s">
        <v>27</v>
      </c>
      <c r="E1132" s="28" t="s">
        <v>27</v>
      </c>
      <c r="F1132" s="51" t="s">
        <v>27</v>
      </c>
      <c r="G1132" s="28" t="s">
        <v>27</v>
      </c>
      <c r="H1132" s="55" t="s">
        <v>27</v>
      </c>
      <c r="I1132" s="50">
        <v>58.317270811257515</v>
      </c>
      <c r="J1132" t="e">
        <f t="shared" si="58"/>
        <v>#VALUE!</v>
      </c>
    </row>
    <row r="1133" spans="1:10" ht="12.75" customHeight="1" x14ac:dyDescent="0.15">
      <c r="A1133" s="126">
        <v>35</v>
      </c>
      <c r="B1133" s="25" t="s">
        <v>102</v>
      </c>
      <c r="C1133" s="39" t="s">
        <v>27</v>
      </c>
      <c r="D1133" s="50" t="s">
        <v>27</v>
      </c>
      <c r="E1133" s="28" t="s">
        <v>27</v>
      </c>
      <c r="F1133" s="51" t="s">
        <v>27</v>
      </c>
      <c r="G1133" s="28" t="s">
        <v>27</v>
      </c>
      <c r="H1133" s="55" t="s">
        <v>27</v>
      </c>
      <c r="I1133" s="50">
        <v>57.08700795660895</v>
      </c>
      <c r="J1133" t="e">
        <f t="shared" si="58"/>
        <v>#VALUE!</v>
      </c>
    </row>
    <row r="1134" spans="1:10" ht="12.75" customHeight="1" x14ac:dyDescent="0.15">
      <c r="A1134" s="126">
        <v>36</v>
      </c>
      <c r="B1134" s="25" t="s">
        <v>103</v>
      </c>
      <c r="C1134" s="39" t="s">
        <v>27</v>
      </c>
      <c r="D1134" s="50" t="s">
        <v>27</v>
      </c>
      <c r="E1134" s="28" t="s">
        <v>27</v>
      </c>
      <c r="F1134" s="51" t="s">
        <v>27</v>
      </c>
      <c r="G1134" s="28" t="s">
        <v>27</v>
      </c>
      <c r="H1134" s="55" t="s">
        <v>27</v>
      </c>
      <c r="I1134" s="50">
        <v>59.570339434128485</v>
      </c>
      <c r="J1134" t="e">
        <f t="shared" si="58"/>
        <v>#VALUE!</v>
      </c>
    </row>
    <row r="1135" spans="1:10" ht="12.75" customHeight="1" x14ac:dyDescent="0.15">
      <c r="A1135" s="126">
        <v>37</v>
      </c>
      <c r="B1135" s="25" t="s">
        <v>104</v>
      </c>
      <c r="C1135" s="39" t="s">
        <v>27</v>
      </c>
      <c r="D1135" s="50" t="s">
        <v>27</v>
      </c>
      <c r="E1135" s="28" t="s">
        <v>27</v>
      </c>
      <c r="F1135" s="51" t="s">
        <v>27</v>
      </c>
      <c r="G1135" s="28" t="s">
        <v>27</v>
      </c>
      <c r="H1135" s="55" t="s">
        <v>27</v>
      </c>
      <c r="I1135" s="50">
        <v>61.06775875833339</v>
      </c>
      <c r="J1135" t="e">
        <f t="shared" si="58"/>
        <v>#VALUE!</v>
      </c>
    </row>
    <row r="1136" spans="1:10" ht="12.75" customHeight="1" x14ac:dyDescent="0.15">
      <c r="A1136" s="126">
        <v>38</v>
      </c>
      <c r="B1136" s="25" t="s">
        <v>105</v>
      </c>
      <c r="C1136" s="39" t="s">
        <v>27</v>
      </c>
      <c r="D1136" s="50" t="s">
        <v>27</v>
      </c>
      <c r="E1136" s="28" t="s">
        <v>27</v>
      </c>
      <c r="F1136" s="51" t="s">
        <v>27</v>
      </c>
      <c r="G1136" s="28" t="s">
        <v>27</v>
      </c>
      <c r="H1136" s="55" t="s">
        <v>27</v>
      </c>
      <c r="I1136" s="50">
        <v>60.323377152575297</v>
      </c>
      <c r="J1136" t="e">
        <f t="shared" si="58"/>
        <v>#VALUE!</v>
      </c>
    </row>
    <row r="1137" spans="1:10" ht="12.75" customHeight="1" x14ac:dyDescent="0.15">
      <c r="A1137" s="126">
        <v>39</v>
      </c>
      <c r="B1137" s="25" t="s">
        <v>106</v>
      </c>
      <c r="C1137" s="39" t="s">
        <v>27</v>
      </c>
      <c r="D1137" s="50" t="s">
        <v>27</v>
      </c>
      <c r="E1137" s="28" t="s">
        <v>27</v>
      </c>
      <c r="F1137" s="51" t="s">
        <v>27</v>
      </c>
      <c r="G1137" s="28" t="s">
        <v>27</v>
      </c>
      <c r="H1137" s="55" t="s">
        <v>27</v>
      </c>
      <c r="I1137" s="50">
        <v>52.552244868591423</v>
      </c>
      <c r="J1137" t="e">
        <f t="shared" si="58"/>
        <v>#VALUE!</v>
      </c>
    </row>
    <row r="1138" spans="1:10" ht="12.75" customHeight="1" x14ac:dyDescent="0.15">
      <c r="A1138" s="126">
        <v>40</v>
      </c>
      <c r="B1138" s="25" t="s">
        <v>107</v>
      </c>
      <c r="C1138" s="39" t="s">
        <v>27</v>
      </c>
      <c r="D1138" s="50" t="s">
        <v>27</v>
      </c>
      <c r="E1138" s="28" t="s">
        <v>27</v>
      </c>
      <c r="F1138" s="51" t="s">
        <v>27</v>
      </c>
      <c r="G1138" s="28" t="s">
        <v>27</v>
      </c>
      <c r="H1138" s="55" t="s">
        <v>27</v>
      </c>
      <c r="I1138" s="50">
        <v>58.956417335714264</v>
      </c>
      <c r="J1138" t="e">
        <f t="shared" si="58"/>
        <v>#VALUE!</v>
      </c>
    </row>
    <row r="1139" spans="1:10" ht="12.75" customHeight="1" x14ac:dyDescent="0.15">
      <c r="A1139" s="126">
        <v>41</v>
      </c>
      <c r="B1139" s="25" t="s">
        <v>108</v>
      </c>
      <c r="C1139" s="39" t="s">
        <v>27</v>
      </c>
      <c r="D1139" s="50" t="s">
        <v>27</v>
      </c>
      <c r="E1139" s="28" t="s">
        <v>27</v>
      </c>
      <c r="F1139" s="51" t="s">
        <v>27</v>
      </c>
      <c r="G1139" s="28" t="s">
        <v>27</v>
      </c>
      <c r="H1139" s="55" t="s">
        <v>27</v>
      </c>
      <c r="I1139" s="50">
        <v>60.441143155020875</v>
      </c>
      <c r="J1139" t="e">
        <f t="shared" si="58"/>
        <v>#VALUE!</v>
      </c>
    </row>
    <row r="1140" spans="1:10" ht="12.75" customHeight="1" x14ac:dyDescent="0.15">
      <c r="A1140" s="126">
        <v>42</v>
      </c>
      <c r="B1140" s="25" t="s">
        <v>109</v>
      </c>
      <c r="C1140" s="39" t="s">
        <v>27</v>
      </c>
      <c r="D1140" s="50" t="s">
        <v>27</v>
      </c>
      <c r="E1140" s="28" t="s">
        <v>27</v>
      </c>
      <c r="F1140" s="51" t="s">
        <v>27</v>
      </c>
      <c r="G1140" s="28" t="s">
        <v>27</v>
      </c>
      <c r="H1140" s="55" t="s">
        <v>27</v>
      </c>
      <c r="I1140" s="50">
        <v>60.019100703005471</v>
      </c>
      <c r="J1140" t="e">
        <f t="shared" si="58"/>
        <v>#VALUE!</v>
      </c>
    </row>
    <row r="1141" spans="1:10" ht="12.75" customHeight="1" x14ac:dyDescent="0.15">
      <c r="A1141" s="126">
        <v>43</v>
      </c>
      <c r="B1141" s="25" t="s">
        <v>110</v>
      </c>
      <c r="C1141" s="39" t="s">
        <v>27</v>
      </c>
      <c r="D1141" s="50" t="s">
        <v>27</v>
      </c>
      <c r="E1141" s="28" t="s">
        <v>27</v>
      </c>
      <c r="F1141" s="51" t="s">
        <v>27</v>
      </c>
      <c r="G1141" s="28" t="s">
        <v>27</v>
      </c>
      <c r="H1141" s="55" t="s">
        <v>27</v>
      </c>
      <c r="I1141" s="50">
        <v>52.753525116563601</v>
      </c>
      <c r="J1141" t="e">
        <f t="shared" si="58"/>
        <v>#VALUE!</v>
      </c>
    </row>
    <row r="1142" spans="1:10" ht="12.75" customHeight="1" x14ac:dyDescent="0.15">
      <c r="A1142" s="126">
        <v>44</v>
      </c>
      <c r="B1142" s="25" t="s">
        <v>111</v>
      </c>
      <c r="C1142" s="39" t="s">
        <v>27</v>
      </c>
      <c r="D1142" s="50" t="s">
        <v>27</v>
      </c>
      <c r="E1142" s="28" t="s">
        <v>27</v>
      </c>
      <c r="F1142" s="51" t="s">
        <v>27</v>
      </c>
      <c r="G1142" s="28" t="s">
        <v>27</v>
      </c>
      <c r="H1142" s="55" t="s">
        <v>27</v>
      </c>
      <c r="I1142" s="50">
        <v>60.537405023923625</v>
      </c>
      <c r="J1142" t="e">
        <f t="shared" si="58"/>
        <v>#VALUE!</v>
      </c>
    </row>
    <row r="1143" spans="1:10" ht="12.75" customHeight="1" x14ac:dyDescent="0.15">
      <c r="A1143" s="126">
        <v>45</v>
      </c>
      <c r="B1143" s="25" t="s">
        <v>112</v>
      </c>
      <c r="C1143" s="39" t="s">
        <v>27</v>
      </c>
      <c r="D1143" s="50" t="s">
        <v>27</v>
      </c>
      <c r="E1143" s="28" t="s">
        <v>27</v>
      </c>
      <c r="F1143" s="51" t="s">
        <v>27</v>
      </c>
      <c r="G1143" s="28" t="s">
        <v>27</v>
      </c>
      <c r="H1143" s="55" t="s">
        <v>27</v>
      </c>
      <c r="I1143" s="50">
        <v>58.97785507537175</v>
      </c>
      <c r="J1143" t="e">
        <f t="shared" si="58"/>
        <v>#VALUE!</v>
      </c>
    </row>
    <row r="1144" spans="1:10" ht="12.75" customHeight="1" x14ac:dyDescent="0.15">
      <c r="A1144" s="126">
        <v>46</v>
      </c>
      <c r="B1144" s="25" t="s">
        <v>113</v>
      </c>
      <c r="C1144" s="39" t="s">
        <v>27</v>
      </c>
      <c r="D1144" s="50" t="s">
        <v>27</v>
      </c>
      <c r="E1144" s="28" t="s">
        <v>27</v>
      </c>
      <c r="F1144" s="51" t="s">
        <v>27</v>
      </c>
      <c r="G1144" s="28" t="s">
        <v>27</v>
      </c>
      <c r="H1144" s="55" t="s">
        <v>27</v>
      </c>
      <c r="I1144" s="50">
        <v>58.102414011450158</v>
      </c>
      <c r="J1144" t="e">
        <f t="shared" si="58"/>
        <v>#VALUE!</v>
      </c>
    </row>
    <row r="1145" spans="1:10" ht="12.75" customHeight="1" x14ac:dyDescent="0.15">
      <c r="A1145" s="126">
        <v>47</v>
      </c>
      <c r="B1145" s="25" t="s">
        <v>114</v>
      </c>
      <c r="C1145" s="39" t="s">
        <v>27</v>
      </c>
      <c r="D1145" s="50" t="s">
        <v>27</v>
      </c>
      <c r="E1145" s="28" t="s">
        <v>27</v>
      </c>
      <c r="F1145" s="51" t="s">
        <v>27</v>
      </c>
      <c r="G1145" s="28" t="s">
        <v>27</v>
      </c>
      <c r="H1145" s="55" t="s">
        <v>27</v>
      </c>
      <c r="I1145" s="50">
        <v>60.103360634271141</v>
      </c>
      <c r="J1145" t="e">
        <f t="shared" si="58"/>
        <v>#VALUE!</v>
      </c>
    </row>
    <row r="1146" spans="1:10" ht="12.75" customHeight="1" x14ac:dyDescent="0.15">
      <c r="A1146" s="126">
        <v>48</v>
      </c>
      <c r="B1146" s="25" t="s">
        <v>115</v>
      </c>
      <c r="C1146" s="39" t="s">
        <v>27</v>
      </c>
      <c r="D1146" s="50" t="s">
        <v>27</v>
      </c>
      <c r="E1146" s="28" t="s">
        <v>27</v>
      </c>
      <c r="F1146" s="51" t="s">
        <v>27</v>
      </c>
      <c r="G1146" s="28" t="s">
        <v>27</v>
      </c>
      <c r="H1146" s="55" t="s">
        <v>27</v>
      </c>
      <c r="I1146" s="50">
        <v>61.815249343156488</v>
      </c>
      <c r="J1146" t="e">
        <f t="shared" si="58"/>
        <v>#VALUE!</v>
      </c>
    </row>
    <row r="1147" spans="1:10" ht="12.75" customHeight="1" x14ac:dyDescent="0.15">
      <c r="A1147" s="126">
        <v>49</v>
      </c>
      <c r="B1147" s="25" t="s">
        <v>116</v>
      </c>
      <c r="C1147" s="39" t="s">
        <v>27</v>
      </c>
      <c r="D1147" s="50" t="s">
        <v>27</v>
      </c>
      <c r="E1147" s="28" t="s">
        <v>27</v>
      </c>
      <c r="F1147" s="51" t="s">
        <v>27</v>
      </c>
      <c r="G1147" s="28" t="s">
        <v>27</v>
      </c>
      <c r="H1147" s="55" t="s">
        <v>27</v>
      </c>
      <c r="I1147" s="50">
        <v>58.072261120856297</v>
      </c>
      <c r="J1147" t="e">
        <f t="shared" si="58"/>
        <v>#VALUE!</v>
      </c>
    </row>
    <row r="1148" spans="1:10" ht="12.75" customHeight="1" x14ac:dyDescent="0.15">
      <c r="A1148" s="126">
        <v>50</v>
      </c>
      <c r="B1148" s="25" t="s">
        <v>117</v>
      </c>
      <c r="C1148" s="39" t="s">
        <v>27</v>
      </c>
      <c r="D1148" s="50" t="s">
        <v>27</v>
      </c>
      <c r="E1148" s="28" t="s">
        <v>27</v>
      </c>
      <c r="F1148" s="51" t="s">
        <v>27</v>
      </c>
      <c r="G1148" s="28" t="s">
        <v>27</v>
      </c>
      <c r="H1148" s="55" t="s">
        <v>27</v>
      </c>
      <c r="I1148" s="50">
        <v>63.70435412129796</v>
      </c>
      <c r="J1148" t="e">
        <f t="shared" si="58"/>
        <v>#VALUE!</v>
      </c>
    </row>
    <row r="1149" spans="1:10" ht="12.75" customHeight="1" x14ac:dyDescent="0.15">
      <c r="A1149" s="126">
        <v>51</v>
      </c>
      <c r="B1149" s="25" t="s">
        <v>2</v>
      </c>
      <c r="C1149" s="39" t="s">
        <v>27</v>
      </c>
      <c r="D1149" s="50" t="s">
        <v>27</v>
      </c>
      <c r="E1149" s="28" t="s">
        <v>27</v>
      </c>
      <c r="F1149" s="51" t="s">
        <v>27</v>
      </c>
      <c r="G1149" s="28" t="s">
        <v>27</v>
      </c>
      <c r="H1149" s="55" t="s">
        <v>27</v>
      </c>
      <c r="I1149" s="50">
        <v>61.957858689494955</v>
      </c>
      <c r="J1149" t="e">
        <f t="shared" si="58"/>
        <v>#VALUE!</v>
      </c>
    </row>
    <row r="1150" spans="1:10" ht="12.75" customHeight="1" x14ac:dyDescent="0.15">
      <c r="A1150" s="126">
        <v>52</v>
      </c>
      <c r="B1150" s="25" t="s">
        <v>118</v>
      </c>
      <c r="C1150" s="39" t="s">
        <v>27</v>
      </c>
      <c r="D1150" s="50" t="s">
        <v>27</v>
      </c>
      <c r="E1150" s="28" t="s">
        <v>27</v>
      </c>
      <c r="F1150" s="51" t="s">
        <v>27</v>
      </c>
      <c r="G1150" s="28" t="s">
        <v>27</v>
      </c>
      <c r="H1150" s="55" t="s">
        <v>27</v>
      </c>
      <c r="I1150" s="50">
        <v>58.164371542037706</v>
      </c>
      <c r="J1150" t="e">
        <f t="shared" si="58"/>
        <v>#VALUE!</v>
      </c>
    </row>
    <row r="1151" spans="1:10" ht="12.75" customHeight="1" x14ac:dyDescent="0.15">
      <c r="A1151" s="126">
        <v>53</v>
      </c>
      <c r="B1151" s="25" t="s">
        <v>119</v>
      </c>
      <c r="C1151" s="39" t="s">
        <v>27</v>
      </c>
      <c r="D1151" s="50" t="s">
        <v>27</v>
      </c>
      <c r="E1151" s="28" t="s">
        <v>27</v>
      </c>
      <c r="F1151" s="51" t="s">
        <v>27</v>
      </c>
      <c r="G1151" s="28" t="s">
        <v>27</v>
      </c>
      <c r="H1151" s="55" t="s">
        <v>27</v>
      </c>
      <c r="I1151" s="50">
        <v>61.193036757877024</v>
      </c>
      <c r="J1151" t="e">
        <f t="shared" si="58"/>
        <v>#VALUE!</v>
      </c>
    </row>
    <row r="1152" spans="1:10" ht="12.75" customHeight="1" x14ac:dyDescent="0.15">
      <c r="A1152" s="126">
        <v>54</v>
      </c>
      <c r="B1152" s="25" t="s">
        <v>120</v>
      </c>
      <c r="C1152" s="39" t="s">
        <v>27</v>
      </c>
      <c r="D1152" s="50" t="s">
        <v>27</v>
      </c>
      <c r="E1152" s="28" t="s">
        <v>27</v>
      </c>
      <c r="F1152" s="51" t="s">
        <v>27</v>
      </c>
      <c r="G1152" s="28" t="s">
        <v>27</v>
      </c>
      <c r="H1152" s="55" t="s">
        <v>27</v>
      </c>
      <c r="I1152" s="50">
        <v>59.779423893449362</v>
      </c>
      <c r="J1152" t="e">
        <f t="shared" si="58"/>
        <v>#VALUE!</v>
      </c>
    </row>
    <row r="1153" spans="1:10" ht="12.75" customHeight="1" x14ac:dyDescent="0.15">
      <c r="A1153" s="126">
        <v>55</v>
      </c>
      <c r="B1153" s="25" t="s">
        <v>121</v>
      </c>
      <c r="C1153" s="39" t="s">
        <v>27</v>
      </c>
      <c r="D1153" s="50" t="s">
        <v>27</v>
      </c>
      <c r="E1153" s="28" t="s">
        <v>27</v>
      </c>
      <c r="F1153" s="51" t="s">
        <v>27</v>
      </c>
      <c r="G1153" s="28" t="s">
        <v>27</v>
      </c>
      <c r="H1153" s="55" t="s">
        <v>27</v>
      </c>
      <c r="I1153" s="50">
        <v>58.075391763694661</v>
      </c>
      <c r="J1153" t="e">
        <f t="shared" si="58"/>
        <v>#VALUE!</v>
      </c>
    </row>
    <row r="1154" spans="1:10" ht="12.75" customHeight="1" x14ac:dyDescent="0.15">
      <c r="A1154" s="126">
        <v>56</v>
      </c>
      <c r="B1154" s="25" t="s">
        <v>122</v>
      </c>
      <c r="C1154" s="39" t="s">
        <v>27</v>
      </c>
      <c r="D1154" s="50" t="s">
        <v>27</v>
      </c>
      <c r="E1154" s="28" t="s">
        <v>27</v>
      </c>
      <c r="F1154" s="51" t="s">
        <v>27</v>
      </c>
      <c r="G1154" s="28" t="s">
        <v>27</v>
      </c>
      <c r="H1154" s="55" t="s">
        <v>27</v>
      </c>
      <c r="I1154" s="50">
        <v>52.040401285846315</v>
      </c>
      <c r="J1154" t="e">
        <f t="shared" si="58"/>
        <v>#VALUE!</v>
      </c>
    </row>
    <row r="1155" spans="1:10" ht="12.75" customHeight="1" x14ac:dyDescent="0.15">
      <c r="A1155" s="126">
        <v>57</v>
      </c>
      <c r="B1155" s="25" t="s">
        <v>123</v>
      </c>
      <c r="C1155" s="39" t="s">
        <v>27</v>
      </c>
      <c r="D1155" s="50" t="s">
        <v>27</v>
      </c>
      <c r="E1155" s="28" t="s">
        <v>27</v>
      </c>
      <c r="F1155" s="51" t="s">
        <v>27</v>
      </c>
      <c r="G1155" s="28" t="s">
        <v>27</v>
      </c>
      <c r="H1155" s="55" t="s">
        <v>27</v>
      </c>
      <c r="I1155" s="50">
        <v>60.92476189588745</v>
      </c>
      <c r="J1155" t="e">
        <f t="shared" si="58"/>
        <v>#VALUE!</v>
      </c>
    </row>
    <row r="1156" spans="1:10" ht="12.75" customHeight="1" x14ac:dyDescent="0.15">
      <c r="A1156" s="126">
        <v>58</v>
      </c>
      <c r="B1156" s="25" t="s">
        <v>124</v>
      </c>
      <c r="C1156" s="39" t="s">
        <v>27</v>
      </c>
      <c r="D1156" s="50" t="s">
        <v>27</v>
      </c>
      <c r="E1156" s="28" t="s">
        <v>27</v>
      </c>
      <c r="F1156" s="51" t="s">
        <v>27</v>
      </c>
      <c r="G1156" s="28" t="s">
        <v>27</v>
      </c>
      <c r="H1156" s="55" t="s">
        <v>27</v>
      </c>
      <c r="I1156" s="50">
        <v>65.78038961231853</v>
      </c>
      <c r="J1156" t="e">
        <f t="shared" si="58"/>
        <v>#VALUE!</v>
      </c>
    </row>
    <row r="1157" spans="1:10" ht="12.75" customHeight="1" x14ac:dyDescent="0.15">
      <c r="A1157" s="126">
        <v>59</v>
      </c>
      <c r="B1157" s="25" t="s">
        <v>90</v>
      </c>
      <c r="C1157" s="39" t="s">
        <v>27</v>
      </c>
      <c r="D1157" s="50" t="s">
        <v>27</v>
      </c>
      <c r="E1157" s="28" t="s">
        <v>27</v>
      </c>
      <c r="F1157" s="51" t="s">
        <v>27</v>
      </c>
      <c r="G1157" s="28" t="s">
        <v>27</v>
      </c>
      <c r="H1157" s="55" t="s">
        <v>27</v>
      </c>
      <c r="I1157" s="50">
        <v>61.907068385145138</v>
      </c>
      <c r="J1157" t="e">
        <f t="shared" si="58"/>
        <v>#VALUE!</v>
      </c>
    </row>
    <row r="1158" spans="1:10" ht="12.75" customHeight="1" x14ac:dyDescent="0.15">
      <c r="A1158" s="126">
        <v>60</v>
      </c>
      <c r="B1158" s="25" t="s">
        <v>91</v>
      </c>
      <c r="C1158" s="39" t="s">
        <v>27</v>
      </c>
      <c r="D1158" s="50" t="s">
        <v>27</v>
      </c>
      <c r="E1158" s="28" t="s">
        <v>27</v>
      </c>
      <c r="F1158" s="51" t="s">
        <v>27</v>
      </c>
      <c r="G1158" s="28" t="s">
        <v>27</v>
      </c>
      <c r="H1158" s="55" t="s">
        <v>27</v>
      </c>
      <c r="I1158" s="50">
        <v>58.998742529710171</v>
      </c>
      <c r="J1158" t="e">
        <f t="shared" si="58"/>
        <v>#VALUE!</v>
      </c>
    </row>
    <row r="1159" spans="1:10" ht="12.75" customHeight="1" x14ac:dyDescent="0.15">
      <c r="A1159" s="126">
        <v>61</v>
      </c>
      <c r="B1159" s="25" t="s">
        <v>92</v>
      </c>
      <c r="C1159" s="39">
        <v>9.0866666666666678</v>
      </c>
      <c r="D1159" s="50">
        <v>1.6387410685808623E-3</v>
      </c>
      <c r="E1159" s="28">
        <v>2.4869355672182247E-3</v>
      </c>
      <c r="F1159" s="51">
        <v>6.3286889952153258E-3</v>
      </c>
      <c r="G1159" s="28">
        <v>1.5260001233438002E-3</v>
      </c>
      <c r="H1159" s="55" t="s">
        <v>27</v>
      </c>
      <c r="I1159" s="50">
        <v>65.052027330542359</v>
      </c>
      <c r="J1159">
        <f t="shared" si="58"/>
        <v>1.5114742483773101E-3</v>
      </c>
    </row>
    <row r="1160" spans="1:10" ht="12.75" customHeight="1" x14ac:dyDescent="0.15">
      <c r="A1160" s="126">
        <v>62</v>
      </c>
      <c r="B1160" s="25" t="s">
        <v>93</v>
      </c>
      <c r="C1160" s="39" t="s">
        <v>27</v>
      </c>
      <c r="D1160" s="50" t="s">
        <v>27</v>
      </c>
      <c r="E1160" s="28" t="s">
        <v>27</v>
      </c>
      <c r="F1160" s="51" t="s">
        <v>27</v>
      </c>
      <c r="G1160" s="28" t="s">
        <v>27</v>
      </c>
      <c r="H1160" s="55" t="s">
        <v>27</v>
      </c>
      <c r="I1160" s="50">
        <v>64.573906305479596</v>
      </c>
      <c r="J1160" t="e">
        <f t="shared" si="58"/>
        <v>#VALUE!</v>
      </c>
    </row>
    <row r="1161" spans="1:10" ht="12.75" customHeight="1" x14ac:dyDescent="0.15">
      <c r="A1161" s="126">
        <v>63</v>
      </c>
      <c r="B1161" s="25" t="s">
        <v>94</v>
      </c>
      <c r="C1161" s="39" t="s">
        <v>27</v>
      </c>
      <c r="D1161" s="50" t="s">
        <v>27</v>
      </c>
      <c r="E1161" s="28" t="s">
        <v>27</v>
      </c>
      <c r="F1161" s="51" t="s">
        <v>27</v>
      </c>
      <c r="G1161" s="28" t="s">
        <v>27</v>
      </c>
      <c r="H1161" s="55" t="s">
        <v>27</v>
      </c>
      <c r="I1161" s="50">
        <v>62.46520501934711</v>
      </c>
      <c r="J1161" t="e">
        <f t="shared" si="58"/>
        <v>#VALUE!</v>
      </c>
    </row>
    <row r="1162" spans="1:10" ht="12.75" customHeight="1" x14ac:dyDescent="0.15">
      <c r="A1162" s="126">
        <v>64</v>
      </c>
      <c r="B1162" s="25" t="s">
        <v>95</v>
      </c>
      <c r="C1162" s="39" t="s">
        <v>27</v>
      </c>
      <c r="D1162" s="50" t="s">
        <v>27</v>
      </c>
      <c r="E1162" s="28" t="s">
        <v>27</v>
      </c>
      <c r="F1162" s="51" t="s">
        <v>27</v>
      </c>
      <c r="G1162" s="28" t="s">
        <v>27</v>
      </c>
      <c r="H1162" s="55" t="s">
        <v>27</v>
      </c>
      <c r="I1162" s="50">
        <v>62.758321132945746</v>
      </c>
      <c r="J1162" t="e">
        <f t="shared" si="58"/>
        <v>#VALUE!</v>
      </c>
    </row>
    <row r="1163" spans="1:10" ht="12.75" customHeight="1" x14ac:dyDescent="0.15">
      <c r="A1163" s="126">
        <v>65</v>
      </c>
      <c r="B1163" s="25" t="s">
        <v>96</v>
      </c>
      <c r="C1163" s="39" t="s">
        <v>27</v>
      </c>
      <c r="D1163" s="50" t="s">
        <v>27</v>
      </c>
      <c r="E1163" s="28" t="s">
        <v>27</v>
      </c>
      <c r="F1163" s="51" t="s">
        <v>27</v>
      </c>
      <c r="G1163" s="28" t="s">
        <v>27</v>
      </c>
      <c r="H1163" s="55" t="s">
        <v>27</v>
      </c>
      <c r="I1163" s="50">
        <v>62.755394820370405</v>
      </c>
      <c r="J1163" t="e">
        <f t="shared" si="58"/>
        <v>#VALUE!</v>
      </c>
    </row>
    <row r="1164" spans="1:10" ht="12.75" customHeight="1" x14ac:dyDescent="0.15">
      <c r="A1164" s="126">
        <v>66</v>
      </c>
      <c r="B1164" s="25" t="s">
        <v>97</v>
      </c>
      <c r="C1164" s="39" t="s">
        <v>27</v>
      </c>
      <c r="D1164" s="50" t="s">
        <v>27</v>
      </c>
      <c r="E1164" s="28" t="s">
        <v>27</v>
      </c>
      <c r="F1164" s="51" t="s">
        <v>27</v>
      </c>
      <c r="G1164" s="28" t="s">
        <v>27</v>
      </c>
      <c r="H1164" s="55" t="s">
        <v>27</v>
      </c>
      <c r="I1164" s="50">
        <v>62.128522403784586</v>
      </c>
      <c r="J1164" t="e">
        <f t="shared" si="58"/>
        <v>#VALUE!</v>
      </c>
    </row>
    <row r="1165" spans="1:10" ht="12.75" customHeight="1" x14ac:dyDescent="0.15">
      <c r="A1165" s="126">
        <v>67</v>
      </c>
      <c r="B1165" s="25" t="s">
        <v>98</v>
      </c>
      <c r="C1165" s="39" t="s">
        <v>27</v>
      </c>
      <c r="D1165" s="50" t="s">
        <v>27</v>
      </c>
      <c r="E1165" s="28" t="s">
        <v>27</v>
      </c>
      <c r="F1165" s="51" t="s">
        <v>27</v>
      </c>
      <c r="G1165" s="28" t="s">
        <v>27</v>
      </c>
      <c r="H1165" s="55" t="s">
        <v>27</v>
      </c>
      <c r="I1165" s="50">
        <v>63.037848427118</v>
      </c>
      <c r="J1165" t="e">
        <f t="shared" si="58"/>
        <v>#VALUE!</v>
      </c>
    </row>
    <row r="1166" spans="1:10" ht="12.75" customHeight="1" x14ac:dyDescent="0.15">
      <c r="A1166" s="126">
        <v>68</v>
      </c>
      <c r="B1166" s="25" t="s">
        <v>99</v>
      </c>
      <c r="C1166" s="39" t="s">
        <v>27</v>
      </c>
      <c r="D1166" s="50" t="s">
        <v>27</v>
      </c>
      <c r="E1166" s="28" t="s">
        <v>27</v>
      </c>
      <c r="F1166" s="51" t="s">
        <v>27</v>
      </c>
      <c r="G1166" s="28" t="s">
        <v>27</v>
      </c>
      <c r="H1166" s="55" t="s">
        <v>27</v>
      </c>
      <c r="I1166" s="50">
        <v>66.055330279921179</v>
      </c>
      <c r="J1166" t="e">
        <f t="shared" si="58"/>
        <v>#VALUE!</v>
      </c>
    </row>
    <row r="1167" spans="1:10" ht="12.75" customHeight="1" x14ac:dyDescent="0.15">
      <c r="A1167" s="126">
        <v>69</v>
      </c>
      <c r="B1167" s="25" t="s">
        <v>100</v>
      </c>
      <c r="C1167" s="39" t="s">
        <v>27</v>
      </c>
      <c r="D1167" s="50" t="s">
        <v>27</v>
      </c>
      <c r="E1167" s="28" t="s">
        <v>27</v>
      </c>
      <c r="F1167" s="51" t="s">
        <v>27</v>
      </c>
      <c r="G1167" s="28" t="s">
        <v>27</v>
      </c>
      <c r="H1167" s="55" t="s">
        <v>27</v>
      </c>
      <c r="I1167" s="50">
        <v>64.758887600553138</v>
      </c>
      <c r="J1167" t="e">
        <f t="shared" si="58"/>
        <v>#VALUE!</v>
      </c>
    </row>
    <row r="1168" spans="1:10" ht="12.75" customHeight="1" x14ac:dyDescent="0.15">
      <c r="A1168" s="126">
        <v>70</v>
      </c>
      <c r="B1168" s="25" t="s">
        <v>101</v>
      </c>
      <c r="C1168" s="39" t="s">
        <v>27</v>
      </c>
      <c r="D1168" s="50" t="s">
        <v>27</v>
      </c>
      <c r="E1168" s="28" t="s">
        <v>27</v>
      </c>
      <c r="F1168" s="51" t="s">
        <v>27</v>
      </c>
      <c r="G1168" s="28" t="s">
        <v>27</v>
      </c>
      <c r="H1168" s="55" t="s">
        <v>27</v>
      </c>
      <c r="I1168" s="50">
        <v>56.780021192243112</v>
      </c>
      <c r="J1168" t="e">
        <f t="shared" si="58"/>
        <v>#VALUE!</v>
      </c>
    </row>
    <row r="1169" spans="1:10" ht="12.75" customHeight="1" x14ac:dyDescent="0.15">
      <c r="A1169" s="126">
        <v>71</v>
      </c>
      <c r="B1169" s="25" t="s">
        <v>102</v>
      </c>
      <c r="C1169" s="39" t="s">
        <v>27</v>
      </c>
      <c r="D1169" s="50" t="s">
        <v>27</v>
      </c>
      <c r="E1169" s="28" t="s">
        <v>27</v>
      </c>
      <c r="F1169" s="51" t="s">
        <v>27</v>
      </c>
      <c r="G1169" s="28" t="s">
        <v>27</v>
      </c>
      <c r="H1169" s="55" t="s">
        <v>27</v>
      </c>
      <c r="I1169" s="50">
        <v>60.091059349572056</v>
      </c>
      <c r="J1169" t="e">
        <f t="shared" si="58"/>
        <v>#VALUE!</v>
      </c>
    </row>
    <row r="1170" spans="1:10" ht="12.75" customHeight="1" x14ac:dyDescent="0.15">
      <c r="A1170" s="126">
        <v>72</v>
      </c>
      <c r="B1170" s="25" t="s">
        <v>103</v>
      </c>
      <c r="C1170" s="39" t="s">
        <v>27</v>
      </c>
      <c r="D1170" s="50" t="s">
        <v>27</v>
      </c>
      <c r="E1170" s="28" t="s">
        <v>27</v>
      </c>
      <c r="F1170" s="51" t="s">
        <v>27</v>
      </c>
      <c r="G1170" s="28" t="s">
        <v>27</v>
      </c>
      <c r="H1170" s="55" t="s">
        <v>27</v>
      </c>
      <c r="I1170" s="50">
        <v>60.386845580817003</v>
      </c>
      <c r="J1170" t="e">
        <f t="shared" si="58"/>
        <v>#VALUE!</v>
      </c>
    </row>
    <row r="1171" spans="1:10" ht="12.75" customHeight="1" x14ac:dyDescent="0.15">
      <c r="A1171" s="126">
        <v>73</v>
      </c>
      <c r="B1171" s="25" t="s">
        <v>104</v>
      </c>
      <c r="C1171" s="39" t="s">
        <v>27</v>
      </c>
      <c r="D1171" s="50" t="s">
        <v>27</v>
      </c>
      <c r="E1171" s="28" t="s">
        <v>27</v>
      </c>
      <c r="F1171" s="51" t="s">
        <v>27</v>
      </c>
      <c r="G1171" s="28" t="s">
        <v>27</v>
      </c>
      <c r="H1171" s="55" t="s">
        <v>27</v>
      </c>
      <c r="I1171" s="50">
        <v>60.132023760909121</v>
      </c>
      <c r="J1171" t="e">
        <f t="shared" si="58"/>
        <v>#VALUE!</v>
      </c>
    </row>
    <row r="1172" spans="1:10" ht="12.75" customHeight="1" x14ac:dyDescent="0.15">
      <c r="A1172" s="126">
        <v>74</v>
      </c>
      <c r="B1172" s="25" t="s">
        <v>105</v>
      </c>
      <c r="C1172" s="39" t="s">
        <v>27</v>
      </c>
      <c r="D1172" s="50" t="s">
        <v>27</v>
      </c>
      <c r="E1172" s="28" t="s">
        <v>27</v>
      </c>
      <c r="F1172" s="51" t="s">
        <v>27</v>
      </c>
      <c r="G1172" s="28" t="s">
        <v>27</v>
      </c>
      <c r="H1172" s="55" t="s">
        <v>27</v>
      </c>
      <c r="I1172" s="50">
        <v>59.348811260670658</v>
      </c>
      <c r="J1172" t="e">
        <f t="shared" si="58"/>
        <v>#VALUE!</v>
      </c>
    </row>
    <row r="1173" spans="1:10" ht="12.75" customHeight="1" x14ac:dyDescent="0.15">
      <c r="A1173" s="126">
        <v>75</v>
      </c>
      <c r="B1173" s="25" t="s">
        <v>106</v>
      </c>
      <c r="C1173" s="39" t="s">
        <v>27</v>
      </c>
      <c r="D1173" s="50" t="s">
        <v>27</v>
      </c>
      <c r="E1173" s="28" t="s">
        <v>27</v>
      </c>
      <c r="F1173" s="51" t="s">
        <v>27</v>
      </c>
      <c r="G1173" s="28" t="s">
        <v>27</v>
      </c>
      <c r="H1173" s="55" t="s">
        <v>27</v>
      </c>
      <c r="I1173" s="50">
        <v>59.979412046187214</v>
      </c>
      <c r="J1173" t="e">
        <f t="shared" si="58"/>
        <v>#VALUE!</v>
      </c>
    </row>
    <row r="1174" spans="1:10" ht="12.75" customHeight="1" x14ac:dyDescent="0.15">
      <c r="A1174" s="126">
        <v>76</v>
      </c>
      <c r="B1174" s="25" t="s">
        <v>107</v>
      </c>
      <c r="C1174" s="39" t="s">
        <v>27</v>
      </c>
      <c r="D1174" s="50" t="s">
        <v>27</v>
      </c>
      <c r="E1174" s="28" t="s">
        <v>27</v>
      </c>
      <c r="F1174" s="51" t="s">
        <v>27</v>
      </c>
      <c r="G1174" s="28" t="s">
        <v>27</v>
      </c>
      <c r="H1174" s="55" t="s">
        <v>27</v>
      </c>
      <c r="I1174" s="50">
        <v>58.391022198320663</v>
      </c>
      <c r="J1174" t="e">
        <f t="shared" si="58"/>
        <v>#VALUE!</v>
      </c>
    </row>
    <row r="1175" spans="1:10" ht="12.75" customHeight="1" x14ac:dyDescent="0.15">
      <c r="A1175" s="126">
        <v>77</v>
      </c>
      <c r="B1175" s="25" t="s">
        <v>108</v>
      </c>
      <c r="C1175" s="39" t="s">
        <v>27</v>
      </c>
      <c r="D1175" s="50" t="s">
        <v>27</v>
      </c>
      <c r="E1175" s="28" t="s">
        <v>27</v>
      </c>
      <c r="F1175" s="51" t="s">
        <v>27</v>
      </c>
      <c r="G1175" s="28" t="s">
        <v>27</v>
      </c>
      <c r="H1175" s="55" t="s">
        <v>27</v>
      </c>
      <c r="I1175" s="50">
        <v>58.807311386383006</v>
      </c>
      <c r="J1175" t="e">
        <f t="shared" si="58"/>
        <v>#VALUE!</v>
      </c>
    </row>
    <row r="1176" spans="1:10" ht="12.75" customHeight="1" x14ac:dyDescent="0.15">
      <c r="A1176" s="126">
        <v>78</v>
      </c>
      <c r="B1176" s="25" t="s">
        <v>109</v>
      </c>
      <c r="C1176" s="39" t="s">
        <v>27</v>
      </c>
      <c r="D1176" s="50" t="s">
        <v>27</v>
      </c>
      <c r="E1176" s="28" t="s">
        <v>27</v>
      </c>
      <c r="F1176" s="51" t="s">
        <v>27</v>
      </c>
      <c r="G1176" s="28" t="s">
        <v>27</v>
      </c>
      <c r="H1176" s="55" t="s">
        <v>27</v>
      </c>
      <c r="I1176" s="50">
        <v>61.39769581707143</v>
      </c>
      <c r="J1176" t="e">
        <f t="shared" si="58"/>
        <v>#VALUE!</v>
      </c>
    </row>
    <row r="1177" spans="1:10" ht="12.75" customHeight="1" x14ac:dyDescent="0.15">
      <c r="A1177" s="126">
        <v>79</v>
      </c>
      <c r="B1177" s="25" t="s">
        <v>110</v>
      </c>
      <c r="C1177" s="39" t="s">
        <v>27</v>
      </c>
      <c r="D1177" s="50" t="s">
        <v>27</v>
      </c>
      <c r="E1177" s="28" t="s">
        <v>27</v>
      </c>
      <c r="F1177" s="51" t="s">
        <v>27</v>
      </c>
      <c r="G1177" s="28" t="s">
        <v>27</v>
      </c>
      <c r="H1177" s="55" t="s">
        <v>27</v>
      </c>
      <c r="I1177" s="50">
        <v>57.440453871650085</v>
      </c>
      <c r="J1177" t="e">
        <f t="shared" si="58"/>
        <v>#VALUE!</v>
      </c>
    </row>
    <row r="1178" spans="1:10" ht="12.75" customHeight="1" x14ac:dyDescent="0.15">
      <c r="A1178" s="126">
        <v>80</v>
      </c>
      <c r="B1178" s="25" t="s">
        <v>111</v>
      </c>
      <c r="C1178" s="39" t="s">
        <v>27</v>
      </c>
      <c r="D1178" s="50" t="s">
        <v>27</v>
      </c>
      <c r="E1178" s="28" t="s">
        <v>27</v>
      </c>
      <c r="F1178" s="51" t="s">
        <v>27</v>
      </c>
      <c r="G1178" s="28" t="s">
        <v>27</v>
      </c>
      <c r="H1178" s="55" t="s">
        <v>27</v>
      </c>
      <c r="I1178" s="50">
        <v>56.738615776325759</v>
      </c>
      <c r="J1178" t="e">
        <f t="shared" si="58"/>
        <v>#VALUE!</v>
      </c>
    </row>
    <row r="1179" spans="1:10" ht="12.75" customHeight="1" x14ac:dyDescent="0.15">
      <c r="A1179" s="126">
        <v>81</v>
      </c>
      <c r="B1179" s="25" t="s">
        <v>112</v>
      </c>
      <c r="C1179" s="39" t="s">
        <v>27</v>
      </c>
      <c r="D1179" s="50" t="s">
        <v>27</v>
      </c>
      <c r="E1179" s="28" t="s">
        <v>27</v>
      </c>
      <c r="F1179" s="51" t="s">
        <v>27</v>
      </c>
      <c r="G1179" s="28" t="s">
        <v>27</v>
      </c>
      <c r="H1179" s="55" t="s">
        <v>27</v>
      </c>
      <c r="I1179" s="50">
        <v>60.031309810371532</v>
      </c>
      <c r="J1179" t="e">
        <f t="shared" si="58"/>
        <v>#VALUE!</v>
      </c>
    </row>
    <row r="1180" spans="1:10" ht="12.75" customHeight="1" x14ac:dyDescent="0.15">
      <c r="A1180" s="126">
        <v>82</v>
      </c>
      <c r="B1180" s="25" t="s">
        <v>113</v>
      </c>
      <c r="C1180" s="39">
        <v>9.413333333333334</v>
      </c>
      <c r="D1180" s="50">
        <v>7.1372104559735972E-4</v>
      </c>
      <c r="E1180" s="28">
        <v>1.1123562774747577E-3</v>
      </c>
      <c r="F1180" s="51">
        <v>2.3292547169811995E-3</v>
      </c>
      <c r="G1180" s="28">
        <v>5.764523102388089E-4</v>
      </c>
      <c r="H1180" s="55" t="s">
        <v>27</v>
      </c>
      <c r="I1180" s="50">
        <v>62.979314774190286</v>
      </c>
      <c r="J1180">
        <f t="shared" si="58"/>
        <v>6.7995758431768606E-4</v>
      </c>
    </row>
    <row r="1181" spans="1:10" ht="12.75" customHeight="1" x14ac:dyDescent="0.15">
      <c r="A1181" s="126">
        <v>83</v>
      </c>
      <c r="B1181" s="25" t="s">
        <v>114</v>
      </c>
      <c r="C1181" s="39" t="s">
        <v>27</v>
      </c>
      <c r="D1181" s="50" t="s">
        <v>27</v>
      </c>
      <c r="E1181" s="28" t="s">
        <v>27</v>
      </c>
      <c r="F1181" s="51" t="s">
        <v>27</v>
      </c>
      <c r="G1181" s="28" t="s">
        <v>27</v>
      </c>
      <c r="H1181" s="55" t="s">
        <v>27</v>
      </c>
      <c r="I1181" s="50">
        <v>59.799484012738418</v>
      </c>
      <c r="J1181" t="e">
        <f t="shared" ref="J1181:J1244" si="59">D1181*60/I1181</f>
        <v>#VALUE!</v>
      </c>
    </row>
    <row r="1182" spans="1:10" ht="12.75" customHeight="1" x14ac:dyDescent="0.15">
      <c r="A1182" s="126">
        <v>84</v>
      </c>
      <c r="B1182" s="25" t="s">
        <v>115</v>
      </c>
      <c r="C1182" s="39" t="s">
        <v>27</v>
      </c>
      <c r="D1182" s="50" t="s">
        <v>27</v>
      </c>
      <c r="E1182" s="28" t="s">
        <v>27</v>
      </c>
      <c r="F1182" s="51" t="s">
        <v>27</v>
      </c>
      <c r="G1182" s="28" t="s">
        <v>27</v>
      </c>
      <c r="H1182" s="55" t="s">
        <v>27</v>
      </c>
      <c r="I1182" s="50">
        <v>60.080990143977424</v>
      </c>
      <c r="J1182" t="e">
        <f t="shared" si="59"/>
        <v>#VALUE!</v>
      </c>
    </row>
    <row r="1183" spans="1:10" ht="12.75" customHeight="1" x14ac:dyDescent="0.15">
      <c r="A1183" s="126">
        <v>85</v>
      </c>
      <c r="B1183" s="25" t="s">
        <v>116</v>
      </c>
      <c r="C1183" s="39" t="s">
        <v>27</v>
      </c>
      <c r="D1183" s="50" t="s">
        <v>27</v>
      </c>
      <c r="E1183" s="28" t="s">
        <v>27</v>
      </c>
      <c r="F1183" s="51" t="s">
        <v>27</v>
      </c>
      <c r="G1183" s="28" t="s">
        <v>27</v>
      </c>
      <c r="H1183" s="55" t="s">
        <v>27</v>
      </c>
      <c r="I1183" s="50">
        <v>59.579719599809422</v>
      </c>
      <c r="J1183" t="e">
        <f t="shared" si="59"/>
        <v>#VALUE!</v>
      </c>
    </row>
    <row r="1184" spans="1:10" ht="12.75" customHeight="1" x14ac:dyDescent="0.15">
      <c r="A1184" s="126">
        <v>86</v>
      </c>
      <c r="B1184" s="25" t="s">
        <v>117</v>
      </c>
      <c r="C1184" s="39" t="s">
        <v>27</v>
      </c>
      <c r="D1184" s="50" t="s">
        <v>27</v>
      </c>
      <c r="E1184" s="28" t="s">
        <v>27</v>
      </c>
      <c r="F1184" s="51" t="s">
        <v>27</v>
      </c>
      <c r="G1184" s="28" t="s">
        <v>27</v>
      </c>
      <c r="H1184" s="55" t="s">
        <v>27</v>
      </c>
      <c r="I1184" s="50">
        <v>58.660169888182494</v>
      </c>
      <c r="J1184" t="e">
        <f t="shared" si="59"/>
        <v>#VALUE!</v>
      </c>
    </row>
    <row r="1185" spans="1:10" ht="12.75" customHeight="1" x14ac:dyDescent="0.15">
      <c r="A1185" s="126">
        <v>87</v>
      </c>
      <c r="B1185" s="25" t="s">
        <v>2</v>
      </c>
      <c r="C1185" s="39">
        <v>9.4500000000000011</v>
      </c>
      <c r="D1185" s="50">
        <v>1.0921020766958556E-2</v>
      </c>
      <c r="E1185" s="28">
        <v>1.8274316753067746E-2</v>
      </c>
      <c r="F1185" s="51">
        <v>9.272973451327382E-3</v>
      </c>
      <c r="G1185" s="28">
        <v>2.4388458562043763E-3</v>
      </c>
      <c r="H1185" s="55" t="s">
        <v>27</v>
      </c>
      <c r="I1185" s="50">
        <v>58.797769174159257</v>
      </c>
      <c r="J1185">
        <f t="shared" si="59"/>
        <v>1.1144321548605469E-2</v>
      </c>
    </row>
    <row r="1186" spans="1:10" ht="12.75" customHeight="1" x14ac:dyDescent="0.15">
      <c r="A1186" s="126">
        <v>88</v>
      </c>
      <c r="B1186" s="25" t="s">
        <v>118</v>
      </c>
      <c r="C1186" s="39" t="s">
        <v>27</v>
      </c>
      <c r="D1186" s="50" t="s">
        <v>27</v>
      </c>
      <c r="E1186" s="28" t="s">
        <v>27</v>
      </c>
      <c r="F1186" s="51" t="s">
        <v>27</v>
      </c>
      <c r="G1186" s="28" t="s">
        <v>27</v>
      </c>
      <c r="H1186" s="55" t="s">
        <v>27</v>
      </c>
      <c r="I1186" s="50">
        <v>59.994375533297919</v>
      </c>
      <c r="J1186" t="e">
        <f t="shared" si="59"/>
        <v>#VALUE!</v>
      </c>
    </row>
    <row r="1187" spans="1:10" ht="12.75" customHeight="1" x14ac:dyDescent="0.15">
      <c r="A1187" s="126">
        <v>89</v>
      </c>
      <c r="B1187" s="25" t="s">
        <v>119</v>
      </c>
      <c r="C1187" s="39" t="s">
        <v>27</v>
      </c>
      <c r="D1187" s="50" t="s">
        <v>27</v>
      </c>
      <c r="E1187" s="28" t="s">
        <v>27</v>
      </c>
      <c r="F1187" s="51" t="s">
        <v>27</v>
      </c>
      <c r="G1187" s="28" t="s">
        <v>27</v>
      </c>
      <c r="H1187" s="55" t="s">
        <v>27</v>
      </c>
      <c r="I1187" s="50">
        <v>61.126993004705206</v>
      </c>
      <c r="J1187" t="e">
        <f t="shared" si="59"/>
        <v>#VALUE!</v>
      </c>
    </row>
    <row r="1188" spans="1:10" ht="12.75" customHeight="1" x14ac:dyDescent="0.15">
      <c r="A1188" s="126">
        <v>90</v>
      </c>
      <c r="B1188" s="25" t="s">
        <v>120</v>
      </c>
      <c r="C1188" s="39" t="s">
        <v>27</v>
      </c>
      <c r="D1188" s="50" t="s">
        <v>27</v>
      </c>
      <c r="E1188" s="28" t="s">
        <v>27</v>
      </c>
      <c r="F1188" s="51" t="s">
        <v>27</v>
      </c>
      <c r="G1188" s="28" t="s">
        <v>27</v>
      </c>
      <c r="H1188" s="55" t="s">
        <v>27</v>
      </c>
      <c r="I1188" s="50">
        <v>62.176815164923703</v>
      </c>
      <c r="J1188" t="e">
        <f t="shared" si="59"/>
        <v>#VALUE!</v>
      </c>
    </row>
    <row r="1189" spans="1:10" ht="12.75" customHeight="1" x14ac:dyDescent="0.15">
      <c r="A1189" s="126">
        <v>91</v>
      </c>
      <c r="B1189" s="25" t="s">
        <v>121</v>
      </c>
      <c r="C1189" s="39" t="s">
        <v>27</v>
      </c>
      <c r="D1189" s="50" t="s">
        <v>27</v>
      </c>
      <c r="E1189" s="28" t="s">
        <v>27</v>
      </c>
      <c r="F1189" s="51" t="s">
        <v>27</v>
      </c>
      <c r="G1189" s="28" t="s">
        <v>27</v>
      </c>
      <c r="H1189" s="55" t="s">
        <v>27</v>
      </c>
      <c r="I1189" s="50">
        <v>55.484828354972052</v>
      </c>
      <c r="J1189" t="e">
        <f t="shared" si="59"/>
        <v>#VALUE!</v>
      </c>
    </row>
    <row r="1190" spans="1:10" ht="12.75" customHeight="1" x14ac:dyDescent="0.15">
      <c r="A1190" s="126">
        <v>92</v>
      </c>
      <c r="B1190" s="25" t="s">
        <v>122</v>
      </c>
      <c r="C1190" s="39" t="s">
        <v>27</v>
      </c>
      <c r="D1190" s="50" t="s">
        <v>27</v>
      </c>
      <c r="E1190" s="28" t="s">
        <v>27</v>
      </c>
      <c r="F1190" s="51" t="s">
        <v>27</v>
      </c>
      <c r="G1190" s="28" t="s">
        <v>27</v>
      </c>
      <c r="H1190" s="55" t="s">
        <v>27</v>
      </c>
      <c r="I1190" s="50">
        <v>60.682131420672214</v>
      </c>
      <c r="J1190" t="e">
        <f t="shared" si="59"/>
        <v>#VALUE!</v>
      </c>
    </row>
    <row r="1191" spans="1:10" ht="12.75" customHeight="1" x14ac:dyDescent="0.15">
      <c r="A1191" s="126">
        <v>93</v>
      </c>
      <c r="B1191" s="25" t="s">
        <v>123</v>
      </c>
      <c r="C1191" s="39" t="s">
        <v>27</v>
      </c>
      <c r="D1191" s="50" t="s">
        <v>27</v>
      </c>
      <c r="E1191" s="28" t="s">
        <v>27</v>
      </c>
      <c r="F1191" s="51" t="s">
        <v>27</v>
      </c>
      <c r="G1191" s="28" t="s">
        <v>27</v>
      </c>
      <c r="H1191" s="55" t="s">
        <v>27</v>
      </c>
      <c r="I1191" s="50">
        <v>61.040575735409782</v>
      </c>
      <c r="J1191" t="e">
        <f t="shared" si="59"/>
        <v>#VALUE!</v>
      </c>
    </row>
    <row r="1192" spans="1:10" ht="12.75" customHeight="1" x14ac:dyDescent="0.15">
      <c r="A1192" s="126">
        <v>94</v>
      </c>
      <c r="B1192" s="25" t="s">
        <v>125</v>
      </c>
      <c r="C1192" s="39" t="s">
        <v>27</v>
      </c>
      <c r="D1192" s="50" t="s">
        <v>27</v>
      </c>
      <c r="E1192" s="28" t="s">
        <v>27</v>
      </c>
      <c r="F1192" s="51" t="s">
        <v>27</v>
      </c>
      <c r="G1192" s="28" t="s">
        <v>27</v>
      </c>
      <c r="H1192" s="55" t="s">
        <v>27</v>
      </c>
      <c r="I1192" s="50">
        <v>68.187503026666704</v>
      </c>
      <c r="J1192" t="e">
        <f t="shared" si="59"/>
        <v>#VALUE!</v>
      </c>
    </row>
    <row r="1193" spans="1:10" ht="12.75" customHeight="1" x14ac:dyDescent="0.15">
      <c r="A1193" s="126">
        <v>95</v>
      </c>
      <c r="B1193" s="25" t="s">
        <v>126</v>
      </c>
      <c r="C1193" s="39">
        <v>9.4366666666666674</v>
      </c>
      <c r="D1193" s="50">
        <v>1.1688879097472515E-2</v>
      </c>
      <c r="E1193" s="28">
        <v>1.7691076070528153E-2</v>
      </c>
      <c r="F1193" s="51">
        <v>1.0649660649819426E-2</v>
      </c>
      <c r="G1193" s="28">
        <v>2.5512911256029497E-3</v>
      </c>
      <c r="H1193" s="55" t="s">
        <v>27</v>
      </c>
      <c r="I1193" s="50">
        <v>64.91833024007218</v>
      </c>
      <c r="J1193">
        <f t="shared" si="59"/>
        <v>1.0803308453171501E-2</v>
      </c>
    </row>
    <row r="1194" spans="1:10" ht="12.75" customHeight="1" x14ac:dyDescent="0.15">
      <c r="A1194" s="126">
        <v>96</v>
      </c>
      <c r="B1194" s="25" t="s">
        <v>85</v>
      </c>
      <c r="C1194" s="39" t="s">
        <v>27</v>
      </c>
      <c r="D1194" s="50" t="s">
        <v>27</v>
      </c>
      <c r="E1194" s="28" t="s">
        <v>27</v>
      </c>
      <c r="F1194" s="51" t="s">
        <v>27</v>
      </c>
      <c r="G1194" s="28" t="s">
        <v>27</v>
      </c>
      <c r="H1194" s="55" t="s">
        <v>27</v>
      </c>
      <c r="I1194" s="50">
        <v>4.7912273660913218E-2</v>
      </c>
      <c r="J1194" t="e">
        <f t="shared" si="59"/>
        <v>#VALUE!</v>
      </c>
    </row>
    <row r="1195" spans="1:10" ht="12.75" customHeight="1" x14ac:dyDescent="0.15">
      <c r="A1195" s="126">
        <v>97</v>
      </c>
      <c r="B1195" s="25" t="s">
        <v>85</v>
      </c>
      <c r="C1195" s="39" t="s">
        <v>27</v>
      </c>
      <c r="D1195" s="50" t="s">
        <v>27</v>
      </c>
      <c r="E1195" s="28" t="s">
        <v>27</v>
      </c>
      <c r="F1195" s="51" t="s">
        <v>27</v>
      </c>
      <c r="G1195" s="28" t="s">
        <v>27</v>
      </c>
      <c r="H1195" s="55" t="s">
        <v>27</v>
      </c>
      <c r="I1195" s="50">
        <v>4.2384752959074734E-2</v>
      </c>
      <c r="J1195" t="e">
        <f t="shared" si="59"/>
        <v>#VALUE!</v>
      </c>
    </row>
    <row r="1196" spans="1:10" ht="12.75" customHeight="1" x14ac:dyDescent="0.15">
      <c r="A1196" s="126">
        <v>98</v>
      </c>
      <c r="B1196" s="25" t="s">
        <v>85</v>
      </c>
      <c r="C1196" s="39" t="s">
        <v>27</v>
      </c>
      <c r="D1196" s="50" t="s">
        <v>27</v>
      </c>
      <c r="E1196" s="28" t="s">
        <v>27</v>
      </c>
      <c r="F1196" s="51" t="s">
        <v>27</v>
      </c>
      <c r="G1196" s="28" t="s">
        <v>27</v>
      </c>
      <c r="H1196" s="55" t="s">
        <v>27</v>
      </c>
      <c r="I1196" s="50">
        <v>0.15383328163172283</v>
      </c>
      <c r="J1196" t="e">
        <f t="shared" si="59"/>
        <v>#VALUE!</v>
      </c>
    </row>
    <row r="1197" spans="1:10" ht="12.75" customHeight="1" x14ac:dyDescent="0.15">
      <c r="A1197" s="126">
        <v>99</v>
      </c>
      <c r="B1197" s="25" t="s">
        <v>85</v>
      </c>
      <c r="C1197" s="39" t="s">
        <v>27</v>
      </c>
      <c r="D1197" s="50" t="s">
        <v>27</v>
      </c>
      <c r="E1197" s="28" t="s">
        <v>27</v>
      </c>
      <c r="F1197" s="51" t="s">
        <v>27</v>
      </c>
      <c r="G1197" s="28" t="s">
        <v>27</v>
      </c>
      <c r="H1197" s="55" t="s">
        <v>27</v>
      </c>
      <c r="I1197" s="50">
        <v>0.4038991018443201</v>
      </c>
      <c r="J1197" t="e">
        <f t="shared" si="59"/>
        <v>#VALUE!</v>
      </c>
    </row>
    <row r="1198" spans="1:10" ht="12.75" customHeight="1" x14ac:dyDescent="0.15">
      <c r="A1198" s="126">
        <v>100</v>
      </c>
      <c r="B1198" s="25" t="s">
        <v>127</v>
      </c>
      <c r="C1198" s="39" t="s">
        <v>27</v>
      </c>
      <c r="D1198" s="50" t="s">
        <v>27</v>
      </c>
      <c r="E1198" s="28" t="s">
        <v>27</v>
      </c>
      <c r="F1198" s="51" t="s">
        <v>27</v>
      </c>
      <c r="G1198" s="28" t="s">
        <v>27</v>
      </c>
      <c r="H1198" s="55" t="s">
        <v>27</v>
      </c>
      <c r="I1198" s="50">
        <v>72.528602379227749</v>
      </c>
      <c r="J1198" t="e">
        <f t="shared" si="59"/>
        <v>#VALUE!</v>
      </c>
    </row>
    <row r="1199" spans="1:10" ht="12.75" customHeight="1" x14ac:dyDescent="0.15">
      <c r="A1199" s="126">
        <v>101</v>
      </c>
      <c r="B1199" s="25" t="s">
        <v>90</v>
      </c>
      <c r="C1199" s="39" t="s">
        <v>27</v>
      </c>
      <c r="D1199" s="50" t="s">
        <v>27</v>
      </c>
      <c r="E1199" s="28" t="s">
        <v>27</v>
      </c>
      <c r="F1199" s="51" t="s">
        <v>27</v>
      </c>
      <c r="G1199" s="28" t="s">
        <v>27</v>
      </c>
      <c r="H1199" s="55" t="s">
        <v>27</v>
      </c>
      <c r="I1199" s="50">
        <v>65.189621435077129</v>
      </c>
      <c r="J1199" t="e">
        <f t="shared" si="59"/>
        <v>#VALUE!</v>
      </c>
    </row>
    <row r="1200" spans="1:10" ht="12.75" customHeight="1" x14ac:dyDescent="0.15">
      <c r="A1200" s="126">
        <v>102</v>
      </c>
      <c r="B1200" s="25" t="s">
        <v>91</v>
      </c>
      <c r="C1200" s="39" t="s">
        <v>27</v>
      </c>
      <c r="D1200" s="50" t="s">
        <v>27</v>
      </c>
      <c r="E1200" s="28" t="s">
        <v>27</v>
      </c>
      <c r="F1200" s="51" t="s">
        <v>27</v>
      </c>
      <c r="G1200" s="28" t="s">
        <v>27</v>
      </c>
      <c r="H1200" s="55" t="s">
        <v>27</v>
      </c>
      <c r="I1200" s="50">
        <v>63.049454443403043</v>
      </c>
      <c r="J1200" t="e">
        <f t="shared" si="59"/>
        <v>#VALUE!</v>
      </c>
    </row>
    <row r="1201" spans="1:10" ht="12.75" customHeight="1" x14ac:dyDescent="0.15">
      <c r="A1201" s="126">
        <v>103</v>
      </c>
      <c r="B1201" s="25" t="s">
        <v>92</v>
      </c>
      <c r="C1201" s="39">
        <v>9.1133333333333333</v>
      </c>
      <c r="D1201" s="50">
        <v>4.1847326801389695E-3</v>
      </c>
      <c r="E1201" s="28">
        <v>6.372042679149272E-3</v>
      </c>
      <c r="F1201" s="51">
        <v>1.5820808328230185E-2</v>
      </c>
      <c r="G1201" s="28">
        <v>3.8085109688722916E-3</v>
      </c>
      <c r="H1201" s="55" t="s">
        <v>27</v>
      </c>
      <c r="I1201" s="50">
        <v>64.751162166727894</v>
      </c>
      <c r="J1201">
        <f t="shared" si="59"/>
        <v>3.8776749699383248E-3</v>
      </c>
    </row>
    <row r="1202" spans="1:10" ht="12.75" customHeight="1" x14ac:dyDescent="0.15">
      <c r="A1202" s="126">
        <v>104</v>
      </c>
      <c r="B1202" s="25" t="s">
        <v>93</v>
      </c>
      <c r="C1202" s="39" t="s">
        <v>27</v>
      </c>
      <c r="D1202" s="50" t="s">
        <v>27</v>
      </c>
      <c r="E1202" s="28" t="s">
        <v>27</v>
      </c>
      <c r="F1202" s="51" t="s">
        <v>27</v>
      </c>
      <c r="G1202" s="28" t="s">
        <v>27</v>
      </c>
      <c r="H1202" s="55" t="s">
        <v>27</v>
      </c>
      <c r="I1202" s="50">
        <v>62.68294141354761</v>
      </c>
      <c r="J1202" t="e">
        <f t="shared" si="59"/>
        <v>#VALUE!</v>
      </c>
    </row>
    <row r="1203" spans="1:10" ht="12.75" customHeight="1" x14ac:dyDescent="0.15">
      <c r="A1203" s="126">
        <v>105</v>
      </c>
      <c r="B1203" s="25" t="s">
        <v>94</v>
      </c>
      <c r="C1203" s="39" t="s">
        <v>27</v>
      </c>
      <c r="D1203" s="50" t="s">
        <v>27</v>
      </c>
      <c r="E1203" s="28" t="s">
        <v>27</v>
      </c>
      <c r="F1203" s="51" t="s">
        <v>27</v>
      </c>
      <c r="G1203" s="28" t="s">
        <v>27</v>
      </c>
      <c r="H1203" s="55" t="s">
        <v>27</v>
      </c>
      <c r="I1203" s="50">
        <v>63.563630264790291</v>
      </c>
      <c r="J1203" t="e">
        <f t="shared" si="59"/>
        <v>#VALUE!</v>
      </c>
    </row>
    <row r="1204" spans="1:10" ht="12.75" customHeight="1" x14ac:dyDescent="0.15">
      <c r="A1204" s="126">
        <v>106</v>
      </c>
      <c r="B1204" s="25" t="s">
        <v>95</v>
      </c>
      <c r="C1204" s="39" t="s">
        <v>27</v>
      </c>
      <c r="D1204" s="50" t="s">
        <v>27</v>
      </c>
      <c r="E1204" s="28" t="s">
        <v>27</v>
      </c>
      <c r="F1204" s="51" t="s">
        <v>27</v>
      </c>
      <c r="G1204" s="28" t="s">
        <v>27</v>
      </c>
      <c r="H1204" s="55" t="s">
        <v>27</v>
      </c>
      <c r="I1204" s="50">
        <v>61.808598238098114</v>
      </c>
      <c r="J1204" t="e">
        <f t="shared" si="59"/>
        <v>#VALUE!</v>
      </c>
    </row>
    <row r="1205" spans="1:10" ht="12.75" customHeight="1" x14ac:dyDescent="0.15">
      <c r="A1205" s="126">
        <v>107</v>
      </c>
      <c r="B1205" s="25" t="s">
        <v>96</v>
      </c>
      <c r="C1205" s="39" t="s">
        <v>27</v>
      </c>
      <c r="D1205" s="50" t="s">
        <v>27</v>
      </c>
      <c r="E1205" s="28" t="s">
        <v>27</v>
      </c>
      <c r="F1205" s="51" t="s">
        <v>27</v>
      </c>
      <c r="G1205" s="28" t="s">
        <v>27</v>
      </c>
      <c r="H1205" s="55" t="s">
        <v>27</v>
      </c>
      <c r="I1205" s="50">
        <v>62.479177663466629</v>
      </c>
      <c r="J1205" t="e">
        <f t="shared" si="59"/>
        <v>#VALUE!</v>
      </c>
    </row>
    <row r="1206" spans="1:10" ht="12.75" customHeight="1" x14ac:dyDescent="0.15">
      <c r="A1206" s="126">
        <v>108</v>
      </c>
      <c r="B1206" s="25" t="s">
        <v>97</v>
      </c>
      <c r="C1206" s="39" t="s">
        <v>27</v>
      </c>
      <c r="D1206" s="50" t="s">
        <v>27</v>
      </c>
      <c r="E1206" s="28" t="s">
        <v>27</v>
      </c>
      <c r="F1206" s="51" t="s">
        <v>27</v>
      </c>
      <c r="G1206" s="28" t="s">
        <v>27</v>
      </c>
      <c r="H1206" s="55" t="s">
        <v>27</v>
      </c>
      <c r="I1206" s="50">
        <v>61.138778907283374</v>
      </c>
      <c r="J1206" t="e">
        <f t="shared" si="59"/>
        <v>#VALUE!</v>
      </c>
    </row>
    <row r="1207" spans="1:10" ht="12.75" customHeight="1" x14ac:dyDescent="0.15">
      <c r="A1207" s="126">
        <v>109</v>
      </c>
      <c r="B1207" s="25" t="s">
        <v>98</v>
      </c>
      <c r="C1207" s="39" t="s">
        <v>27</v>
      </c>
      <c r="D1207" s="50" t="s">
        <v>27</v>
      </c>
      <c r="E1207" s="28" t="s">
        <v>27</v>
      </c>
      <c r="F1207" s="51" t="s">
        <v>27</v>
      </c>
      <c r="G1207" s="28" t="s">
        <v>27</v>
      </c>
      <c r="H1207" s="55" t="s">
        <v>27</v>
      </c>
      <c r="I1207" s="50">
        <v>62.069148476412423</v>
      </c>
      <c r="J1207" t="e">
        <f t="shared" si="59"/>
        <v>#VALUE!</v>
      </c>
    </row>
    <row r="1208" spans="1:10" ht="12.75" customHeight="1" x14ac:dyDescent="0.15">
      <c r="A1208" s="126">
        <v>110</v>
      </c>
      <c r="B1208" s="25" t="s">
        <v>99</v>
      </c>
      <c r="C1208" s="39" t="s">
        <v>27</v>
      </c>
      <c r="D1208" s="50" t="s">
        <v>27</v>
      </c>
      <c r="E1208" s="28" t="s">
        <v>27</v>
      </c>
      <c r="F1208" s="51" t="s">
        <v>27</v>
      </c>
      <c r="G1208" s="28" t="s">
        <v>27</v>
      </c>
      <c r="H1208" s="55" t="s">
        <v>27</v>
      </c>
      <c r="I1208" s="50">
        <v>62.328627549857508</v>
      </c>
      <c r="J1208" t="e">
        <f t="shared" si="59"/>
        <v>#VALUE!</v>
      </c>
    </row>
    <row r="1209" spans="1:10" ht="12.75" customHeight="1" x14ac:dyDescent="0.15">
      <c r="A1209" s="126">
        <v>111</v>
      </c>
      <c r="B1209" s="25" t="s">
        <v>100</v>
      </c>
      <c r="C1209" s="39" t="s">
        <v>27</v>
      </c>
      <c r="D1209" s="50" t="s">
        <v>27</v>
      </c>
      <c r="E1209" s="28" t="s">
        <v>27</v>
      </c>
      <c r="F1209" s="51" t="s">
        <v>27</v>
      </c>
      <c r="G1209" s="28" t="s">
        <v>27</v>
      </c>
      <c r="H1209" s="55" t="s">
        <v>27</v>
      </c>
      <c r="I1209" s="50">
        <v>63.186515348977927</v>
      </c>
      <c r="J1209" t="e">
        <f t="shared" si="59"/>
        <v>#VALUE!</v>
      </c>
    </row>
    <row r="1210" spans="1:10" ht="12.75" customHeight="1" x14ac:dyDescent="0.15">
      <c r="A1210" s="126">
        <v>112</v>
      </c>
      <c r="B1210" s="25" t="s">
        <v>101</v>
      </c>
      <c r="C1210" s="39" t="s">
        <v>27</v>
      </c>
      <c r="D1210" s="50" t="s">
        <v>27</v>
      </c>
      <c r="E1210" s="28" t="s">
        <v>27</v>
      </c>
      <c r="F1210" s="51" t="s">
        <v>27</v>
      </c>
      <c r="G1210" s="28" t="s">
        <v>27</v>
      </c>
      <c r="H1210" s="55" t="s">
        <v>27</v>
      </c>
      <c r="I1210" s="50">
        <v>58.798614919514108</v>
      </c>
      <c r="J1210" t="e">
        <f t="shared" si="59"/>
        <v>#VALUE!</v>
      </c>
    </row>
    <row r="1211" spans="1:10" ht="12.75" customHeight="1" x14ac:dyDescent="0.15">
      <c r="A1211" s="126">
        <v>113</v>
      </c>
      <c r="B1211" s="25" t="s">
        <v>102</v>
      </c>
      <c r="C1211" s="39" t="s">
        <v>27</v>
      </c>
      <c r="D1211" s="50" t="s">
        <v>27</v>
      </c>
      <c r="E1211" s="28" t="s">
        <v>27</v>
      </c>
      <c r="F1211" s="51" t="s">
        <v>27</v>
      </c>
      <c r="G1211" s="28" t="s">
        <v>27</v>
      </c>
      <c r="H1211" s="55" t="s">
        <v>27</v>
      </c>
      <c r="I1211" s="50">
        <v>59.009617148523198</v>
      </c>
      <c r="J1211" t="e">
        <f t="shared" si="59"/>
        <v>#VALUE!</v>
      </c>
    </row>
    <row r="1212" spans="1:10" ht="12.75" customHeight="1" x14ac:dyDescent="0.15">
      <c r="A1212" s="126">
        <v>114</v>
      </c>
      <c r="B1212" s="25" t="s">
        <v>103</v>
      </c>
      <c r="C1212" s="39" t="s">
        <v>27</v>
      </c>
      <c r="D1212" s="50" t="s">
        <v>27</v>
      </c>
      <c r="E1212" s="28" t="s">
        <v>27</v>
      </c>
      <c r="F1212" s="51" t="s">
        <v>27</v>
      </c>
      <c r="G1212" s="28" t="s">
        <v>27</v>
      </c>
      <c r="H1212" s="55" t="s">
        <v>27</v>
      </c>
      <c r="I1212" s="50">
        <v>57.328802262839211</v>
      </c>
      <c r="J1212" t="e">
        <f t="shared" si="59"/>
        <v>#VALUE!</v>
      </c>
    </row>
    <row r="1213" spans="1:10" ht="12.75" customHeight="1" x14ac:dyDescent="0.15">
      <c r="A1213" s="126">
        <v>115</v>
      </c>
      <c r="B1213" s="25" t="s">
        <v>104</v>
      </c>
      <c r="C1213" s="39" t="s">
        <v>27</v>
      </c>
      <c r="D1213" s="50" t="s">
        <v>27</v>
      </c>
      <c r="E1213" s="28" t="s">
        <v>27</v>
      </c>
      <c r="F1213" s="51" t="s">
        <v>27</v>
      </c>
      <c r="G1213" s="28" t="s">
        <v>27</v>
      </c>
      <c r="H1213" s="55" t="s">
        <v>27</v>
      </c>
      <c r="I1213" s="50">
        <v>59.90720697599388</v>
      </c>
      <c r="J1213" t="e">
        <f t="shared" si="59"/>
        <v>#VALUE!</v>
      </c>
    </row>
    <row r="1214" spans="1:10" ht="12.75" customHeight="1" x14ac:dyDescent="0.15">
      <c r="A1214" s="126">
        <v>116</v>
      </c>
      <c r="B1214" s="25" t="s">
        <v>105</v>
      </c>
      <c r="C1214" s="39" t="s">
        <v>27</v>
      </c>
      <c r="D1214" s="50" t="s">
        <v>27</v>
      </c>
      <c r="E1214" s="28" t="s">
        <v>27</v>
      </c>
      <c r="F1214" s="51" t="s">
        <v>27</v>
      </c>
      <c r="G1214" s="28" t="s">
        <v>27</v>
      </c>
      <c r="H1214" s="55" t="s">
        <v>27</v>
      </c>
      <c r="I1214" s="50">
        <v>58.248754310844475</v>
      </c>
      <c r="J1214" t="e">
        <f t="shared" si="59"/>
        <v>#VALUE!</v>
      </c>
    </row>
    <row r="1215" spans="1:10" ht="12.75" customHeight="1" x14ac:dyDescent="0.15">
      <c r="A1215" s="126">
        <v>117</v>
      </c>
      <c r="B1215" s="25" t="s">
        <v>106</v>
      </c>
      <c r="C1215" s="39" t="s">
        <v>27</v>
      </c>
      <c r="D1215" s="50" t="s">
        <v>27</v>
      </c>
      <c r="E1215" s="28" t="s">
        <v>27</v>
      </c>
      <c r="F1215" s="51" t="s">
        <v>27</v>
      </c>
      <c r="G1215" s="28" t="s">
        <v>27</v>
      </c>
      <c r="H1215" s="55" t="s">
        <v>27</v>
      </c>
      <c r="I1215" s="50">
        <v>61.378396839106351</v>
      </c>
      <c r="J1215" t="e">
        <f t="shared" si="59"/>
        <v>#VALUE!</v>
      </c>
    </row>
    <row r="1216" spans="1:10" ht="12.75" customHeight="1" x14ac:dyDescent="0.15">
      <c r="A1216" s="126">
        <v>118</v>
      </c>
      <c r="B1216" s="25" t="s">
        <v>107</v>
      </c>
      <c r="C1216" s="39" t="s">
        <v>27</v>
      </c>
      <c r="D1216" s="50" t="s">
        <v>27</v>
      </c>
      <c r="E1216" s="28" t="s">
        <v>27</v>
      </c>
      <c r="F1216" s="51" t="s">
        <v>27</v>
      </c>
      <c r="G1216" s="28" t="s">
        <v>27</v>
      </c>
      <c r="H1216" s="55" t="s">
        <v>27</v>
      </c>
      <c r="I1216" s="50">
        <v>59.428621547056991</v>
      </c>
      <c r="J1216" t="e">
        <f t="shared" si="59"/>
        <v>#VALUE!</v>
      </c>
    </row>
    <row r="1217" spans="1:10" ht="12.75" customHeight="1" x14ac:dyDescent="0.15">
      <c r="A1217" s="126">
        <v>119</v>
      </c>
      <c r="B1217" s="25" t="s">
        <v>108</v>
      </c>
      <c r="C1217" s="39" t="s">
        <v>27</v>
      </c>
      <c r="D1217" s="50" t="s">
        <v>27</v>
      </c>
      <c r="E1217" s="28" t="s">
        <v>27</v>
      </c>
      <c r="F1217" s="51" t="s">
        <v>27</v>
      </c>
      <c r="G1217" s="28" t="s">
        <v>27</v>
      </c>
      <c r="H1217" s="55" t="s">
        <v>27</v>
      </c>
      <c r="I1217" s="50">
        <v>59.93522948004108</v>
      </c>
      <c r="J1217" t="e">
        <f t="shared" si="59"/>
        <v>#VALUE!</v>
      </c>
    </row>
    <row r="1218" spans="1:10" ht="12.75" customHeight="1" x14ac:dyDescent="0.15">
      <c r="A1218" s="126">
        <v>120</v>
      </c>
      <c r="B1218" s="25" t="s">
        <v>109</v>
      </c>
      <c r="C1218" s="39" t="s">
        <v>27</v>
      </c>
      <c r="D1218" s="50" t="s">
        <v>27</v>
      </c>
      <c r="E1218" s="28" t="s">
        <v>27</v>
      </c>
      <c r="F1218" s="51" t="s">
        <v>27</v>
      </c>
      <c r="G1218" s="28" t="s">
        <v>27</v>
      </c>
      <c r="H1218" s="55" t="s">
        <v>27</v>
      </c>
      <c r="I1218" s="50">
        <v>59.554015054556189</v>
      </c>
      <c r="J1218" t="e">
        <f t="shared" si="59"/>
        <v>#VALUE!</v>
      </c>
    </row>
    <row r="1219" spans="1:10" ht="12.75" customHeight="1" x14ac:dyDescent="0.15">
      <c r="A1219" s="126">
        <v>121</v>
      </c>
      <c r="B1219" s="25" t="s">
        <v>110</v>
      </c>
      <c r="C1219" s="39" t="s">
        <v>27</v>
      </c>
      <c r="D1219" s="50" t="s">
        <v>27</v>
      </c>
      <c r="E1219" s="28" t="s">
        <v>27</v>
      </c>
      <c r="F1219" s="51" t="s">
        <v>27</v>
      </c>
      <c r="G1219" s="28" t="s">
        <v>27</v>
      </c>
      <c r="H1219" s="55" t="s">
        <v>27</v>
      </c>
      <c r="I1219" s="50">
        <v>63.662097994377888</v>
      </c>
      <c r="J1219" t="e">
        <f t="shared" si="59"/>
        <v>#VALUE!</v>
      </c>
    </row>
    <row r="1220" spans="1:10" ht="12.75" customHeight="1" x14ac:dyDescent="0.15">
      <c r="A1220" s="126">
        <v>122</v>
      </c>
      <c r="B1220" s="25" t="s">
        <v>111</v>
      </c>
      <c r="C1220" s="39" t="s">
        <v>27</v>
      </c>
      <c r="D1220" s="50" t="s">
        <v>27</v>
      </c>
      <c r="E1220" s="28" t="s">
        <v>27</v>
      </c>
      <c r="F1220" s="51" t="s">
        <v>27</v>
      </c>
      <c r="G1220" s="28" t="s">
        <v>27</v>
      </c>
      <c r="H1220" s="55" t="s">
        <v>27</v>
      </c>
      <c r="I1220" s="50">
        <v>64.808927823086563</v>
      </c>
      <c r="J1220" t="e">
        <f t="shared" si="59"/>
        <v>#VALUE!</v>
      </c>
    </row>
    <row r="1221" spans="1:10" ht="12.75" customHeight="1" x14ac:dyDescent="0.15">
      <c r="A1221" s="126">
        <v>123</v>
      </c>
      <c r="B1221" s="25" t="s">
        <v>112</v>
      </c>
      <c r="C1221" s="39" t="s">
        <v>27</v>
      </c>
      <c r="D1221" s="50" t="s">
        <v>27</v>
      </c>
      <c r="E1221" s="28" t="s">
        <v>27</v>
      </c>
      <c r="F1221" s="51" t="s">
        <v>27</v>
      </c>
      <c r="G1221" s="28" t="s">
        <v>27</v>
      </c>
      <c r="H1221" s="55" t="s">
        <v>27</v>
      </c>
      <c r="I1221" s="50">
        <v>63.177905111294947</v>
      </c>
      <c r="J1221" t="e">
        <f t="shared" si="59"/>
        <v>#VALUE!</v>
      </c>
    </row>
    <row r="1222" spans="1:10" ht="12.75" customHeight="1" x14ac:dyDescent="0.15">
      <c r="A1222" s="126">
        <v>124</v>
      </c>
      <c r="B1222" s="25" t="s">
        <v>113</v>
      </c>
      <c r="C1222" s="39" t="s">
        <v>27</v>
      </c>
      <c r="D1222" s="50" t="s">
        <v>27</v>
      </c>
      <c r="E1222" s="28" t="s">
        <v>27</v>
      </c>
      <c r="F1222" s="51" t="s">
        <v>27</v>
      </c>
      <c r="G1222" s="28" t="s">
        <v>27</v>
      </c>
      <c r="H1222" s="55" t="s">
        <v>27</v>
      </c>
      <c r="I1222" s="50">
        <v>57.515285421219353</v>
      </c>
      <c r="J1222" t="e">
        <f t="shared" si="59"/>
        <v>#VALUE!</v>
      </c>
    </row>
    <row r="1223" spans="1:10" ht="12.75" customHeight="1" x14ac:dyDescent="0.15">
      <c r="A1223" s="126">
        <v>125</v>
      </c>
      <c r="B1223" s="25" t="s">
        <v>114</v>
      </c>
      <c r="C1223" s="39" t="s">
        <v>27</v>
      </c>
      <c r="D1223" s="50" t="s">
        <v>27</v>
      </c>
      <c r="E1223" s="28" t="s">
        <v>27</v>
      </c>
      <c r="F1223" s="51" t="s">
        <v>27</v>
      </c>
      <c r="G1223" s="28" t="s">
        <v>27</v>
      </c>
      <c r="H1223" s="55" t="s">
        <v>27</v>
      </c>
      <c r="I1223" s="50">
        <v>56.531876479473389</v>
      </c>
      <c r="J1223" t="e">
        <f t="shared" si="59"/>
        <v>#VALUE!</v>
      </c>
    </row>
    <row r="1224" spans="1:10" ht="12.75" customHeight="1" x14ac:dyDescent="0.15">
      <c r="A1224" s="126">
        <v>126</v>
      </c>
      <c r="B1224" s="25" t="s">
        <v>115</v>
      </c>
      <c r="C1224" s="39" t="s">
        <v>27</v>
      </c>
      <c r="D1224" s="50" t="s">
        <v>27</v>
      </c>
      <c r="E1224" s="28" t="s">
        <v>27</v>
      </c>
      <c r="F1224" s="51" t="s">
        <v>27</v>
      </c>
      <c r="G1224" s="28" t="s">
        <v>27</v>
      </c>
      <c r="H1224" s="55" t="s">
        <v>27</v>
      </c>
      <c r="I1224" s="50">
        <v>52.028434852631598</v>
      </c>
      <c r="J1224" t="e">
        <f t="shared" si="59"/>
        <v>#VALUE!</v>
      </c>
    </row>
    <row r="1225" spans="1:10" ht="12.75" customHeight="1" x14ac:dyDescent="0.15">
      <c r="A1225" s="126">
        <v>127</v>
      </c>
      <c r="B1225" s="25" t="s">
        <v>116</v>
      </c>
      <c r="C1225" s="39" t="s">
        <v>27</v>
      </c>
      <c r="D1225" s="50" t="s">
        <v>27</v>
      </c>
      <c r="E1225" s="28" t="s">
        <v>27</v>
      </c>
      <c r="F1225" s="51" t="s">
        <v>27</v>
      </c>
      <c r="G1225" s="28" t="s">
        <v>27</v>
      </c>
      <c r="H1225" s="55" t="s">
        <v>27</v>
      </c>
      <c r="I1225" s="50">
        <v>55.180376519706869</v>
      </c>
      <c r="J1225" t="e">
        <f t="shared" si="59"/>
        <v>#VALUE!</v>
      </c>
    </row>
    <row r="1226" spans="1:10" ht="12.75" customHeight="1" x14ac:dyDescent="0.15">
      <c r="A1226" s="126">
        <v>128</v>
      </c>
      <c r="B1226" s="25" t="s">
        <v>117</v>
      </c>
      <c r="C1226" s="39" t="s">
        <v>27</v>
      </c>
      <c r="D1226" s="50" t="s">
        <v>27</v>
      </c>
      <c r="E1226" s="28" t="s">
        <v>27</v>
      </c>
      <c r="F1226" s="51" t="s">
        <v>27</v>
      </c>
      <c r="G1226" s="28" t="s">
        <v>27</v>
      </c>
      <c r="H1226" s="55" t="s">
        <v>27</v>
      </c>
      <c r="I1226" s="50">
        <v>57.321218836632454</v>
      </c>
      <c r="J1226" t="e">
        <f t="shared" si="59"/>
        <v>#VALUE!</v>
      </c>
    </row>
    <row r="1227" spans="1:10" ht="12.75" customHeight="1" x14ac:dyDescent="0.15">
      <c r="A1227" s="126">
        <v>129</v>
      </c>
      <c r="B1227" s="25" t="s">
        <v>2</v>
      </c>
      <c r="C1227" s="39" t="s">
        <v>27</v>
      </c>
      <c r="D1227" s="50" t="s">
        <v>27</v>
      </c>
      <c r="E1227" s="28" t="s">
        <v>27</v>
      </c>
      <c r="F1227" s="51" t="s">
        <v>27</v>
      </c>
      <c r="G1227" s="28" t="s">
        <v>27</v>
      </c>
      <c r="H1227" s="55" t="s">
        <v>27</v>
      </c>
      <c r="I1227" s="50">
        <v>47.724144799753816</v>
      </c>
      <c r="J1227" t="e">
        <f t="shared" si="59"/>
        <v>#VALUE!</v>
      </c>
    </row>
    <row r="1228" spans="1:10" ht="12.75" customHeight="1" x14ac:dyDescent="0.15">
      <c r="A1228" s="126">
        <v>130</v>
      </c>
      <c r="B1228" s="25" t="s">
        <v>118</v>
      </c>
      <c r="C1228" s="39" t="s">
        <v>27</v>
      </c>
      <c r="D1228" s="50" t="s">
        <v>27</v>
      </c>
      <c r="E1228" s="28" t="s">
        <v>27</v>
      </c>
      <c r="F1228" s="51" t="s">
        <v>27</v>
      </c>
      <c r="G1228" s="28" t="s">
        <v>27</v>
      </c>
      <c r="H1228" s="55" t="s">
        <v>27</v>
      </c>
      <c r="I1228" s="50">
        <v>51.717306669682266</v>
      </c>
      <c r="J1228" t="e">
        <f t="shared" si="59"/>
        <v>#VALUE!</v>
      </c>
    </row>
    <row r="1229" spans="1:10" ht="12.75" customHeight="1" x14ac:dyDescent="0.15">
      <c r="A1229" s="126">
        <v>131</v>
      </c>
      <c r="B1229" s="25" t="s">
        <v>119</v>
      </c>
      <c r="C1229" s="39" t="s">
        <v>27</v>
      </c>
      <c r="D1229" s="50" t="s">
        <v>27</v>
      </c>
      <c r="E1229" s="28" t="s">
        <v>27</v>
      </c>
      <c r="F1229" s="51" t="s">
        <v>27</v>
      </c>
      <c r="G1229" s="28" t="s">
        <v>27</v>
      </c>
      <c r="H1229" s="55" t="s">
        <v>27</v>
      </c>
      <c r="I1229" s="50">
        <v>47.821912068194067</v>
      </c>
      <c r="J1229" t="e">
        <f t="shared" si="59"/>
        <v>#VALUE!</v>
      </c>
    </row>
    <row r="1230" spans="1:10" ht="12.75" customHeight="1" x14ac:dyDescent="0.15">
      <c r="A1230" s="126">
        <v>132</v>
      </c>
      <c r="B1230" s="25" t="s">
        <v>120</v>
      </c>
      <c r="C1230" s="39" t="s">
        <v>27</v>
      </c>
      <c r="D1230" s="50" t="s">
        <v>27</v>
      </c>
      <c r="E1230" s="28" t="s">
        <v>27</v>
      </c>
      <c r="F1230" s="51" t="s">
        <v>27</v>
      </c>
      <c r="G1230" s="28" t="s">
        <v>27</v>
      </c>
      <c r="H1230" s="55" t="s">
        <v>27</v>
      </c>
      <c r="I1230" s="50">
        <v>56.152897415161078</v>
      </c>
      <c r="J1230" t="e">
        <f t="shared" si="59"/>
        <v>#VALUE!</v>
      </c>
    </row>
    <row r="1231" spans="1:10" ht="12.75" customHeight="1" x14ac:dyDescent="0.15">
      <c r="A1231" s="126">
        <v>133</v>
      </c>
      <c r="B1231" s="25" t="s">
        <v>121</v>
      </c>
      <c r="C1231" s="39">
        <v>9.49</v>
      </c>
      <c r="D1231" s="50">
        <v>1.0478403497637512E-2</v>
      </c>
      <c r="E1231" s="28">
        <v>1.6710045676697045E-2</v>
      </c>
      <c r="F1231" s="51">
        <v>1.0376639283046996E-2</v>
      </c>
      <c r="G1231" s="28">
        <v>2.6089149974909557E-3</v>
      </c>
      <c r="H1231" s="55" t="s">
        <v>27</v>
      </c>
      <c r="I1231" s="50">
        <v>61.928488706995253</v>
      </c>
      <c r="J1231">
        <f t="shared" si="59"/>
        <v>1.0152099994444629E-2</v>
      </c>
    </row>
    <row r="1232" spans="1:10" ht="12.75" customHeight="1" x14ac:dyDescent="0.15">
      <c r="A1232" s="126">
        <v>134</v>
      </c>
      <c r="B1232" s="25" t="s">
        <v>122</v>
      </c>
      <c r="C1232" s="39" t="s">
        <v>27</v>
      </c>
      <c r="D1232" s="50" t="s">
        <v>27</v>
      </c>
      <c r="E1232" s="28" t="s">
        <v>27</v>
      </c>
      <c r="F1232" s="51" t="s">
        <v>27</v>
      </c>
      <c r="G1232" s="28" t="s">
        <v>27</v>
      </c>
      <c r="H1232" s="55" t="s">
        <v>27</v>
      </c>
      <c r="I1232" s="50">
        <v>61.817186380277789</v>
      </c>
      <c r="J1232" t="e">
        <f t="shared" si="59"/>
        <v>#VALUE!</v>
      </c>
    </row>
    <row r="1233" spans="1:10" ht="12.75" customHeight="1" x14ac:dyDescent="0.15">
      <c r="A1233" s="126">
        <v>135</v>
      </c>
      <c r="B1233" s="25" t="s">
        <v>123</v>
      </c>
      <c r="C1233" s="39" t="s">
        <v>27</v>
      </c>
      <c r="D1233" s="50" t="s">
        <v>27</v>
      </c>
      <c r="E1233" s="28" t="s">
        <v>27</v>
      </c>
      <c r="F1233" s="51" t="s">
        <v>27</v>
      </c>
      <c r="G1233" s="28" t="s">
        <v>27</v>
      </c>
      <c r="H1233" s="55" t="s">
        <v>27</v>
      </c>
      <c r="I1233" s="50">
        <v>61.506300755140082</v>
      </c>
      <c r="J1233" t="e">
        <f t="shared" si="59"/>
        <v>#VALUE!</v>
      </c>
    </row>
    <row r="1234" spans="1:10" ht="12.75" customHeight="1" x14ac:dyDescent="0.15">
      <c r="A1234" s="126">
        <v>136</v>
      </c>
      <c r="B1234" s="25" t="s">
        <v>128</v>
      </c>
      <c r="C1234" s="39">
        <v>9.4933333333333341</v>
      </c>
      <c r="D1234" s="50">
        <v>1.094270313644774E-2</v>
      </c>
      <c r="E1234" s="28">
        <v>1.7283289113846582E-2</v>
      </c>
      <c r="F1234" s="51">
        <v>3.9072527472527874E-3</v>
      </c>
      <c r="G1234" s="28">
        <v>9.7341396543042767E-4</v>
      </c>
      <c r="H1234" s="55" t="s">
        <v>27</v>
      </c>
      <c r="I1234" s="50">
        <v>62.452611142238979</v>
      </c>
      <c r="J1234">
        <f t="shared" si="59"/>
        <v>1.0512966170325702E-2</v>
      </c>
    </row>
    <row r="1235" spans="1:10" ht="12.75" customHeight="1" x14ac:dyDescent="0.15">
      <c r="A1235" s="126">
        <v>137</v>
      </c>
      <c r="B1235" s="25" t="s">
        <v>90</v>
      </c>
      <c r="C1235" s="39">
        <v>9.4633333333333329</v>
      </c>
      <c r="D1235" s="50">
        <v>7.7137914758269588E-3</v>
      </c>
      <c r="E1235" s="28">
        <v>1.2041100593255591E-2</v>
      </c>
      <c r="F1235" s="51">
        <v>1.3645133587786296E-3</v>
      </c>
      <c r="G1235" s="28">
        <v>3.3659151476145646E-4</v>
      </c>
      <c r="H1235" s="55" t="s">
        <v>27</v>
      </c>
      <c r="I1235" s="50">
        <v>63.212295928689542</v>
      </c>
      <c r="J1235">
        <f t="shared" si="59"/>
        <v>7.3217952575514436E-3</v>
      </c>
    </row>
    <row r="1236" spans="1:10" ht="12.75" customHeight="1" x14ac:dyDescent="0.15">
      <c r="A1236" s="126">
        <v>138</v>
      </c>
      <c r="B1236" s="25" t="s">
        <v>91</v>
      </c>
      <c r="C1236" s="39" t="s">
        <v>27</v>
      </c>
      <c r="D1236" s="50" t="s">
        <v>27</v>
      </c>
      <c r="E1236" s="28" t="s">
        <v>27</v>
      </c>
      <c r="F1236" s="51" t="s">
        <v>27</v>
      </c>
      <c r="G1236" s="28" t="s">
        <v>27</v>
      </c>
      <c r="H1236" s="55" t="s">
        <v>27</v>
      </c>
      <c r="I1236" s="50">
        <v>63.296025119791629</v>
      </c>
      <c r="J1236" t="e">
        <f t="shared" si="59"/>
        <v>#VALUE!</v>
      </c>
    </row>
    <row r="1237" spans="1:10" ht="12.75" customHeight="1" x14ac:dyDescent="0.15">
      <c r="A1237" s="126">
        <v>139</v>
      </c>
      <c r="B1237" s="25" t="s">
        <v>92</v>
      </c>
      <c r="C1237" s="39" t="s">
        <v>27</v>
      </c>
      <c r="D1237" s="50" t="s">
        <v>27</v>
      </c>
      <c r="E1237" s="28" t="s">
        <v>27</v>
      </c>
      <c r="F1237" s="51" t="s">
        <v>27</v>
      </c>
      <c r="G1237" s="28" t="s">
        <v>27</v>
      </c>
      <c r="H1237" s="55" t="s">
        <v>27</v>
      </c>
      <c r="I1237" s="50">
        <v>62.536778717597343</v>
      </c>
      <c r="J1237" t="e">
        <f t="shared" si="59"/>
        <v>#VALUE!</v>
      </c>
    </row>
    <row r="1238" spans="1:10" ht="12.75" customHeight="1" x14ac:dyDescent="0.15">
      <c r="A1238" s="126">
        <v>140</v>
      </c>
      <c r="B1238" s="25" t="s">
        <v>93</v>
      </c>
      <c r="C1238" s="39" t="s">
        <v>27</v>
      </c>
      <c r="D1238" s="50" t="s">
        <v>27</v>
      </c>
      <c r="E1238" s="28" t="s">
        <v>27</v>
      </c>
      <c r="F1238" s="51" t="s">
        <v>27</v>
      </c>
      <c r="G1238" s="28" t="s">
        <v>27</v>
      </c>
      <c r="H1238" s="55" t="s">
        <v>27</v>
      </c>
      <c r="I1238" s="50">
        <v>62.533235392600837</v>
      </c>
      <c r="J1238" t="e">
        <f t="shared" si="59"/>
        <v>#VALUE!</v>
      </c>
    </row>
    <row r="1239" spans="1:10" ht="12.75" customHeight="1" x14ac:dyDescent="0.15">
      <c r="A1239" s="126">
        <v>141</v>
      </c>
      <c r="B1239" s="25" t="s">
        <v>94</v>
      </c>
      <c r="C1239" s="39" t="s">
        <v>27</v>
      </c>
      <c r="D1239" s="50" t="s">
        <v>27</v>
      </c>
      <c r="E1239" s="28" t="s">
        <v>27</v>
      </c>
      <c r="F1239" s="51" t="s">
        <v>27</v>
      </c>
      <c r="G1239" s="28" t="s">
        <v>27</v>
      </c>
      <c r="H1239" s="55" t="s">
        <v>27</v>
      </c>
      <c r="I1239" s="50">
        <v>63.703504317346187</v>
      </c>
      <c r="J1239" t="e">
        <f t="shared" si="59"/>
        <v>#VALUE!</v>
      </c>
    </row>
    <row r="1240" spans="1:10" ht="12.75" customHeight="1" x14ac:dyDescent="0.15">
      <c r="A1240" s="126">
        <v>142</v>
      </c>
      <c r="B1240" s="25" t="s">
        <v>95</v>
      </c>
      <c r="C1240" s="39" t="s">
        <v>27</v>
      </c>
      <c r="D1240" s="50" t="s">
        <v>27</v>
      </c>
      <c r="E1240" s="28" t="s">
        <v>27</v>
      </c>
      <c r="F1240" s="51" t="s">
        <v>27</v>
      </c>
      <c r="G1240" s="28" t="s">
        <v>27</v>
      </c>
      <c r="H1240" s="55" t="s">
        <v>27</v>
      </c>
      <c r="I1240" s="50">
        <v>62.918978902955701</v>
      </c>
      <c r="J1240" t="e">
        <f t="shared" si="59"/>
        <v>#VALUE!</v>
      </c>
    </row>
    <row r="1241" spans="1:10" ht="12.75" customHeight="1" x14ac:dyDescent="0.15">
      <c r="A1241" s="126">
        <v>143</v>
      </c>
      <c r="B1241" s="25" t="s">
        <v>96</v>
      </c>
      <c r="C1241" s="39" t="s">
        <v>27</v>
      </c>
      <c r="D1241" s="50" t="s">
        <v>27</v>
      </c>
      <c r="E1241" s="28" t="s">
        <v>27</v>
      </c>
      <c r="F1241" s="51" t="s">
        <v>27</v>
      </c>
      <c r="G1241" s="28" t="s">
        <v>27</v>
      </c>
      <c r="H1241" s="55" t="s">
        <v>27</v>
      </c>
      <c r="I1241" s="50">
        <v>63.33073680691038</v>
      </c>
      <c r="J1241" t="e">
        <f t="shared" si="59"/>
        <v>#VALUE!</v>
      </c>
    </row>
    <row r="1242" spans="1:10" ht="12.75" customHeight="1" x14ac:dyDescent="0.15">
      <c r="A1242" s="126">
        <v>144</v>
      </c>
      <c r="B1242" s="25" t="s">
        <v>97</v>
      </c>
      <c r="C1242" s="39" t="s">
        <v>27</v>
      </c>
      <c r="D1242" s="50" t="s">
        <v>27</v>
      </c>
      <c r="E1242" s="28" t="s">
        <v>27</v>
      </c>
      <c r="F1242" s="51" t="s">
        <v>27</v>
      </c>
      <c r="G1242" s="28" t="s">
        <v>27</v>
      </c>
      <c r="H1242" s="55" t="s">
        <v>27</v>
      </c>
      <c r="I1242" s="50">
        <v>64.228154255088214</v>
      </c>
      <c r="J1242" t="e">
        <f t="shared" si="59"/>
        <v>#VALUE!</v>
      </c>
    </row>
    <row r="1243" spans="1:10" ht="12.75" customHeight="1" x14ac:dyDescent="0.15">
      <c r="A1243" s="126">
        <v>145</v>
      </c>
      <c r="B1243" s="25" t="s">
        <v>98</v>
      </c>
      <c r="C1243" s="39" t="s">
        <v>27</v>
      </c>
      <c r="D1243" s="50" t="s">
        <v>27</v>
      </c>
      <c r="E1243" s="28" t="s">
        <v>27</v>
      </c>
      <c r="F1243" s="51" t="s">
        <v>27</v>
      </c>
      <c r="G1243" s="28" t="s">
        <v>27</v>
      </c>
      <c r="H1243" s="55" t="s">
        <v>27</v>
      </c>
      <c r="I1243" s="50">
        <v>60.725100620701795</v>
      </c>
      <c r="J1243" t="e">
        <f t="shared" si="59"/>
        <v>#VALUE!</v>
      </c>
    </row>
    <row r="1244" spans="1:10" ht="12.75" customHeight="1" x14ac:dyDescent="0.15">
      <c r="A1244" s="126">
        <v>146</v>
      </c>
      <c r="B1244" s="25" t="s">
        <v>99</v>
      </c>
      <c r="C1244" s="39" t="s">
        <v>27</v>
      </c>
      <c r="D1244" s="50" t="s">
        <v>27</v>
      </c>
      <c r="E1244" s="28" t="s">
        <v>27</v>
      </c>
      <c r="F1244" s="51" t="s">
        <v>27</v>
      </c>
      <c r="G1244" s="28" t="s">
        <v>27</v>
      </c>
      <c r="H1244" s="55" t="s">
        <v>27</v>
      </c>
      <c r="I1244" s="50">
        <v>58.665275300961554</v>
      </c>
      <c r="J1244" t="e">
        <f t="shared" si="59"/>
        <v>#VALUE!</v>
      </c>
    </row>
    <row r="1245" spans="1:10" ht="12.75" customHeight="1" x14ac:dyDescent="0.15">
      <c r="A1245" s="126">
        <v>147</v>
      </c>
      <c r="B1245" s="25" t="s">
        <v>100</v>
      </c>
      <c r="C1245" s="39" t="s">
        <v>27</v>
      </c>
      <c r="D1245" s="50" t="s">
        <v>27</v>
      </c>
      <c r="E1245" s="28" t="s">
        <v>27</v>
      </c>
      <c r="F1245" s="51" t="s">
        <v>27</v>
      </c>
      <c r="G1245" s="28" t="s">
        <v>27</v>
      </c>
      <c r="H1245" s="55" t="s">
        <v>27</v>
      </c>
      <c r="I1245" s="50">
        <v>59.136328261652118</v>
      </c>
      <c r="J1245" t="e">
        <f t="shared" ref="J1245:J1275" si="60">D1245*60/I1245</f>
        <v>#VALUE!</v>
      </c>
    </row>
    <row r="1246" spans="1:10" ht="12.75" customHeight="1" x14ac:dyDescent="0.15">
      <c r="A1246" s="126">
        <v>148</v>
      </c>
      <c r="B1246" s="25" t="s">
        <v>101</v>
      </c>
      <c r="C1246" s="39" t="s">
        <v>27</v>
      </c>
      <c r="D1246" s="50" t="s">
        <v>27</v>
      </c>
      <c r="E1246" s="28" t="s">
        <v>27</v>
      </c>
      <c r="F1246" s="51" t="s">
        <v>27</v>
      </c>
      <c r="G1246" s="28" t="s">
        <v>27</v>
      </c>
      <c r="H1246" s="55" t="s">
        <v>27</v>
      </c>
      <c r="I1246" s="50">
        <v>58.987308156064685</v>
      </c>
      <c r="J1246" t="e">
        <f t="shared" si="60"/>
        <v>#VALUE!</v>
      </c>
    </row>
    <row r="1247" spans="1:10" ht="12.75" customHeight="1" x14ac:dyDescent="0.15">
      <c r="A1247" s="126">
        <v>149</v>
      </c>
      <c r="B1247" s="25" t="s">
        <v>102</v>
      </c>
      <c r="C1247" s="39">
        <v>9.413333333333334</v>
      </c>
      <c r="D1247" s="50">
        <v>9.400098326360351E-4</v>
      </c>
      <c r="E1247" s="28">
        <v>1.5912719256853777E-3</v>
      </c>
      <c r="F1247" s="51">
        <v>3.1331380753137905E-3</v>
      </c>
      <c r="G1247" s="28">
        <v>8.3499912148465643E-4</v>
      </c>
      <c r="H1247" s="55" t="s">
        <v>27</v>
      </c>
      <c r="I1247" s="50">
        <v>58.307825072524381</v>
      </c>
      <c r="J1247">
        <f t="shared" si="60"/>
        <v>9.6729023742542241E-4</v>
      </c>
    </row>
    <row r="1248" spans="1:10" ht="12.75" customHeight="1" x14ac:dyDescent="0.15">
      <c r="A1248" s="126">
        <v>150</v>
      </c>
      <c r="B1248" s="25" t="s">
        <v>103</v>
      </c>
      <c r="C1248" s="39" t="s">
        <v>27</v>
      </c>
      <c r="D1248" s="50" t="s">
        <v>27</v>
      </c>
      <c r="E1248" s="28" t="s">
        <v>27</v>
      </c>
      <c r="F1248" s="51" t="s">
        <v>27</v>
      </c>
      <c r="G1248" s="28" t="s">
        <v>27</v>
      </c>
      <c r="H1248" s="55" t="s">
        <v>27</v>
      </c>
      <c r="I1248" s="50">
        <v>59.194365860993422</v>
      </c>
      <c r="J1248" t="e">
        <f t="shared" si="60"/>
        <v>#VALUE!</v>
      </c>
    </row>
    <row r="1249" spans="1:10" ht="12.75" customHeight="1" x14ac:dyDescent="0.15">
      <c r="A1249" s="126">
        <v>151</v>
      </c>
      <c r="B1249" s="25" t="s">
        <v>104</v>
      </c>
      <c r="C1249" s="39" t="s">
        <v>27</v>
      </c>
      <c r="D1249" s="50" t="s">
        <v>27</v>
      </c>
      <c r="E1249" s="28" t="s">
        <v>27</v>
      </c>
      <c r="F1249" s="51" t="s">
        <v>27</v>
      </c>
      <c r="G1249" s="28" t="s">
        <v>27</v>
      </c>
      <c r="H1249" s="55" t="s">
        <v>27</v>
      </c>
      <c r="I1249" s="50">
        <v>57.588613228815397</v>
      </c>
      <c r="J1249" t="e">
        <f t="shared" si="60"/>
        <v>#VALUE!</v>
      </c>
    </row>
    <row r="1250" spans="1:10" ht="12.75" customHeight="1" x14ac:dyDescent="0.15">
      <c r="A1250" s="126">
        <v>152</v>
      </c>
      <c r="B1250" s="25" t="s">
        <v>105</v>
      </c>
      <c r="C1250" s="39" t="s">
        <v>27</v>
      </c>
      <c r="D1250" s="50" t="s">
        <v>27</v>
      </c>
      <c r="E1250" s="28" t="s">
        <v>27</v>
      </c>
      <c r="F1250" s="51" t="s">
        <v>27</v>
      </c>
      <c r="G1250" s="28" t="s">
        <v>27</v>
      </c>
      <c r="H1250" s="55" t="s">
        <v>27</v>
      </c>
      <c r="I1250" s="50">
        <v>59.496575072296039</v>
      </c>
      <c r="J1250" t="e">
        <f t="shared" si="60"/>
        <v>#VALUE!</v>
      </c>
    </row>
    <row r="1251" spans="1:10" ht="12.75" customHeight="1" x14ac:dyDescent="0.15">
      <c r="A1251" s="126">
        <v>153</v>
      </c>
      <c r="B1251" s="25" t="s">
        <v>106</v>
      </c>
      <c r="C1251" s="39" t="s">
        <v>27</v>
      </c>
      <c r="D1251" s="50" t="s">
        <v>27</v>
      </c>
      <c r="E1251" s="28" t="s">
        <v>27</v>
      </c>
      <c r="F1251" s="51" t="s">
        <v>27</v>
      </c>
      <c r="G1251" s="28" t="s">
        <v>27</v>
      </c>
      <c r="H1251" s="55" t="s">
        <v>27</v>
      </c>
      <c r="I1251" s="50">
        <v>59.651266521774204</v>
      </c>
      <c r="J1251" t="e">
        <f t="shared" si="60"/>
        <v>#VALUE!</v>
      </c>
    </row>
    <row r="1252" spans="1:10" ht="12.75" customHeight="1" x14ac:dyDescent="0.15">
      <c r="A1252" s="126">
        <v>154</v>
      </c>
      <c r="B1252" s="25" t="s">
        <v>107</v>
      </c>
      <c r="C1252" s="39" t="s">
        <v>27</v>
      </c>
      <c r="D1252" s="50" t="s">
        <v>27</v>
      </c>
      <c r="E1252" s="28" t="s">
        <v>27</v>
      </c>
      <c r="F1252" s="51" t="s">
        <v>27</v>
      </c>
      <c r="G1252" s="28" t="s">
        <v>27</v>
      </c>
      <c r="H1252" s="55" t="s">
        <v>27</v>
      </c>
      <c r="I1252" s="50">
        <v>58.087827809045862</v>
      </c>
      <c r="J1252" t="e">
        <f t="shared" si="60"/>
        <v>#VALUE!</v>
      </c>
    </row>
    <row r="1253" spans="1:10" ht="12.75" customHeight="1" x14ac:dyDescent="0.15">
      <c r="A1253" s="126">
        <v>155</v>
      </c>
      <c r="B1253" s="25" t="s">
        <v>108</v>
      </c>
      <c r="C1253" s="39" t="s">
        <v>27</v>
      </c>
      <c r="D1253" s="50" t="s">
        <v>27</v>
      </c>
      <c r="E1253" s="28" t="s">
        <v>27</v>
      </c>
      <c r="F1253" s="51" t="s">
        <v>27</v>
      </c>
      <c r="G1253" s="28" t="s">
        <v>27</v>
      </c>
      <c r="H1253" s="55" t="s">
        <v>27</v>
      </c>
      <c r="I1253" s="50">
        <v>59.486293716104903</v>
      </c>
      <c r="J1253" t="e">
        <f t="shared" si="60"/>
        <v>#VALUE!</v>
      </c>
    </row>
    <row r="1254" spans="1:10" ht="12.75" customHeight="1" x14ac:dyDescent="0.15">
      <c r="A1254" s="126">
        <v>156</v>
      </c>
      <c r="B1254" s="25" t="s">
        <v>109</v>
      </c>
      <c r="C1254" s="39" t="s">
        <v>27</v>
      </c>
      <c r="D1254" s="50" t="s">
        <v>27</v>
      </c>
      <c r="E1254" s="28" t="s">
        <v>27</v>
      </c>
      <c r="F1254" s="51" t="s">
        <v>27</v>
      </c>
      <c r="G1254" s="28" t="s">
        <v>27</v>
      </c>
      <c r="H1254" s="55" t="s">
        <v>27</v>
      </c>
      <c r="I1254" s="50">
        <v>59.274260992564599</v>
      </c>
      <c r="J1254" t="e">
        <f t="shared" si="60"/>
        <v>#VALUE!</v>
      </c>
    </row>
    <row r="1255" spans="1:10" ht="12.75" customHeight="1" x14ac:dyDescent="0.15">
      <c r="A1255" s="126">
        <v>157</v>
      </c>
      <c r="B1255" s="25" t="s">
        <v>110</v>
      </c>
      <c r="C1255" s="39" t="s">
        <v>27</v>
      </c>
      <c r="D1255" s="50" t="s">
        <v>27</v>
      </c>
      <c r="E1255" s="28" t="s">
        <v>27</v>
      </c>
      <c r="F1255" s="51" t="s">
        <v>27</v>
      </c>
      <c r="G1255" s="28" t="s">
        <v>27</v>
      </c>
      <c r="H1255" s="55" t="s">
        <v>27</v>
      </c>
      <c r="I1255" s="50">
        <v>59.461116428486548</v>
      </c>
      <c r="J1255" t="e">
        <f t="shared" si="60"/>
        <v>#VALUE!</v>
      </c>
    </row>
    <row r="1256" spans="1:10" ht="12.75" customHeight="1" x14ac:dyDescent="0.15">
      <c r="A1256" s="126">
        <v>158</v>
      </c>
      <c r="B1256" s="25" t="s">
        <v>111</v>
      </c>
      <c r="C1256" s="39" t="s">
        <v>27</v>
      </c>
      <c r="D1256" s="50" t="s">
        <v>27</v>
      </c>
      <c r="E1256" s="28" t="s">
        <v>27</v>
      </c>
      <c r="F1256" s="51" t="s">
        <v>27</v>
      </c>
      <c r="G1256" s="28" t="s">
        <v>27</v>
      </c>
      <c r="H1256" s="55" t="s">
        <v>27</v>
      </c>
      <c r="I1256" s="50">
        <v>61.469841244589908</v>
      </c>
      <c r="J1256" t="e">
        <f t="shared" si="60"/>
        <v>#VALUE!</v>
      </c>
    </row>
    <row r="1257" spans="1:10" ht="12.75" customHeight="1" x14ac:dyDescent="0.15">
      <c r="A1257" s="126">
        <v>159</v>
      </c>
      <c r="B1257" s="25" t="s">
        <v>112</v>
      </c>
      <c r="C1257" s="39" t="s">
        <v>27</v>
      </c>
      <c r="D1257" s="50" t="s">
        <v>27</v>
      </c>
      <c r="E1257" s="28" t="s">
        <v>27</v>
      </c>
      <c r="F1257" s="51" t="s">
        <v>27</v>
      </c>
      <c r="G1257" s="28" t="s">
        <v>27</v>
      </c>
      <c r="H1257" s="55" t="s">
        <v>27</v>
      </c>
      <c r="I1257" s="50">
        <v>60.970947925299335</v>
      </c>
      <c r="J1257" t="e">
        <f t="shared" si="60"/>
        <v>#VALUE!</v>
      </c>
    </row>
    <row r="1258" spans="1:10" ht="12.75" customHeight="1" x14ac:dyDescent="0.15">
      <c r="A1258" s="126">
        <v>160</v>
      </c>
      <c r="B1258" s="25" t="s">
        <v>113</v>
      </c>
      <c r="C1258" s="39" t="s">
        <v>27</v>
      </c>
      <c r="D1258" s="50" t="s">
        <v>27</v>
      </c>
      <c r="E1258" s="28" t="s">
        <v>27</v>
      </c>
      <c r="F1258" s="51" t="s">
        <v>27</v>
      </c>
      <c r="G1258" s="28" t="s">
        <v>27</v>
      </c>
      <c r="H1258" s="55" t="s">
        <v>27</v>
      </c>
      <c r="I1258" s="50">
        <v>54.520806399696767</v>
      </c>
      <c r="J1258" t="e">
        <f t="shared" si="60"/>
        <v>#VALUE!</v>
      </c>
    </row>
    <row r="1259" spans="1:10" ht="12.75" customHeight="1" x14ac:dyDescent="0.15">
      <c r="A1259" s="126">
        <v>161</v>
      </c>
      <c r="B1259" s="25" t="s">
        <v>114</v>
      </c>
      <c r="C1259" s="39" t="s">
        <v>27</v>
      </c>
      <c r="D1259" s="50" t="s">
        <v>27</v>
      </c>
      <c r="E1259" s="28" t="s">
        <v>27</v>
      </c>
      <c r="F1259" s="51" t="s">
        <v>27</v>
      </c>
      <c r="G1259" s="28" t="s">
        <v>27</v>
      </c>
      <c r="H1259" s="55" t="s">
        <v>27</v>
      </c>
      <c r="I1259" s="50">
        <v>43.950901400527229</v>
      </c>
      <c r="J1259" t="e">
        <f t="shared" si="60"/>
        <v>#VALUE!</v>
      </c>
    </row>
    <row r="1260" spans="1:10" ht="12.75" customHeight="1" x14ac:dyDescent="0.15">
      <c r="A1260" s="126">
        <v>162</v>
      </c>
      <c r="B1260" s="25" t="s">
        <v>115</v>
      </c>
      <c r="C1260" s="39" t="s">
        <v>27</v>
      </c>
      <c r="D1260" s="50" t="s">
        <v>27</v>
      </c>
      <c r="E1260" s="28" t="s">
        <v>27</v>
      </c>
      <c r="F1260" s="51" t="s">
        <v>27</v>
      </c>
      <c r="G1260" s="28" t="s">
        <v>27</v>
      </c>
      <c r="H1260" s="55" t="s">
        <v>27</v>
      </c>
      <c r="I1260" s="50">
        <v>53.485458857105151</v>
      </c>
      <c r="J1260" t="e">
        <f t="shared" si="60"/>
        <v>#VALUE!</v>
      </c>
    </row>
    <row r="1261" spans="1:10" ht="12.75" customHeight="1" x14ac:dyDescent="0.15">
      <c r="A1261" s="126">
        <v>163</v>
      </c>
      <c r="B1261" s="25" t="s">
        <v>116</v>
      </c>
      <c r="C1261" s="39" t="s">
        <v>27</v>
      </c>
      <c r="D1261" s="50" t="s">
        <v>27</v>
      </c>
      <c r="E1261" s="28" t="s">
        <v>27</v>
      </c>
      <c r="F1261" s="51" t="s">
        <v>27</v>
      </c>
      <c r="G1261" s="28" t="s">
        <v>27</v>
      </c>
      <c r="H1261" s="55" t="s">
        <v>27</v>
      </c>
      <c r="I1261" s="50">
        <v>59.119502351570304</v>
      </c>
      <c r="J1261" t="e">
        <f t="shared" si="60"/>
        <v>#VALUE!</v>
      </c>
    </row>
    <row r="1262" spans="1:10" ht="12.75" customHeight="1" x14ac:dyDescent="0.15">
      <c r="A1262" s="126">
        <v>164</v>
      </c>
      <c r="B1262" s="25" t="s">
        <v>117</v>
      </c>
      <c r="C1262" s="39" t="s">
        <v>27</v>
      </c>
      <c r="D1262" s="50" t="s">
        <v>27</v>
      </c>
      <c r="E1262" s="28" t="s">
        <v>27</v>
      </c>
      <c r="F1262" s="51" t="s">
        <v>27</v>
      </c>
      <c r="G1262" s="28" t="s">
        <v>27</v>
      </c>
      <c r="H1262" s="55" t="s">
        <v>27</v>
      </c>
      <c r="I1262" s="50">
        <v>58.525964938708938</v>
      </c>
      <c r="J1262" t="e">
        <f t="shared" si="60"/>
        <v>#VALUE!</v>
      </c>
    </row>
    <row r="1263" spans="1:10" ht="12.75" customHeight="1" x14ac:dyDescent="0.15">
      <c r="A1263" s="126">
        <v>165</v>
      </c>
      <c r="B1263" s="25" t="s">
        <v>2</v>
      </c>
      <c r="C1263" s="39">
        <v>10.583333333333334</v>
      </c>
      <c r="D1263" s="50">
        <v>1.5162321305843829E-3</v>
      </c>
      <c r="E1263" s="28">
        <v>2.5268771370466499E-3</v>
      </c>
      <c r="F1263" s="51">
        <v>3.2647079037800841E-3</v>
      </c>
      <c r="G1263" s="28">
        <v>8.5256606617814664E-4</v>
      </c>
      <c r="H1263" s="55" t="s">
        <v>27</v>
      </c>
      <c r="I1263" s="50">
        <v>59.032344493814414</v>
      </c>
      <c r="J1263">
        <f t="shared" si="60"/>
        <v>1.5410861387115582E-3</v>
      </c>
    </row>
    <row r="1264" spans="1:10" ht="12.75" customHeight="1" x14ac:dyDescent="0.15">
      <c r="A1264" s="126">
        <v>166</v>
      </c>
      <c r="B1264" s="25" t="s">
        <v>118</v>
      </c>
      <c r="C1264" s="39">
        <v>9.0533333333333346</v>
      </c>
      <c r="D1264" s="50">
        <v>7.8307701798697504E-2</v>
      </c>
      <c r="E1264" s="28">
        <v>0.13638220515807065</v>
      </c>
      <c r="F1264" s="51">
        <v>2.0722273249138889E-2</v>
      </c>
      <c r="G1264" s="28">
        <v>5.6161745248716859E-3</v>
      </c>
      <c r="H1264" s="55" t="s">
        <v>27</v>
      </c>
      <c r="I1264" s="50">
        <v>56.395719049521624</v>
      </c>
      <c r="J1264">
        <f t="shared" si="60"/>
        <v>8.3312389435022283E-2</v>
      </c>
    </row>
    <row r="1265" spans="1:10" ht="12.75" customHeight="1" x14ac:dyDescent="0.15">
      <c r="A1265" s="126">
        <v>167</v>
      </c>
      <c r="B1265" s="25" t="s">
        <v>118</v>
      </c>
      <c r="C1265" s="39" t="s">
        <v>27</v>
      </c>
      <c r="D1265" s="50" t="s">
        <v>27</v>
      </c>
      <c r="E1265" s="28" t="s">
        <v>27</v>
      </c>
      <c r="F1265" s="51" t="s">
        <v>27</v>
      </c>
      <c r="G1265" s="28" t="s">
        <v>27</v>
      </c>
      <c r="H1265" s="55" t="s">
        <v>27</v>
      </c>
      <c r="I1265" s="50">
        <v>56.54936800903954</v>
      </c>
      <c r="J1265" t="e">
        <f t="shared" si="60"/>
        <v>#VALUE!</v>
      </c>
    </row>
    <row r="1266" spans="1:10" ht="12.75" customHeight="1" x14ac:dyDescent="0.15">
      <c r="A1266" s="126">
        <v>168</v>
      </c>
      <c r="B1266" s="25" t="s">
        <v>119</v>
      </c>
      <c r="C1266" s="39" t="s">
        <v>27</v>
      </c>
      <c r="D1266" s="50" t="s">
        <v>27</v>
      </c>
      <c r="E1266" s="28" t="s">
        <v>27</v>
      </c>
      <c r="F1266" s="51" t="s">
        <v>27</v>
      </c>
      <c r="G1266" s="28" t="s">
        <v>27</v>
      </c>
      <c r="H1266" s="55" t="s">
        <v>27</v>
      </c>
      <c r="I1266" s="50">
        <v>63.361954376123471</v>
      </c>
      <c r="J1266" t="e">
        <f t="shared" si="60"/>
        <v>#VALUE!</v>
      </c>
    </row>
    <row r="1267" spans="1:10" ht="12.75" customHeight="1" x14ac:dyDescent="0.15">
      <c r="A1267" s="126">
        <v>169</v>
      </c>
      <c r="B1267" s="25" t="s">
        <v>120</v>
      </c>
      <c r="C1267" s="39" t="s">
        <v>27</v>
      </c>
      <c r="D1267" s="50" t="s">
        <v>27</v>
      </c>
      <c r="E1267" s="28" t="s">
        <v>27</v>
      </c>
      <c r="F1267" s="51" t="s">
        <v>27</v>
      </c>
      <c r="G1267" s="28" t="s">
        <v>27</v>
      </c>
      <c r="H1267" s="55" t="s">
        <v>27</v>
      </c>
      <c r="I1267" s="50">
        <v>62.41068084308062</v>
      </c>
      <c r="J1267" t="e">
        <f t="shared" si="60"/>
        <v>#VALUE!</v>
      </c>
    </row>
    <row r="1268" spans="1:10" ht="12.75" customHeight="1" x14ac:dyDescent="0.15">
      <c r="A1268" s="126">
        <v>170</v>
      </c>
      <c r="B1268" s="25" t="s">
        <v>121</v>
      </c>
      <c r="C1268" s="39" t="s">
        <v>27</v>
      </c>
      <c r="D1268" s="50" t="s">
        <v>27</v>
      </c>
      <c r="E1268" s="28" t="s">
        <v>27</v>
      </c>
      <c r="F1268" s="51" t="s">
        <v>27</v>
      </c>
      <c r="G1268" s="28" t="s">
        <v>27</v>
      </c>
      <c r="H1268" s="55" t="s">
        <v>27</v>
      </c>
      <c r="I1268" s="50">
        <v>58.934541500007974</v>
      </c>
      <c r="J1268" t="e">
        <f t="shared" si="60"/>
        <v>#VALUE!</v>
      </c>
    </row>
    <row r="1269" spans="1:10" ht="12.75" customHeight="1" x14ac:dyDescent="0.15">
      <c r="A1269" s="126">
        <v>171</v>
      </c>
      <c r="B1269" s="25" t="s">
        <v>122</v>
      </c>
      <c r="C1269" s="39" t="s">
        <v>27</v>
      </c>
      <c r="D1269" s="50" t="s">
        <v>27</v>
      </c>
      <c r="E1269" s="28" t="s">
        <v>27</v>
      </c>
      <c r="F1269" s="51" t="s">
        <v>27</v>
      </c>
      <c r="G1269" s="28" t="s">
        <v>27</v>
      </c>
      <c r="H1269" s="55" t="s">
        <v>27</v>
      </c>
      <c r="I1269" s="50">
        <v>61.211187021455402</v>
      </c>
      <c r="J1269" t="e">
        <f t="shared" si="60"/>
        <v>#VALUE!</v>
      </c>
    </row>
    <row r="1270" spans="1:10" ht="12.75" customHeight="1" x14ac:dyDescent="0.15">
      <c r="A1270" s="126">
        <v>172</v>
      </c>
      <c r="B1270" s="25" t="s">
        <v>123</v>
      </c>
      <c r="C1270" s="39" t="s">
        <v>27</v>
      </c>
      <c r="D1270" s="50" t="s">
        <v>27</v>
      </c>
      <c r="E1270" s="28" t="s">
        <v>27</v>
      </c>
      <c r="F1270" s="51" t="s">
        <v>27</v>
      </c>
      <c r="G1270" s="28" t="s">
        <v>27</v>
      </c>
      <c r="H1270" s="55" t="s">
        <v>27</v>
      </c>
      <c r="I1270" s="50">
        <v>61.507190869627252</v>
      </c>
      <c r="J1270" t="e">
        <f t="shared" si="60"/>
        <v>#VALUE!</v>
      </c>
    </row>
    <row r="1271" spans="1:10" ht="12.75" customHeight="1" x14ac:dyDescent="0.15">
      <c r="A1271" s="126">
        <v>173</v>
      </c>
      <c r="B1271" s="25" t="s">
        <v>113</v>
      </c>
      <c r="C1271" s="39" t="s">
        <v>27</v>
      </c>
      <c r="D1271" s="50" t="s">
        <v>27</v>
      </c>
      <c r="E1271" s="28" t="s">
        <v>27</v>
      </c>
      <c r="F1271" s="51" t="s">
        <v>27</v>
      </c>
      <c r="G1271" s="28" t="s">
        <v>27</v>
      </c>
      <c r="H1271" s="55" t="s">
        <v>27</v>
      </c>
      <c r="I1271" s="50">
        <v>53.88129227396081</v>
      </c>
      <c r="J1271" t="e">
        <f t="shared" si="60"/>
        <v>#VALUE!</v>
      </c>
    </row>
    <row r="1272" spans="1:10" ht="11.25" customHeight="1" x14ac:dyDescent="0.15">
      <c r="A1272" s="126">
        <v>174</v>
      </c>
      <c r="B1272" s="25" t="s">
        <v>85</v>
      </c>
      <c r="C1272" s="39" t="s">
        <v>27</v>
      </c>
      <c r="D1272" s="50" t="s">
        <v>27</v>
      </c>
      <c r="E1272" s="28" t="s">
        <v>27</v>
      </c>
      <c r="F1272" s="51" t="s">
        <v>27</v>
      </c>
      <c r="G1272" s="28" t="s">
        <v>27</v>
      </c>
      <c r="H1272" s="55" t="s">
        <v>27</v>
      </c>
      <c r="I1272" s="50" t="s">
        <v>27</v>
      </c>
      <c r="J1272" t="e">
        <f t="shared" si="60"/>
        <v>#VALUE!</v>
      </c>
    </row>
    <row r="1273" spans="1:10" ht="11.25" customHeight="1" x14ac:dyDescent="0.15">
      <c r="A1273" s="32"/>
      <c r="B1273" s="52" t="s">
        <v>129</v>
      </c>
      <c r="C1273" s="53">
        <f t="shared" ref="C1273:H1273" si="61">SUM(C1099:C1272)</f>
        <v>144.37666666666669</v>
      </c>
      <c r="D1273" s="53">
        <f t="shared" si="61"/>
        <v>0.23256820211140447</v>
      </c>
      <c r="E1273" s="53">
        <f t="shared" si="61"/>
        <v>11.234175255478595</v>
      </c>
      <c r="F1273" s="53">
        <f t="shared" si="61"/>
        <v>0.1111434577127659</v>
      </c>
      <c r="G1273" s="53">
        <f t="shared" si="61"/>
        <v>0.76661834275668372</v>
      </c>
      <c r="H1273" s="54">
        <f t="shared" si="61"/>
        <v>0</v>
      </c>
      <c r="I1273" s="53">
        <f t="shared" ref="I1273" si="62">SUM(I1099:I1272)</f>
        <v>9309.2728036290046</v>
      </c>
      <c r="J1273">
        <f t="shared" si="60"/>
        <v>1.498945451597958E-3</v>
      </c>
    </row>
    <row r="1274" spans="1:10" ht="11.25" customHeight="1" x14ac:dyDescent="0.15">
      <c r="A1274" s="31"/>
      <c r="B1274" s="41" t="s">
        <v>130</v>
      </c>
      <c r="C1274" s="39">
        <f t="shared" ref="C1274:I1274" si="63">AVERAGE(C1099:C1272)</f>
        <v>9.6251111111111136</v>
      </c>
      <c r="D1274" s="39">
        <f t="shared" si="63"/>
        <v>1.5504546807426965E-2</v>
      </c>
      <c r="E1274" s="39">
        <f t="shared" si="63"/>
        <v>0.7489450170319063</v>
      </c>
      <c r="F1274" s="39">
        <f t="shared" si="63"/>
        <v>7.4095638475177271E-3</v>
      </c>
      <c r="G1274" s="39">
        <f t="shared" si="63"/>
        <v>5.1107889517112245E-2</v>
      </c>
      <c r="H1274" s="40" t="e">
        <f t="shared" si="63"/>
        <v>#DIV/0!</v>
      </c>
      <c r="I1274" s="39">
        <f t="shared" si="63"/>
        <v>53.810825454502918</v>
      </c>
      <c r="J1274">
        <f t="shared" si="60"/>
        <v>1.7287837541763117E-2</v>
      </c>
    </row>
    <row r="1275" spans="1:10" ht="11.25" customHeight="1" thickBot="1" x14ac:dyDescent="0.2">
      <c r="A1275" s="33"/>
      <c r="B1275" s="42" t="s">
        <v>131</v>
      </c>
      <c r="C1275" s="43">
        <f t="shared" ref="C1275:I1275" si="64">STDEV(C1099:C1272)/AVERAGE(C1099:C1272)</f>
        <v>8.0665786149350549E-2</v>
      </c>
      <c r="D1275" s="43">
        <f t="shared" si="64"/>
        <v>1.3569768911034203</v>
      </c>
      <c r="E1275" s="43">
        <f t="shared" si="64"/>
        <v>2.0918528159275489</v>
      </c>
      <c r="F1275" s="43">
        <f t="shared" si="64"/>
        <v>0.76939709964949354</v>
      </c>
      <c r="G1275" s="43">
        <f t="shared" si="64"/>
        <v>2.4184388700528139</v>
      </c>
      <c r="H1275" s="44" t="e">
        <f t="shared" si="64"/>
        <v>#DIV/0!</v>
      </c>
      <c r="I1275" s="43">
        <f t="shared" si="64"/>
        <v>0.35799885115208518</v>
      </c>
      <c r="J1275">
        <f t="shared" si="60"/>
        <v>227.42702442812291</v>
      </c>
    </row>
    <row r="1276" spans="1:10" ht="14" thickBot="1" x14ac:dyDescent="0.2"/>
    <row r="1277" spans="1:10" ht="11.25" customHeight="1" x14ac:dyDescent="0.15">
      <c r="A1277" s="56" t="s">
        <v>13</v>
      </c>
      <c r="B1277" s="57" t="s">
        <v>81</v>
      </c>
      <c r="C1277" s="58" t="s">
        <v>82</v>
      </c>
      <c r="D1277" s="34" t="s">
        <v>17</v>
      </c>
      <c r="E1277" s="34" t="s">
        <v>83</v>
      </c>
      <c r="F1277" s="34" t="s">
        <v>18</v>
      </c>
      <c r="G1277" s="34" t="s">
        <v>84</v>
      </c>
      <c r="H1277" s="35" t="s">
        <v>19</v>
      </c>
    </row>
    <row r="1278" spans="1:10" ht="11.25" customHeight="1" x14ac:dyDescent="0.15">
      <c r="A1278" s="36" t="s">
        <v>20</v>
      </c>
      <c r="B1278" s="37" t="s">
        <v>20</v>
      </c>
      <c r="C1278" s="37" t="s">
        <v>21</v>
      </c>
      <c r="D1278" s="37" t="s">
        <v>22</v>
      </c>
      <c r="E1278" s="37" t="s">
        <v>52</v>
      </c>
      <c r="F1278" s="37" t="s">
        <v>23</v>
      </c>
      <c r="G1278" s="37" t="s">
        <v>52</v>
      </c>
      <c r="H1278" s="38" t="s">
        <v>20</v>
      </c>
    </row>
    <row r="1279" spans="1:10" ht="11.25" customHeight="1" x14ac:dyDescent="0.15">
      <c r="A1279" s="36" t="s">
        <v>20</v>
      </c>
      <c r="B1279" s="37" t="s">
        <v>20</v>
      </c>
      <c r="C1279" s="37" t="s">
        <v>24</v>
      </c>
      <c r="D1279" s="37" t="s">
        <v>24</v>
      </c>
      <c r="E1279" s="37" t="s">
        <v>24</v>
      </c>
      <c r="F1279" s="37" t="s">
        <v>24</v>
      </c>
      <c r="G1279" s="37" t="s">
        <v>24</v>
      </c>
      <c r="H1279" s="38" t="s">
        <v>24</v>
      </c>
    </row>
    <row r="1280" spans="1:10" ht="11.25" customHeight="1" x14ac:dyDescent="0.15">
      <c r="A1280" s="36" t="s">
        <v>20</v>
      </c>
      <c r="B1280" s="37" t="s">
        <v>20</v>
      </c>
      <c r="C1280" s="45" t="s">
        <v>71</v>
      </c>
      <c r="D1280" s="46" t="s">
        <v>71</v>
      </c>
      <c r="E1280" s="47" t="s">
        <v>71</v>
      </c>
      <c r="F1280" s="48" t="s">
        <v>71</v>
      </c>
      <c r="G1280" s="47" t="s">
        <v>71</v>
      </c>
      <c r="H1280" s="49" t="s">
        <v>71</v>
      </c>
    </row>
    <row r="1281" spans="1:8" ht="11.25" customHeight="1" x14ac:dyDescent="0.15">
      <c r="A1281" s="126">
        <v>1</v>
      </c>
      <c r="B1281" s="25" t="s">
        <v>85</v>
      </c>
      <c r="C1281" s="39" t="s">
        <v>27</v>
      </c>
      <c r="D1281" s="50" t="s">
        <v>27</v>
      </c>
      <c r="E1281" s="28" t="s">
        <v>27</v>
      </c>
      <c r="F1281" s="51" t="s">
        <v>27</v>
      </c>
      <c r="G1281" s="28" t="s">
        <v>27</v>
      </c>
      <c r="H1281" s="55" t="s">
        <v>27</v>
      </c>
    </row>
    <row r="1282" spans="1:8" ht="12.75" customHeight="1" x14ac:dyDescent="0.15">
      <c r="A1282" s="126">
        <v>2</v>
      </c>
      <c r="B1282" s="25" t="s">
        <v>86</v>
      </c>
      <c r="C1282" s="39" t="s">
        <v>27</v>
      </c>
      <c r="D1282" s="50" t="s">
        <v>27</v>
      </c>
      <c r="E1282" s="28" t="s">
        <v>27</v>
      </c>
      <c r="F1282" s="51" t="s">
        <v>27</v>
      </c>
      <c r="G1282" s="28" t="s">
        <v>27</v>
      </c>
      <c r="H1282" s="55" t="s">
        <v>27</v>
      </c>
    </row>
    <row r="1283" spans="1:8" ht="12.75" customHeight="1" x14ac:dyDescent="0.15">
      <c r="A1283" s="126">
        <v>3</v>
      </c>
      <c r="B1283" s="25" t="s">
        <v>87</v>
      </c>
      <c r="C1283" s="39" t="s">
        <v>27</v>
      </c>
      <c r="D1283" s="50" t="s">
        <v>27</v>
      </c>
      <c r="E1283" s="28" t="s">
        <v>27</v>
      </c>
      <c r="F1283" s="51" t="s">
        <v>27</v>
      </c>
      <c r="G1283" s="28" t="s">
        <v>27</v>
      </c>
      <c r="H1283" s="55" t="s">
        <v>27</v>
      </c>
    </row>
    <row r="1284" spans="1:8" ht="12.75" customHeight="1" x14ac:dyDescent="0.15">
      <c r="A1284" s="126">
        <v>4</v>
      </c>
      <c r="B1284" s="25" t="s">
        <v>88</v>
      </c>
      <c r="C1284" s="39" t="s">
        <v>27</v>
      </c>
      <c r="D1284" s="50" t="s">
        <v>27</v>
      </c>
      <c r="E1284" s="28" t="s">
        <v>27</v>
      </c>
      <c r="F1284" s="51" t="s">
        <v>27</v>
      </c>
      <c r="G1284" s="28" t="s">
        <v>27</v>
      </c>
      <c r="H1284" s="55" t="s">
        <v>27</v>
      </c>
    </row>
    <row r="1285" spans="1:8" ht="12.75" customHeight="1" x14ac:dyDescent="0.15">
      <c r="A1285" s="126">
        <v>5</v>
      </c>
      <c r="B1285" s="25" t="s">
        <v>59</v>
      </c>
      <c r="C1285" s="39" t="s">
        <v>27</v>
      </c>
      <c r="D1285" s="50" t="s">
        <v>27</v>
      </c>
      <c r="E1285" s="28" t="s">
        <v>27</v>
      </c>
      <c r="F1285" s="51" t="s">
        <v>27</v>
      </c>
      <c r="G1285" s="28" t="s">
        <v>27</v>
      </c>
      <c r="H1285" s="55" t="s">
        <v>27</v>
      </c>
    </row>
    <row r="1286" spans="1:8" ht="12.75" customHeight="1" x14ac:dyDescent="0.15">
      <c r="A1286" s="126">
        <v>6</v>
      </c>
      <c r="B1286" s="25" t="s">
        <v>60</v>
      </c>
      <c r="C1286" s="39" t="s">
        <v>27</v>
      </c>
      <c r="D1286" s="50" t="s">
        <v>27</v>
      </c>
      <c r="E1286" s="28" t="s">
        <v>27</v>
      </c>
      <c r="F1286" s="51" t="s">
        <v>27</v>
      </c>
      <c r="G1286" s="28" t="s">
        <v>27</v>
      </c>
      <c r="H1286" s="55" t="s">
        <v>27</v>
      </c>
    </row>
    <row r="1287" spans="1:8" ht="12.75" customHeight="1" x14ac:dyDescent="0.15">
      <c r="A1287" s="126">
        <v>7</v>
      </c>
      <c r="B1287" s="25" t="s">
        <v>61</v>
      </c>
      <c r="C1287" s="39" t="s">
        <v>27</v>
      </c>
      <c r="D1287" s="50" t="s">
        <v>27</v>
      </c>
      <c r="E1287" s="28" t="s">
        <v>27</v>
      </c>
      <c r="F1287" s="51" t="s">
        <v>27</v>
      </c>
      <c r="G1287" s="28" t="s">
        <v>27</v>
      </c>
      <c r="H1287" s="55" t="s">
        <v>27</v>
      </c>
    </row>
    <row r="1288" spans="1:8" ht="12.75" customHeight="1" x14ac:dyDescent="0.15">
      <c r="A1288" s="126">
        <v>8</v>
      </c>
      <c r="B1288" s="25" t="s">
        <v>62</v>
      </c>
      <c r="C1288" s="39" t="s">
        <v>27</v>
      </c>
      <c r="D1288" s="50" t="s">
        <v>27</v>
      </c>
      <c r="E1288" s="28" t="s">
        <v>27</v>
      </c>
      <c r="F1288" s="51" t="s">
        <v>27</v>
      </c>
      <c r="G1288" s="28" t="s">
        <v>27</v>
      </c>
      <c r="H1288" s="55" t="s">
        <v>27</v>
      </c>
    </row>
    <row r="1289" spans="1:8" ht="12.75" customHeight="1" x14ac:dyDescent="0.15">
      <c r="A1289" s="126">
        <v>9</v>
      </c>
      <c r="B1289" s="25" t="s">
        <v>59</v>
      </c>
      <c r="C1289" s="39" t="s">
        <v>27</v>
      </c>
      <c r="D1289" s="50" t="s">
        <v>27</v>
      </c>
      <c r="E1289" s="28" t="s">
        <v>27</v>
      </c>
      <c r="F1289" s="51" t="s">
        <v>27</v>
      </c>
      <c r="G1289" s="28" t="s">
        <v>27</v>
      </c>
      <c r="H1289" s="55" t="s">
        <v>27</v>
      </c>
    </row>
    <row r="1290" spans="1:8" ht="12.75" customHeight="1" x14ac:dyDescent="0.15">
      <c r="A1290" s="126">
        <v>10</v>
      </c>
      <c r="B1290" s="25" t="s">
        <v>63</v>
      </c>
      <c r="C1290" s="39" t="s">
        <v>27</v>
      </c>
      <c r="D1290" s="50" t="s">
        <v>27</v>
      </c>
      <c r="E1290" s="28" t="s">
        <v>27</v>
      </c>
      <c r="F1290" s="51" t="s">
        <v>27</v>
      </c>
      <c r="G1290" s="28" t="s">
        <v>27</v>
      </c>
      <c r="H1290" s="55" t="s">
        <v>27</v>
      </c>
    </row>
    <row r="1291" spans="1:8" ht="12.75" customHeight="1" x14ac:dyDescent="0.15">
      <c r="A1291" s="126">
        <v>11</v>
      </c>
      <c r="B1291" s="25" t="s">
        <v>64</v>
      </c>
      <c r="C1291" s="39" t="s">
        <v>27</v>
      </c>
      <c r="D1291" s="50" t="s">
        <v>27</v>
      </c>
      <c r="E1291" s="28" t="s">
        <v>27</v>
      </c>
      <c r="F1291" s="51" t="s">
        <v>27</v>
      </c>
      <c r="G1291" s="28" t="s">
        <v>27</v>
      </c>
      <c r="H1291" s="55" t="s">
        <v>27</v>
      </c>
    </row>
    <row r="1292" spans="1:8" ht="12.75" customHeight="1" x14ac:dyDescent="0.15">
      <c r="A1292" s="126">
        <v>12</v>
      </c>
      <c r="B1292" s="25" t="s">
        <v>65</v>
      </c>
      <c r="C1292" s="39" t="s">
        <v>27</v>
      </c>
      <c r="D1292" s="50" t="s">
        <v>27</v>
      </c>
      <c r="E1292" s="28" t="s">
        <v>27</v>
      </c>
      <c r="F1292" s="51" t="s">
        <v>27</v>
      </c>
      <c r="G1292" s="28" t="s">
        <v>27</v>
      </c>
      <c r="H1292" s="55" t="s">
        <v>27</v>
      </c>
    </row>
    <row r="1293" spans="1:8" ht="12.75" customHeight="1" x14ac:dyDescent="0.15">
      <c r="A1293" s="126">
        <v>13</v>
      </c>
      <c r="B1293" s="25" t="s">
        <v>66</v>
      </c>
      <c r="C1293" s="39" t="s">
        <v>27</v>
      </c>
      <c r="D1293" s="50" t="s">
        <v>27</v>
      </c>
      <c r="E1293" s="28" t="s">
        <v>27</v>
      </c>
      <c r="F1293" s="51" t="s">
        <v>27</v>
      </c>
      <c r="G1293" s="28" t="s">
        <v>27</v>
      </c>
      <c r="H1293" s="55" t="s">
        <v>27</v>
      </c>
    </row>
    <row r="1294" spans="1:8" ht="12.75" customHeight="1" x14ac:dyDescent="0.15">
      <c r="A1294" s="126">
        <v>14</v>
      </c>
      <c r="B1294" s="25" t="s">
        <v>67</v>
      </c>
      <c r="C1294" s="39" t="s">
        <v>27</v>
      </c>
      <c r="D1294" s="50" t="s">
        <v>27</v>
      </c>
      <c r="E1294" s="28" t="s">
        <v>27</v>
      </c>
      <c r="F1294" s="51" t="s">
        <v>27</v>
      </c>
      <c r="G1294" s="28" t="s">
        <v>27</v>
      </c>
      <c r="H1294" s="55" t="s">
        <v>27</v>
      </c>
    </row>
    <row r="1295" spans="1:8" ht="12.75" customHeight="1" x14ac:dyDescent="0.15">
      <c r="A1295" s="126">
        <v>15</v>
      </c>
      <c r="B1295" s="25" t="s">
        <v>85</v>
      </c>
      <c r="C1295" s="39" t="s">
        <v>27</v>
      </c>
      <c r="D1295" s="50" t="s">
        <v>27</v>
      </c>
      <c r="E1295" s="28" t="s">
        <v>27</v>
      </c>
      <c r="F1295" s="51" t="s">
        <v>27</v>
      </c>
      <c r="G1295" s="28" t="s">
        <v>27</v>
      </c>
      <c r="H1295" s="55" t="s">
        <v>27</v>
      </c>
    </row>
    <row r="1296" spans="1:8" ht="12.75" customHeight="1" x14ac:dyDescent="0.15">
      <c r="A1296" s="126">
        <v>16</v>
      </c>
      <c r="B1296" s="25" t="s">
        <v>85</v>
      </c>
      <c r="C1296" s="39" t="s">
        <v>27</v>
      </c>
      <c r="D1296" s="50" t="s">
        <v>27</v>
      </c>
      <c r="E1296" s="28" t="s">
        <v>27</v>
      </c>
      <c r="F1296" s="51" t="s">
        <v>27</v>
      </c>
      <c r="G1296" s="28" t="s">
        <v>27</v>
      </c>
      <c r="H1296" s="55" t="s">
        <v>27</v>
      </c>
    </row>
    <row r="1297" spans="1:8" ht="12.75" customHeight="1" x14ac:dyDescent="0.15">
      <c r="A1297" s="126">
        <v>17</v>
      </c>
      <c r="B1297" s="25" t="s">
        <v>85</v>
      </c>
      <c r="C1297" s="39" t="s">
        <v>27</v>
      </c>
      <c r="D1297" s="50" t="s">
        <v>27</v>
      </c>
      <c r="E1297" s="28" t="s">
        <v>27</v>
      </c>
      <c r="F1297" s="51" t="s">
        <v>27</v>
      </c>
      <c r="G1297" s="28" t="s">
        <v>27</v>
      </c>
      <c r="H1297" s="55" t="s">
        <v>27</v>
      </c>
    </row>
    <row r="1298" spans="1:8" ht="12.75" customHeight="1" x14ac:dyDescent="0.15">
      <c r="A1298" s="126">
        <v>18</v>
      </c>
      <c r="B1298" s="25" t="s">
        <v>87</v>
      </c>
      <c r="C1298" s="39" t="s">
        <v>27</v>
      </c>
      <c r="D1298" s="50" t="s">
        <v>27</v>
      </c>
      <c r="E1298" s="28" t="s">
        <v>27</v>
      </c>
      <c r="F1298" s="51" t="s">
        <v>27</v>
      </c>
      <c r="G1298" s="28" t="s">
        <v>27</v>
      </c>
      <c r="H1298" s="55" t="s">
        <v>27</v>
      </c>
    </row>
    <row r="1299" spans="1:8" ht="12.75" customHeight="1" x14ac:dyDescent="0.15">
      <c r="A1299" s="126">
        <v>19</v>
      </c>
      <c r="B1299" s="25" t="s">
        <v>88</v>
      </c>
      <c r="C1299" s="39" t="s">
        <v>27</v>
      </c>
      <c r="D1299" s="50" t="s">
        <v>27</v>
      </c>
      <c r="E1299" s="28" t="s">
        <v>27</v>
      </c>
      <c r="F1299" s="51" t="s">
        <v>27</v>
      </c>
      <c r="G1299" s="28" t="s">
        <v>27</v>
      </c>
      <c r="H1299" s="55" t="s">
        <v>27</v>
      </c>
    </row>
    <row r="1300" spans="1:8" ht="12.75" customHeight="1" x14ac:dyDescent="0.15">
      <c r="A1300" s="126">
        <v>20</v>
      </c>
      <c r="B1300" s="25" t="s">
        <v>86</v>
      </c>
      <c r="C1300" s="39" t="s">
        <v>27</v>
      </c>
      <c r="D1300" s="50" t="s">
        <v>27</v>
      </c>
      <c r="E1300" s="28" t="s">
        <v>27</v>
      </c>
      <c r="F1300" s="51" t="s">
        <v>27</v>
      </c>
      <c r="G1300" s="28" t="s">
        <v>27</v>
      </c>
      <c r="H1300" s="55" t="s">
        <v>27</v>
      </c>
    </row>
    <row r="1301" spans="1:8" ht="12.75" customHeight="1" x14ac:dyDescent="0.15">
      <c r="A1301" s="126">
        <v>21</v>
      </c>
      <c r="B1301" s="25" t="s">
        <v>85</v>
      </c>
      <c r="C1301" s="39" t="s">
        <v>27</v>
      </c>
      <c r="D1301" s="50" t="s">
        <v>27</v>
      </c>
      <c r="E1301" s="28" t="s">
        <v>27</v>
      </c>
      <c r="F1301" s="51" t="s">
        <v>27</v>
      </c>
      <c r="G1301" s="28" t="s">
        <v>27</v>
      </c>
      <c r="H1301" s="55" t="s">
        <v>27</v>
      </c>
    </row>
    <row r="1302" spans="1:8" ht="12.75" customHeight="1" x14ac:dyDescent="0.15">
      <c r="A1302" s="126">
        <v>22</v>
      </c>
      <c r="B1302" s="25" t="s">
        <v>89</v>
      </c>
      <c r="C1302" s="39" t="s">
        <v>27</v>
      </c>
      <c r="D1302" s="50" t="s">
        <v>27</v>
      </c>
      <c r="E1302" s="28" t="s">
        <v>27</v>
      </c>
      <c r="F1302" s="51" t="s">
        <v>27</v>
      </c>
      <c r="G1302" s="28" t="s">
        <v>27</v>
      </c>
      <c r="H1302" s="55" t="s">
        <v>27</v>
      </c>
    </row>
    <row r="1303" spans="1:8" ht="12.75" customHeight="1" x14ac:dyDescent="0.15">
      <c r="A1303" s="126">
        <v>23</v>
      </c>
      <c r="B1303" s="25" t="s">
        <v>90</v>
      </c>
      <c r="C1303" s="39" t="s">
        <v>27</v>
      </c>
      <c r="D1303" s="50" t="s">
        <v>27</v>
      </c>
      <c r="E1303" s="28" t="s">
        <v>27</v>
      </c>
      <c r="F1303" s="51" t="s">
        <v>27</v>
      </c>
      <c r="G1303" s="28" t="s">
        <v>27</v>
      </c>
      <c r="H1303" s="55" t="s">
        <v>27</v>
      </c>
    </row>
    <row r="1304" spans="1:8" ht="12.75" customHeight="1" x14ac:dyDescent="0.15">
      <c r="A1304" s="126">
        <v>24</v>
      </c>
      <c r="B1304" s="25" t="s">
        <v>91</v>
      </c>
      <c r="C1304" s="39" t="s">
        <v>27</v>
      </c>
      <c r="D1304" s="50" t="s">
        <v>27</v>
      </c>
      <c r="E1304" s="28" t="s">
        <v>27</v>
      </c>
      <c r="F1304" s="51" t="s">
        <v>27</v>
      </c>
      <c r="G1304" s="28" t="s">
        <v>27</v>
      </c>
      <c r="H1304" s="55" t="s">
        <v>27</v>
      </c>
    </row>
    <row r="1305" spans="1:8" ht="12.75" customHeight="1" x14ac:dyDescent="0.15">
      <c r="A1305" s="126">
        <v>25</v>
      </c>
      <c r="B1305" s="25" t="s">
        <v>92</v>
      </c>
      <c r="C1305" s="39" t="s">
        <v>27</v>
      </c>
      <c r="D1305" s="50" t="s">
        <v>27</v>
      </c>
      <c r="E1305" s="28" t="s">
        <v>27</v>
      </c>
      <c r="F1305" s="51" t="s">
        <v>27</v>
      </c>
      <c r="G1305" s="28" t="s">
        <v>27</v>
      </c>
      <c r="H1305" s="55" t="s">
        <v>27</v>
      </c>
    </row>
    <row r="1306" spans="1:8" ht="12.75" customHeight="1" x14ac:dyDescent="0.15">
      <c r="A1306" s="126">
        <v>26</v>
      </c>
      <c r="B1306" s="25" t="s">
        <v>93</v>
      </c>
      <c r="C1306" s="39" t="s">
        <v>27</v>
      </c>
      <c r="D1306" s="50" t="s">
        <v>27</v>
      </c>
      <c r="E1306" s="28" t="s">
        <v>27</v>
      </c>
      <c r="F1306" s="51" t="s">
        <v>27</v>
      </c>
      <c r="G1306" s="28" t="s">
        <v>27</v>
      </c>
      <c r="H1306" s="55" t="s">
        <v>27</v>
      </c>
    </row>
    <row r="1307" spans="1:8" ht="12.75" customHeight="1" x14ac:dyDescent="0.15">
      <c r="A1307" s="126">
        <v>27</v>
      </c>
      <c r="B1307" s="25" t="s">
        <v>94</v>
      </c>
      <c r="C1307" s="39" t="s">
        <v>27</v>
      </c>
      <c r="D1307" s="50" t="s">
        <v>27</v>
      </c>
      <c r="E1307" s="28" t="s">
        <v>27</v>
      </c>
      <c r="F1307" s="51" t="s">
        <v>27</v>
      </c>
      <c r="G1307" s="28" t="s">
        <v>27</v>
      </c>
      <c r="H1307" s="55" t="s">
        <v>27</v>
      </c>
    </row>
    <row r="1308" spans="1:8" ht="12.75" customHeight="1" x14ac:dyDescent="0.15">
      <c r="A1308" s="126">
        <v>28</v>
      </c>
      <c r="B1308" s="25" t="s">
        <v>95</v>
      </c>
      <c r="C1308" s="39" t="s">
        <v>27</v>
      </c>
      <c r="D1308" s="50" t="s">
        <v>27</v>
      </c>
      <c r="E1308" s="28" t="s">
        <v>27</v>
      </c>
      <c r="F1308" s="51" t="s">
        <v>27</v>
      </c>
      <c r="G1308" s="28" t="s">
        <v>27</v>
      </c>
      <c r="H1308" s="55" t="s">
        <v>27</v>
      </c>
    </row>
    <row r="1309" spans="1:8" ht="12.75" customHeight="1" x14ac:dyDescent="0.15">
      <c r="A1309" s="126">
        <v>29</v>
      </c>
      <c r="B1309" s="25" t="s">
        <v>96</v>
      </c>
      <c r="C1309" s="39" t="s">
        <v>27</v>
      </c>
      <c r="D1309" s="50" t="s">
        <v>27</v>
      </c>
      <c r="E1309" s="28" t="s">
        <v>27</v>
      </c>
      <c r="F1309" s="51" t="s">
        <v>27</v>
      </c>
      <c r="G1309" s="28" t="s">
        <v>27</v>
      </c>
      <c r="H1309" s="55" t="s">
        <v>27</v>
      </c>
    </row>
    <row r="1310" spans="1:8" ht="12.75" customHeight="1" x14ac:dyDescent="0.15">
      <c r="A1310" s="126">
        <v>30</v>
      </c>
      <c r="B1310" s="25" t="s">
        <v>97</v>
      </c>
      <c r="C1310" s="39" t="s">
        <v>27</v>
      </c>
      <c r="D1310" s="50" t="s">
        <v>27</v>
      </c>
      <c r="E1310" s="28" t="s">
        <v>27</v>
      </c>
      <c r="F1310" s="51" t="s">
        <v>27</v>
      </c>
      <c r="G1310" s="28" t="s">
        <v>27</v>
      </c>
      <c r="H1310" s="55" t="s">
        <v>27</v>
      </c>
    </row>
    <row r="1311" spans="1:8" ht="12.75" customHeight="1" x14ac:dyDescent="0.15">
      <c r="A1311" s="126">
        <v>31</v>
      </c>
      <c r="B1311" s="25" t="s">
        <v>98</v>
      </c>
      <c r="C1311" s="39" t="s">
        <v>27</v>
      </c>
      <c r="D1311" s="50" t="s">
        <v>27</v>
      </c>
      <c r="E1311" s="28" t="s">
        <v>27</v>
      </c>
      <c r="F1311" s="51" t="s">
        <v>27</v>
      </c>
      <c r="G1311" s="28" t="s">
        <v>27</v>
      </c>
      <c r="H1311" s="55" t="s">
        <v>27</v>
      </c>
    </row>
    <row r="1312" spans="1:8" ht="12.75" customHeight="1" x14ac:dyDescent="0.15">
      <c r="A1312" s="126">
        <v>32</v>
      </c>
      <c r="B1312" s="25" t="s">
        <v>99</v>
      </c>
      <c r="C1312" s="39" t="s">
        <v>27</v>
      </c>
      <c r="D1312" s="50" t="s">
        <v>27</v>
      </c>
      <c r="E1312" s="28" t="s">
        <v>27</v>
      </c>
      <c r="F1312" s="51" t="s">
        <v>27</v>
      </c>
      <c r="G1312" s="28" t="s">
        <v>27</v>
      </c>
      <c r="H1312" s="55" t="s">
        <v>27</v>
      </c>
    </row>
    <row r="1313" spans="1:8" ht="12.75" customHeight="1" x14ac:dyDescent="0.15">
      <c r="A1313" s="126">
        <v>33</v>
      </c>
      <c r="B1313" s="25" t="s">
        <v>100</v>
      </c>
      <c r="C1313" s="39" t="s">
        <v>27</v>
      </c>
      <c r="D1313" s="50" t="s">
        <v>27</v>
      </c>
      <c r="E1313" s="28" t="s">
        <v>27</v>
      </c>
      <c r="F1313" s="51" t="s">
        <v>27</v>
      </c>
      <c r="G1313" s="28" t="s">
        <v>27</v>
      </c>
      <c r="H1313" s="55" t="s">
        <v>27</v>
      </c>
    </row>
    <row r="1314" spans="1:8" ht="12.75" customHeight="1" x14ac:dyDescent="0.15">
      <c r="A1314" s="126">
        <v>34</v>
      </c>
      <c r="B1314" s="25" t="s">
        <v>101</v>
      </c>
      <c r="C1314" s="39" t="s">
        <v>27</v>
      </c>
      <c r="D1314" s="50" t="s">
        <v>27</v>
      </c>
      <c r="E1314" s="28" t="s">
        <v>27</v>
      </c>
      <c r="F1314" s="51" t="s">
        <v>27</v>
      </c>
      <c r="G1314" s="28" t="s">
        <v>27</v>
      </c>
      <c r="H1314" s="55" t="s">
        <v>27</v>
      </c>
    </row>
    <row r="1315" spans="1:8" ht="12.75" customHeight="1" x14ac:dyDescent="0.15">
      <c r="A1315" s="126">
        <v>35</v>
      </c>
      <c r="B1315" s="25" t="s">
        <v>102</v>
      </c>
      <c r="C1315" s="39" t="s">
        <v>27</v>
      </c>
      <c r="D1315" s="50" t="s">
        <v>27</v>
      </c>
      <c r="E1315" s="28" t="s">
        <v>27</v>
      </c>
      <c r="F1315" s="51" t="s">
        <v>27</v>
      </c>
      <c r="G1315" s="28" t="s">
        <v>27</v>
      </c>
      <c r="H1315" s="55" t="s">
        <v>27</v>
      </c>
    </row>
    <row r="1316" spans="1:8" ht="12.75" customHeight="1" x14ac:dyDescent="0.15">
      <c r="A1316" s="126">
        <v>36</v>
      </c>
      <c r="B1316" s="25" t="s">
        <v>103</v>
      </c>
      <c r="C1316" s="39" t="s">
        <v>27</v>
      </c>
      <c r="D1316" s="50" t="s">
        <v>27</v>
      </c>
      <c r="E1316" s="28" t="s">
        <v>27</v>
      </c>
      <c r="F1316" s="51" t="s">
        <v>27</v>
      </c>
      <c r="G1316" s="28" t="s">
        <v>27</v>
      </c>
      <c r="H1316" s="55" t="s">
        <v>27</v>
      </c>
    </row>
    <row r="1317" spans="1:8" ht="12.75" customHeight="1" x14ac:dyDescent="0.15">
      <c r="A1317" s="126">
        <v>37</v>
      </c>
      <c r="B1317" s="25" t="s">
        <v>104</v>
      </c>
      <c r="C1317" s="39" t="s">
        <v>27</v>
      </c>
      <c r="D1317" s="50" t="s">
        <v>27</v>
      </c>
      <c r="E1317" s="28" t="s">
        <v>27</v>
      </c>
      <c r="F1317" s="51" t="s">
        <v>27</v>
      </c>
      <c r="G1317" s="28" t="s">
        <v>27</v>
      </c>
      <c r="H1317" s="55" t="s">
        <v>27</v>
      </c>
    </row>
    <row r="1318" spans="1:8" ht="12.75" customHeight="1" x14ac:dyDescent="0.15">
      <c r="A1318" s="126">
        <v>38</v>
      </c>
      <c r="B1318" s="25" t="s">
        <v>105</v>
      </c>
      <c r="C1318" s="39" t="s">
        <v>27</v>
      </c>
      <c r="D1318" s="50" t="s">
        <v>27</v>
      </c>
      <c r="E1318" s="28" t="s">
        <v>27</v>
      </c>
      <c r="F1318" s="51" t="s">
        <v>27</v>
      </c>
      <c r="G1318" s="28" t="s">
        <v>27</v>
      </c>
      <c r="H1318" s="55" t="s">
        <v>27</v>
      </c>
    </row>
    <row r="1319" spans="1:8" ht="12.75" customHeight="1" x14ac:dyDescent="0.15">
      <c r="A1319" s="126">
        <v>39</v>
      </c>
      <c r="B1319" s="25" t="s">
        <v>106</v>
      </c>
      <c r="C1319" s="39" t="s">
        <v>27</v>
      </c>
      <c r="D1319" s="50" t="s">
        <v>27</v>
      </c>
      <c r="E1319" s="28" t="s">
        <v>27</v>
      </c>
      <c r="F1319" s="51" t="s">
        <v>27</v>
      </c>
      <c r="G1319" s="28" t="s">
        <v>27</v>
      </c>
      <c r="H1319" s="55" t="s">
        <v>27</v>
      </c>
    </row>
    <row r="1320" spans="1:8" ht="12.75" customHeight="1" x14ac:dyDescent="0.15">
      <c r="A1320" s="126">
        <v>40</v>
      </c>
      <c r="B1320" s="25" t="s">
        <v>107</v>
      </c>
      <c r="C1320" s="39" t="s">
        <v>27</v>
      </c>
      <c r="D1320" s="50" t="s">
        <v>27</v>
      </c>
      <c r="E1320" s="28" t="s">
        <v>27</v>
      </c>
      <c r="F1320" s="51" t="s">
        <v>27</v>
      </c>
      <c r="G1320" s="28" t="s">
        <v>27</v>
      </c>
      <c r="H1320" s="55" t="s">
        <v>27</v>
      </c>
    </row>
    <row r="1321" spans="1:8" ht="12.75" customHeight="1" x14ac:dyDescent="0.15">
      <c r="A1321" s="126">
        <v>41</v>
      </c>
      <c r="B1321" s="25" t="s">
        <v>108</v>
      </c>
      <c r="C1321" s="39" t="s">
        <v>27</v>
      </c>
      <c r="D1321" s="50" t="s">
        <v>27</v>
      </c>
      <c r="E1321" s="28" t="s">
        <v>27</v>
      </c>
      <c r="F1321" s="51" t="s">
        <v>27</v>
      </c>
      <c r="G1321" s="28" t="s">
        <v>27</v>
      </c>
      <c r="H1321" s="55" t="s">
        <v>27</v>
      </c>
    </row>
    <row r="1322" spans="1:8" ht="12.75" customHeight="1" x14ac:dyDescent="0.15">
      <c r="A1322" s="126">
        <v>42</v>
      </c>
      <c r="B1322" s="25" t="s">
        <v>109</v>
      </c>
      <c r="C1322" s="39" t="s">
        <v>27</v>
      </c>
      <c r="D1322" s="50" t="s">
        <v>27</v>
      </c>
      <c r="E1322" s="28" t="s">
        <v>27</v>
      </c>
      <c r="F1322" s="51" t="s">
        <v>27</v>
      </c>
      <c r="G1322" s="28" t="s">
        <v>27</v>
      </c>
      <c r="H1322" s="55" t="s">
        <v>27</v>
      </c>
    </row>
    <row r="1323" spans="1:8" ht="12.75" customHeight="1" x14ac:dyDescent="0.15">
      <c r="A1323" s="126">
        <v>43</v>
      </c>
      <c r="B1323" s="25" t="s">
        <v>110</v>
      </c>
      <c r="C1323" s="39" t="s">
        <v>27</v>
      </c>
      <c r="D1323" s="50" t="s">
        <v>27</v>
      </c>
      <c r="E1323" s="28" t="s">
        <v>27</v>
      </c>
      <c r="F1323" s="51" t="s">
        <v>27</v>
      </c>
      <c r="G1323" s="28" t="s">
        <v>27</v>
      </c>
      <c r="H1323" s="55" t="s">
        <v>27</v>
      </c>
    </row>
    <row r="1324" spans="1:8" ht="12.75" customHeight="1" x14ac:dyDescent="0.15">
      <c r="A1324" s="126">
        <v>44</v>
      </c>
      <c r="B1324" s="25" t="s">
        <v>111</v>
      </c>
      <c r="C1324" s="39" t="s">
        <v>27</v>
      </c>
      <c r="D1324" s="50" t="s">
        <v>27</v>
      </c>
      <c r="E1324" s="28" t="s">
        <v>27</v>
      </c>
      <c r="F1324" s="51" t="s">
        <v>27</v>
      </c>
      <c r="G1324" s="28" t="s">
        <v>27</v>
      </c>
      <c r="H1324" s="55" t="s">
        <v>27</v>
      </c>
    </row>
    <row r="1325" spans="1:8" ht="12.75" customHeight="1" x14ac:dyDescent="0.15">
      <c r="A1325" s="126">
        <v>45</v>
      </c>
      <c r="B1325" s="25" t="s">
        <v>112</v>
      </c>
      <c r="C1325" s="39" t="s">
        <v>27</v>
      </c>
      <c r="D1325" s="50" t="s">
        <v>27</v>
      </c>
      <c r="E1325" s="28" t="s">
        <v>27</v>
      </c>
      <c r="F1325" s="51" t="s">
        <v>27</v>
      </c>
      <c r="G1325" s="28" t="s">
        <v>27</v>
      </c>
      <c r="H1325" s="55" t="s">
        <v>27</v>
      </c>
    </row>
    <row r="1326" spans="1:8" ht="12.75" customHeight="1" x14ac:dyDescent="0.15">
      <c r="A1326" s="126">
        <v>46</v>
      </c>
      <c r="B1326" s="25" t="s">
        <v>113</v>
      </c>
      <c r="C1326" s="39" t="s">
        <v>27</v>
      </c>
      <c r="D1326" s="50" t="s">
        <v>27</v>
      </c>
      <c r="E1326" s="28" t="s">
        <v>27</v>
      </c>
      <c r="F1326" s="51" t="s">
        <v>27</v>
      </c>
      <c r="G1326" s="28" t="s">
        <v>27</v>
      </c>
      <c r="H1326" s="55" t="s">
        <v>27</v>
      </c>
    </row>
    <row r="1327" spans="1:8" ht="12.75" customHeight="1" x14ac:dyDescent="0.15">
      <c r="A1327" s="126">
        <v>47</v>
      </c>
      <c r="B1327" s="25" t="s">
        <v>114</v>
      </c>
      <c r="C1327" s="39" t="s">
        <v>27</v>
      </c>
      <c r="D1327" s="50" t="s">
        <v>27</v>
      </c>
      <c r="E1327" s="28" t="s">
        <v>27</v>
      </c>
      <c r="F1327" s="51" t="s">
        <v>27</v>
      </c>
      <c r="G1327" s="28" t="s">
        <v>27</v>
      </c>
      <c r="H1327" s="55" t="s">
        <v>27</v>
      </c>
    </row>
    <row r="1328" spans="1:8" ht="12.75" customHeight="1" x14ac:dyDescent="0.15">
      <c r="A1328" s="126">
        <v>48</v>
      </c>
      <c r="B1328" s="25" t="s">
        <v>115</v>
      </c>
      <c r="C1328" s="39" t="s">
        <v>27</v>
      </c>
      <c r="D1328" s="50" t="s">
        <v>27</v>
      </c>
      <c r="E1328" s="28" t="s">
        <v>27</v>
      </c>
      <c r="F1328" s="51" t="s">
        <v>27</v>
      </c>
      <c r="G1328" s="28" t="s">
        <v>27</v>
      </c>
      <c r="H1328" s="55" t="s">
        <v>27</v>
      </c>
    </row>
    <row r="1329" spans="1:8" ht="12.75" customHeight="1" x14ac:dyDescent="0.15">
      <c r="A1329" s="126">
        <v>49</v>
      </c>
      <c r="B1329" s="25" t="s">
        <v>116</v>
      </c>
      <c r="C1329" s="39" t="s">
        <v>27</v>
      </c>
      <c r="D1329" s="50" t="s">
        <v>27</v>
      </c>
      <c r="E1329" s="28" t="s">
        <v>27</v>
      </c>
      <c r="F1329" s="51" t="s">
        <v>27</v>
      </c>
      <c r="G1329" s="28" t="s">
        <v>27</v>
      </c>
      <c r="H1329" s="55" t="s">
        <v>27</v>
      </c>
    </row>
    <row r="1330" spans="1:8" ht="12.75" customHeight="1" x14ac:dyDescent="0.15">
      <c r="A1330" s="126">
        <v>50</v>
      </c>
      <c r="B1330" s="25" t="s">
        <v>117</v>
      </c>
      <c r="C1330" s="39" t="s">
        <v>27</v>
      </c>
      <c r="D1330" s="50" t="s">
        <v>27</v>
      </c>
      <c r="E1330" s="28" t="s">
        <v>27</v>
      </c>
      <c r="F1330" s="51" t="s">
        <v>27</v>
      </c>
      <c r="G1330" s="28" t="s">
        <v>27</v>
      </c>
      <c r="H1330" s="55" t="s">
        <v>27</v>
      </c>
    </row>
    <row r="1331" spans="1:8" ht="12.75" customHeight="1" x14ac:dyDescent="0.15">
      <c r="A1331" s="126">
        <v>51</v>
      </c>
      <c r="B1331" s="25" t="s">
        <v>2</v>
      </c>
      <c r="C1331" s="39" t="s">
        <v>27</v>
      </c>
      <c r="D1331" s="50" t="s">
        <v>27</v>
      </c>
      <c r="E1331" s="28" t="s">
        <v>27</v>
      </c>
      <c r="F1331" s="51" t="s">
        <v>27</v>
      </c>
      <c r="G1331" s="28" t="s">
        <v>27</v>
      </c>
      <c r="H1331" s="55" t="s">
        <v>27</v>
      </c>
    </row>
    <row r="1332" spans="1:8" ht="12.75" customHeight="1" x14ac:dyDescent="0.15">
      <c r="A1332" s="126">
        <v>52</v>
      </c>
      <c r="B1332" s="25" t="s">
        <v>118</v>
      </c>
      <c r="C1332" s="39" t="s">
        <v>27</v>
      </c>
      <c r="D1332" s="50" t="s">
        <v>27</v>
      </c>
      <c r="E1332" s="28" t="s">
        <v>27</v>
      </c>
      <c r="F1332" s="51" t="s">
        <v>27</v>
      </c>
      <c r="G1332" s="28" t="s">
        <v>27</v>
      </c>
      <c r="H1332" s="55" t="s">
        <v>27</v>
      </c>
    </row>
    <row r="1333" spans="1:8" ht="12.75" customHeight="1" x14ac:dyDescent="0.15">
      <c r="A1333" s="126">
        <v>53</v>
      </c>
      <c r="B1333" s="25" t="s">
        <v>119</v>
      </c>
      <c r="C1333" s="39" t="s">
        <v>27</v>
      </c>
      <c r="D1333" s="50" t="s">
        <v>27</v>
      </c>
      <c r="E1333" s="28" t="s">
        <v>27</v>
      </c>
      <c r="F1333" s="51" t="s">
        <v>27</v>
      </c>
      <c r="G1333" s="28" t="s">
        <v>27</v>
      </c>
      <c r="H1333" s="55" t="s">
        <v>27</v>
      </c>
    </row>
    <row r="1334" spans="1:8" ht="12.75" customHeight="1" x14ac:dyDescent="0.15">
      <c r="A1334" s="126">
        <v>54</v>
      </c>
      <c r="B1334" s="25" t="s">
        <v>120</v>
      </c>
      <c r="C1334" s="39" t="s">
        <v>27</v>
      </c>
      <c r="D1334" s="50" t="s">
        <v>27</v>
      </c>
      <c r="E1334" s="28" t="s">
        <v>27</v>
      </c>
      <c r="F1334" s="51" t="s">
        <v>27</v>
      </c>
      <c r="G1334" s="28" t="s">
        <v>27</v>
      </c>
      <c r="H1334" s="55" t="s">
        <v>27</v>
      </c>
    </row>
    <row r="1335" spans="1:8" ht="12.75" customHeight="1" x14ac:dyDescent="0.15">
      <c r="A1335" s="126">
        <v>55</v>
      </c>
      <c r="B1335" s="25" t="s">
        <v>121</v>
      </c>
      <c r="C1335" s="39" t="s">
        <v>27</v>
      </c>
      <c r="D1335" s="50" t="s">
        <v>27</v>
      </c>
      <c r="E1335" s="28" t="s">
        <v>27</v>
      </c>
      <c r="F1335" s="51" t="s">
        <v>27</v>
      </c>
      <c r="G1335" s="28" t="s">
        <v>27</v>
      </c>
      <c r="H1335" s="55" t="s">
        <v>27</v>
      </c>
    </row>
    <row r="1336" spans="1:8" ht="12.75" customHeight="1" x14ac:dyDescent="0.15">
      <c r="A1336" s="126">
        <v>56</v>
      </c>
      <c r="B1336" s="25" t="s">
        <v>122</v>
      </c>
      <c r="C1336" s="39" t="s">
        <v>27</v>
      </c>
      <c r="D1336" s="50" t="s">
        <v>27</v>
      </c>
      <c r="E1336" s="28" t="s">
        <v>27</v>
      </c>
      <c r="F1336" s="51" t="s">
        <v>27</v>
      </c>
      <c r="G1336" s="28" t="s">
        <v>27</v>
      </c>
      <c r="H1336" s="55" t="s">
        <v>27</v>
      </c>
    </row>
    <row r="1337" spans="1:8" ht="12.75" customHeight="1" x14ac:dyDescent="0.15">
      <c r="A1337" s="126">
        <v>57</v>
      </c>
      <c r="B1337" s="25" t="s">
        <v>123</v>
      </c>
      <c r="C1337" s="39" t="s">
        <v>27</v>
      </c>
      <c r="D1337" s="50" t="s">
        <v>27</v>
      </c>
      <c r="E1337" s="28" t="s">
        <v>27</v>
      </c>
      <c r="F1337" s="51" t="s">
        <v>27</v>
      </c>
      <c r="G1337" s="28" t="s">
        <v>27</v>
      </c>
      <c r="H1337" s="55" t="s">
        <v>27</v>
      </c>
    </row>
    <row r="1338" spans="1:8" ht="12.75" customHeight="1" x14ac:dyDescent="0.15">
      <c r="A1338" s="126">
        <v>58</v>
      </c>
      <c r="B1338" s="25" t="s">
        <v>124</v>
      </c>
      <c r="C1338" s="39" t="s">
        <v>27</v>
      </c>
      <c r="D1338" s="50" t="s">
        <v>27</v>
      </c>
      <c r="E1338" s="28" t="s">
        <v>27</v>
      </c>
      <c r="F1338" s="51" t="s">
        <v>27</v>
      </c>
      <c r="G1338" s="28" t="s">
        <v>27</v>
      </c>
      <c r="H1338" s="55" t="s">
        <v>27</v>
      </c>
    </row>
    <row r="1339" spans="1:8" ht="12.75" customHeight="1" x14ac:dyDescent="0.15">
      <c r="A1339" s="126">
        <v>59</v>
      </c>
      <c r="B1339" s="25" t="s">
        <v>90</v>
      </c>
      <c r="C1339" s="39" t="s">
        <v>27</v>
      </c>
      <c r="D1339" s="50" t="s">
        <v>27</v>
      </c>
      <c r="E1339" s="28" t="s">
        <v>27</v>
      </c>
      <c r="F1339" s="51" t="s">
        <v>27</v>
      </c>
      <c r="G1339" s="28" t="s">
        <v>27</v>
      </c>
      <c r="H1339" s="55" t="s">
        <v>27</v>
      </c>
    </row>
    <row r="1340" spans="1:8" ht="12.75" customHeight="1" x14ac:dyDescent="0.15">
      <c r="A1340" s="126">
        <v>60</v>
      </c>
      <c r="B1340" s="25" t="s">
        <v>91</v>
      </c>
      <c r="C1340" s="39" t="s">
        <v>27</v>
      </c>
      <c r="D1340" s="50" t="s">
        <v>27</v>
      </c>
      <c r="E1340" s="28" t="s">
        <v>27</v>
      </c>
      <c r="F1340" s="51" t="s">
        <v>27</v>
      </c>
      <c r="G1340" s="28" t="s">
        <v>27</v>
      </c>
      <c r="H1340" s="55" t="s">
        <v>27</v>
      </c>
    </row>
    <row r="1341" spans="1:8" ht="12.75" customHeight="1" x14ac:dyDescent="0.15">
      <c r="A1341" s="126">
        <v>61</v>
      </c>
      <c r="B1341" s="25" t="s">
        <v>92</v>
      </c>
      <c r="C1341" s="39" t="s">
        <v>27</v>
      </c>
      <c r="D1341" s="50" t="s">
        <v>27</v>
      </c>
      <c r="E1341" s="28" t="s">
        <v>27</v>
      </c>
      <c r="F1341" s="51" t="s">
        <v>27</v>
      </c>
      <c r="G1341" s="28" t="s">
        <v>27</v>
      </c>
      <c r="H1341" s="55" t="s">
        <v>27</v>
      </c>
    </row>
    <row r="1342" spans="1:8" ht="12.75" customHeight="1" x14ac:dyDescent="0.15">
      <c r="A1342" s="126">
        <v>62</v>
      </c>
      <c r="B1342" s="25" t="s">
        <v>93</v>
      </c>
      <c r="C1342" s="39" t="s">
        <v>27</v>
      </c>
      <c r="D1342" s="50" t="s">
        <v>27</v>
      </c>
      <c r="E1342" s="28" t="s">
        <v>27</v>
      </c>
      <c r="F1342" s="51" t="s">
        <v>27</v>
      </c>
      <c r="G1342" s="28" t="s">
        <v>27</v>
      </c>
      <c r="H1342" s="55" t="s">
        <v>27</v>
      </c>
    </row>
    <row r="1343" spans="1:8" ht="12.75" customHeight="1" x14ac:dyDescent="0.15">
      <c r="A1343" s="126">
        <v>63</v>
      </c>
      <c r="B1343" s="25" t="s">
        <v>94</v>
      </c>
      <c r="C1343" s="39" t="s">
        <v>27</v>
      </c>
      <c r="D1343" s="50" t="s">
        <v>27</v>
      </c>
      <c r="E1343" s="28" t="s">
        <v>27</v>
      </c>
      <c r="F1343" s="51" t="s">
        <v>27</v>
      </c>
      <c r="G1343" s="28" t="s">
        <v>27</v>
      </c>
      <c r="H1343" s="55" t="s">
        <v>27</v>
      </c>
    </row>
    <row r="1344" spans="1:8" ht="12.75" customHeight="1" x14ac:dyDescent="0.15">
      <c r="A1344" s="126">
        <v>64</v>
      </c>
      <c r="B1344" s="25" t="s">
        <v>95</v>
      </c>
      <c r="C1344" s="39" t="s">
        <v>27</v>
      </c>
      <c r="D1344" s="50" t="s">
        <v>27</v>
      </c>
      <c r="E1344" s="28" t="s">
        <v>27</v>
      </c>
      <c r="F1344" s="51" t="s">
        <v>27</v>
      </c>
      <c r="G1344" s="28" t="s">
        <v>27</v>
      </c>
      <c r="H1344" s="55" t="s">
        <v>27</v>
      </c>
    </row>
    <row r="1345" spans="1:8" ht="12.75" customHeight="1" x14ac:dyDescent="0.15">
      <c r="A1345" s="126">
        <v>65</v>
      </c>
      <c r="B1345" s="25" t="s">
        <v>96</v>
      </c>
      <c r="C1345" s="39" t="s">
        <v>27</v>
      </c>
      <c r="D1345" s="50" t="s">
        <v>27</v>
      </c>
      <c r="E1345" s="28" t="s">
        <v>27</v>
      </c>
      <c r="F1345" s="51" t="s">
        <v>27</v>
      </c>
      <c r="G1345" s="28" t="s">
        <v>27</v>
      </c>
      <c r="H1345" s="55" t="s">
        <v>27</v>
      </c>
    </row>
    <row r="1346" spans="1:8" ht="12.75" customHeight="1" x14ac:dyDescent="0.15">
      <c r="A1346" s="126">
        <v>66</v>
      </c>
      <c r="B1346" s="25" t="s">
        <v>97</v>
      </c>
      <c r="C1346" s="39" t="s">
        <v>27</v>
      </c>
      <c r="D1346" s="50" t="s">
        <v>27</v>
      </c>
      <c r="E1346" s="28" t="s">
        <v>27</v>
      </c>
      <c r="F1346" s="51" t="s">
        <v>27</v>
      </c>
      <c r="G1346" s="28" t="s">
        <v>27</v>
      </c>
      <c r="H1346" s="55" t="s">
        <v>27</v>
      </c>
    </row>
    <row r="1347" spans="1:8" ht="12.75" customHeight="1" x14ac:dyDescent="0.15">
      <c r="A1347" s="126">
        <v>67</v>
      </c>
      <c r="B1347" s="25" t="s">
        <v>98</v>
      </c>
      <c r="C1347" s="39" t="s">
        <v>27</v>
      </c>
      <c r="D1347" s="50" t="s">
        <v>27</v>
      </c>
      <c r="E1347" s="28" t="s">
        <v>27</v>
      </c>
      <c r="F1347" s="51" t="s">
        <v>27</v>
      </c>
      <c r="G1347" s="28" t="s">
        <v>27</v>
      </c>
      <c r="H1347" s="55" t="s">
        <v>27</v>
      </c>
    </row>
    <row r="1348" spans="1:8" ht="12.75" customHeight="1" x14ac:dyDescent="0.15">
      <c r="A1348" s="126">
        <v>68</v>
      </c>
      <c r="B1348" s="25" t="s">
        <v>99</v>
      </c>
      <c r="C1348" s="39" t="s">
        <v>27</v>
      </c>
      <c r="D1348" s="50" t="s">
        <v>27</v>
      </c>
      <c r="E1348" s="28" t="s">
        <v>27</v>
      </c>
      <c r="F1348" s="51" t="s">
        <v>27</v>
      </c>
      <c r="G1348" s="28" t="s">
        <v>27</v>
      </c>
      <c r="H1348" s="55" t="s">
        <v>27</v>
      </c>
    </row>
    <row r="1349" spans="1:8" ht="12.75" customHeight="1" x14ac:dyDescent="0.15">
      <c r="A1349" s="126">
        <v>69</v>
      </c>
      <c r="B1349" s="25" t="s">
        <v>100</v>
      </c>
      <c r="C1349" s="39" t="s">
        <v>27</v>
      </c>
      <c r="D1349" s="50" t="s">
        <v>27</v>
      </c>
      <c r="E1349" s="28" t="s">
        <v>27</v>
      </c>
      <c r="F1349" s="51" t="s">
        <v>27</v>
      </c>
      <c r="G1349" s="28" t="s">
        <v>27</v>
      </c>
      <c r="H1349" s="55" t="s">
        <v>27</v>
      </c>
    </row>
    <row r="1350" spans="1:8" ht="12.75" customHeight="1" x14ac:dyDescent="0.15">
      <c r="A1350" s="126">
        <v>70</v>
      </c>
      <c r="B1350" s="25" t="s">
        <v>101</v>
      </c>
      <c r="C1350" s="39" t="s">
        <v>27</v>
      </c>
      <c r="D1350" s="50" t="s">
        <v>27</v>
      </c>
      <c r="E1350" s="28" t="s">
        <v>27</v>
      </c>
      <c r="F1350" s="51" t="s">
        <v>27</v>
      </c>
      <c r="G1350" s="28" t="s">
        <v>27</v>
      </c>
      <c r="H1350" s="55" t="s">
        <v>27</v>
      </c>
    </row>
    <row r="1351" spans="1:8" ht="12.75" customHeight="1" x14ac:dyDescent="0.15">
      <c r="A1351" s="126">
        <v>71</v>
      </c>
      <c r="B1351" s="25" t="s">
        <v>102</v>
      </c>
      <c r="C1351" s="39" t="s">
        <v>27</v>
      </c>
      <c r="D1351" s="50" t="s">
        <v>27</v>
      </c>
      <c r="E1351" s="28" t="s">
        <v>27</v>
      </c>
      <c r="F1351" s="51" t="s">
        <v>27</v>
      </c>
      <c r="G1351" s="28" t="s">
        <v>27</v>
      </c>
      <c r="H1351" s="55" t="s">
        <v>27</v>
      </c>
    </row>
    <row r="1352" spans="1:8" ht="12.75" customHeight="1" x14ac:dyDescent="0.15">
      <c r="A1352" s="126">
        <v>72</v>
      </c>
      <c r="B1352" s="25" t="s">
        <v>103</v>
      </c>
      <c r="C1352" s="39" t="s">
        <v>27</v>
      </c>
      <c r="D1352" s="50" t="s">
        <v>27</v>
      </c>
      <c r="E1352" s="28" t="s">
        <v>27</v>
      </c>
      <c r="F1352" s="51" t="s">
        <v>27</v>
      </c>
      <c r="G1352" s="28" t="s">
        <v>27</v>
      </c>
      <c r="H1352" s="55" t="s">
        <v>27</v>
      </c>
    </row>
    <row r="1353" spans="1:8" ht="12.75" customHeight="1" x14ac:dyDescent="0.15">
      <c r="A1353" s="126">
        <v>73</v>
      </c>
      <c r="B1353" s="25" t="s">
        <v>104</v>
      </c>
      <c r="C1353" s="39" t="s">
        <v>27</v>
      </c>
      <c r="D1353" s="50" t="s">
        <v>27</v>
      </c>
      <c r="E1353" s="28" t="s">
        <v>27</v>
      </c>
      <c r="F1353" s="51" t="s">
        <v>27</v>
      </c>
      <c r="G1353" s="28" t="s">
        <v>27</v>
      </c>
      <c r="H1353" s="55" t="s">
        <v>27</v>
      </c>
    </row>
    <row r="1354" spans="1:8" ht="12.75" customHeight="1" x14ac:dyDescent="0.15">
      <c r="A1354" s="126">
        <v>74</v>
      </c>
      <c r="B1354" s="25" t="s">
        <v>105</v>
      </c>
      <c r="C1354" s="39" t="s">
        <v>27</v>
      </c>
      <c r="D1354" s="50" t="s">
        <v>27</v>
      </c>
      <c r="E1354" s="28" t="s">
        <v>27</v>
      </c>
      <c r="F1354" s="51" t="s">
        <v>27</v>
      </c>
      <c r="G1354" s="28" t="s">
        <v>27</v>
      </c>
      <c r="H1354" s="55" t="s">
        <v>27</v>
      </c>
    </row>
    <row r="1355" spans="1:8" ht="12.75" customHeight="1" x14ac:dyDescent="0.15">
      <c r="A1355" s="126">
        <v>75</v>
      </c>
      <c r="B1355" s="25" t="s">
        <v>106</v>
      </c>
      <c r="C1355" s="39" t="s">
        <v>27</v>
      </c>
      <c r="D1355" s="50" t="s">
        <v>27</v>
      </c>
      <c r="E1355" s="28" t="s">
        <v>27</v>
      </c>
      <c r="F1355" s="51" t="s">
        <v>27</v>
      </c>
      <c r="G1355" s="28" t="s">
        <v>27</v>
      </c>
      <c r="H1355" s="55" t="s">
        <v>27</v>
      </c>
    </row>
    <row r="1356" spans="1:8" ht="12.75" customHeight="1" x14ac:dyDescent="0.15">
      <c r="A1356" s="126">
        <v>76</v>
      </c>
      <c r="B1356" s="25" t="s">
        <v>107</v>
      </c>
      <c r="C1356" s="39" t="s">
        <v>27</v>
      </c>
      <c r="D1356" s="50" t="s">
        <v>27</v>
      </c>
      <c r="E1356" s="28" t="s">
        <v>27</v>
      </c>
      <c r="F1356" s="51" t="s">
        <v>27</v>
      </c>
      <c r="G1356" s="28" t="s">
        <v>27</v>
      </c>
      <c r="H1356" s="55" t="s">
        <v>27</v>
      </c>
    </row>
    <row r="1357" spans="1:8" ht="12.75" customHeight="1" x14ac:dyDescent="0.15">
      <c r="A1357" s="126">
        <v>77</v>
      </c>
      <c r="B1357" s="25" t="s">
        <v>108</v>
      </c>
      <c r="C1357" s="39" t="s">
        <v>27</v>
      </c>
      <c r="D1357" s="50" t="s">
        <v>27</v>
      </c>
      <c r="E1357" s="28" t="s">
        <v>27</v>
      </c>
      <c r="F1357" s="51" t="s">
        <v>27</v>
      </c>
      <c r="G1357" s="28" t="s">
        <v>27</v>
      </c>
      <c r="H1357" s="55" t="s">
        <v>27</v>
      </c>
    </row>
    <row r="1358" spans="1:8" ht="12.75" customHeight="1" x14ac:dyDescent="0.15">
      <c r="A1358" s="126">
        <v>78</v>
      </c>
      <c r="B1358" s="25" t="s">
        <v>109</v>
      </c>
      <c r="C1358" s="39" t="s">
        <v>27</v>
      </c>
      <c r="D1358" s="50" t="s">
        <v>27</v>
      </c>
      <c r="E1358" s="28" t="s">
        <v>27</v>
      </c>
      <c r="F1358" s="51" t="s">
        <v>27</v>
      </c>
      <c r="G1358" s="28" t="s">
        <v>27</v>
      </c>
      <c r="H1358" s="55" t="s">
        <v>27</v>
      </c>
    </row>
    <row r="1359" spans="1:8" ht="12.75" customHeight="1" x14ac:dyDescent="0.15">
      <c r="A1359" s="126">
        <v>79</v>
      </c>
      <c r="B1359" s="25" t="s">
        <v>110</v>
      </c>
      <c r="C1359" s="39" t="s">
        <v>27</v>
      </c>
      <c r="D1359" s="50" t="s">
        <v>27</v>
      </c>
      <c r="E1359" s="28" t="s">
        <v>27</v>
      </c>
      <c r="F1359" s="51" t="s">
        <v>27</v>
      </c>
      <c r="G1359" s="28" t="s">
        <v>27</v>
      </c>
      <c r="H1359" s="55" t="s">
        <v>27</v>
      </c>
    </row>
    <row r="1360" spans="1:8" ht="12.75" customHeight="1" x14ac:dyDescent="0.15">
      <c r="A1360" s="126">
        <v>80</v>
      </c>
      <c r="B1360" s="25" t="s">
        <v>111</v>
      </c>
      <c r="C1360" s="39" t="s">
        <v>27</v>
      </c>
      <c r="D1360" s="50" t="s">
        <v>27</v>
      </c>
      <c r="E1360" s="28" t="s">
        <v>27</v>
      </c>
      <c r="F1360" s="51" t="s">
        <v>27</v>
      </c>
      <c r="G1360" s="28" t="s">
        <v>27</v>
      </c>
      <c r="H1360" s="55" t="s">
        <v>27</v>
      </c>
    </row>
    <row r="1361" spans="1:8" ht="12.75" customHeight="1" x14ac:dyDescent="0.15">
      <c r="A1361" s="126">
        <v>81</v>
      </c>
      <c r="B1361" s="25" t="s">
        <v>112</v>
      </c>
      <c r="C1361" s="39" t="s">
        <v>27</v>
      </c>
      <c r="D1361" s="50" t="s">
        <v>27</v>
      </c>
      <c r="E1361" s="28" t="s">
        <v>27</v>
      </c>
      <c r="F1361" s="51" t="s">
        <v>27</v>
      </c>
      <c r="G1361" s="28" t="s">
        <v>27</v>
      </c>
      <c r="H1361" s="55" t="s">
        <v>27</v>
      </c>
    </row>
    <row r="1362" spans="1:8" ht="12.75" customHeight="1" x14ac:dyDescent="0.15">
      <c r="A1362" s="126">
        <v>82</v>
      </c>
      <c r="B1362" s="25" t="s">
        <v>113</v>
      </c>
      <c r="C1362" s="39">
        <v>22.87</v>
      </c>
      <c r="D1362" s="50">
        <v>1.0286900000002319E-2</v>
      </c>
      <c r="E1362" s="28">
        <v>1.6032451139479185E-2</v>
      </c>
      <c r="F1362" s="51">
        <v>7.1597862767153186E-3</v>
      </c>
      <c r="G1362" s="28">
        <v>1.771929583286523E-3</v>
      </c>
      <c r="H1362" s="55" t="s">
        <v>27</v>
      </c>
    </row>
    <row r="1363" spans="1:8" ht="12.75" customHeight="1" x14ac:dyDescent="0.15">
      <c r="A1363" s="126">
        <v>83</v>
      </c>
      <c r="B1363" s="25" t="s">
        <v>114</v>
      </c>
      <c r="C1363" s="39" t="s">
        <v>27</v>
      </c>
      <c r="D1363" s="50" t="s">
        <v>27</v>
      </c>
      <c r="E1363" s="28" t="s">
        <v>27</v>
      </c>
      <c r="F1363" s="51" t="s">
        <v>27</v>
      </c>
      <c r="G1363" s="28" t="s">
        <v>27</v>
      </c>
      <c r="H1363" s="55" t="s">
        <v>27</v>
      </c>
    </row>
    <row r="1364" spans="1:8" ht="12.75" customHeight="1" x14ac:dyDescent="0.15">
      <c r="A1364" s="126">
        <v>84</v>
      </c>
      <c r="B1364" s="25" t="s">
        <v>115</v>
      </c>
      <c r="C1364" s="39" t="s">
        <v>27</v>
      </c>
      <c r="D1364" s="50" t="s">
        <v>27</v>
      </c>
      <c r="E1364" s="28" t="s">
        <v>27</v>
      </c>
      <c r="F1364" s="51" t="s">
        <v>27</v>
      </c>
      <c r="G1364" s="28" t="s">
        <v>27</v>
      </c>
      <c r="H1364" s="55" t="s">
        <v>27</v>
      </c>
    </row>
    <row r="1365" spans="1:8" ht="12.75" customHeight="1" x14ac:dyDescent="0.15">
      <c r="A1365" s="126">
        <v>85</v>
      </c>
      <c r="B1365" s="25" t="s">
        <v>116</v>
      </c>
      <c r="C1365" s="39" t="s">
        <v>27</v>
      </c>
      <c r="D1365" s="50" t="s">
        <v>27</v>
      </c>
      <c r="E1365" s="28" t="s">
        <v>27</v>
      </c>
      <c r="F1365" s="51" t="s">
        <v>27</v>
      </c>
      <c r="G1365" s="28" t="s">
        <v>27</v>
      </c>
      <c r="H1365" s="55" t="s">
        <v>27</v>
      </c>
    </row>
    <row r="1366" spans="1:8" ht="12.75" customHeight="1" x14ac:dyDescent="0.15">
      <c r="A1366" s="126">
        <v>86</v>
      </c>
      <c r="B1366" s="25" t="s">
        <v>117</v>
      </c>
      <c r="C1366" s="39" t="s">
        <v>27</v>
      </c>
      <c r="D1366" s="50" t="s">
        <v>27</v>
      </c>
      <c r="E1366" s="28" t="s">
        <v>27</v>
      </c>
      <c r="F1366" s="51" t="s">
        <v>27</v>
      </c>
      <c r="G1366" s="28" t="s">
        <v>27</v>
      </c>
      <c r="H1366" s="55" t="s">
        <v>27</v>
      </c>
    </row>
    <row r="1367" spans="1:8" ht="12.75" customHeight="1" x14ac:dyDescent="0.15">
      <c r="A1367" s="126">
        <v>87</v>
      </c>
      <c r="B1367" s="25" t="s">
        <v>2</v>
      </c>
      <c r="C1367" s="39" t="s">
        <v>27</v>
      </c>
      <c r="D1367" s="50" t="s">
        <v>27</v>
      </c>
      <c r="E1367" s="28" t="s">
        <v>27</v>
      </c>
      <c r="F1367" s="51" t="s">
        <v>27</v>
      </c>
      <c r="G1367" s="28" t="s">
        <v>27</v>
      </c>
      <c r="H1367" s="55" t="s">
        <v>27</v>
      </c>
    </row>
    <row r="1368" spans="1:8" ht="12.75" customHeight="1" x14ac:dyDescent="0.15">
      <c r="A1368" s="126">
        <v>88</v>
      </c>
      <c r="B1368" s="25" t="s">
        <v>118</v>
      </c>
      <c r="C1368" s="39" t="s">
        <v>27</v>
      </c>
      <c r="D1368" s="50" t="s">
        <v>27</v>
      </c>
      <c r="E1368" s="28" t="s">
        <v>27</v>
      </c>
      <c r="F1368" s="51" t="s">
        <v>27</v>
      </c>
      <c r="G1368" s="28" t="s">
        <v>27</v>
      </c>
      <c r="H1368" s="55" t="s">
        <v>27</v>
      </c>
    </row>
    <row r="1369" spans="1:8" ht="12.75" customHeight="1" x14ac:dyDescent="0.15">
      <c r="A1369" s="126">
        <v>89</v>
      </c>
      <c r="B1369" s="25" t="s">
        <v>119</v>
      </c>
      <c r="C1369" s="39" t="s">
        <v>27</v>
      </c>
      <c r="D1369" s="50" t="s">
        <v>27</v>
      </c>
      <c r="E1369" s="28" t="s">
        <v>27</v>
      </c>
      <c r="F1369" s="51" t="s">
        <v>27</v>
      </c>
      <c r="G1369" s="28" t="s">
        <v>27</v>
      </c>
      <c r="H1369" s="55" t="s">
        <v>27</v>
      </c>
    </row>
    <row r="1370" spans="1:8" ht="12.75" customHeight="1" x14ac:dyDescent="0.15">
      <c r="A1370" s="126">
        <v>90</v>
      </c>
      <c r="B1370" s="25" t="s">
        <v>120</v>
      </c>
      <c r="C1370" s="39" t="s">
        <v>27</v>
      </c>
      <c r="D1370" s="50" t="s">
        <v>27</v>
      </c>
      <c r="E1370" s="28" t="s">
        <v>27</v>
      </c>
      <c r="F1370" s="51" t="s">
        <v>27</v>
      </c>
      <c r="G1370" s="28" t="s">
        <v>27</v>
      </c>
      <c r="H1370" s="55" t="s">
        <v>27</v>
      </c>
    </row>
    <row r="1371" spans="1:8" ht="12.75" customHeight="1" x14ac:dyDescent="0.15">
      <c r="A1371" s="126">
        <v>91</v>
      </c>
      <c r="B1371" s="25" t="s">
        <v>121</v>
      </c>
      <c r="C1371" s="39">
        <v>22.823333333333334</v>
      </c>
      <c r="D1371" s="50">
        <v>3.8065333333328066E-3</v>
      </c>
      <c r="E1371" s="28">
        <v>6.7480848489664203E-3</v>
      </c>
      <c r="F1371" s="51">
        <v>3.2200000000000006E-3</v>
      </c>
      <c r="G1371" s="28">
        <v>8.8872910393864284E-4</v>
      </c>
      <c r="H1371" s="55" t="s">
        <v>27</v>
      </c>
    </row>
    <row r="1372" spans="1:8" ht="12.75" customHeight="1" x14ac:dyDescent="0.15">
      <c r="A1372" s="126">
        <v>92</v>
      </c>
      <c r="B1372" s="25" t="s">
        <v>122</v>
      </c>
      <c r="C1372" s="39" t="s">
        <v>27</v>
      </c>
      <c r="D1372" s="50" t="s">
        <v>27</v>
      </c>
      <c r="E1372" s="28" t="s">
        <v>27</v>
      </c>
      <c r="F1372" s="51" t="s">
        <v>27</v>
      </c>
      <c r="G1372" s="28" t="s">
        <v>27</v>
      </c>
      <c r="H1372" s="55" t="s">
        <v>27</v>
      </c>
    </row>
    <row r="1373" spans="1:8" ht="12.75" customHeight="1" x14ac:dyDescent="0.15">
      <c r="A1373" s="126">
        <v>93</v>
      </c>
      <c r="B1373" s="25" t="s">
        <v>123</v>
      </c>
      <c r="C1373" s="39" t="s">
        <v>27</v>
      </c>
      <c r="D1373" s="50" t="s">
        <v>27</v>
      </c>
      <c r="E1373" s="28" t="s">
        <v>27</v>
      </c>
      <c r="F1373" s="51" t="s">
        <v>27</v>
      </c>
      <c r="G1373" s="28" t="s">
        <v>27</v>
      </c>
      <c r="H1373" s="55" t="s">
        <v>27</v>
      </c>
    </row>
    <row r="1374" spans="1:8" ht="12.75" customHeight="1" x14ac:dyDescent="0.15">
      <c r="A1374" s="126">
        <v>94</v>
      </c>
      <c r="B1374" s="25" t="s">
        <v>125</v>
      </c>
      <c r="C1374" s="39" t="s">
        <v>27</v>
      </c>
      <c r="D1374" s="50" t="s">
        <v>27</v>
      </c>
      <c r="E1374" s="28" t="s">
        <v>27</v>
      </c>
      <c r="F1374" s="51" t="s">
        <v>27</v>
      </c>
      <c r="G1374" s="28" t="s">
        <v>27</v>
      </c>
      <c r="H1374" s="55" t="s">
        <v>27</v>
      </c>
    </row>
    <row r="1375" spans="1:8" ht="12.75" customHeight="1" x14ac:dyDescent="0.15">
      <c r="A1375" s="126">
        <v>95</v>
      </c>
      <c r="B1375" s="25" t="s">
        <v>126</v>
      </c>
      <c r="C1375" s="39" t="s">
        <v>27</v>
      </c>
      <c r="D1375" s="50" t="s">
        <v>27</v>
      </c>
      <c r="E1375" s="28" t="s">
        <v>27</v>
      </c>
      <c r="F1375" s="51" t="s">
        <v>27</v>
      </c>
      <c r="G1375" s="28" t="s">
        <v>27</v>
      </c>
      <c r="H1375" s="55" t="s">
        <v>27</v>
      </c>
    </row>
    <row r="1376" spans="1:8" ht="12.75" customHeight="1" x14ac:dyDescent="0.15">
      <c r="A1376" s="126">
        <v>96</v>
      </c>
      <c r="B1376" s="25" t="s">
        <v>85</v>
      </c>
      <c r="C1376" s="39" t="s">
        <v>27</v>
      </c>
      <c r="D1376" s="50" t="s">
        <v>27</v>
      </c>
      <c r="E1376" s="28" t="s">
        <v>27</v>
      </c>
      <c r="F1376" s="51" t="s">
        <v>27</v>
      </c>
      <c r="G1376" s="28" t="s">
        <v>27</v>
      </c>
      <c r="H1376" s="55" t="s">
        <v>27</v>
      </c>
    </row>
    <row r="1377" spans="1:8" ht="12.75" customHeight="1" x14ac:dyDescent="0.15">
      <c r="A1377" s="126">
        <v>97</v>
      </c>
      <c r="B1377" s="25" t="s">
        <v>85</v>
      </c>
      <c r="C1377" s="39" t="s">
        <v>27</v>
      </c>
      <c r="D1377" s="50" t="s">
        <v>27</v>
      </c>
      <c r="E1377" s="28" t="s">
        <v>27</v>
      </c>
      <c r="F1377" s="51" t="s">
        <v>27</v>
      </c>
      <c r="G1377" s="28" t="s">
        <v>27</v>
      </c>
      <c r="H1377" s="55" t="s">
        <v>27</v>
      </c>
    </row>
    <row r="1378" spans="1:8" ht="12.75" customHeight="1" x14ac:dyDescent="0.15">
      <c r="A1378" s="126">
        <v>98</v>
      </c>
      <c r="B1378" s="25" t="s">
        <v>85</v>
      </c>
      <c r="C1378" s="39" t="s">
        <v>27</v>
      </c>
      <c r="D1378" s="50" t="s">
        <v>27</v>
      </c>
      <c r="E1378" s="28" t="s">
        <v>27</v>
      </c>
      <c r="F1378" s="51" t="s">
        <v>27</v>
      </c>
      <c r="G1378" s="28" t="s">
        <v>27</v>
      </c>
      <c r="H1378" s="55" t="s">
        <v>27</v>
      </c>
    </row>
    <row r="1379" spans="1:8" ht="12.75" customHeight="1" x14ac:dyDescent="0.15">
      <c r="A1379" s="126">
        <v>99</v>
      </c>
      <c r="B1379" s="25" t="s">
        <v>85</v>
      </c>
      <c r="C1379" s="39" t="s">
        <v>27</v>
      </c>
      <c r="D1379" s="50" t="s">
        <v>27</v>
      </c>
      <c r="E1379" s="28" t="s">
        <v>27</v>
      </c>
      <c r="F1379" s="51" t="s">
        <v>27</v>
      </c>
      <c r="G1379" s="28" t="s">
        <v>27</v>
      </c>
      <c r="H1379" s="55" t="s">
        <v>27</v>
      </c>
    </row>
    <row r="1380" spans="1:8" ht="12.75" customHeight="1" x14ac:dyDescent="0.15">
      <c r="A1380" s="126">
        <v>100</v>
      </c>
      <c r="B1380" s="25" t="s">
        <v>127</v>
      </c>
      <c r="C1380" s="39" t="s">
        <v>27</v>
      </c>
      <c r="D1380" s="50" t="s">
        <v>27</v>
      </c>
      <c r="E1380" s="28" t="s">
        <v>27</v>
      </c>
      <c r="F1380" s="51" t="s">
        <v>27</v>
      </c>
      <c r="G1380" s="28" t="s">
        <v>27</v>
      </c>
      <c r="H1380" s="55" t="s">
        <v>27</v>
      </c>
    </row>
    <row r="1381" spans="1:8" ht="12.75" customHeight="1" x14ac:dyDescent="0.15">
      <c r="A1381" s="126">
        <v>101</v>
      </c>
      <c r="B1381" s="25" t="s">
        <v>90</v>
      </c>
      <c r="C1381" s="39" t="s">
        <v>27</v>
      </c>
      <c r="D1381" s="50" t="s">
        <v>27</v>
      </c>
      <c r="E1381" s="28" t="s">
        <v>27</v>
      </c>
      <c r="F1381" s="51" t="s">
        <v>27</v>
      </c>
      <c r="G1381" s="28" t="s">
        <v>27</v>
      </c>
      <c r="H1381" s="55" t="s">
        <v>27</v>
      </c>
    </row>
    <row r="1382" spans="1:8" ht="12.75" customHeight="1" x14ac:dyDescent="0.15">
      <c r="A1382" s="126">
        <v>102</v>
      </c>
      <c r="B1382" s="25" t="s">
        <v>91</v>
      </c>
      <c r="C1382" s="39" t="s">
        <v>27</v>
      </c>
      <c r="D1382" s="50" t="s">
        <v>27</v>
      </c>
      <c r="E1382" s="28" t="s">
        <v>27</v>
      </c>
      <c r="F1382" s="51" t="s">
        <v>27</v>
      </c>
      <c r="G1382" s="28" t="s">
        <v>27</v>
      </c>
      <c r="H1382" s="55" t="s">
        <v>27</v>
      </c>
    </row>
    <row r="1383" spans="1:8" ht="12.75" customHeight="1" x14ac:dyDescent="0.15">
      <c r="A1383" s="126">
        <v>103</v>
      </c>
      <c r="B1383" s="25" t="s">
        <v>92</v>
      </c>
      <c r="C1383" s="39" t="s">
        <v>27</v>
      </c>
      <c r="D1383" s="50" t="s">
        <v>27</v>
      </c>
      <c r="E1383" s="28" t="s">
        <v>27</v>
      </c>
      <c r="F1383" s="51" t="s">
        <v>27</v>
      </c>
      <c r="G1383" s="28" t="s">
        <v>27</v>
      </c>
      <c r="H1383" s="55" t="s">
        <v>27</v>
      </c>
    </row>
    <row r="1384" spans="1:8" ht="12.75" customHeight="1" x14ac:dyDescent="0.15">
      <c r="A1384" s="126">
        <v>104</v>
      </c>
      <c r="B1384" s="25" t="s">
        <v>93</v>
      </c>
      <c r="C1384" s="39" t="s">
        <v>27</v>
      </c>
      <c r="D1384" s="50" t="s">
        <v>27</v>
      </c>
      <c r="E1384" s="28" t="s">
        <v>27</v>
      </c>
      <c r="F1384" s="51" t="s">
        <v>27</v>
      </c>
      <c r="G1384" s="28" t="s">
        <v>27</v>
      </c>
      <c r="H1384" s="55" t="s">
        <v>27</v>
      </c>
    </row>
    <row r="1385" spans="1:8" ht="12.75" customHeight="1" x14ac:dyDescent="0.15">
      <c r="A1385" s="126">
        <v>105</v>
      </c>
      <c r="B1385" s="25" t="s">
        <v>94</v>
      </c>
      <c r="C1385" s="39" t="s">
        <v>27</v>
      </c>
      <c r="D1385" s="50" t="s">
        <v>27</v>
      </c>
      <c r="E1385" s="28" t="s">
        <v>27</v>
      </c>
      <c r="F1385" s="51" t="s">
        <v>27</v>
      </c>
      <c r="G1385" s="28" t="s">
        <v>27</v>
      </c>
      <c r="H1385" s="55" t="s">
        <v>27</v>
      </c>
    </row>
    <row r="1386" spans="1:8" ht="12.75" customHeight="1" x14ac:dyDescent="0.15">
      <c r="A1386" s="126">
        <v>106</v>
      </c>
      <c r="B1386" s="25" t="s">
        <v>95</v>
      </c>
      <c r="C1386" s="39" t="s">
        <v>27</v>
      </c>
      <c r="D1386" s="50" t="s">
        <v>27</v>
      </c>
      <c r="E1386" s="28" t="s">
        <v>27</v>
      </c>
      <c r="F1386" s="51" t="s">
        <v>27</v>
      </c>
      <c r="G1386" s="28" t="s">
        <v>27</v>
      </c>
      <c r="H1386" s="55" t="s">
        <v>27</v>
      </c>
    </row>
    <row r="1387" spans="1:8" ht="12.75" customHeight="1" x14ac:dyDescent="0.15">
      <c r="A1387" s="126">
        <v>107</v>
      </c>
      <c r="B1387" s="25" t="s">
        <v>96</v>
      </c>
      <c r="C1387" s="39" t="s">
        <v>27</v>
      </c>
      <c r="D1387" s="50" t="s">
        <v>27</v>
      </c>
      <c r="E1387" s="28" t="s">
        <v>27</v>
      </c>
      <c r="F1387" s="51" t="s">
        <v>27</v>
      </c>
      <c r="G1387" s="28" t="s">
        <v>27</v>
      </c>
      <c r="H1387" s="55" t="s">
        <v>27</v>
      </c>
    </row>
    <row r="1388" spans="1:8" ht="12.75" customHeight="1" x14ac:dyDescent="0.15">
      <c r="A1388" s="126">
        <v>108</v>
      </c>
      <c r="B1388" s="25" t="s">
        <v>97</v>
      </c>
      <c r="C1388" s="39" t="s">
        <v>27</v>
      </c>
      <c r="D1388" s="50" t="s">
        <v>27</v>
      </c>
      <c r="E1388" s="28" t="s">
        <v>27</v>
      </c>
      <c r="F1388" s="51" t="s">
        <v>27</v>
      </c>
      <c r="G1388" s="28" t="s">
        <v>27</v>
      </c>
      <c r="H1388" s="55" t="s">
        <v>27</v>
      </c>
    </row>
    <row r="1389" spans="1:8" ht="12.75" customHeight="1" x14ac:dyDescent="0.15">
      <c r="A1389" s="126">
        <v>109</v>
      </c>
      <c r="B1389" s="25" t="s">
        <v>98</v>
      </c>
      <c r="C1389" s="39" t="s">
        <v>27</v>
      </c>
      <c r="D1389" s="50" t="s">
        <v>27</v>
      </c>
      <c r="E1389" s="28" t="s">
        <v>27</v>
      </c>
      <c r="F1389" s="51" t="s">
        <v>27</v>
      </c>
      <c r="G1389" s="28" t="s">
        <v>27</v>
      </c>
      <c r="H1389" s="55" t="s">
        <v>27</v>
      </c>
    </row>
    <row r="1390" spans="1:8" ht="12.75" customHeight="1" x14ac:dyDescent="0.15">
      <c r="A1390" s="126">
        <v>110</v>
      </c>
      <c r="B1390" s="25" t="s">
        <v>99</v>
      </c>
      <c r="C1390" s="39" t="s">
        <v>27</v>
      </c>
      <c r="D1390" s="50" t="s">
        <v>27</v>
      </c>
      <c r="E1390" s="28" t="s">
        <v>27</v>
      </c>
      <c r="F1390" s="51" t="s">
        <v>27</v>
      </c>
      <c r="G1390" s="28" t="s">
        <v>27</v>
      </c>
      <c r="H1390" s="55" t="s">
        <v>27</v>
      </c>
    </row>
    <row r="1391" spans="1:8" ht="12.75" customHeight="1" x14ac:dyDescent="0.15">
      <c r="A1391" s="126">
        <v>111</v>
      </c>
      <c r="B1391" s="25" t="s">
        <v>100</v>
      </c>
      <c r="C1391" s="39" t="s">
        <v>27</v>
      </c>
      <c r="D1391" s="50" t="s">
        <v>27</v>
      </c>
      <c r="E1391" s="28" t="s">
        <v>27</v>
      </c>
      <c r="F1391" s="51" t="s">
        <v>27</v>
      </c>
      <c r="G1391" s="28" t="s">
        <v>27</v>
      </c>
      <c r="H1391" s="55" t="s">
        <v>27</v>
      </c>
    </row>
    <row r="1392" spans="1:8" ht="12.75" customHeight="1" x14ac:dyDescent="0.15">
      <c r="A1392" s="126">
        <v>112</v>
      </c>
      <c r="B1392" s="25" t="s">
        <v>101</v>
      </c>
      <c r="C1392" s="39" t="s">
        <v>27</v>
      </c>
      <c r="D1392" s="50" t="s">
        <v>27</v>
      </c>
      <c r="E1392" s="28" t="s">
        <v>27</v>
      </c>
      <c r="F1392" s="51" t="s">
        <v>27</v>
      </c>
      <c r="G1392" s="28" t="s">
        <v>27</v>
      </c>
      <c r="H1392" s="55" t="s">
        <v>27</v>
      </c>
    </row>
    <row r="1393" spans="1:8" ht="12.75" customHeight="1" x14ac:dyDescent="0.15">
      <c r="A1393" s="126">
        <v>113</v>
      </c>
      <c r="B1393" s="25" t="s">
        <v>102</v>
      </c>
      <c r="C1393" s="39" t="s">
        <v>27</v>
      </c>
      <c r="D1393" s="50" t="s">
        <v>27</v>
      </c>
      <c r="E1393" s="28" t="s">
        <v>27</v>
      </c>
      <c r="F1393" s="51" t="s">
        <v>27</v>
      </c>
      <c r="G1393" s="28" t="s">
        <v>27</v>
      </c>
      <c r="H1393" s="55" t="s">
        <v>27</v>
      </c>
    </row>
    <row r="1394" spans="1:8" ht="12.75" customHeight="1" x14ac:dyDescent="0.15">
      <c r="A1394" s="126">
        <v>114</v>
      </c>
      <c r="B1394" s="25" t="s">
        <v>103</v>
      </c>
      <c r="C1394" s="39" t="s">
        <v>27</v>
      </c>
      <c r="D1394" s="50" t="s">
        <v>27</v>
      </c>
      <c r="E1394" s="28" t="s">
        <v>27</v>
      </c>
      <c r="F1394" s="51" t="s">
        <v>27</v>
      </c>
      <c r="G1394" s="28" t="s">
        <v>27</v>
      </c>
      <c r="H1394" s="55" t="s">
        <v>27</v>
      </c>
    </row>
    <row r="1395" spans="1:8" ht="12.75" customHeight="1" x14ac:dyDescent="0.15">
      <c r="A1395" s="126">
        <v>115</v>
      </c>
      <c r="B1395" s="25" t="s">
        <v>104</v>
      </c>
      <c r="C1395" s="39" t="s">
        <v>27</v>
      </c>
      <c r="D1395" s="50" t="s">
        <v>27</v>
      </c>
      <c r="E1395" s="28" t="s">
        <v>27</v>
      </c>
      <c r="F1395" s="51" t="s">
        <v>27</v>
      </c>
      <c r="G1395" s="28" t="s">
        <v>27</v>
      </c>
      <c r="H1395" s="55" t="s">
        <v>27</v>
      </c>
    </row>
    <row r="1396" spans="1:8" ht="12.75" customHeight="1" x14ac:dyDescent="0.15">
      <c r="A1396" s="126">
        <v>116</v>
      </c>
      <c r="B1396" s="25" t="s">
        <v>105</v>
      </c>
      <c r="C1396" s="39" t="s">
        <v>27</v>
      </c>
      <c r="D1396" s="50" t="s">
        <v>27</v>
      </c>
      <c r="E1396" s="28" t="s">
        <v>27</v>
      </c>
      <c r="F1396" s="51" t="s">
        <v>27</v>
      </c>
      <c r="G1396" s="28" t="s">
        <v>27</v>
      </c>
      <c r="H1396" s="55" t="s">
        <v>27</v>
      </c>
    </row>
    <row r="1397" spans="1:8" ht="12.75" customHeight="1" x14ac:dyDescent="0.15">
      <c r="A1397" s="126">
        <v>117</v>
      </c>
      <c r="B1397" s="25" t="s">
        <v>106</v>
      </c>
      <c r="C1397" s="39" t="s">
        <v>27</v>
      </c>
      <c r="D1397" s="50" t="s">
        <v>27</v>
      </c>
      <c r="E1397" s="28" t="s">
        <v>27</v>
      </c>
      <c r="F1397" s="51" t="s">
        <v>27</v>
      </c>
      <c r="G1397" s="28" t="s">
        <v>27</v>
      </c>
      <c r="H1397" s="55" t="s">
        <v>27</v>
      </c>
    </row>
    <row r="1398" spans="1:8" ht="12.75" customHeight="1" x14ac:dyDescent="0.15">
      <c r="A1398" s="126">
        <v>118</v>
      </c>
      <c r="B1398" s="25" t="s">
        <v>107</v>
      </c>
      <c r="C1398" s="39" t="s">
        <v>27</v>
      </c>
      <c r="D1398" s="50" t="s">
        <v>27</v>
      </c>
      <c r="E1398" s="28" t="s">
        <v>27</v>
      </c>
      <c r="F1398" s="51" t="s">
        <v>27</v>
      </c>
      <c r="G1398" s="28" t="s">
        <v>27</v>
      </c>
      <c r="H1398" s="55" t="s">
        <v>27</v>
      </c>
    </row>
    <row r="1399" spans="1:8" ht="12.75" customHeight="1" x14ac:dyDescent="0.15">
      <c r="A1399" s="126">
        <v>119</v>
      </c>
      <c r="B1399" s="25" t="s">
        <v>108</v>
      </c>
      <c r="C1399" s="39" t="s">
        <v>27</v>
      </c>
      <c r="D1399" s="50" t="s">
        <v>27</v>
      </c>
      <c r="E1399" s="28" t="s">
        <v>27</v>
      </c>
      <c r="F1399" s="51" t="s">
        <v>27</v>
      </c>
      <c r="G1399" s="28" t="s">
        <v>27</v>
      </c>
      <c r="H1399" s="55" t="s">
        <v>27</v>
      </c>
    </row>
    <row r="1400" spans="1:8" ht="12.75" customHeight="1" x14ac:dyDescent="0.15">
      <c r="A1400" s="126">
        <v>120</v>
      </c>
      <c r="B1400" s="25" t="s">
        <v>109</v>
      </c>
      <c r="C1400" s="39" t="s">
        <v>27</v>
      </c>
      <c r="D1400" s="50" t="s">
        <v>27</v>
      </c>
      <c r="E1400" s="28" t="s">
        <v>27</v>
      </c>
      <c r="F1400" s="51" t="s">
        <v>27</v>
      </c>
      <c r="G1400" s="28" t="s">
        <v>27</v>
      </c>
      <c r="H1400" s="55" t="s">
        <v>27</v>
      </c>
    </row>
    <row r="1401" spans="1:8" ht="12.75" customHeight="1" x14ac:dyDescent="0.15">
      <c r="A1401" s="126">
        <v>121</v>
      </c>
      <c r="B1401" s="25" t="s">
        <v>110</v>
      </c>
      <c r="C1401" s="39" t="s">
        <v>27</v>
      </c>
      <c r="D1401" s="50" t="s">
        <v>27</v>
      </c>
      <c r="E1401" s="28" t="s">
        <v>27</v>
      </c>
      <c r="F1401" s="51" t="s">
        <v>27</v>
      </c>
      <c r="G1401" s="28" t="s">
        <v>27</v>
      </c>
      <c r="H1401" s="55" t="s">
        <v>27</v>
      </c>
    </row>
    <row r="1402" spans="1:8" ht="12.75" customHeight="1" x14ac:dyDescent="0.15">
      <c r="A1402" s="126">
        <v>122</v>
      </c>
      <c r="B1402" s="25" t="s">
        <v>111</v>
      </c>
      <c r="C1402" s="39" t="s">
        <v>27</v>
      </c>
      <c r="D1402" s="50" t="s">
        <v>27</v>
      </c>
      <c r="E1402" s="28" t="s">
        <v>27</v>
      </c>
      <c r="F1402" s="51" t="s">
        <v>27</v>
      </c>
      <c r="G1402" s="28" t="s">
        <v>27</v>
      </c>
      <c r="H1402" s="55" t="s">
        <v>27</v>
      </c>
    </row>
    <row r="1403" spans="1:8" ht="12.75" customHeight="1" x14ac:dyDescent="0.15">
      <c r="A1403" s="126">
        <v>123</v>
      </c>
      <c r="B1403" s="25" t="s">
        <v>112</v>
      </c>
      <c r="C1403" s="39" t="s">
        <v>27</v>
      </c>
      <c r="D1403" s="50" t="s">
        <v>27</v>
      </c>
      <c r="E1403" s="28" t="s">
        <v>27</v>
      </c>
      <c r="F1403" s="51" t="s">
        <v>27</v>
      </c>
      <c r="G1403" s="28" t="s">
        <v>27</v>
      </c>
      <c r="H1403" s="55" t="s">
        <v>27</v>
      </c>
    </row>
    <row r="1404" spans="1:8" ht="12.75" customHeight="1" x14ac:dyDescent="0.15">
      <c r="A1404" s="126">
        <v>124</v>
      </c>
      <c r="B1404" s="25" t="s">
        <v>113</v>
      </c>
      <c r="C1404" s="39" t="s">
        <v>27</v>
      </c>
      <c r="D1404" s="50" t="s">
        <v>27</v>
      </c>
      <c r="E1404" s="28" t="s">
        <v>27</v>
      </c>
      <c r="F1404" s="51" t="s">
        <v>27</v>
      </c>
      <c r="G1404" s="28" t="s">
        <v>27</v>
      </c>
      <c r="H1404" s="55" t="s">
        <v>27</v>
      </c>
    </row>
    <row r="1405" spans="1:8" ht="12.75" customHeight="1" x14ac:dyDescent="0.15">
      <c r="A1405" s="126">
        <v>125</v>
      </c>
      <c r="B1405" s="25" t="s">
        <v>114</v>
      </c>
      <c r="C1405" s="39" t="s">
        <v>27</v>
      </c>
      <c r="D1405" s="50" t="s">
        <v>27</v>
      </c>
      <c r="E1405" s="28" t="s">
        <v>27</v>
      </c>
      <c r="F1405" s="51" t="s">
        <v>27</v>
      </c>
      <c r="G1405" s="28" t="s">
        <v>27</v>
      </c>
      <c r="H1405" s="55" t="s">
        <v>27</v>
      </c>
    </row>
    <row r="1406" spans="1:8" ht="12.75" customHeight="1" x14ac:dyDescent="0.15">
      <c r="A1406" s="126">
        <v>126</v>
      </c>
      <c r="B1406" s="25" t="s">
        <v>115</v>
      </c>
      <c r="C1406" s="39" t="s">
        <v>27</v>
      </c>
      <c r="D1406" s="50" t="s">
        <v>27</v>
      </c>
      <c r="E1406" s="28" t="s">
        <v>27</v>
      </c>
      <c r="F1406" s="51" t="s">
        <v>27</v>
      </c>
      <c r="G1406" s="28" t="s">
        <v>27</v>
      </c>
      <c r="H1406" s="55" t="s">
        <v>27</v>
      </c>
    </row>
    <row r="1407" spans="1:8" ht="12.75" customHeight="1" x14ac:dyDescent="0.15">
      <c r="A1407" s="126">
        <v>127</v>
      </c>
      <c r="B1407" s="25" t="s">
        <v>116</v>
      </c>
      <c r="C1407" s="39" t="s">
        <v>27</v>
      </c>
      <c r="D1407" s="50" t="s">
        <v>27</v>
      </c>
      <c r="E1407" s="28" t="s">
        <v>27</v>
      </c>
      <c r="F1407" s="51" t="s">
        <v>27</v>
      </c>
      <c r="G1407" s="28" t="s">
        <v>27</v>
      </c>
      <c r="H1407" s="55" t="s">
        <v>27</v>
      </c>
    </row>
    <row r="1408" spans="1:8" ht="12.75" customHeight="1" x14ac:dyDescent="0.15">
      <c r="A1408" s="126">
        <v>128</v>
      </c>
      <c r="B1408" s="25" t="s">
        <v>117</v>
      </c>
      <c r="C1408" s="39" t="s">
        <v>27</v>
      </c>
      <c r="D1408" s="50" t="s">
        <v>27</v>
      </c>
      <c r="E1408" s="28" t="s">
        <v>27</v>
      </c>
      <c r="F1408" s="51" t="s">
        <v>27</v>
      </c>
      <c r="G1408" s="28" t="s">
        <v>27</v>
      </c>
      <c r="H1408" s="55" t="s">
        <v>27</v>
      </c>
    </row>
    <row r="1409" spans="1:8" ht="12.75" customHeight="1" x14ac:dyDescent="0.15">
      <c r="A1409" s="126">
        <v>129</v>
      </c>
      <c r="B1409" s="25" t="s">
        <v>2</v>
      </c>
      <c r="C1409" s="39" t="s">
        <v>27</v>
      </c>
      <c r="D1409" s="50" t="s">
        <v>27</v>
      </c>
      <c r="E1409" s="28" t="s">
        <v>27</v>
      </c>
      <c r="F1409" s="51" t="s">
        <v>27</v>
      </c>
      <c r="G1409" s="28" t="s">
        <v>27</v>
      </c>
      <c r="H1409" s="55" t="s">
        <v>27</v>
      </c>
    </row>
    <row r="1410" spans="1:8" ht="12.75" customHeight="1" x14ac:dyDescent="0.15">
      <c r="A1410" s="126">
        <v>130</v>
      </c>
      <c r="B1410" s="25" t="s">
        <v>118</v>
      </c>
      <c r="C1410" s="39" t="s">
        <v>27</v>
      </c>
      <c r="D1410" s="50" t="s">
        <v>27</v>
      </c>
      <c r="E1410" s="28" t="s">
        <v>27</v>
      </c>
      <c r="F1410" s="51" t="s">
        <v>27</v>
      </c>
      <c r="G1410" s="28" t="s">
        <v>27</v>
      </c>
      <c r="H1410" s="55" t="s">
        <v>27</v>
      </c>
    </row>
    <row r="1411" spans="1:8" ht="12.75" customHeight="1" x14ac:dyDescent="0.15">
      <c r="A1411" s="126">
        <v>131</v>
      </c>
      <c r="B1411" s="25" t="s">
        <v>119</v>
      </c>
      <c r="C1411" s="39" t="s">
        <v>27</v>
      </c>
      <c r="D1411" s="50" t="s">
        <v>27</v>
      </c>
      <c r="E1411" s="28" t="s">
        <v>27</v>
      </c>
      <c r="F1411" s="51" t="s">
        <v>27</v>
      </c>
      <c r="G1411" s="28" t="s">
        <v>27</v>
      </c>
      <c r="H1411" s="55" t="s">
        <v>27</v>
      </c>
    </row>
    <row r="1412" spans="1:8" ht="12.75" customHeight="1" x14ac:dyDescent="0.15">
      <c r="A1412" s="126">
        <v>132</v>
      </c>
      <c r="B1412" s="25" t="s">
        <v>120</v>
      </c>
      <c r="C1412" s="39" t="s">
        <v>27</v>
      </c>
      <c r="D1412" s="50" t="s">
        <v>27</v>
      </c>
      <c r="E1412" s="28" t="s">
        <v>27</v>
      </c>
      <c r="F1412" s="51" t="s">
        <v>27</v>
      </c>
      <c r="G1412" s="28" t="s">
        <v>27</v>
      </c>
      <c r="H1412" s="55" t="s">
        <v>27</v>
      </c>
    </row>
    <row r="1413" spans="1:8" ht="12.75" customHeight="1" x14ac:dyDescent="0.15">
      <c r="A1413" s="126">
        <v>133</v>
      </c>
      <c r="B1413" s="25" t="s">
        <v>121</v>
      </c>
      <c r="C1413" s="39" t="s">
        <v>27</v>
      </c>
      <c r="D1413" s="50" t="s">
        <v>27</v>
      </c>
      <c r="E1413" s="28" t="s">
        <v>27</v>
      </c>
      <c r="F1413" s="51" t="s">
        <v>27</v>
      </c>
      <c r="G1413" s="28" t="s">
        <v>27</v>
      </c>
      <c r="H1413" s="55" t="s">
        <v>27</v>
      </c>
    </row>
    <row r="1414" spans="1:8" ht="12.75" customHeight="1" x14ac:dyDescent="0.15">
      <c r="A1414" s="126">
        <v>134</v>
      </c>
      <c r="B1414" s="25" t="s">
        <v>122</v>
      </c>
      <c r="C1414" s="39" t="s">
        <v>27</v>
      </c>
      <c r="D1414" s="50" t="s">
        <v>27</v>
      </c>
      <c r="E1414" s="28" t="s">
        <v>27</v>
      </c>
      <c r="F1414" s="51" t="s">
        <v>27</v>
      </c>
      <c r="G1414" s="28" t="s">
        <v>27</v>
      </c>
      <c r="H1414" s="55" t="s">
        <v>27</v>
      </c>
    </row>
    <row r="1415" spans="1:8" ht="12.75" customHeight="1" x14ac:dyDescent="0.15">
      <c r="A1415" s="126">
        <v>135</v>
      </c>
      <c r="B1415" s="25" t="s">
        <v>123</v>
      </c>
      <c r="C1415" s="39" t="s">
        <v>27</v>
      </c>
      <c r="D1415" s="50" t="s">
        <v>27</v>
      </c>
      <c r="E1415" s="28" t="s">
        <v>27</v>
      </c>
      <c r="F1415" s="51" t="s">
        <v>27</v>
      </c>
      <c r="G1415" s="28" t="s">
        <v>27</v>
      </c>
      <c r="H1415" s="55" t="s">
        <v>27</v>
      </c>
    </row>
    <row r="1416" spans="1:8" ht="12.75" customHeight="1" x14ac:dyDescent="0.15">
      <c r="A1416" s="126">
        <v>136</v>
      </c>
      <c r="B1416" s="25" t="s">
        <v>128</v>
      </c>
      <c r="C1416" s="39" t="s">
        <v>27</v>
      </c>
      <c r="D1416" s="50" t="s">
        <v>27</v>
      </c>
      <c r="E1416" s="28" t="s">
        <v>27</v>
      </c>
      <c r="F1416" s="51" t="s">
        <v>27</v>
      </c>
      <c r="G1416" s="28" t="s">
        <v>27</v>
      </c>
      <c r="H1416" s="55" t="s">
        <v>27</v>
      </c>
    </row>
    <row r="1417" spans="1:8" ht="12.75" customHeight="1" x14ac:dyDescent="0.15">
      <c r="A1417" s="126">
        <v>137</v>
      </c>
      <c r="B1417" s="25" t="s">
        <v>90</v>
      </c>
      <c r="C1417" s="39" t="s">
        <v>27</v>
      </c>
      <c r="D1417" s="50" t="s">
        <v>27</v>
      </c>
      <c r="E1417" s="28" t="s">
        <v>27</v>
      </c>
      <c r="F1417" s="51" t="s">
        <v>27</v>
      </c>
      <c r="G1417" s="28" t="s">
        <v>27</v>
      </c>
      <c r="H1417" s="55" t="s">
        <v>27</v>
      </c>
    </row>
    <row r="1418" spans="1:8" ht="12.75" customHeight="1" x14ac:dyDescent="0.15">
      <c r="A1418" s="126">
        <v>138</v>
      </c>
      <c r="B1418" s="25" t="s">
        <v>91</v>
      </c>
      <c r="C1418" s="39" t="s">
        <v>27</v>
      </c>
      <c r="D1418" s="50" t="s">
        <v>27</v>
      </c>
      <c r="E1418" s="28" t="s">
        <v>27</v>
      </c>
      <c r="F1418" s="51" t="s">
        <v>27</v>
      </c>
      <c r="G1418" s="28" t="s">
        <v>27</v>
      </c>
      <c r="H1418" s="55" t="s">
        <v>27</v>
      </c>
    </row>
    <row r="1419" spans="1:8" ht="12.75" customHeight="1" x14ac:dyDescent="0.15">
      <c r="A1419" s="126">
        <v>139</v>
      </c>
      <c r="B1419" s="25" t="s">
        <v>92</v>
      </c>
      <c r="C1419" s="39" t="s">
        <v>27</v>
      </c>
      <c r="D1419" s="50" t="s">
        <v>27</v>
      </c>
      <c r="E1419" s="28" t="s">
        <v>27</v>
      </c>
      <c r="F1419" s="51" t="s">
        <v>27</v>
      </c>
      <c r="G1419" s="28" t="s">
        <v>27</v>
      </c>
      <c r="H1419" s="55" t="s">
        <v>27</v>
      </c>
    </row>
    <row r="1420" spans="1:8" ht="12.75" customHeight="1" x14ac:dyDescent="0.15">
      <c r="A1420" s="126">
        <v>140</v>
      </c>
      <c r="B1420" s="25" t="s">
        <v>93</v>
      </c>
      <c r="C1420" s="39" t="s">
        <v>27</v>
      </c>
      <c r="D1420" s="50" t="s">
        <v>27</v>
      </c>
      <c r="E1420" s="28" t="s">
        <v>27</v>
      </c>
      <c r="F1420" s="51" t="s">
        <v>27</v>
      </c>
      <c r="G1420" s="28" t="s">
        <v>27</v>
      </c>
      <c r="H1420" s="55" t="s">
        <v>27</v>
      </c>
    </row>
    <row r="1421" spans="1:8" ht="12.75" customHeight="1" x14ac:dyDescent="0.15">
      <c r="A1421" s="126">
        <v>141</v>
      </c>
      <c r="B1421" s="25" t="s">
        <v>94</v>
      </c>
      <c r="C1421" s="39" t="s">
        <v>27</v>
      </c>
      <c r="D1421" s="50" t="s">
        <v>27</v>
      </c>
      <c r="E1421" s="28" t="s">
        <v>27</v>
      </c>
      <c r="F1421" s="51" t="s">
        <v>27</v>
      </c>
      <c r="G1421" s="28" t="s">
        <v>27</v>
      </c>
      <c r="H1421" s="55" t="s">
        <v>27</v>
      </c>
    </row>
    <row r="1422" spans="1:8" ht="12.75" customHeight="1" x14ac:dyDescent="0.15">
      <c r="A1422" s="126">
        <v>142</v>
      </c>
      <c r="B1422" s="25" t="s">
        <v>95</v>
      </c>
      <c r="C1422" s="39" t="s">
        <v>27</v>
      </c>
      <c r="D1422" s="50" t="s">
        <v>27</v>
      </c>
      <c r="E1422" s="28" t="s">
        <v>27</v>
      </c>
      <c r="F1422" s="51" t="s">
        <v>27</v>
      </c>
      <c r="G1422" s="28" t="s">
        <v>27</v>
      </c>
      <c r="H1422" s="55" t="s">
        <v>27</v>
      </c>
    </row>
    <row r="1423" spans="1:8" ht="12.75" customHeight="1" x14ac:dyDescent="0.15">
      <c r="A1423" s="126">
        <v>143</v>
      </c>
      <c r="B1423" s="25" t="s">
        <v>96</v>
      </c>
      <c r="C1423" s="39" t="s">
        <v>27</v>
      </c>
      <c r="D1423" s="50" t="s">
        <v>27</v>
      </c>
      <c r="E1423" s="28" t="s">
        <v>27</v>
      </c>
      <c r="F1423" s="51" t="s">
        <v>27</v>
      </c>
      <c r="G1423" s="28" t="s">
        <v>27</v>
      </c>
      <c r="H1423" s="55" t="s">
        <v>27</v>
      </c>
    </row>
    <row r="1424" spans="1:8" ht="12.75" customHeight="1" x14ac:dyDescent="0.15">
      <c r="A1424" s="126">
        <v>144</v>
      </c>
      <c r="B1424" s="25" t="s">
        <v>97</v>
      </c>
      <c r="C1424" s="39" t="s">
        <v>27</v>
      </c>
      <c r="D1424" s="50" t="s">
        <v>27</v>
      </c>
      <c r="E1424" s="28" t="s">
        <v>27</v>
      </c>
      <c r="F1424" s="51" t="s">
        <v>27</v>
      </c>
      <c r="G1424" s="28" t="s">
        <v>27</v>
      </c>
      <c r="H1424" s="55" t="s">
        <v>27</v>
      </c>
    </row>
    <row r="1425" spans="1:8" ht="12.75" customHeight="1" x14ac:dyDescent="0.15">
      <c r="A1425" s="126">
        <v>145</v>
      </c>
      <c r="B1425" s="25" t="s">
        <v>98</v>
      </c>
      <c r="C1425" s="39" t="s">
        <v>27</v>
      </c>
      <c r="D1425" s="50" t="s">
        <v>27</v>
      </c>
      <c r="E1425" s="28" t="s">
        <v>27</v>
      </c>
      <c r="F1425" s="51" t="s">
        <v>27</v>
      </c>
      <c r="G1425" s="28" t="s">
        <v>27</v>
      </c>
      <c r="H1425" s="55" t="s">
        <v>27</v>
      </c>
    </row>
    <row r="1426" spans="1:8" ht="12.75" customHeight="1" x14ac:dyDescent="0.15">
      <c r="A1426" s="126">
        <v>146</v>
      </c>
      <c r="B1426" s="25" t="s">
        <v>99</v>
      </c>
      <c r="C1426" s="39" t="s">
        <v>27</v>
      </c>
      <c r="D1426" s="50" t="s">
        <v>27</v>
      </c>
      <c r="E1426" s="28" t="s">
        <v>27</v>
      </c>
      <c r="F1426" s="51" t="s">
        <v>27</v>
      </c>
      <c r="G1426" s="28" t="s">
        <v>27</v>
      </c>
      <c r="H1426" s="55" t="s">
        <v>27</v>
      </c>
    </row>
    <row r="1427" spans="1:8" ht="12.75" customHeight="1" x14ac:dyDescent="0.15">
      <c r="A1427" s="126">
        <v>147</v>
      </c>
      <c r="B1427" s="25" t="s">
        <v>100</v>
      </c>
      <c r="C1427" s="39" t="s">
        <v>27</v>
      </c>
      <c r="D1427" s="50" t="s">
        <v>27</v>
      </c>
      <c r="E1427" s="28" t="s">
        <v>27</v>
      </c>
      <c r="F1427" s="51" t="s">
        <v>27</v>
      </c>
      <c r="G1427" s="28" t="s">
        <v>27</v>
      </c>
      <c r="H1427" s="55" t="s">
        <v>27</v>
      </c>
    </row>
    <row r="1428" spans="1:8" ht="12.75" customHeight="1" x14ac:dyDescent="0.15">
      <c r="A1428" s="126">
        <v>148</v>
      </c>
      <c r="B1428" s="25" t="s">
        <v>101</v>
      </c>
      <c r="C1428" s="39" t="s">
        <v>27</v>
      </c>
      <c r="D1428" s="50" t="s">
        <v>27</v>
      </c>
      <c r="E1428" s="28" t="s">
        <v>27</v>
      </c>
      <c r="F1428" s="51" t="s">
        <v>27</v>
      </c>
      <c r="G1428" s="28" t="s">
        <v>27</v>
      </c>
      <c r="H1428" s="55" t="s">
        <v>27</v>
      </c>
    </row>
    <row r="1429" spans="1:8" ht="12.75" customHeight="1" x14ac:dyDescent="0.15">
      <c r="A1429" s="126">
        <v>149</v>
      </c>
      <c r="B1429" s="25" t="s">
        <v>102</v>
      </c>
      <c r="C1429" s="39" t="s">
        <v>27</v>
      </c>
      <c r="D1429" s="50" t="s">
        <v>27</v>
      </c>
      <c r="E1429" s="28" t="s">
        <v>27</v>
      </c>
      <c r="F1429" s="51" t="s">
        <v>27</v>
      </c>
      <c r="G1429" s="28" t="s">
        <v>27</v>
      </c>
      <c r="H1429" s="55" t="s">
        <v>27</v>
      </c>
    </row>
    <row r="1430" spans="1:8" ht="12.75" customHeight="1" x14ac:dyDescent="0.15">
      <c r="A1430" s="126">
        <v>150</v>
      </c>
      <c r="B1430" s="25" t="s">
        <v>103</v>
      </c>
      <c r="C1430" s="39" t="s">
        <v>27</v>
      </c>
      <c r="D1430" s="50" t="s">
        <v>27</v>
      </c>
      <c r="E1430" s="28" t="s">
        <v>27</v>
      </c>
      <c r="F1430" s="51" t="s">
        <v>27</v>
      </c>
      <c r="G1430" s="28" t="s">
        <v>27</v>
      </c>
      <c r="H1430" s="55" t="s">
        <v>27</v>
      </c>
    </row>
    <row r="1431" spans="1:8" ht="12.75" customHeight="1" x14ac:dyDescent="0.15">
      <c r="A1431" s="126">
        <v>151</v>
      </c>
      <c r="B1431" s="25" t="s">
        <v>104</v>
      </c>
      <c r="C1431" s="39" t="s">
        <v>27</v>
      </c>
      <c r="D1431" s="50" t="s">
        <v>27</v>
      </c>
      <c r="E1431" s="28" t="s">
        <v>27</v>
      </c>
      <c r="F1431" s="51" t="s">
        <v>27</v>
      </c>
      <c r="G1431" s="28" t="s">
        <v>27</v>
      </c>
      <c r="H1431" s="55" t="s">
        <v>27</v>
      </c>
    </row>
    <row r="1432" spans="1:8" ht="12.75" customHeight="1" x14ac:dyDescent="0.15">
      <c r="A1432" s="126">
        <v>152</v>
      </c>
      <c r="B1432" s="25" t="s">
        <v>105</v>
      </c>
      <c r="C1432" s="39" t="s">
        <v>27</v>
      </c>
      <c r="D1432" s="50" t="s">
        <v>27</v>
      </c>
      <c r="E1432" s="28" t="s">
        <v>27</v>
      </c>
      <c r="F1432" s="51" t="s">
        <v>27</v>
      </c>
      <c r="G1432" s="28" t="s">
        <v>27</v>
      </c>
      <c r="H1432" s="55" t="s">
        <v>27</v>
      </c>
    </row>
    <row r="1433" spans="1:8" ht="12.75" customHeight="1" x14ac:dyDescent="0.15">
      <c r="A1433" s="126">
        <v>153</v>
      </c>
      <c r="B1433" s="25" t="s">
        <v>106</v>
      </c>
      <c r="C1433" s="39" t="s">
        <v>27</v>
      </c>
      <c r="D1433" s="50" t="s">
        <v>27</v>
      </c>
      <c r="E1433" s="28" t="s">
        <v>27</v>
      </c>
      <c r="F1433" s="51" t="s">
        <v>27</v>
      </c>
      <c r="G1433" s="28" t="s">
        <v>27</v>
      </c>
      <c r="H1433" s="55" t="s">
        <v>27</v>
      </c>
    </row>
    <row r="1434" spans="1:8" ht="12.75" customHeight="1" x14ac:dyDescent="0.15">
      <c r="A1434" s="126">
        <v>154</v>
      </c>
      <c r="B1434" s="25" t="s">
        <v>107</v>
      </c>
      <c r="C1434" s="39" t="s">
        <v>27</v>
      </c>
      <c r="D1434" s="50" t="s">
        <v>27</v>
      </c>
      <c r="E1434" s="28" t="s">
        <v>27</v>
      </c>
      <c r="F1434" s="51" t="s">
        <v>27</v>
      </c>
      <c r="G1434" s="28" t="s">
        <v>27</v>
      </c>
      <c r="H1434" s="55" t="s">
        <v>27</v>
      </c>
    </row>
    <row r="1435" spans="1:8" ht="12.75" customHeight="1" x14ac:dyDescent="0.15">
      <c r="A1435" s="126">
        <v>155</v>
      </c>
      <c r="B1435" s="25" t="s">
        <v>108</v>
      </c>
      <c r="C1435" s="39" t="s">
        <v>27</v>
      </c>
      <c r="D1435" s="50" t="s">
        <v>27</v>
      </c>
      <c r="E1435" s="28" t="s">
        <v>27</v>
      </c>
      <c r="F1435" s="51" t="s">
        <v>27</v>
      </c>
      <c r="G1435" s="28" t="s">
        <v>27</v>
      </c>
      <c r="H1435" s="55" t="s">
        <v>27</v>
      </c>
    </row>
    <row r="1436" spans="1:8" ht="12.75" customHeight="1" x14ac:dyDescent="0.15">
      <c r="A1436" s="126">
        <v>156</v>
      </c>
      <c r="B1436" s="25" t="s">
        <v>109</v>
      </c>
      <c r="C1436" s="39" t="s">
        <v>27</v>
      </c>
      <c r="D1436" s="50" t="s">
        <v>27</v>
      </c>
      <c r="E1436" s="28" t="s">
        <v>27</v>
      </c>
      <c r="F1436" s="51" t="s">
        <v>27</v>
      </c>
      <c r="G1436" s="28" t="s">
        <v>27</v>
      </c>
      <c r="H1436" s="55" t="s">
        <v>27</v>
      </c>
    </row>
    <row r="1437" spans="1:8" ht="12.75" customHeight="1" x14ac:dyDescent="0.15">
      <c r="A1437" s="126">
        <v>157</v>
      </c>
      <c r="B1437" s="25" t="s">
        <v>110</v>
      </c>
      <c r="C1437" s="39" t="s">
        <v>27</v>
      </c>
      <c r="D1437" s="50" t="s">
        <v>27</v>
      </c>
      <c r="E1437" s="28" t="s">
        <v>27</v>
      </c>
      <c r="F1437" s="51" t="s">
        <v>27</v>
      </c>
      <c r="G1437" s="28" t="s">
        <v>27</v>
      </c>
      <c r="H1437" s="55" t="s">
        <v>27</v>
      </c>
    </row>
    <row r="1438" spans="1:8" ht="12.75" customHeight="1" x14ac:dyDescent="0.15">
      <c r="A1438" s="126">
        <v>158</v>
      </c>
      <c r="B1438" s="25" t="s">
        <v>111</v>
      </c>
      <c r="C1438" s="39" t="s">
        <v>27</v>
      </c>
      <c r="D1438" s="50" t="s">
        <v>27</v>
      </c>
      <c r="E1438" s="28" t="s">
        <v>27</v>
      </c>
      <c r="F1438" s="51" t="s">
        <v>27</v>
      </c>
      <c r="G1438" s="28" t="s">
        <v>27</v>
      </c>
      <c r="H1438" s="55" t="s">
        <v>27</v>
      </c>
    </row>
    <row r="1439" spans="1:8" ht="12.75" customHeight="1" x14ac:dyDescent="0.15">
      <c r="A1439" s="126">
        <v>159</v>
      </c>
      <c r="B1439" s="25" t="s">
        <v>112</v>
      </c>
      <c r="C1439" s="39" t="s">
        <v>27</v>
      </c>
      <c r="D1439" s="50" t="s">
        <v>27</v>
      </c>
      <c r="E1439" s="28" t="s">
        <v>27</v>
      </c>
      <c r="F1439" s="51" t="s">
        <v>27</v>
      </c>
      <c r="G1439" s="28" t="s">
        <v>27</v>
      </c>
      <c r="H1439" s="55" t="s">
        <v>27</v>
      </c>
    </row>
    <row r="1440" spans="1:8" ht="12.75" customHeight="1" x14ac:dyDescent="0.15">
      <c r="A1440" s="126">
        <v>160</v>
      </c>
      <c r="B1440" s="25" t="s">
        <v>113</v>
      </c>
      <c r="C1440" s="39" t="s">
        <v>27</v>
      </c>
      <c r="D1440" s="50" t="s">
        <v>27</v>
      </c>
      <c r="E1440" s="28" t="s">
        <v>27</v>
      </c>
      <c r="F1440" s="51" t="s">
        <v>27</v>
      </c>
      <c r="G1440" s="28" t="s">
        <v>27</v>
      </c>
      <c r="H1440" s="55" t="s">
        <v>27</v>
      </c>
    </row>
    <row r="1441" spans="1:8" ht="12.75" customHeight="1" x14ac:dyDescent="0.15">
      <c r="A1441" s="126">
        <v>161</v>
      </c>
      <c r="B1441" s="25" t="s">
        <v>114</v>
      </c>
      <c r="C1441" s="39" t="s">
        <v>27</v>
      </c>
      <c r="D1441" s="50" t="s">
        <v>27</v>
      </c>
      <c r="E1441" s="28" t="s">
        <v>27</v>
      </c>
      <c r="F1441" s="51" t="s">
        <v>27</v>
      </c>
      <c r="G1441" s="28" t="s">
        <v>27</v>
      </c>
      <c r="H1441" s="55" t="s">
        <v>27</v>
      </c>
    </row>
    <row r="1442" spans="1:8" ht="12.75" customHeight="1" x14ac:dyDescent="0.15">
      <c r="A1442" s="126">
        <v>162</v>
      </c>
      <c r="B1442" s="25" t="s">
        <v>115</v>
      </c>
      <c r="C1442" s="39" t="s">
        <v>27</v>
      </c>
      <c r="D1442" s="50" t="s">
        <v>27</v>
      </c>
      <c r="E1442" s="28" t="s">
        <v>27</v>
      </c>
      <c r="F1442" s="51" t="s">
        <v>27</v>
      </c>
      <c r="G1442" s="28" t="s">
        <v>27</v>
      </c>
      <c r="H1442" s="55" t="s">
        <v>27</v>
      </c>
    </row>
    <row r="1443" spans="1:8" ht="12.75" customHeight="1" x14ac:dyDescent="0.15">
      <c r="A1443" s="126">
        <v>163</v>
      </c>
      <c r="B1443" s="25" t="s">
        <v>116</v>
      </c>
      <c r="C1443" s="39" t="s">
        <v>27</v>
      </c>
      <c r="D1443" s="50" t="s">
        <v>27</v>
      </c>
      <c r="E1443" s="28" t="s">
        <v>27</v>
      </c>
      <c r="F1443" s="51" t="s">
        <v>27</v>
      </c>
      <c r="G1443" s="28" t="s">
        <v>27</v>
      </c>
      <c r="H1443" s="55" t="s">
        <v>27</v>
      </c>
    </row>
    <row r="1444" spans="1:8" ht="12.75" customHeight="1" x14ac:dyDescent="0.15">
      <c r="A1444" s="126">
        <v>164</v>
      </c>
      <c r="B1444" s="25" t="s">
        <v>117</v>
      </c>
      <c r="C1444" s="39" t="s">
        <v>27</v>
      </c>
      <c r="D1444" s="50" t="s">
        <v>27</v>
      </c>
      <c r="E1444" s="28" t="s">
        <v>27</v>
      </c>
      <c r="F1444" s="51" t="s">
        <v>27</v>
      </c>
      <c r="G1444" s="28" t="s">
        <v>27</v>
      </c>
      <c r="H1444" s="55" t="s">
        <v>27</v>
      </c>
    </row>
    <row r="1445" spans="1:8" ht="12.75" customHeight="1" x14ac:dyDescent="0.15">
      <c r="A1445" s="126">
        <v>165</v>
      </c>
      <c r="B1445" s="25" t="s">
        <v>2</v>
      </c>
      <c r="C1445" s="39" t="s">
        <v>27</v>
      </c>
      <c r="D1445" s="50" t="s">
        <v>27</v>
      </c>
      <c r="E1445" s="28" t="s">
        <v>27</v>
      </c>
      <c r="F1445" s="51" t="s">
        <v>27</v>
      </c>
      <c r="G1445" s="28" t="s">
        <v>27</v>
      </c>
      <c r="H1445" s="55" t="s">
        <v>27</v>
      </c>
    </row>
    <row r="1446" spans="1:8" ht="12.75" customHeight="1" x14ac:dyDescent="0.15">
      <c r="A1446" s="126">
        <v>166</v>
      </c>
      <c r="B1446" s="25" t="s">
        <v>118</v>
      </c>
      <c r="C1446" s="39" t="s">
        <v>27</v>
      </c>
      <c r="D1446" s="50" t="s">
        <v>27</v>
      </c>
      <c r="E1446" s="28" t="s">
        <v>27</v>
      </c>
      <c r="F1446" s="51" t="s">
        <v>27</v>
      </c>
      <c r="G1446" s="28" t="s">
        <v>27</v>
      </c>
      <c r="H1446" s="55" t="s">
        <v>27</v>
      </c>
    </row>
    <row r="1447" spans="1:8" ht="12.75" customHeight="1" x14ac:dyDescent="0.15">
      <c r="A1447" s="126">
        <v>167</v>
      </c>
      <c r="B1447" s="25" t="s">
        <v>118</v>
      </c>
      <c r="C1447" s="39" t="s">
        <v>27</v>
      </c>
      <c r="D1447" s="50" t="s">
        <v>27</v>
      </c>
      <c r="E1447" s="28" t="s">
        <v>27</v>
      </c>
      <c r="F1447" s="51" t="s">
        <v>27</v>
      </c>
      <c r="G1447" s="28" t="s">
        <v>27</v>
      </c>
      <c r="H1447" s="55" t="s">
        <v>27</v>
      </c>
    </row>
    <row r="1448" spans="1:8" ht="12.75" customHeight="1" x14ac:dyDescent="0.15">
      <c r="A1448" s="126">
        <v>168</v>
      </c>
      <c r="B1448" s="25" t="s">
        <v>119</v>
      </c>
      <c r="C1448" s="39" t="s">
        <v>27</v>
      </c>
      <c r="D1448" s="50" t="s">
        <v>27</v>
      </c>
      <c r="E1448" s="28" t="s">
        <v>27</v>
      </c>
      <c r="F1448" s="51" t="s">
        <v>27</v>
      </c>
      <c r="G1448" s="28" t="s">
        <v>27</v>
      </c>
      <c r="H1448" s="55" t="s">
        <v>27</v>
      </c>
    </row>
    <row r="1449" spans="1:8" ht="12.75" customHeight="1" x14ac:dyDescent="0.15">
      <c r="A1449" s="126">
        <v>169</v>
      </c>
      <c r="B1449" s="25" t="s">
        <v>120</v>
      </c>
      <c r="C1449" s="39" t="s">
        <v>27</v>
      </c>
      <c r="D1449" s="50" t="s">
        <v>27</v>
      </c>
      <c r="E1449" s="28" t="s">
        <v>27</v>
      </c>
      <c r="F1449" s="51" t="s">
        <v>27</v>
      </c>
      <c r="G1449" s="28" t="s">
        <v>27</v>
      </c>
      <c r="H1449" s="55" t="s">
        <v>27</v>
      </c>
    </row>
    <row r="1450" spans="1:8" ht="12.75" customHeight="1" x14ac:dyDescent="0.15">
      <c r="A1450" s="126">
        <v>170</v>
      </c>
      <c r="B1450" s="25" t="s">
        <v>121</v>
      </c>
      <c r="C1450" s="39" t="s">
        <v>27</v>
      </c>
      <c r="D1450" s="50" t="s">
        <v>27</v>
      </c>
      <c r="E1450" s="28" t="s">
        <v>27</v>
      </c>
      <c r="F1450" s="51" t="s">
        <v>27</v>
      </c>
      <c r="G1450" s="28" t="s">
        <v>27</v>
      </c>
      <c r="H1450" s="55" t="s">
        <v>27</v>
      </c>
    </row>
    <row r="1451" spans="1:8" ht="12.75" customHeight="1" x14ac:dyDescent="0.15">
      <c r="A1451" s="126">
        <v>171</v>
      </c>
      <c r="B1451" s="25" t="s">
        <v>122</v>
      </c>
      <c r="C1451" s="39" t="s">
        <v>27</v>
      </c>
      <c r="D1451" s="50" t="s">
        <v>27</v>
      </c>
      <c r="E1451" s="28" t="s">
        <v>27</v>
      </c>
      <c r="F1451" s="51" t="s">
        <v>27</v>
      </c>
      <c r="G1451" s="28" t="s">
        <v>27</v>
      </c>
      <c r="H1451" s="55" t="s">
        <v>27</v>
      </c>
    </row>
    <row r="1452" spans="1:8" ht="12.75" customHeight="1" x14ac:dyDescent="0.15">
      <c r="A1452" s="126">
        <v>172</v>
      </c>
      <c r="B1452" s="25" t="s">
        <v>123</v>
      </c>
      <c r="C1452" s="39" t="s">
        <v>27</v>
      </c>
      <c r="D1452" s="50" t="s">
        <v>27</v>
      </c>
      <c r="E1452" s="28" t="s">
        <v>27</v>
      </c>
      <c r="F1452" s="51" t="s">
        <v>27</v>
      </c>
      <c r="G1452" s="28" t="s">
        <v>27</v>
      </c>
      <c r="H1452" s="55" t="s">
        <v>27</v>
      </c>
    </row>
    <row r="1453" spans="1:8" ht="12.75" customHeight="1" x14ac:dyDescent="0.15">
      <c r="A1453" s="126">
        <v>173</v>
      </c>
      <c r="B1453" s="25" t="s">
        <v>113</v>
      </c>
      <c r="C1453" s="39" t="s">
        <v>27</v>
      </c>
      <c r="D1453" s="50" t="s">
        <v>27</v>
      </c>
      <c r="E1453" s="28" t="s">
        <v>27</v>
      </c>
      <c r="F1453" s="51" t="s">
        <v>27</v>
      </c>
      <c r="G1453" s="28" t="s">
        <v>27</v>
      </c>
      <c r="H1453" s="55" t="s">
        <v>27</v>
      </c>
    </row>
    <row r="1454" spans="1:8" ht="11.25" customHeight="1" x14ac:dyDescent="0.15">
      <c r="A1454" s="126">
        <v>174</v>
      </c>
      <c r="B1454" s="25" t="s">
        <v>85</v>
      </c>
      <c r="C1454" s="39" t="s">
        <v>27</v>
      </c>
      <c r="D1454" s="50" t="s">
        <v>27</v>
      </c>
      <c r="E1454" s="28" t="s">
        <v>27</v>
      </c>
      <c r="F1454" s="51" t="s">
        <v>27</v>
      </c>
      <c r="G1454" s="28" t="s">
        <v>27</v>
      </c>
      <c r="H1454" s="55" t="s">
        <v>27</v>
      </c>
    </row>
    <row r="1455" spans="1:8" ht="11.25" customHeight="1" x14ac:dyDescent="0.15">
      <c r="A1455" s="32"/>
      <c r="B1455" s="52" t="s">
        <v>129</v>
      </c>
      <c r="C1455" s="53">
        <f t="shared" ref="C1455:H1455" si="65">SUM(C1281:C1454)</f>
        <v>45.693333333333335</v>
      </c>
      <c r="D1455" s="53">
        <f t="shared" si="65"/>
        <v>1.4093433333335126E-2</v>
      </c>
      <c r="E1455" s="53">
        <f t="shared" si="65"/>
        <v>2.2780535988445604E-2</v>
      </c>
      <c r="F1455" s="53">
        <f t="shared" si="65"/>
        <v>1.0379786276715319E-2</v>
      </c>
      <c r="G1455" s="53">
        <f t="shared" si="65"/>
        <v>2.6606586872251659E-3</v>
      </c>
      <c r="H1455" s="54">
        <f t="shared" si="65"/>
        <v>0</v>
      </c>
    </row>
    <row r="1456" spans="1:8" ht="11.25" customHeight="1" x14ac:dyDescent="0.15">
      <c r="A1456" s="31"/>
      <c r="B1456" s="41" t="s">
        <v>130</v>
      </c>
      <c r="C1456" s="39">
        <f t="shared" ref="C1456:H1456" si="66">AVERAGE(C1281:C1454)</f>
        <v>22.846666666666668</v>
      </c>
      <c r="D1456" s="39">
        <f t="shared" si="66"/>
        <v>7.0467166666675629E-3</v>
      </c>
      <c r="E1456" s="39">
        <f t="shared" si="66"/>
        <v>1.1390267994222802E-2</v>
      </c>
      <c r="F1456" s="39">
        <f t="shared" si="66"/>
        <v>5.1898931383576596E-3</v>
      </c>
      <c r="G1456" s="39">
        <f t="shared" si="66"/>
        <v>1.3303293436125829E-3</v>
      </c>
      <c r="H1456" s="40" t="e">
        <f t="shared" si="66"/>
        <v>#DIV/0!</v>
      </c>
    </row>
    <row r="1457" spans="1:10" ht="11.25" customHeight="1" x14ac:dyDescent="0.15">
      <c r="A1457" s="33"/>
      <c r="B1457" s="42" t="s">
        <v>131</v>
      </c>
      <c r="C1457" s="43">
        <f t="shared" ref="C1457:H1457" si="67">STDEV(C1281:C1454)/AVERAGE(C1281:C1454)</f>
        <v>1.4443383333253145E-3</v>
      </c>
      <c r="D1457" s="43">
        <f t="shared" si="67"/>
        <v>0.65027606917311742</v>
      </c>
      <c r="E1457" s="43">
        <f t="shared" si="67"/>
        <v>0.57637259864045265</v>
      </c>
      <c r="F1457" s="43">
        <f t="shared" si="67"/>
        <v>0.53678361353942672</v>
      </c>
      <c r="G1457" s="43">
        <f t="shared" si="67"/>
        <v>0.46944544303456831</v>
      </c>
      <c r="H1457" s="44" t="e">
        <f t="shared" si="67"/>
        <v>#DIV/0!</v>
      </c>
    </row>
    <row r="1459" spans="1:10" ht="11.25" customHeight="1" x14ac:dyDescent="0.15">
      <c r="A1459" s="56" t="s">
        <v>13</v>
      </c>
      <c r="B1459" s="57" t="s">
        <v>81</v>
      </c>
      <c r="C1459" s="58" t="s">
        <v>82</v>
      </c>
      <c r="D1459" s="34" t="s">
        <v>17</v>
      </c>
      <c r="E1459" s="34" t="s">
        <v>83</v>
      </c>
      <c r="F1459" s="34" t="s">
        <v>18</v>
      </c>
      <c r="G1459" s="34" t="s">
        <v>84</v>
      </c>
      <c r="H1459" s="35" t="s">
        <v>19</v>
      </c>
    </row>
    <row r="1460" spans="1:10" ht="11.25" customHeight="1" x14ac:dyDescent="0.15">
      <c r="A1460" s="36" t="s">
        <v>20</v>
      </c>
      <c r="B1460" s="37" t="s">
        <v>20</v>
      </c>
      <c r="C1460" s="37" t="s">
        <v>21</v>
      </c>
      <c r="D1460" s="37" t="s">
        <v>22</v>
      </c>
      <c r="E1460" s="37" t="s">
        <v>52</v>
      </c>
      <c r="F1460" s="37" t="s">
        <v>23</v>
      </c>
      <c r="G1460" s="37" t="s">
        <v>52</v>
      </c>
      <c r="H1460" s="38" t="s">
        <v>20</v>
      </c>
    </row>
    <row r="1461" spans="1:10" ht="11.25" customHeight="1" x14ac:dyDescent="0.15">
      <c r="A1461" s="36" t="s">
        <v>20</v>
      </c>
      <c r="B1461" s="37" t="s">
        <v>20</v>
      </c>
      <c r="C1461" s="37" t="s">
        <v>24</v>
      </c>
      <c r="D1461" s="37" t="s">
        <v>24</v>
      </c>
      <c r="E1461" s="37" t="s">
        <v>24</v>
      </c>
      <c r="F1461" s="37" t="s">
        <v>24</v>
      </c>
      <c r="G1461" s="37" t="s">
        <v>24</v>
      </c>
      <c r="H1461" s="38" t="s">
        <v>24</v>
      </c>
    </row>
    <row r="1462" spans="1:10" ht="11.25" customHeight="1" x14ac:dyDescent="0.15">
      <c r="A1462" s="36" t="s">
        <v>20</v>
      </c>
      <c r="B1462" s="37" t="s">
        <v>20</v>
      </c>
      <c r="C1462" s="45" t="s">
        <v>34</v>
      </c>
      <c r="D1462" s="46" t="s">
        <v>34</v>
      </c>
      <c r="E1462" s="47" t="s">
        <v>34</v>
      </c>
      <c r="F1462" s="48" t="s">
        <v>34</v>
      </c>
      <c r="G1462" s="47" t="s">
        <v>34</v>
      </c>
      <c r="H1462" s="49" t="s">
        <v>34</v>
      </c>
      <c r="I1462" s="208" t="s">
        <v>204</v>
      </c>
      <c r="J1462" s="208" t="s">
        <v>205</v>
      </c>
    </row>
    <row r="1463" spans="1:10" ht="11.25" customHeight="1" x14ac:dyDescent="0.15">
      <c r="A1463" s="126">
        <v>1</v>
      </c>
      <c r="B1463" s="25" t="s">
        <v>85</v>
      </c>
      <c r="C1463" s="39" t="s">
        <v>27</v>
      </c>
      <c r="D1463" s="50" t="s">
        <v>27</v>
      </c>
      <c r="E1463" s="28" t="s">
        <v>27</v>
      </c>
      <c r="F1463" s="51" t="s">
        <v>27</v>
      </c>
      <c r="G1463" s="28" t="s">
        <v>27</v>
      </c>
      <c r="H1463" s="55" t="s">
        <v>27</v>
      </c>
      <c r="I1463" s="50">
        <v>4.095663883302858E-2</v>
      </c>
    </row>
    <row r="1464" spans="1:10" ht="12.75" customHeight="1" x14ac:dyDescent="0.15">
      <c r="A1464" s="126">
        <v>2</v>
      </c>
      <c r="B1464" s="25" t="s">
        <v>86</v>
      </c>
      <c r="C1464" s="39" t="s">
        <v>27</v>
      </c>
      <c r="D1464" s="50" t="s">
        <v>27</v>
      </c>
      <c r="E1464" s="28" t="s">
        <v>27</v>
      </c>
      <c r="F1464" s="51" t="s">
        <v>27</v>
      </c>
      <c r="G1464" s="28" t="s">
        <v>27</v>
      </c>
      <c r="H1464" s="55" t="s">
        <v>27</v>
      </c>
      <c r="I1464" s="50">
        <v>61.317518126708961</v>
      </c>
    </row>
    <row r="1465" spans="1:10" ht="12.75" customHeight="1" x14ac:dyDescent="0.15">
      <c r="A1465" s="126">
        <v>3</v>
      </c>
      <c r="B1465" s="25" t="s">
        <v>87</v>
      </c>
      <c r="C1465" s="39" t="s">
        <v>27</v>
      </c>
      <c r="D1465" s="50" t="s">
        <v>27</v>
      </c>
      <c r="E1465" s="28" t="s">
        <v>27</v>
      </c>
      <c r="F1465" s="51" t="s">
        <v>27</v>
      </c>
      <c r="G1465" s="28" t="s">
        <v>27</v>
      </c>
      <c r="H1465" s="55" t="s">
        <v>27</v>
      </c>
      <c r="I1465" s="50">
        <v>60.556380597185495</v>
      </c>
    </row>
    <row r="1466" spans="1:10" ht="12.75" customHeight="1" x14ac:dyDescent="0.15">
      <c r="A1466" s="126">
        <v>4</v>
      </c>
      <c r="B1466" s="25" t="s">
        <v>88</v>
      </c>
      <c r="C1466" s="39">
        <v>26.116666666666667</v>
      </c>
      <c r="D1466" s="50">
        <v>0.13785896666666897</v>
      </c>
      <c r="E1466" s="28">
        <v>0.22673213497315001</v>
      </c>
      <c r="F1466" s="51">
        <v>0.18160356213017748</v>
      </c>
      <c r="G1466" s="28">
        <v>4.6586795332859456E-2</v>
      </c>
      <c r="H1466" s="55" t="s">
        <v>27</v>
      </c>
      <c r="I1466" s="50">
        <v>59.991398085091745</v>
      </c>
    </row>
    <row r="1467" spans="1:10" ht="12.75" customHeight="1" x14ac:dyDescent="0.15">
      <c r="A1467" s="126">
        <v>5</v>
      </c>
      <c r="B1467" s="25" t="s">
        <v>59</v>
      </c>
      <c r="C1467" s="39" t="s">
        <v>27</v>
      </c>
      <c r="D1467" s="50" t="s">
        <v>27</v>
      </c>
      <c r="E1467" s="28" t="s">
        <v>27</v>
      </c>
      <c r="F1467" s="51" t="s">
        <v>27</v>
      </c>
      <c r="G1467" s="28" t="s">
        <v>27</v>
      </c>
      <c r="H1467" s="55" t="s">
        <v>27</v>
      </c>
      <c r="I1467" s="50">
        <v>5.9284909383752749E-2</v>
      </c>
    </row>
    <row r="1468" spans="1:10" ht="12.75" customHeight="1" x14ac:dyDescent="0.15">
      <c r="A1468" s="126">
        <v>6</v>
      </c>
      <c r="B1468" s="25" t="s">
        <v>60</v>
      </c>
      <c r="C1468" s="39">
        <v>26.096666666666668</v>
      </c>
      <c r="D1468" s="50">
        <v>0.31048310000000257</v>
      </c>
      <c r="E1468" s="28">
        <v>24.881654114482501</v>
      </c>
      <c r="F1468" s="51">
        <v>0.40125102564102577</v>
      </c>
      <c r="G1468" s="28">
        <v>8.8060520834403651</v>
      </c>
      <c r="H1468" s="55" t="s">
        <v>27</v>
      </c>
      <c r="I1468" s="50">
        <v>6.6206856966898098E-2</v>
      </c>
    </row>
    <row r="1469" spans="1:10" ht="12.75" customHeight="1" x14ac:dyDescent="0.15">
      <c r="A1469" s="126">
        <v>7</v>
      </c>
      <c r="B1469" s="25" t="s">
        <v>61</v>
      </c>
      <c r="C1469" s="39">
        <v>26.07</v>
      </c>
      <c r="D1469" s="50">
        <v>0.71955989999999792</v>
      </c>
      <c r="E1469" s="28">
        <v>29.475425747219681</v>
      </c>
      <c r="F1469" s="51">
        <v>0.9968342369020502</v>
      </c>
      <c r="G1469" s="28">
        <v>11.892722952491225</v>
      </c>
      <c r="H1469" s="55" t="s">
        <v>27</v>
      </c>
      <c r="I1469" s="50">
        <v>0.12247340861437273</v>
      </c>
    </row>
    <row r="1470" spans="1:10" ht="12.75" customHeight="1" x14ac:dyDescent="0.15">
      <c r="A1470" s="126">
        <v>8</v>
      </c>
      <c r="B1470" s="25" t="s">
        <v>62</v>
      </c>
      <c r="C1470" s="39" t="s">
        <v>27</v>
      </c>
      <c r="D1470" s="50" t="s">
        <v>27</v>
      </c>
      <c r="E1470" s="28" t="s">
        <v>27</v>
      </c>
      <c r="F1470" s="51" t="s">
        <v>27</v>
      </c>
      <c r="G1470" s="28" t="s">
        <v>27</v>
      </c>
      <c r="H1470" s="55" t="s">
        <v>27</v>
      </c>
      <c r="I1470" s="50">
        <v>9.598185279917848E-2</v>
      </c>
    </row>
    <row r="1471" spans="1:10" ht="12.75" customHeight="1" x14ac:dyDescent="0.15">
      <c r="A1471" s="126">
        <v>9</v>
      </c>
      <c r="B1471" s="25" t="s">
        <v>59</v>
      </c>
      <c r="C1471" s="39" t="s">
        <v>27</v>
      </c>
      <c r="D1471" s="50" t="s">
        <v>27</v>
      </c>
      <c r="E1471" s="28" t="s">
        <v>27</v>
      </c>
      <c r="F1471" s="51" t="s">
        <v>27</v>
      </c>
      <c r="G1471" s="28" t="s">
        <v>27</v>
      </c>
      <c r="H1471" s="55" t="s">
        <v>27</v>
      </c>
      <c r="I1471" s="50">
        <v>6.6867244418114868E-2</v>
      </c>
    </row>
    <row r="1472" spans="1:10" ht="12.75" customHeight="1" x14ac:dyDescent="0.15">
      <c r="A1472" s="126">
        <v>10</v>
      </c>
      <c r="B1472" s="25" t="s">
        <v>63</v>
      </c>
      <c r="C1472" s="39">
        <v>26.153333333333336</v>
      </c>
      <c r="D1472" s="50">
        <v>4.4344616666665004E-2</v>
      </c>
      <c r="E1472" s="28">
        <v>6.6677529498362258</v>
      </c>
      <c r="F1472" s="51">
        <v>5.8354921671018189E-2</v>
      </c>
      <c r="G1472" s="28">
        <v>3.1969747774397046</v>
      </c>
      <c r="H1472" s="55" t="s">
        <v>27</v>
      </c>
      <c r="I1472" s="50">
        <v>7.8765377866665265E-2</v>
      </c>
    </row>
    <row r="1473" spans="1:10" ht="12.75" customHeight="1" x14ac:dyDescent="0.15">
      <c r="A1473" s="126">
        <v>11</v>
      </c>
      <c r="B1473" s="25" t="s">
        <v>64</v>
      </c>
      <c r="C1473" s="39">
        <v>26.156666666666666</v>
      </c>
      <c r="D1473" s="50">
        <v>5.5903699999998668E-2</v>
      </c>
      <c r="E1473" s="28">
        <v>11.472908318374927</v>
      </c>
      <c r="F1473" s="51">
        <v>7.3347550535077244E-2</v>
      </c>
      <c r="G1473" s="28">
        <v>4.2513659950159228</v>
      </c>
      <c r="H1473" s="55" t="s">
        <v>27</v>
      </c>
      <c r="I1473" s="50">
        <v>7.177782721124859E-2</v>
      </c>
    </row>
    <row r="1474" spans="1:10" ht="12.75" customHeight="1" x14ac:dyDescent="0.15">
      <c r="A1474" s="126">
        <v>12</v>
      </c>
      <c r="B1474" s="25" t="s">
        <v>65</v>
      </c>
      <c r="C1474" s="39">
        <v>26.150000000000002</v>
      </c>
      <c r="D1474" s="50">
        <v>8.3326866666662891E-2</v>
      </c>
      <c r="E1474" s="28">
        <v>5.3775116864546382</v>
      </c>
      <c r="F1474" s="51">
        <v>0.11142057142857142</v>
      </c>
      <c r="G1474" s="28">
        <v>1.2986004189563765</v>
      </c>
      <c r="H1474" s="55" t="s">
        <v>27</v>
      </c>
      <c r="I1474" s="50">
        <v>1.0162091069687109</v>
      </c>
    </row>
    <row r="1475" spans="1:10" ht="12.75" customHeight="1" x14ac:dyDescent="0.15">
      <c r="A1475" s="126">
        <v>13</v>
      </c>
      <c r="B1475" s="25" t="s">
        <v>66</v>
      </c>
      <c r="C1475" s="39">
        <v>26.150000000000002</v>
      </c>
      <c r="D1475" s="50">
        <v>0.12761913333334007</v>
      </c>
      <c r="E1475" s="28">
        <v>16.102680330499556</v>
      </c>
      <c r="F1475" s="51">
        <v>0.1648468762816131</v>
      </c>
      <c r="G1475" s="28">
        <v>5.9482300374375079</v>
      </c>
      <c r="H1475" s="55" t="s">
        <v>27</v>
      </c>
      <c r="I1475" s="50">
        <v>5.0377216666666724E-2</v>
      </c>
    </row>
    <row r="1476" spans="1:10" ht="12.75" customHeight="1" x14ac:dyDescent="0.15">
      <c r="A1476" s="126">
        <v>14</v>
      </c>
      <c r="B1476" s="25" t="s">
        <v>67</v>
      </c>
      <c r="C1476" s="39">
        <v>26.16</v>
      </c>
      <c r="D1476" s="50">
        <v>0.13802766666666377</v>
      </c>
      <c r="E1476" s="28">
        <v>17.234043465284213</v>
      </c>
      <c r="F1476" s="51">
        <v>0.18471084403669724</v>
      </c>
      <c r="G1476" s="28">
        <v>6.3872712461893366</v>
      </c>
      <c r="H1476" s="55" t="s">
        <v>27</v>
      </c>
      <c r="I1476" s="50">
        <v>3.7888999999999728E-2</v>
      </c>
    </row>
    <row r="1477" spans="1:10" ht="12.75" customHeight="1" x14ac:dyDescent="0.15">
      <c r="A1477" s="126">
        <v>15</v>
      </c>
      <c r="B1477" s="25" t="s">
        <v>85</v>
      </c>
      <c r="C1477" s="39" t="s">
        <v>27</v>
      </c>
      <c r="D1477" s="50" t="s">
        <v>27</v>
      </c>
      <c r="E1477" s="28" t="s">
        <v>27</v>
      </c>
      <c r="F1477" s="51" t="s">
        <v>27</v>
      </c>
      <c r="G1477" s="28" t="s">
        <v>27</v>
      </c>
      <c r="H1477" s="55" t="s">
        <v>27</v>
      </c>
      <c r="I1477" s="50">
        <v>0.28603644460322941</v>
      </c>
    </row>
    <row r="1478" spans="1:10" ht="12.75" customHeight="1" x14ac:dyDescent="0.15">
      <c r="A1478" s="126">
        <v>16</v>
      </c>
      <c r="B1478" s="25" t="s">
        <v>85</v>
      </c>
      <c r="C1478" s="39" t="s">
        <v>27</v>
      </c>
      <c r="D1478" s="50" t="s">
        <v>27</v>
      </c>
      <c r="E1478" s="28" t="s">
        <v>27</v>
      </c>
      <c r="F1478" s="51" t="s">
        <v>27</v>
      </c>
      <c r="G1478" s="28" t="s">
        <v>27</v>
      </c>
      <c r="H1478" s="55" t="s">
        <v>27</v>
      </c>
      <c r="I1478" s="50">
        <v>5.7229369047616885E-2</v>
      </c>
    </row>
    <row r="1479" spans="1:10" ht="12.75" customHeight="1" x14ac:dyDescent="0.15">
      <c r="A1479" s="126">
        <v>17</v>
      </c>
      <c r="B1479" s="25" t="s">
        <v>85</v>
      </c>
      <c r="C1479" s="39" t="s">
        <v>27</v>
      </c>
      <c r="D1479" s="50" t="s">
        <v>27</v>
      </c>
      <c r="E1479" s="28" t="s">
        <v>27</v>
      </c>
      <c r="F1479" s="51" t="s">
        <v>27</v>
      </c>
      <c r="G1479" s="28" t="s">
        <v>27</v>
      </c>
      <c r="H1479" s="55" t="s">
        <v>27</v>
      </c>
      <c r="I1479" s="50">
        <v>4.6151283348567551E-2</v>
      </c>
    </row>
    <row r="1480" spans="1:10" ht="12.75" customHeight="1" x14ac:dyDescent="0.15">
      <c r="A1480" s="126">
        <v>18</v>
      </c>
      <c r="B1480" s="25" t="s">
        <v>87</v>
      </c>
      <c r="C1480" s="39" t="s">
        <v>27</v>
      </c>
      <c r="D1480" s="50" t="s">
        <v>27</v>
      </c>
      <c r="E1480" s="28" t="s">
        <v>27</v>
      </c>
      <c r="F1480" s="51" t="s">
        <v>27</v>
      </c>
      <c r="G1480" s="28" t="s">
        <v>27</v>
      </c>
      <c r="H1480" s="55" t="s">
        <v>27</v>
      </c>
      <c r="I1480" s="50">
        <v>58.138214970554579</v>
      </c>
      <c r="J1480" t="e">
        <f>D1480*60/I1480</f>
        <v>#VALUE!</v>
      </c>
    </row>
    <row r="1481" spans="1:10" ht="12.75" customHeight="1" x14ac:dyDescent="0.15">
      <c r="A1481" s="126">
        <v>19</v>
      </c>
      <c r="B1481" s="25" t="s">
        <v>88</v>
      </c>
      <c r="C1481" s="39">
        <v>26.19</v>
      </c>
      <c r="D1481" s="50">
        <v>0.13531550000000037</v>
      </c>
      <c r="E1481" s="28">
        <v>0.22448597079129323</v>
      </c>
      <c r="F1481" s="51">
        <v>0.1830616974169742</v>
      </c>
      <c r="G1481" s="28">
        <v>4.7873508882077878E-2</v>
      </c>
      <c r="H1481" s="55" t="s">
        <v>27</v>
      </c>
      <c r="I1481" s="50">
        <v>59.254926413747008</v>
      </c>
      <c r="J1481">
        <f t="shared" ref="J1481:J1544" si="68">D1481*60/I1481</f>
        <v>0.13701696198742472</v>
      </c>
    </row>
    <row r="1482" spans="1:10" ht="12.75" customHeight="1" x14ac:dyDescent="0.15">
      <c r="A1482" s="126">
        <v>20</v>
      </c>
      <c r="B1482" s="25" t="s">
        <v>86</v>
      </c>
      <c r="C1482" s="39" t="s">
        <v>27</v>
      </c>
      <c r="D1482" s="50" t="s">
        <v>27</v>
      </c>
      <c r="E1482" s="28" t="s">
        <v>27</v>
      </c>
      <c r="F1482" s="51" t="s">
        <v>27</v>
      </c>
      <c r="G1482" s="28" t="s">
        <v>27</v>
      </c>
      <c r="H1482" s="55" t="s">
        <v>27</v>
      </c>
      <c r="I1482" s="50">
        <v>63.739007898367269</v>
      </c>
      <c r="J1482" t="e">
        <f t="shared" si="68"/>
        <v>#VALUE!</v>
      </c>
    </row>
    <row r="1483" spans="1:10" ht="12.75" customHeight="1" x14ac:dyDescent="0.15">
      <c r="A1483" s="126">
        <v>21</v>
      </c>
      <c r="B1483" s="25" t="s">
        <v>85</v>
      </c>
      <c r="C1483" s="39" t="s">
        <v>27</v>
      </c>
      <c r="D1483" s="50" t="s">
        <v>27</v>
      </c>
      <c r="E1483" s="28" t="s">
        <v>27</v>
      </c>
      <c r="F1483" s="51" t="s">
        <v>27</v>
      </c>
      <c r="G1483" s="28" t="s">
        <v>27</v>
      </c>
      <c r="H1483" s="55" t="s">
        <v>27</v>
      </c>
      <c r="I1483" s="50">
        <v>5.8629709434996791E-2</v>
      </c>
      <c r="J1483" t="e">
        <f t="shared" si="68"/>
        <v>#VALUE!</v>
      </c>
    </row>
    <row r="1484" spans="1:10" ht="12.75" customHeight="1" x14ac:dyDescent="0.15">
      <c r="A1484" s="126">
        <v>22</v>
      </c>
      <c r="B1484" s="25" t="s">
        <v>89</v>
      </c>
      <c r="C1484" s="39" t="s">
        <v>27</v>
      </c>
      <c r="D1484" s="50" t="s">
        <v>27</v>
      </c>
      <c r="E1484" s="28" t="s">
        <v>27</v>
      </c>
      <c r="F1484" s="51" t="s">
        <v>27</v>
      </c>
      <c r="G1484" s="28" t="s">
        <v>27</v>
      </c>
      <c r="H1484" s="55" t="s">
        <v>27</v>
      </c>
      <c r="I1484" s="50">
        <v>66.89664388762219</v>
      </c>
      <c r="J1484" t="e">
        <f t="shared" si="68"/>
        <v>#VALUE!</v>
      </c>
    </row>
    <row r="1485" spans="1:10" ht="12.75" customHeight="1" x14ac:dyDescent="0.15">
      <c r="A1485" s="126">
        <v>23</v>
      </c>
      <c r="B1485" s="25" t="s">
        <v>90</v>
      </c>
      <c r="C1485" s="39" t="s">
        <v>27</v>
      </c>
      <c r="D1485" s="50" t="s">
        <v>27</v>
      </c>
      <c r="E1485" s="28" t="s">
        <v>27</v>
      </c>
      <c r="F1485" s="51" t="s">
        <v>27</v>
      </c>
      <c r="G1485" s="28" t="s">
        <v>27</v>
      </c>
      <c r="H1485" s="55" t="s">
        <v>27</v>
      </c>
      <c r="I1485" s="50">
        <v>64.292652151897741</v>
      </c>
      <c r="J1485" t="e">
        <f t="shared" si="68"/>
        <v>#VALUE!</v>
      </c>
    </row>
    <row r="1486" spans="1:10" ht="12.75" customHeight="1" x14ac:dyDescent="0.15">
      <c r="A1486" s="126">
        <v>24</v>
      </c>
      <c r="B1486" s="25" t="s">
        <v>91</v>
      </c>
      <c r="C1486" s="39" t="s">
        <v>27</v>
      </c>
      <c r="D1486" s="50" t="s">
        <v>27</v>
      </c>
      <c r="E1486" s="28" t="s">
        <v>27</v>
      </c>
      <c r="F1486" s="51" t="s">
        <v>27</v>
      </c>
      <c r="G1486" s="28" t="s">
        <v>27</v>
      </c>
      <c r="H1486" s="55" t="s">
        <v>27</v>
      </c>
      <c r="I1486" s="50">
        <v>70.558985876059566</v>
      </c>
      <c r="J1486" t="e">
        <f t="shared" si="68"/>
        <v>#VALUE!</v>
      </c>
    </row>
    <row r="1487" spans="1:10" ht="12.75" customHeight="1" x14ac:dyDescent="0.15">
      <c r="A1487" s="126">
        <v>25</v>
      </c>
      <c r="B1487" s="25" t="s">
        <v>92</v>
      </c>
      <c r="C1487" s="39" t="s">
        <v>27</v>
      </c>
      <c r="D1487" s="50" t="s">
        <v>27</v>
      </c>
      <c r="E1487" s="28" t="s">
        <v>27</v>
      </c>
      <c r="F1487" s="51" t="s">
        <v>27</v>
      </c>
      <c r="G1487" s="28" t="s">
        <v>27</v>
      </c>
      <c r="H1487" s="55" t="s">
        <v>27</v>
      </c>
      <c r="I1487" s="50">
        <v>63.136728161916054</v>
      </c>
      <c r="J1487" t="e">
        <f t="shared" si="68"/>
        <v>#VALUE!</v>
      </c>
    </row>
    <row r="1488" spans="1:10" ht="12.75" customHeight="1" x14ac:dyDescent="0.15">
      <c r="A1488" s="126">
        <v>26</v>
      </c>
      <c r="B1488" s="25" t="s">
        <v>93</v>
      </c>
      <c r="C1488" s="39" t="s">
        <v>27</v>
      </c>
      <c r="D1488" s="50" t="s">
        <v>27</v>
      </c>
      <c r="E1488" s="28" t="s">
        <v>27</v>
      </c>
      <c r="F1488" s="51" t="s">
        <v>27</v>
      </c>
      <c r="G1488" s="28" t="s">
        <v>27</v>
      </c>
      <c r="H1488" s="55" t="s">
        <v>27</v>
      </c>
      <c r="I1488" s="50">
        <v>65.753312757466972</v>
      </c>
      <c r="J1488" t="e">
        <f t="shared" si="68"/>
        <v>#VALUE!</v>
      </c>
    </row>
    <row r="1489" spans="1:10" ht="12.75" customHeight="1" x14ac:dyDescent="0.15">
      <c r="A1489" s="126">
        <v>27</v>
      </c>
      <c r="B1489" s="25" t="s">
        <v>94</v>
      </c>
      <c r="C1489" s="39" t="s">
        <v>27</v>
      </c>
      <c r="D1489" s="50" t="s">
        <v>27</v>
      </c>
      <c r="E1489" s="28" t="s">
        <v>27</v>
      </c>
      <c r="F1489" s="51" t="s">
        <v>27</v>
      </c>
      <c r="G1489" s="28" t="s">
        <v>27</v>
      </c>
      <c r="H1489" s="55" t="s">
        <v>27</v>
      </c>
      <c r="I1489" s="50">
        <v>63.425098809374994</v>
      </c>
      <c r="J1489" t="e">
        <f t="shared" si="68"/>
        <v>#VALUE!</v>
      </c>
    </row>
    <row r="1490" spans="1:10" ht="12.75" customHeight="1" x14ac:dyDescent="0.15">
      <c r="A1490" s="126">
        <v>28</v>
      </c>
      <c r="B1490" s="25" t="s">
        <v>95</v>
      </c>
      <c r="C1490" s="39" t="s">
        <v>27</v>
      </c>
      <c r="D1490" s="50" t="s">
        <v>27</v>
      </c>
      <c r="E1490" s="28" t="s">
        <v>27</v>
      </c>
      <c r="F1490" s="51" t="s">
        <v>27</v>
      </c>
      <c r="G1490" s="28" t="s">
        <v>27</v>
      </c>
      <c r="H1490" s="55" t="s">
        <v>27</v>
      </c>
      <c r="I1490" s="50">
        <v>67.552395389219171</v>
      </c>
      <c r="J1490" t="e">
        <f t="shared" si="68"/>
        <v>#VALUE!</v>
      </c>
    </row>
    <row r="1491" spans="1:10" ht="12.75" customHeight="1" x14ac:dyDescent="0.15">
      <c r="A1491" s="126">
        <v>29</v>
      </c>
      <c r="B1491" s="25" t="s">
        <v>96</v>
      </c>
      <c r="C1491" s="39" t="s">
        <v>27</v>
      </c>
      <c r="D1491" s="50" t="s">
        <v>27</v>
      </c>
      <c r="E1491" s="28" t="s">
        <v>27</v>
      </c>
      <c r="F1491" s="51" t="s">
        <v>27</v>
      </c>
      <c r="G1491" s="28" t="s">
        <v>27</v>
      </c>
      <c r="H1491" s="55" t="s">
        <v>27</v>
      </c>
      <c r="I1491" s="50">
        <v>64.131110996801894</v>
      </c>
      <c r="J1491" t="e">
        <f t="shared" si="68"/>
        <v>#VALUE!</v>
      </c>
    </row>
    <row r="1492" spans="1:10" ht="12.75" customHeight="1" x14ac:dyDescent="0.15">
      <c r="A1492" s="126">
        <v>30</v>
      </c>
      <c r="B1492" s="25" t="s">
        <v>97</v>
      </c>
      <c r="C1492" s="39" t="s">
        <v>27</v>
      </c>
      <c r="D1492" s="50" t="s">
        <v>27</v>
      </c>
      <c r="E1492" s="28" t="s">
        <v>27</v>
      </c>
      <c r="F1492" s="51" t="s">
        <v>27</v>
      </c>
      <c r="G1492" s="28" t="s">
        <v>27</v>
      </c>
      <c r="H1492" s="55" t="s">
        <v>27</v>
      </c>
      <c r="I1492" s="50">
        <v>69.155521096757155</v>
      </c>
      <c r="J1492" t="e">
        <f t="shared" si="68"/>
        <v>#VALUE!</v>
      </c>
    </row>
    <row r="1493" spans="1:10" ht="12.75" customHeight="1" x14ac:dyDescent="0.15">
      <c r="A1493" s="126">
        <v>31</v>
      </c>
      <c r="B1493" s="25" t="s">
        <v>98</v>
      </c>
      <c r="C1493" s="39" t="s">
        <v>27</v>
      </c>
      <c r="D1493" s="50" t="s">
        <v>27</v>
      </c>
      <c r="E1493" s="28" t="s">
        <v>27</v>
      </c>
      <c r="F1493" s="51" t="s">
        <v>27</v>
      </c>
      <c r="G1493" s="28" t="s">
        <v>27</v>
      </c>
      <c r="H1493" s="55" t="s">
        <v>27</v>
      </c>
      <c r="I1493" s="50">
        <v>65.337947505020324</v>
      </c>
      <c r="J1493" t="e">
        <f t="shared" si="68"/>
        <v>#VALUE!</v>
      </c>
    </row>
    <row r="1494" spans="1:10" ht="12.75" customHeight="1" x14ac:dyDescent="0.15">
      <c r="A1494" s="126">
        <v>32</v>
      </c>
      <c r="B1494" s="25" t="s">
        <v>99</v>
      </c>
      <c r="C1494" s="39" t="s">
        <v>27</v>
      </c>
      <c r="D1494" s="50" t="s">
        <v>27</v>
      </c>
      <c r="E1494" s="28" t="s">
        <v>27</v>
      </c>
      <c r="F1494" s="51" t="s">
        <v>27</v>
      </c>
      <c r="G1494" s="28" t="s">
        <v>27</v>
      </c>
      <c r="H1494" s="55" t="s">
        <v>27</v>
      </c>
      <c r="I1494" s="50">
        <v>62.489516211383659</v>
      </c>
      <c r="J1494" t="e">
        <f t="shared" si="68"/>
        <v>#VALUE!</v>
      </c>
    </row>
    <row r="1495" spans="1:10" ht="12.75" customHeight="1" x14ac:dyDescent="0.15">
      <c r="A1495" s="126">
        <v>33</v>
      </c>
      <c r="B1495" s="25" t="s">
        <v>100</v>
      </c>
      <c r="C1495" s="39" t="s">
        <v>27</v>
      </c>
      <c r="D1495" s="50" t="s">
        <v>27</v>
      </c>
      <c r="E1495" s="28" t="s">
        <v>27</v>
      </c>
      <c r="F1495" s="51" t="s">
        <v>27</v>
      </c>
      <c r="G1495" s="28" t="s">
        <v>27</v>
      </c>
      <c r="H1495" s="55" t="s">
        <v>27</v>
      </c>
      <c r="I1495" s="50">
        <v>64.038966777314286</v>
      </c>
      <c r="J1495" t="e">
        <f t="shared" si="68"/>
        <v>#VALUE!</v>
      </c>
    </row>
    <row r="1496" spans="1:10" ht="12.75" customHeight="1" x14ac:dyDescent="0.15">
      <c r="A1496" s="126">
        <v>34</v>
      </c>
      <c r="B1496" s="25" t="s">
        <v>101</v>
      </c>
      <c r="C1496" s="39" t="s">
        <v>27</v>
      </c>
      <c r="D1496" s="50" t="s">
        <v>27</v>
      </c>
      <c r="E1496" s="28" t="s">
        <v>27</v>
      </c>
      <c r="F1496" s="51" t="s">
        <v>27</v>
      </c>
      <c r="G1496" s="28" t="s">
        <v>27</v>
      </c>
      <c r="H1496" s="55" t="s">
        <v>27</v>
      </c>
      <c r="I1496" s="229">
        <v>58.317270811257515</v>
      </c>
      <c r="J1496" s="233" t="e">
        <f t="shared" si="68"/>
        <v>#VALUE!</v>
      </c>
    </row>
    <row r="1497" spans="1:10" ht="12.75" customHeight="1" x14ac:dyDescent="0.15">
      <c r="A1497" s="126">
        <v>35</v>
      </c>
      <c r="B1497" s="25" t="s">
        <v>102</v>
      </c>
      <c r="C1497" s="39" t="s">
        <v>27</v>
      </c>
      <c r="D1497" s="50" t="s">
        <v>27</v>
      </c>
      <c r="E1497" s="28" t="s">
        <v>27</v>
      </c>
      <c r="F1497" s="51" t="s">
        <v>27</v>
      </c>
      <c r="G1497" s="28" t="s">
        <v>27</v>
      </c>
      <c r="H1497" s="55" t="s">
        <v>27</v>
      </c>
      <c r="I1497" s="229">
        <v>57.08700795660895</v>
      </c>
      <c r="J1497" s="233" t="e">
        <f t="shared" si="68"/>
        <v>#VALUE!</v>
      </c>
    </row>
    <row r="1498" spans="1:10" ht="12.75" customHeight="1" x14ac:dyDescent="0.15">
      <c r="A1498" s="126">
        <v>36</v>
      </c>
      <c r="B1498" s="25" t="s">
        <v>103</v>
      </c>
      <c r="C1498" s="39" t="s">
        <v>27</v>
      </c>
      <c r="D1498" s="50" t="s">
        <v>27</v>
      </c>
      <c r="E1498" s="28" t="s">
        <v>27</v>
      </c>
      <c r="F1498" s="51" t="s">
        <v>27</v>
      </c>
      <c r="G1498" s="28" t="s">
        <v>27</v>
      </c>
      <c r="H1498" s="55" t="s">
        <v>27</v>
      </c>
      <c r="I1498" s="229">
        <v>59.570339434128485</v>
      </c>
      <c r="J1498" s="233" t="e">
        <f t="shared" si="68"/>
        <v>#VALUE!</v>
      </c>
    </row>
    <row r="1499" spans="1:10" ht="12.75" customHeight="1" x14ac:dyDescent="0.15">
      <c r="A1499" s="126">
        <v>37</v>
      </c>
      <c r="B1499" s="25" t="s">
        <v>104</v>
      </c>
      <c r="C1499" s="39" t="s">
        <v>27</v>
      </c>
      <c r="D1499" s="50" t="s">
        <v>27</v>
      </c>
      <c r="E1499" s="28" t="s">
        <v>27</v>
      </c>
      <c r="F1499" s="51" t="s">
        <v>27</v>
      </c>
      <c r="G1499" s="28" t="s">
        <v>27</v>
      </c>
      <c r="H1499" s="55" t="s">
        <v>27</v>
      </c>
      <c r="I1499" s="229">
        <v>61.06775875833339</v>
      </c>
      <c r="J1499" s="233" t="e">
        <f t="shared" si="68"/>
        <v>#VALUE!</v>
      </c>
    </row>
    <row r="1500" spans="1:10" ht="12.75" customHeight="1" x14ac:dyDescent="0.15">
      <c r="A1500" s="126">
        <v>38</v>
      </c>
      <c r="B1500" s="25" t="s">
        <v>105</v>
      </c>
      <c r="C1500" s="39" t="s">
        <v>27</v>
      </c>
      <c r="D1500" s="50" t="s">
        <v>27</v>
      </c>
      <c r="E1500" s="28" t="s">
        <v>27</v>
      </c>
      <c r="F1500" s="51" t="s">
        <v>27</v>
      </c>
      <c r="G1500" s="28" t="s">
        <v>27</v>
      </c>
      <c r="H1500" s="55" t="s">
        <v>27</v>
      </c>
      <c r="I1500" s="229">
        <v>60.323377152575297</v>
      </c>
      <c r="J1500" s="233" t="e">
        <f t="shared" si="68"/>
        <v>#VALUE!</v>
      </c>
    </row>
    <row r="1501" spans="1:10" ht="12.75" customHeight="1" x14ac:dyDescent="0.15">
      <c r="A1501" s="126">
        <v>39</v>
      </c>
      <c r="B1501" s="25" t="s">
        <v>106</v>
      </c>
      <c r="C1501" s="39" t="s">
        <v>27</v>
      </c>
      <c r="D1501" s="50" t="s">
        <v>27</v>
      </c>
      <c r="E1501" s="28" t="s">
        <v>27</v>
      </c>
      <c r="F1501" s="51" t="s">
        <v>27</v>
      </c>
      <c r="G1501" s="28" t="s">
        <v>27</v>
      </c>
      <c r="H1501" s="55" t="s">
        <v>27</v>
      </c>
      <c r="I1501" s="229">
        <v>52.552244868591423</v>
      </c>
      <c r="J1501" s="233" t="e">
        <f t="shared" si="68"/>
        <v>#VALUE!</v>
      </c>
    </row>
    <row r="1502" spans="1:10" ht="12.75" customHeight="1" x14ac:dyDescent="0.15">
      <c r="A1502" s="126">
        <v>40</v>
      </c>
      <c r="B1502" s="25" t="s">
        <v>107</v>
      </c>
      <c r="C1502" s="39" t="s">
        <v>27</v>
      </c>
      <c r="D1502" s="50" t="s">
        <v>27</v>
      </c>
      <c r="E1502" s="28" t="s">
        <v>27</v>
      </c>
      <c r="F1502" s="51" t="s">
        <v>27</v>
      </c>
      <c r="G1502" s="28" t="s">
        <v>27</v>
      </c>
      <c r="H1502" s="55" t="s">
        <v>27</v>
      </c>
      <c r="I1502" s="229">
        <v>58.956417335714264</v>
      </c>
      <c r="J1502" s="233" t="e">
        <f t="shared" si="68"/>
        <v>#VALUE!</v>
      </c>
    </row>
    <row r="1503" spans="1:10" ht="12.75" customHeight="1" x14ac:dyDescent="0.15">
      <c r="A1503" s="126">
        <v>41</v>
      </c>
      <c r="B1503" s="25" t="s">
        <v>108</v>
      </c>
      <c r="C1503" s="39" t="s">
        <v>27</v>
      </c>
      <c r="D1503" s="50" t="s">
        <v>27</v>
      </c>
      <c r="E1503" s="28" t="s">
        <v>27</v>
      </c>
      <c r="F1503" s="51" t="s">
        <v>27</v>
      </c>
      <c r="G1503" s="28" t="s">
        <v>27</v>
      </c>
      <c r="H1503" s="55" t="s">
        <v>27</v>
      </c>
      <c r="I1503" s="229">
        <v>60.441143155020875</v>
      </c>
      <c r="J1503" s="233" t="e">
        <f t="shared" si="68"/>
        <v>#VALUE!</v>
      </c>
    </row>
    <row r="1504" spans="1:10" ht="12.75" customHeight="1" x14ac:dyDescent="0.15">
      <c r="A1504" s="126">
        <v>42</v>
      </c>
      <c r="B1504" s="25" t="s">
        <v>109</v>
      </c>
      <c r="C1504" s="39" t="s">
        <v>27</v>
      </c>
      <c r="D1504" s="50" t="s">
        <v>27</v>
      </c>
      <c r="E1504" s="28" t="s">
        <v>27</v>
      </c>
      <c r="F1504" s="51" t="s">
        <v>27</v>
      </c>
      <c r="G1504" s="28" t="s">
        <v>27</v>
      </c>
      <c r="H1504" s="55" t="s">
        <v>27</v>
      </c>
      <c r="I1504" s="229">
        <v>60.019100703005471</v>
      </c>
      <c r="J1504" s="233" t="e">
        <f t="shared" si="68"/>
        <v>#VALUE!</v>
      </c>
    </row>
    <row r="1505" spans="1:10" ht="12.75" customHeight="1" x14ac:dyDescent="0.15">
      <c r="A1505" s="126">
        <v>43</v>
      </c>
      <c r="B1505" s="25" t="s">
        <v>110</v>
      </c>
      <c r="C1505" s="39" t="s">
        <v>27</v>
      </c>
      <c r="D1505" s="50" t="s">
        <v>27</v>
      </c>
      <c r="E1505" s="28" t="s">
        <v>27</v>
      </c>
      <c r="F1505" s="51" t="s">
        <v>27</v>
      </c>
      <c r="G1505" s="28" t="s">
        <v>27</v>
      </c>
      <c r="H1505" s="55" t="s">
        <v>27</v>
      </c>
      <c r="I1505" s="229">
        <v>52.753525116563601</v>
      </c>
      <c r="J1505" s="233" t="e">
        <f t="shared" si="68"/>
        <v>#VALUE!</v>
      </c>
    </row>
    <row r="1506" spans="1:10" ht="12.75" customHeight="1" x14ac:dyDescent="0.15">
      <c r="A1506" s="126">
        <v>44</v>
      </c>
      <c r="B1506" s="25" t="s">
        <v>111</v>
      </c>
      <c r="C1506" s="39" t="s">
        <v>27</v>
      </c>
      <c r="D1506" s="50" t="s">
        <v>27</v>
      </c>
      <c r="E1506" s="28" t="s">
        <v>27</v>
      </c>
      <c r="F1506" s="51" t="s">
        <v>27</v>
      </c>
      <c r="G1506" s="28" t="s">
        <v>27</v>
      </c>
      <c r="H1506" s="55" t="s">
        <v>27</v>
      </c>
      <c r="I1506" s="229">
        <v>60.537405023923625</v>
      </c>
      <c r="J1506" s="233" t="e">
        <f t="shared" si="68"/>
        <v>#VALUE!</v>
      </c>
    </row>
    <row r="1507" spans="1:10" ht="12.75" customHeight="1" x14ac:dyDescent="0.15">
      <c r="A1507" s="126">
        <v>45</v>
      </c>
      <c r="B1507" s="25" t="s">
        <v>112</v>
      </c>
      <c r="C1507" s="39" t="s">
        <v>27</v>
      </c>
      <c r="D1507" s="50" t="s">
        <v>27</v>
      </c>
      <c r="E1507" s="28" t="s">
        <v>27</v>
      </c>
      <c r="F1507" s="51" t="s">
        <v>27</v>
      </c>
      <c r="G1507" s="28" t="s">
        <v>27</v>
      </c>
      <c r="H1507" s="55" t="s">
        <v>27</v>
      </c>
      <c r="I1507" s="229">
        <v>58.97785507537175</v>
      </c>
      <c r="J1507" s="233" t="e">
        <f t="shared" si="68"/>
        <v>#VALUE!</v>
      </c>
    </row>
    <row r="1508" spans="1:10" ht="12.75" customHeight="1" x14ac:dyDescent="0.15">
      <c r="A1508" s="234">
        <v>46</v>
      </c>
      <c r="B1508" s="235" t="s">
        <v>113</v>
      </c>
      <c r="C1508" s="236">
        <v>26.113333333333333</v>
      </c>
      <c r="D1508" s="237">
        <v>9.5691999999993893E-2</v>
      </c>
      <c r="E1508" s="238">
        <v>0.16218505150142828</v>
      </c>
      <c r="F1508" s="239">
        <v>0.11155826208829722</v>
      </c>
      <c r="G1508" s="238">
        <v>2.9624939691950517E-2</v>
      </c>
      <c r="H1508" s="240" t="s">
        <v>27</v>
      </c>
      <c r="I1508" s="237">
        <v>58.102414011450158</v>
      </c>
      <c r="J1508" s="241">
        <f t="shared" si="68"/>
        <v>9.8817236730786448E-2</v>
      </c>
    </row>
    <row r="1509" spans="1:10" ht="12.75" customHeight="1" x14ac:dyDescent="0.15">
      <c r="A1509" s="234">
        <v>47</v>
      </c>
      <c r="B1509" s="235" t="s">
        <v>114</v>
      </c>
      <c r="C1509" s="236">
        <v>26.110000000000003</v>
      </c>
      <c r="D1509" s="237">
        <v>9.7710633333330854E-2</v>
      </c>
      <c r="E1509" s="238">
        <v>0.16010718841607613</v>
      </c>
      <c r="F1509" s="239">
        <v>0.12335803141361257</v>
      </c>
      <c r="G1509" s="238">
        <v>3.1916646283154861E-2</v>
      </c>
      <c r="H1509" s="240" t="s">
        <v>27</v>
      </c>
      <c r="I1509" s="237">
        <v>60.103360634271141</v>
      </c>
      <c r="J1509" s="241">
        <f t="shared" si="68"/>
        <v>9.7542598918453072E-2</v>
      </c>
    </row>
    <row r="1510" spans="1:10" ht="12.75" customHeight="1" x14ac:dyDescent="0.15">
      <c r="A1510" s="234">
        <v>48</v>
      </c>
      <c r="B1510" s="235" t="s">
        <v>115</v>
      </c>
      <c r="C1510" s="236">
        <v>26.113333333333333</v>
      </c>
      <c r="D1510" s="237">
        <v>0.10776938333332975</v>
      </c>
      <c r="E1510" s="238">
        <v>0.17163086971526448</v>
      </c>
      <c r="F1510" s="239">
        <v>0.12379407725321889</v>
      </c>
      <c r="G1510" s="238">
        <v>3.1160715199174203E-2</v>
      </c>
      <c r="H1510" s="240" t="s">
        <v>27</v>
      </c>
      <c r="I1510" s="237">
        <v>61.815249343156488</v>
      </c>
      <c r="J1510" s="241">
        <f t="shared" si="68"/>
        <v>0.10460465772942236</v>
      </c>
    </row>
    <row r="1511" spans="1:10" ht="12.75" customHeight="1" x14ac:dyDescent="0.15">
      <c r="A1511" s="234">
        <v>49</v>
      </c>
      <c r="B1511" s="235" t="s">
        <v>116</v>
      </c>
      <c r="C1511" s="236">
        <v>26.106666666666669</v>
      </c>
      <c r="D1511" s="237">
        <v>0.12041906666666247</v>
      </c>
      <c r="E1511" s="238">
        <v>0.20410001405772626</v>
      </c>
      <c r="F1511" s="239">
        <v>0.16170477508650516</v>
      </c>
      <c r="G1511" s="238">
        <v>4.3079190007941491E-2</v>
      </c>
      <c r="H1511" s="240" t="s">
        <v>27</v>
      </c>
      <c r="I1511" s="237">
        <v>58.072261120856297</v>
      </c>
      <c r="J1511" s="241">
        <f t="shared" si="68"/>
        <v>0.12441644014796045</v>
      </c>
    </row>
    <row r="1512" spans="1:10" ht="12.75" customHeight="1" x14ac:dyDescent="0.15">
      <c r="A1512" s="234">
        <v>50</v>
      </c>
      <c r="B1512" s="235" t="s">
        <v>117</v>
      </c>
      <c r="C1512" s="236">
        <v>26.096666666666668</v>
      </c>
      <c r="D1512" s="237">
        <v>0.13735394999999784</v>
      </c>
      <c r="E1512" s="238">
        <v>0.21224462364674423</v>
      </c>
      <c r="F1512" s="239">
        <v>0.18521172605790648</v>
      </c>
      <c r="G1512" s="238">
        <v>4.5425400203271196E-2</v>
      </c>
      <c r="H1512" s="240" t="s">
        <v>27</v>
      </c>
      <c r="I1512" s="237">
        <v>63.70435412129796</v>
      </c>
      <c r="J1512" s="241">
        <f t="shared" si="68"/>
        <v>0.12936693439051158</v>
      </c>
    </row>
    <row r="1513" spans="1:10" ht="12.75" customHeight="1" x14ac:dyDescent="0.15">
      <c r="A1513" s="234">
        <v>51</v>
      </c>
      <c r="B1513" s="235" t="s">
        <v>2</v>
      </c>
      <c r="C1513" s="236">
        <v>26.110000000000003</v>
      </c>
      <c r="D1513" s="237">
        <v>0.13552480000000289</v>
      </c>
      <c r="E1513" s="238">
        <v>0.21524685351360079</v>
      </c>
      <c r="F1513" s="239">
        <v>0.18256212253829318</v>
      </c>
      <c r="G1513" s="238">
        <v>4.5860643113198096E-2</v>
      </c>
      <c r="H1513" s="240" t="s">
        <v>27</v>
      </c>
      <c r="I1513" s="237">
        <v>61.957858689494955</v>
      </c>
      <c r="J1513" s="241">
        <f t="shared" si="68"/>
        <v>0.13124223741739607</v>
      </c>
    </row>
    <row r="1514" spans="1:10" ht="12.75" customHeight="1" x14ac:dyDescent="0.15">
      <c r="A1514" s="234">
        <v>52</v>
      </c>
      <c r="B1514" s="235" t="s">
        <v>118</v>
      </c>
      <c r="C1514" s="236">
        <v>26.110000000000003</v>
      </c>
      <c r="D1514" s="237">
        <v>0.12159776666666788</v>
      </c>
      <c r="E1514" s="238">
        <v>0.20575800690939922</v>
      </c>
      <c r="F1514" s="239">
        <v>0.16405000000000003</v>
      </c>
      <c r="G1514" s="238">
        <v>4.3674423318013689E-2</v>
      </c>
      <c r="H1514" s="240" t="s">
        <v>27</v>
      </c>
      <c r="I1514" s="237">
        <v>58.164371542037706</v>
      </c>
      <c r="J1514" s="241">
        <f t="shared" si="68"/>
        <v>0.12543531042413242</v>
      </c>
    </row>
    <row r="1515" spans="1:10" ht="12.75" customHeight="1" x14ac:dyDescent="0.15">
      <c r="A1515" s="234">
        <v>53</v>
      </c>
      <c r="B1515" s="235" t="s">
        <v>119</v>
      </c>
      <c r="C1515" s="236">
        <v>26.103333333333335</v>
      </c>
      <c r="D1515" s="237">
        <v>0.13311341666667031</v>
      </c>
      <c r="E1515" s="238">
        <v>0.21404270942700435</v>
      </c>
      <c r="F1515" s="239">
        <v>0.17940992063492067</v>
      </c>
      <c r="G1515" s="238">
        <v>4.5576695082258645E-2</v>
      </c>
      <c r="H1515" s="240" t="s">
        <v>27</v>
      </c>
      <c r="I1515" s="237">
        <v>61.193036757877024</v>
      </c>
      <c r="J1515" s="241">
        <f t="shared" si="68"/>
        <v>0.13051819983377641</v>
      </c>
    </row>
    <row r="1516" spans="1:10" ht="12.75" customHeight="1" x14ac:dyDescent="0.15">
      <c r="A1516" s="234">
        <v>54</v>
      </c>
      <c r="B1516" s="235" t="s">
        <v>120</v>
      </c>
      <c r="C1516" s="236">
        <v>26.1</v>
      </c>
      <c r="D1516" s="237">
        <v>0.12865279999999668</v>
      </c>
      <c r="E1516" s="238">
        <v>0.21182284122902684</v>
      </c>
      <c r="F1516" s="239">
        <v>0.17369846153846158</v>
      </c>
      <c r="G1516" s="238">
        <v>4.5103068121565969E-2</v>
      </c>
      <c r="H1516" s="240" t="s">
        <v>27</v>
      </c>
      <c r="I1516" s="237">
        <v>59.779423893449362</v>
      </c>
      <c r="J1516" s="241">
        <f t="shared" si="68"/>
        <v>0.12912750738043946</v>
      </c>
    </row>
    <row r="1517" spans="1:10" s="216" customFormat="1" ht="12.75" customHeight="1" x14ac:dyDescent="0.15">
      <c r="A1517" s="209">
        <v>55</v>
      </c>
      <c r="B1517" s="210" t="s">
        <v>121</v>
      </c>
      <c r="C1517" s="211" t="s">
        <v>27</v>
      </c>
      <c r="D1517" s="212" t="s">
        <v>27</v>
      </c>
      <c r="E1517" s="213" t="s">
        <v>27</v>
      </c>
      <c r="F1517" s="214" t="s">
        <v>27</v>
      </c>
      <c r="G1517" s="213" t="s">
        <v>27</v>
      </c>
      <c r="H1517" s="215" t="s">
        <v>27</v>
      </c>
      <c r="I1517" s="212">
        <v>58.075391763694661</v>
      </c>
      <c r="J1517" s="216" t="e">
        <f t="shared" si="68"/>
        <v>#VALUE!</v>
      </c>
    </row>
    <row r="1518" spans="1:10" s="216" customFormat="1" ht="12.75" customHeight="1" x14ac:dyDescent="0.15">
      <c r="A1518" s="209">
        <v>56</v>
      </c>
      <c r="B1518" s="210" t="s">
        <v>122</v>
      </c>
      <c r="C1518" s="211" t="s">
        <v>27</v>
      </c>
      <c r="D1518" s="212" t="s">
        <v>27</v>
      </c>
      <c r="E1518" s="213" t="s">
        <v>27</v>
      </c>
      <c r="F1518" s="214" t="s">
        <v>27</v>
      </c>
      <c r="G1518" s="213" t="s">
        <v>27</v>
      </c>
      <c r="H1518" s="215" t="s">
        <v>27</v>
      </c>
      <c r="I1518" s="212">
        <v>52.040401285846315</v>
      </c>
      <c r="J1518" s="216" t="e">
        <f t="shared" si="68"/>
        <v>#VALUE!</v>
      </c>
    </row>
    <row r="1519" spans="1:10" s="216" customFormat="1" ht="12.75" customHeight="1" x14ac:dyDescent="0.15">
      <c r="A1519" s="209">
        <v>57</v>
      </c>
      <c r="B1519" s="210" t="s">
        <v>123</v>
      </c>
      <c r="C1519" s="211" t="s">
        <v>27</v>
      </c>
      <c r="D1519" s="212" t="s">
        <v>27</v>
      </c>
      <c r="E1519" s="213" t="s">
        <v>27</v>
      </c>
      <c r="F1519" s="214" t="s">
        <v>27</v>
      </c>
      <c r="G1519" s="213" t="s">
        <v>27</v>
      </c>
      <c r="H1519" s="215" t="s">
        <v>27</v>
      </c>
      <c r="I1519" s="212">
        <v>60.92476189588745</v>
      </c>
      <c r="J1519" s="216" t="e">
        <f t="shared" si="68"/>
        <v>#VALUE!</v>
      </c>
    </row>
    <row r="1520" spans="1:10" ht="12.75" customHeight="1" x14ac:dyDescent="0.15">
      <c r="A1520" s="126">
        <v>58</v>
      </c>
      <c r="B1520" s="25" t="s">
        <v>124</v>
      </c>
      <c r="C1520" s="39" t="s">
        <v>27</v>
      </c>
      <c r="D1520" s="50" t="s">
        <v>27</v>
      </c>
      <c r="E1520" s="28" t="s">
        <v>27</v>
      </c>
      <c r="F1520" s="51" t="s">
        <v>27</v>
      </c>
      <c r="G1520" s="28" t="s">
        <v>27</v>
      </c>
      <c r="H1520" s="55" t="s">
        <v>27</v>
      </c>
      <c r="I1520" s="50">
        <v>65.78038961231853</v>
      </c>
      <c r="J1520" t="e">
        <f t="shared" si="68"/>
        <v>#VALUE!</v>
      </c>
    </row>
    <row r="1521" spans="1:10" ht="12.75" customHeight="1" x14ac:dyDescent="0.15">
      <c r="A1521" s="126">
        <v>59</v>
      </c>
      <c r="B1521" s="25" t="s">
        <v>90</v>
      </c>
      <c r="C1521" s="39" t="s">
        <v>27</v>
      </c>
      <c r="D1521" s="50" t="s">
        <v>27</v>
      </c>
      <c r="E1521" s="28" t="s">
        <v>27</v>
      </c>
      <c r="F1521" s="51" t="s">
        <v>27</v>
      </c>
      <c r="G1521" s="28" t="s">
        <v>27</v>
      </c>
      <c r="H1521" s="55" t="s">
        <v>27</v>
      </c>
      <c r="I1521" s="50">
        <v>61.907068385145138</v>
      </c>
      <c r="J1521" t="e">
        <f t="shared" si="68"/>
        <v>#VALUE!</v>
      </c>
    </row>
    <row r="1522" spans="1:10" ht="12.75" customHeight="1" x14ac:dyDescent="0.15">
      <c r="A1522" s="126">
        <v>60</v>
      </c>
      <c r="B1522" s="25" t="s">
        <v>91</v>
      </c>
      <c r="C1522" s="39" t="s">
        <v>27</v>
      </c>
      <c r="D1522" s="50" t="s">
        <v>27</v>
      </c>
      <c r="E1522" s="28" t="s">
        <v>27</v>
      </c>
      <c r="F1522" s="51" t="s">
        <v>27</v>
      </c>
      <c r="G1522" s="28" t="s">
        <v>27</v>
      </c>
      <c r="H1522" s="55" t="s">
        <v>27</v>
      </c>
      <c r="I1522" s="50">
        <v>58.998742529710171</v>
      </c>
      <c r="J1522" t="e">
        <f t="shared" si="68"/>
        <v>#VALUE!</v>
      </c>
    </row>
    <row r="1523" spans="1:10" ht="12.75" customHeight="1" x14ac:dyDescent="0.15">
      <c r="A1523" s="126">
        <v>61</v>
      </c>
      <c r="B1523" s="25" t="s">
        <v>92</v>
      </c>
      <c r="C1523" s="39" t="s">
        <v>27</v>
      </c>
      <c r="D1523" s="50" t="s">
        <v>27</v>
      </c>
      <c r="E1523" s="28" t="s">
        <v>27</v>
      </c>
      <c r="F1523" s="51" t="s">
        <v>27</v>
      </c>
      <c r="G1523" s="28" t="s">
        <v>27</v>
      </c>
      <c r="H1523" s="55" t="s">
        <v>27</v>
      </c>
      <c r="I1523" s="50">
        <v>65.052027330542359</v>
      </c>
      <c r="J1523" t="e">
        <f t="shared" si="68"/>
        <v>#VALUE!</v>
      </c>
    </row>
    <row r="1524" spans="1:10" ht="12.75" customHeight="1" x14ac:dyDescent="0.15">
      <c r="A1524" s="126">
        <v>62</v>
      </c>
      <c r="B1524" s="25" t="s">
        <v>93</v>
      </c>
      <c r="C1524" s="39" t="s">
        <v>27</v>
      </c>
      <c r="D1524" s="50" t="s">
        <v>27</v>
      </c>
      <c r="E1524" s="28" t="s">
        <v>27</v>
      </c>
      <c r="F1524" s="51" t="s">
        <v>27</v>
      </c>
      <c r="G1524" s="28" t="s">
        <v>27</v>
      </c>
      <c r="H1524" s="55" t="s">
        <v>27</v>
      </c>
      <c r="I1524" s="50">
        <v>64.573906305479596</v>
      </c>
      <c r="J1524" t="e">
        <f t="shared" si="68"/>
        <v>#VALUE!</v>
      </c>
    </row>
    <row r="1525" spans="1:10" ht="12.75" customHeight="1" x14ac:dyDescent="0.15">
      <c r="A1525" s="126">
        <v>63</v>
      </c>
      <c r="B1525" s="25" t="s">
        <v>94</v>
      </c>
      <c r="C1525" s="39" t="s">
        <v>27</v>
      </c>
      <c r="D1525" s="50" t="s">
        <v>27</v>
      </c>
      <c r="E1525" s="28" t="s">
        <v>27</v>
      </c>
      <c r="F1525" s="51" t="s">
        <v>27</v>
      </c>
      <c r="G1525" s="28" t="s">
        <v>27</v>
      </c>
      <c r="H1525" s="55" t="s">
        <v>27</v>
      </c>
      <c r="I1525" s="50">
        <v>62.46520501934711</v>
      </c>
      <c r="J1525" t="e">
        <f t="shared" si="68"/>
        <v>#VALUE!</v>
      </c>
    </row>
    <row r="1526" spans="1:10" ht="12.75" customHeight="1" x14ac:dyDescent="0.15">
      <c r="A1526" s="126">
        <v>64</v>
      </c>
      <c r="B1526" s="25" t="s">
        <v>95</v>
      </c>
      <c r="C1526" s="39" t="s">
        <v>27</v>
      </c>
      <c r="D1526" s="50" t="s">
        <v>27</v>
      </c>
      <c r="E1526" s="28" t="s">
        <v>27</v>
      </c>
      <c r="F1526" s="51" t="s">
        <v>27</v>
      </c>
      <c r="G1526" s="28" t="s">
        <v>27</v>
      </c>
      <c r="H1526" s="55" t="s">
        <v>27</v>
      </c>
      <c r="I1526" s="50">
        <v>62.758321132945746</v>
      </c>
      <c r="J1526" t="e">
        <f t="shared" si="68"/>
        <v>#VALUE!</v>
      </c>
    </row>
    <row r="1527" spans="1:10" ht="12.75" customHeight="1" x14ac:dyDescent="0.15">
      <c r="A1527" s="126">
        <v>65</v>
      </c>
      <c r="B1527" s="25" t="s">
        <v>96</v>
      </c>
      <c r="C1527" s="39" t="s">
        <v>27</v>
      </c>
      <c r="D1527" s="50" t="s">
        <v>27</v>
      </c>
      <c r="E1527" s="28" t="s">
        <v>27</v>
      </c>
      <c r="F1527" s="51" t="s">
        <v>27</v>
      </c>
      <c r="G1527" s="28" t="s">
        <v>27</v>
      </c>
      <c r="H1527" s="55" t="s">
        <v>27</v>
      </c>
      <c r="I1527" s="50">
        <v>62.755394820370405</v>
      </c>
      <c r="J1527" t="e">
        <f t="shared" si="68"/>
        <v>#VALUE!</v>
      </c>
    </row>
    <row r="1528" spans="1:10" ht="12.75" customHeight="1" x14ac:dyDescent="0.15">
      <c r="A1528" s="126">
        <v>66</v>
      </c>
      <c r="B1528" s="25" t="s">
        <v>97</v>
      </c>
      <c r="C1528" s="39" t="s">
        <v>27</v>
      </c>
      <c r="D1528" s="50" t="s">
        <v>27</v>
      </c>
      <c r="E1528" s="28" t="s">
        <v>27</v>
      </c>
      <c r="F1528" s="51" t="s">
        <v>27</v>
      </c>
      <c r="G1528" s="28" t="s">
        <v>27</v>
      </c>
      <c r="H1528" s="55" t="s">
        <v>27</v>
      </c>
      <c r="I1528" s="50">
        <v>62.128522403784586</v>
      </c>
      <c r="J1528" t="e">
        <f t="shared" si="68"/>
        <v>#VALUE!</v>
      </c>
    </row>
    <row r="1529" spans="1:10" ht="12.75" customHeight="1" x14ac:dyDescent="0.15">
      <c r="A1529" s="126">
        <v>67</v>
      </c>
      <c r="B1529" s="25" t="s">
        <v>98</v>
      </c>
      <c r="C1529" s="39" t="s">
        <v>27</v>
      </c>
      <c r="D1529" s="50" t="s">
        <v>27</v>
      </c>
      <c r="E1529" s="28" t="s">
        <v>27</v>
      </c>
      <c r="F1529" s="51" t="s">
        <v>27</v>
      </c>
      <c r="G1529" s="28" t="s">
        <v>27</v>
      </c>
      <c r="H1529" s="55" t="s">
        <v>27</v>
      </c>
      <c r="I1529" s="50">
        <v>63.037848427118</v>
      </c>
      <c r="J1529" t="e">
        <f t="shared" si="68"/>
        <v>#VALUE!</v>
      </c>
    </row>
    <row r="1530" spans="1:10" ht="12.75" customHeight="1" x14ac:dyDescent="0.15">
      <c r="A1530" s="126">
        <v>68</v>
      </c>
      <c r="B1530" s="25" t="s">
        <v>99</v>
      </c>
      <c r="C1530" s="39" t="s">
        <v>27</v>
      </c>
      <c r="D1530" s="50" t="s">
        <v>27</v>
      </c>
      <c r="E1530" s="28" t="s">
        <v>27</v>
      </c>
      <c r="F1530" s="51" t="s">
        <v>27</v>
      </c>
      <c r="G1530" s="28" t="s">
        <v>27</v>
      </c>
      <c r="H1530" s="55" t="s">
        <v>27</v>
      </c>
      <c r="I1530" s="50">
        <v>66.055330279921179</v>
      </c>
      <c r="J1530" t="e">
        <f t="shared" si="68"/>
        <v>#VALUE!</v>
      </c>
    </row>
    <row r="1531" spans="1:10" ht="12.75" customHeight="1" x14ac:dyDescent="0.15">
      <c r="A1531" s="126">
        <v>69</v>
      </c>
      <c r="B1531" s="25" t="s">
        <v>100</v>
      </c>
      <c r="C1531" s="39" t="s">
        <v>27</v>
      </c>
      <c r="D1531" s="50" t="s">
        <v>27</v>
      </c>
      <c r="E1531" s="28" t="s">
        <v>27</v>
      </c>
      <c r="F1531" s="51" t="s">
        <v>27</v>
      </c>
      <c r="G1531" s="28" t="s">
        <v>27</v>
      </c>
      <c r="H1531" s="55" t="s">
        <v>27</v>
      </c>
      <c r="I1531" s="50">
        <v>64.758887600553138</v>
      </c>
      <c r="J1531" t="e">
        <f t="shared" si="68"/>
        <v>#VALUE!</v>
      </c>
    </row>
    <row r="1532" spans="1:10" ht="12.75" customHeight="1" x14ac:dyDescent="0.15">
      <c r="A1532" s="126">
        <v>70</v>
      </c>
      <c r="B1532" s="25" t="s">
        <v>101</v>
      </c>
      <c r="C1532" s="39" t="s">
        <v>27</v>
      </c>
      <c r="D1532" s="50" t="s">
        <v>27</v>
      </c>
      <c r="E1532" s="28" t="s">
        <v>27</v>
      </c>
      <c r="F1532" s="51" t="s">
        <v>27</v>
      </c>
      <c r="G1532" s="28" t="s">
        <v>27</v>
      </c>
      <c r="H1532" s="55" t="s">
        <v>27</v>
      </c>
      <c r="I1532" s="229">
        <v>56.780021192243112</v>
      </c>
      <c r="J1532" s="233" t="e">
        <f t="shared" si="68"/>
        <v>#VALUE!</v>
      </c>
    </row>
    <row r="1533" spans="1:10" ht="12.75" customHeight="1" x14ac:dyDescent="0.15">
      <c r="A1533" s="126">
        <v>71</v>
      </c>
      <c r="B1533" s="25" t="s">
        <v>102</v>
      </c>
      <c r="C1533" s="39" t="s">
        <v>27</v>
      </c>
      <c r="D1533" s="50" t="s">
        <v>27</v>
      </c>
      <c r="E1533" s="28" t="s">
        <v>27</v>
      </c>
      <c r="F1533" s="51" t="s">
        <v>27</v>
      </c>
      <c r="G1533" s="28" t="s">
        <v>27</v>
      </c>
      <c r="H1533" s="55" t="s">
        <v>27</v>
      </c>
      <c r="I1533" s="229">
        <v>60.091059349572056</v>
      </c>
      <c r="J1533" s="233" t="e">
        <f t="shared" si="68"/>
        <v>#VALUE!</v>
      </c>
    </row>
    <row r="1534" spans="1:10" ht="12.75" customHeight="1" x14ac:dyDescent="0.15">
      <c r="A1534" s="126">
        <v>72</v>
      </c>
      <c r="B1534" s="25" t="s">
        <v>103</v>
      </c>
      <c r="C1534" s="39" t="s">
        <v>27</v>
      </c>
      <c r="D1534" s="50" t="s">
        <v>27</v>
      </c>
      <c r="E1534" s="28" t="s">
        <v>27</v>
      </c>
      <c r="F1534" s="51" t="s">
        <v>27</v>
      </c>
      <c r="G1534" s="28" t="s">
        <v>27</v>
      </c>
      <c r="H1534" s="55" t="s">
        <v>27</v>
      </c>
      <c r="I1534" s="229">
        <v>60.386845580817003</v>
      </c>
      <c r="J1534" s="233" t="e">
        <f t="shared" si="68"/>
        <v>#VALUE!</v>
      </c>
    </row>
    <row r="1535" spans="1:10" ht="12.75" customHeight="1" x14ac:dyDescent="0.15">
      <c r="A1535" s="126">
        <v>73</v>
      </c>
      <c r="B1535" s="25" t="s">
        <v>104</v>
      </c>
      <c r="C1535" s="39" t="s">
        <v>27</v>
      </c>
      <c r="D1535" s="50" t="s">
        <v>27</v>
      </c>
      <c r="E1535" s="28" t="s">
        <v>27</v>
      </c>
      <c r="F1535" s="51" t="s">
        <v>27</v>
      </c>
      <c r="G1535" s="28" t="s">
        <v>27</v>
      </c>
      <c r="H1535" s="55" t="s">
        <v>27</v>
      </c>
      <c r="I1535" s="229">
        <v>60.132023760909121</v>
      </c>
      <c r="J1535" s="233" t="e">
        <f t="shared" si="68"/>
        <v>#VALUE!</v>
      </c>
    </row>
    <row r="1536" spans="1:10" ht="12.75" customHeight="1" x14ac:dyDescent="0.15">
      <c r="A1536" s="126">
        <v>74</v>
      </c>
      <c r="B1536" s="25" t="s">
        <v>105</v>
      </c>
      <c r="C1536" s="39" t="s">
        <v>27</v>
      </c>
      <c r="D1536" s="50" t="s">
        <v>27</v>
      </c>
      <c r="E1536" s="28" t="s">
        <v>27</v>
      </c>
      <c r="F1536" s="51" t="s">
        <v>27</v>
      </c>
      <c r="G1536" s="28" t="s">
        <v>27</v>
      </c>
      <c r="H1536" s="55" t="s">
        <v>27</v>
      </c>
      <c r="I1536" s="229">
        <v>59.348811260670658</v>
      </c>
      <c r="J1536" s="233" t="e">
        <f t="shared" si="68"/>
        <v>#VALUE!</v>
      </c>
    </row>
    <row r="1537" spans="1:10" ht="12.75" customHeight="1" x14ac:dyDescent="0.15">
      <c r="A1537" s="126">
        <v>75</v>
      </c>
      <c r="B1537" s="25" t="s">
        <v>106</v>
      </c>
      <c r="C1537" s="39" t="s">
        <v>27</v>
      </c>
      <c r="D1537" s="50" t="s">
        <v>27</v>
      </c>
      <c r="E1537" s="28" t="s">
        <v>27</v>
      </c>
      <c r="F1537" s="51" t="s">
        <v>27</v>
      </c>
      <c r="G1537" s="28" t="s">
        <v>27</v>
      </c>
      <c r="H1537" s="55" t="s">
        <v>27</v>
      </c>
      <c r="I1537" s="229">
        <v>59.979412046187214</v>
      </c>
      <c r="J1537" s="233" t="e">
        <f t="shared" si="68"/>
        <v>#VALUE!</v>
      </c>
    </row>
    <row r="1538" spans="1:10" ht="12.75" customHeight="1" x14ac:dyDescent="0.15">
      <c r="A1538" s="126">
        <v>76</v>
      </c>
      <c r="B1538" s="25" t="s">
        <v>107</v>
      </c>
      <c r="C1538" s="39" t="s">
        <v>27</v>
      </c>
      <c r="D1538" s="50" t="s">
        <v>27</v>
      </c>
      <c r="E1538" s="28" t="s">
        <v>27</v>
      </c>
      <c r="F1538" s="51" t="s">
        <v>27</v>
      </c>
      <c r="G1538" s="28" t="s">
        <v>27</v>
      </c>
      <c r="H1538" s="55" t="s">
        <v>27</v>
      </c>
      <c r="I1538" s="229">
        <v>58.391022198320663</v>
      </c>
      <c r="J1538" s="233" t="e">
        <f t="shared" si="68"/>
        <v>#VALUE!</v>
      </c>
    </row>
    <row r="1539" spans="1:10" ht="12.75" customHeight="1" x14ac:dyDescent="0.15">
      <c r="A1539" s="126">
        <v>77</v>
      </c>
      <c r="B1539" s="25" t="s">
        <v>108</v>
      </c>
      <c r="C1539" s="39" t="s">
        <v>27</v>
      </c>
      <c r="D1539" s="50" t="s">
        <v>27</v>
      </c>
      <c r="E1539" s="28" t="s">
        <v>27</v>
      </c>
      <c r="F1539" s="51" t="s">
        <v>27</v>
      </c>
      <c r="G1539" s="28" t="s">
        <v>27</v>
      </c>
      <c r="H1539" s="55" t="s">
        <v>27</v>
      </c>
      <c r="I1539" s="229">
        <v>58.807311386383006</v>
      </c>
      <c r="J1539" s="233" t="e">
        <f t="shared" si="68"/>
        <v>#VALUE!</v>
      </c>
    </row>
    <row r="1540" spans="1:10" ht="12.75" customHeight="1" x14ac:dyDescent="0.15">
      <c r="A1540" s="126">
        <v>78</v>
      </c>
      <c r="B1540" s="25" t="s">
        <v>109</v>
      </c>
      <c r="C1540" s="39" t="s">
        <v>27</v>
      </c>
      <c r="D1540" s="50" t="s">
        <v>27</v>
      </c>
      <c r="E1540" s="28" t="s">
        <v>27</v>
      </c>
      <c r="F1540" s="51" t="s">
        <v>27</v>
      </c>
      <c r="G1540" s="28" t="s">
        <v>27</v>
      </c>
      <c r="H1540" s="55" t="s">
        <v>27</v>
      </c>
      <c r="I1540" s="229">
        <v>61.39769581707143</v>
      </c>
      <c r="J1540" s="233" t="e">
        <f t="shared" si="68"/>
        <v>#VALUE!</v>
      </c>
    </row>
    <row r="1541" spans="1:10" ht="12.75" customHeight="1" x14ac:dyDescent="0.15">
      <c r="A1541" s="126">
        <v>79</v>
      </c>
      <c r="B1541" s="25" t="s">
        <v>110</v>
      </c>
      <c r="C1541" s="39" t="s">
        <v>27</v>
      </c>
      <c r="D1541" s="50" t="s">
        <v>27</v>
      </c>
      <c r="E1541" s="28" t="s">
        <v>27</v>
      </c>
      <c r="F1541" s="51" t="s">
        <v>27</v>
      </c>
      <c r="G1541" s="28" t="s">
        <v>27</v>
      </c>
      <c r="H1541" s="55" t="s">
        <v>27</v>
      </c>
      <c r="I1541" s="229">
        <v>57.440453871650085</v>
      </c>
      <c r="J1541" s="233" t="e">
        <f t="shared" si="68"/>
        <v>#VALUE!</v>
      </c>
    </row>
    <row r="1542" spans="1:10" ht="12.75" customHeight="1" x14ac:dyDescent="0.15">
      <c r="A1542" s="126">
        <v>80</v>
      </c>
      <c r="B1542" s="25" t="s">
        <v>111</v>
      </c>
      <c r="C1542" s="39" t="s">
        <v>27</v>
      </c>
      <c r="D1542" s="50" t="s">
        <v>27</v>
      </c>
      <c r="E1542" s="28" t="s">
        <v>27</v>
      </c>
      <c r="F1542" s="51" t="s">
        <v>27</v>
      </c>
      <c r="G1542" s="28" t="s">
        <v>27</v>
      </c>
      <c r="H1542" s="55" t="s">
        <v>27</v>
      </c>
      <c r="I1542" s="229">
        <v>56.738615776325759</v>
      </c>
      <c r="J1542" s="233" t="e">
        <f t="shared" si="68"/>
        <v>#VALUE!</v>
      </c>
    </row>
    <row r="1543" spans="1:10" ht="12.75" customHeight="1" x14ac:dyDescent="0.15">
      <c r="A1543" s="126">
        <v>81</v>
      </c>
      <c r="B1543" s="25" t="s">
        <v>112</v>
      </c>
      <c r="C1543" s="39" t="s">
        <v>27</v>
      </c>
      <c r="D1543" s="50" t="s">
        <v>27</v>
      </c>
      <c r="E1543" s="28" t="s">
        <v>27</v>
      </c>
      <c r="F1543" s="51" t="s">
        <v>27</v>
      </c>
      <c r="G1543" s="28" t="s">
        <v>27</v>
      </c>
      <c r="H1543" s="55" t="s">
        <v>27</v>
      </c>
      <c r="I1543" s="229">
        <v>60.031309810371532</v>
      </c>
      <c r="J1543" s="233" t="e">
        <f t="shared" si="68"/>
        <v>#VALUE!</v>
      </c>
    </row>
    <row r="1544" spans="1:10" ht="12.75" customHeight="1" x14ac:dyDescent="0.15">
      <c r="A1544" s="126">
        <v>82</v>
      </c>
      <c r="B1544" s="25" t="s">
        <v>113</v>
      </c>
      <c r="C1544" s="39">
        <v>26.013333333333335</v>
      </c>
      <c r="D1544" s="50">
        <v>0.10961747664643662</v>
      </c>
      <c r="E1544" s="28">
        <v>0.17084222052966389</v>
      </c>
      <c r="F1544" s="51">
        <v>0.1368657855697909</v>
      </c>
      <c r="G1544" s="28">
        <v>3.3872035423677622E-2</v>
      </c>
      <c r="H1544" s="55" t="s">
        <v>27</v>
      </c>
      <c r="I1544" s="50">
        <v>62.979314774190286</v>
      </c>
      <c r="J1544">
        <f t="shared" si="68"/>
        <v>0.10443188564956496</v>
      </c>
    </row>
    <row r="1545" spans="1:10" ht="12.75" customHeight="1" x14ac:dyDescent="0.15">
      <c r="A1545" s="126">
        <v>83</v>
      </c>
      <c r="B1545" s="25" t="s">
        <v>114</v>
      </c>
      <c r="C1545" s="39">
        <v>26.01</v>
      </c>
      <c r="D1545" s="50">
        <v>0.10158230000000046</v>
      </c>
      <c r="E1545" s="28">
        <v>0.16726043214750508</v>
      </c>
      <c r="F1545" s="51">
        <v>0.12408967472894072</v>
      </c>
      <c r="G1545" s="28">
        <v>3.2182757615287536E-2</v>
      </c>
      <c r="H1545" s="55" t="s">
        <v>27</v>
      </c>
      <c r="I1545" s="50">
        <v>59.799484012738418</v>
      </c>
      <c r="J1545">
        <f t="shared" ref="J1545:J1561" si="69">D1545*60/I1545</f>
        <v>0.10192291958073904</v>
      </c>
    </row>
    <row r="1546" spans="1:10" ht="12.75" customHeight="1" x14ac:dyDescent="0.15">
      <c r="A1546" s="126">
        <v>84</v>
      </c>
      <c r="B1546" s="25" t="s">
        <v>115</v>
      </c>
      <c r="C1546" s="39">
        <v>26.013333333333335</v>
      </c>
      <c r="D1546" s="50">
        <v>0.10372873333333077</v>
      </c>
      <c r="E1546" s="28">
        <v>0.17003895919128079</v>
      </c>
      <c r="F1546" s="51">
        <v>0.13112623682076241</v>
      </c>
      <c r="G1546" s="28">
        <v>3.3827271511198874E-2</v>
      </c>
      <c r="H1546" s="55" t="s">
        <v>27</v>
      </c>
      <c r="I1546" s="50">
        <v>60.080990143977424</v>
      </c>
      <c r="J1546">
        <f t="shared" si="69"/>
        <v>0.10358890532738196</v>
      </c>
    </row>
    <row r="1547" spans="1:10" ht="12.75" customHeight="1" x14ac:dyDescent="0.15">
      <c r="A1547" s="126">
        <v>85</v>
      </c>
      <c r="B1547" s="25" t="s">
        <v>116</v>
      </c>
      <c r="C1547" s="39">
        <v>26.01</v>
      </c>
      <c r="D1547" s="50">
        <v>0.12738876666666776</v>
      </c>
      <c r="E1547" s="28">
        <v>0.21039297941146151</v>
      </c>
      <c r="F1547" s="51">
        <v>0.17421103448275865</v>
      </c>
      <c r="G1547" s="28">
        <v>4.5348854700344672E-2</v>
      </c>
      <c r="H1547" s="55" t="s">
        <v>27</v>
      </c>
      <c r="I1547" s="50">
        <v>59.579719599809422</v>
      </c>
      <c r="J1547">
        <f t="shared" si="69"/>
        <v>0.12828737784164587</v>
      </c>
    </row>
    <row r="1548" spans="1:10" ht="12.75" customHeight="1" x14ac:dyDescent="0.15">
      <c r="A1548" s="126">
        <v>86</v>
      </c>
      <c r="B1548" s="25" t="s">
        <v>117</v>
      </c>
      <c r="C1548" s="39">
        <v>25.996666666666666</v>
      </c>
      <c r="D1548" s="50">
        <v>0.12634033333333772</v>
      </c>
      <c r="E1548" s="28">
        <v>0.21193237176124693</v>
      </c>
      <c r="F1548" s="51">
        <v>0.1729949451887941</v>
      </c>
      <c r="G1548" s="28">
        <v>4.5594063865164736E-2</v>
      </c>
      <c r="H1548" s="55" t="s">
        <v>27</v>
      </c>
      <c r="I1548" s="50">
        <v>58.660169888182494</v>
      </c>
      <c r="J1548">
        <f t="shared" si="69"/>
        <v>0.12922601510445664</v>
      </c>
    </row>
    <row r="1549" spans="1:10" ht="12.75" customHeight="1" x14ac:dyDescent="0.15">
      <c r="A1549" s="126">
        <v>87</v>
      </c>
      <c r="B1549" s="25" t="s">
        <v>2</v>
      </c>
      <c r="C1549" s="39">
        <v>25.990000000000002</v>
      </c>
      <c r="D1549" s="50">
        <v>0.12924479999999994</v>
      </c>
      <c r="E1549" s="28">
        <v>0.21626736770180632</v>
      </c>
      <c r="F1549" s="51">
        <v>0.17493342952275259</v>
      </c>
      <c r="G1549" s="28">
        <v>4.6008507620833812E-2</v>
      </c>
      <c r="H1549" s="55" t="s">
        <v>27</v>
      </c>
      <c r="I1549" s="50">
        <v>58.797769174159257</v>
      </c>
      <c r="J1549">
        <f t="shared" si="69"/>
        <v>0.13188745268601221</v>
      </c>
    </row>
    <row r="1550" spans="1:10" ht="12.75" customHeight="1" x14ac:dyDescent="0.15">
      <c r="A1550" s="126">
        <v>88</v>
      </c>
      <c r="B1550" s="25" t="s">
        <v>118</v>
      </c>
      <c r="C1550" s="39">
        <v>26.08666666666667</v>
      </c>
      <c r="D1550" s="50">
        <v>0.12419545000000221</v>
      </c>
      <c r="E1550" s="28">
        <v>0.20357931517915878</v>
      </c>
      <c r="F1550" s="51">
        <v>0.16436011627906977</v>
      </c>
      <c r="G1550" s="28">
        <v>4.2223818984303337E-2</v>
      </c>
      <c r="H1550" s="55" t="s">
        <v>27</v>
      </c>
      <c r="I1550" s="50">
        <v>59.994375533297919</v>
      </c>
      <c r="J1550">
        <f t="shared" si="69"/>
        <v>0.12420709331101037</v>
      </c>
    </row>
    <row r="1551" spans="1:10" ht="12.75" customHeight="1" x14ac:dyDescent="0.15">
      <c r="A1551" s="126">
        <v>89</v>
      </c>
      <c r="B1551" s="25" t="s">
        <v>119</v>
      </c>
      <c r="C1551" s="39">
        <v>26.083333333333336</v>
      </c>
      <c r="D1551" s="50">
        <v>0.13089563333333487</v>
      </c>
      <c r="E1551" s="28">
        <v>0.21065743874263407</v>
      </c>
      <c r="F1551" s="51">
        <v>0.17446246171967028</v>
      </c>
      <c r="G1551" s="28">
        <v>4.4155026100149451E-2</v>
      </c>
      <c r="H1551" s="55" t="s">
        <v>27</v>
      </c>
      <c r="I1551" s="50">
        <v>61.126993004705206</v>
      </c>
      <c r="J1551">
        <f t="shared" si="69"/>
        <v>0.12848232203071983</v>
      </c>
    </row>
    <row r="1552" spans="1:10" ht="12.75" customHeight="1" x14ac:dyDescent="0.15">
      <c r="A1552" s="126">
        <v>90</v>
      </c>
      <c r="B1552" s="25" t="s">
        <v>120</v>
      </c>
      <c r="C1552" s="39">
        <v>26.073333333333334</v>
      </c>
      <c r="D1552" s="50">
        <v>0.13357138333333296</v>
      </c>
      <c r="E1552" s="28">
        <v>0.21138221135113347</v>
      </c>
      <c r="F1552" s="51">
        <v>0.17887385416666668</v>
      </c>
      <c r="G1552" s="28">
        <v>4.473659074325663E-2</v>
      </c>
      <c r="H1552" s="55" t="s">
        <v>27</v>
      </c>
      <c r="I1552" s="50">
        <v>62.176815164923703</v>
      </c>
      <c r="J1552">
        <f t="shared" si="69"/>
        <v>0.12889503874944591</v>
      </c>
    </row>
    <row r="1553" spans="1:12" ht="12.75" customHeight="1" x14ac:dyDescent="0.15">
      <c r="A1553" s="126">
        <v>91</v>
      </c>
      <c r="B1553" s="25" t="s">
        <v>121</v>
      </c>
      <c r="C1553" s="39">
        <v>26.076666666666668</v>
      </c>
      <c r="D1553" s="50">
        <v>0.10665063333333213</v>
      </c>
      <c r="E1553" s="28">
        <v>0.18906639188660668</v>
      </c>
      <c r="F1553" s="51">
        <v>0.14166424626006902</v>
      </c>
      <c r="G1553" s="28">
        <v>3.9099732496538614E-2</v>
      </c>
      <c r="H1553" s="55" t="s">
        <v>27</v>
      </c>
      <c r="I1553" s="50">
        <v>55.484828354972052</v>
      </c>
      <c r="J1553">
        <f t="shared" si="69"/>
        <v>0.11532950879943568</v>
      </c>
    </row>
    <row r="1554" spans="1:12" ht="12.75" customHeight="1" x14ac:dyDescent="0.15">
      <c r="A1554" s="126">
        <v>92</v>
      </c>
      <c r="B1554" s="25" t="s">
        <v>122</v>
      </c>
      <c r="C1554" s="39">
        <v>26.073333333333334</v>
      </c>
      <c r="D1554" s="50">
        <v>0.12031109999999723</v>
      </c>
      <c r="E1554" s="28">
        <v>0.19506526293276405</v>
      </c>
      <c r="F1554" s="51">
        <v>0.15988978969505774</v>
      </c>
      <c r="G1554" s="28">
        <v>4.0750459341907921E-2</v>
      </c>
      <c r="H1554" s="55" t="s">
        <v>27</v>
      </c>
      <c r="I1554" s="50">
        <v>60.682131420672214</v>
      </c>
      <c r="J1554">
        <f t="shared" si="69"/>
        <v>0.11895867582430855</v>
      </c>
    </row>
    <row r="1555" spans="1:12" ht="12.75" customHeight="1" x14ac:dyDescent="0.15">
      <c r="A1555" s="126">
        <v>93</v>
      </c>
      <c r="B1555" s="25" t="s">
        <v>123</v>
      </c>
      <c r="C1555" s="39">
        <v>26.076666666666668</v>
      </c>
      <c r="D1555" s="50">
        <v>0.11931759999999692</v>
      </c>
      <c r="E1555" s="28">
        <v>0.19237759971804708</v>
      </c>
      <c r="F1555" s="51">
        <v>0.15911507099391475</v>
      </c>
      <c r="G1555" s="28">
        <v>4.0406546231116128E-2</v>
      </c>
      <c r="H1555" s="55" t="s">
        <v>27</v>
      </c>
      <c r="I1555" s="50">
        <v>61.040575735409782</v>
      </c>
      <c r="J1555">
        <f t="shared" si="69"/>
        <v>0.11728355956260796</v>
      </c>
    </row>
    <row r="1556" spans="1:12" ht="12.75" customHeight="1" x14ac:dyDescent="0.15">
      <c r="A1556" s="126">
        <v>94</v>
      </c>
      <c r="B1556" s="25" t="s">
        <v>125</v>
      </c>
      <c r="C1556" s="39" t="s">
        <v>27</v>
      </c>
      <c r="D1556" s="50" t="s">
        <v>27</v>
      </c>
      <c r="E1556" s="28" t="s">
        <v>27</v>
      </c>
      <c r="F1556" s="51" t="s">
        <v>27</v>
      </c>
      <c r="G1556" s="28" t="s">
        <v>27</v>
      </c>
      <c r="H1556" s="55" t="s">
        <v>27</v>
      </c>
      <c r="I1556" s="50">
        <v>68.187503026666704</v>
      </c>
      <c r="J1556" t="e">
        <f t="shared" si="69"/>
        <v>#VALUE!</v>
      </c>
    </row>
    <row r="1557" spans="1:12" ht="12.75" customHeight="1" x14ac:dyDescent="0.15">
      <c r="A1557" s="126">
        <v>95</v>
      </c>
      <c r="B1557" s="25" t="s">
        <v>126</v>
      </c>
      <c r="C1557" s="39" t="s">
        <v>27</v>
      </c>
      <c r="D1557" s="50" t="s">
        <v>27</v>
      </c>
      <c r="E1557" s="28" t="s">
        <v>27</v>
      </c>
      <c r="F1557" s="51" t="s">
        <v>27</v>
      </c>
      <c r="G1557" s="28" t="s">
        <v>27</v>
      </c>
      <c r="H1557" s="55" t="s">
        <v>27</v>
      </c>
      <c r="I1557" s="50">
        <v>64.91833024007218</v>
      </c>
      <c r="J1557" t="e">
        <f t="shared" si="69"/>
        <v>#VALUE!</v>
      </c>
    </row>
    <row r="1558" spans="1:12" ht="12.75" customHeight="1" x14ac:dyDescent="0.15">
      <c r="A1558" s="126">
        <v>96</v>
      </c>
      <c r="B1558" s="25" t="s">
        <v>85</v>
      </c>
      <c r="C1558" s="39" t="s">
        <v>27</v>
      </c>
      <c r="D1558" s="50" t="s">
        <v>27</v>
      </c>
      <c r="E1558" s="28" t="s">
        <v>27</v>
      </c>
      <c r="F1558" s="51" t="s">
        <v>27</v>
      </c>
      <c r="G1558" s="28" t="s">
        <v>27</v>
      </c>
      <c r="H1558" s="55" t="s">
        <v>27</v>
      </c>
      <c r="I1558" s="50">
        <v>4.7912273660913218E-2</v>
      </c>
      <c r="J1558" t="e">
        <f t="shared" si="69"/>
        <v>#VALUE!</v>
      </c>
    </row>
    <row r="1559" spans="1:12" ht="12.75" customHeight="1" x14ac:dyDescent="0.15">
      <c r="A1559" s="126">
        <v>97</v>
      </c>
      <c r="B1559" s="25" t="s">
        <v>85</v>
      </c>
      <c r="C1559" s="39" t="s">
        <v>27</v>
      </c>
      <c r="D1559" s="50" t="s">
        <v>27</v>
      </c>
      <c r="E1559" s="28" t="s">
        <v>27</v>
      </c>
      <c r="F1559" s="51" t="s">
        <v>27</v>
      </c>
      <c r="G1559" s="28" t="s">
        <v>27</v>
      </c>
      <c r="H1559" s="55" t="s">
        <v>27</v>
      </c>
      <c r="I1559" s="50">
        <v>4.2384752959074734E-2</v>
      </c>
      <c r="J1559" t="e">
        <f t="shared" si="69"/>
        <v>#VALUE!</v>
      </c>
    </row>
    <row r="1560" spans="1:12" ht="12.75" customHeight="1" x14ac:dyDescent="0.15">
      <c r="A1560" s="126">
        <v>98</v>
      </c>
      <c r="B1560" s="25" t="s">
        <v>85</v>
      </c>
      <c r="C1560" s="39" t="s">
        <v>27</v>
      </c>
      <c r="D1560" s="50" t="s">
        <v>27</v>
      </c>
      <c r="E1560" s="28" t="s">
        <v>27</v>
      </c>
      <c r="F1560" s="51" t="s">
        <v>27</v>
      </c>
      <c r="G1560" s="28" t="s">
        <v>27</v>
      </c>
      <c r="H1560" s="55" t="s">
        <v>27</v>
      </c>
      <c r="I1560" s="50">
        <v>0.15383328163172283</v>
      </c>
      <c r="J1560" t="e">
        <f t="shared" si="69"/>
        <v>#VALUE!</v>
      </c>
    </row>
    <row r="1561" spans="1:12" ht="12.75" customHeight="1" x14ac:dyDescent="0.15">
      <c r="A1561" s="126">
        <v>99</v>
      </c>
      <c r="B1561" s="25" t="s">
        <v>85</v>
      </c>
      <c r="C1561" s="39" t="s">
        <v>27</v>
      </c>
      <c r="D1561" s="50" t="s">
        <v>27</v>
      </c>
      <c r="E1561" s="28" t="s">
        <v>27</v>
      </c>
      <c r="F1561" s="51" t="s">
        <v>27</v>
      </c>
      <c r="G1561" s="28" t="s">
        <v>27</v>
      </c>
      <c r="H1561" s="55" t="s">
        <v>27</v>
      </c>
      <c r="I1561" s="50">
        <v>0.4038991018443201</v>
      </c>
      <c r="J1561" t="e">
        <f t="shared" si="69"/>
        <v>#VALUE!</v>
      </c>
    </row>
    <row r="1562" spans="1:12" ht="12.75" customHeight="1" x14ac:dyDescent="0.15">
      <c r="A1562" s="126">
        <v>100</v>
      </c>
      <c r="B1562" s="25" t="s">
        <v>127</v>
      </c>
      <c r="C1562" s="39" t="s">
        <v>27</v>
      </c>
      <c r="D1562" s="50" t="s">
        <v>27</v>
      </c>
      <c r="E1562" s="28" t="s">
        <v>27</v>
      </c>
      <c r="F1562" s="51" t="s">
        <v>27</v>
      </c>
      <c r="G1562" s="28" t="s">
        <v>27</v>
      </c>
      <c r="H1562" s="55" t="s">
        <v>27</v>
      </c>
      <c r="I1562" s="221">
        <v>72.528602379227749</v>
      </c>
      <c r="J1562" s="225" t="e">
        <f>D1562*60/I1562</f>
        <v>#VALUE!</v>
      </c>
      <c r="K1562" s="225" t="s">
        <v>206</v>
      </c>
      <c r="L1562" s="225" t="e">
        <f>J1562</f>
        <v>#VALUE!</v>
      </c>
    </row>
    <row r="1563" spans="1:12" ht="12.75" customHeight="1" x14ac:dyDescent="0.15">
      <c r="A1563" s="126">
        <v>101</v>
      </c>
      <c r="B1563" s="25" t="s">
        <v>90</v>
      </c>
      <c r="C1563" s="39" t="s">
        <v>27</v>
      </c>
      <c r="D1563" s="50" t="s">
        <v>27</v>
      </c>
      <c r="E1563" s="28" t="s">
        <v>27</v>
      </c>
      <c r="F1563" s="51" t="s">
        <v>27</v>
      </c>
      <c r="G1563" s="28" t="s">
        <v>27</v>
      </c>
      <c r="H1563" s="55" t="s">
        <v>27</v>
      </c>
      <c r="I1563" s="50">
        <v>65.189621435077129</v>
      </c>
      <c r="J1563" t="e">
        <f t="shared" ref="J1563:J1626" si="70">D1563*60/I1563</f>
        <v>#VALUE!</v>
      </c>
      <c r="K1563" s="208" t="s">
        <v>206</v>
      </c>
      <c r="L1563" s="208" t="e">
        <f t="shared" ref="L1563:L1573" si="71">J1563</f>
        <v>#VALUE!</v>
      </c>
    </row>
    <row r="1564" spans="1:12" ht="12.75" customHeight="1" x14ac:dyDescent="0.15">
      <c r="A1564" s="126">
        <v>102</v>
      </c>
      <c r="B1564" s="25" t="s">
        <v>91</v>
      </c>
      <c r="C1564" s="39" t="s">
        <v>27</v>
      </c>
      <c r="D1564" s="50" t="s">
        <v>27</v>
      </c>
      <c r="E1564" s="28" t="s">
        <v>27</v>
      </c>
      <c r="F1564" s="51" t="s">
        <v>27</v>
      </c>
      <c r="G1564" s="28" t="s">
        <v>27</v>
      </c>
      <c r="H1564" s="55" t="s">
        <v>27</v>
      </c>
      <c r="I1564" s="50">
        <v>63.049454443403043</v>
      </c>
      <c r="J1564" t="e">
        <f t="shared" si="70"/>
        <v>#VALUE!</v>
      </c>
      <c r="K1564" s="208" t="s">
        <v>206</v>
      </c>
      <c r="L1564" s="208" t="e">
        <f t="shared" si="71"/>
        <v>#VALUE!</v>
      </c>
    </row>
    <row r="1565" spans="1:12" ht="12.75" customHeight="1" x14ac:dyDescent="0.15">
      <c r="A1565" s="126">
        <v>103</v>
      </c>
      <c r="B1565" s="25" t="s">
        <v>92</v>
      </c>
      <c r="C1565" s="39" t="s">
        <v>27</v>
      </c>
      <c r="D1565" s="50" t="s">
        <v>27</v>
      </c>
      <c r="E1565" s="28" t="s">
        <v>27</v>
      </c>
      <c r="F1565" s="51" t="s">
        <v>27</v>
      </c>
      <c r="G1565" s="28" t="s">
        <v>27</v>
      </c>
      <c r="H1565" s="55" t="s">
        <v>27</v>
      </c>
      <c r="I1565" s="50">
        <v>64.751162166727894</v>
      </c>
      <c r="J1565" t="e">
        <f t="shared" si="70"/>
        <v>#VALUE!</v>
      </c>
      <c r="K1565" s="208" t="s">
        <v>206</v>
      </c>
      <c r="L1565" s="208" t="e">
        <f t="shared" si="71"/>
        <v>#VALUE!</v>
      </c>
    </row>
    <row r="1566" spans="1:12" ht="12.75" customHeight="1" x14ac:dyDescent="0.15">
      <c r="A1566" s="126">
        <v>104</v>
      </c>
      <c r="B1566" s="25" t="s">
        <v>93</v>
      </c>
      <c r="C1566" s="39" t="s">
        <v>27</v>
      </c>
      <c r="D1566" s="50" t="s">
        <v>27</v>
      </c>
      <c r="E1566" s="28" t="s">
        <v>27</v>
      </c>
      <c r="F1566" s="51" t="s">
        <v>27</v>
      </c>
      <c r="G1566" s="28" t="s">
        <v>27</v>
      </c>
      <c r="H1566" s="55" t="s">
        <v>27</v>
      </c>
      <c r="I1566" s="50">
        <v>62.68294141354761</v>
      </c>
      <c r="J1566" t="e">
        <f t="shared" si="70"/>
        <v>#VALUE!</v>
      </c>
      <c r="K1566" s="208" t="s">
        <v>206</v>
      </c>
      <c r="L1566" s="208" t="e">
        <f t="shared" si="71"/>
        <v>#VALUE!</v>
      </c>
    </row>
    <row r="1567" spans="1:12" ht="12.75" customHeight="1" x14ac:dyDescent="0.15">
      <c r="A1567" s="126">
        <v>105</v>
      </c>
      <c r="B1567" s="25" t="s">
        <v>94</v>
      </c>
      <c r="C1567" s="39" t="s">
        <v>27</v>
      </c>
      <c r="D1567" s="50" t="s">
        <v>27</v>
      </c>
      <c r="E1567" s="28" t="s">
        <v>27</v>
      </c>
      <c r="F1567" s="51" t="s">
        <v>27</v>
      </c>
      <c r="G1567" s="28" t="s">
        <v>27</v>
      </c>
      <c r="H1567" s="55" t="s">
        <v>27</v>
      </c>
      <c r="I1567" s="50">
        <v>63.563630264790291</v>
      </c>
      <c r="J1567" t="e">
        <f t="shared" si="70"/>
        <v>#VALUE!</v>
      </c>
      <c r="K1567" s="208" t="s">
        <v>206</v>
      </c>
      <c r="L1567" s="208" t="e">
        <f t="shared" si="71"/>
        <v>#VALUE!</v>
      </c>
    </row>
    <row r="1568" spans="1:12" ht="12.75" customHeight="1" x14ac:dyDescent="0.15">
      <c r="A1568" s="126">
        <v>106</v>
      </c>
      <c r="B1568" s="25" t="s">
        <v>95</v>
      </c>
      <c r="C1568" s="39" t="s">
        <v>27</v>
      </c>
      <c r="D1568" s="50" t="s">
        <v>27</v>
      </c>
      <c r="E1568" s="28" t="s">
        <v>27</v>
      </c>
      <c r="F1568" s="51" t="s">
        <v>27</v>
      </c>
      <c r="G1568" s="28" t="s">
        <v>27</v>
      </c>
      <c r="H1568" s="55" t="s">
        <v>27</v>
      </c>
      <c r="I1568" s="50">
        <v>61.808598238098114</v>
      </c>
      <c r="J1568" t="e">
        <f t="shared" si="70"/>
        <v>#VALUE!</v>
      </c>
      <c r="K1568" s="208" t="s">
        <v>206</v>
      </c>
      <c r="L1568" s="208" t="e">
        <f t="shared" si="71"/>
        <v>#VALUE!</v>
      </c>
    </row>
    <row r="1569" spans="1:12" ht="12.75" customHeight="1" x14ac:dyDescent="0.15">
      <c r="A1569" s="126">
        <v>107</v>
      </c>
      <c r="B1569" s="25" t="s">
        <v>96</v>
      </c>
      <c r="C1569" s="39" t="s">
        <v>27</v>
      </c>
      <c r="D1569" s="50" t="s">
        <v>27</v>
      </c>
      <c r="E1569" s="28" t="s">
        <v>27</v>
      </c>
      <c r="F1569" s="51" t="s">
        <v>27</v>
      </c>
      <c r="G1569" s="28" t="s">
        <v>27</v>
      </c>
      <c r="H1569" s="55" t="s">
        <v>27</v>
      </c>
      <c r="I1569" s="50">
        <v>62.479177663466629</v>
      </c>
      <c r="J1569" t="e">
        <f t="shared" si="70"/>
        <v>#VALUE!</v>
      </c>
      <c r="K1569" s="208" t="s">
        <v>206</v>
      </c>
      <c r="L1569" s="208" t="e">
        <f t="shared" si="71"/>
        <v>#VALUE!</v>
      </c>
    </row>
    <row r="1570" spans="1:12" ht="12.75" customHeight="1" x14ac:dyDescent="0.15">
      <c r="A1570" s="126">
        <v>108</v>
      </c>
      <c r="B1570" s="25" t="s">
        <v>97</v>
      </c>
      <c r="C1570" s="39" t="s">
        <v>27</v>
      </c>
      <c r="D1570" s="50" t="s">
        <v>27</v>
      </c>
      <c r="E1570" s="28" t="s">
        <v>27</v>
      </c>
      <c r="F1570" s="51" t="s">
        <v>27</v>
      </c>
      <c r="G1570" s="28" t="s">
        <v>27</v>
      </c>
      <c r="H1570" s="55" t="s">
        <v>27</v>
      </c>
      <c r="I1570" s="50">
        <v>61.138778907283374</v>
      </c>
      <c r="J1570" t="e">
        <f t="shared" si="70"/>
        <v>#VALUE!</v>
      </c>
      <c r="K1570" s="208" t="s">
        <v>206</v>
      </c>
      <c r="L1570" s="208" t="e">
        <f t="shared" si="71"/>
        <v>#VALUE!</v>
      </c>
    </row>
    <row r="1571" spans="1:12" ht="12.75" customHeight="1" x14ac:dyDescent="0.15">
      <c r="A1571" s="126">
        <v>109</v>
      </c>
      <c r="B1571" s="25" t="s">
        <v>98</v>
      </c>
      <c r="C1571" s="39" t="s">
        <v>27</v>
      </c>
      <c r="D1571" s="50" t="s">
        <v>27</v>
      </c>
      <c r="E1571" s="28" t="s">
        <v>27</v>
      </c>
      <c r="F1571" s="51" t="s">
        <v>27</v>
      </c>
      <c r="G1571" s="28" t="s">
        <v>27</v>
      </c>
      <c r="H1571" s="55" t="s">
        <v>27</v>
      </c>
      <c r="I1571" s="50">
        <v>62.069148476412423</v>
      </c>
      <c r="J1571" t="e">
        <f t="shared" si="70"/>
        <v>#VALUE!</v>
      </c>
      <c r="K1571" s="208" t="s">
        <v>206</v>
      </c>
      <c r="L1571" s="208" t="e">
        <f t="shared" si="71"/>
        <v>#VALUE!</v>
      </c>
    </row>
    <row r="1572" spans="1:12" ht="12.75" customHeight="1" x14ac:dyDescent="0.15">
      <c r="A1572" s="126">
        <v>110</v>
      </c>
      <c r="B1572" s="25" t="s">
        <v>99</v>
      </c>
      <c r="C1572" s="39" t="s">
        <v>27</v>
      </c>
      <c r="D1572" s="50" t="s">
        <v>27</v>
      </c>
      <c r="E1572" s="28" t="s">
        <v>27</v>
      </c>
      <c r="F1572" s="51" t="s">
        <v>27</v>
      </c>
      <c r="G1572" s="28" t="s">
        <v>27</v>
      </c>
      <c r="H1572" s="55" t="s">
        <v>27</v>
      </c>
      <c r="I1572" s="50">
        <v>62.328627549857508</v>
      </c>
      <c r="J1572" t="e">
        <f t="shared" si="70"/>
        <v>#VALUE!</v>
      </c>
      <c r="K1572" s="208" t="s">
        <v>206</v>
      </c>
      <c r="L1572" s="208" t="e">
        <f t="shared" si="71"/>
        <v>#VALUE!</v>
      </c>
    </row>
    <row r="1573" spans="1:12" ht="12.75" customHeight="1" x14ac:dyDescent="0.15">
      <c r="A1573" s="126">
        <v>111</v>
      </c>
      <c r="B1573" s="25" t="s">
        <v>100</v>
      </c>
      <c r="C1573" s="39" t="s">
        <v>27</v>
      </c>
      <c r="D1573" s="50" t="s">
        <v>27</v>
      </c>
      <c r="E1573" s="28" t="s">
        <v>27</v>
      </c>
      <c r="F1573" s="51" t="s">
        <v>27</v>
      </c>
      <c r="G1573" s="28" t="s">
        <v>27</v>
      </c>
      <c r="H1573" s="55" t="s">
        <v>27</v>
      </c>
      <c r="I1573" s="50">
        <v>63.186515348977927</v>
      </c>
      <c r="J1573" t="e">
        <f t="shared" si="70"/>
        <v>#VALUE!</v>
      </c>
      <c r="K1573" s="208" t="s">
        <v>206</v>
      </c>
      <c r="L1573" s="208" t="e">
        <f t="shared" si="71"/>
        <v>#VALUE!</v>
      </c>
    </row>
    <row r="1574" spans="1:12" ht="12.75" customHeight="1" x14ac:dyDescent="0.15">
      <c r="A1574" s="126">
        <v>112</v>
      </c>
      <c r="B1574" s="25" t="s">
        <v>101</v>
      </c>
      <c r="C1574" s="39" t="s">
        <v>27</v>
      </c>
      <c r="D1574" s="50" t="s">
        <v>27</v>
      </c>
      <c r="E1574" s="28" t="s">
        <v>27</v>
      </c>
      <c r="F1574" s="51" t="s">
        <v>27</v>
      </c>
      <c r="G1574" s="28" t="s">
        <v>27</v>
      </c>
      <c r="H1574" s="55" t="s">
        <v>27</v>
      </c>
      <c r="I1574" s="50">
        <v>58.798614919514108</v>
      </c>
      <c r="J1574" t="e">
        <f t="shared" si="70"/>
        <v>#VALUE!</v>
      </c>
      <c r="K1574" s="225" t="s">
        <v>207</v>
      </c>
      <c r="L1574" s="225" t="e">
        <f>J1598</f>
        <v>#VALUE!</v>
      </c>
    </row>
    <row r="1575" spans="1:12" ht="12.75" customHeight="1" x14ac:dyDescent="0.15">
      <c r="A1575" s="126">
        <v>113</v>
      </c>
      <c r="B1575" s="25" t="s">
        <v>102</v>
      </c>
      <c r="C1575" s="39" t="s">
        <v>27</v>
      </c>
      <c r="D1575" s="50" t="s">
        <v>27</v>
      </c>
      <c r="E1575" s="28" t="s">
        <v>27</v>
      </c>
      <c r="F1575" s="51" t="s">
        <v>27</v>
      </c>
      <c r="G1575" s="28" t="s">
        <v>27</v>
      </c>
      <c r="H1575" s="55" t="s">
        <v>27</v>
      </c>
      <c r="I1575" s="50">
        <v>59.009617148523198</v>
      </c>
      <c r="J1575" t="e">
        <f t="shared" si="70"/>
        <v>#VALUE!</v>
      </c>
      <c r="K1575" s="208" t="s">
        <v>207</v>
      </c>
      <c r="L1575" s="208" t="e">
        <f t="shared" ref="L1575:L1585" si="72">J1599</f>
        <v>#VALUE!</v>
      </c>
    </row>
    <row r="1576" spans="1:12" ht="12.75" customHeight="1" x14ac:dyDescent="0.15">
      <c r="A1576" s="126">
        <v>114</v>
      </c>
      <c r="B1576" s="25" t="s">
        <v>103</v>
      </c>
      <c r="C1576" s="39" t="s">
        <v>27</v>
      </c>
      <c r="D1576" s="50" t="s">
        <v>27</v>
      </c>
      <c r="E1576" s="28" t="s">
        <v>27</v>
      </c>
      <c r="F1576" s="51" t="s">
        <v>27</v>
      </c>
      <c r="G1576" s="28" t="s">
        <v>27</v>
      </c>
      <c r="H1576" s="55" t="s">
        <v>27</v>
      </c>
      <c r="I1576" s="50">
        <v>57.328802262839211</v>
      </c>
      <c r="J1576" t="e">
        <f t="shared" si="70"/>
        <v>#VALUE!</v>
      </c>
      <c r="K1576" s="208" t="s">
        <v>207</v>
      </c>
      <c r="L1576" s="208" t="e">
        <f t="shared" si="72"/>
        <v>#VALUE!</v>
      </c>
    </row>
    <row r="1577" spans="1:12" ht="12.75" customHeight="1" x14ac:dyDescent="0.15">
      <c r="A1577" s="126">
        <v>115</v>
      </c>
      <c r="B1577" s="25" t="s">
        <v>104</v>
      </c>
      <c r="C1577" s="39" t="s">
        <v>27</v>
      </c>
      <c r="D1577" s="50" t="s">
        <v>27</v>
      </c>
      <c r="E1577" s="28" t="s">
        <v>27</v>
      </c>
      <c r="F1577" s="51" t="s">
        <v>27</v>
      </c>
      <c r="G1577" s="28" t="s">
        <v>27</v>
      </c>
      <c r="H1577" s="55" t="s">
        <v>27</v>
      </c>
      <c r="I1577" s="50">
        <v>59.90720697599388</v>
      </c>
      <c r="J1577" t="e">
        <f t="shared" si="70"/>
        <v>#VALUE!</v>
      </c>
      <c r="K1577" s="208" t="s">
        <v>207</v>
      </c>
      <c r="L1577" s="208" t="e">
        <f t="shared" si="72"/>
        <v>#VALUE!</v>
      </c>
    </row>
    <row r="1578" spans="1:12" ht="12.75" customHeight="1" x14ac:dyDescent="0.15">
      <c r="A1578" s="126">
        <v>116</v>
      </c>
      <c r="B1578" s="25" t="s">
        <v>105</v>
      </c>
      <c r="C1578" s="39" t="s">
        <v>27</v>
      </c>
      <c r="D1578" s="50" t="s">
        <v>27</v>
      </c>
      <c r="E1578" s="28" t="s">
        <v>27</v>
      </c>
      <c r="F1578" s="51" t="s">
        <v>27</v>
      </c>
      <c r="G1578" s="28" t="s">
        <v>27</v>
      </c>
      <c r="H1578" s="55" t="s">
        <v>27</v>
      </c>
      <c r="I1578" s="50">
        <v>58.248754310844475</v>
      </c>
      <c r="J1578" t="e">
        <f t="shared" si="70"/>
        <v>#VALUE!</v>
      </c>
      <c r="K1578" s="208" t="s">
        <v>207</v>
      </c>
      <c r="L1578" s="208" t="e">
        <f t="shared" si="72"/>
        <v>#VALUE!</v>
      </c>
    </row>
    <row r="1579" spans="1:12" ht="12.75" customHeight="1" x14ac:dyDescent="0.15">
      <c r="A1579" s="126">
        <v>117</v>
      </c>
      <c r="B1579" s="25" t="s">
        <v>106</v>
      </c>
      <c r="C1579" s="39" t="s">
        <v>27</v>
      </c>
      <c r="D1579" s="50" t="s">
        <v>27</v>
      </c>
      <c r="E1579" s="28" t="s">
        <v>27</v>
      </c>
      <c r="F1579" s="51" t="s">
        <v>27</v>
      </c>
      <c r="G1579" s="28" t="s">
        <v>27</v>
      </c>
      <c r="H1579" s="55" t="s">
        <v>27</v>
      </c>
      <c r="I1579" s="50">
        <v>61.378396839106351</v>
      </c>
      <c r="J1579" t="e">
        <f t="shared" si="70"/>
        <v>#VALUE!</v>
      </c>
      <c r="K1579" s="208" t="s">
        <v>207</v>
      </c>
      <c r="L1579" s="208" t="e">
        <f t="shared" si="72"/>
        <v>#VALUE!</v>
      </c>
    </row>
    <row r="1580" spans="1:12" ht="12.75" customHeight="1" x14ac:dyDescent="0.15">
      <c r="A1580" s="126">
        <v>118</v>
      </c>
      <c r="B1580" s="25" t="s">
        <v>107</v>
      </c>
      <c r="C1580" s="39" t="s">
        <v>27</v>
      </c>
      <c r="D1580" s="50" t="s">
        <v>27</v>
      </c>
      <c r="E1580" s="28" t="s">
        <v>27</v>
      </c>
      <c r="F1580" s="51" t="s">
        <v>27</v>
      </c>
      <c r="G1580" s="28" t="s">
        <v>27</v>
      </c>
      <c r="H1580" s="55" t="s">
        <v>27</v>
      </c>
      <c r="I1580" s="50">
        <v>59.428621547056991</v>
      </c>
      <c r="J1580" t="e">
        <f t="shared" si="70"/>
        <v>#VALUE!</v>
      </c>
      <c r="K1580" s="208" t="s">
        <v>207</v>
      </c>
      <c r="L1580" s="208" t="e">
        <f t="shared" si="72"/>
        <v>#VALUE!</v>
      </c>
    </row>
    <row r="1581" spans="1:12" ht="12.75" customHeight="1" x14ac:dyDescent="0.15">
      <c r="A1581" s="126">
        <v>119</v>
      </c>
      <c r="B1581" s="25" t="s">
        <v>108</v>
      </c>
      <c r="C1581" s="39" t="s">
        <v>27</v>
      </c>
      <c r="D1581" s="50" t="s">
        <v>27</v>
      </c>
      <c r="E1581" s="28" t="s">
        <v>27</v>
      </c>
      <c r="F1581" s="51" t="s">
        <v>27</v>
      </c>
      <c r="G1581" s="28" t="s">
        <v>27</v>
      </c>
      <c r="H1581" s="55" t="s">
        <v>27</v>
      </c>
      <c r="I1581" s="50">
        <v>59.93522948004108</v>
      </c>
      <c r="J1581" t="e">
        <f t="shared" si="70"/>
        <v>#VALUE!</v>
      </c>
      <c r="K1581" s="208" t="s">
        <v>207</v>
      </c>
      <c r="L1581" s="208" t="e">
        <f t="shared" si="72"/>
        <v>#VALUE!</v>
      </c>
    </row>
    <row r="1582" spans="1:12" ht="12.75" customHeight="1" x14ac:dyDescent="0.15">
      <c r="A1582" s="126">
        <v>120</v>
      </c>
      <c r="B1582" s="25" t="s">
        <v>109</v>
      </c>
      <c r="C1582" s="39" t="s">
        <v>27</v>
      </c>
      <c r="D1582" s="50" t="s">
        <v>27</v>
      </c>
      <c r="E1582" s="28" t="s">
        <v>27</v>
      </c>
      <c r="F1582" s="51" t="s">
        <v>27</v>
      </c>
      <c r="G1582" s="28" t="s">
        <v>27</v>
      </c>
      <c r="H1582" s="55" t="s">
        <v>27</v>
      </c>
      <c r="I1582" s="50">
        <v>59.554015054556189</v>
      </c>
      <c r="J1582" t="e">
        <f t="shared" si="70"/>
        <v>#VALUE!</v>
      </c>
      <c r="K1582" s="208" t="s">
        <v>207</v>
      </c>
      <c r="L1582" s="208" t="e">
        <f t="shared" si="72"/>
        <v>#VALUE!</v>
      </c>
    </row>
    <row r="1583" spans="1:12" ht="12.75" customHeight="1" x14ac:dyDescent="0.15">
      <c r="A1583" s="126">
        <v>121</v>
      </c>
      <c r="B1583" s="25" t="s">
        <v>110</v>
      </c>
      <c r="C1583" s="39" t="s">
        <v>27</v>
      </c>
      <c r="D1583" s="50" t="s">
        <v>27</v>
      </c>
      <c r="E1583" s="28" t="s">
        <v>27</v>
      </c>
      <c r="F1583" s="51" t="s">
        <v>27</v>
      </c>
      <c r="G1583" s="28" t="s">
        <v>27</v>
      </c>
      <c r="H1583" s="55" t="s">
        <v>27</v>
      </c>
      <c r="I1583" s="50">
        <v>63.662097994377888</v>
      </c>
      <c r="J1583" t="e">
        <f t="shared" si="70"/>
        <v>#VALUE!</v>
      </c>
      <c r="K1583" s="208" t="s">
        <v>207</v>
      </c>
      <c r="L1583" s="208" t="e">
        <f t="shared" si="72"/>
        <v>#VALUE!</v>
      </c>
    </row>
    <row r="1584" spans="1:12" ht="12.75" customHeight="1" x14ac:dyDescent="0.15">
      <c r="A1584" s="126">
        <v>122</v>
      </c>
      <c r="B1584" s="25" t="s">
        <v>111</v>
      </c>
      <c r="C1584" s="39" t="s">
        <v>27</v>
      </c>
      <c r="D1584" s="50" t="s">
        <v>27</v>
      </c>
      <c r="E1584" s="28" t="s">
        <v>27</v>
      </c>
      <c r="F1584" s="51" t="s">
        <v>27</v>
      </c>
      <c r="G1584" s="28" t="s">
        <v>27</v>
      </c>
      <c r="H1584" s="55" t="s">
        <v>27</v>
      </c>
      <c r="I1584" s="50">
        <v>64.808927823086563</v>
      </c>
      <c r="J1584" t="e">
        <f t="shared" si="70"/>
        <v>#VALUE!</v>
      </c>
      <c r="K1584" s="208" t="s">
        <v>207</v>
      </c>
      <c r="L1584" s="208" t="e">
        <f t="shared" si="72"/>
        <v>#VALUE!</v>
      </c>
    </row>
    <row r="1585" spans="1:12" ht="12.75" customHeight="1" x14ac:dyDescent="0.15">
      <c r="A1585" s="126">
        <v>123</v>
      </c>
      <c r="B1585" s="25" t="s">
        <v>112</v>
      </c>
      <c r="C1585" s="39" t="s">
        <v>27</v>
      </c>
      <c r="D1585" s="50" t="s">
        <v>27</v>
      </c>
      <c r="E1585" s="28" t="s">
        <v>27</v>
      </c>
      <c r="F1585" s="51" t="s">
        <v>27</v>
      </c>
      <c r="G1585" s="28" t="s">
        <v>27</v>
      </c>
      <c r="H1585" s="55" t="s">
        <v>27</v>
      </c>
      <c r="I1585" s="50">
        <v>63.177905111294947</v>
      </c>
      <c r="J1585" t="e">
        <f t="shared" si="70"/>
        <v>#VALUE!</v>
      </c>
      <c r="K1585" s="208" t="s">
        <v>207</v>
      </c>
      <c r="L1585" s="208" t="e">
        <f t="shared" si="72"/>
        <v>#VALUE!</v>
      </c>
    </row>
    <row r="1586" spans="1:12" ht="12.75" customHeight="1" x14ac:dyDescent="0.15">
      <c r="A1586" s="126">
        <v>124</v>
      </c>
      <c r="B1586" s="25" t="s">
        <v>113</v>
      </c>
      <c r="C1586" s="39">
        <v>26.046666666666667</v>
      </c>
      <c r="D1586" s="50">
        <v>9.0475433333330635E-2</v>
      </c>
      <c r="E1586" s="28">
        <v>0.15484146436429383</v>
      </c>
      <c r="F1586" s="51">
        <v>0.11454291099476444</v>
      </c>
      <c r="G1586" s="28">
        <v>3.0660587053582739E-2</v>
      </c>
      <c r="H1586" s="55" t="s">
        <v>27</v>
      </c>
      <c r="I1586" s="50">
        <v>57.515285421219353</v>
      </c>
      <c r="J1586">
        <f t="shared" si="70"/>
        <v>9.4384057390021564E-2</v>
      </c>
      <c r="K1586" s="225" t="s">
        <v>208</v>
      </c>
      <c r="L1586" s="225" t="e">
        <f>J1574</f>
        <v>#VALUE!</v>
      </c>
    </row>
    <row r="1587" spans="1:12" ht="12.75" customHeight="1" x14ac:dyDescent="0.15">
      <c r="A1587" s="126">
        <v>125</v>
      </c>
      <c r="B1587" s="25" t="s">
        <v>114</v>
      </c>
      <c r="C1587" s="39">
        <v>26.043333333333333</v>
      </c>
      <c r="D1587" s="50">
        <v>9.4538766666667051E-2</v>
      </c>
      <c r="E1587" s="28">
        <v>0.16455364500694106</v>
      </c>
      <c r="F1587" s="51">
        <v>0.12150691119691115</v>
      </c>
      <c r="G1587" s="28">
        <v>3.3039377059750213E-2</v>
      </c>
      <c r="H1587" s="55" t="s">
        <v>27</v>
      </c>
      <c r="I1587" s="50">
        <v>56.531876479473389</v>
      </c>
      <c r="J1587">
        <f t="shared" si="70"/>
        <v>0.10033854089488137</v>
      </c>
      <c r="K1587" s="208" t="s">
        <v>208</v>
      </c>
      <c r="L1587" s="208" t="e">
        <f t="shared" ref="L1587:L1597" si="73">J1575</f>
        <v>#VALUE!</v>
      </c>
    </row>
    <row r="1588" spans="1:12" ht="12.75" customHeight="1" x14ac:dyDescent="0.15">
      <c r="A1588" s="126">
        <v>126</v>
      </c>
      <c r="B1588" s="25" t="s">
        <v>115</v>
      </c>
      <c r="C1588" s="39">
        <v>26.036666666666669</v>
      </c>
      <c r="D1588" s="50">
        <v>8.3678133333332738E-2</v>
      </c>
      <c r="E1588" s="28">
        <v>0.15818069032989382</v>
      </c>
      <c r="F1588" s="51">
        <v>0.10923667450058749</v>
      </c>
      <c r="G1588" s="28">
        <v>3.1986634638299413E-2</v>
      </c>
      <c r="H1588" s="55" t="s">
        <v>27</v>
      </c>
      <c r="I1588" s="50">
        <v>52.028434852631598</v>
      </c>
      <c r="J1588">
        <f t="shared" si="70"/>
        <v>9.6498924371276135E-2</v>
      </c>
      <c r="K1588" s="208" t="s">
        <v>208</v>
      </c>
      <c r="L1588" s="208" t="e">
        <f t="shared" si="73"/>
        <v>#VALUE!</v>
      </c>
    </row>
    <row r="1589" spans="1:12" ht="12.75" customHeight="1" x14ac:dyDescent="0.15">
      <c r="A1589" s="126">
        <v>127</v>
      </c>
      <c r="B1589" s="25" t="s">
        <v>116</v>
      </c>
      <c r="C1589" s="39">
        <v>26.026666666666667</v>
      </c>
      <c r="D1589" s="50">
        <v>0.11290033333332961</v>
      </c>
      <c r="E1589" s="28">
        <v>0.20116681838758868</v>
      </c>
      <c r="F1589" s="51">
        <v>0.15045485849056606</v>
      </c>
      <c r="G1589" s="28">
        <v>4.1765920567682517E-2</v>
      </c>
      <c r="H1589" s="55" t="s">
        <v>27</v>
      </c>
      <c r="I1589" s="50">
        <v>55.180376519706869</v>
      </c>
      <c r="J1589">
        <f t="shared" si="70"/>
        <v>0.12276139503289786</v>
      </c>
      <c r="K1589" s="208" t="s">
        <v>208</v>
      </c>
      <c r="L1589" s="208" t="e">
        <f t="shared" si="73"/>
        <v>#VALUE!</v>
      </c>
    </row>
    <row r="1590" spans="1:12" ht="12.75" customHeight="1" x14ac:dyDescent="0.15">
      <c r="A1590" s="126">
        <v>128</v>
      </c>
      <c r="B1590" s="25" t="s">
        <v>117</v>
      </c>
      <c r="C1590" s="39">
        <v>26.026666666666667</v>
      </c>
      <c r="D1590" s="50">
        <v>0.11634833333333239</v>
      </c>
      <c r="E1590" s="28">
        <v>0.19962343058244997</v>
      </c>
      <c r="F1590" s="51">
        <v>0.15713289299867894</v>
      </c>
      <c r="G1590" s="28">
        <v>4.2252531120822584E-2</v>
      </c>
      <c r="H1590" s="55" t="s">
        <v>27</v>
      </c>
      <c r="I1590" s="50">
        <v>57.321218836632454</v>
      </c>
      <c r="J1590">
        <f t="shared" si="70"/>
        <v>0.12178561694397602</v>
      </c>
      <c r="K1590" s="208" t="s">
        <v>208</v>
      </c>
      <c r="L1590" s="208" t="e">
        <f t="shared" si="73"/>
        <v>#VALUE!</v>
      </c>
    </row>
    <row r="1591" spans="1:12" ht="12.75" customHeight="1" x14ac:dyDescent="0.15">
      <c r="A1591" s="126">
        <v>129</v>
      </c>
      <c r="B1591" s="25" t="s">
        <v>2</v>
      </c>
      <c r="C1591" s="39">
        <v>26.023333333333333</v>
      </c>
      <c r="D1591" s="50">
        <v>9.3182900000002178E-2</v>
      </c>
      <c r="E1591" s="28">
        <v>0.19199219712611124</v>
      </c>
      <c r="F1591" s="51">
        <v>0.12445525934861279</v>
      </c>
      <c r="G1591" s="28">
        <v>3.9502080262029796E-2</v>
      </c>
      <c r="H1591" s="55" t="s">
        <v>27</v>
      </c>
      <c r="I1591" s="50">
        <v>47.724144799753816</v>
      </c>
      <c r="J1591">
        <f t="shared" si="70"/>
        <v>0.11715189498857131</v>
      </c>
      <c r="K1591" s="208" t="s">
        <v>208</v>
      </c>
      <c r="L1591" s="208" t="e">
        <f t="shared" si="73"/>
        <v>#VALUE!</v>
      </c>
    </row>
    <row r="1592" spans="1:12" ht="12.75" customHeight="1" x14ac:dyDescent="0.15">
      <c r="A1592" s="126">
        <v>130</v>
      </c>
      <c r="B1592" s="25" t="s">
        <v>118</v>
      </c>
      <c r="C1592" s="39">
        <v>26.026666666666667</v>
      </c>
      <c r="D1592" s="50">
        <v>9.5138033333332039E-2</v>
      </c>
      <c r="E1592" s="28">
        <v>0.18088798477884169</v>
      </c>
      <c r="F1592" s="51">
        <v>0.12483934249263984</v>
      </c>
      <c r="G1592" s="28">
        <v>3.6767537008662782E-2</v>
      </c>
      <c r="H1592" s="55" t="s">
        <v>27</v>
      </c>
      <c r="I1592" s="50">
        <v>51.717306669682266</v>
      </c>
      <c r="J1592">
        <f t="shared" si="70"/>
        <v>0.11037469596896532</v>
      </c>
      <c r="K1592" s="208" t="s">
        <v>208</v>
      </c>
      <c r="L1592" s="208" t="e">
        <f t="shared" si="73"/>
        <v>#VALUE!</v>
      </c>
    </row>
    <row r="1593" spans="1:12" ht="12.75" customHeight="1" x14ac:dyDescent="0.15">
      <c r="A1593" s="126">
        <v>131</v>
      </c>
      <c r="B1593" s="25" t="s">
        <v>119</v>
      </c>
      <c r="C1593" s="39">
        <v>26.023333333333333</v>
      </c>
      <c r="D1593" s="50">
        <v>9.0000033333335061E-2</v>
      </c>
      <c r="E1593" s="28">
        <v>0.18502570108485947</v>
      </c>
      <c r="F1593" s="51">
        <v>0.12006233295583235</v>
      </c>
      <c r="G1593" s="28">
        <v>3.7932314145801616E-2</v>
      </c>
      <c r="H1593" s="55" t="s">
        <v>27</v>
      </c>
      <c r="I1593" s="50">
        <v>47.821912068194067</v>
      </c>
      <c r="J1593">
        <f t="shared" si="70"/>
        <v>0.11291898977815229</v>
      </c>
      <c r="K1593" s="208" t="s">
        <v>208</v>
      </c>
      <c r="L1593" s="208" t="e">
        <f t="shared" si="73"/>
        <v>#VALUE!</v>
      </c>
    </row>
    <row r="1594" spans="1:12" ht="12.75" customHeight="1" x14ac:dyDescent="0.15">
      <c r="A1594" s="126">
        <v>132</v>
      </c>
      <c r="B1594" s="25" t="s">
        <v>120</v>
      </c>
      <c r="C1594" s="39">
        <v>26.016666666666669</v>
      </c>
      <c r="D1594" s="50">
        <v>0.10519993333333</v>
      </c>
      <c r="E1594" s="28">
        <v>0.18426827052741568</v>
      </c>
      <c r="F1594" s="51">
        <v>0.13879219084712746</v>
      </c>
      <c r="G1594" s="28">
        <v>3.7874460229080489E-2</v>
      </c>
      <c r="H1594" s="55" t="s">
        <v>27</v>
      </c>
      <c r="I1594" s="50">
        <v>56.152897415161078</v>
      </c>
      <c r="J1594">
        <f t="shared" si="70"/>
        <v>0.11240730737957583</v>
      </c>
      <c r="K1594" s="208" t="s">
        <v>208</v>
      </c>
      <c r="L1594" s="208" t="e">
        <f t="shared" si="73"/>
        <v>#VALUE!</v>
      </c>
    </row>
    <row r="1595" spans="1:12" s="216" customFormat="1" ht="12.75" customHeight="1" x14ac:dyDescent="0.15">
      <c r="A1595" s="209">
        <v>133</v>
      </c>
      <c r="B1595" s="210" t="s">
        <v>121</v>
      </c>
      <c r="C1595" s="211">
        <v>26.273333333333333</v>
      </c>
      <c r="D1595" s="212">
        <v>1.2599333333336293E-3</v>
      </c>
      <c r="E1595" s="213">
        <v>2.0092319936281227E-3</v>
      </c>
      <c r="F1595" s="214">
        <v>2.0924637681160041E-3</v>
      </c>
      <c r="G1595" s="213">
        <v>5.2609134397329485E-4</v>
      </c>
      <c r="H1595" s="215" t="s">
        <v>27</v>
      </c>
      <c r="I1595" s="212">
        <v>61.928488706995253</v>
      </c>
      <c r="J1595" s="216">
        <f t="shared" si="70"/>
        <v>1.2206982856902604E-3</v>
      </c>
      <c r="K1595" s="216" t="s">
        <v>208</v>
      </c>
      <c r="L1595" s="216" t="e">
        <f t="shared" si="73"/>
        <v>#VALUE!</v>
      </c>
    </row>
    <row r="1596" spans="1:12" s="216" customFormat="1" ht="12.75" customHeight="1" x14ac:dyDescent="0.15">
      <c r="A1596" s="209">
        <v>134</v>
      </c>
      <c r="B1596" s="210" t="s">
        <v>122</v>
      </c>
      <c r="C1596" s="211" t="s">
        <v>27</v>
      </c>
      <c r="D1596" s="212" t="s">
        <v>27</v>
      </c>
      <c r="E1596" s="213" t="s">
        <v>27</v>
      </c>
      <c r="F1596" s="214" t="s">
        <v>27</v>
      </c>
      <c r="G1596" s="213" t="s">
        <v>27</v>
      </c>
      <c r="H1596" s="215" t="s">
        <v>27</v>
      </c>
      <c r="I1596" s="212">
        <v>61.817186380277789</v>
      </c>
      <c r="J1596" s="216" t="e">
        <f t="shared" si="70"/>
        <v>#VALUE!</v>
      </c>
      <c r="K1596" s="216" t="s">
        <v>208</v>
      </c>
      <c r="L1596" s="216" t="e">
        <f t="shared" si="73"/>
        <v>#VALUE!</v>
      </c>
    </row>
    <row r="1597" spans="1:12" s="216" customFormat="1" ht="12.75" customHeight="1" x14ac:dyDescent="0.15">
      <c r="A1597" s="209">
        <v>135</v>
      </c>
      <c r="B1597" s="210" t="s">
        <v>123</v>
      </c>
      <c r="C1597" s="211" t="s">
        <v>27</v>
      </c>
      <c r="D1597" s="212" t="s">
        <v>27</v>
      </c>
      <c r="E1597" s="213" t="s">
        <v>27</v>
      </c>
      <c r="F1597" s="214" t="s">
        <v>27</v>
      </c>
      <c r="G1597" s="213" t="s">
        <v>27</v>
      </c>
      <c r="H1597" s="215" t="s">
        <v>27</v>
      </c>
      <c r="I1597" s="212">
        <v>61.506300755140082</v>
      </c>
      <c r="J1597" s="216" t="e">
        <f t="shared" si="70"/>
        <v>#VALUE!</v>
      </c>
      <c r="K1597" s="216" t="s">
        <v>208</v>
      </c>
      <c r="L1597" s="216" t="e">
        <f t="shared" si="73"/>
        <v>#VALUE!</v>
      </c>
    </row>
    <row r="1598" spans="1:12" ht="12.75" customHeight="1" x14ac:dyDescent="0.15">
      <c r="A1598" s="126">
        <v>136</v>
      </c>
      <c r="B1598" s="25" t="s">
        <v>128</v>
      </c>
      <c r="C1598" s="39" t="s">
        <v>27</v>
      </c>
      <c r="D1598" s="50" t="s">
        <v>27</v>
      </c>
      <c r="E1598" s="28" t="s">
        <v>27</v>
      </c>
      <c r="F1598" s="51" t="s">
        <v>27</v>
      </c>
      <c r="G1598" s="28" t="s">
        <v>27</v>
      </c>
      <c r="H1598" s="55" t="s">
        <v>27</v>
      </c>
      <c r="I1598" s="221">
        <v>62.452611142238979</v>
      </c>
      <c r="J1598" s="225" t="e">
        <f t="shared" si="70"/>
        <v>#VALUE!</v>
      </c>
      <c r="K1598" s="225" t="s">
        <v>209</v>
      </c>
      <c r="L1598" s="225" t="e">
        <f>J1610</f>
        <v>#VALUE!</v>
      </c>
    </row>
    <row r="1599" spans="1:12" ht="12.75" customHeight="1" x14ac:dyDescent="0.15">
      <c r="A1599" s="126">
        <v>137</v>
      </c>
      <c r="B1599" s="25" t="s">
        <v>90</v>
      </c>
      <c r="C1599" s="39" t="s">
        <v>27</v>
      </c>
      <c r="D1599" s="50" t="s">
        <v>27</v>
      </c>
      <c r="E1599" s="28" t="s">
        <v>27</v>
      </c>
      <c r="F1599" s="51" t="s">
        <v>27</v>
      </c>
      <c r="G1599" s="28" t="s">
        <v>27</v>
      </c>
      <c r="H1599" s="55" t="s">
        <v>27</v>
      </c>
      <c r="I1599" s="50">
        <v>63.212295928689542</v>
      </c>
      <c r="J1599" t="e">
        <f t="shared" si="70"/>
        <v>#VALUE!</v>
      </c>
      <c r="K1599" s="208" t="s">
        <v>209</v>
      </c>
      <c r="L1599" s="208" t="e">
        <f t="shared" ref="L1599:L1609" si="74">J1611</f>
        <v>#VALUE!</v>
      </c>
    </row>
    <row r="1600" spans="1:12" ht="12.75" customHeight="1" x14ac:dyDescent="0.15">
      <c r="A1600" s="126">
        <v>138</v>
      </c>
      <c r="B1600" s="25" t="s">
        <v>91</v>
      </c>
      <c r="C1600" s="39" t="s">
        <v>27</v>
      </c>
      <c r="D1600" s="50" t="s">
        <v>27</v>
      </c>
      <c r="E1600" s="28" t="s">
        <v>27</v>
      </c>
      <c r="F1600" s="51" t="s">
        <v>27</v>
      </c>
      <c r="G1600" s="28" t="s">
        <v>27</v>
      </c>
      <c r="H1600" s="55" t="s">
        <v>27</v>
      </c>
      <c r="I1600" s="50">
        <v>63.296025119791629</v>
      </c>
      <c r="J1600" t="e">
        <f t="shared" si="70"/>
        <v>#VALUE!</v>
      </c>
      <c r="K1600" s="208" t="s">
        <v>209</v>
      </c>
      <c r="L1600" s="208" t="e">
        <f t="shared" si="74"/>
        <v>#VALUE!</v>
      </c>
    </row>
    <row r="1601" spans="1:12" ht="12.75" customHeight="1" x14ac:dyDescent="0.15">
      <c r="A1601" s="126">
        <v>139</v>
      </c>
      <c r="B1601" s="25" t="s">
        <v>92</v>
      </c>
      <c r="C1601" s="39" t="s">
        <v>27</v>
      </c>
      <c r="D1601" s="50" t="s">
        <v>27</v>
      </c>
      <c r="E1601" s="28" t="s">
        <v>27</v>
      </c>
      <c r="F1601" s="51" t="s">
        <v>27</v>
      </c>
      <c r="G1601" s="28" t="s">
        <v>27</v>
      </c>
      <c r="H1601" s="55" t="s">
        <v>27</v>
      </c>
      <c r="I1601" s="50">
        <v>62.536778717597343</v>
      </c>
      <c r="J1601" t="e">
        <f t="shared" si="70"/>
        <v>#VALUE!</v>
      </c>
      <c r="K1601" s="208" t="s">
        <v>209</v>
      </c>
      <c r="L1601" s="208" t="e">
        <f t="shared" si="74"/>
        <v>#VALUE!</v>
      </c>
    </row>
    <row r="1602" spans="1:12" ht="12.75" customHeight="1" x14ac:dyDescent="0.15">
      <c r="A1602" s="126">
        <v>140</v>
      </c>
      <c r="B1602" s="25" t="s">
        <v>93</v>
      </c>
      <c r="C1602" s="39" t="s">
        <v>27</v>
      </c>
      <c r="D1602" s="50" t="s">
        <v>27</v>
      </c>
      <c r="E1602" s="28" t="s">
        <v>27</v>
      </c>
      <c r="F1602" s="51" t="s">
        <v>27</v>
      </c>
      <c r="G1602" s="28" t="s">
        <v>27</v>
      </c>
      <c r="H1602" s="55" t="s">
        <v>27</v>
      </c>
      <c r="I1602" s="50">
        <v>62.533235392600837</v>
      </c>
      <c r="J1602" t="e">
        <f t="shared" si="70"/>
        <v>#VALUE!</v>
      </c>
      <c r="K1602" s="208" t="s">
        <v>209</v>
      </c>
      <c r="L1602" s="208" t="e">
        <f t="shared" si="74"/>
        <v>#VALUE!</v>
      </c>
    </row>
    <row r="1603" spans="1:12" ht="12.75" customHeight="1" x14ac:dyDescent="0.15">
      <c r="A1603" s="126">
        <v>141</v>
      </c>
      <c r="B1603" s="25" t="s">
        <v>94</v>
      </c>
      <c r="C1603" s="39" t="s">
        <v>27</v>
      </c>
      <c r="D1603" s="50" t="s">
        <v>27</v>
      </c>
      <c r="E1603" s="28" t="s">
        <v>27</v>
      </c>
      <c r="F1603" s="51" t="s">
        <v>27</v>
      </c>
      <c r="G1603" s="28" t="s">
        <v>27</v>
      </c>
      <c r="H1603" s="55" t="s">
        <v>27</v>
      </c>
      <c r="I1603" s="50">
        <v>63.703504317346187</v>
      </c>
      <c r="J1603" t="e">
        <f t="shared" si="70"/>
        <v>#VALUE!</v>
      </c>
      <c r="K1603" s="208" t="s">
        <v>209</v>
      </c>
      <c r="L1603" s="208" t="e">
        <f t="shared" si="74"/>
        <v>#VALUE!</v>
      </c>
    </row>
    <row r="1604" spans="1:12" ht="12.75" customHeight="1" x14ac:dyDescent="0.15">
      <c r="A1604" s="126">
        <v>142</v>
      </c>
      <c r="B1604" s="25" t="s">
        <v>95</v>
      </c>
      <c r="C1604" s="39" t="s">
        <v>27</v>
      </c>
      <c r="D1604" s="50" t="s">
        <v>27</v>
      </c>
      <c r="E1604" s="28" t="s">
        <v>27</v>
      </c>
      <c r="F1604" s="51" t="s">
        <v>27</v>
      </c>
      <c r="G1604" s="28" t="s">
        <v>27</v>
      </c>
      <c r="H1604" s="55" t="s">
        <v>27</v>
      </c>
      <c r="I1604" s="50">
        <v>62.918978902955701</v>
      </c>
      <c r="J1604" t="e">
        <f t="shared" si="70"/>
        <v>#VALUE!</v>
      </c>
      <c r="K1604" s="208" t="s">
        <v>209</v>
      </c>
      <c r="L1604" s="208" t="e">
        <f t="shared" si="74"/>
        <v>#VALUE!</v>
      </c>
    </row>
    <row r="1605" spans="1:12" ht="12.75" customHeight="1" x14ac:dyDescent="0.15">
      <c r="A1605" s="126">
        <v>143</v>
      </c>
      <c r="B1605" s="25" t="s">
        <v>96</v>
      </c>
      <c r="C1605" s="39" t="s">
        <v>27</v>
      </c>
      <c r="D1605" s="50" t="s">
        <v>27</v>
      </c>
      <c r="E1605" s="28" t="s">
        <v>27</v>
      </c>
      <c r="F1605" s="51" t="s">
        <v>27</v>
      </c>
      <c r="G1605" s="28" t="s">
        <v>27</v>
      </c>
      <c r="H1605" s="55" t="s">
        <v>27</v>
      </c>
      <c r="I1605" s="50">
        <v>63.33073680691038</v>
      </c>
      <c r="J1605" t="e">
        <f t="shared" si="70"/>
        <v>#VALUE!</v>
      </c>
      <c r="K1605" s="208" t="s">
        <v>209</v>
      </c>
      <c r="L1605" s="208" t="e">
        <f t="shared" si="74"/>
        <v>#VALUE!</v>
      </c>
    </row>
    <row r="1606" spans="1:12" ht="12.75" customHeight="1" x14ac:dyDescent="0.15">
      <c r="A1606" s="126">
        <v>144</v>
      </c>
      <c r="B1606" s="25" t="s">
        <v>97</v>
      </c>
      <c r="C1606" s="39" t="s">
        <v>27</v>
      </c>
      <c r="D1606" s="50" t="s">
        <v>27</v>
      </c>
      <c r="E1606" s="28" t="s">
        <v>27</v>
      </c>
      <c r="F1606" s="51" t="s">
        <v>27</v>
      </c>
      <c r="G1606" s="28" t="s">
        <v>27</v>
      </c>
      <c r="H1606" s="55" t="s">
        <v>27</v>
      </c>
      <c r="I1606" s="50">
        <v>64.228154255088214</v>
      </c>
      <c r="J1606" t="e">
        <f t="shared" si="70"/>
        <v>#VALUE!</v>
      </c>
      <c r="K1606" s="208" t="s">
        <v>209</v>
      </c>
      <c r="L1606" s="208" t="e">
        <f t="shared" si="74"/>
        <v>#VALUE!</v>
      </c>
    </row>
    <row r="1607" spans="1:12" ht="12.75" customHeight="1" x14ac:dyDescent="0.15">
      <c r="A1607" s="126">
        <v>145</v>
      </c>
      <c r="B1607" s="25" t="s">
        <v>98</v>
      </c>
      <c r="C1607" s="39" t="s">
        <v>27</v>
      </c>
      <c r="D1607" s="50" t="s">
        <v>27</v>
      </c>
      <c r="E1607" s="28" t="s">
        <v>27</v>
      </c>
      <c r="F1607" s="51" t="s">
        <v>27</v>
      </c>
      <c r="G1607" s="28" t="s">
        <v>27</v>
      </c>
      <c r="H1607" s="55" t="s">
        <v>27</v>
      </c>
      <c r="I1607" s="50">
        <v>60.725100620701795</v>
      </c>
      <c r="J1607" t="e">
        <f t="shared" si="70"/>
        <v>#VALUE!</v>
      </c>
      <c r="K1607" s="208" t="s">
        <v>209</v>
      </c>
      <c r="L1607" s="208" t="e">
        <f t="shared" si="74"/>
        <v>#VALUE!</v>
      </c>
    </row>
    <row r="1608" spans="1:12" ht="12.75" customHeight="1" x14ac:dyDescent="0.15">
      <c r="A1608" s="126">
        <v>146</v>
      </c>
      <c r="B1608" s="25" t="s">
        <v>99</v>
      </c>
      <c r="C1608" s="39" t="s">
        <v>27</v>
      </c>
      <c r="D1608" s="50" t="s">
        <v>27</v>
      </c>
      <c r="E1608" s="28" t="s">
        <v>27</v>
      </c>
      <c r="F1608" s="51" t="s">
        <v>27</v>
      </c>
      <c r="G1608" s="28" t="s">
        <v>27</v>
      </c>
      <c r="H1608" s="55" t="s">
        <v>27</v>
      </c>
      <c r="I1608" s="50">
        <v>58.665275300961554</v>
      </c>
      <c r="J1608" t="e">
        <f t="shared" si="70"/>
        <v>#VALUE!</v>
      </c>
      <c r="K1608" s="208" t="s">
        <v>209</v>
      </c>
      <c r="L1608" s="208" t="e">
        <f t="shared" si="74"/>
        <v>#VALUE!</v>
      </c>
    </row>
    <row r="1609" spans="1:12" ht="12.75" customHeight="1" x14ac:dyDescent="0.15">
      <c r="A1609" s="126">
        <v>147</v>
      </c>
      <c r="B1609" s="25" t="s">
        <v>100</v>
      </c>
      <c r="C1609" s="39" t="s">
        <v>27</v>
      </c>
      <c r="D1609" s="50" t="s">
        <v>27</v>
      </c>
      <c r="E1609" s="28" t="s">
        <v>27</v>
      </c>
      <c r="F1609" s="51" t="s">
        <v>27</v>
      </c>
      <c r="G1609" s="28" t="s">
        <v>27</v>
      </c>
      <c r="H1609" s="55" t="s">
        <v>27</v>
      </c>
      <c r="I1609" s="50">
        <v>59.136328261652118</v>
      </c>
      <c r="J1609" t="e">
        <f t="shared" si="70"/>
        <v>#VALUE!</v>
      </c>
      <c r="K1609" s="208" t="s">
        <v>209</v>
      </c>
      <c r="L1609" s="208" t="e">
        <f t="shared" si="74"/>
        <v>#VALUE!</v>
      </c>
    </row>
    <row r="1610" spans="1:12" ht="12.75" customHeight="1" x14ac:dyDescent="0.15">
      <c r="A1610" s="126">
        <v>148</v>
      </c>
      <c r="B1610" s="25" t="s">
        <v>101</v>
      </c>
      <c r="C1610" s="39" t="s">
        <v>27</v>
      </c>
      <c r="D1610" s="50" t="s">
        <v>27</v>
      </c>
      <c r="E1610" s="28" t="s">
        <v>27</v>
      </c>
      <c r="F1610" s="51" t="s">
        <v>27</v>
      </c>
      <c r="G1610" s="28" t="s">
        <v>27</v>
      </c>
      <c r="H1610" s="55" t="s">
        <v>27</v>
      </c>
      <c r="I1610" s="50">
        <v>58.987308156064685</v>
      </c>
      <c r="J1610" t="e">
        <f t="shared" si="70"/>
        <v>#VALUE!</v>
      </c>
      <c r="K1610" s="225" t="s">
        <v>210</v>
      </c>
      <c r="L1610" s="225">
        <f>J1586</f>
        <v>9.4384057390021564E-2</v>
      </c>
    </row>
    <row r="1611" spans="1:12" ht="12.75" customHeight="1" x14ac:dyDescent="0.15">
      <c r="A1611" s="126">
        <v>149</v>
      </c>
      <c r="B1611" s="25" t="s">
        <v>102</v>
      </c>
      <c r="C1611" s="39" t="s">
        <v>27</v>
      </c>
      <c r="D1611" s="50" t="s">
        <v>27</v>
      </c>
      <c r="E1611" s="28" t="s">
        <v>27</v>
      </c>
      <c r="F1611" s="51" t="s">
        <v>27</v>
      </c>
      <c r="G1611" s="28" t="s">
        <v>27</v>
      </c>
      <c r="H1611" s="55" t="s">
        <v>27</v>
      </c>
      <c r="I1611" s="50">
        <v>58.307825072524381</v>
      </c>
      <c r="J1611" t="e">
        <f t="shared" si="70"/>
        <v>#VALUE!</v>
      </c>
      <c r="K1611" s="208" t="s">
        <v>210</v>
      </c>
      <c r="L1611" s="208">
        <f t="shared" ref="L1611:L1621" si="75">J1587</f>
        <v>0.10033854089488137</v>
      </c>
    </row>
    <row r="1612" spans="1:12" ht="12.75" customHeight="1" x14ac:dyDescent="0.15">
      <c r="A1612" s="126">
        <v>150</v>
      </c>
      <c r="B1612" s="25" t="s">
        <v>103</v>
      </c>
      <c r="C1612" s="39" t="s">
        <v>27</v>
      </c>
      <c r="D1612" s="50" t="s">
        <v>27</v>
      </c>
      <c r="E1612" s="28" t="s">
        <v>27</v>
      </c>
      <c r="F1612" s="51" t="s">
        <v>27</v>
      </c>
      <c r="G1612" s="28" t="s">
        <v>27</v>
      </c>
      <c r="H1612" s="55" t="s">
        <v>27</v>
      </c>
      <c r="I1612" s="50">
        <v>59.194365860993422</v>
      </c>
      <c r="J1612" t="e">
        <f t="shared" si="70"/>
        <v>#VALUE!</v>
      </c>
      <c r="K1612" s="208" t="s">
        <v>210</v>
      </c>
      <c r="L1612" s="208">
        <f t="shared" si="75"/>
        <v>9.6498924371276135E-2</v>
      </c>
    </row>
    <row r="1613" spans="1:12" ht="12.75" customHeight="1" x14ac:dyDescent="0.15">
      <c r="A1613" s="126">
        <v>151</v>
      </c>
      <c r="B1613" s="25" t="s">
        <v>104</v>
      </c>
      <c r="C1613" s="39" t="s">
        <v>27</v>
      </c>
      <c r="D1613" s="50" t="s">
        <v>27</v>
      </c>
      <c r="E1613" s="28" t="s">
        <v>27</v>
      </c>
      <c r="F1613" s="51" t="s">
        <v>27</v>
      </c>
      <c r="G1613" s="28" t="s">
        <v>27</v>
      </c>
      <c r="H1613" s="55" t="s">
        <v>27</v>
      </c>
      <c r="I1613" s="50">
        <v>57.588613228815397</v>
      </c>
      <c r="J1613" t="e">
        <f t="shared" si="70"/>
        <v>#VALUE!</v>
      </c>
      <c r="K1613" s="208" t="s">
        <v>210</v>
      </c>
      <c r="L1613" s="208">
        <f t="shared" si="75"/>
        <v>0.12276139503289786</v>
      </c>
    </row>
    <row r="1614" spans="1:12" ht="12.75" customHeight="1" x14ac:dyDescent="0.15">
      <c r="A1614" s="126">
        <v>152</v>
      </c>
      <c r="B1614" s="25" t="s">
        <v>105</v>
      </c>
      <c r="C1614" s="39" t="s">
        <v>27</v>
      </c>
      <c r="D1614" s="50" t="s">
        <v>27</v>
      </c>
      <c r="E1614" s="28" t="s">
        <v>27</v>
      </c>
      <c r="F1614" s="51" t="s">
        <v>27</v>
      </c>
      <c r="G1614" s="28" t="s">
        <v>27</v>
      </c>
      <c r="H1614" s="55" t="s">
        <v>27</v>
      </c>
      <c r="I1614" s="50">
        <v>59.496575072296039</v>
      </c>
      <c r="J1614" t="e">
        <f t="shared" si="70"/>
        <v>#VALUE!</v>
      </c>
      <c r="K1614" s="208" t="s">
        <v>210</v>
      </c>
      <c r="L1614" s="208">
        <f t="shared" si="75"/>
        <v>0.12178561694397602</v>
      </c>
    </row>
    <row r="1615" spans="1:12" ht="12.75" customHeight="1" x14ac:dyDescent="0.15">
      <c r="A1615" s="126">
        <v>153</v>
      </c>
      <c r="B1615" s="25" t="s">
        <v>106</v>
      </c>
      <c r="C1615" s="39" t="s">
        <v>27</v>
      </c>
      <c r="D1615" s="50" t="s">
        <v>27</v>
      </c>
      <c r="E1615" s="28" t="s">
        <v>27</v>
      </c>
      <c r="F1615" s="51" t="s">
        <v>27</v>
      </c>
      <c r="G1615" s="28" t="s">
        <v>27</v>
      </c>
      <c r="H1615" s="55" t="s">
        <v>27</v>
      </c>
      <c r="I1615" s="50">
        <v>59.651266521774204</v>
      </c>
      <c r="J1615" t="e">
        <f t="shared" si="70"/>
        <v>#VALUE!</v>
      </c>
      <c r="K1615" s="208" t="s">
        <v>210</v>
      </c>
      <c r="L1615" s="208">
        <f t="shared" si="75"/>
        <v>0.11715189498857131</v>
      </c>
    </row>
    <row r="1616" spans="1:12" ht="12.75" customHeight="1" x14ac:dyDescent="0.15">
      <c r="A1616" s="126">
        <v>154</v>
      </c>
      <c r="B1616" s="25" t="s">
        <v>107</v>
      </c>
      <c r="C1616" s="39" t="s">
        <v>27</v>
      </c>
      <c r="D1616" s="50" t="s">
        <v>27</v>
      </c>
      <c r="E1616" s="28" t="s">
        <v>27</v>
      </c>
      <c r="F1616" s="51" t="s">
        <v>27</v>
      </c>
      <c r="G1616" s="28" t="s">
        <v>27</v>
      </c>
      <c r="H1616" s="55" t="s">
        <v>27</v>
      </c>
      <c r="I1616" s="50">
        <v>58.087827809045862</v>
      </c>
      <c r="J1616" t="e">
        <f t="shared" si="70"/>
        <v>#VALUE!</v>
      </c>
      <c r="K1616" s="208" t="s">
        <v>210</v>
      </c>
      <c r="L1616" s="208">
        <f t="shared" si="75"/>
        <v>0.11037469596896532</v>
      </c>
    </row>
    <row r="1617" spans="1:12" ht="12.75" customHeight="1" x14ac:dyDescent="0.15">
      <c r="A1617" s="126">
        <v>155</v>
      </c>
      <c r="B1617" s="25" t="s">
        <v>108</v>
      </c>
      <c r="C1617" s="39" t="s">
        <v>27</v>
      </c>
      <c r="D1617" s="50" t="s">
        <v>27</v>
      </c>
      <c r="E1617" s="28" t="s">
        <v>27</v>
      </c>
      <c r="F1617" s="51" t="s">
        <v>27</v>
      </c>
      <c r="G1617" s="28" t="s">
        <v>27</v>
      </c>
      <c r="H1617" s="55" t="s">
        <v>27</v>
      </c>
      <c r="I1617" s="50">
        <v>59.486293716104903</v>
      </c>
      <c r="J1617" t="e">
        <f t="shared" si="70"/>
        <v>#VALUE!</v>
      </c>
      <c r="K1617" s="208" t="s">
        <v>210</v>
      </c>
      <c r="L1617" s="208">
        <f t="shared" si="75"/>
        <v>0.11291898977815229</v>
      </c>
    </row>
    <row r="1618" spans="1:12" ht="12.75" customHeight="1" x14ac:dyDescent="0.15">
      <c r="A1618" s="126">
        <v>156</v>
      </c>
      <c r="B1618" s="25" t="s">
        <v>109</v>
      </c>
      <c r="C1618" s="39" t="s">
        <v>27</v>
      </c>
      <c r="D1618" s="50" t="s">
        <v>27</v>
      </c>
      <c r="E1618" s="28" t="s">
        <v>27</v>
      </c>
      <c r="F1618" s="51" t="s">
        <v>27</v>
      </c>
      <c r="G1618" s="28" t="s">
        <v>27</v>
      </c>
      <c r="H1618" s="55" t="s">
        <v>27</v>
      </c>
      <c r="I1618" s="50">
        <v>59.274260992564599</v>
      </c>
      <c r="J1618" t="e">
        <f t="shared" si="70"/>
        <v>#VALUE!</v>
      </c>
      <c r="K1618" s="208" t="s">
        <v>210</v>
      </c>
      <c r="L1618" s="208">
        <f t="shared" si="75"/>
        <v>0.11240730737957583</v>
      </c>
    </row>
    <row r="1619" spans="1:12" ht="12.75" customHeight="1" x14ac:dyDescent="0.15">
      <c r="A1619" s="126">
        <v>157</v>
      </c>
      <c r="B1619" s="25" t="s">
        <v>110</v>
      </c>
      <c r="C1619" s="39" t="s">
        <v>27</v>
      </c>
      <c r="D1619" s="50" t="s">
        <v>27</v>
      </c>
      <c r="E1619" s="28" t="s">
        <v>27</v>
      </c>
      <c r="F1619" s="51" t="s">
        <v>27</v>
      </c>
      <c r="G1619" s="28" t="s">
        <v>27</v>
      </c>
      <c r="H1619" s="55" t="s">
        <v>27</v>
      </c>
      <c r="I1619" s="50">
        <v>59.461116428486548</v>
      </c>
      <c r="J1619" t="e">
        <f t="shared" si="70"/>
        <v>#VALUE!</v>
      </c>
      <c r="K1619" s="208" t="s">
        <v>210</v>
      </c>
      <c r="L1619" s="208">
        <f t="shared" si="75"/>
        <v>1.2206982856902604E-3</v>
      </c>
    </row>
    <row r="1620" spans="1:12" ht="12.75" customHeight="1" x14ac:dyDescent="0.15">
      <c r="A1620" s="126">
        <v>158</v>
      </c>
      <c r="B1620" s="25" t="s">
        <v>111</v>
      </c>
      <c r="C1620" s="39" t="s">
        <v>27</v>
      </c>
      <c r="D1620" s="50" t="s">
        <v>27</v>
      </c>
      <c r="E1620" s="28" t="s">
        <v>27</v>
      </c>
      <c r="F1620" s="51" t="s">
        <v>27</v>
      </c>
      <c r="G1620" s="28" t="s">
        <v>27</v>
      </c>
      <c r="H1620" s="55" t="s">
        <v>27</v>
      </c>
      <c r="I1620" s="50">
        <v>61.469841244589908</v>
      </c>
      <c r="J1620" t="e">
        <f t="shared" si="70"/>
        <v>#VALUE!</v>
      </c>
      <c r="K1620" s="208" t="s">
        <v>210</v>
      </c>
      <c r="L1620" s="208" t="e">
        <f t="shared" si="75"/>
        <v>#VALUE!</v>
      </c>
    </row>
    <row r="1621" spans="1:12" ht="12.75" customHeight="1" x14ac:dyDescent="0.15">
      <c r="A1621" s="126">
        <v>159</v>
      </c>
      <c r="B1621" s="25" t="s">
        <v>112</v>
      </c>
      <c r="C1621" s="39" t="s">
        <v>27</v>
      </c>
      <c r="D1621" s="50" t="s">
        <v>27</v>
      </c>
      <c r="E1621" s="28" t="s">
        <v>27</v>
      </c>
      <c r="F1621" s="51" t="s">
        <v>27</v>
      </c>
      <c r="G1621" s="28" t="s">
        <v>27</v>
      </c>
      <c r="H1621" s="55" t="s">
        <v>27</v>
      </c>
      <c r="I1621" s="50">
        <v>60.970947925299335</v>
      </c>
      <c r="J1621" t="e">
        <f t="shared" si="70"/>
        <v>#VALUE!</v>
      </c>
      <c r="K1621" s="208" t="s">
        <v>210</v>
      </c>
      <c r="L1621" s="208" t="e">
        <f t="shared" si="75"/>
        <v>#VALUE!</v>
      </c>
    </row>
    <row r="1622" spans="1:12" ht="12.75" customHeight="1" x14ac:dyDescent="0.15">
      <c r="A1622" s="126">
        <v>160</v>
      </c>
      <c r="B1622" s="25" t="s">
        <v>113</v>
      </c>
      <c r="C1622" s="39">
        <v>26.03</v>
      </c>
      <c r="D1622" s="50">
        <v>9.0164266666663551E-2</v>
      </c>
      <c r="E1622" s="28">
        <v>0.16218026208108879</v>
      </c>
      <c r="F1622" s="51">
        <v>0.11990881856540081</v>
      </c>
      <c r="G1622" s="28">
        <v>3.3682982122765284E-2</v>
      </c>
      <c r="H1622" s="55" t="s">
        <v>27</v>
      </c>
      <c r="I1622" s="50">
        <v>54.520806399696767</v>
      </c>
      <c r="J1622">
        <f t="shared" si="70"/>
        <v>9.9225531631716685E-2</v>
      </c>
      <c r="K1622" s="225" t="s">
        <v>211</v>
      </c>
      <c r="L1622" s="225">
        <f>J1622</f>
        <v>9.9225531631716685E-2</v>
      </c>
    </row>
    <row r="1623" spans="1:12" ht="12.75" customHeight="1" x14ac:dyDescent="0.15">
      <c r="A1623" s="126">
        <v>161</v>
      </c>
      <c r="B1623" s="25" t="s">
        <v>114</v>
      </c>
      <c r="C1623" s="39">
        <v>26.023333333333333</v>
      </c>
      <c r="D1623" s="50">
        <v>7.3489399999999705E-2</v>
      </c>
      <c r="E1623" s="28">
        <v>0.16443703206210633</v>
      </c>
      <c r="F1623" s="51">
        <v>9.2911653290529639E-2</v>
      </c>
      <c r="G1623" s="28">
        <v>3.1779546358555906E-2</v>
      </c>
      <c r="H1623" s="55" t="s">
        <v>27</v>
      </c>
      <c r="I1623" s="50">
        <v>43.950901400527229</v>
      </c>
      <c r="J1623">
        <f t="shared" si="70"/>
        <v>0.1003247683094638</v>
      </c>
      <c r="K1623" s="208" t="s">
        <v>211</v>
      </c>
      <c r="L1623" s="208">
        <f t="shared" ref="L1623:L1627" si="76">J1623</f>
        <v>0.1003247683094638</v>
      </c>
    </row>
    <row r="1624" spans="1:12" ht="12.75" customHeight="1" x14ac:dyDescent="0.15">
      <c r="A1624" s="126">
        <v>162</v>
      </c>
      <c r="B1624" s="25" t="s">
        <v>115</v>
      </c>
      <c r="C1624" s="39">
        <v>26.03</v>
      </c>
      <c r="D1624" s="50">
        <v>8.6178149999998954E-2</v>
      </c>
      <c r="E1624" s="28">
        <v>0.15845245953218132</v>
      </c>
      <c r="F1624" s="51">
        <v>0.11441641148325354</v>
      </c>
      <c r="G1624" s="28">
        <v>3.2717621800263177E-2</v>
      </c>
      <c r="H1624" s="55" t="s">
        <v>27</v>
      </c>
      <c r="I1624" s="50">
        <v>53.485458857105151</v>
      </c>
      <c r="J1624">
        <f t="shared" si="70"/>
        <v>9.6674668414348824E-2</v>
      </c>
      <c r="K1624" s="208" t="s">
        <v>211</v>
      </c>
      <c r="L1624" s="208">
        <f t="shared" si="76"/>
        <v>9.6674668414348824E-2</v>
      </c>
    </row>
    <row r="1625" spans="1:12" ht="12.75" customHeight="1" x14ac:dyDescent="0.15">
      <c r="A1625" s="126">
        <v>163</v>
      </c>
      <c r="B1625" s="25" t="s">
        <v>116</v>
      </c>
      <c r="C1625" s="39">
        <v>26.03</v>
      </c>
      <c r="D1625" s="50">
        <v>0.11423936666666679</v>
      </c>
      <c r="E1625" s="28">
        <v>0.19005805800101883</v>
      </c>
      <c r="F1625" s="51">
        <v>0.15497789123196448</v>
      </c>
      <c r="G1625" s="28">
        <v>4.0502353827538327E-2</v>
      </c>
      <c r="H1625" s="55" t="s">
        <v>27</v>
      </c>
      <c r="I1625" s="50">
        <v>59.119502351570304</v>
      </c>
      <c r="J1625">
        <f t="shared" si="70"/>
        <v>0.11594079326376375</v>
      </c>
      <c r="K1625" s="208" t="s">
        <v>211</v>
      </c>
      <c r="L1625" s="208">
        <f t="shared" si="76"/>
        <v>0.11594079326376375</v>
      </c>
    </row>
    <row r="1626" spans="1:12" ht="12.75" customHeight="1" x14ac:dyDescent="0.15">
      <c r="A1626" s="126">
        <v>164</v>
      </c>
      <c r="B1626" s="25" t="s">
        <v>117</v>
      </c>
      <c r="C1626" s="39">
        <v>26.040000000000003</v>
      </c>
      <c r="D1626" s="50">
        <v>0.11203529999999695</v>
      </c>
      <c r="E1626" s="28">
        <v>0.18831175368195796</v>
      </c>
      <c r="F1626" s="51">
        <v>0.15124639958376696</v>
      </c>
      <c r="G1626" s="28">
        <v>3.9841950612795864E-2</v>
      </c>
      <c r="H1626" s="55" t="s">
        <v>27</v>
      </c>
      <c r="I1626" s="50">
        <v>58.525964938708938</v>
      </c>
      <c r="J1626">
        <f t="shared" si="70"/>
        <v>0.11485702127319944</v>
      </c>
      <c r="K1626" s="208" t="s">
        <v>211</v>
      </c>
      <c r="L1626" s="208">
        <f t="shared" si="76"/>
        <v>0.11485702127319944</v>
      </c>
    </row>
    <row r="1627" spans="1:12" ht="12.75" customHeight="1" x14ac:dyDescent="0.15">
      <c r="A1627" s="126">
        <v>165</v>
      </c>
      <c r="B1627" s="25" t="s">
        <v>2</v>
      </c>
      <c r="C1627" s="39">
        <v>26.053333333333335</v>
      </c>
      <c r="D1627" s="50">
        <v>0.11105356334937966</v>
      </c>
      <c r="E1627" s="28">
        <v>0.18507635114351112</v>
      </c>
      <c r="F1627" s="51">
        <v>0.14992922953451049</v>
      </c>
      <c r="G1627" s="28">
        <v>3.9153448699454758E-2</v>
      </c>
      <c r="H1627" s="55" t="s">
        <v>27</v>
      </c>
      <c r="I1627" s="50">
        <v>59.032344493814414</v>
      </c>
      <c r="J1627">
        <f t="shared" ref="J1627:J1633" si="77">D1627*60/I1627</f>
        <v>0.11287394830915061</v>
      </c>
      <c r="K1627" s="208" t="s">
        <v>211</v>
      </c>
      <c r="L1627" s="208">
        <f t="shared" si="76"/>
        <v>0.11287394830915061</v>
      </c>
    </row>
    <row r="1628" spans="1:12" ht="12.75" customHeight="1" x14ac:dyDescent="0.15">
      <c r="A1628" s="126">
        <v>166</v>
      </c>
      <c r="B1628" s="25" t="s">
        <v>118</v>
      </c>
      <c r="C1628" s="39" t="s">
        <v>27</v>
      </c>
      <c r="D1628" s="50" t="s">
        <v>27</v>
      </c>
      <c r="E1628" s="28" t="s">
        <v>27</v>
      </c>
      <c r="F1628" s="51" t="s">
        <v>27</v>
      </c>
      <c r="G1628" s="28" t="s">
        <v>27</v>
      </c>
      <c r="H1628" s="55" t="s">
        <v>27</v>
      </c>
      <c r="I1628" s="212">
        <v>56.395719049521624</v>
      </c>
      <c r="J1628" s="216" t="e">
        <f t="shared" si="77"/>
        <v>#VALUE!</v>
      </c>
      <c r="K1628" s="208" t="s">
        <v>211</v>
      </c>
      <c r="L1628" s="208">
        <f t="shared" ref="L1628:L1633" si="78">J1629</f>
        <v>0.11607383479424234</v>
      </c>
    </row>
    <row r="1629" spans="1:12" ht="12.75" customHeight="1" x14ac:dyDescent="0.15">
      <c r="A1629" s="126">
        <v>167</v>
      </c>
      <c r="B1629" s="25" t="s">
        <v>118</v>
      </c>
      <c r="C1629" s="39">
        <v>26.03</v>
      </c>
      <c r="D1629" s="50">
        <v>0.1093983666666678</v>
      </c>
      <c r="E1629" s="28">
        <v>0.19019125371837511</v>
      </c>
      <c r="F1629" s="51">
        <v>0.1487102751031637</v>
      </c>
      <c r="G1629" s="28">
        <v>3.9965910655528347E-2</v>
      </c>
      <c r="H1629" s="55" t="s">
        <v>27</v>
      </c>
      <c r="I1629" s="212">
        <v>56.54936800903954</v>
      </c>
      <c r="J1629" s="216">
        <f t="shared" si="77"/>
        <v>0.11607383479424234</v>
      </c>
      <c r="K1629" s="208" t="s">
        <v>211</v>
      </c>
      <c r="L1629" s="208">
        <f t="shared" si="78"/>
        <v>0.12067113578303991</v>
      </c>
    </row>
    <row r="1630" spans="1:12" ht="12.75" customHeight="1" x14ac:dyDescent="0.15">
      <c r="A1630" s="126">
        <v>168</v>
      </c>
      <c r="B1630" s="25" t="s">
        <v>119</v>
      </c>
      <c r="C1630" s="39">
        <v>26.080000000000002</v>
      </c>
      <c r="D1630" s="50">
        <v>0.12743264999999959</v>
      </c>
      <c r="E1630" s="28">
        <v>0.19781253007151034</v>
      </c>
      <c r="F1630" s="51">
        <v>0.17352991978609622</v>
      </c>
      <c r="G1630" s="28">
        <v>4.2323564203737944E-2</v>
      </c>
      <c r="H1630" s="55" t="s">
        <v>27</v>
      </c>
      <c r="I1630" s="50">
        <v>63.361954376123471</v>
      </c>
      <c r="J1630">
        <f t="shared" si="77"/>
        <v>0.12067113578303991</v>
      </c>
      <c r="K1630" s="208" t="s">
        <v>211</v>
      </c>
      <c r="L1630" s="208">
        <f t="shared" si="78"/>
        <v>0.12291383295893853</v>
      </c>
    </row>
    <row r="1631" spans="1:12" ht="12.75" customHeight="1" x14ac:dyDescent="0.15">
      <c r="A1631" s="126">
        <v>169</v>
      </c>
      <c r="B1631" s="25" t="s">
        <v>120</v>
      </c>
      <c r="C1631" s="39">
        <v>26.07</v>
      </c>
      <c r="D1631" s="50">
        <v>0.12785226666666727</v>
      </c>
      <c r="E1631" s="28">
        <v>0.20153445600538222</v>
      </c>
      <c r="F1631" s="51">
        <v>0.17431093209054593</v>
      </c>
      <c r="G1631" s="28">
        <v>4.307142947943822E-2</v>
      </c>
      <c r="H1631" s="55" t="s">
        <v>27</v>
      </c>
      <c r="I1631" s="50">
        <v>62.41068084308062</v>
      </c>
      <c r="J1631">
        <f t="shared" si="77"/>
        <v>0.12291383295893853</v>
      </c>
      <c r="K1631" s="208" t="s">
        <v>211</v>
      </c>
      <c r="L1631" s="208">
        <f t="shared" si="78"/>
        <v>0.11245228742466683</v>
      </c>
    </row>
    <row r="1632" spans="1:12" ht="12.75" customHeight="1" x14ac:dyDescent="0.15">
      <c r="A1632" s="126">
        <v>170</v>
      </c>
      <c r="B1632" s="25" t="s">
        <v>121</v>
      </c>
      <c r="C1632" s="39">
        <v>26.080000000000002</v>
      </c>
      <c r="D1632" s="50">
        <v>0.11045539999999754</v>
      </c>
      <c r="E1632" s="28">
        <v>0.18437194936182974</v>
      </c>
      <c r="F1632" s="51">
        <v>0.14853862149532715</v>
      </c>
      <c r="G1632" s="28">
        <v>3.8471123327278457E-2</v>
      </c>
      <c r="H1632" s="55" t="s">
        <v>27</v>
      </c>
      <c r="I1632" s="50">
        <v>58.934541500007974</v>
      </c>
      <c r="J1632">
        <f t="shared" si="77"/>
        <v>0.11245228742466683</v>
      </c>
      <c r="K1632" s="208" t="s">
        <v>211</v>
      </c>
      <c r="L1632" s="208">
        <f t="shared" si="78"/>
        <v>0.11599191823401736</v>
      </c>
    </row>
    <row r="1633" spans="1:12" ht="12.75" customHeight="1" x14ac:dyDescent="0.15">
      <c r="A1633" s="126">
        <v>171</v>
      </c>
      <c r="B1633" s="25" t="s">
        <v>122</v>
      </c>
      <c r="C1633" s="39">
        <v>26.08666666666667</v>
      </c>
      <c r="D1633" s="50">
        <v>0.11833338333332999</v>
      </c>
      <c r="E1633" s="28">
        <v>0.19016530447029864</v>
      </c>
      <c r="F1633" s="51">
        <v>0.16057867403314918</v>
      </c>
      <c r="G1633" s="28">
        <v>4.0389895206436974E-2</v>
      </c>
      <c r="H1633" s="55" t="s">
        <v>27</v>
      </c>
      <c r="I1633" s="50">
        <v>61.211187021455402</v>
      </c>
      <c r="J1633">
        <f t="shared" si="77"/>
        <v>0.11599191823401736</v>
      </c>
      <c r="K1633" s="208" t="s">
        <v>211</v>
      </c>
      <c r="L1633" s="208">
        <f t="shared" si="78"/>
        <v>0.11467621753284966</v>
      </c>
    </row>
    <row r="1634" spans="1:12" ht="12.75" customHeight="1" x14ac:dyDescent="0.15">
      <c r="A1634" s="126">
        <v>172</v>
      </c>
      <c r="B1634" s="25" t="s">
        <v>123</v>
      </c>
      <c r="C1634" s="39">
        <v>26.093333333333334</v>
      </c>
      <c r="D1634" s="50">
        <v>0.11755686666666465</v>
      </c>
      <c r="E1634" s="28">
        <v>0.18802563434221067</v>
      </c>
      <c r="F1634" s="51">
        <v>0.160071540504648</v>
      </c>
      <c r="G1634" s="28">
        <v>4.0106875087878975E-2</v>
      </c>
      <c r="H1634" s="55" t="s">
        <v>27</v>
      </c>
      <c r="I1634" s="50">
        <v>61.507190869627252</v>
      </c>
      <c r="J1634">
        <f t="shared" ref="J1634:J1639" si="79">D1634*60/I1634</f>
        <v>0.11467621753284966</v>
      </c>
    </row>
    <row r="1635" spans="1:12" ht="12.75" customHeight="1" x14ac:dyDescent="0.15">
      <c r="A1635" s="126">
        <v>173</v>
      </c>
      <c r="B1635" s="25" t="s">
        <v>113</v>
      </c>
      <c r="C1635" s="39" t="s">
        <v>27</v>
      </c>
      <c r="D1635" s="50" t="s">
        <v>27</v>
      </c>
      <c r="E1635" s="28" t="s">
        <v>27</v>
      </c>
      <c r="F1635" s="51" t="s">
        <v>27</v>
      </c>
      <c r="G1635" s="28" t="s">
        <v>27</v>
      </c>
      <c r="H1635" s="55" t="s">
        <v>27</v>
      </c>
      <c r="I1635" s="50">
        <v>53.88129227396081</v>
      </c>
      <c r="J1635" t="e">
        <f t="shared" si="79"/>
        <v>#VALUE!</v>
      </c>
    </row>
    <row r="1636" spans="1:12" ht="11.25" customHeight="1" x14ac:dyDescent="0.15">
      <c r="A1636" s="126">
        <v>174</v>
      </c>
      <c r="B1636" s="25" t="s">
        <v>85</v>
      </c>
      <c r="C1636" s="39" t="s">
        <v>27</v>
      </c>
      <c r="D1636" s="50" t="s">
        <v>27</v>
      </c>
      <c r="E1636" s="28" t="s">
        <v>27</v>
      </c>
      <c r="F1636" s="51" t="s">
        <v>27</v>
      </c>
      <c r="G1636" s="28" t="s">
        <v>27</v>
      </c>
      <c r="H1636" s="55" t="s">
        <v>27</v>
      </c>
      <c r="I1636" s="50" t="s">
        <v>27</v>
      </c>
      <c r="J1636" t="e">
        <f t="shared" si="79"/>
        <v>#VALUE!</v>
      </c>
    </row>
    <row r="1637" spans="1:12" ht="11.25" customHeight="1" x14ac:dyDescent="0.15">
      <c r="A1637" s="32"/>
      <c r="B1637" s="52" t="s">
        <v>129</v>
      </c>
      <c r="C1637" s="53">
        <f t="shared" ref="C1637:H1637" si="80">SUM(C1463:C1636)</f>
        <v>1355.8999999999996</v>
      </c>
      <c r="D1637" s="53">
        <f t="shared" si="80"/>
        <v>6.4440282899957761</v>
      </c>
      <c r="E1637" s="53">
        <f t="shared" si="80"/>
        <v>119.59236190553925</v>
      </c>
      <c r="F1637" s="53">
        <f t="shared" si="80"/>
        <v>8.5656115123788581</v>
      </c>
      <c r="G1637" s="53">
        <f t="shared" si="80"/>
        <v>43.519619435651059</v>
      </c>
      <c r="H1637" s="54">
        <f t="shared" si="80"/>
        <v>0</v>
      </c>
      <c r="I1637" s="53">
        <f t="shared" ref="I1637" si="81">SUM(I1463:I1636)</f>
        <v>9309.2728036290046</v>
      </c>
      <c r="J1637">
        <f t="shared" si="79"/>
        <v>4.1532964556482144E-2</v>
      </c>
    </row>
    <row r="1638" spans="1:12" ht="11.25" customHeight="1" x14ac:dyDescent="0.15">
      <c r="A1638" s="31"/>
      <c r="B1638" s="41" t="s">
        <v>130</v>
      </c>
      <c r="C1638" s="39">
        <f t="shared" ref="C1638:I1638" si="82">AVERAGE(C1463:C1636)</f>
        <v>26.074999999999992</v>
      </c>
      <c r="D1638" s="39">
        <f t="shared" si="82"/>
        <v>0.12392362096145723</v>
      </c>
      <c r="E1638" s="39">
        <f t="shared" si="82"/>
        <v>2.2998531135680627</v>
      </c>
      <c r="F1638" s="39">
        <f t="shared" si="82"/>
        <v>0.16472329831497803</v>
      </c>
      <c r="G1638" s="39">
        <f t="shared" si="82"/>
        <v>0.83691575837790499</v>
      </c>
      <c r="H1638" s="40" t="e">
        <f t="shared" si="82"/>
        <v>#DIV/0!</v>
      </c>
      <c r="I1638" s="39">
        <f t="shared" si="82"/>
        <v>53.810825454502918</v>
      </c>
      <c r="J1638">
        <f t="shared" si="79"/>
        <v>0.13817697823598865</v>
      </c>
    </row>
    <row r="1639" spans="1:12" ht="11.25" customHeight="1" thickBot="1" x14ac:dyDescent="0.2">
      <c r="A1639" s="33"/>
      <c r="B1639" s="42" t="s">
        <v>131</v>
      </c>
      <c r="C1639" s="43">
        <f t="shared" ref="C1639:I1639" si="83">STDEV(C1463:C1636)/AVERAGE(C1463:C1636)</f>
        <v>2.1295782053275748E-3</v>
      </c>
      <c r="D1639" s="43">
        <f t="shared" si="83"/>
        <v>0.7449567932917186</v>
      </c>
      <c r="E1639" s="43">
        <f t="shared" si="83"/>
        <v>2.7063493848284539</v>
      </c>
      <c r="F1639" s="43">
        <f t="shared" si="83"/>
        <v>0.77670003379945129</v>
      </c>
      <c r="G1639" s="43">
        <f t="shared" si="83"/>
        <v>2.8433139912058283</v>
      </c>
      <c r="H1639" s="44" t="e">
        <f t="shared" si="83"/>
        <v>#DIV/0!</v>
      </c>
      <c r="I1639" s="43">
        <f t="shared" si="83"/>
        <v>0.35799885115208518</v>
      </c>
      <c r="J1639">
        <f t="shared" si="79"/>
        <v>124.85349451167582</v>
      </c>
    </row>
  </sheetData>
  <mergeCells count="4">
    <mergeCell ref="K503:K505"/>
    <mergeCell ref="K536:K538"/>
    <mergeCell ref="K491:K493"/>
    <mergeCell ref="K527:K529"/>
  </mergeCells>
  <pageMargins left="0.75" right="0.75" top="1" bottom="1" header="0.5" footer="0.5"/>
  <pageSetup orientation="portrait"/>
  <headerFooter alignWithMargins="0">
    <oddHeader>&amp;L&amp;"Microsoft Sans Serif"&amp;08Logged on User: IC 2018
Instrument: TEST-7CVCB84LL6_1
Sequence: 20260221--V2.0ElectronDonorExperiment &amp;R&amp;"Microsoft Sans Serif"&amp;08Page &amp;P of &amp;N
&amp;D  &amp;T</oddHeader>
    <oddFooter>&amp;L&amp;"Microsoft Sans Serif"&amp;08&amp;F/&amp;A  &amp;R&amp;"Microsoft Sans Serif"&amp;08Chromeleon (c) Dionex 1996-2009
Version 7.2.10.23925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8"/>
  <sheetViews>
    <sheetView workbookViewId="0">
      <selection activeCell="H6" sqref="H6"/>
    </sheetView>
  </sheetViews>
  <sheetFormatPr baseColWidth="10" defaultColWidth="9.1640625" defaultRowHeight="13" x14ac:dyDescent="0.15"/>
  <cols>
    <col min="1" max="1" width="11.5" customWidth="1"/>
    <col min="3" max="3" width="36.6640625" customWidth="1"/>
    <col min="4" max="4" width="3" customWidth="1"/>
    <col min="5" max="5" width="2.6640625" customWidth="1"/>
    <col min="8" max="8" width="9.1640625" style="1" customWidth="1"/>
  </cols>
  <sheetData>
    <row r="1" spans="1:15" x14ac:dyDescent="0.15">
      <c r="A1" s="158">
        <v>129</v>
      </c>
      <c r="B1" s="159" t="s">
        <v>2</v>
      </c>
      <c r="C1" s="160"/>
      <c r="D1" s="160"/>
      <c r="E1" s="160"/>
      <c r="F1" s="160"/>
      <c r="G1" s="160" t="s">
        <v>132</v>
      </c>
      <c r="H1" s="161"/>
      <c r="I1" s="156"/>
      <c r="J1" s="156"/>
      <c r="K1" s="156"/>
      <c r="L1" s="156"/>
      <c r="M1" s="156"/>
      <c r="N1" s="156"/>
      <c r="O1" s="156"/>
    </row>
    <row r="2" spans="1:15" x14ac:dyDescent="0.15">
      <c r="A2" s="175" t="s">
        <v>20</v>
      </c>
      <c r="B2" s="162"/>
      <c r="C2" s="162"/>
      <c r="D2" s="162"/>
      <c r="E2" s="162"/>
      <c r="F2" s="162"/>
      <c r="G2" s="162"/>
      <c r="H2" s="163"/>
      <c r="I2" s="156"/>
      <c r="J2" s="156"/>
      <c r="K2" s="156"/>
      <c r="L2" s="156"/>
      <c r="M2" s="156"/>
      <c r="N2" s="156"/>
      <c r="O2" s="156"/>
    </row>
    <row r="3" spans="1:15" x14ac:dyDescent="0.15">
      <c r="A3" s="164" t="s">
        <v>1</v>
      </c>
      <c r="B3" s="165"/>
      <c r="C3" s="165" t="s">
        <v>2</v>
      </c>
      <c r="D3" s="165"/>
      <c r="E3" s="165"/>
      <c r="F3" s="165" t="s">
        <v>40</v>
      </c>
      <c r="G3" s="165"/>
      <c r="H3" s="166">
        <v>10</v>
      </c>
      <c r="I3" s="156"/>
      <c r="J3" s="156"/>
      <c r="K3" s="156"/>
      <c r="L3" s="156"/>
      <c r="M3" s="156"/>
      <c r="N3" s="156"/>
      <c r="O3" s="156"/>
    </row>
    <row r="4" spans="1:15" x14ac:dyDescent="0.15">
      <c r="A4" s="167" t="s">
        <v>133</v>
      </c>
      <c r="B4" s="4"/>
      <c r="C4" s="4" t="s">
        <v>134</v>
      </c>
      <c r="D4" s="4"/>
      <c r="E4" s="4"/>
      <c r="F4" s="4" t="s">
        <v>135</v>
      </c>
      <c r="G4" s="4"/>
      <c r="H4" s="168" t="s">
        <v>24</v>
      </c>
      <c r="I4" s="156"/>
      <c r="J4" s="156"/>
      <c r="K4" s="156"/>
      <c r="L4" s="156"/>
      <c r="M4" s="156"/>
      <c r="N4" s="156"/>
      <c r="O4" s="156"/>
    </row>
    <row r="5" spans="1:15" x14ac:dyDescent="0.15">
      <c r="A5" s="167" t="s">
        <v>4</v>
      </c>
      <c r="B5" s="4"/>
      <c r="C5" s="4" t="s">
        <v>5</v>
      </c>
      <c r="D5" s="4"/>
      <c r="E5" s="4"/>
      <c r="F5" s="4" t="s">
        <v>136</v>
      </c>
      <c r="G5" s="4"/>
      <c r="H5" s="168" t="s">
        <v>27</v>
      </c>
      <c r="I5" s="156"/>
      <c r="J5" s="156"/>
      <c r="K5" s="156"/>
      <c r="L5" s="156"/>
      <c r="M5" s="156"/>
      <c r="N5" s="156"/>
      <c r="O5" s="156"/>
    </row>
    <row r="6" spans="1:15" x14ac:dyDescent="0.15">
      <c r="A6" s="167" t="s">
        <v>7</v>
      </c>
      <c r="B6" s="4"/>
      <c r="C6" s="4" t="s">
        <v>8</v>
      </c>
      <c r="D6" s="4"/>
      <c r="E6" s="4"/>
      <c r="F6" s="4" t="s">
        <v>137</v>
      </c>
      <c r="G6" s="4"/>
      <c r="H6" s="168" t="s">
        <v>27</v>
      </c>
      <c r="I6" s="156"/>
      <c r="J6" s="156"/>
      <c r="K6" s="156"/>
      <c r="L6" s="156"/>
      <c r="M6" s="156"/>
      <c r="N6" s="156"/>
      <c r="O6" s="156"/>
    </row>
    <row r="7" spans="1:15" x14ac:dyDescent="0.15">
      <c r="A7" s="167" t="s">
        <v>138</v>
      </c>
      <c r="B7" s="4"/>
      <c r="C7" s="4" t="s">
        <v>139</v>
      </c>
      <c r="D7" s="4"/>
      <c r="E7" s="4"/>
      <c r="F7" s="4" t="s">
        <v>6</v>
      </c>
      <c r="G7" s="4"/>
      <c r="H7" s="169">
        <v>1</v>
      </c>
      <c r="I7" s="156"/>
      <c r="J7" s="156"/>
      <c r="K7" s="156"/>
      <c r="L7" s="156"/>
      <c r="M7" s="156"/>
      <c r="N7" s="156"/>
      <c r="O7" s="156"/>
    </row>
    <row r="8" spans="1:15" x14ac:dyDescent="0.15">
      <c r="A8" s="167" t="s">
        <v>140</v>
      </c>
      <c r="B8" s="4"/>
      <c r="C8" s="170">
        <v>46082.159189814818</v>
      </c>
      <c r="D8" s="4"/>
      <c r="E8" s="4"/>
      <c r="F8" s="4" t="s">
        <v>141</v>
      </c>
      <c r="G8" s="4"/>
      <c r="H8" s="169">
        <v>1</v>
      </c>
      <c r="I8" s="156"/>
      <c r="J8" s="156"/>
      <c r="K8" s="156"/>
      <c r="L8" s="156"/>
      <c r="M8" s="156"/>
      <c r="N8" s="156"/>
      <c r="O8" s="156"/>
    </row>
    <row r="9" spans="1:15" x14ac:dyDescent="0.15">
      <c r="A9" s="171" t="s">
        <v>142</v>
      </c>
      <c r="B9" s="172"/>
      <c r="C9" s="173">
        <v>30</v>
      </c>
      <c r="D9" s="172"/>
      <c r="E9" s="172"/>
      <c r="F9" s="172" t="s">
        <v>143</v>
      </c>
      <c r="G9" s="172"/>
      <c r="H9" s="174">
        <v>1</v>
      </c>
      <c r="I9" s="156"/>
      <c r="J9" s="156"/>
      <c r="K9" s="156"/>
      <c r="L9" s="156"/>
      <c r="M9" s="156"/>
      <c r="N9" s="156"/>
      <c r="O9" s="156"/>
    </row>
    <row r="10" spans="1:15" x14ac:dyDescent="0.15">
      <c r="A10" s="156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</row>
    <row r="11" spans="1:15" ht="12.75" customHeight="1" x14ac:dyDescent="0.15">
      <c r="A11" s="155" t="s">
        <v>144</v>
      </c>
      <c r="B11" s="155" t="s">
        <v>145</v>
      </c>
      <c r="C11" s="155" t="s">
        <v>146</v>
      </c>
      <c r="D11" s="155"/>
      <c r="E11" s="155"/>
      <c r="F11" s="155"/>
      <c r="G11" s="155"/>
      <c r="H11" s="155"/>
      <c r="I11" s="156"/>
      <c r="J11" s="156"/>
      <c r="K11" s="156"/>
      <c r="L11" s="156"/>
      <c r="M11" s="156"/>
      <c r="N11" s="156"/>
      <c r="O11" s="156"/>
    </row>
    <row r="12" spans="1:15" ht="12.75" customHeight="1" x14ac:dyDescent="0.15">
      <c r="A12" s="155" t="s">
        <v>147</v>
      </c>
      <c r="B12" s="155" t="s">
        <v>21</v>
      </c>
      <c r="C12" s="155" t="s">
        <v>20</v>
      </c>
      <c r="D12" s="155"/>
      <c r="E12" s="155"/>
      <c r="F12" s="155"/>
      <c r="G12" s="155"/>
      <c r="H12" s="155"/>
      <c r="I12" s="156"/>
      <c r="J12" s="156"/>
      <c r="K12" s="156"/>
      <c r="L12" s="156"/>
      <c r="M12" s="156"/>
      <c r="N12" s="156"/>
      <c r="O12" s="156"/>
    </row>
    <row r="13" spans="1:15" ht="12.75" customHeight="1" x14ac:dyDescent="0.15">
      <c r="A13" s="155" t="s">
        <v>148</v>
      </c>
      <c r="B13" s="155" t="s">
        <v>20</v>
      </c>
      <c r="C13" s="157" t="s">
        <v>149</v>
      </c>
      <c r="D13" s="155"/>
      <c r="E13" s="155"/>
      <c r="F13" s="155"/>
      <c r="G13" s="155"/>
      <c r="H13" s="155"/>
      <c r="I13" s="156"/>
      <c r="J13" s="156"/>
      <c r="K13" s="156"/>
      <c r="L13" s="156"/>
      <c r="M13" s="156"/>
      <c r="N13" s="156"/>
      <c r="O13" s="156"/>
    </row>
    <row r="14" spans="1:15" ht="12.75" customHeight="1" x14ac:dyDescent="0.15">
      <c r="A14" s="155" t="s">
        <v>148</v>
      </c>
      <c r="B14" s="155" t="s">
        <v>20</v>
      </c>
      <c r="C14" s="157" t="s">
        <v>150</v>
      </c>
      <c r="D14" s="155"/>
      <c r="E14" s="155"/>
      <c r="F14" s="155"/>
      <c r="G14" s="155"/>
      <c r="H14" s="155"/>
      <c r="I14" s="156"/>
      <c r="J14" s="156"/>
      <c r="K14" s="156"/>
      <c r="L14" s="156"/>
      <c r="M14" s="156"/>
      <c r="N14" s="156"/>
      <c r="O14" s="156"/>
    </row>
    <row r="15" spans="1:15" ht="12.75" customHeight="1" x14ac:dyDescent="0.15">
      <c r="A15" s="155" t="s">
        <v>148</v>
      </c>
      <c r="B15" s="155" t="s">
        <v>151</v>
      </c>
      <c r="C15" s="157" t="s">
        <v>152</v>
      </c>
      <c r="D15" s="155"/>
      <c r="E15" s="155"/>
      <c r="F15" s="155"/>
      <c r="G15" s="155"/>
      <c r="H15" s="155"/>
      <c r="I15" s="156"/>
      <c r="J15" s="156"/>
      <c r="K15" s="156"/>
      <c r="L15" s="156"/>
      <c r="M15" s="156"/>
      <c r="N15" s="156"/>
      <c r="O15" s="156"/>
    </row>
    <row r="16" spans="1:15" ht="12.75" customHeight="1" x14ac:dyDescent="0.15">
      <c r="A16" s="155" t="s">
        <v>148</v>
      </c>
      <c r="B16" s="155" t="s">
        <v>151</v>
      </c>
      <c r="C16" s="157" t="s">
        <v>153</v>
      </c>
      <c r="D16" s="155"/>
      <c r="E16" s="155"/>
      <c r="F16" s="155"/>
      <c r="G16" s="155"/>
      <c r="H16" s="155"/>
      <c r="I16" s="156"/>
      <c r="J16" s="156"/>
      <c r="K16" s="156"/>
      <c r="L16" s="156"/>
      <c r="M16" s="156"/>
      <c r="N16" s="156"/>
      <c r="O16" s="156"/>
    </row>
    <row r="17" spans="1:15" ht="12.75" customHeight="1" x14ac:dyDescent="0.15">
      <c r="A17" s="155" t="s">
        <v>148</v>
      </c>
      <c r="B17" s="155" t="s">
        <v>151</v>
      </c>
      <c r="C17" s="157" t="s">
        <v>154</v>
      </c>
      <c r="D17" s="155"/>
      <c r="E17" s="155"/>
      <c r="F17" s="155"/>
      <c r="G17" s="155"/>
      <c r="H17" s="155"/>
      <c r="I17" s="156"/>
      <c r="J17" s="156"/>
      <c r="K17" s="156"/>
      <c r="L17" s="156"/>
      <c r="M17" s="156"/>
      <c r="N17" s="156"/>
      <c r="O17" s="156"/>
    </row>
    <row r="18" spans="1:15" ht="12.75" customHeight="1" x14ac:dyDescent="0.15">
      <c r="A18" s="155" t="s">
        <v>148</v>
      </c>
      <c r="B18" s="155" t="s">
        <v>151</v>
      </c>
      <c r="C18" s="157" t="s">
        <v>155</v>
      </c>
      <c r="D18" s="155"/>
      <c r="E18" s="155"/>
      <c r="F18" s="155"/>
      <c r="G18" s="155"/>
      <c r="H18" s="155"/>
      <c r="I18" s="156"/>
      <c r="J18" s="156"/>
      <c r="K18" s="156"/>
      <c r="L18" s="156"/>
      <c r="M18" s="156"/>
      <c r="N18" s="156"/>
      <c r="O18" s="156"/>
    </row>
    <row r="19" spans="1:15" ht="12.75" customHeight="1" x14ac:dyDescent="0.15">
      <c r="A19" s="155" t="s">
        <v>148</v>
      </c>
      <c r="B19" s="155" t="s">
        <v>151</v>
      </c>
      <c r="C19" s="157" t="s">
        <v>156</v>
      </c>
      <c r="D19" s="155"/>
      <c r="E19" s="155"/>
      <c r="F19" s="155"/>
      <c r="G19" s="155"/>
      <c r="H19" s="155"/>
      <c r="I19" s="156"/>
      <c r="J19" s="156"/>
      <c r="K19" s="156"/>
      <c r="L19" s="156"/>
      <c r="M19" s="156"/>
      <c r="N19" s="156"/>
      <c r="O19" s="156"/>
    </row>
    <row r="20" spans="1:15" ht="12.75" customHeight="1" x14ac:dyDescent="0.15">
      <c r="A20" s="155" t="s">
        <v>148</v>
      </c>
      <c r="B20" s="155" t="s">
        <v>151</v>
      </c>
      <c r="C20" s="157" t="s">
        <v>157</v>
      </c>
      <c r="D20" s="155"/>
      <c r="E20" s="155"/>
      <c r="F20" s="155"/>
      <c r="G20" s="155"/>
      <c r="H20" s="155"/>
      <c r="I20" s="156"/>
      <c r="J20" s="156"/>
      <c r="K20" s="156"/>
      <c r="L20" s="156"/>
      <c r="M20" s="156"/>
      <c r="N20" s="156"/>
      <c r="O20" s="156"/>
    </row>
    <row r="21" spans="1:15" ht="12.75" customHeight="1" x14ac:dyDescent="0.15">
      <c r="A21" s="155" t="s">
        <v>148</v>
      </c>
      <c r="B21" s="155" t="s">
        <v>151</v>
      </c>
      <c r="C21" s="157" t="s">
        <v>158</v>
      </c>
      <c r="D21" s="155"/>
      <c r="E21" s="155"/>
      <c r="F21" s="155"/>
      <c r="G21" s="155"/>
      <c r="H21" s="155"/>
      <c r="I21" s="156"/>
      <c r="J21" s="156"/>
      <c r="K21" s="156"/>
      <c r="L21" s="156"/>
      <c r="M21" s="156"/>
      <c r="N21" s="156"/>
      <c r="O21" s="156"/>
    </row>
    <row r="22" spans="1:15" ht="12.75" customHeight="1" x14ac:dyDescent="0.15">
      <c r="A22" s="155" t="s">
        <v>148</v>
      </c>
      <c r="B22" s="155" t="s">
        <v>151</v>
      </c>
      <c r="C22" s="157" t="s">
        <v>159</v>
      </c>
      <c r="D22" s="155"/>
      <c r="E22" s="155"/>
      <c r="F22" s="155"/>
      <c r="G22" s="155"/>
      <c r="H22" s="155"/>
      <c r="I22" s="156"/>
      <c r="J22" s="156"/>
      <c r="K22" s="156"/>
      <c r="L22" s="156"/>
      <c r="M22" s="156"/>
      <c r="N22" s="156"/>
      <c r="O22" s="156"/>
    </row>
    <row r="23" spans="1:15" ht="12.75" customHeight="1" x14ac:dyDescent="0.15">
      <c r="A23" s="155" t="s">
        <v>148</v>
      </c>
      <c r="B23" s="155" t="s">
        <v>151</v>
      </c>
      <c r="C23" s="157" t="s">
        <v>160</v>
      </c>
      <c r="D23" s="155"/>
      <c r="E23" s="155"/>
      <c r="F23" s="155"/>
      <c r="G23" s="155"/>
      <c r="H23" s="155"/>
      <c r="I23" s="156"/>
      <c r="J23" s="156"/>
      <c r="K23" s="156"/>
      <c r="L23" s="156"/>
      <c r="M23" s="156"/>
      <c r="N23" s="156"/>
      <c r="O23" s="156"/>
    </row>
    <row r="24" spans="1:15" ht="12.75" customHeight="1" x14ac:dyDescent="0.15">
      <c r="A24" s="155" t="s">
        <v>148</v>
      </c>
      <c r="B24" s="155" t="s">
        <v>151</v>
      </c>
      <c r="C24" s="157" t="s">
        <v>161</v>
      </c>
      <c r="D24" s="155"/>
      <c r="E24" s="155"/>
      <c r="F24" s="155"/>
      <c r="G24" s="155"/>
      <c r="H24" s="155"/>
      <c r="I24" s="156"/>
      <c r="J24" s="156"/>
      <c r="K24" s="156"/>
      <c r="L24" s="156"/>
      <c r="M24" s="156"/>
      <c r="N24" s="156"/>
      <c r="O24" s="156"/>
    </row>
    <row r="25" spans="1:15" ht="12.75" customHeight="1" x14ac:dyDescent="0.15">
      <c r="A25" s="155" t="s">
        <v>148</v>
      </c>
      <c r="B25" s="155" t="s">
        <v>151</v>
      </c>
      <c r="C25" s="157" t="s">
        <v>162</v>
      </c>
      <c r="D25" s="155"/>
      <c r="E25" s="155"/>
      <c r="F25" s="155"/>
      <c r="G25" s="155"/>
      <c r="H25" s="155"/>
      <c r="I25" s="156"/>
      <c r="J25" s="156"/>
      <c r="K25" s="156"/>
      <c r="L25" s="156"/>
      <c r="M25" s="156"/>
      <c r="N25" s="156"/>
      <c r="O25" s="156"/>
    </row>
    <row r="26" spans="1:15" ht="12.75" customHeight="1" x14ac:dyDescent="0.15">
      <c r="A26" s="155" t="s">
        <v>148</v>
      </c>
      <c r="B26" s="155" t="s">
        <v>151</v>
      </c>
      <c r="C26" s="157" t="s">
        <v>163</v>
      </c>
      <c r="D26" s="155"/>
      <c r="E26" s="155"/>
      <c r="F26" s="155"/>
      <c r="G26" s="155"/>
      <c r="H26" s="155"/>
      <c r="I26" s="156"/>
      <c r="J26" s="156"/>
      <c r="K26" s="156"/>
      <c r="L26" s="156"/>
      <c r="M26" s="156"/>
      <c r="N26" s="156"/>
      <c r="O26" s="156"/>
    </row>
    <row r="27" spans="1:15" ht="12.75" customHeight="1" x14ac:dyDescent="0.15">
      <c r="A27" s="155" t="s">
        <v>148</v>
      </c>
      <c r="B27" s="155" t="s">
        <v>151</v>
      </c>
      <c r="C27" s="157" t="s">
        <v>164</v>
      </c>
      <c r="D27" s="155"/>
      <c r="E27" s="155"/>
      <c r="F27" s="155"/>
      <c r="G27" s="155"/>
      <c r="H27" s="155"/>
      <c r="I27" s="156"/>
      <c r="J27" s="156"/>
      <c r="K27" s="156"/>
      <c r="L27" s="156"/>
      <c r="M27" s="156"/>
      <c r="N27" s="156"/>
      <c r="O27" s="156"/>
    </row>
    <row r="28" spans="1:15" ht="12.75" customHeight="1" x14ac:dyDescent="0.15">
      <c r="A28" s="155" t="s">
        <v>148</v>
      </c>
      <c r="B28" s="155" t="s">
        <v>151</v>
      </c>
      <c r="C28" s="157" t="s">
        <v>165</v>
      </c>
      <c r="D28" s="155"/>
      <c r="E28" s="155"/>
      <c r="F28" s="155"/>
      <c r="G28" s="155"/>
      <c r="H28" s="155"/>
      <c r="I28" s="156"/>
      <c r="J28" s="156"/>
      <c r="K28" s="156"/>
      <c r="L28" s="156"/>
      <c r="M28" s="156"/>
      <c r="N28" s="156"/>
      <c r="O28" s="156"/>
    </row>
    <row r="29" spans="1:15" ht="12.75" customHeight="1" x14ac:dyDescent="0.15">
      <c r="A29" s="155" t="s">
        <v>148</v>
      </c>
      <c r="B29" s="155" t="s">
        <v>151</v>
      </c>
      <c r="C29" s="157" t="s">
        <v>166</v>
      </c>
      <c r="D29" s="155"/>
      <c r="E29" s="155"/>
      <c r="F29" s="155"/>
      <c r="G29" s="155"/>
      <c r="H29" s="155"/>
      <c r="I29" s="156"/>
      <c r="J29" s="156"/>
      <c r="K29" s="156"/>
      <c r="L29" s="156"/>
      <c r="M29" s="156"/>
      <c r="N29" s="156"/>
      <c r="O29" s="156"/>
    </row>
    <row r="30" spans="1:15" ht="12.75" customHeight="1" x14ac:dyDescent="0.15">
      <c r="A30" s="155" t="s">
        <v>167</v>
      </c>
      <c r="B30" s="155" t="s">
        <v>151</v>
      </c>
      <c r="C30" s="157" t="s">
        <v>154</v>
      </c>
      <c r="D30" s="155"/>
      <c r="E30" s="155"/>
      <c r="F30" s="155"/>
      <c r="G30" s="155"/>
      <c r="H30" s="155"/>
      <c r="I30" s="156"/>
      <c r="J30" s="156"/>
      <c r="K30" s="156"/>
      <c r="L30" s="156"/>
      <c r="M30" s="156"/>
      <c r="N30" s="156"/>
      <c r="O30" s="156"/>
    </row>
    <row r="31" spans="1:15" ht="12.75" customHeight="1" x14ac:dyDescent="0.15">
      <c r="A31" s="155" t="s">
        <v>167</v>
      </c>
      <c r="B31" s="155" t="s">
        <v>151</v>
      </c>
      <c r="C31" s="157" t="s">
        <v>168</v>
      </c>
      <c r="D31" s="155"/>
      <c r="E31" s="155"/>
      <c r="F31" s="155"/>
      <c r="G31" s="155"/>
      <c r="H31" s="155"/>
      <c r="I31" s="156"/>
      <c r="J31" s="156"/>
      <c r="K31" s="156"/>
      <c r="L31" s="156"/>
      <c r="M31" s="156"/>
      <c r="N31" s="156"/>
      <c r="O31" s="156"/>
    </row>
    <row r="32" spans="1:15" ht="12.75" customHeight="1" x14ac:dyDescent="0.15">
      <c r="A32" s="155" t="s">
        <v>167</v>
      </c>
      <c r="B32" s="155" t="s">
        <v>151</v>
      </c>
      <c r="C32" s="157" t="s">
        <v>169</v>
      </c>
      <c r="D32" s="155"/>
      <c r="E32" s="155"/>
      <c r="F32" s="155"/>
      <c r="G32" s="155"/>
      <c r="H32" s="155"/>
      <c r="I32" s="156"/>
      <c r="J32" s="156"/>
      <c r="K32" s="156"/>
      <c r="L32" s="156"/>
      <c r="M32" s="156"/>
      <c r="N32" s="156"/>
      <c r="O32" s="156"/>
    </row>
    <row r="33" spans="1:15" ht="12.75" customHeight="1" x14ac:dyDescent="0.15">
      <c r="A33" s="155" t="s">
        <v>167</v>
      </c>
      <c r="B33" s="155" t="s">
        <v>151</v>
      </c>
      <c r="C33" s="157" t="s">
        <v>170</v>
      </c>
      <c r="D33" s="155"/>
      <c r="E33" s="155"/>
      <c r="F33" s="155"/>
      <c r="G33" s="155"/>
      <c r="H33" s="155"/>
      <c r="I33" s="156"/>
      <c r="J33" s="156"/>
      <c r="K33" s="156"/>
      <c r="L33" s="156"/>
      <c r="M33" s="156"/>
      <c r="N33" s="156"/>
      <c r="O33" s="156"/>
    </row>
    <row r="34" spans="1:15" ht="12.75" customHeight="1" x14ac:dyDescent="0.15">
      <c r="A34" s="155" t="s">
        <v>167</v>
      </c>
      <c r="B34" s="155" t="s">
        <v>151</v>
      </c>
      <c r="C34" s="157" t="s">
        <v>154</v>
      </c>
      <c r="D34" s="155"/>
      <c r="E34" s="155"/>
      <c r="F34" s="155"/>
      <c r="G34" s="155"/>
      <c r="H34" s="155"/>
      <c r="I34" s="156"/>
      <c r="J34" s="156"/>
      <c r="K34" s="156"/>
      <c r="L34" s="156"/>
      <c r="M34" s="156"/>
      <c r="N34" s="156"/>
      <c r="O34" s="156"/>
    </row>
    <row r="35" spans="1:15" ht="12.75" customHeight="1" x14ac:dyDescent="0.15">
      <c r="A35" s="155" t="s">
        <v>167</v>
      </c>
      <c r="B35" s="155" t="s">
        <v>151</v>
      </c>
      <c r="C35" s="157" t="s">
        <v>171</v>
      </c>
      <c r="D35" s="155"/>
      <c r="E35" s="155"/>
      <c r="F35" s="155"/>
      <c r="G35" s="155"/>
      <c r="H35" s="155"/>
      <c r="I35" s="156"/>
      <c r="J35" s="156"/>
      <c r="K35" s="156"/>
      <c r="L35" s="156"/>
      <c r="M35" s="156"/>
      <c r="N35" s="156"/>
      <c r="O35" s="156"/>
    </row>
    <row r="36" spans="1:15" ht="12.75" customHeight="1" x14ac:dyDescent="0.15">
      <c r="A36" s="155" t="s">
        <v>167</v>
      </c>
      <c r="B36" s="155" t="s">
        <v>151</v>
      </c>
      <c r="C36" s="157" t="s">
        <v>172</v>
      </c>
      <c r="D36" s="155"/>
      <c r="E36" s="155"/>
      <c r="F36" s="155"/>
      <c r="G36" s="155"/>
      <c r="H36" s="155"/>
      <c r="I36" s="156"/>
      <c r="J36" s="156"/>
      <c r="K36" s="156"/>
      <c r="L36" s="156"/>
      <c r="M36" s="156"/>
      <c r="N36" s="156"/>
      <c r="O36" s="156"/>
    </row>
    <row r="37" spans="1:15" ht="12.75" customHeight="1" x14ac:dyDescent="0.15">
      <c r="A37" s="155" t="s">
        <v>167</v>
      </c>
      <c r="B37" s="155" t="s">
        <v>151</v>
      </c>
      <c r="C37" s="157" t="s">
        <v>173</v>
      </c>
      <c r="D37" s="155"/>
      <c r="E37" s="155"/>
      <c r="F37" s="155"/>
      <c r="G37" s="155"/>
      <c r="H37" s="155"/>
      <c r="I37" s="156"/>
      <c r="J37" s="156"/>
      <c r="K37" s="156"/>
      <c r="L37" s="156"/>
      <c r="M37" s="156"/>
      <c r="N37" s="156"/>
      <c r="O37" s="156"/>
    </row>
    <row r="38" spans="1:15" ht="12.75" customHeight="1" x14ac:dyDescent="0.15">
      <c r="A38" s="155" t="s">
        <v>167</v>
      </c>
      <c r="B38" s="155" t="s">
        <v>151</v>
      </c>
      <c r="C38" s="157" t="s">
        <v>174</v>
      </c>
      <c r="D38" s="155"/>
      <c r="E38" s="155"/>
      <c r="F38" s="155"/>
      <c r="G38" s="155"/>
      <c r="H38" s="155"/>
      <c r="I38" s="156"/>
      <c r="J38" s="156"/>
      <c r="K38" s="156"/>
      <c r="L38" s="156"/>
      <c r="M38" s="156"/>
      <c r="N38" s="156"/>
      <c r="O38" s="156"/>
    </row>
    <row r="39" spans="1:15" ht="12.75" customHeight="1" x14ac:dyDescent="0.15">
      <c r="A39" s="155" t="s">
        <v>175</v>
      </c>
      <c r="B39" s="155" t="s">
        <v>151</v>
      </c>
      <c r="C39" s="157" t="s">
        <v>176</v>
      </c>
      <c r="D39" s="155"/>
      <c r="E39" s="155"/>
      <c r="F39" s="155"/>
      <c r="G39" s="155"/>
      <c r="H39" s="155"/>
      <c r="I39" s="156"/>
      <c r="J39" s="156"/>
      <c r="K39" s="156"/>
      <c r="L39" s="156"/>
      <c r="M39" s="156"/>
      <c r="N39" s="156"/>
      <c r="O39" s="156"/>
    </row>
    <row r="40" spans="1:15" ht="12.75" customHeight="1" x14ac:dyDescent="0.15">
      <c r="A40" s="155" t="s">
        <v>177</v>
      </c>
      <c r="B40" s="155" t="s">
        <v>151</v>
      </c>
      <c r="C40" s="157" t="s">
        <v>178</v>
      </c>
      <c r="D40" s="155"/>
      <c r="E40" s="155"/>
      <c r="F40" s="155"/>
      <c r="G40" s="155"/>
      <c r="H40" s="155"/>
      <c r="I40" s="156"/>
      <c r="J40" s="156"/>
      <c r="K40" s="156"/>
      <c r="L40" s="156"/>
      <c r="M40" s="156"/>
      <c r="N40" s="156"/>
      <c r="O40" s="156"/>
    </row>
    <row r="41" spans="1:15" ht="12.75" customHeight="1" x14ac:dyDescent="0.15">
      <c r="A41" s="155" t="s">
        <v>177</v>
      </c>
      <c r="B41" s="155" t="s">
        <v>151</v>
      </c>
      <c r="C41" s="157" t="s">
        <v>179</v>
      </c>
      <c r="D41" s="155"/>
      <c r="E41" s="155"/>
      <c r="F41" s="155"/>
      <c r="G41" s="155"/>
      <c r="H41" s="155"/>
      <c r="I41" s="156"/>
      <c r="J41" s="156"/>
      <c r="K41" s="156"/>
      <c r="L41" s="156"/>
      <c r="M41" s="156"/>
      <c r="N41" s="156"/>
      <c r="O41" s="156"/>
    </row>
    <row r="42" spans="1:15" ht="12.75" customHeight="1" x14ac:dyDescent="0.15">
      <c r="A42" s="155" t="s">
        <v>177</v>
      </c>
      <c r="B42" s="155" t="s">
        <v>151</v>
      </c>
      <c r="C42" s="157" t="s">
        <v>180</v>
      </c>
      <c r="D42" s="155"/>
      <c r="E42" s="155"/>
      <c r="F42" s="155"/>
      <c r="G42" s="155"/>
      <c r="H42" s="155"/>
      <c r="I42" s="156"/>
      <c r="J42" s="156"/>
      <c r="K42" s="156"/>
      <c r="L42" s="156"/>
      <c r="M42" s="156"/>
      <c r="N42" s="156"/>
      <c r="O42" s="156"/>
    </row>
    <row r="43" spans="1:15" ht="12.75" customHeight="1" x14ac:dyDescent="0.15">
      <c r="A43" s="155" t="s">
        <v>177</v>
      </c>
      <c r="B43" s="155" t="s">
        <v>151</v>
      </c>
      <c r="C43" s="157" t="s">
        <v>181</v>
      </c>
      <c r="D43" s="155"/>
      <c r="E43" s="155"/>
      <c r="F43" s="155"/>
      <c r="G43" s="155"/>
      <c r="H43" s="155"/>
      <c r="I43" s="156"/>
      <c r="J43" s="156"/>
      <c r="K43" s="156"/>
      <c r="L43" s="156"/>
      <c r="M43" s="156"/>
      <c r="N43" s="156"/>
      <c r="O43" s="156"/>
    </row>
    <row r="44" spans="1:15" ht="12.75" customHeight="1" x14ac:dyDescent="0.15">
      <c r="A44" s="155" t="s">
        <v>177</v>
      </c>
      <c r="B44" s="155" t="s">
        <v>151</v>
      </c>
      <c r="C44" s="157" t="s">
        <v>182</v>
      </c>
      <c r="D44" s="155"/>
      <c r="E44" s="155"/>
      <c r="F44" s="155"/>
      <c r="G44" s="155"/>
      <c r="H44" s="155"/>
      <c r="I44" s="156"/>
      <c r="J44" s="156"/>
      <c r="K44" s="156"/>
      <c r="L44" s="156"/>
      <c r="M44" s="156"/>
      <c r="N44" s="156"/>
      <c r="O44" s="156"/>
    </row>
    <row r="45" spans="1:15" ht="12.75" customHeight="1" x14ac:dyDescent="0.15">
      <c r="A45" s="155" t="s">
        <v>177</v>
      </c>
      <c r="B45" s="155" t="s">
        <v>151</v>
      </c>
      <c r="C45" s="157" t="s">
        <v>183</v>
      </c>
      <c r="D45" s="155"/>
      <c r="E45" s="155"/>
      <c r="F45" s="155"/>
      <c r="G45" s="155"/>
      <c r="H45" s="155"/>
      <c r="I45" s="156"/>
      <c r="J45" s="156"/>
      <c r="K45" s="156"/>
      <c r="L45" s="156"/>
      <c r="M45" s="156"/>
      <c r="N45" s="156"/>
      <c r="O45" s="156"/>
    </row>
    <row r="46" spans="1:15" ht="12.75" customHeight="1" x14ac:dyDescent="0.15">
      <c r="A46" s="155" t="s">
        <v>177</v>
      </c>
      <c r="B46" s="155" t="s">
        <v>151</v>
      </c>
      <c r="C46" s="157" t="s">
        <v>184</v>
      </c>
      <c r="D46" s="155"/>
      <c r="E46" s="155"/>
      <c r="F46" s="155"/>
      <c r="G46" s="155"/>
      <c r="H46" s="155"/>
      <c r="I46" s="156"/>
      <c r="J46" s="156"/>
      <c r="K46" s="156"/>
      <c r="L46" s="156"/>
      <c r="M46" s="156"/>
      <c r="N46" s="156"/>
      <c r="O46" s="156"/>
    </row>
    <row r="47" spans="1:15" ht="12.75" customHeight="1" x14ac:dyDescent="0.15">
      <c r="A47" s="155" t="s">
        <v>177</v>
      </c>
      <c r="B47" s="155" t="s">
        <v>151</v>
      </c>
      <c r="C47" s="157" t="s">
        <v>185</v>
      </c>
      <c r="D47" s="155"/>
      <c r="E47" s="155"/>
      <c r="F47" s="155"/>
      <c r="G47" s="155"/>
      <c r="H47" s="155"/>
      <c r="I47" s="156"/>
      <c r="J47" s="156"/>
      <c r="K47" s="156"/>
      <c r="L47" s="156"/>
      <c r="M47" s="156"/>
      <c r="N47" s="156"/>
      <c r="O47" s="156"/>
    </row>
    <row r="48" spans="1:15" ht="12.75" customHeight="1" x14ac:dyDescent="0.15">
      <c r="A48" s="155" t="s">
        <v>186</v>
      </c>
      <c r="B48" s="155" t="s">
        <v>187</v>
      </c>
      <c r="C48" s="157" t="s">
        <v>188</v>
      </c>
      <c r="D48" s="155"/>
      <c r="E48" s="155"/>
      <c r="F48" s="155"/>
      <c r="G48" s="155"/>
      <c r="H48" s="155"/>
      <c r="I48" s="156"/>
      <c r="J48" s="156"/>
      <c r="K48" s="156"/>
      <c r="L48" s="156"/>
      <c r="M48" s="156"/>
      <c r="N48" s="156"/>
      <c r="O48" s="156"/>
    </row>
    <row r="49" spans="1:15" ht="12.75" customHeight="1" x14ac:dyDescent="0.15">
      <c r="A49" s="155" t="s">
        <v>186</v>
      </c>
      <c r="B49" s="155" t="s">
        <v>189</v>
      </c>
      <c r="C49" s="157" t="s">
        <v>190</v>
      </c>
      <c r="D49" s="155"/>
      <c r="E49" s="155"/>
      <c r="F49" s="155"/>
      <c r="G49" s="155"/>
      <c r="H49" s="155"/>
      <c r="I49" s="156"/>
      <c r="J49" s="156"/>
      <c r="K49" s="156"/>
      <c r="L49" s="156"/>
      <c r="M49" s="156"/>
      <c r="N49" s="156"/>
      <c r="O49" s="156"/>
    </row>
    <row r="50" spans="1:15" ht="12.75" customHeight="1" x14ac:dyDescent="0.15">
      <c r="A50" s="155" t="s">
        <v>186</v>
      </c>
      <c r="B50" s="155" t="s">
        <v>189</v>
      </c>
      <c r="C50" s="157" t="s">
        <v>191</v>
      </c>
      <c r="D50" s="155"/>
      <c r="E50" s="155"/>
      <c r="F50" s="155"/>
      <c r="G50" s="155"/>
      <c r="H50" s="155"/>
      <c r="I50" s="156"/>
      <c r="J50" s="156"/>
      <c r="K50" s="156"/>
      <c r="L50" s="156"/>
      <c r="M50" s="156"/>
      <c r="N50" s="156"/>
      <c r="O50" s="156"/>
    </row>
    <row r="51" spans="1:15" ht="12.75" customHeight="1" x14ac:dyDescent="0.15">
      <c r="A51" s="155" t="s">
        <v>192</v>
      </c>
      <c r="B51" s="155" t="s">
        <v>193</v>
      </c>
      <c r="C51" s="157" t="s">
        <v>194</v>
      </c>
      <c r="D51" s="155"/>
      <c r="E51" s="155"/>
      <c r="F51" s="155"/>
      <c r="G51" s="155"/>
      <c r="H51" s="155"/>
      <c r="I51" s="156"/>
      <c r="J51" s="156"/>
      <c r="K51" s="156"/>
      <c r="L51" s="156"/>
      <c r="M51" s="156"/>
      <c r="N51" s="156"/>
      <c r="O51" s="156"/>
    </row>
    <row r="52" spans="1:15" ht="12.75" customHeight="1" x14ac:dyDescent="0.15">
      <c r="A52" s="155" t="s">
        <v>192</v>
      </c>
      <c r="B52" s="155" t="s">
        <v>193</v>
      </c>
      <c r="C52" s="157" t="s">
        <v>195</v>
      </c>
      <c r="D52" s="155"/>
      <c r="E52" s="155"/>
      <c r="F52" s="155"/>
      <c r="G52" s="155"/>
      <c r="H52" s="155"/>
      <c r="I52" s="156"/>
      <c r="J52" s="156"/>
      <c r="K52" s="156"/>
      <c r="L52" s="156"/>
      <c r="M52" s="156"/>
      <c r="N52" s="156"/>
      <c r="O52" s="156"/>
    </row>
    <row r="53" spans="1:15" ht="12.75" customHeight="1" x14ac:dyDescent="0.15">
      <c r="A53" s="155" t="s">
        <v>192</v>
      </c>
      <c r="B53" s="155" t="s">
        <v>193</v>
      </c>
      <c r="C53" s="157" t="s">
        <v>196</v>
      </c>
      <c r="D53" s="155"/>
      <c r="E53" s="155"/>
      <c r="F53" s="155"/>
      <c r="G53" s="155"/>
      <c r="H53" s="155"/>
      <c r="I53" s="156"/>
      <c r="J53" s="156"/>
      <c r="K53" s="156"/>
      <c r="L53" s="156"/>
      <c r="M53" s="156"/>
      <c r="N53" s="156"/>
      <c r="O53" s="156"/>
    </row>
    <row r="54" spans="1:15" ht="12.75" customHeight="1" x14ac:dyDescent="0.15">
      <c r="A54" s="155" t="s">
        <v>192</v>
      </c>
      <c r="B54" s="155" t="s">
        <v>193</v>
      </c>
      <c r="C54" s="157" t="s">
        <v>197</v>
      </c>
      <c r="D54" s="155"/>
      <c r="E54" s="155"/>
      <c r="F54" s="155"/>
      <c r="G54" s="155"/>
      <c r="H54" s="155"/>
      <c r="I54" s="156"/>
      <c r="J54" s="156"/>
      <c r="K54" s="156"/>
      <c r="L54" s="156"/>
      <c r="M54" s="156"/>
      <c r="N54" s="156"/>
      <c r="O54" s="156"/>
    </row>
    <row r="55" spans="1:15" ht="12.75" customHeight="1" x14ac:dyDescent="0.15">
      <c r="A55" s="155" t="s">
        <v>192</v>
      </c>
      <c r="B55" s="155" t="s">
        <v>198</v>
      </c>
      <c r="C55" s="157" t="s">
        <v>199</v>
      </c>
      <c r="D55" s="155"/>
      <c r="E55" s="155"/>
      <c r="F55" s="155"/>
      <c r="G55" s="155"/>
      <c r="H55" s="155"/>
      <c r="I55" s="156"/>
      <c r="J55" s="156"/>
      <c r="K55" s="156"/>
      <c r="L55" s="156"/>
      <c r="M55" s="156"/>
      <c r="N55" s="156"/>
      <c r="O55" s="156"/>
    </row>
    <row r="56" spans="1:15" ht="12.75" customHeight="1" x14ac:dyDescent="0.15">
      <c r="A56" s="155" t="s">
        <v>200</v>
      </c>
      <c r="B56" s="155" t="s">
        <v>201</v>
      </c>
      <c r="C56" s="157" t="s">
        <v>202</v>
      </c>
      <c r="D56" s="155"/>
      <c r="E56" s="155"/>
      <c r="F56" s="155"/>
      <c r="G56" s="155"/>
      <c r="H56" s="155"/>
      <c r="I56" s="156"/>
      <c r="J56" s="156"/>
      <c r="K56" s="156"/>
      <c r="L56" s="156"/>
      <c r="M56" s="156"/>
      <c r="N56" s="156"/>
      <c r="O56" s="156"/>
    </row>
    <row r="57" spans="1:15" x14ac:dyDescent="0.15">
      <c r="A57" s="156" t="s">
        <v>200</v>
      </c>
      <c r="B57" s="156" t="s">
        <v>20</v>
      </c>
      <c r="C57" s="157" t="s">
        <v>203</v>
      </c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</row>
    <row r="58" spans="1:15" x14ac:dyDescent="0.15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</row>
  </sheetData>
  <pageMargins left="0.75" right="0.75" top="1" bottom="1" header="0.5" footer="0.5"/>
  <pageSetup orientation="portrait"/>
  <headerFooter alignWithMargins="0">
    <oddHeader>&amp;L&amp;"Microsoft Sans Serif"&amp;08Logged on User: IC 2018
Instrument: TEST-7CVCB84LL6_1
Sequence: 20260221--V2.0ElectronDonorExperiment &amp;R&amp;"Microsoft Sans Serif"&amp;08Page &amp;P of &amp;N
&amp;D  &amp;T</oddHeader>
    <oddFooter>&amp;L&amp;"Microsoft Sans Serif"&amp;08&amp;F/&amp;A  &amp;R&amp;"Microsoft Sans Serif"&amp;08Chromeleon (c) Dionex 1996-2009
Version 7.2.10.23925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Integration</vt:lpstr>
      <vt:lpstr>Calibration</vt:lpstr>
      <vt:lpstr>Peak Analysis</vt:lpstr>
      <vt:lpstr>Summary - INJ. vs ANION</vt:lpstr>
      <vt:lpstr>Audit 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created xsi:type="dcterms:W3CDTF">2026-03-02T03:45:15Z</dcterms:created>
  <dcterms:modified xsi:type="dcterms:W3CDTF">2026-03-03T08:11:29Z</dcterms:modified>
</cp:coreProperties>
</file>