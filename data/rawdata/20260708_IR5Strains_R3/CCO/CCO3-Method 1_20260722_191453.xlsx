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708_IR5Strains_R3/CCO/"/>
    </mc:Choice>
  </mc:AlternateContent>
  <xr:revisionPtr revIDLastSave="0" documentId="13_ncr:1_{5308B256-500E-0D4B-A21C-DB0792C86E77}" xr6:coauthVersionLast="47" xr6:coauthVersionMax="47" xr10:uidLastSave="{00000000-0000-0000-0000-000000000000}"/>
  <bookViews>
    <workbookView xWindow="4160" yWindow="600" windowWidth="18740" windowHeight="16340" xr2:uid="{00000000-000D-0000-FFFF-FFFF00000000}"/>
  </bookViews>
  <sheets>
    <sheet name="Result 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8" i="1" l="1"/>
  <c r="U80" i="1" s="1"/>
  <c r="D80" i="1"/>
  <c r="Q80" i="1"/>
  <c r="AG78" i="1"/>
  <c r="AG80" i="1" s="1"/>
  <c r="AF78" i="1"/>
  <c r="AF80" i="1" s="1"/>
  <c r="AE78" i="1"/>
  <c r="AE80" i="1" s="1"/>
  <c r="AD78" i="1"/>
  <c r="AD80" i="1" s="1"/>
  <c r="AC78" i="1"/>
  <c r="AC80" i="1" s="1"/>
  <c r="AB78" i="1"/>
  <c r="AB80" i="1" s="1"/>
  <c r="Q78" i="1"/>
  <c r="R78" i="1"/>
  <c r="S78" i="1"/>
  <c r="S80" i="1" s="1"/>
  <c r="T78" i="1"/>
  <c r="T80" i="1" s="1"/>
  <c r="P78" i="1"/>
  <c r="P80" i="1" s="1"/>
  <c r="M78" i="1"/>
  <c r="G80" i="1" s="1"/>
  <c r="E78" i="1"/>
  <c r="E80" i="1" s="1"/>
  <c r="F78" i="1"/>
  <c r="G78" i="1"/>
  <c r="H78" i="1"/>
  <c r="I78" i="1"/>
  <c r="I80" i="1" s="1"/>
  <c r="D78" i="1"/>
  <c r="H80" i="1" l="1"/>
  <c r="R80" i="1"/>
  <c r="F80" i="1"/>
</calcChain>
</file>

<file path=xl/sharedStrings.xml><?xml version="1.0" encoding="utf-8"?>
<sst xmlns="http://schemas.openxmlformats.org/spreadsheetml/2006/main" count="196" uniqueCount="184">
  <si>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</si>
  <si>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</si>
  <si>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</si>
  <si>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</si>
  <si>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</si>
  <si>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</si>
  <si>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</si>
  <si>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</si>
  <si>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</si>
  <si>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2026-07-22</t>
  </si>
  <si>
    <t>Time:</t>
  </si>
  <si>
    <t>19:14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</si>
  <si>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</si>
  <si>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</si>
  <si>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</si>
  <si>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</si>
  <si>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</si>
  <si>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</si>
  <si>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</si>
  <si>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</si>
  <si>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</si>
  <si>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</si>
  <si>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</si>
  <si>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</si>
  <si>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</si>
  <si>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</si>
  <si>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</si>
  <si>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Absorbance</t>
  </si>
  <si>
    <t>Label 1</t>
  </si>
  <si>
    <t>Name</t>
  </si>
  <si>
    <t>GRE96ft</t>
  </si>
  <si>
    <t>Plate layout</t>
  </si>
  <si>
    <t>Plate area</t>
  </si>
  <si>
    <t>A1-C6;A10</t>
  </si>
  <si>
    <t>Start Time</t>
  </si>
  <si>
    <t>2026-07-22 18:45:42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</si>
  <si>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</si>
  <si>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</si>
  <si>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</si>
  <si>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</si>
  <si>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</si>
  <si>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</si>
  <si>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</si>
  <si>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00:01:00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</si>
  <si>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</si>
  <si>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</si>
  <si>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</si>
  <si>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</si>
  <si>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</si>
  <si>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</si>
  <si>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</si>
  <si>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</si>
  <si>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</si>
  <si>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</si>
  <si>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</si>
  <si>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</si>
  <si>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</si>
  <si>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</si>
  <si>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</si>
  <si>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</si>
  <si>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</si>
  <si>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</si>
  <si>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</si>
  <si>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</si>
  <si>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</si>
  <si>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</si>
  <si>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</si>
  <si>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</si>
  <si>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</si>
  <si>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</si>
  <si>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</si>
  <si>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</si>
  <si>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</si>
  <si>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</si>
  <si>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</si>
  <si>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</si>
  <si>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</si>
  <si>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</si>
  <si>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</si>
  <si>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</si>
  <si>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</si>
  <si>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</si>
  <si>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</si>
  <si>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</si>
  <si>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</si>
  <si>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</si>
  <si>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</si>
  <si>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</si>
  <si>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</si>
  <si>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</si>
  <si>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</si>
  <si>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</si>
  <si>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</si>
  <si>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</si>
  <si>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</si>
  <si>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</si>
  <si>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</si>
  <si>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</si>
  <si>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</si>
  <si>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</si>
  <si>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</si>
  <si>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</si>
  <si>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</si>
  <si>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</si>
  <si>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</si>
  <si>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</si>
  <si>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</si>
  <si>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</si>
  <si>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</si>
  <si>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</si>
  <si>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</si>
  <si>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</si>
  <si>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</si>
  <si>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</si>
  <si>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</si>
  <si>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</si>
  <si>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</si>
  <si>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</si>
  <si>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</si>
  <si>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</si>
  <si>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</si>
  <si>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</si>
  <si>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</si>
  <si>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</si>
  <si>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</si>
  <si>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</si>
  <si>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</si>
  <si>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</si>
  <si>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</si>
  <si>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</si>
  <si>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</si>
  <si>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</si>
  <si>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</si>
  <si>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</si>
  <si>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</si>
  <si>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</si>
  <si>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</si>
  <si>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</si>
  <si>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</si>
  <si>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</si>
  <si>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</si>
  <si>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</si>
  <si>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</si>
  <si>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</si>
  <si>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</si>
  <si>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</si>
  <si>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</si>
  <si>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</si>
  <si>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</si>
  <si>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</si>
  <si>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</si>
  <si>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</si>
  <si>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</si>
  <si>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</si>
  <si>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</si>
  <si>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</si>
  <si>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</si>
  <si>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</si>
  <si>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</si>
  <si>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</si>
  <si>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</si>
  <si>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</si>
  <si>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</si>
  <si>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</si>
  <si>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</si>
  <si>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</si>
  <si>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</si>
  <si>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</si>
  <si>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</si>
  <si>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</si>
  <si>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</si>
  <si>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</si>
  <si>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</si>
  <si>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</si>
  <si>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</si>
  <si>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</si>
  <si>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</si>
  <si>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</si>
  <si>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</si>
  <si>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</si>
  <si>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End Time</t>
  </si>
  <si>
    <t>2026-07-22 19:14:48</t>
  </si>
  <si>
    <t>△</t>
  </si>
  <si>
    <t>A-A0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</si>
</sst>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4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166" fontId="0" fillId="0" borderId="0" xfId="0" applyNumberFormat="1"/>
    <xf numFmtId="0" fontId="3" fillId="4" borderId="0" xfId="0" applyFont="1" applyFill="1"/>
    <xf numFmtId="0" fontId="0" fillId="4" borderId="0" xfId="0" applyFill="1"/>
    <xf numFmtId="166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yangliao/Documents/GitHub/OFAR/data/rawdata/20260708_IR5Strains_R3/CCO/Method%201_20260722_181604.xlsx" TargetMode="External"/><Relationship Id="rId1" Type="http://schemas.openxmlformats.org/officeDocument/2006/relationships/externalLinkPath" Target="Method%201_20260722_1816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 sheet"/>
    </sheetNames>
    <sheetDataSet>
      <sheetData sheetId="0" refreshError="1">
        <row r="44">
          <cell r="D44">
            <v>0.52449999999999997</v>
          </cell>
          <cell r="E44">
            <v>0.53639999999999999</v>
          </cell>
          <cell r="F44">
            <v>0.54330000000000001</v>
          </cell>
          <cell r="G44">
            <v>0.54479999999999995</v>
          </cell>
          <cell r="H44">
            <v>0.54179999999999995</v>
          </cell>
          <cell r="I44">
            <v>0.52510000000000001</v>
          </cell>
          <cell r="M44">
            <v>0.53480000000000005</v>
          </cell>
          <cell r="P44">
            <v>0.55259999999999998</v>
          </cell>
          <cell r="Q44">
            <v>0.53539999999999999</v>
          </cell>
          <cell r="R44">
            <v>0.52649999999999997</v>
          </cell>
          <cell r="S44">
            <v>0.53739999999999999</v>
          </cell>
          <cell r="T44">
            <v>0.53690000000000004</v>
          </cell>
          <cell r="U44">
            <v>0.40250000000000002</v>
          </cell>
          <cell r="AB44">
            <v>0.52969999999999995</v>
          </cell>
          <cell r="AC44">
            <v>0.52149999999999996</v>
          </cell>
          <cell r="AD44">
            <v>0.53510000000000002</v>
          </cell>
          <cell r="AE44">
            <v>0.54279999999999995</v>
          </cell>
          <cell r="AF44">
            <v>0.53090000000000004</v>
          </cell>
          <cell r="AG44">
            <v>0.54200000000000004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80"/>
  <sheetViews>
    <sheetView tabSelected="1" topLeftCell="A49" workbookViewId="0">
      <selection activeCell="L62" sqref="L62"/>
    </sheetView>
  </sheetViews>
  <sheetFormatPr baseColWidth="10" defaultColWidth="8.83203125" defaultRowHeight="15" x14ac:dyDescent="0.2"/>
  <cols>
    <col min="21" max="21" width="9.16406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 spans="1:11" x14ac:dyDescent="0.2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">
      <c r="A27" s="1" t="s">
        <v>38</v>
      </c>
      <c r="B27" s="1"/>
      <c r="C27" s="1"/>
      <c r="D27" s="1"/>
      <c r="E27" s="1">
        <v>30</v>
      </c>
      <c r="F27" s="1" t="s">
        <v>39</v>
      </c>
      <c r="G27" s="1"/>
      <c r="H27" s="1"/>
      <c r="I27" s="1"/>
      <c r="J27" s="1"/>
      <c r="K27" s="1"/>
    </row>
    <row r="28" spans="1:1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40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41</v>
      </c>
      <c r="B30" s="1"/>
      <c r="C30" s="1"/>
      <c r="D30" s="1"/>
      <c r="E30" s="1">
        <v>30</v>
      </c>
      <c r="F30" s="1"/>
      <c r="G30" s="1"/>
      <c r="H30" s="1"/>
      <c r="I30" s="1"/>
      <c r="J30" s="1"/>
      <c r="K30" s="1"/>
    </row>
    <row r="31" spans="1:11" x14ac:dyDescent="0.2">
      <c r="A31" s="1" t="s">
        <v>42</v>
      </c>
      <c r="B31" s="1"/>
      <c r="C31" s="1"/>
      <c r="D31" s="1"/>
      <c r="E31" s="1" t="s">
        <v>43</v>
      </c>
      <c r="F31" s="1" t="s">
        <v>44</v>
      </c>
      <c r="G31" s="1"/>
      <c r="H31" s="1"/>
      <c r="I31" s="1"/>
      <c r="J31" s="1"/>
      <c r="K31" s="1"/>
    </row>
    <row r="32" spans="1:1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99" x14ac:dyDescent="0.2">
      <c r="A33" s="1" t="s">
        <v>40</v>
      </c>
      <c r="B33" s="1" t="s">
        <v>27</v>
      </c>
      <c r="C33" s="1"/>
      <c r="D33" s="1"/>
      <c r="E33" s="1"/>
      <c r="F33" s="1"/>
      <c r="G33" s="1"/>
      <c r="H33" s="1"/>
      <c r="I33" s="1"/>
      <c r="J33" s="1"/>
      <c r="K33" s="1"/>
    </row>
    <row r="34" spans="1:99" x14ac:dyDescent="0.2">
      <c r="A34" s="1" t="s">
        <v>29</v>
      </c>
      <c r="B34" s="1" t="s">
        <v>28</v>
      </c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45</v>
      </c>
      <c r="B35" s="1"/>
      <c r="C35" s="1"/>
      <c r="D35" s="1"/>
      <c r="E35" s="1">
        <v>550</v>
      </c>
      <c r="F35" s="1" t="s">
        <v>46</v>
      </c>
      <c r="G35" s="1"/>
      <c r="H35" s="1"/>
      <c r="I35" s="1"/>
      <c r="J35" s="1"/>
      <c r="K35" s="1"/>
    </row>
    <row r="36" spans="1:99" x14ac:dyDescent="0.2">
      <c r="A36" s="1" t="s">
        <v>47</v>
      </c>
      <c r="B36" s="1"/>
      <c r="C36" s="1"/>
      <c r="D36" s="1"/>
      <c r="E36" s="1">
        <v>10</v>
      </c>
      <c r="F36" s="1"/>
      <c r="G36" s="1"/>
      <c r="H36" s="1"/>
      <c r="I36" s="1"/>
      <c r="J36" s="1"/>
      <c r="K36" s="1"/>
    </row>
    <row r="37" spans="1:99" x14ac:dyDescent="0.2">
      <c r="A37" s="1" t="s">
        <v>48</v>
      </c>
      <c r="B37" s="1"/>
      <c r="C37" s="1"/>
      <c r="D37" s="1"/>
      <c r="E37" s="1">
        <v>50</v>
      </c>
      <c r="F37" s="1" t="s">
        <v>49</v>
      </c>
      <c r="G37" s="1"/>
      <c r="H37" s="1"/>
      <c r="I37" s="1"/>
      <c r="J37" s="1"/>
      <c r="K37" s="1"/>
    </row>
    <row r="38" spans="1:99" x14ac:dyDescent="0.2">
      <c r="A38" s="1" t="s">
        <v>50</v>
      </c>
      <c r="B38" s="1"/>
      <c r="C38" s="1"/>
      <c r="D38" s="1"/>
      <c r="E38" s="1" t="s">
        <v>33</v>
      </c>
      <c r="F38" s="1"/>
      <c r="G38" s="1"/>
      <c r="H38" s="1"/>
      <c r="I38" s="1"/>
      <c r="J38" s="1"/>
      <c r="K38" s="1"/>
    </row>
    <row r="39" spans="1:99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99" x14ac:dyDescent="0.2">
      <c r="A40" s="1" t="s">
        <v>34</v>
      </c>
      <c r="B40" s="1"/>
      <c r="C40" s="1"/>
      <c r="D40" s="1"/>
      <c r="E40" s="1" t="s">
        <v>35</v>
      </c>
      <c r="F40" s="1"/>
      <c r="G40" s="1"/>
      <c r="H40" s="1"/>
      <c r="I40" s="1"/>
      <c r="J40" s="1"/>
      <c r="K40" s="1"/>
    </row>
    <row r="41" spans="1:99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99" x14ac:dyDescent="0.2">
      <c r="A42" s="1" t="s">
        <v>28</v>
      </c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 x14ac:dyDescent="0.2">
      <c r="A43" s="3" t="s">
        <v>51</v>
      </c>
      <c r="B43" s="3" t="s">
        <v>52</v>
      </c>
      <c r="C43" s="3" t="s">
        <v>53</v>
      </c>
      <c r="D43" s="3" t="s">
        <v>54</v>
      </c>
      <c r="E43" s="3" t="s">
        <v>55</v>
      </c>
      <c r="F43" s="3" t="s">
        <v>56</v>
      </c>
      <c r="G43" s="3" t="s">
        <v>57</v>
      </c>
      <c r="H43" s="3" t="s">
        <v>58</v>
      </c>
      <c r="I43" s="3" t="s">
        <v>59</v>
      </c>
      <c r="J43" s="3" t="s">
        <v>60</v>
      </c>
      <c r="K43" s="3" t="s">
        <v>61</v>
      </c>
      <c r="L43" s="3" t="s">
        <v>62</v>
      </c>
      <c r="M43" s="3" t="s">
        <v>63</v>
      </c>
      <c r="N43" s="3" t="s">
        <v>64</v>
      </c>
      <c r="O43" s="3" t="s">
        <v>65</v>
      </c>
      <c r="P43" s="3" t="s">
        <v>66</v>
      </c>
      <c r="Q43" s="3" t="s">
        <v>67</v>
      </c>
      <c r="R43" s="3" t="s">
        <v>68</v>
      </c>
      <c r="S43" s="3" t="s">
        <v>69</v>
      </c>
      <c r="T43" s="3" t="s">
        <v>70</v>
      </c>
      <c r="U43" s="3" t="s">
        <v>71</v>
      </c>
      <c r="V43" s="3" t="s">
        <v>72</v>
      </c>
      <c r="W43" s="3" t="s">
        <v>73</v>
      </c>
      <c r="X43" s="3" t="s">
        <v>74</v>
      </c>
      <c r="Y43" s="3" t="s">
        <v>75</v>
      </c>
      <c r="Z43" s="3" t="s">
        <v>76</v>
      </c>
      <c r="AA43" s="3" t="s">
        <v>77</v>
      </c>
      <c r="AB43" s="3" t="s">
        <v>78</v>
      </c>
      <c r="AC43" s="3" t="s">
        <v>79</v>
      </c>
      <c r="AD43" s="3" t="s">
        <v>80</v>
      </c>
      <c r="AE43" s="3" t="s">
        <v>81</v>
      </c>
      <c r="AF43" s="3" t="s">
        <v>82</v>
      </c>
      <c r="AG43" s="3" t="s">
        <v>83</v>
      </c>
      <c r="AH43" s="3" t="s">
        <v>84</v>
      </c>
      <c r="AI43" s="3" t="s">
        <v>85</v>
      </c>
      <c r="AJ43" s="3" t="s">
        <v>86</v>
      </c>
      <c r="AK43" s="3" t="s">
        <v>87</v>
      </c>
      <c r="AL43" s="3" t="s">
        <v>88</v>
      </c>
      <c r="AM43" s="3" t="s">
        <v>89</v>
      </c>
      <c r="AN43" s="3" t="s">
        <v>90</v>
      </c>
      <c r="AO43" s="3" t="s">
        <v>91</v>
      </c>
      <c r="AP43" s="3" t="s">
        <v>92</v>
      </c>
      <c r="AQ43" s="3" t="s">
        <v>93</v>
      </c>
      <c r="AR43" s="3" t="s">
        <v>94</v>
      </c>
      <c r="AS43" s="3" t="s">
        <v>95</v>
      </c>
      <c r="AT43" s="3" t="s">
        <v>96</v>
      </c>
      <c r="AU43" s="3" t="s">
        <v>97</v>
      </c>
      <c r="AV43" s="3" t="s">
        <v>98</v>
      </c>
      <c r="AW43" s="3" t="s">
        <v>99</v>
      </c>
      <c r="AX43" s="3" t="s">
        <v>100</v>
      </c>
      <c r="AY43" s="3" t="s">
        <v>101</v>
      </c>
      <c r="AZ43" s="3" t="s">
        <v>102</v>
      </c>
      <c r="BA43" s="3" t="s">
        <v>103</v>
      </c>
      <c r="BB43" s="3" t="s">
        <v>104</v>
      </c>
      <c r="BC43" s="3" t="s">
        <v>105</v>
      </c>
      <c r="BD43" s="3" t="s">
        <v>106</v>
      </c>
      <c r="BE43" s="3" t="s">
        <v>107</v>
      </c>
      <c r="BF43" s="3" t="s">
        <v>108</v>
      </c>
      <c r="BG43" s="3" t="s">
        <v>109</v>
      </c>
      <c r="BH43" s="3" t="s">
        <v>110</v>
      </c>
      <c r="BI43" s="3" t="s">
        <v>111</v>
      </c>
      <c r="BJ43" s="3" t="s">
        <v>112</v>
      </c>
      <c r="BK43" s="3" t="s">
        <v>113</v>
      </c>
      <c r="BL43" s="3" t="s">
        <v>114</v>
      </c>
      <c r="BM43" s="3" t="s">
        <v>115</v>
      </c>
      <c r="BN43" s="3" t="s">
        <v>116</v>
      </c>
      <c r="BO43" s="3" t="s">
        <v>117</v>
      </c>
      <c r="BP43" s="3" t="s">
        <v>118</v>
      </c>
      <c r="BQ43" s="3" t="s">
        <v>119</v>
      </c>
      <c r="BR43" s="3" t="s">
        <v>120</v>
      </c>
      <c r="BS43" s="3" t="s">
        <v>121</v>
      </c>
      <c r="BT43" s="3" t="s">
        <v>122</v>
      </c>
      <c r="BU43" s="3" t="s">
        <v>123</v>
      </c>
      <c r="BV43" s="3" t="s">
        <v>124</v>
      </c>
      <c r="BW43" s="3" t="s">
        <v>125</v>
      </c>
      <c r="BX43" s="3" t="s">
        <v>126</v>
      </c>
      <c r="BY43" s="3" t="s">
        <v>127</v>
      </c>
      <c r="BZ43" s="3" t="s">
        <v>128</v>
      </c>
      <c r="CA43" s="3" t="s">
        <v>129</v>
      </c>
      <c r="CB43" s="3" t="s">
        <v>130</v>
      </c>
      <c r="CC43" s="3" t="s">
        <v>131</v>
      </c>
      <c r="CD43" s="3" t="s">
        <v>132</v>
      </c>
      <c r="CE43" s="3" t="s">
        <v>133</v>
      </c>
      <c r="CF43" s="3" t="s">
        <v>134</v>
      </c>
      <c r="CG43" s="3" t="s">
        <v>135</v>
      </c>
      <c r="CH43" s="3" t="s">
        <v>136</v>
      </c>
      <c r="CI43" s="3" t="s">
        <v>137</v>
      </c>
      <c r="CJ43" s="3" t="s">
        <v>138</v>
      </c>
      <c r="CK43" s="3" t="s">
        <v>139</v>
      </c>
      <c r="CL43" s="3" t="s">
        <v>140</v>
      </c>
      <c r="CM43" s="3" t="s">
        <v>141</v>
      </c>
      <c r="CN43" s="3" t="s">
        <v>142</v>
      </c>
      <c r="CO43" s="3" t="s">
        <v>143</v>
      </c>
      <c r="CP43" s="3" t="s">
        <v>144</v>
      </c>
      <c r="CQ43" s="3" t="s">
        <v>145</v>
      </c>
      <c r="CR43" s="3" t="s">
        <v>146</v>
      </c>
      <c r="CS43" s="3" t="s">
        <v>147</v>
      </c>
      <c r="CT43" s="3" t="s">
        <v>148</v>
      </c>
      <c r="CU43" s="3" t="s">
        <v>149</v>
      </c>
    </row>
    <row r="44" spans="1:99" x14ac:dyDescent="0.2">
      <c r="A44" s="3" t="s">
        <v>150</v>
      </c>
      <c r="B44" s="1">
        <v>0</v>
      </c>
      <c r="C44" s="1">
        <v>30</v>
      </c>
      <c r="D44" s="1">
        <v>0.72629999999999995</v>
      </c>
      <c r="E44" s="1">
        <v>0.73370000000000002</v>
      </c>
      <c r="F44" s="1">
        <v>0.74529999999999996</v>
      </c>
      <c r="G44" s="1">
        <v>0.74280000000000002</v>
      </c>
      <c r="H44" s="1">
        <v>0.73799999999999999</v>
      </c>
      <c r="I44" s="1">
        <v>0.71899999999999997</v>
      </c>
      <c r="J44" s="1"/>
      <c r="K44" s="1"/>
      <c r="L44" s="1"/>
      <c r="M44" s="1">
        <v>0.74370000000000003</v>
      </c>
      <c r="N44" s="1"/>
      <c r="O44" s="1"/>
      <c r="P44" s="1">
        <v>0.74480000000000002</v>
      </c>
      <c r="Q44" s="1">
        <v>0.72350000000000003</v>
      </c>
      <c r="R44" s="1">
        <v>0.70650000000000002</v>
      </c>
      <c r="S44" s="1">
        <v>0.72140000000000004</v>
      </c>
      <c r="T44" s="1">
        <v>0.73619999999999997</v>
      </c>
      <c r="U44" s="1">
        <v>0.55320000000000003</v>
      </c>
      <c r="V44" s="1"/>
      <c r="W44" s="1"/>
      <c r="X44" s="1"/>
      <c r="Y44" s="1"/>
      <c r="Z44" s="1"/>
      <c r="AA44" s="1"/>
      <c r="AB44" s="1">
        <v>0.71860000000000002</v>
      </c>
      <c r="AC44" s="1">
        <v>0.70930000000000004</v>
      </c>
      <c r="AD44" s="1">
        <v>0.72430000000000005</v>
      </c>
      <c r="AE44" s="1">
        <v>0.73240000000000005</v>
      </c>
      <c r="AF44" s="1">
        <v>0.74660000000000004</v>
      </c>
      <c r="AG44" s="1">
        <v>0.73819999999999997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 x14ac:dyDescent="0.2">
      <c r="A45" s="3" t="s">
        <v>151</v>
      </c>
      <c r="B45" s="1">
        <v>59.735999999999997</v>
      </c>
      <c r="C45" s="1">
        <v>29.9</v>
      </c>
      <c r="D45" s="1">
        <v>0.72850000000000004</v>
      </c>
      <c r="E45" s="1">
        <v>0.73570000000000002</v>
      </c>
      <c r="F45" s="1">
        <v>0.74709999999999999</v>
      </c>
      <c r="G45" s="1">
        <v>0.74370000000000003</v>
      </c>
      <c r="H45" s="1">
        <v>0.73839999999999995</v>
      </c>
      <c r="I45" s="1">
        <v>0.71889999999999998</v>
      </c>
      <c r="J45" s="1"/>
      <c r="K45" s="1"/>
      <c r="L45" s="1"/>
      <c r="M45" s="1">
        <v>0.74470000000000003</v>
      </c>
      <c r="N45" s="1"/>
      <c r="O45" s="1"/>
      <c r="P45" s="1">
        <v>0.74619999999999997</v>
      </c>
      <c r="Q45" s="1">
        <v>0.72440000000000004</v>
      </c>
      <c r="R45" s="1">
        <v>0.70750000000000002</v>
      </c>
      <c r="S45" s="1">
        <v>0.72299999999999998</v>
      </c>
      <c r="T45" s="1">
        <v>0.73609999999999998</v>
      </c>
      <c r="U45" s="1">
        <v>0.5544</v>
      </c>
      <c r="V45" s="1"/>
      <c r="W45" s="1"/>
      <c r="X45" s="1"/>
      <c r="Y45" s="1"/>
      <c r="Z45" s="1"/>
      <c r="AA45" s="1"/>
      <c r="AB45" s="1">
        <v>0.7258</v>
      </c>
      <c r="AC45" s="1">
        <v>0.71209999999999996</v>
      </c>
      <c r="AD45" s="1">
        <v>0.72689999999999999</v>
      </c>
      <c r="AE45" s="1">
        <v>0.73519999999999996</v>
      </c>
      <c r="AF45" s="1">
        <v>0.74399999999999999</v>
      </c>
      <c r="AG45" s="1">
        <v>0.74390000000000001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 x14ac:dyDescent="0.2">
      <c r="A46" s="3" t="s">
        <v>152</v>
      </c>
      <c r="B46" s="1">
        <v>119.739</v>
      </c>
      <c r="C46" s="1">
        <v>30.1</v>
      </c>
      <c r="D46" s="1">
        <v>0.73099999999999998</v>
      </c>
      <c r="E46" s="1">
        <v>0.73799999999999999</v>
      </c>
      <c r="F46" s="1">
        <v>0.75029999999999997</v>
      </c>
      <c r="G46" s="1">
        <v>0.74570000000000003</v>
      </c>
      <c r="H46" s="1">
        <v>0.74109999999999998</v>
      </c>
      <c r="I46" s="1">
        <v>0.72040000000000004</v>
      </c>
      <c r="J46" s="1"/>
      <c r="K46" s="1"/>
      <c r="L46" s="1"/>
      <c r="M46" s="1">
        <v>0.74660000000000004</v>
      </c>
      <c r="N46" s="1"/>
      <c r="O46" s="1"/>
      <c r="P46" s="1">
        <v>0.74839999999999995</v>
      </c>
      <c r="Q46" s="1">
        <v>0.72660000000000002</v>
      </c>
      <c r="R46" s="1">
        <v>0.70979999999999999</v>
      </c>
      <c r="S46" s="1">
        <v>0.72519999999999996</v>
      </c>
      <c r="T46" s="1">
        <v>0.73829999999999996</v>
      </c>
      <c r="U46" s="1">
        <v>0.55530000000000002</v>
      </c>
      <c r="V46" s="1"/>
      <c r="W46" s="1"/>
      <c r="X46" s="1"/>
      <c r="Y46" s="1"/>
      <c r="Z46" s="1"/>
      <c r="AA46" s="1"/>
      <c r="AB46" s="1">
        <v>0.72350000000000003</v>
      </c>
      <c r="AC46" s="1">
        <v>0.71319999999999995</v>
      </c>
      <c r="AD46" s="1">
        <v>0.72850000000000004</v>
      </c>
      <c r="AE46" s="1">
        <v>0.73699999999999999</v>
      </c>
      <c r="AF46" s="1">
        <v>0.7419</v>
      </c>
      <c r="AG46" s="1">
        <v>0.74299999999999999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 x14ac:dyDescent="0.2">
      <c r="A47" s="3" t="s">
        <v>153</v>
      </c>
      <c r="B47" s="1">
        <v>179.749</v>
      </c>
      <c r="C47" s="1">
        <v>30.1</v>
      </c>
      <c r="D47" s="1">
        <v>0.73240000000000005</v>
      </c>
      <c r="E47" s="1">
        <v>0.74019999999999997</v>
      </c>
      <c r="F47" s="1">
        <v>0.75180000000000002</v>
      </c>
      <c r="G47" s="1">
        <v>0.74770000000000003</v>
      </c>
      <c r="H47" s="1">
        <v>0.74309999999999998</v>
      </c>
      <c r="I47" s="1">
        <v>0.72319999999999995</v>
      </c>
      <c r="J47" s="1"/>
      <c r="K47" s="1"/>
      <c r="L47" s="1"/>
      <c r="M47" s="1">
        <v>0.74950000000000006</v>
      </c>
      <c r="N47" s="1"/>
      <c r="O47" s="1"/>
      <c r="P47" s="1">
        <v>0.75080000000000002</v>
      </c>
      <c r="Q47" s="1">
        <v>0.72829999999999995</v>
      </c>
      <c r="R47" s="1">
        <v>0.71230000000000004</v>
      </c>
      <c r="S47" s="1">
        <v>0.72640000000000005</v>
      </c>
      <c r="T47" s="1">
        <v>0.73960000000000004</v>
      </c>
      <c r="U47" s="1">
        <v>0.55730000000000002</v>
      </c>
      <c r="V47" s="1"/>
      <c r="W47" s="1"/>
      <c r="X47" s="1"/>
      <c r="Y47" s="1"/>
      <c r="Z47" s="1"/>
      <c r="AA47" s="1"/>
      <c r="AB47" s="1">
        <v>0.72670000000000001</v>
      </c>
      <c r="AC47" s="1">
        <v>0.71489999999999998</v>
      </c>
      <c r="AD47" s="1">
        <v>0.72909999999999997</v>
      </c>
      <c r="AE47" s="1">
        <v>0.7379</v>
      </c>
      <c r="AF47" s="1">
        <v>0.73970000000000002</v>
      </c>
      <c r="AG47" s="1">
        <v>0.74409999999999998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 x14ac:dyDescent="0.2">
      <c r="A48" s="3" t="s">
        <v>154</v>
      </c>
      <c r="B48" s="1">
        <v>239.744</v>
      </c>
      <c r="C48" s="1">
        <v>30.1</v>
      </c>
      <c r="D48" s="1">
        <v>0.73370000000000002</v>
      </c>
      <c r="E48" s="1">
        <v>0.74180000000000001</v>
      </c>
      <c r="F48" s="1">
        <v>0.75360000000000005</v>
      </c>
      <c r="G48" s="1">
        <v>0.74929999999999997</v>
      </c>
      <c r="H48" s="1">
        <v>0.74439999999999995</v>
      </c>
      <c r="I48" s="1">
        <v>0.72540000000000004</v>
      </c>
      <c r="J48" s="1"/>
      <c r="K48" s="1"/>
      <c r="L48" s="1"/>
      <c r="M48" s="1">
        <v>0.75070000000000003</v>
      </c>
      <c r="N48" s="1"/>
      <c r="O48" s="1"/>
      <c r="P48" s="1">
        <v>0.752</v>
      </c>
      <c r="Q48" s="1">
        <v>0.73</v>
      </c>
      <c r="R48" s="1">
        <v>0.71330000000000005</v>
      </c>
      <c r="S48" s="1">
        <v>0.72850000000000004</v>
      </c>
      <c r="T48" s="1">
        <v>0.74099999999999999</v>
      </c>
      <c r="U48" s="1">
        <v>0.55859999999999999</v>
      </c>
      <c r="V48" s="1"/>
      <c r="W48" s="1"/>
      <c r="X48" s="1"/>
      <c r="Y48" s="1"/>
      <c r="Z48" s="1"/>
      <c r="AA48" s="1"/>
      <c r="AB48" s="1">
        <v>0.7278</v>
      </c>
      <c r="AC48" s="1">
        <v>0.71660000000000001</v>
      </c>
      <c r="AD48" s="1">
        <v>0.73140000000000005</v>
      </c>
      <c r="AE48" s="1">
        <v>0.73970000000000002</v>
      </c>
      <c r="AF48" s="1">
        <v>0.74260000000000004</v>
      </c>
      <c r="AG48" s="1">
        <v>0.74609999999999999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 x14ac:dyDescent="0.2">
      <c r="A49" s="3" t="s">
        <v>155</v>
      </c>
      <c r="B49" s="1">
        <v>299.74299999999999</v>
      </c>
      <c r="C49" s="1">
        <v>30.1</v>
      </c>
      <c r="D49" s="1">
        <v>0.73519999999999996</v>
      </c>
      <c r="E49" s="1">
        <v>0.74280000000000002</v>
      </c>
      <c r="F49" s="1">
        <v>0.75509999999999999</v>
      </c>
      <c r="G49" s="1">
        <v>0.75080000000000002</v>
      </c>
      <c r="H49" s="1">
        <v>0.74590000000000001</v>
      </c>
      <c r="I49" s="1">
        <v>0.72640000000000005</v>
      </c>
      <c r="J49" s="1"/>
      <c r="K49" s="1"/>
      <c r="L49" s="1"/>
      <c r="M49" s="1">
        <v>0.75270000000000004</v>
      </c>
      <c r="N49" s="1"/>
      <c r="O49" s="1"/>
      <c r="P49" s="1">
        <v>0.75260000000000005</v>
      </c>
      <c r="Q49" s="1">
        <v>0.73140000000000005</v>
      </c>
      <c r="R49" s="1">
        <v>0.71489999999999998</v>
      </c>
      <c r="S49" s="1">
        <v>0.72929999999999995</v>
      </c>
      <c r="T49" s="1">
        <v>0.74280000000000002</v>
      </c>
      <c r="U49" s="1">
        <v>0.5595</v>
      </c>
      <c r="V49" s="1"/>
      <c r="W49" s="1"/>
      <c r="X49" s="1"/>
      <c r="Y49" s="1"/>
      <c r="Z49" s="1"/>
      <c r="AA49" s="1"/>
      <c r="AB49" s="1">
        <v>0.72450000000000003</v>
      </c>
      <c r="AC49" s="1">
        <v>0.7167</v>
      </c>
      <c r="AD49" s="1">
        <v>0.73270000000000002</v>
      </c>
      <c r="AE49" s="1">
        <v>0.74070000000000003</v>
      </c>
      <c r="AF49" s="1">
        <v>0.74780000000000002</v>
      </c>
      <c r="AG49" s="1">
        <v>0.748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 x14ac:dyDescent="0.2">
      <c r="A50" s="3" t="s">
        <v>156</v>
      </c>
      <c r="B50" s="1">
        <v>359.73500000000001</v>
      </c>
      <c r="C50" s="1">
        <v>30.1</v>
      </c>
      <c r="D50" s="1">
        <v>0.73640000000000005</v>
      </c>
      <c r="E50" s="1">
        <v>0.74299999999999999</v>
      </c>
      <c r="F50" s="1">
        <v>0.75639999999999996</v>
      </c>
      <c r="G50" s="1">
        <v>0.752</v>
      </c>
      <c r="H50" s="1">
        <v>0.74709999999999999</v>
      </c>
      <c r="I50" s="1">
        <v>0.72770000000000001</v>
      </c>
      <c r="J50" s="1"/>
      <c r="K50" s="1"/>
      <c r="L50" s="1"/>
      <c r="M50" s="1">
        <v>0.75429999999999997</v>
      </c>
      <c r="N50" s="1"/>
      <c r="O50" s="1"/>
      <c r="P50" s="1">
        <v>0.75470000000000004</v>
      </c>
      <c r="Q50" s="1">
        <v>0.73319999999999996</v>
      </c>
      <c r="R50" s="1">
        <v>0.71719999999999995</v>
      </c>
      <c r="S50" s="1">
        <v>0.73080000000000001</v>
      </c>
      <c r="T50" s="1">
        <v>0.74399999999999999</v>
      </c>
      <c r="U50" s="1">
        <v>0.55930000000000002</v>
      </c>
      <c r="V50" s="1"/>
      <c r="W50" s="1"/>
      <c r="X50" s="1"/>
      <c r="Y50" s="1"/>
      <c r="Z50" s="1"/>
      <c r="AA50" s="1"/>
      <c r="AB50" s="1">
        <v>0.73199999999999998</v>
      </c>
      <c r="AC50" s="1">
        <v>0.71870000000000001</v>
      </c>
      <c r="AD50" s="1">
        <v>0.73280000000000001</v>
      </c>
      <c r="AE50" s="1">
        <v>0.74150000000000005</v>
      </c>
      <c r="AF50" s="1">
        <v>0.75470000000000004</v>
      </c>
      <c r="AG50" s="1">
        <v>0.74829999999999997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 x14ac:dyDescent="0.2">
      <c r="A51" s="3" t="s">
        <v>157</v>
      </c>
      <c r="B51" s="1">
        <v>419.745</v>
      </c>
      <c r="C51" s="1">
        <v>30.1</v>
      </c>
      <c r="D51" s="1">
        <v>0.73760000000000003</v>
      </c>
      <c r="E51" s="1">
        <v>0.746</v>
      </c>
      <c r="F51" s="1">
        <v>0.75829999999999997</v>
      </c>
      <c r="G51" s="1">
        <v>0.75509999999999999</v>
      </c>
      <c r="H51" s="1">
        <v>0.74960000000000004</v>
      </c>
      <c r="I51" s="1">
        <v>0.72960000000000003</v>
      </c>
      <c r="J51" s="1"/>
      <c r="K51" s="1"/>
      <c r="L51" s="1"/>
      <c r="M51" s="1">
        <v>0.75560000000000005</v>
      </c>
      <c r="N51" s="1"/>
      <c r="O51" s="1"/>
      <c r="P51" s="1">
        <v>0.75519999999999998</v>
      </c>
      <c r="Q51" s="1">
        <v>0.73350000000000004</v>
      </c>
      <c r="R51" s="1">
        <v>0.71750000000000003</v>
      </c>
      <c r="S51" s="1">
        <v>0.7319</v>
      </c>
      <c r="T51" s="1">
        <v>0.74509999999999998</v>
      </c>
      <c r="U51" s="1">
        <v>0.56010000000000004</v>
      </c>
      <c r="V51" s="1"/>
      <c r="W51" s="1"/>
      <c r="X51" s="1"/>
      <c r="Y51" s="1"/>
      <c r="Z51" s="1"/>
      <c r="AA51" s="1"/>
      <c r="AB51" s="1">
        <v>0.73070000000000002</v>
      </c>
      <c r="AC51" s="1">
        <v>0.72040000000000004</v>
      </c>
      <c r="AD51" s="1">
        <v>0.73580000000000001</v>
      </c>
      <c r="AE51" s="1">
        <v>0.74390000000000001</v>
      </c>
      <c r="AF51" s="1">
        <v>0.75209999999999999</v>
      </c>
      <c r="AG51" s="1">
        <v>0.75049999999999994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 x14ac:dyDescent="0.2">
      <c r="A52" s="3" t="s">
        <v>158</v>
      </c>
      <c r="B52" s="1">
        <v>479.73500000000001</v>
      </c>
      <c r="C52" s="1">
        <v>30.1</v>
      </c>
      <c r="D52" s="1">
        <v>0.73850000000000005</v>
      </c>
      <c r="E52" s="1">
        <v>0.74729999999999996</v>
      </c>
      <c r="F52" s="1">
        <v>0.76029999999999998</v>
      </c>
      <c r="G52" s="1">
        <v>0.75609999999999999</v>
      </c>
      <c r="H52" s="1">
        <v>0.75060000000000004</v>
      </c>
      <c r="I52" s="1">
        <v>0.73140000000000005</v>
      </c>
      <c r="J52" s="1"/>
      <c r="K52" s="1"/>
      <c r="L52" s="1"/>
      <c r="M52" s="1">
        <v>0.75719999999999998</v>
      </c>
      <c r="N52" s="1"/>
      <c r="O52" s="1"/>
      <c r="P52" s="1">
        <v>0.75700000000000001</v>
      </c>
      <c r="Q52" s="1">
        <v>0.73529999999999995</v>
      </c>
      <c r="R52" s="1">
        <v>0.71879999999999999</v>
      </c>
      <c r="S52" s="1">
        <v>0.73329999999999995</v>
      </c>
      <c r="T52" s="1">
        <v>0.74609999999999999</v>
      </c>
      <c r="U52" s="1">
        <v>0.5615</v>
      </c>
      <c r="V52" s="1"/>
      <c r="W52" s="1"/>
      <c r="X52" s="1"/>
      <c r="Y52" s="1"/>
      <c r="Z52" s="1"/>
      <c r="AA52" s="1"/>
      <c r="AB52" s="1">
        <v>0.73250000000000004</v>
      </c>
      <c r="AC52" s="1">
        <v>0.72170000000000001</v>
      </c>
      <c r="AD52" s="1">
        <v>0.73760000000000003</v>
      </c>
      <c r="AE52" s="1">
        <v>0.74590000000000001</v>
      </c>
      <c r="AF52" s="1">
        <v>0.75480000000000003</v>
      </c>
      <c r="AG52" s="1">
        <v>0.75129999999999997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 x14ac:dyDescent="0.2">
      <c r="A53" s="3" t="s">
        <v>159</v>
      </c>
      <c r="B53" s="1">
        <v>539.74199999999996</v>
      </c>
      <c r="C53" s="1">
        <v>30</v>
      </c>
      <c r="D53" s="1">
        <v>0.73970000000000002</v>
      </c>
      <c r="E53" s="1">
        <v>0.74829999999999997</v>
      </c>
      <c r="F53" s="1">
        <v>0.76139999999999997</v>
      </c>
      <c r="G53" s="1">
        <v>0.75670000000000004</v>
      </c>
      <c r="H53" s="1">
        <v>0.75270000000000004</v>
      </c>
      <c r="I53" s="1">
        <v>0.73270000000000002</v>
      </c>
      <c r="J53" s="1"/>
      <c r="K53" s="1"/>
      <c r="L53" s="1"/>
      <c r="M53" s="1">
        <v>0.75829999999999997</v>
      </c>
      <c r="N53" s="1"/>
      <c r="O53" s="1"/>
      <c r="P53" s="1">
        <v>0.75760000000000005</v>
      </c>
      <c r="Q53" s="1">
        <v>0.73709999999999998</v>
      </c>
      <c r="R53" s="1">
        <v>0.72030000000000005</v>
      </c>
      <c r="S53" s="1">
        <v>0.73409999999999997</v>
      </c>
      <c r="T53" s="1">
        <v>0.74750000000000005</v>
      </c>
      <c r="U53" s="1">
        <v>0.56189999999999996</v>
      </c>
      <c r="V53" s="1"/>
      <c r="W53" s="1"/>
      <c r="X53" s="1"/>
      <c r="Y53" s="1"/>
      <c r="Z53" s="1"/>
      <c r="AA53" s="1"/>
      <c r="AB53" s="1">
        <v>0.73070000000000002</v>
      </c>
      <c r="AC53" s="1">
        <v>0.72309999999999997</v>
      </c>
      <c r="AD53" s="1">
        <v>0.73799999999999999</v>
      </c>
      <c r="AE53" s="1">
        <v>0.74660000000000004</v>
      </c>
      <c r="AF53" s="1">
        <v>0.75690000000000002</v>
      </c>
      <c r="AG53" s="1">
        <v>0.75280000000000002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 x14ac:dyDescent="0.2">
      <c r="A54" s="3" t="s">
        <v>160</v>
      </c>
      <c r="B54" s="1">
        <v>599.74199999999996</v>
      </c>
      <c r="C54" s="1">
        <v>30.1</v>
      </c>
      <c r="D54" s="1">
        <v>0.74099999999999999</v>
      </c>
      <c r="E54" s="1">
        <v>0.75019999999999998</v>
      </c>
      <c r="F54" s="1">
        <v>0.76229999999999998</v>
      </c>
      <c r="G54" s="1">
        <v>0.75890000000000002</v>
      </c>
      <c r="H54" s="1">
        <v>0.754</v>
      </c>
      <c r="I54" s="1">
        <v>0.73460000000000003</v>
      </c>
      <c r="J54" s="1"/>
      <c r="K54" s="1"/>
      <c r="L54" s="1"/>
      <c r="M54" s="1">
        <v>0.76070000000000004</v>
      </c>
      <c r="N54" s="1"/>
      <c r="O54" s="1"/>
      <c r="P54" s="1">
        <v>0.75870000000000004</v>
      </c>
      <c r="Q54" s="1">
        <v>0.73819999999999997</v>
      </c>
      <c r="R54" s="1">
        <v>0.72209999999999996</v>
      </c>
      <c r="S54" s="1">
        <v>0.73509999999999998</v>
      </c>
      <c r="T54" s="1">
        <v>0.74819999999999998</v>
      </c>
      <c r="U54" s="1">
        <v>0.56159999999999999</v>
      </c>
      <c r="V54" s="1"/>
      <c r="W54" s="1"/>
      <c r="X54" s="1"/>
      <c r="Y54" s="1"/>
      <c r="Z54" s="1"/>
      <c r="AA54" s="1"/>
      <c r="AB54" s="1">
        <v>0.73199999999999998</v>
      </c>
      <c r="AC54" s="1">
        <v>0.72360000000000002</v>
      </c>
      <c r="AD54" s="1">
        <v>0.7389</v>
      </c>
      <c r="AE54" s="1">
        <v>0.748</v>
      </c>
      <c r="AF54" s="1">
        <v>0.75860000000000005</v>
      </c>
      <c r="AG54" s="1">
        <v>0.75439999999999996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 x14ac:dyDescent="0.2">
      <c r="A55" s="3" t="s">
        <v>161</v>
      </c>
      <c r="B55" s="1">
        <v>659.73699999999997</v>
      </c>
      <c r="C55" s="1">
        <v>30</v>
      </c>
      <c r="D55" s="1">
        <v>0.74150000000000005</v>
      </c>
      <c r="E55" s="1">
        <v>0.751</v>
      </c>
      <c r="F55" s="1">
        <v>0.76429999999999998</v>
      </c>
      <c r="G55" s="1">
        <v>0.75970000000000004</v>
      </c>
      <c r="H55" s="1">
        <v>0.75539999999999996</v>
      </c>
      <c r="I55" s="1">
        <v>0.73540000000000005</v>
      </c>
      <c r="J55" s="1"/>
      <c r="K55" s="1"/>
      <c r="L55" s="1"/>
      <c r="M55" s="1">
        <v>0.76229999999999998</v>
      </c>
      <c r="N55" s="1"/>
      <c r="O55" s="1"/>
      <c r="P55" s="1">
        <v>0.75960000000000005</v>
      </c>
      <c r="Q55" s="1">
        <v>0.73939999999999995</v>
      </c>
      <c r="R55" s="1">
        <v>0.72289999999999999</v>
      </c>
      <c r="S55" s="1">
        <v>0.73640000000000005</v>
      </c>
      <c r="T55" s="1">
        <v>0.74929999999999997</v>
      </c>
      <c r="U55" s="1">
        <v>0.56359999999999999</v>
      </c>
      <c r="V55" s="1"/>
      <c r="W55" s="1"/>
      <c r="X55" s="1"/>
      <c r="Y55" s="1"/>
      <c r="Z55" s="1"/>
      <c r="AA55" s="1"/>
      <c r="AB55" s="1">
        <v>0.73680000000000001</v>
      </c>
      <c r="AC55" s="1">
        <v>0.72540000000000004</v>
      </c>
      <c r="AD55" s="1">
        <v>0.74129999999999996</v>
      </c>
      <c r="AE55" s="1">
        <v>0.74870000000000003</v>
      </c>
      <c r="AF55" s="1">
        <v>0.7611</v>
      </c>
      <c r="AG55" s="1">
        <v>0.75590000000000002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 x14ac:dyDescent="0.2">
      <c r="A56" s="3" t="s">
        <v>162</v>
      </c>
      <c r="B56" s="1">
        <v>719.73599999999999</v>
      </c>
      <c r="C56" s="1">
        <v>30.1</v>
      </c>
      <c r="D56" s="1">
        <v>0.74229999999999996</v>
      </c>
      <c r="E56" s="1">
        <v>0.75160000000000005</v>
      </c>
      <c r="F56" s="1">
        <v>0.76439999999999997</v>
      </c>
      <c r="G56" s="1">
        <v>0.76080000000000003</v>
      </c>
      <c r="H56" s="1">
        <v>0.75580000000000003</v>
      </c>
      <c r="I56" s="1">
        <v>0.73640000000000005</v>
      </c>
      <c r="J56" s="1"/>
      <c r="K56" s="1"/>
      <c r="L56" s="1"/>
      <c r="M56" s="1">
        <v>0.76280000000000003</v>
      </c>
      <c r="N56" s="1"/>
      <c r="O56" s="1"/>
      <c r="P56" s="1">
        <v>0.7611</v>
      </c>
      <c r="Q56" s="1">
        <v>0.74050000000000005</v>
      </c>
      <c r="R56" s="1">
        <v>0.72389999999999999</v>
      </c>
      <c r="S56" s="1">
        <v>0.73729999999999996</v>
      </c>
      <c r="T56" s="1">
        <v>0.75049999999999994</v>
      </c>
      <c r="U56" s="1">
        <v>0.5635</v>
      </c>
      <c r="V56" s="1"/>
      <c r="W56" s="1"/>
      <c r="X56" s="1"/>
      <c r="Y56" s="1"/>
      <c r="Z56" s="1"/>
      <c r="AA56" s="1"/>
      <c r="AB56" s="1">
        <v>0.73519999999999996</v>
      </c>
      <c r="AC56" s="1">
        <v>0.72599999999999998</v>
      </c>
      <c r="AD56" s="1">
        <v>0.7419</v>
      </c>
      <c r="AE56" s="1">
        <v>0.74990000000000001</v>
      </c>
      <c r="AF56" s="1">
        <v>0.76270000000000004</v>
      </c>
      <c r="AG56" s="1">
        <v>0.75839999999999996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 x14ac:dyDescent="0.2">
      <c r="A57" s="3" t="s">
        <v>163</v>
      </c>
      <c r="B57" s="1">
        <v>779.73</v>
      </c>
      <c r="C57" s="1">
        <v>30</v>
      </c>
      <c r="D57" s="1">
        <v>0.74350000000000005</v>
      </c>
      <c r="E57" s="1">
        <v>0.75229999999999997</v>
      </c>
      <c r="F57" s="1">
        <v>0.7661</v>
      </c>
      <c r="G57" s="1">
        <v>0.76180000000000003</v>
      </c>
      <c r="H57" s="1">
        <v>0.75719999999999998</v>
      </c>
      <c r="I57" s="1">
        <v>0.73740000000000006</v>
      </c>
      <c r="J57" s="1"/>
      <c r="K57" s="1"/>
      <c r="L57" s="1"/>
      <c r="M57" s="1">
        <v>0.76490000000000002</v>
      </c>
      <c r="N57" s="1"/>
      <c r="O57" s="1"/>
      <c r="P57" s="1">
        <v>0.76249999999999996</v>
      </c>
      <c r="Q57" s="1">
        <v>0.7419</v>
      </c>
      <c r="R57" s="1">
        <v>0.72560000000000002</v>
      </c>
      <c r="S57" s="1">
        <v>0.73839999999999995</v>
      </c>
      <c r="T57" s="1">
        <v>0.75180000000000002</v>
      </c>
      <c r="U57" s="1">
        <v>0.56189999999999996</v>
      </c>
      <c r="V57" s="1"/>
      <c r="W57" s="1"/>
      <c r="X57" s="1"/>
      <c r="Y57" s="1"/>
      <c r="Z57" s="1"/>
      <c r="AA57" s="1"/>
      <c r="AB57" s="1">
        <v>0.74029999999999996</v>
      </c>
      <c r="AC57" s="1">
        <v>0.72670000000000001</v>
      </c>
      <c r="AD57" s="1">
        <v>0.74260000000000004</v>
      </c>
      <c r="AE57" s="1">
        <v>0.75029999999999997</v>
      </c>
      <c r="AF57" s="1">
        <v>0.76490000000000002</v>
      </c>
      <c r="AG57" s="1">
        <v>0.76049999999999995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 x14ac:dyDescent="0.2">
      <c r="A58" s="3" t="s">
        <v>164</v>
      </c>
      <c r="B58" s="1">
        <v>839.72</v>
      </c>
      <c r="C58" s="1">
        <v>30.1</v>
      </c>
      <c r="D58" s="1">
        <v>0.74439999999999995</v>
      </c>
      <c r="E58" s="1">
        <v>0.75349999999999995</v>
      </c>
      <c r="F58" s="1">
        <v>0.76659999999999995</v>
      </c>
      <c r="G58" s="1">
        <v>0.76270000000000004</v>
      </c>
      <c r="H58" s="1">
        <v>0.75890000000000002</v>
      </c>
      <c r="I58" s="1">
        <v>0.73880000000000001</v>
      </c>
      <c r="J58" s="1"/>
      <c r="K58" s="1"/>
      <c r="L58" s="1"/>
      <c r="M58" s="1">
        <v>0.76600000000000001</v>
      </c>
      <c r="N58" s="1"/>
      <c r="O58" s="1"/>
      <c r="P58" s="1">
        <v>0.76280000000000003</v>
      </c>
      <c r="Q58" s="1">
        <v>0.74350000000000005</v>
      </c>
      <c r="R58" s="1">
        <v>0.72619999999999996</v>
      </c>
      <c r="S58" s="1">
        <v>0.74</v>
      </c>
      <c r="T58" s="1">
        <v>0.75260000000000005</v>
      </c>
      <c r="U58" s="1">
        <v>0.56510000000000005</v>
      </c>
      <c r="V58" s="1"/>
      <c r="W58" s="1"/>
      <c r="X58" s="1"/>
      <c r="Y58" s="1"/>
      <c r="Z58" s="1"/>
      <c r="AA58" s="1"/>
      <c r="AB58" s="1">
        <v>0.73609999999999998</v>
      </c>
      <c r="AC58" s="1">
        <v>0.72770000000000001</v>
      </c>
      <c r="AD58" s="1">
        <v>0.74360000000000004</v>
      </c>
      <c r="AE58" s="1">
        <v>0.75160000000000005</v>
      </c>
      <c r="AF58" s="1">
        <v>0.76590000000000003</v>
      </c>
      <c r="AG58" s="1">
        <v>0.76190000000000002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 x14ac:dyDescent="0.2">
      <c r="A59" s="3" t="s">
        <v>165</v>
      </c>
      <c r="B59" s="1">
        <v>899.72900000000004</v>
      </c>
      <c r="C59" s="1">
        <v>30</v>
      </c>
      <c r="D59" s="1">
        <v>0.745</v>
      </c>
      <c r="E59" s="1">
        <v>0.75570000000000004</v>
      </c>
      <c r="F59" s="1">
        <v>0.76819999999999999</v>
      </c>
      <c r="G59" s="1">
        <v>0.7641</v>
      </c>
      <c r="H59" s="1">
        <v>0.76</v>
      </c>
      <c r="I59" s="1">
        <v>0.74009999999999998</v>
      </c>
      <c r="J59" s="1"/>
      <c r="K59" s="1"/>
      <c r="L59" s="1"/>
      <c r="M59" s="1">
        <v>0.76759999999999995</v>
      </c>
      <c r="N59" s="1"/>
      <c r="O59" s="1"/>
      <c r="P59" s="1">
        <v>0.76400000000000001</v>
      </c>
      <c r="Q59" s="1">
        <v>0.74490000000000001</v>
      </c>
      <c r="R59" s="1">
        <v>0.72729999999999995</v>
      </c>
      <c r="S59" s="1">
        <v>0.74039999999999995</v>
      </c>
      <c r="T59" s="1">
        <v>0.75309999999999999</v>
      </c>
      <c r="U59" s="1">
        <v>0.56599999999999995</v>
      </c>
      <c r="V59" s="1"/>
      <c r="W59" s="1"/>
      <c r="X59" s="1"/>
      <c r="Y59" s="1"/>
      <c r="Z59" s="1"/>
      <c r="AA59" s="1"/>
      <c r="AB59" s="1">
        <v>0.73580000000000001</v>
      </c>
      <c r="AC59" s="1">
        <v>0.72840000000000005</v>
      </c>
      <c r="AD59" s="1">
        <v>0.74419999999999997</v>
      </c>
      <c r="AE59" s="1">
        <v>0.75249999999999995</v>
      </c>
      <c r="AF59" s="1">
        <v>0.76480000000000004</v>
      </c>
      <c r="AG59" s="1">
        <v>0.76190000000000002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 x14ac:dyDescent="0.2">
      <c r="A60" s="3" t="s">
        <v>166</v>
      </c>
      <c r="B60" s="1">
        <v>959.72500000000002</v>
      </c>
      <c r="C60" s="1">
        <v>30</v>
      </c>
      <c r="D60" s="1">
        <v>0.74519999999999997</v>
      </c>
      <c r="E60" s="1">
        <v>0.755</v>
      </c>
      <c r="F60" s="1">
        <v>0.76759999999999995</v>
      </c>
      <c r="G60" s="1">
        <v>0.76400000000000001</v>
      </c>
      <c r="H60" s="1">
        <v>0.76060000000000005</v>
      </c>
      <c r="I60" s="1">
        <v>0.74039999999999995</v>
      </c>
      <c r="J60" s="1"/>
      <c r="K60" s="1"/>
      <c r="L60" s="1"/>
      <c r="M60" s="1">
        <v>0.76749999999999996</v>
      </c>
      <c r="N60" s="1"/>
      <c r="O60" s="1"/>
      <c r="P60" s="1">
        <v>0.76529999999999998</v>
      </c>
      <c r="Q60" s="1">
        <v>0.74570000000000003</v>
      </c>
      <c r="R60" s="1">
        <v>0.72919999999999996</v>
      </c>
      <c r="S60" s="1">
        <v>0.74260000000000004</v>
      </c>
      <c r="T60" s="1">
        <v>0.755</v>
      </c>
      <c r="U60" s="1">
        <v>0.56369999999999998</v>
      </c>
      <c r="V60" s="1"/>
      <c r="W60" s="1"/>
      <c r="X60" s="1"/>
      <c r="Y60" s="1"/>
      <c r="Z60" s="1"/>
      <c r="AA60" s="1"/>
      <c r="AB60" s="1">
        <v>0.74060000000000004</v>
      </c>
      <c r="AC60" s="1">
        <v>0.72809999999999997</v>
      </c>
      <c r="AD60" s="1">
        <v>0.74439999999999995</v>
      </c>
      <c r="AE60" s="1">
        <v>0.75280000000000002</v>
      </c>
      <c r="AF60" s="1">
        <v>0.76400000000000001</v>
      </c>
      <c r="AG60" s="1">
        <v>0.76180000000000003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 x14ac:dyDescent="0.2">
      <c r="A61" s="3" t="s">
        <v>167</v>
      </c>
      <c r="B61" s="1">
        <v>1019.728</v>
      </c>
      <c r="C61" s="1">
        <v>30</v>
      </c>
      <c r="D61" s="1">
        <v>0.74550000000000005</v>
      </c>
      <c r="E61" s="1">
        <v>0.75939999999999996</v>
      </c>
      <c r="F61" s="1">
        <v>0.77070000000000005</v>
      </c>
      <c r="G61" s="1">
        <v>0.76590000000000003</v>
      </c>
      <c r="H61" s="1">
        <v>0.76259999999999994</v>
      </c>
      <c r="I61" s="1">
        <v>0.74250000000000005</v>
      </c>
      <c r="J61" s="1"/>
      <c r="K61" s="1"/>
      <c r="L61" s="1"/>
      <c r="M61" s="1">
        <v>0.76959999999999995</v>
      </c>
      <c r="N61" s="1"/>
      <c r="O61" s="1"/>
      <c r="P61" s="1">
        <v>0.76539999999999997</v>
      </c>
      <c r="Q61" s="1">
        <v>0.74619999999999997</v>
      </c>
      <c r="R61" s="1">
        <v>0.72919999999999996</v>
      </c>
      <c r="S61" s="1">
        <v>0.74260000000000004</v>
      </c>
      <c r="T61" s="1">
        <v>0.75490000000000002</v>
      </c>
      <c r="U61" s="1">
        <v>0.56579999999999997</v>
      </c>
      <c r="V61" s="1"/>
      <c r="W61" s="1"/>
      <c r="X61" s="1"/>
      <c r="Y61" s="1"/>
      <c r="Z61" s="1"/>
      <c r="AA61" s="1"/>
      <c r="AB61" s="1">
        <v>0.74239999999999995</v>
      </c>
      <c r="AC61" s="1">
        <v>0.73129999999999995</v>
      </c>
      <c r="AD61" s="1">
        <v>0.74690000000000001</v>
      </c>
      <c r="AE61" s="1">
        <v>0.75470000000000004</v>
      </c>
      <c r="AF61" s="1">
        <v>0.76639999999999997</v>
      </c>
      <c r="AG61" s="1">
        <v>0.76280000000000003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 x14ac:dyDescent="0.2">
      <c r="A62" s="3" t="s">
        <v>168</v>
      </c>
      <c r="B62" s="1">
        <v>1079.721</v>
      </c>
      <c r="C62" s="1">
        <v>30.1</v>
      </c>
      <c r="D62" s="1">
        <v>0.74639999999999995</v>
      </c>
      <c r="E62" s="1">
        <v>0.75760000000000005</v>
      </c>
      <c r="F62" s="1">
        <v>0.77149999999999996</v>
      </c>
      <c r="G62" s="1">
        <v>0.76759999999999995</v>
      </c>
      <c r="H62" s="1">
        <v>0.7631</v>
      </c>
      <c r="I62" s="1">
        <v>0.74360000000000004</v>
      </c>
      <c r="J62" s="1"/>
      <c r="K62" s="1"/>
      <c r="L62" s="1"/>
      <c r="M62" s="1">
        <v>0.77059999999999995</v>
      </c>
      <c r="N62" s="1"/>
      <c r="O62" s="1"/>
      <c r="P62" s="1">
        <v>0.76629999999999998</v>
      </c>
      <c r="Q62" s="1">
        <v>0.74780000000000002</v>
      </c>
      <c r="R62" s="1">
        <v>0.73070000000000002</v>
      </c>
      <c r="S62" s="1">
        <v>0.74419999999999997</v>
      </c>
      <c r="T62" s="1">
        <v>0.75629999999999997</v>
      </c>
      <c r="U62" s="1">
        <v>0.56479999999999997</v>
      </c>
      <c r="V62" s="1"/>
      <c r="W62" s="1"/>
      <c r="X62" s="1"/>
      <c r="Y62" s="1"/>
      <c r="Z62" s="1"/>
      <c r="AA62" s="1"/>
      <c r="AB62" s="1">
        <v>0.7409</v>
      </c>
      <c r="AC62" s="1">
        <v>0.73219999999999996</v>
      </c>
      <c r="AD62" s="1">
        <v>0.74839999999999995</v>
      </c>
      <c r="AE62" s="1">
        <v>0.75619999999999998</v>
      </c>
      <c r="AF62" s="1">
        <v>0.7661</v>
      </c>
      <c r="AG62" s="1">
        <v>0.76219999999999999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 x14ac:dyDescent="0.2">
      <c r="A63" s="3" t="s">
        <v>169</v>
      </c>
      <c r="B63" s="1">
        <v>1139.72</v>
      </c>
      <c r="C63" s="1">
        <v>30</v>
      </c>
      <c r="D63" s="1">
        <v>0.74680000000000002</v>
      </c>
      <c r="E63" s="1">
        <v>0.75919999999999999</v>
      </c>
      <c r="F63" s="1">
        <v>0.77239999999999998</v>
      </c>
      <c r="G63" s="1">
        <v>0.76880000000000004</v>
      </c>
      <c r="H63" s="1">
        <v>0.76449999999999996</v>
      </c>
      <c r="I63" s="1">
        <v>0.74450000000000005</v>
      </c>
      <c r="J63" s="1"/>
      <c r="K63" s="1"/>
      <c r="L63" s="1"/>
      <c r="M63" s="1">
        <v>0.77170000000000005</v>
      </c>
      <c r="N63" s="1"/>
      <c r="O63" s="1"/>
      <c r="P63" s="1">
        <v>0.76729999999999998</v>
      </c>
      <c r="Q63" s="1">
        <v>0.74850000000000005</v>
      </c>
      <c r="R63" s="1">
        <v>0.73080000000000001</v>
      </c>
      <c r="S63" s="1">
        <v>0.74450000000000005</v>
      </c>
      <c r="T63" s="1">
        <v>0.75590000000000002</v>
      </c>
      <c r="U63" s="1">
        <v>0.56510000000000005</v>
      </c>
      <c r="V63" s="1"/>
      <c r="W63" s="1"/>
      <c r="X63" s="1"/>
      <c r="Y63" s="1"/>
      <c r="Z63" s="1"/>
      <c r="AA63" s="1"/>
      <c r="AB63" s="1">
        <v>0.74080000000000001</v>
      </c>
      <c r="AC63" s="1">
        <v>0.73250000000000004</v>
      </c>
      <c r="AD63" s="1">
        <v>0.749</v>
      </c>
      <c r="AE63" s="1">
        <v>0.75680000000000003</v>
      </c>
      <c r="AF63" s="1">
        <v>0.76359999999999995</v>
      </c>
      <c r="AG63" s="1">
        <v>0.76419999999999999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 x14ac:dyDescent="0.2">
      <c r="A64" s="3" t="s">
        <v>170</v>
      </c>
      <c r="B64" s="1">
        <v>1199.721</v>
      </c>
      <c r="C64" s="1">
        <v>30.1</v>
      </c>
      <c r="D64" s="1">
        <v>0.74760000000000004</v>
      </c>
      <c r="E64" s="1">
        <v>0.75949999999999995</v>
      </c>
      <c r="F64" s="1">
        <v>0.77290000000000003</v>
      </c>
      <c r="G64" s="1">
        <v>0.76959999999999995</v>
      </c>
      <c r="H64" s="1">
        <v>0.76529999999999998</v>
      </c>
      <c r="I64" s="1">
        <v>0.74570000000000003</v>
      </c>
      <c r="J64" s="1"/>
      <c r="K64" s="1"/>
      <c r="L64" s="1"/>
      <c r="M64" s="1">
        <v>0.77300000000000002</v>
      </c>
      <c r="N64" s="1"/>
      <c r="O64" s="1"/>
      <c r="P64" s="1">
        <v>0.76800000000000002</v>
      </c>
      <c r="Q64" s="1">
        <v>0.74960000000000004</v>
      </c>
      <c r="R64" s="1">
        <v>0.73250000000000004</v>
      </c>
      <c r="S64" s="1">
        <v>0.74539999999999995</v>
      </c>
      <c r="T64" s="1">
        <v>0.75729999999999997</v>
      </c>
      <c r="U64" s="1">
        <v>0.56589999999999996</v>
      </c>
      <c r="V64" s="1"/>
      <c r="W64" s="1"/>
      <c r="X64" s="1"/>
      <c r="Y64" s="1"/>
      <c r="Z64" s="1"/>
      <c r="AA64" s="1"/>
      <c r="AB64" s="1">
        <v>0.74270000000000003</v>
      </c>
      <c r="AC64" s="1">
        <v>0.7329</v>
      </c>
      <c r="AD64" s="1">
        <v>0.74950000000000006</v>
      </c>
      <c r="AE64" s="1">
        <v>0.75829999999999997</v>
      </c>
      <c r="AF64" s="1">
        <v>0.75719999999999998</v>
      </c>
      <c r="AG64" s="1">
        <v>0.76690000000000003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 x14ac:dyDescent="0.2">
      <c r="A65" s="3" t="s">
        <v>171</v>
      </c>
      <c r="B65" s="1">
        <v>1259.7170000000001</v>
      </c>
      <c r="C65" s="1">
        <v>30</v>
      </c>
      <c r="D65" s="1">
        <v>0.74760000000000004</v>
      </c>
      <c r="E65" s="1">
        <v>0.76100000000000001</v>
      </c>
      <c r="F65" s="1">
        <v>0.77410000000000001</v>
      </c>
      <c r="G65" s="1">
        <v>0.76959999999999995</v>
      </c>
      <c r="H65" s="1">
        <v>0.76629999999999998</v>
      </c>
      <c r="I65" s="1">
        <v>0.74619999999999997</v>
      </c>
      <c r="J65" s="1"/>
      <c r="K65" s="1"/>
      <c r="L65" s="1"/>
      <c r="M65" s="1">
        <v>0.77329999999999999</v>
      </c>
      <c r="N65" s="1"/>
      <c r="O65" s="1"/>
      <c r="P65" s="1">
        <v>0.76890000000000003</v>
      </c>
      <c r="Q65" s="1">
        <v>0.75080000000000002</v>
      </c>
      <c r="R65" s="1">
        <v>0.7339</v>
      </c>
      <c r="S65" s="1">
        <v>0.74739999999999995</v>
      </c>
      <c r="T65" s="1">
        <v>0.75770000000000004</v>
      </c>
      <c r="U65" s="1">
        <v>0.56689999999999996</v>
      </c>
      <c r="V65" s="1"/>
      <c r="W65" s="1"/>
      <c r="X65" s="1"/>
      <c r="Y65" s="1"/>
      <c r="Z65" s="1"/>
      <c r="AA65" s="1"/>
      <c r="AB65" s="1">
        <v>0.74460000000000004</v>
      </c>
      <c r="AC65" s="1">
        <v>0.73380000000000001</v>
      </c>
      <c r="AD65" s="1">
        <v>0.75060000000000004</v>
      </c>
      <c r="AE65" s="1">
        <v>0.75790000000000002</v>
      </c>
      <c r="AF65" s="1">
        <v>0.76129999999999998</v>
      </c>
      <c r="AG65" s="1">
        <v>0.76739999999999997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 x14ac:dyDescent="0.2">
      <c r="A66" s="3" t="s">
        <v>172</v>
      </c>
      <c r="B66" s="1">
        <v>1319.7139999999999</v>
      </c>
      <c r="C66" s="1">
        <v>30.1</v>
      </c>
      <c r="D66" s="1">
        <v>0.74850000000000005</v>
      </c>
      <c r="E66" s="1">
        <v>0.76090000000000002</v>
      </c>
      <c r="F66" s="1">
        <v>0.77459999999999996</v>
      </c>
      <c r="G66" s="1">
        <v>0.77129999999999999</v>
      </c>
      <c r="H66" s="1">
        <v>0.76659999999999995</v>
      </c>
      <c r="I66" s="1">
        <v>0.74660000000000004</v>
      </c>
      <c r="J66" s="1"/>
      <c r="K66" s="1"/>
      <c r="L66" s="1"/>
      <c r="M66" s="1">
        <v>0.77510000000000001</v>
      </c>
      <c r="N66" s="1"/>
      <c r="O66" s="1"/>
      <c r="P66" s="1">
        <v>0.77010000000000001</v>
      </c>
      <c r="Q66" s="1">
        <v>0.752</v>
      </c>
      <c r="R66" s="1">
        <v>0.73429999999999995</v>
      </c>
      <c r="S66" s="1">
        <v>0.74760000000000004</v>
      </c>
      <c r="T66" s="1">
        <v>0.75849999999999995</v>
      </c>
      <c r="U66" s="1">
        <v>0.56699999999999995</v>
      </c>
      <c r="V66" s="1"/>
      <c r="W66" s="1"/>
      <c r="X66" s="1"/>
      <c r="Y66" s="1"/>
      <c r="Z66" s="1"/>
      <c r="AA66" s="1"/>
      <c r="AB66" s="1">
        <v>0.74050000000000005</v>
      </c>
      <c r="AC66" s="1">
        <v>0.73419999999999996</v>
      </c>
      <c r="AD66" s="1">
        <v>0.75129999999999997</v>
      </c>
      <c r="AE66" s="1">
        <v>0.75900000000000001</v>
      </c>
      <c r="AF66" s="1">
        <v>0.7571</v>
      </c>
      <c r="AG66" s="1">
        <v>0.76819999999999999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:99" x14ac:dyDescent="0.2">
      <c r="A67" s="3" t="s">
        <v>173</v>
      </c>
      <c r="B67" s="1">
        <v>1379.7</v>
      </c>
      <c r="C67" s="1">
        <v>30.1</v>
      </c>
      <c r="D67" s="1">
        <v>0.74819999999999998</v>
      </c>
      <c r="E67" s="1">
        <v>0.7611</v>
      </c>
      <c r="F67" s="1">
        <v>0.77449999999999997</v>
      </c>
      <c r="G67" s="1">
        <v>0.7722</v>
      </c>
      <c r="H67" s="1">
        <v>0.76800000000000002</v>
      </c>
      <c r="I67" s="1">
        <v>0.74719999999999998</v>
      </c>
      <c r="J67" s="1"/>
      <c r="K67" s="1"/>
      <c r="L67" s="1"/>
      <c r="M67" s="1">
        <v>0.7762</v>
      </c>
      <c r="N67" s="1"/>
      <c r="O67" s="1"/>
      <c r="P67" s="1">
        <v>0.7702</v>
      </c>
      <c r="Q67" s="1">
        <v>0.75309999999999999</v>
      </c>
      <c r="R67" s="1">
        <v>0.73499999999999999</v>
      </c>
      <c r="S67" s="1">
        <v>0.74829999999999997</v>
      </c>
      <c r="T67" s="1">
        <v>0.75900000000000001</v>
      </c>
      <c r="U67" s="1">
        <v>0.5665</v>
      </c>
      <c r="V67" s="1"/>
      <c r="W67" s="1"/>
      <c r="X67" s="1"/>
      <c r="Y67" s="1"/>
      <c r="Z67" s="1"/>
      <c r="AA67" s="1"/>
      <c r="AB67" s="1">
        <v>0.74460000000000004</v>
      </c>
      <c r="AC67" s="1">
        <v>0.73499999999999999</v>
      </c>
      <c r="AD67" s="1">
        <v>0.75070000000000003</v>
      </c>
      <c r="AE67" s="1">
        <v>0.76</v>
      </c>
      <c r="AF67" s="1">
        <v>0.74990000000000001</v>
      </c>
      <c r="AG67" s="1">
        <v>0.76939999999999997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:99" x14ac:dyDescent="0.2">
      <c r="A68" s="3" t="s">
        <v>174</v>
      </c>
      <c r="B68" s="1">
        <v>1439.6969999999999</v>
      </c>
      <c r="C68" s="1">
        <v>30</v>
      </c>
      <c r="D68" s="1">
        <v>0.74909999999999999</v>
      </c>
      <c r="E68" s="1">
        <v>0.76259999999999994</v>
      </c>
      <c r="F68" s="1">
        <v>0.77539999999999998</v>
      </c>
      <c r="G68" s="1">
        <v>0.77180000000000004</v>
      </c>
      <c r="H68" s="1">
        <v>0.76870000000000005</v>
      </c>
      <c r="I68" s="1">
        <v>0.74790000000000001</v>
      </c>
      <c r="J68" s="1"/>
      <c r="K68" s="1"/>
      <c r="L68" s="1"/>
      <c r="M68" s="1">
        <v>0.77590000000000003</v>
      </c>
      <c r="N68" s="1"/>
      <c r="O68" s="1"/>
      <c r="P68" s="1">
        <v>0.77080000000000004</v>
      </c>
      <c r="Q68" s="1">
        <v>0.75429999999999997</v>
      </c>
      <c r="R68" s="1">
        <v>0.73609999999999998</v>
      </c>
      <c r="S68" s="1">
        <v>0.74919999999999998</v>
      </c>
      <c r="T68" s="1">
        <v>0.75900000000000001</v>
      </c>
      <c r="U68" s="1">
        <v>0.56559999999999999</v>
      </c>
      <c r="V68" s="1"/>
      <c r="W68" s="1"/>
      <c r="X68" s="1"/>
      <c r="Y68" s="1"/>
      <c r="Z68" s="1"/>
      <c r="AA68" s="1"/>
      <c r="AB68" s="1">
        <v>0.74309999999999998</v>
      </c>
      <c r="AC68" s="1">
        <v>0.73550000000000004</v>
      </c>
      <c r="AD68" s="1">
        <v>0.75190000000000001</v>
      </c>
      <c r="AE68" s="1">
        <v>0.7601</v>
      </c>
      <c r="AF68" s="1">
        <v>0.75280000000000002</v>
      </c>
      <c r="AG68" s="1">
        <v>0.76949999999999996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spans="1:99" x14ac:dyDescent="0.2">
      <c r="A69" s="3" t="s">
        <v>175</v>
      </c>
      <c r="B69" s="1">
        <v>1499.7090000000001</v>
      </c>
      <c r="C69" s="1">
        <v>30.1</v>
      </c>
      <c r="D69" s="1">
        <v>0.74919999999999998</v>
      </c>
      <c r="E69" s="1">
        <v>0.76200000000000001</v>
      </c>
      <c r="F69" s="1">
        <v>0.77529999999999999</v>
      </c>
      <c r="G69" s="1">
        <v>0.77239999999999998</v>
      </c>
      <c r="H69" s="1">
        <v>0.76859999999999995</v>
      </c>
      <c r="I69" s="1">
        <v>0.74829999999999997</v>
      </c>
      <c r="J69" s="1"/>
      <c r="K69" s="1"/>
      <c r="L69" s="1"/>
      <c r="M69" s="1">
        <v>0.77590000000000003</v>
      </c>
      <c r="N69" s="1"/>
      <c r="O69" s="1"/>
      <c r="P69" s="1">
        <v>0.77139999999999997</v>
      </c>
      <c r="Q69" s="1">
        <v>0.75580000000000003</v>
      </c>
      <c r="R69" s="1">
        <v>0.73750000000000004</v>
      </c>
      <c r="S69" s="1">
        <v>0.75049999999999994</v>
      </c>
      <c r="T69" s="1">
        <v>0.76</v>
      </c>
      <c r="U69" s="1">
        <v>0.56710000000000005</v>
      </c>
      <c r="V69" s="1"/>
      <c r="W69" s="1"/>
      <c r="X69" s="1"/>
      <c r="Y69" s="1"/>
      <c r="Z69" s="1"/>
      <c r="AA69" s="1"/>
      <c r="AB69" s="1">
        <v>0.74229999999999996</v>
      </c>
      <c r="AC69" s="1">
        <v>0.73460000000000003</v>
      </c>
      <c r="AD69" s="1">
        <v>0.75129999999999997</v>
      </c>
      <c r="AE69" s="1">
        <v>0.76</v>
      </c>
      <c r="AF69" s="1">
        <v>0.75890000000000002</v>
      </c>
      <c r="AG69" s="1">
        <v>0.76910000000000001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spans="1:99" x14ac:dyDescent="0.2">
      <c r="A70" s="3" t="s">
        <v>176</v>
      </c>
      <c r="B70" s="1">
        <v>1559.6969999999999</v>
      </c>
      <c r="C70" s="1">
        <v>30</v>
      </c>
      <c r="D70" s="1">
        <v>0.74970000000000003</v>
      </c>
      <c r="E70" s="1">
        <v>0.76270000000000004</v>
      </c>
      <c r="F70" s="1">
        <v>0.77680000000000005</v>
      </c>
      <c r="G70" s="1">
        <v>0.77449999999999997</v>
      </c>
      <c r="H70" s="1">
        <v>0.77139999999999997</v>
      </c>
      <c r="I70" s="1">
        <v>0.74929999999999997</v>
      </c>
      <c r="J70" s="1"/>
      <c r="K70" s="1"/>
      <c r="L70" s="1"/>
      <c r="M70" s="1">
        <v>0.77669999999999995</v>
      </c>
      <c r="N70" s="1"/>
      <c r="O70" s="1"/>
      <c r="P70" s="1">
        <v>0.77080000000000004</v>
      </c>
      <c r="Q70" s="1">
        <v>0.75570000000000004</v>
      </c>
      <c r="R70" s="1">
        <v>0.73750000000000004</v>
      </c>
      <c r="S70" s="1">
        <v>0.74990000000000001</v>
      </c>
      <c r="T70" s="1">
        <v>0.76080000000000003</v>
      </c>
      <c r="U70" s="1">
        <v>0.56640000000000001</v>
      </c>
      <c r="V70" s="1"/>
      <c r="W70" s="1"/>
      <c r="X70" s="1"/>
      <c r="Y70" s="1"/>
      <c r="Z70" s="1"/>
      <c r="AA70" s="1"/>
      <c r="AB70" s="1">
        <v>0.74270000000000003</v>
      </c>
      <c r="AC70" s="1">
        <v>0.73629999999999995</v>
      </c>
      <c r="AD70" s="1">
        <v>0.75290000000000001</v>
      </c>
      <c r="AE70" s="1">
        <v>0.7621</v>
      </c>
      <c r="AF70" s="1">
        <v>0.75919999999999999</v>
      </c>
      <c r="AG70" s="1">
        <v>0.77100000000000002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spans="1:99" x14ac:dyDescent="0.2">
      <c r="A71" s="3" t="s">
        <v>177</v>
      </c>
      <c r="B71" s="1">
        <v>1619.6969999999999</v>
      </c>
      <c r="C71" s="1">
        <v>30</v>
      </c>
      <c r="D71" s="1">
        <v>0.74950000000000006</v>
      </c>
      <c r="E71" s="1">
        <v>0.76400000000000001</v>
      </c>
      <c r="F71" s="1">
        <v>0.77739999999999998</v>
      </c>
      <c r="G71" s="1">
        <v>0.77429999999999999</v>
      </c>
      <c r="H71" s="1">
        <v>0.77159999999999995</v>
      </c>
      <c r="I71" s="1">
        <v>0.75070000000000003</v>
      </c>
      <c r="J71" s="1"/>
      <c r="K71" s="1"/>
      <c r="L71" s="1"/>
      <c r="M71" s="1">
        <v>0.77839999999999998</v>
      </c>
      <c r="N71" s="1"/>
      <c r="O71" s="1"/>
      <c r="P71" s="1">
        <v>0.77200000000000002</v>
      </c>
      <c r="Q71" s="1">
        <v>0.75600000000000001</v>
      </c>
      <c r="R71" s="1">
        <v>0.73760000000000003</v>
      </c>
      <c r="S71" s="1">
        <v>0.751</v>
      </c>
      <c r="T71" s="1">
        <v>0.7611</v>
      </c>
      <c r="U71" s="1">
        <v>0.56540000000000001</v>
      </c>
      <c r="V71" s="1"/>
      <c r="W71" s="1"/>
      <c r="X71" s="1"/>
      <c r="Y71" s="1"/>
      <c r="Z71" s="1"/>
      <c r="AA71" s="1"/>
      <c r="AB71" s="1">
        <v>0.74280000000000002</v>
      </c>
      <c r="AC71" s="1">
        <v>0.73750000000000004</v>
      </c>
      <c r="AD71" s="1">
        <v>0.75419999999999998</v>
      </c>
      <c r="AE71" s="1">
        <v>0.76249999999999996</v>
      </c>
      <c r="AF71" s="1">
        <v>0.75680000000000003</v>
      </c>
      <c r="AG71" s="1">
        <v>0.77059999999999995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spans="1:99" x14ac:dyDescent="0.2">
      <c r="A72" s="3" t="s">
        <v>178</v>
      </c>
      <c r="B72" s="1">
        <v>1679.693</v>
      </c>
      <c r="C72" s="1">
        <v>30</v>
      </c>
      <c r="D72" s="1">
        <v>0.74990000000000001</v>
      </c>
      <c r="E72" s="1">
        <v>0.76480000000000004</v>
      </c>
      <c r="F72" s="1">
        <v>0.77759999999999996</v>
      </c>
      <c r="G72" s="1">
        <v>0.77510000000000001</v>
      </c>
      <c r="H72" s="1">
        <v>0.77170000000000005</v>
      </c>
      <c r="I72" s="1">
        <v>0.75090000000000001</v>
      </c>
      <c r="J72" s="1"/>
      <c r="K72" s="1"/>
      <c r="L72" s="1"/>
      <c r="M72" s="1">
        <v>0.77810000000000001</v>
      </c>
      <c r="N72" s="1"/>
      <c r="O72" s="1"/>
      <c r="P72" s="1">
        <v>0.77239999999999998</v>
      </c>
      <c r="Q72" s="1">
        <v>0.75660000000000005</v>
      </c>
      <c r="R72" s="1">
        <v>0.73860000000000003</v>
      </c>
      <c r="S72" s="1">
        <v>0.75139999999999996</v>
      </c>
      <c r="T72" s="1">
        <v>0.76170000000000004</v>
      </c>
      <c r="U72" s="1">
        <v>0.56599999999999995</v>
      </c>
      <c r="V72" s="1"/>
      <c r="W72" s="1"/>
      <c r="X72" s="1"/>
      <c r="Y72" s="1"/>
      <c r="Z72" s="1"/>
      <c r="AA72" s="1"/>
      <c r="AB72" s="1">
        <v>0.74360000000000004</v>
      </c>
      <c r="AC72" s="1">
        <v>0.73719999999999997</v>
      </c>
      <c r="AD72" s="1">
        <v>0.75439999999999996</v>
      </c>
      <c r="AE72" s="1">
        <v>0.76329999999999998</v>
      </c>
      <c r="AF72" s="1">
        <v>0.75170000000000003</v>
      </c>
      <c r="AG72" s="1">
        <v>0.77300000000000002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spans="1:99" x14ac:dyDescent="0.2">
      <c r="A73" s="3" t="s">
        <v>179</v>
      </c>
      <c r="B73" s="1">
        <v>1739.6949999999999</v>
      </c>
      <c r="C73" s="1">
        <v>30</v>
      </c>
      <c r="D73" s="1">
        <v>0.74950000000000006</v>
      </c>
      <c r="E73" s="1">
        <v>0.7651</v>
      </c>
      <c r="F73" s="1">
        <v>0.77800000000000002</v>
      </c>
      <c r="G73" s="1">
        <v>0.77539999999999998</v>
      </c>
      <c r="H73" s="1">
        <v>0.77259999999999995</v>
      </c>
      <c r="I73" s="1">
        <v>0.75129999999999997</v>
      </c>
      <c r="J73" s="1"/>
      <c r="K73" s="1"/>
      <c r="L73" s="1"/>
      <c r="M73" s="1">
        <v>0.7782</v>
      </c>
      <c r="N73" s="1"/>
      <c r="O73" s="1"/>
      <c r="P73" s="1">
        <v>0.7722</v>
      </c>
      <c r="Q73" s="1">
        <v>0.75749999999999995</v>
      </c>
      <c r="R73" s="1">
        <v>0.7379</v>
      </c>
      <c r="S73" s="1">
        <v>0.75229999999999997</v>
      </c>
      <c r="T73" s="1">
        <v>0.76219999999999999</v>
      </c>
      <c r="U73" s="1">
        <v>0.56659999999999999</v>
      </c>
      <c r="V73" s="1"/>
      <c r="W73" s="1"/>
      <c r="X73" s="1"/>
      <c r="Y73" s="1"/>
      <c r="Z73" s="1"/>
      <c r="AA73" s="1"/>
      <c r="AB73" s="1">
        <v>0.7419</v>
      </c>
      <c r="AC73" s="1">
        <v>0.73729999999999996</v>
      </c>
      <c r="AD73" s="1">
        <v>0.75490000000000002</v>
      </c>
      <c r="AE73" s="1">
        <v>0.76370000000000005</v>
      </c>
      <c r="AF73" s="1">
        <v>0.75560000000000005</v>
      </c>
      <c r="AG73" s="1">
        <v>0.77110000000000001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 spans="1:99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99" x14ac:dyDescent="0.2">
      <c r="A75" s="1" t="s">
        <v>180</v>
      </c>
      <c r="B75" s="1"/>
      <c r="C75" s="1"/>
      <c r="D75" s="1"/>
      <c r="E75" s="1" t="s">
        <v>181</v>
      </c>
      <c r="F75" s="1"/>
      <c r="G75" s="1"/>
      <c r="H75" s="1"/>
      <c r="I75" s="1"/>
      <c r="J75" s="1"/>
      <c r="K75" s="1"/>
    </row>
    <row r="76" spans="1:99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99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99" x14ac:dyDescent="0.2">
      <c r="C78" s="4" t="s">
        <v>182</v>
      </c>
      <c r="D78">
        <f>'[1]Result sheet'!D$44-D73</f>
        <v>-0.22500000000000009</v>
      </c>
      <c r="E78">
        <f>'[1]Result sheet'!E$44-E73</f>
        <v>-0.22870000000000001</v>
      </c>
      <c r="F78">
        <f>'[1]Result sheet'!F$44-F73</f>
        <v>-0.23470000000000002</v>
      </c>
      <c r="G78">
        <f>'[1]Result sheet'!G$44-G73</f>
        <v>-0.23060000000000003</v>
      </c>
      <c r="H78">
        <f>'[1]Result sheet'!H$44-H73</f>
        <v>-0.23080000000000001</v>
      </c>
      <c r="I78">
        <f>'[1]Result sheet'!I$44-I73</f>
        <v>-0.22619999999999996</v>
      </c>
      <c r="M78">
        <f>'[1]Result sheet'!M$44-M73</f>
        <v>-0.24339999999999995</v>
      </c>
      <c r="P78">
        <f>'[1]Result sheet'!P$44-P73</f>
        <v>-0.21960000000000002</v>
      </c>
      <c r="Q78">
        <f>'[1]Result sheet'!Q$44-Q73</f>
        <v>-0.22209999999999996</v>
      </c>
      <c r="R78">
        <f>'[1]Result sheet'!R$44-R73</f>
        <v>-0.21140000000000003</v>
      </c>
      <c r="S78">
        <f>'[1]Result sheet'!S$44-S73</f>
        <v>-0.21489999999999998</v>
      </c>
      <c r="T78">
        <f>'[1]Result sheet'!T$44-T73</f>
        <v>-0.22529999999999994</v>
      </c>
      <c r="U78" s="5">
        <f>('[1]Result sheet'!U$44-U73)*0.5248/0.4025</f>
        <v>-0.21396193788819873</v>
      </c>
      <c r="AB78">
        <f>'[1]Result sheet'!AB$44-AB73</f>
        <v>-0.21220000000000006</v>
      </c>
      <c r="AC78">
        <f>'[1]Result sheet'!AC$44-AC73</f>
        <v>-0.21579999999999999</v>
      </c>
      <c r="AD78">
        <f>'[1]Result sheet'!AD$44-AD73</f>
        <v>-0.2198</v>
      </c>
      <c r="AE78">
        <f>'[1]Result sheet'!AE$44-AE73</f>
        <v>-0.2209000000000001</v>
      </c>
      <c r="AF78">
        <f>'[1]Result sheet'!AF$44-AF73</f>
        <v>-0.22470000000000001</v>
      </c>
      <c r="AG78">
        <f>'[1]Result sheet'!AG$44-AG73</f>
        <v>-0.22909999999999997</v>
      </c>
    </row>
    <row r="80" spans="1:99" x14ac:dyDescent="0.2">
      <c r="C80" s="6" t="s">
        <v>183</v>
      </c>
      <c r="D80" s="7">
        <f>D78-$M$78</f>
        <v>1.8399999999999861E-2</v>
      </c>
      <c r="E80" s="7">
        <f t="shared" ref="E80:I80" si="0">E78-$M$78</f>
        <v>1.4699999999999935E-2</v>
      </c>
      <c r="F80" s="7">
        <f t="shared" si="0"/>
        <v>8.69999999999993E-3</v>
      </c>
      <c r="G80" s="7">
        <f t="shared" si="0"/>
        <v>1.2799999999999923E-2</v>
      </c>
      <c r="H80" s="7">
        <f t="shared" si="0"/>
        <v>1.2599999999999945E-2</v>
      </c>
      <c r="I80" s="7">
        <f t="shared" si="0"/>
        <v>1.7199999999999993E-2</v>
      </c>
      <c r="J80" s="7"/>
      <c r="K80" s="7"/>
      <c r="L80" s="7"/>
      <c r="M80" s="7"/>
      <c r="N80" s="7"/>
      <c r="O80" s="7"/>
      <c r="P80" s="7">
        <f t="shared" ref="P80:T80" si="1">P78-$M$78</f>
        <v>2.3799999999999932E-2</v>
      </c>
      <c r="Q80" s="7">
        <f t="shared" si="1"/>
        <v>2.1299999999999986E-2</v>
      </c>
      <c r="R80" s="7">
        <f t="shared" si="1"/>
        <v>3.1999999999999917E-2</v>
      </c>
      <c r="S80" s="7">
        <f t="shared" si="1"/>
        <v>2.849999999999997E-2</v>
      </c>
      <c r="T80" s="7">
        <f t="shared" si="1"/>
        <v>1.8100000000000005E-2</v>
      </c>
      <c r="U80" s="8">
        <f>U78-$M$78</f>
        <v>2.9438062111801222E-2</v>
      </c>
      <c r="V80" s="7"/>
      <c r="W80" s="7"/>
      <c r="X80" s="7"/>
      <c r="Y80" s="7"/>
      <c r="Z80" s="7"/>
      <c r="AA80" s="7"/>
      <c r="AB80" s="7">
        <f t="shared" ref="AB80:AG80" si="2">AB78-$M$78</f>
        <v>3.1199999999999894E-2</v>
      </c>
      <c r="AC80" s="7">
        <f t="shared" si="2"/>
        <v>2.7599999999999958E-2</v>
      </c>
      <c r="AD80" s="7">
        <f t="shared" si="2"/>
        <v>2.3599999999999954E-2</v>
      </c>
      <c r="AE80" s="7">
        <f t="shared" si="2"/>
        <v>2.2499999999999853E-2</v>
      </c>
      <c r="AF80" s="7">
        <f t="shared" si="2"/>
        <v>1.8699999999999939E-2</v>
      </c>
      <c r="AG80" s="7">
        <f t="shared" si="2"/>
        <v>1.4299999999999979E-2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2026-08-02T11:53:13Z</dcterms:modified>
</cp:coreProperties>
</file>