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CCO/"/>
    </mc:Choice>
  </mc:AlternateContent>
  <xr:revisionPtr revIDLastSave="0" documentId="13_ncr:1_{0768B7EC-7353-A24E-A05D-5CAB74B5C81A}" xr6:coauthVersionLast="47" xr6:coauthVersionMax="47" xr10:uidLastSave="{00000000-0000-0000-0000-000000000000}"/>
  <bookViews>
    <workbookView xWindow="340" yWindow="600" windowWidth="24940" windowHeight="163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" i="1" l="1"/>
  <c r="U44" i="1"/>
  <c r="U78" i="1"/>
  <c r="U79" i="1" s="1"/>
  <c r="U83" i="1"/>
  <c r="U82" i="1"/>
  <c r="U84" i="1" s="1"/>
  <c r="U85" i="1" s="1"/>
  <c r="AG87" i="1"/>
  <c r="AF87" i="1"/>
  <c r="AE87" i="1"/>
  <c r="AD87" i="1"/>
  <c r="AC87" i="1"/>
  <c r="AB87" i="1"/>
  <c r="T87" i="1"/>
  <c r="R87" i="1"/>
  <c r="Q87" i="1"/>
  <c r="P87" i="1"/>
  <c r="E87" i="1"/>
  <c r="F87" i="1"/>
  <c r="G87" i="1"/>
  <c r="H87" i="1"/>
  <c r="I87" i="1"/>
  <c r="D87" i="1"/>
  <c r="AG86" i="1"/>
  <c r="AF86" i="1"/>
  <c r="AE86" i="1"/>
  <c r="AD86" i="1"/>
  <c r="AC86" i="1"/>
  <c r="AB86" i="1"/>
  <c r="M86" i="1"/>
  <c r="T86" i="1"/>
  <c r="S86" i="1"/>
  <c r="S87" i="1" s="1"/>
  <c r="R86" i="1"/>
  <c r="Q86" i="1"/>
  <c r="P86" i="1"/>
  <c r="E86" i="1"/>
  <c r="F86" i="1"/>
  <c r="G86" i="1"/>
  <c r="H86" i="1"/>
  <c r="I86" i="1"/>
  <c r="D86" i="1"/>
  <c r="AG85" i="1"/>
  <c r="AF85" i="1"/>
  <c r="AE85" i="1"/>
  <c r="AD85" i="1"/>
  <c r="AC85" i="1"/>
  <c r="AB85" i="1"/>
  <c r="T85" i="1"/>
  <c r="R85" i="1"/>
  <c r="Q85" i="1"/>
  <c r="P85" i="1"/>
  <c r="E85" i="1"/>
  <c r="F85" i="1"/>
  <c r="G85" i="1"/>
  <c r="H85" i="1"/>
  <c r="I85" i="1"/>
  <c r="D85" i="1"/>
  <c r="D79" i="1"/>
  <c r="AG84" i="1"/>
  <c r="AF84" i="1"/>
  <c r="AE84" i="1"/>
  <c r="AD84" i="1"/>
  <c r="AC84" i="1"/>
  <c r="AB84" i="1"/>
  <c r="Q84" i="1"/>
  <c r="R84" i="1"/>
  <c r="S84" i="1"/>
  <c r="S85" i="1" s="1"/>
  <c r="T84" i="1"/>
  <c r="P84" i="1"/>
  <c r="M84" i="1"/>
  <c r="E84" i="1"/>
  <c r="F84" i="1"/>
  <c r="G84" i="1"/>
  <c r="H84" i="1"/>
  <c r="I84" i="1"/>
  <c r="D84" i="1"/>
  <c r="I79" i="1"/>
  <c r="AG78" i="1"/>
  <c r="AG79" i="1" s="1"/>
  <c r="AF78" i="1"/>
  <c r="AF79" i="1" s="1"/>
  <c r="AE78" i="1"/>
  <c r="AE79" i="1" s="1"/>
  <c r="AD78" i="1"/>
  <c r="AD79" i="1" s="1"/>
  <c r="AC78" i="1"/>
  <c r="AB78" i="1"/>
  <c r="AB79" i="1" s="1"/>
  <c r="Q78" i="1"/>
  <c r="Q79" i="1" s="1"/>
  <c r="R78" i="1"/>
  <c r="R79" i="1" s="1"/>
  <c r="S78" i="1"/>
  <c r="S79" i="1" s="1"/>
  <c r="T78" i="1"/>
  <c r="T79" i="1" s="1"/>
  <c r="P78" i="1"/>
  <c r="P79" i="1" s="1"/>
  <c r="M78" i="1"/>
  <c r="AC79" i="1" s="1"/>
  <c r="E78" i="1"/>
  <c r="E79" i="1" s="1"/>
  <c r="F78" i="1"/>
  <c r="F79" i="1" s="1"/>
  <c r="G78" i="1"/>
  <c r="G79" i="1" s="1"/>
  <c r="H78" i="1"/>
  <c r="H79" i="1" s="1"/>
  <c r="I78" i="1"/>
  <c r="D78" i="1"/>
  <c r="U86" i="1" l="1"/>
  <c r="U87" i="1" s="1"/>
</calcChain>
</file>

<file path=xl/sharedStrings.xml><?xml version="1.0" encoding="utf-8"?>
<sst xmlns="http://schemas.openxmlformats.org/spreadsheetml/2006/main" count="206" uniqueCount="190">
  <si>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</si>
  <si>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</si>
  <si>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</si>
  <si>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</si>
  <si>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</si>
  <si>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</si>
  <si>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</si>
  <si>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</si>
  <si>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</si>
  <si>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2026-07-22</t>
  </si>
  <si>
    <t>Time:</t>
  </si>
  <si>
    <t>18:16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</si>
  <si>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</si>
  <si>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</si>
  <si>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</si>
  <si>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</si>
  <si>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</si>
  <si>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</si>
  <si>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</si>
  <si>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</si>
  <si>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</si>
  <si>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</si>
  <si>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</si>
  <si>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</si>
  <si>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</si>
  <si>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</si>
  <si>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</si>
  <si>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</si>
  <si>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</si>
  <si>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</si>
  <si>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</si>
  <si>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</si>
  <si>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</si>
  <si>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A1-C6;A10</t>
  </si>
  <si>
    <t>Start Time</t>
  </si>
  <si>
    <t>2026-07-22 17:46:52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</si>
  <si>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</si>
  <si>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</si>
  <si>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</si>
  <si>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</si>
  <si>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</si>
  <si>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</si>
  <si>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</si>
  <si>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</si>
  <si>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</si>
  <si>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</si>
  <si>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</si>
  <si>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</si>
  <si>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</si>
  <si>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</si>
  <si>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</si>
  <si>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</si>
  <si>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</si>
  <si>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</si>
  <si>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</si>
  <si>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</si>
  <si>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</si>
  <si>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</si>
  <si>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</si>
  <si>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</si>
  <si>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</si>
  <si>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</si>
  <si>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</si>
  <si>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</si>
  <si>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</si>
  <si>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</si>
  <si>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</si>
  <si>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</si>
  <si>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</si>
  <si>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</si>
  <si>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</si>
  <si>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</si>
  <si>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</si>
  <si>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</si>
  <si>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</si>
  <si>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</si>
  <si>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</si>
  <si>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</si>
  <si>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</si>
  <si>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</si>
  <si>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</si>
  <si>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</si>
  <si>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</si>
  <si>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</si>
  <si>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</si>
  <si>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</si>
  <si>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</si>
  <si>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</si>
  <si>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</si>
  <si>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</si>
  <si>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</si>
  <si>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</si>
  <si>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</si>
  <si>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</si>
  <si>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</si>
  <si>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</si>
  <si>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</si>
  <si>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</si>
  <si>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</si>
  <si>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</si>
  <si>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</si>
  <si>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</si>
  <si>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</si>
  <si>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</si>
  <si>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</si>
  <si>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</si>
  <si>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</si>
  <si>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</si>
  <si>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</si>
  <si>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</si>
  <si>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</si>
  <si>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</si>
  <si>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</si>
  <si>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</si>
  <si>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</si>
  <si>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</si>
  <si>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</si>
  <si>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</si>
  <si>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</si>
  <si>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</si>
  <si>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</si>
  <si>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</si>
  <si>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</si>
  <si>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</si>
  <si>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</si>
  <si>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</si>
  <si>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</si>
  <si>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</si>
  <si>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</si>
  <si>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</si>
  <si>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</si>
  <si>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</si>
  <si>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</si>
  <si>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</si>
  <si>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</si>
  <si>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</si>
  <si>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</si>
  <si>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</si>
  <si>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</si>
  <si>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</si>
  <si>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</si>
  <si>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</si>
  <si>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</si>
  <si>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</si>
  <si>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</si>
  <si>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</si>
  <si>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</si>
  <si>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</si>
  <si>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</si>
  <si>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</si>
  <si>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</si>
  <si>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</si>
  <si>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</si>
  <si>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</si>
  <si>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</si>
  <si>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</si>
  <si>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</si>
  <si>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</si>
  <si>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</si>
  <si>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</si>
  <si>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</si>
  <si>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</si>
  <si>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</si>
  <si>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</si>
  <si>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</si>
  <si>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</si>
  <si>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</si>
  <si>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</si>
  <si>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</si>
  <si>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</si>
  <si>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</si>
  <si>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</si>
  <si>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</si>
  <si>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</si>
  <si>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</si>
  <si>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</si>
  <si>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</si>
  <si>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</si>
  <si>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</si>
  <si>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</si>
  <si>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End Time</t>
  </si>
  <si>
    <t>2026-07-22 18:15:59</t>
  </si>
  <si>
    <t>△</t>
  </si>
  <si>
    <t>A-A0</t>
  </si>
  <si>
    <t>V1</t>
  </si>
  <si>
    <t>2026-07-22 18:16:20</t>
  </si>
  <si>
    <t>2026-07-22 18:45:26</t>
  </si>
  <si>
    <t>V2</t>
  </si>
  <si>
    <t>△1（30min）</t>
  </si>
  <si>
    <t>△2（60min）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</si>
</sst>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7"/>
  <sheetViews>
    <sheetView tabSelected="1" topLeftCell="A58" workbookViewId="0">
      <selection activeCell="S83" sqref="S83"/>
    </sheetView>
  </sheetViews>
  <sheetFormatPr baseColWidth="10" defaultColWidth="8.83203125" defaultRowHeight="15" x14ac:dyDescent="0.2"/>
  <cols>
    <col min="2" max="2" width="10.5" customWidth="1"/>
    <col min="3" max="3" width="18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30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 s="7" customFormat="1" x14ac:dyDescent="0.2">
      <c r="A44" s="6" t="s">
        <v>150</v>
      </c>
      <c r="B44" s="7">
        <v>0</v>
      </c>
      <c r="C44" s="7">
        <v>27.8</v>
      </c>
      <c r="D44" s="7">
        <v>0.52449999999999997</v>
      </c>
      <c r="E44" s="7">
        <v>0.53639999999999999</v>
      </c>
      <c r="F44" s="7">
        <v>0.54330000000000001</v>
      </c>
      <c r="G44" s="7">
        <v>0.54479999999999995</v>
      </c>
      <c r="H44" s="7">
        <v>0.54179999999999995</v>
      </c>
      <c r="I44" s="7">
        <v>0.52510000000000001</v>
      </c>
      <c r="M44" s="7">
        <v>0.53480000000000005</v>
      </c>
      <c r="P44" s="7">
        <v>0.55259999999999998</v>
      </c>
      <c r="Q44" s="7">
        <v>0.53539999999999999</v>
      </c>
      <c r="R44" s="7">
        <v>0.53649999999999998</v>
      </c>
      <c r="S44" s="7">
        <v>0.53739999999999999</v>
      </c>
      <c r="T44" s="7">
        <v>0.53690000000000004</v>
      </c>
      <c r="U44" s="7">
        <f>0.4025*1.3</f>
        <v>0.5232500000000001</v>
      </c>
      <c r="AB44" s="7">
        <v>0.52969999999999995</v>
      </c>
      <c r="AC44" s="7">
        <v>0.52149999999999996</v>
      </c>
      <c r="AD44" s="7">
        <v>0.53510000000000002</v>
      </c>
      <c r="AE44" s="7">
        <v>0.54279999999999995</v>
      </c>
      <c r="AF44" s="7">
        <v>0.53090000000000004</v>
      </c>
      <c r="AG44" s="7">
        <v>0.54200000000000004</v>
      </c>
    </row>
    <row r="45" spans="1:99" x14ac:dyDescent="0.2">
      <c r="A45" s="3" t="s">
        <v>151</v>
      </c>
      <c r="B45" s="1">
        <v>59.478999999999999</v>
      </c>
      <c r="C45" s="1">
        <v>28.8</v>
      </c>
      <c r="D45" s="1">
        <v>0.52780000000000005</v>
      </c>
      <c r="E45" s="1">
        <v>0.54059999999999997</v>
      </c>
      <c r="F45" s="1">
        <v>0.54879999999999995</v>
      </c>
      <c r="G45" s="1">
        <v>0.5494</v>
      </c>
      <c r="H45" s="1">
        <v>0.54569999999999996</v>
      </c>
      <c r="I45" s="1">
        <v>0.53029999999999999</v>
      </c>
      <c r="J45" s="1"/>
      <c r="K45" s="1"/>
      <c r="L45" s="1"/>
      <c r="M45" s="1">
        <v>0.53990000000000005</v>
      </c>
      <c r="N45" s="1"/>
      <c r="O45" s="1"/>
      <c r="P45" s="1">
        <v>0.55249999999999999</v>
      </c>
      <c r="Q45" s="1">
        <v>0.53890000000000005</v>
      </c>
      <c r="R45" s="1">
        <v>0.53110000000000002</v>
      </c>
      <c r="S45" s="1">
        <v>0.5393</v>
      </c>
      <c r="T45" s="1">
        <v>0.53979999999999995</v>
      </c>
      <c r="U45" s="1">
        <v>0.40699999999999997</v>
      </c>
      <c r="V45" s="1"/>
      <c r="W45" s="1"/>
      <c r="X45" s="1"/>
      <c r="Y45" s="1"/>
      <c r="Z45" s="1"/>
      <c r="AA45" s="1"/>
      <c r="AB45" s="1">
        <v>0.53280000000000005</v>
      </c>
      <c r="AC45" s="1">
        <v>0.52559999999999996</v>
      </c>
      <c r="AD45" s="1">
        <v>0.53839999999999999</v>
      </c>
      <c r="AE45" s="1">
        <v>0.54679999999999995</v>
      </c>
      <c r="AF45" s="1">
        <v>0.53610000000000002</v>
      </c>
      <c r="AG45" s="1">
        <v>0.54620000000000002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152</v>
      </c>
      <c r="B46" s="1">
        <v>119.474</v>
      </c>
      <c r="C46" s="1">
        <v>29.9</v>
      </c>
      <c r="D46" s="1">
        <v>0.53320000000000001</v>
      </c>
      <c r="E46" s="1">
        <v>0.54579999999999995</v>
      </c>
      <c r="F46" s="1">
        <v>0.55420000000000003</v>
      </c>
      <c r="G46" s="1">
        <v>0.55479999999999996</v>
      </c>
      <c r="H46" s="1">
        <v>0.5504</v>
      </c>
      <c r="I46" s="1">
        <v>0.5353</v>
      </c>
      <c r="J46" s="1"/>
      <c r="K46" s="1"/>
      <c r="L46" s="1"/>
      <c r="M46" s="1">
        <v>0.54569999999999996</v>
      </c>
      <c r="N46" s="1"/>
      <c r="O46" s="1"/>
      <c r="P46" s="1">
        <v>0.55469999999999997</v>
      </c>
      <c r="Q46" s="1">
        <v>0.54359999999999997</v>
      </c>
      <c r="R46" s="1">
        <v>0.53459999999999996</v>
      </c>
      <c r="S46" s="1">
        <v>0.54400000000000004</v>
      </c>
      <c r="T46" s="1">
        <v>0.54500000000000004</v>
      </c>
      <c r="U46" s="1">
        <v>0.40939999999999999</v>
      </c>
      <c r="V46" s="1"/>
      <c r="W46" s="1"/>
      <c r="X46" s="1"/>
      <c r="Y46" s="1"/>
      <c r="Z46" s="1"/>
      <c r="AA46" s="1"/>
      <c r="AB46" s="1">
        <v>0.53510000000000002</v>
      </c>
      <c r="AC46" s="1">
        <v>0.52910000000000001</v>
      </c>
      <c r="AD46" s="1">
        <v>0.54200000000000004</v>
      </c>
      <c r="AE46" s="1">
        <v>0.55149999999999999</v>
      </c>
      <c r="AF46" s="1">
        <v>0.54310000000000003</v>
      </c>
      <c r="AG46" s="1">
        <v>0.55159999999999998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153</v>
      </c>
      <c r="B47" s="1">
        <v>179.47</v>
      </c>
      <c r="C47" s="1">
        <v>30.4</v>
      </c>
      <c r="D47" s="1">
        <v>0.53839999999999999</v>
      </c>
      <c r="E47" s="1">
        <v>0.54990000000000006</v>
      </c>
      <c r="F47" s="1">
        <v>0.5585</v>
      </c>
      <c r="G47" s="1">
        <v>0.55889999999999995</v>
      </c>
      <c r="H47" s="1">
        <v>0.55410000000000004</v>
      </c>
      <c r="I47" s="1">
        <v>0.53879999999999995</v>
      </c>
      <c r="J47" s="1"/>
      <c r="K47" s="1"/>
      <c r="L47" s="1"/>
      <c r="M47" s="1">
        <v>0.54969999999999997</v>
      </c>
      <c r="N47" s="1"/>
      <c r="O47" s="1"/>
      <c r="P47" s="1">
        <v>0.55810000000000004</v>
      </c>
      <c r="Q47" s="1">
        <v>0.54779999999999995</v>
      </c>
      <c r="R47" s="1">
        <v>0.53890000000000005</v>
      </c>
      <c r="S47" s="1">
        <v>0.54849999999999999</v>
      </c>
      <c r="T47" s="1">
        <v>0.55020000000000002</v>
      </c>
      <c r="U47" s="1">
        <v>0.41439999999999999</v>
      </c>
      <c r="V47" s="1"/>
      <c r="W47" s="1"/>
      <c r="X47" s="1"/>
      <c r="Y47" s="1"/>
      <c r="Z47" s="1"/>
      <c r="AA47" s="1"/>
      <c r="AB47" s="1">
        <v>0.53910000000000002</v>
      </c>
      <c r="AC47" s="1">
        <v>0.53349999999999997</v>
      </c>
      <c r="AD47" s="1">
        <v>0.54610000000000003</v>
      </c>
      <c r="AE47" s="1">
        <v>0.55569999999999997</v>
      </c>
      <c r="AF47" s="1">
        <v>0.5474</v>
      </c>
      <c r="AG47" s="1">
        <v>0.55889999999999995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154</v>
      </c>
      <c r="B48" s="1">
        <v>239.47</v>
      </c>
      <c r="C48" s="1">
        <v>30.1</v>
      </c>
      <c r="D48" s="1">
        <v>0.54339999999999999</v>
      </c>
      <c r="E48" s="1">
        <v>0.55510000000000004</v>
      </c>
      <c r="F48" s="1">
        <v>0.56299999999999994</v>
      </c>
      <c r="G48" s="1">
        <v>0.56359999999999999</v>
      </c>
      <c r="H48" s="1">
        <v>0.55810000000000004</v>
      </c>
      <c r="I48" s="1">
        <v>0.54290000000000005</v>
      </c>
      <c r="J48" s="1"/>
      <c r="K48" s="1"/>
      <c r="L48" s="1"/>
      <c r="M48" s="1">
        <v>0.5554</v>
      </c>
      <c r="N48" s="1"/>
      <c r="O48" s="1"/>
      <c r="P48" s="1">
        <v>0.56220000000000003</v>
      </c>
      <c r="Q48" s="1">
        <v>0.55210000000000004</v>
      </c>
      <c r="R48" s="1">
        <v>0.54320000000000002</v>
      </c>
      <c r="S48" s="1">
        <v>0.55230000000000001</v>
      </c>
      <c r="T48" s="1">
        <v>0.55510000000000004</v>
      </c>
      <c r="U48" s="1">
        <v>0.42070000000000002</v>
      </c>
      <c r="V48" s="1"/>
      <c r="W48" s="1"/>
      <c r="X48" s="1"/>
      <c r="Y48" s="1"/>
      <c r="Z48" s="1"/>
      <c r="AA48" s="1"/>
      <c r="AB48" s="1">
        <v>0.54359999999999997</v>
      </c>
      <c r="AC48" s="1">
        <v>0.5383</v>
      </c>
      <c r="AD48" s="1">
        <v>0.55069999999999997</v>
      </c>
      <c r="AE48" s="1">
        <v>0.56040000000000001</v>
      </c>
      <c r="AF48" s="1">
        <v>0.55159999999999998</v>
      </c>
      <c r="AG48" s="1">
        <v>0.56389999999999996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155</v>
      </c>
      <c r="B49" s="1">
        <v>299.47000000000003</v>
      </c>
      <c r="C49" s="1">
        <v>30.2</v>
      </c>
      <c r="D49" s="1">
        <v>0.5484</v>
      </c>
      <c r="E49" s="1">
        <v>0.5595</v>
      </c>
      <c r="F49" s="1">
        <v>0.56789999999999996</v>
      </c>
      <c r="G49" s="1">
        <v>0.56769999999999998</v>
      </c>
      <c r="H49" s="1">
        <v>0.56240000000000001</v>
      </c>
      <c r="I49" s="1">
        <v>0.54720000000000002</v>
      </c>
      <c r="J49" s="1"/>
      <c r="K49" s="1"/>
      <c r="L49" s="1"/>
      <c r="M49" s="1">
        <v>0.5595</v>
      </c>
      <c r="N49" s="1"/>
      <c r="O49" s="1"/>
      <c r="P49" s="1">
        <v>0.56699999999999995</v>
      </c>
      <c r="Q49" s="1">
        <v>0.55659999999999998</v>
      </c>
      <c r="R49" s="1">
        <v>0.54759999999999998</v>
      </c>
      <c r="S49" s="1">
        <v>0.55649999999999999</v>
      </c>
      <c r="T49" s="1">
        <v>0.56069999999999998</v>
      </c>
      <c r="U49" s="1">
        <v>0.42770000000000002</v>
      </c>
      <c r="V49" s="1"/>
      <c r="W49" s="1"/>
      <c r="X49" s="1"/>
      <c r="Y49" s="1"/>
      <c r="Z49" s="1"/>
      <c r="AA49" s="1"/>
      <c r="AB49" s="1">
        <v>0.54869999999999997</v>
      </c>
      <c r="AC49" s="1">
        <v>0.54239999999999999</v>
      </c>
      <c r="AD49" s="1">
        <v>0.55530000000000002</v>
      </c>
      <c r="AE49" s="1">
        <v>0.56530000000000002</v>
      </c>
      <c r="AF49" s="1">
        <v>0.55640000000000001</v>
      </c>
      <c r="AG49" s="1">
        <v>0.56859999999999999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156</v>
      </c>
      <c r="B50" s="1">
        <v>359.46699999999998</v>
      </c>
      <c r="C50" s="1">
        <v>30.1</v>
      </c>
      <c r="D50" s="1">
        <v>0.55410000000000004</v>
      </c>
      <c r="E50" s="1">
        <v>0.5645</v>
      </c>
      <c r="F50" s="1">
        <v>0.57279999999999998</v>
      </c>
      <c r="G50" s="1">
        <v>0.57289999999999996</v>
      </c>
      <c r="H50" s="1">
        <v>0.56679999999999997</v>
      </c>
      <c r="I50" s="1">
        <v>0.55149999999999999</v>
      </c>
      <c r="J50" s="1"/>
      <c r="K50" s="1"/>
      <c r="L50" s="1"/>
      <c r="M50" s="1">
        <v>0.56469999999999998</v>
      </c>
      <c r="N50" s="1"/>
      <c r="O50" s="1"/>
      <c r="P50" s="1">
        <v>0.57150000000000001</v>
      </c>
      <c r="Q50" s="1">
        <v>0.56210000000000004</v>
      </c>
      <c r="R50" s="1">
        <v>0.55200000000000005</v>
      </c>
      <c r="S50" s="1">
        <v>0.56110000000000004</v>
      </c>
      <c r="T50" s="1">
        <v>0.56589999999999996</v>
      </c>
      <c r="U50" s="1">
        <v>0.4335</v>
      </c>
      <c r="V50" s="1"/>
      <c r="W50" s="1"/>
      <c r="X50" s="1"/>
      <c r="Y50" s="1"/>
      <c r="Z50" s="1"/>
      <c r="AA50" s="1"/>
      <c r="AB50" s="1">
        <v>0.55359999999999998</v>
      </c>
      <c r="AC50" s="1">
        <v>0.54690000000000005</v>
      </c>
      <c r="AD50" s="1">
        <v>0.55930000000000002</v>
      </c>
      <c r="AE50" s="1">
        <v>0.56979999999999997</v>
      </c>
      <c r="AF50" s="1">
        <v>0.56289999999999996</v>
      </c>
      <c r="AG50" s="1">
        <v>0.57399999999999995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157</v>
      </c>
      <c r="B51" s="1">
        <v>419.46199999999999</v>
      </c>
      <c r="C51" s="1">
        <v>30.1</v>
      </c>
      <c r="D51" s="1">
        <v>0.55910000000000004</v>
      </c>
      <c r="E51" s="1">
        <v>0.56930000000000003</v>
      </c>
      <c r="F51" s="1">
        <v>0.57779999999999998</v>
      </c>
      <c r="G51" s="1">
        <v>0.57740000000000002</v>
      </c>
      <c r="H51" s="1">
        <v>0.57150000000000001</v>
      </c>
      <c r="I51" s="1">
        <v>0.55600000000000005</v>
      </c>
      <c r="J51" s="1"/>
      <c r="K51" s="1"/>
      <c r="L51" s="1"/>
      <c r="M51" s="1">
        <v>0.56940000000000002</v>
      </c>
      <c r="N51" s="1"/>
      <c r="O51" s="1"/>
      <c r="P51" s="1">
        <v>0.57669999999999999</v>
      </c>
      <c r="Q51" s="1">
        <v>0.56710000000000005</v>
      </c>
      <c r="R51" s="1">
        <v>0.55630000000000002</v>
      </c>
      <c r="S51" s="1">
        <v>0.56530000000000002</v>
      </c>
      <c r="T51" s="1">
        <v>0.57079999999999997</v>
      </c>
      <c r="U51" s="1">
        <v>0.438</v>
      </c>
      <c r="V51" s="1"/>
      <c r="W51" s="1"/>
      <c r="X51" s="1"/>
      <c r="Y51" s="1"/>
      <c r="Z51" s="1"/>
      <c r="AA51" s="1"/>
      <c r="AB51" s="1">
        <v>0.55979999999999996</v>
      </c>
      <c r="AC51" s="1">
        <v>0.55130000000000001</v>
      </c>
      <c r="AD51" s="1">
        <v>0.56299999999999994</v>
      </c>
      <c r="AE51" s="1">
        <v>0.57420000000000004</v>
      </c>
      <c r="AF51" s="1">
        <v>0.57050000000000001</v>
      </c>
      <c r="AG51" s="1">
        <v>0.57979999999999998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158</v>
      </c>
      <c r="B52" s="1">
        <v>479.46100000000001</v>
      </c>
      <c r="C52" s="1">
        <v>30.1</v>
      </c>
      <c r="D52" s="1">
        <v>0.56440000000000001</v>
      </c>
      <c r="E52" s="1">
        <v>0.57450000000000001</v>
      </c>
      <c r="F52" s="1">
        <v>0.58320000000000005</v>
      </c>
      <c r="G52" s="1">
        <v>0.58230000000000004</v>
      </c>
      <c r="H52" s="1">
        <v>0.57589999999999997</v>
      </c>
      <c r="I52" s="1">
        <v>0.56100000000000005</v>
      </c>
      <c r="J52" s="1"/>
      <c r="K52" s="1"/>
      <c r="L52" s="1"/>
      <c r="M52" s="1">
        <v>0.57450000000000001</v>
      </c>
      <c r="N52" s="1"/>
      <c r="O52" s="1"/>
      <c r="P52" s="1">
        <v>0.58169999999999999</v>
      </c>
      <c r="Q52" s="1">
        <v>0.5716</v>
      </c>
      <c r="R52" s="1">
        <v>0.56000000000000005</v>
      </c>
      <c r="S52" s="1">
        <v>0.56989999999999996</v>
      </c>
      <c r="T52" s="1">
        <v>0.5756</v>
      </c>
      <c r="U52" s="1">
        <v>0.44180000000000003</v>
      </c>
      <c r="V52" s="1"/>
      <c r="W52" s="1"/>
      <c r="X52" s="1"/>
      <c r="Y52" s="1"/>
      <c r="Z52" s="1"/>
      <c r="AA52" s="1"/>
      <c r="AB52" s="1">
        <v>0.56530000000000002</v>
      </c>
      <c r="AC52" s="1">
        <v>0.55569999999999997</v>
      </c>
      <c r="AD52" s="1">
        <v>0.56969999999999998</v>
      </c>
      <c r="AE52" s="1">
        <v>0.57840000000000003</v>
      </c>
      <c r="AF52" s="1">
        <v>0.57799999999999996</v>
      </c>
      <c r="AG52" s="1">
        <v>0.58460000000000001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159</v>
      </c>
      <c r="B53" s="1">
        <v>539.46</v>
      </c>
      <c r="C53" s="1">
        <v>30.1</v>
      </c>
      <c r="D53" s="1">
        <v>0.5696</v>
      </c>
      <c r="E53" s="1">
        <v>0.57889999999999997</v>
      </c>
      <c r="F53" s="1">
        <v>0.58750000000000002</v>
      </c>
      <c r="G53" s="1">
        <v>0.58689999999999998</v>
      </c>
      <c r="H53" s="1">
        <v>0.58030000000000004</v>
      </c>
      <c r="I53" s="1">
        <v>0.56569999999999998</v>
      </c>
      <c r="J53" s="1"/>
      <c r="K53" s="1"/>
      <c r="L53" s="1"/>
      <c r="M53" s="1">
        <v>0.57930000000000004</v>
      </c>
      <c r="N53" s="1"/>
      <c r="O53" s="1"/>
      <c r="P53" s="1">
        <v>0.58660000000000001</v>
      </c>
      <c r="Q53" s="1">
        <v>0.57569999999999999</v>
      </c>
      <c r="R53" s="1">
        <v>0.56410000000000005</v>
      </c>
      <c r="S53" s="1">
        <v>0.57469999999999999</v>
      </c>
      <c r="T53" s="1">
        <v>0.58030000000000004</v>
      </c>
      <c r="U53" s="1">
        <v>0.44590000000000002</v>
      </c>
      <c r="V53" s="1"/>
      <c r="W53" s="1"/>
      <c r="X53" s="1"/>
      <c r="Y53" s="1"/>
      <c r="Z53" s="1"/>
      <c r="AA53" s="1"/>
      <c r="AB53" s="1">
        <v>0.57099999999999995</v>
      </c>
      <c r="AC53" s="1">
        <v>0.56040000000000001</v>
      </c>
      <c r="AD53" s="1">
        <v>0.57299999999999995</v>
      </c>
      <c r="AE53" s="1">
        <v>0.58330000000000004</v>
      </c>
      <c r="AF53" s="1">
        <v>0.58299999999999996</v>
      </c>
      <c r="AG53" s="1">
        <v>0.58960000000000001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160</v>
      </c>
      <c r="B54" s="1">
        <v>599.45699999999999</v>
      </c>
      <c r="C54" s="1">
        <v>30.1</v>
      </c>
      <c r="D54" s="1">
        <v>0.57469999999999999</v>
      </c>
      <c r="E54" s="1">
        <v>0.5837</v>
      </c>
      <c r="F54" s="1">
        <v>0.59260000000000002</v>
      </c>
      <c r="G54" s="1">
        <v>0.59189999999999998</v>
      </c>
      <c r="H54" s="1">
        <v>0.58520000000000005</v>
      </c>
      <c r="I54" s="1">
        <v>0.57089999999999996</v>
      </c>
      <c r="J54" s="1"/>
      <c r="K54" s="1"/>
      <c r="L54" s="1"/>
      <c r="M54" s="1">
        <v>0.58389999999999997</v>
      </c>
      <c r="N54" s="1"/>
      <c r="O54" s="1"/>
      <c r="P54" s="1">
        <v>0.59150000000000003</v>
      </c>
      <c r="Q54" s="1">
        <v>0.57979999999999998</v>
      </c>
      <c r="R54" s="1">
        <v>0.56850000000000001</v>
      </c>
      <c r="S54" s="1">
        <v>0.57889999999999997</v>
      </c>
      <c r="T54" s="1">
        <v>0.58509999999999995</v>
      </c>
      <c r="U54" s="1">
        <v>0.44990000000000002</v>
      </c>
      <c r="V54" s="1"/>
      <c r="W54" s="1"/>
      <c r="X54" s="1"/>
      <c r="Y54" s="1"/>
      <c r="Z54" s="1"/>
      <c r="AA54" s="1"/>
      <c r="AB54" s="1">
        <v>0.57569999999999999</v>
      </c>
      <c r="AC54" s="1">
        <v>0.56530000000000002</v>
      </c>
      <c r="AD54" s="1">
        <v>0.5776</v>
      </c>
      <c r="AE54" s="1">
        <v>0.58830000000000005</v>
      </c>
      <c r="AF54" s="1">
        <v>0.58960000000000001</v>
      </c>
      <c r="AG54" s="1">
        <v>0.59519999999999995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161</v>
      </c>
      <c r="B55" s="1">
        <v>659.45699999999999</v>
      </c>
      <c r="C55" s="1">
        <v>30</v>
      </c>
      <c r="D55" s="1">
        <v>0.57969999999999999</v>
      </c>
      <c r="E55" s="1">
        <v>0.58909999999999996</v>
      </c>
      <c r="F55" s="1">
        <v>0.59750000000000003</v>
      </c>
      <c r="G55" s="1">
        <v>0.59650000000000003</v>
      </c>
      <c r="H55" s="1">
        <v>0.59</v>
      </c>
      <c r="I55" s="1">
        <v>0.57579999999999998</v>
      </c>
      <c r="J55" s="1"/>
      <c r="K55" s="1"/>
      <c r="L55" s="1"/>
      <c r="M55" s="1">
        <v>0.58950000000000002</v>
      </c>
      <c r="N55" s="1"/>
      <c r="O55" s="1"/>
      <c r="P55" s="1">
        <v>0.59670000000000001</v>
      </c>
      <c r="Q55" s="1">
        <v>0.58379999999999999</v>
      </c>
      <c r="R55" s="1">
        <v>0.57240000000000002</v>
      </c>
      <c r="S55" s="1">
        <v>0.58340000000000003</v>
      </c>
      <c r="T55" s="1">
        <v>0.59050000000000002</v>
      </c>
      <c r="U55" s="1">
        <v>0.4546</v>
      </c>
      <c r="V55" s="1"/>
      <c r="W55" s="1"/>
      <c r="X55" s="1"/>
      <c r="Y55" s="1"/>
      <c r="Z55" s="1"/>
      <c r="AA55" s="1"/>
      <c r="AB55" s="1">
        <v>0.57509999999999994</v>
      </c>
      <c r="AC55" s="1">
        <v>0.56989999999999996</v>
      </c>
      <c r="AD55" s="1">
        <v>0.58260000000000001</v>
      </c>
      <c r="AE55" s="1">
        <v>0.59260000000000002</v>
      </c>
      <c r="AF55" s="1">
        <v>0.60119999999999996</v>
      </c>
      <c r="AG55" s="1">
        <v>0.5998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162</v>
      </c>
      <c r="B56" s="1">
        <v>719.45</v>
      </c>
      <c r="C56" s="1">
        <v>30.1</v>
      </c>
      <c r="D56" s="1">
        <v>0.58430000000000004</v>
      </c>
      <c r="E56" s="1">
        <v>0.59340000000000004</v>
      </c>
      <c r="F56" s="1">
        <v>0.60229999999999995</v>
      </c>
      <c r="G56" s="1">
        <v>0.60070000000000001</v>
      </c>
      <c r="H56" s="1">
        <v>0.59409999999999996</v>
      </c>
      <c r="I56" s="1">
        <v>0.58040000000000003</v>
      </c>
      <c r="J56" s="1"/>
      <c r="K56" s="1"/>
      <c r="L56" s="1"/>
      <c r="M56" s="1">
        <v>0.59289999999999998</v>
      </c>
      <c r="N56" s="1"/>
      <c r="O56" s="1"/>
      <c r="P56" s="1">
        <v>0.60150000000000003</v>
      </c>
      <c r="Q56" s="1">
        <v>0.58850000000000002</v>
      </c>
      <c r="R56" s="1">
        <v>0.57640000000000002</v>
      </c>
      <c r="S56" s="1">
        <v>0.58740000000000003</v>
      </c>
      <c r="T56" s="1">
        <v>0.59540000000000004</v>
      </c>
      <c r="U56" s="1">
        <v>0.4587</v>
      </c>
      <c r="V56" s="1"/>
      <c r="W56" s="1"/>
      <c r="X56" s="1"/>
      <c r="Y56" s="1"/>
      <c r="Z56" s="1"/>
      <c r="AA56" s="1"/>
      <c r="AB56" s="1">
        <v>0.58489999999999998</v>
      </c>
      <c r="AC56" s="1">
        <v>0.57450000000000001</v>
      </c>
      <c r="AD56" s="1">
        <v>0.58679999999999999</v>
      </c>
      <c r="AE56" s="1">
        <v>0.59689999999999999</v>
      </c>
      <c r="AF56" s="1">
        <v>0.60740000000000005</v>
      </c>
      <c r="AG56" s="1">
        <v>0.6048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163</v>
      </c>
      <c r="B57" s="1">
        <v>779.45500000000004</v>
      </c>
      <c r="C57" s="1">
        <v>30</v>
      </c>
      <c r="D57" s="1">
        <v>0.58930000000000005</v>
      </c>
      <c r="E57" s="1">
        <v>0.59760000000000002</v>
      </c>
      <c r="F57" s="1">
        <v>0.60640000000000005</v>
      </c>
      <c r="G57" s="1">
        <v>0.60519999999999996</v>
      </c>
      <c r="H57" s="1">
        <v>0.59819999999999995</v>
      </c>
      <c r="I57" s="1">
        <v>0.58479999999999999</v>
      </c>
      <c r="J57" s="1"/>
      <c r="K57" s="1"/>
      <c r="L57" s="1"/>
      <c r="M57" s="1">
        <v>0.59770000000000001</v>
      </c>
      <c r="N57" s="1"/>
      <c r="O57" s="1"/>
      <c r="P57" s="1">
        <v>0.60650000000000004</v>
      </c>
      <c r="Q57" s="1">
        <v>0.59260000000000002</v>
      </c>
      <c r="R57" s="1">
        <v>0.58050000000000002</v>
      </c>
      <c r="S57" s="1">
        <v>0.59209999999999996</v>
      </c>
      <c r="T57" s="1">
        <v>0.60029999999999994</v>
      </c>
      <c r="U57" s="1">
        <v>0.46200000000000002</v>
      </c>
      <c r="V57" s="1"/>
      <c r="W57" s="1"/>
      <c r="X57" s="1"/>
      <c r="Y57" s="1"/>
      <c r="Z57" s="1"/>
      <c r="AA57" s="1"/>
      <c r="AB57" s="1">
        <v>0.58579999999999999</v>
      </c>
      <c r="AC57" s="1">
        <v>0.57830000000000004</v>
      </c>
      <c r="AD57" s="1">
        <v>0.59130000000000005</v>
      </c>
      <c r="AE57" s="1">
        <v>0.60140000000000005</v>
      </c>
      <c r="AF57" s="1">
        <v>0.60960000000000003</v>
      </c>
      <c r="AG57" s="1">
        <v>0.60919999999999996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164</v>
      </c>
      <c r="B58" s="1">
        <v>839.45600000000002</v>
      </c>
      <c r="C58" s="1">
        <v>30.1</v>
      </c>
      <c r="D58" s="1">
        <v>0.59409999999999996</v>
      </c>
      <c r="E58" s="1">
        <v>0.60240000000000005</v>
      </c>
      <c r="F58" s="1">
        <v>0.61160000000000003</v>
      </c>
      <c r="G58" s="1">
        <v>0.60950000000000004</v>
      </c>
      <c r="H58" s="1">
        <v>0.60260000000000002</v>
      </c>
      <c r="I58" s="1">
        <v>0.58899999999999997</v>
      </c>
      <c r="J58" s="1"/>
      <c r="K58" s="1"/>
      <c r="L58" s="1"/>
      <c r="M58" s="1">
        <v>0.60229999999999995</v>
      </c>
      <c r="N58" s="1"/>
      <c r="O58" s="1"/>
      <c r="P58" s="1">
        <v>0.61119999999999997</v>
      </c>
      <c r="Q58" s="1">
        <v>0.5968</v>
      </c>
      <c r="R58" s="1">
        <v>0.58479999999999999</v>
      </c>
      <c r="S58" s="1">
        <v>0.59630000000000005</v>
      </c>
      <c r="T58" s="1">
        <v>0.60429999999999995</v>
      </c>
      <c r="U58" s="1">
        <v>0.46560000000000001</v>
      </c>
      <c r="V58" s="1"/>
      <c r="W58" s="1"/>
      <c r="X58" s="1"/>
      <c r="Y58" s="1"/>
      <c r="Z58" s="1"/>
      <c r="AA58" s="1"/>
      <c r="AB58" s="1">
        <v>0.58960000000000001</v>
      </c>
      <c r="AC58" s="1">
        <v>0.58250000000000002</v>
      </c>
      <c r="AD58" s="1">
        <v>0.59489999999999998</v>
      </c>
      <c r="AE58" s="1">
        <v>0.60509999999999997</v>
      </c>
      <c r="AF58" s="1">
        <v>0.60680000000000001</v>
      </c>
      <c r="AG58" s="1">
        <v>0.61360000000000003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165</v>
      </c>
      <c r="B59" s="1">
        <v>899.44799999999998</v>
      </c>
      <c r="C59" s="1">
        <v>30</v>
      </c>
      <c r="D59" s="1">
        <v>0.59870000000000001</v>
      </c>
      <c r="E59" s="1">
        <v>0.60670000000000002</v>
      </c>
      <c r="F59" s="1">
        <v>0.61599999999999999</v>
      </c>
      <c r="G59" s="1">
        <v>0.61399999999999999</v>
      </c>
      <c r="H59" s="1">
        <v>0.60729999999999995</v>
      </c>
      <c r="I59" s="1">
        <v>0.59350000000000003</v>
      </c>
      <c r="J59" s="1"/>
      <c r="K59" s="1"/>
      <c r="L59" s="1"/>
      <c r="M59" s="1">
        <v>0.60670000000000002</v>
      </c>
      <c r="N59" s="1"/>
      <c r="O59" s="1"/>
      <c r="P59" s="1">
        <v>0.61570000000000003</v>
      </c>
      <c r="Q59" s="1">
        <v>0.60050000000000003</v>
      </c>
      <c r="R59" s="1">
        <v>0.58879999999999999</v>
      </c>
      <c r="S59" s="1">
        <v>0.60040000000000004</v>
      </c>
      <c r="T59" s="1">
        <v>0.60970000000000002</v>
      </c>
      <c r="U59" s="1">
        <v>0.4708</v>
      </c>
      <c r="V59" s="1"/>
      <c r="W59" s="1"/>
      <c r="X59" s="1"/>
      <c r="Y59" s="1"/>
      <c r="Z59" s="1"/>
      <c r="AA59" s="1"/>
      <c r="AB59" s="1">
        <v>0.59589999999999999</v>
      </c>
      <c r="AC59" s="1">
        <v>0.58740000000000003</v>
      </c>
      <c r="AD59" s="1">
        <v>0.59970000000000001</v>
      </c>
      <c r="AE59" s="1">
        <v>0.60980000000000001</v>
      </c>
      <c r="AF59" s="1">
        <v>0.6069</v>
      </c>
      <c r="AG59" s="1">
        <v>0.61860000000000004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166</v>
      </c>
      <c r="B60" s="1">
        <v>959.447</v>
      </c>
      <c r="C60" s="1">
        <v>30</v>
      </c>
      <c r="D60" s="1">
        <v>0.60340000000000005</v>
      </c>
      <c r="E60" s="1">
        <v>0.61070000000000002</v>
      </c>
      <c r="F60" s="1">
        <v>0.62050000000000005</v>
      </c>
      <c r="G60" s="1">
        <v>0.61770000000000003</v>
      </c>
      <c r="H60" s="1">
        <v>0.61140000000000005</v>
      </c>
      <c r="I60" s="1">
        <v>0.59760000000000002</v>
      </c>
      <c r="J60" s="1"/>
      <c r="K60" s="1"/>
      <c r="L60" s="1"/>
      <c r="M60" s="1">
        <v>0.6109</v>
      </c>
      <c r="N60" s="1"/>
      <c r="O60" s="1"/>
      <c r="P60" s="1">
        <v>0.62050000000000005</v>
      </c>
      <c r="Q60" s="1">
        <v>0.60440000000000005</v>
      </c>
      <c r="R60" s="1">
        <v>0.59250000000000003</v>
      </c>
      <c r="S60" s="1">
        <v>0.60460000000000003</v>
      </c>
      <c r="T60" s="1">
        <v>0.61370000000000002</v>
      </c>
      <c r="U60" s="1">
        <v>0.47439999999999999</v>
      </c>
      <c r="V60" s="1"/>
      <c r="W60" s="1"/>
      <c r="X60" s="1"/>
      <c r="Y60" s="1"/>
      <c r="Z60" s="1"/>
      <c r="AA60" s="1"/>
      <c r="AB60" s="1">
        <v>0.60219999999999996</v>
      </c>
      <c r="AC60" s="1">
        <v>0.59109999999999996</v>
      </c>
      <c r="AD60" s="1">
        <v>0.60429999999999995</v>
      </c>
      <c r="AE60" s="1">
        <v>0.61370000000000002</v>
      </c>
      <c r="AF60" s="1">
        <v>0.60770000000000002</v>
      </c>
      <c r="AG60" s="1">
        <v>0.622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167</v>
      </c>
      <c r="B61" s="1">
        <v>1019.442</v>
      </c>
      <c r="C61" s="1">
        <v>29.9</v>
      </c>
      <c r="D61" s="1">
        <v>0.60780000000000001</v>
      </c>
      <c r="E61" s="1">
        <v>0.61480000000000001</v>
      </c>
      <c r="F61" s="1">
        <v>0.62419999999999998</v>
      </c>
      <c r="G61" s="1">
        <v>0.62209999999999999</v>
      </c>
      <c r="H61" s="1">
        <v>0.61550000000000005</v>
      </c>
      <c r="I61" s="1">
        <v>0.60150000000000003</v>
      </c>
      <c r="J61" s="1"/>
      <c r="K61" s="1"/>
      <c r="L61" s="1"/>
      <c r="M61" s="1">
        <v>0.61529999999999996</v>
      </c>
      <c r="N61" s="1"/>
      <c r="O61" s="1"/>
      <c r="P61" s="1">
        <v>0.62519999999999998</v>
      </c>
      <c r="Q61" s="1">
        <v>0.60870000000000002</v>
      </c>
      <c r="R61" s="1">
        <v>0.59660000000000002</v>
      </c>
      <c r="S61" s="1">
        <v>0.60870000000000002</v>
      </c>
      <c r="T61" s="1">
        <v>0.61829999999999996</v>
      </c>
      <c r="U61" s="1">
        <v>0.47789999999999999</v>
      </c>
      <c r="V61" s="1"/>
      <c r="W61" s="1"/>
      <c r="X61" s="1"/>
      <c r="Y61" s="1"/>
      <c r="Z61" s="1"/>
      <c r="AA61" s="1"/>
      <c r="AB61" s="1">
        <v>0.60119999999999996</v>
      </c>
      <c r="AC61" s="1">
        <v>0.59519999999999995</v>
      </c>
      <c r="AD61" s="1">
        <v>0.60840000000000005</v>
      </c>
      <c r="AE61" s="1">
        <v>0.61760000000000004</v>
      </c>
      <c r="AF61" s="1">
        <v>0.61080000000000001</v>
      </c>
      <c r="AG61" s="1">
        <v>0.62680000000000002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168</v>
      </c>
      <c r="B62" s="1">
        <v>1079.44</v>
      </c>
      <c r="C62" s="1">
        <v>30.1</v>
      </c>
      <c r="D62" s="1">
        <v>0.61199999999999999</v>
      </c>
      <c r="E62" s="1">
        <v>0.61850000000000005</v>
      </c>
      <c r="F62" s="1">
        <v>0.62809999999999999</v>
      </c>
      <c r="G62" s="1">
        <v>0.62549999999999994</v>
      </c>
      <c r="H62" s="1">
        <v>0.61960000000000004</v>
      </c>
      <c r="I62" s="1">
        <v>0.60550000000000004</v>
      </c>
      <c r="J62" s="1"/>
      <c r="K62" s="1"/>
      <c r="L62" s="1"/>
      <c r="M62" s="1">
        <v>0.61919999999999997</v>
      </c>
      <c r="N62" s="1"/>
      <c r="O62" s="1"/>
      <c r="P62" s="1">
        <v>0.63039999999999996</v>
      </c>
      <c r="Q62" s="1">
        <v>0.6129</v>
      </c>
      <c r="R62" s="1">
        <v>0.6008</v>
      </c>
      <c r="S62" s="1">
        <v>0.6129</v>
      </c>
      <c r="T62" s="1">
        <v>0.62280000000000002</v>
      </c>
      <c r="U62" s="1">
        <v>0.48070000000000002</v>
      </c>
      <c r="V62" s="1"/>
      <c r="W62" s="1"/>
      <c r="X62" s="1"/>
      <c r="Y62" s="1"/>
      <c r="Z62" s="1"/>
      <c r="AA62" s="1"/>
      <c r="AB62" s="1">
        <v>0.60670000000000002</v>
      </c>
      <c r="AC62" s="1">
        <v>0.59809999999999997</v>
      </c>
      <c r="AD62" s="1">
        <v>0.61150000000000004</v>
      </c>
      <c r="AE62" s="1">
        <v>0.62150000000000005</v>
      </c>
      <c r="AF62" s="1">
        <v>0.61399999999999999</v>
      </c>
      <c r="AG62" s="1">
        <v>0.63090000000000002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169</v>
      </c>
      <c r="B63" s="1">
        <v>1139.442</v>
      </c>
      <c r="C63" s="1">
        <v>30</v>
      </c>
      <c r="D63" s="1">
        <v>0.61639999999999995</v>
      </c>
      <c r="E63" s="1">
        <v>0.62339999999999995</v>
      </c>
      <c r="F63" s="1">
        <v>0.63319999999999999</v>
      </c>
      <c r="G63" s="1">
        <v>0.63070000000000004</v>
      </c>
      <c r="H63" s="1">
        <v>0.62460000000000004</v>
      </c>
      <c r="I63" s="1">
        <v>0.60980000000000001</v>
      </c>
      <c r="J63" s="1"/>
      <c r="K63" s="1"/>
      <c r="L63" s="1"/>
      <c r="M63" s="1">
        <v>0.62390000000000001</v>
      </c>
      <c r="N63" s="1"/>
      <c r="O63" s="1"/>
      <c r="P63" s="1">
        <v>0.63360000000000005</v>
      </c>
      <c r="Q63" s="1">
        <v>0.61609999999999998</v>
      </c>
      <c r="R63" s="1">
        <v>0.60389999999999999</v>
      </c>
      <c r="S63" s="1">
        <v>0.61629999999999996</v>
      </c>
      <c r="T63" s="1">
        <v>0.62680000000000002</v>
      </c>
      <c r="U63" s="1">
        <v>0.4829</v>
      </c>
      <c r="V63" s="1"/>
      <c r="W63" s="1"/>
      <c r="X63" s="1"/>
      <c r="Y63" s="1"/>
      <c r="Z63" s="1"/>
      <c r="AA63" s="1"/>
      <c r="AB63" s="1">
        <v>0.60940000000000005</v>
      </c>
      <c r="AC63" s="1">
        <v>0.60419999999999996</v>
      </c>
      <c r="AD63" s="1">
        <v>0.61709999999999998</v>
      </c>
      <c r="AE63" s="1">
        <v>0.62629999999999997</v>
      </c>
      <c r="AF63" s="1">
        <v>0.61839999999999995</v>
      </c>
      <c r="AG63" s="1">
        <v>0.63580000000000003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170</v>
      </c>
      <c r="B64" s="1">
        <v>1199.434</v>
      </c>
      <c r="C64" s="1">
        <v>30</v>
      </c>
      <c r="D64" s="1">
        <v>0.62080000000000002</v>
      </c>
      <c r="E64" s="1">
        <v>0.62770000000000004</v>
      </c>
      <c r="F64" s="1">
        <v>0.63739999999999997</v>
      </c>
      <c r="G64" s="1">
        <v>0.63439999999999996</v>
      </c>
      <c r="H64" s="1">
        <v>0.62839999999999996</v>
      </c>
      <c r="I64" s="1">
        <v>0.61419999999999997</v>
      </c>
      <c r="J64" s="1"/>
      <c r="K64" s="1"/>
      <c r="L64" s="1"/>
      <c r="M64" s="1">
        <v>0.62829999999999997</v>
      </c>
      <c r="N64" s="1"/>
      <c r="O64" s="1"/>
      <c r="P64" s="1">
        <v>0.63819999999999999</v>
      </c>
      <c r="Q64" s="1">
        <v>0.62</v>
      </c>
      <c r="R64" s="1">
        <v>0.60740000000000005</v>
      </c>
      <c r="S64" s="1">
        <v>0.62029999999999996</v>
      </c>
      <c r="T64" s="1">
        <v>0.63070000000000004</v>
      </c>
      <c r="U64" s="1">
        <v>0.4874</v>
      </c>
      <c r="V64" s="1"/>
      <c r="W64" s="1"/>
      <c r="X64" s="1"/>
      <c r="Y64" s="1"/>
      <c r="Z64" s="1"/>
      <c r="AA64" s="1"/>
      <c r="AB64" s="1">
        <v>0.61570000000000003</v>
      </c>
      <c r="AC64" s="1">
        <v>0.60799999999999998</v>
      </c>
      <c r="AD64" s="1">
        <v>0.62090000000000001</v>
      </c>
      <c r="AE64" s="1">
        <v>0.63009999999999999</v>
      </c>
      <c r="AF64" s="1">
        <v>0.62150000000000005</v>
      </c>
      <c r="AG64" s="1">
        <v>0.63970000000000005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171</v>
      </c>
      <c r="B65" s="1">
        <v>1259.4280000000001</v>
      </c>
      <c r="C65" s="1">
        <v>30.1</v>
      </c>
      <c r="D65" s="1">
        <v>0.625</v>
      </c>
      <c r="E65" s="1">
        <v>0.63149999999999995</v>
      </c>
      <c r="F65" s="1">
        <v>0.64149999999999996</v>
      </c>
      <c r="G65" s="1">
        <v>0.63800000000000001</v>
      </c>
      <c r="H65" s="1">
        <v>0.63280000000000003</v>
      </c>
      <c r="I65" s="1">
        <v>0.61750000000000005</v>
      </c>
      <c r="J65" s="1"/>
      <c r="K65" s="1"/>
      <c r="L65" s="1"/>
      <c r="M65" s="1">
        <v>0.6321</v>
      </c>
      <c r="N65" s="1"/>
      <c r="O65" s="1"/>
      <c r="P65" s="1">
        <v>0.64219999999999999</v>
      </c>
      <c r="Q65" s="1">
        <v>0.62380000000000002</v>
      </c>
      <c r="R65" s="1">
        <v>0.61099999999999999</v>
      </c>
      <c r="S65" s="1">
        <v>0.624</v>
      </c>
      <c r="T65" s="1">
        <v>0.63529999999999998</v>
      </c>
      <c r="U65" s="1">
        <v>0.49080000000000001</v>
      </c>
      <c r="V65" s="1"/>
      <c r="W65" s="1"/>
      <c r="X65" s="1"/>
      <c r="Y65" s="1"/>
      <c r="Z65" s="1"/>
      <c r="AA65" s="1"/>
      <c r="AB65" s="1">
        <v>0.62080000000000002</v>
      </c>
      <c r="AC65" s="1">
        <v>0.61240000000000006</v>
      </c>
      <c r="AD65" s="1">
        <v>0.62539999999999996</v>
      </c>
      <c r="AE65" s="1">
        <v>0.63439999999999996</v>
      </c>
      <c r="AF65" s="1">
        <v>0.62570000000000003</v>
      </c>
      <c r="AG65" s="1">
        <v>0.64359999999999995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172</v>
      </c>
      <c r="B66" s="1">
        <v>1319.4290000000001</v>
      </c>
      <c r="C66" s="1">
        <v>30.1</v>
      </c>
      <c r="D66" s="1">
        <v>0.62909999999999999</v>
      </c>
      <c r="E66" s="1">
        <v>0.63539999999999996</v>
      </c>
      <c r="F66" s="1">
        <v>0.64500000000000002</v>
      </c>
      <c r="G66" s="1">
        <v>0.64229999999999998</v>
      </c>
      <c r="H66" s="1">
        <v>0.63739999999999997</v>
      </c>
      <c r="I66" s="1">
        <v>0.62139999999999995</v>
      </c>
      <c r="J66" s="1"/>
      <c r="K66" s="1"/>
      <c r="L66" s="1"/>
      <c r="M66" s="1">
        <v>0.63680000000000003</v>
      </c>
      <c r="N66" s="1"/>
      <c r="O66" s="1"/>
      <c r="P66" s="1">
        <v>0.64600000000000002</v>
      </c>
      <c r="Q66" s="1">
        <v>0.62729999999999997</v>
      </c>
      <c r="R66" s="1">
        <v>0.61439999999999995</v>
      </c>
      <c r="S66" s="1">
        <v>0.62790000000000001</v>
      </c>
      <c r="T66" s="1">
        <v>0.63929999999999998</v>
      </c>
      <c r="U66" s="1">
        <v>0.49370000000000003</v>
      </c>
      <c r="V66" s="1"/>
      <c r="W66" s="1"/>
      <c r="X66" s="1"/>
      <c r="Y66" s="1"/>
      <c r="Z66" s="1"/>
      <c r="AA66" s="1"/>
      <c r="AB66" s="1">
        <v>0.62380000000000002</v>
      </c>
      <c r="AC66" s="1">
        <v>0.61629999999999996</v>
      </c>
      <c r="AD66" s="1">
        <v>0.62880000000000003</v>
      </c>
      <c r="AE66" s="1">
        <v>0.63819999999999999</v>
      </c>
      <c r="AF66" s="1">
        <v>0.62890000000000001</v>
      </c>
      <c r="AG66" s="1">
        <v>0.64810000000000001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173</v>
      </c>
      <c r="B67" s="1">
        <v>1379.4269999999999</v>
      </c>
      <c r="C67" s="1">
        <v>30</v>
      </c>
      <c r="D67" s="1">
        <v>0.63319999999999999</v>
      </c>
      <c r="E67" s="1">
        <v>0.63959999999999995</v>
      </c>
      <c r="F67" s="1">
        <v>0.64929999999999999</v>
      </c>
      <c r="G67" s="1">
        <v>0.64590000000000003</v>
      </c>
      <c r="H67" s="1">
        <v>0.64129999999999998</v>
      </c>
      <c r="I67" s="1">
        <v>0.62519999999999998</v>
      </c>
      <c r="J67" s="1"/>
      <c r="K67" s="1"/>
      <c r="L67" s="1"/>
      <c r="M67" s="1">
        <v>0.6401</v>
      </c>
      <c r="N67" s="1"/>
      <c r="O67" s="1"/>
      <c r="P67" s="1">
        <v>0.65029999999999999</v>
      </c>
      <c r="Q67" s="1">
        <v>0.63100000000000001</v>
      </c>
      <c r="R67" s="1">
        <v>0.61839999999999995</v>
      </c>
      <c r="S67" s="1">
        <v>0.63170000000000004</v>
      </c>
      <c r="T67" s="1">
        <v>0.64300000000000002</v>
      </c>
      <c r="U67" s="1">
        <v>0.49719999999999998</v>
      </c>
      <c r="V67" s="1"/>
      <c r="W67" s="1"/>
      <c r="X67" s="1"/>
      <c r="Y67" s="1"/>
      <c r="Z67" s="1"/>
      <c r="AA67" s="1"/>
      <c r="AB67" s="1">
        <v>0.627</v>
      </c>
      <c r="AC67" s="1">
        <v>0.61939999999999995</v>
      </c>
      <c r="AD67" s="1">
        <v>0.63219999999999998</v>
      </c>
      <c r="AE67" s="1">
        <v>0.64119999999999999</v>
      </c>
      <c r="AF67" s="1">
        <v>0.6321</v>
      </c>
      <c r="AG67" s="1">
        <v>0.65169999999999995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174</v>
      </c>
      <c r="B68" s="1">
        <v>1439.42</v>
      </c>
      <c r="C68" s="1">
        <v>30</v>
      </c>
      <c r="D68" s="1">
        <v>0.63660000000000005</v>
      </c>
      <c r="E68" s="1">
        <v>0.6431</v>
      </c>
      <c r="F68" s="1">
        <v>0.65280000000000005</v>
      </c>
      <c r="G68" s="1">
        <v>0.64949999999999997</v>
      </c>
      <c r="H68" s="1">
        <v>0.64500000000000002</v>
      </c>
      <c r="I68" s="1">
        <v>0.62970000000000004</v>
      </c>
      <c r="J68" s="1"/>
      <c r="K68" s="1"/>
      <c r="L68" s="1"/>
      <c r="M68" s="1">
        <v>0.64410000000000001</v>
      </c>
      <c r="N68" s="1"/>
      <c r="O68" s="1"/>
      <c r="P68" s="1">
        <v>0.65390000000000004</v>
      </c>
      <c r="Q68" s="1">
        <v>0.63449999999999995</v>
      </c>
      <c r="R68" s="1">
        <v>0.62170000000000003</v>
      </c>
      <c r="S68" s="1">
        <v>0.63490000000000002</v>
      </c>
      <c r="T68" s="1">
        <v>0.6472</v>
      </c>
      <c r="U68" s="1">
        <v>0.49880000000000002</v>
      </c>
      <c r="V68" s="1"/>
      <c r="W68" s="1"/>
      <c r="X68" s="1"/>
      <c r="Y68" s="1"/>
      <c r="Z68" s="1"/>
      <c r="AA68" s="1"/>
      <c r="AB68" s="1">
        <v>0.63300000000000001</v>
      </c>
      <c r="AC68" s="1">
        <v>0.62350000000000005</v>
      </c>
      <c r="AD68" s="1">
        <v>0.63590000000000002</v>
      </c>
      <c r="AE68" s="1">
        <v>0.64529999999999998</v>
      </c>
      <c r="AF68" s="1">
        <v>0.63519999999999999</v>
      </c>
      <c r="AG68" s="1">
        <v>0.65480000000000005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175</v>
      </c>
      <c r="B69" s="1">
        <v>1499.422</v>
      </c>
      <c r="C69" s="1">
        <v>30</v>
      </c>
      <c r="D69" s="1">
        <v>0.64090000000000003</v>
      </c>
      <c r="E69" s="1">
        <v>0.64700000000000002</v>
      </c>
      <c r="F69" s="1">
        <v>0.65649999999999997</v>
      </c>
      <c r="G69" s="1">
        <v>0.65310000000000001</v>
      </c>
      <c r="H69" s="1">
        <v>0.64849999999999997</v>
      </c>
      <c r="I69" s="1">
        <v>0.63229999999999997</v>
      </c>
      <c r="J69" s="1"/>
      <c r="K69" s="1"/>
      <c r="L69" s="1"/>
      <c r="M69" s="1">
        <v>0.64800000000000002</v>
      </c>
      <c r="N69" s="1"/>
      <c r="O69" s="1"/>
      <c r="P69" s="1">
        <v>0.65810000000000002</v>
      </c>
      <c r="Q69" s="1">
        <v>0.6381</v>
      </c>
      <c r="R69" s="1">
        <v>0.62480000000000002</v>
      </c>
      <c r="S69" s="1">
        <v>0.63870000000000005</v>
      </c>
      <c r="T69" s="1">
        <v>0.65100000000000002</v>
      </c>
      <c r="U69" s="1">
        <v>0.50060000000000004</v>
      </c>
      <c r="V69" s="1"/>
      <c r="W69" s="1"/>
      <c r="X69" s="1"/>
      <c r="Y69" s="1"/>
      <c r="Z69" s="1"/>
      <c r="AA69" s="1"/>
      <c r="AB69" s="1">
        <v>0.63759999999999994</v>
      </c>
      <c r="AC69" s="1">
        <v>0.62660000000000005</v>
      </c>
      <c r="AD69" s="1">
        <v>0.6391</v>
      </c>
      <c r="AE69" s="1">
        <v>0.64890000000000003</v>
      </c>
      <c r="AF69" s="1">
        <v>0.63900000000000001</v>
      </c>
      <c r="AG69" s="1">
        <v>0.65859999999999996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176</v>
      </c>
      <c r="B70" s="1">
        <v>1559.42</v>
      </c>
      <c r="C70" s="1">
        <v>30</v>
      </c>
      <c r="D70" s="1">
        <v>0.64459999999999995</v>
      </c>
      <c r="E70" s="1">
        <v>0.6502</v>
      </c>
      <c r="F70" s="1">
        <v>0.6603</v>
      </c>
      <c r="G70" s="1">
        <v>0.65690000000000004</v>
      </c>
      <c r="H70" s="1">
        <v>0.65190000000000003</v>
      </c>
      <c r="I70" s="1">
        <v>0.63600000000000001</v>
      </c>
      <c r="J70" s="1"/>
      <c r="K70" s="1"/>
      <c r="L70" s="1"/>
      <c r="M70" s="1">
        <v>0.65159999999999996</v>
      </c>
      <c r="N70" s="1"/>
      <c r="O70" s="1"/>
      <c r="P70" s="1">
        <v>0.66159999999999997</v>
      </c>
      <c r="Q70" s="1">
        <v>0.64159999999999995</v>
      </c>
      <c r="R70" s="1">
        <v>0.62819999999999998</v>
      </c>
      <c r="S70" s="1">
        <v>0.64229999999999998</v>
      </c>
      <c r="T70" s="1">
        <v>0.65469999999999995</v>
      </c>
      <c r="U70" s="1">
        <v>0.50449999999999995</v>
      </c>
      <c r="V70" s="1"/>
      <c r="W70" s="1"/>
      <c r="X70" s="1"/>
      <c r="Y70" s="1"/>
      <c r="Z70" s="1"/>
      <c r="AA70" s="1"/>
      <c r="AB70" s="1">
        <v>0.64070000000000005</v>
      </c>
      <c r="AC70" s="1">
        <v>0.62949999999999995</v>
      </c>
      <c r="AD70" s="1">
        <v>0.64270000000000005</v>
      </c>
      <c r="AE70" s="1">
        <v>0.65169999999999995</v>
      </c>
      <c r="AF70" s="1">
        <v>0.64219999999999999</v>
      </c>
      <c r="AG70" s="1">
        <v>0.66169999999999995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177</v>
      </c>
      <c r="B71" s="1">
        <v>1619.424</v>
      </c>
      <c r="C71" s="1">
        <v>30</v>
      </c>
      <c r="D71" s="1">
        <v>0.64839999999999998</v>
      </c>
      <c r="E71" s="1">
        <v>0.65359999999999996</v>
      </c>
      <c r="F71" s="1">
        <v>0.66359999999999997</v>
      </c>
      <c r="G71" s="1">
        <v>0.65969999999999995</v>
      </c>
      <c r="H71" s="1">
        <v>0.65510000000000002</v>
      </c>
      <c r="I71" s="1">
        <v>0.63900000000000001</v>
      </c>
      <c r="J71" s="1"/>
      <c r="K71" s="1"/>
      <c r="L71" s="1"/>
      <c r="M71" s="1">
        <v>0.65500000000000003</v>
      </c>
      <c r="N71" s="1"/>
      <c r="O71" s="1"/>
      <c r="P71" s="1">
        <v>0.6653</v>
      </c>
      <c r="Q71" s="1">
        <v>0.64539999999999997</v>
      </c>
      <c r="R71" s="1">
        <v>0.63190000000000002</v>
      </c>
      <c r="S71" s="1">
        <v>0.64670000000000005</v>
      </c>
      <c r="T71" s="1">
        <v>0.65780000000000005</v>
      </c>
      <c r="U71" s="1">
        <v>0.50749999999999995</v>
      </c>
      <c r="V71" s="1"/>
      <c r="W71" s="1"/>
      <c r="X71" s="1"/>
      <c r="Y71" s="1"/>
      <c r="Z71" s="1"/>
      <c r="AA71" s="1"/>
      <c r="AB71" s="1">
        <v>0.65259999999999996</v>
      </c>
      <c r="AC71" s="1">
        <v>0.63339999999999996</v>
      </c>
      <c r="AD71" s="1">
        <v>0.64629999999999999</v>
      </c>
      <c r="AE71" s="1">
        <v>0.65480000000000005</v>
      </c>
      <c r="AF71" s="1">
        <v>0.64500000000000002</v>
      </c>
      <c r="AG71" s="1">
        <v>0.66439999999999999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178</v>
      </c>
      <c r="B72" s="1">
        <v>1679.4190000000001</v>
      </c>
      <c r="C72" s="1">
        <v>30</v>
      </c>
      <c r="D72" s="1">
        <v>0.65159999999999996</v>
      </c>
      <c r="E72" s="1">
        <v>0.65720000000000001</v>
      </c>
      <c r="F72" s="1">
        <v>0.66749999999999998</v>
      </c>
      <c r="G72" s="1">
        <v>0.66369999999999996</v>
      </c>
      <c r="H72" s="1">
        <v>0.65939999999999999</v>
      </c>
      <c r="I72" s="1">
        <v>0.64270000000000005</v>
      </c>
      <c r="J72" s="1"/>
      <c r="K72" s="1"/>
      <c r="L72" s="1"/>
      <c r="M72" s="1">
        <v>0.65920000000000001</v>
      </c>
      <c r="N72" s="1"/>
      <c r="O72" s="1"/>
      <c r="P72" s="1">
        <v>0.66890000000000005</v>
      </c>
      <c r="Q72" s="1">
        <v>0.64910000000000001</v>
      </c>
      <c r="R72" s="1">
        <v>0.63460000000000005</v>
      </c>
      <c r="S72" s="1">
        <v>0.64890000000000003</v>
      </c>
      <c r="T72" s="1">
        <v>0.66159999999999997</v>
      </c>
      <c r="U72" s="1">
        <v>0.50919999999999999</v>
      </c>
      <c r="V72" s="1"/>
      <c r="W72" s="1"/>
      <c r="X72" s="1"/>
      <c r="Y72" s="1"/>
      <c r="Z72" s="1"/>
      <c r="AA72" s="1"/>
      <c r="AB72" s="1">
        <v>0.64729999999999999</v>
      </c>
      <c r="AC72" s="1">
        <v>0.63670000000000004</v>
      </c>
      <c r="AD72" s="1">
        <v>0.64980000000000004</v>
      </c>
      <c r="AE72" s="1">
        <v>0.6593</v>
      </c>
      <c r="AF72" s="1">
        <v>0.64949999999999997</v>
      </c>
      <c r="AG72" s="1">
        <v>0.66830000000000001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s="7" customFormat="1" x14ac:dyDescent="0.2">
      <c r="A73" s="6" t="s">
        <v>179</v>
      </c>
      <c r="B73" s="7">
        <v>1739.4159999999999</v>
      </c>
      <c r="C73" s="7">
        <v>30</v>
      </c>
      <c r="D73" s="7">
        <v>0.65529999999999999</v>
      </c>
      <c r="E73" s="7">
        <v>0.66080000000000005</v>
      </c>
      <c r="F73" s="7">
        <v>0.67100000000000004</v>
      </c>
      <c r="G73" s="7">
        <v>0.66769999999999996</v>
      </c>
      <c r="H73" s="7">
        <v>0.66290000000000004</v>
      </c>
      <c r="I73" s="7">
        <v>0.64670000000000005</v>
      </c>
      <c r="M73" s="7">
        <v>0.66239999999999999</v>
      </c>
      <c r="P73" s="7">
        <v>0.67200000000000004</v>
      </c>
      <c r="Q73" s="7">
        <v>0.65200000000000002</v>
      </c>
      <c r="R73" s="7">
        <v>0.63770000000000004</v>
      </c>
      <c r="S73" s="7">
        <v>0.65200000000000002</v>
      </c>
      <c r="T73" s="7">
        <v>0.66439999999999999</v>
      </c>
      <c r="U73" s="7">
        <f>0.5125*1.3</f>
        <v>0.66625000000000001</v>
      </c>
      <c r="AB73" s="7">
        <v>0.65059999999999996</v>
      </c>
      <c r="AC73" s="7">
        <v>0.64039999999999997</v>
      </c>
      <c r="AD73" s="7">
        <v>0.65349999999999997</v>
      </c>
      <c r="AE73" s="7">
        <v>0.66259999999999997</v>
      </c>
      <c r="AF73" s="7">
        <v>0.65329999999999999</v>
      </c>
      <c r="AG73" s="7">
        <v>0.67210000000000003</v>
      </c>
    </row>
    <row r="74" spans="1:9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99" x14ac:dyDescent="0.2">
      <c r="A75" s="1" t="s">
        <v>180</v>
      </c>
      <c r="B75" s="1"/>
      <c r="C75" s="1"/>
      <c r="D75" s="1"/>
      <c r="E75" s="1" t="s">
        <v>181</v>
      </c>
      <c r="F75" s="1"/>
      <c r="G75" s="1"/>
      <c r="H75" s="1"/>
      <c r="I75" s="1"/>
      <c r="J75" s="1"/>
      <c r="K75" s="1"/>
    </row>
    <row r="76" spans="1:99" x14ac:dyDescent="0.2">
      <c r="B76" s="5" t="s">
        <v>184</v>
      </c>
      <c r="C76" s="1" t="s">
        <v>35</v>
      </c>
      <c r="D76" s="1"/>
      <c r="E76" s="1"/>
      <c r="F76" s="1"/>
      <c r="G76" s="1"/>
      <c r="H76" s="1"/>
      <c r="I76" s="1"/>
      <c r="J76" s="1"/>
      <c r="K76" s="1"/>
    </row>
    <row r="77" spans="1:99" x14ac:dyDescent="0.2">
      <c r="C77" s="1" t="s">
        <v>181</v>
      </c>
      <c r="D77" s="1"/>
      <c r="E77" s="1"/>
      <c r="F77" s="1"/>
      <c r="G77" s="1"/>
      <c r="H77" s="1"/>
      <c r="I77" s="1"/>
      <c r="J77" s="1"/>
      <c r="K77" s="1"/>
    </row>
    <row r="78" spans="1:99" x14ac:dyDescent="0.2">
      <c r="C78" s="4" t="s">
        <v>182</v>
      </c>
      <c r="D78">
        <f>D44-D73</f>
        <v>-0.13080000000000003</v>
      </c>
      <c r="E78">
        <f t="shared" ref="E78:I78" si="0">E44-E73</f>
        <v>-0.12440000000000007</v>
      </c>
      <c r="F78">
        <f t="shared" si="0"/>
        <v>-0.12770000000000004</v>
      </c>
      <c r="G78">
        <f t="shared" si="0"/>
        <v>-0.12290000000000001</v>
      </c>
      <c r="H78">
        <f t="shared" si="0"/>
        <v>-0.1211000000000001</v>
      </c>
      <c r="I78">
        <f t="shared" si="0"/>
        <v>-0.12160000000000004</v>
      </c>
      <c r="M78">
        <f t="shared" ref="M78" si="1">M44-M73</f>
        <v>-0.12759999999999994</v>
      </c>
      <c r="P78">
        <f t="shared" ref="P78:U78" si="2">P44-P73</f>
        <v>-0.11940000000000006</v>
      </c>
      <c r="Q78">
        <f t="shared" si="2"/>
        <v>-0.11660000000000004</v>
      </c>
      <c r="R78">
        <f t="shared" si="2"/>
        <v>-0.10120000000000007</v>
      </c>
      <c r="S78">
        <f t="shared" si="2"/>
        <v>-0.11460000000000004</v>
      </c>
      <c r="T78">
        <f t="shared" si="2"/>
        <v>-0.12749999999999995</v>
      </c>
      <c r="U78">
        <f t="shared" si="2"/>
        <v>-0.1429999999999999</v>
      </c>
      <c r="AB78">
        <f t="shared" ref="AB78:AG78" si="3">AB44-AB73</f>
        <v>-0.12090000000000001</v>
      </c>
      <c r="AC78">
        <f t="shared" si="3"/>
        <v>-0.11890000000000001</v>
      </c>
      <c r="AD78">
        <f t="shared" si="3"/>
        <v>-0.11839999999999995</v>
      </c>
      <c r="AE78">
        <f t="shared" si="3"/>
        <v>-0.11980000000000002</v>
      </c>
      <c r="AF78">
        <f t="shared" si="3"/>
        <v>-0.12239999999999995</v>
      </c>
      <c r="AG78">
        <f t="shared" si="3"/>
        <v>-0.13009999999999999</v>
      </c>
    </row>
    <row r="79" spans="1:99" x14ac:dyDescent="0.2">
      <c r="C79" s="4" t="s">
        <v>183</v>
      </c>
      <c r="D79">
        <f>D78-$M78</f>
        <v>-3.2000000000000917E-3</v>
      </c>
      <c r="E79">
        <f t="shared" ref="E79:I79" si="4">E78-$M$78</f>
        <v>3.1999999999998696E-3</v>
      </c>
      <c r="F79">
        <f t="shared" si="4"/>
        <v>-1.0000000000010001E-4</v>
      </c>
      <c r="G79">
        <f t="shared" si="4"/>
        <v>4.6999999999999265E-3</v>
      </c>
      <c r="H79">
        <f t="shared" si="4"/>
        <v>6.4999999999998392E-3</v>
      </c>
      <c r="I79">
        <f t="shared" si="4"/>
        <v>5.9999999999998943E-3</v>
      </c>
      <c r="P79">
        <f>P78-$M$78</f>
        <v>8.1999999999998741E-3</v>
      </c>
      <c r="Q79">
        <f t="shared" ref="Q79:U79" si="5">Q78-$M$78</f>
        <v>1.0999999999999899E-2</v>
      </c>
      <c r="R79">
        <f t="shared" si="5"/>
        <v>2.6399999999999868E-2</v>
      </c>
      <c r="S79">
        <f t="shared" si="5"/>
        <v>1.2999999999999901E-2</v>
      </c>
      <c r="T79">
        <f t="shared" si="5"/>
        <v>9.9999999999988987E-5</v>
      </c>
      <c r="U79">
        <f t="shared" si="5"/>
        <v>-1.5399999999999969E-2</v>
      </c>
      <c r="AB79">
        <f>AB78-$M$78</f>
        <v>6.6999999999999282E-3</v>
      </c>
      <c r="AC79">
        <f t="shared" ref="AC79:AG79" si="6">AC78-$M$78</f>
        <v>8.69999999999993E-3</v>
      </c>
      <c r="AD79">
        <f t="shared" si="6"/>
        <v>9.199999999999986E-3</v>
      </c>
      <c r="AE79">
        <f t="shared" si="6"/>
        <v>7.7999999999999181E-3</v>
      </c>
      <c r="AF79">
        <f t="shared" si="6"/>
        <v>5.1999999999999824E-3</v>
      </c>
      <c r="AG79">
        <f t="shared" si="6"/>
        <v>-2.5000000000000577E-3</v>
      </c>
    </row>
    <row r="82" spans="2:33" x14ac:dyDescent="0.2">
      <c r="B82" s="5" t="s">
        <v>187</v>
      </c>
      <c r="C82" s="1" t="s">
        <v>185</v>
      </c>
      <c r="D82" s="1">
        <v>0.65559999999999996</v>
      </c>
      <c r="E82" s="1">
        <v>0.66139999999999999</v>
      </c>
      <c r="F82" s="1">
        <v>0.67230000000000001</v>
      </c>
      <c r="G82" s="1">
        <v>0.66890000000000005</v>
      </c>
      <c r="H82" s="1">
        <v>0.66449999999999998</v>
      </c>
      <c r="I82" s="1">
        <v>0.64870000000000005</v>
      </c>
      <c r="M82" s="1">
        <v>0.66479999999999995</v>
      </c>
      <c r="P82" s="1">
        <v>0.67379999999999995</v>
      </c>
      <c r="Q82" s="1">
        <v>0.65359999999999996</v>
      </c>
      <c r="R82" s="1">
        <v>0.63890000000000002</v>
      </c>
      <c r="S82" s="1">
        <v>0.65349999999999997</v>
      </c>
      <c r="T82" s="1">
        <v>0.66700000000000004</v>
      </c>
      <c r="U82" s="1">
        <f>0.512*1.3</f>
        <v>0.66560000000000008</v>
      </c>
      <c r="V82" s="1"/>
      <c r="W82" s="1"/>
      <c r="X82" s="1"/>
      <c r="Y82" s="1"/>
      <c r="Z82" s="1"/>
      <c r="AA82" s="1"/>
      <c r="AB82" s="1">
        <v>0.6552</v>
      </c>
      <c r="AC82" s="1">
        <v>0.64159999999999995</v>
      </c>
      <c r="AD82" s="1">
        <v>0.65490000000000004</v>
      </c>
      <c r="AE82" s="1">
        <v>0.66379999999999995</v>
      </c>
      <c r="AF82" s="1">
        <v>0.65559999999999996</v>
      </c>
      <c r="AG82" s="1">
        <v>0.67259999999999998</v>
      </c>
    </row>
    <row r="83" spans="2:33" x14ac:dyDescent="0.2">
      <c r="C83" s="1" t="s">
        <v>186</v>
      </c>
      <c r="D83" s="1">
        <v>0.72770000000000001</v>
      </c>
      <c r="E83" s="1">
        <v>0.73499999999999999</v>
      </c>
      <c r="F83" s="1">
        <v>0.74690000000000001</v>
      </c>
      <c r="G83" s="1">
        <v>0.74270000000000003</v>
      </c>
      <c r="H83" s="1">
        <v>0.73809999999999998</v>
      </c>
      <c r="I83" s="1">
        <v>0.71740000000000004</v>
      </c>
      <c r="J83" s="1"/>
      <c r="K83" s="1"/>
      <c r="L83" s="1"/>
      <c r="M83" s="1">
        <v>0.74250000000000005</v>
      </c>
      <c r="N83" s="1"/>
      <c r="O83" s="1"/>
      <c r="P83" s="1">
        <v>0.745</v>
      </c>
      <c r="Q83" s="1">
        <v>0.72360000000000002</v>
      </c>
      <c r="R83" s="1">
        <v>0.70579999999999998</v>
      </c>
      <c r="S83" s="1">
        <v>0.71870000000000001</v>
      </c>
      <c r="T83" s="1">
        <v>0.73560000000000003</v>
      </c>
      <c r="U83" s="1">
        <f>0.5555*1.3</f>
        <v>0.72215000000000007</v>
      </c>
      <c r="V83" s="1"/>
      <c r="W83" s="1"/>
      <c r="X83" s="1"/>
      <c r="Y83" s="1"/>
      <c r="Z83" s="1"/>
      <c r="AA83" s="1"/>
      <c r="AB83" s="1">
        <v>0.72330000000000005</v>
      </c>
      <c r="AC83" s="1">
        <v>0.7107</v>
      </c>
      <c r="AD83" s="1">
        <v>0.72509999999999997</v>
      </c>
      <c r="AE83" s="1">
        <v>0.73370000000000002</v>
      </c>
      <c r="AF83" s="1">
        <v>0.74109999999999998</v>
      </c>
      <c r="AG83" s="1">
        <v>0.73909999999999998</v>
      </c>
    </row>
    <row r="84" spans="2:33" x14ac:dyDescent="0.2">
      <c r="C84" s="4" t="s">
        <v>188</v>
      </c>
      <c r="D84">
        <f>(D82-D83)</f>
        <v>-7.2100000000000053E-2</v>
      </c>
      <c r="E84">
        <f t="shared" ref="E84:I84" si="7">(E82-E83)</f>
        <v>-7.3599999999999999E-2</v>
      </c>
      <c r="F84">
        <f t="shared" si="7"/>
        <v>-7.46E-2</v>
      </c>
      <c r="G84">
        <f t="shared" si="7"/>
        <v>-7.3799999999999977E-2</v>
      </c>
      <c r="H84">
        <f t="shared" si="7"/>
        <v>-7.3599999999999999E-2</v>
      </c>
      <c r="I84">
        <f t="shared" si="7"/>
        <v>-6.8699999999999983E-2</v>
      </c>
      <c r="M84">
        <f t="shared" ref="M84" si="8">(M82-M83)</f>
        <v>-7.7700000000000102E-2</v>
      </c>
      <c r="P84">
        <f t="shared" ref="P84" si="9">(P82-P83)</f>
        <v>-7.1200000000000041E-2</v>
      </c>
      <c r="Q84">
        <f t="shared" ref="Q84" si="10">(Q82-Q83)</f>
        <v>-7.0000000000000062E-2</v>
      </c>
      <c r="R84">
        <f t="shared" ref="R84" si="11">(R82-R83)</f>
        <v>-6.6899999999999959E-2</v>
      </c>
      <c r="S84">
        <f t="shared" ref="S84" si="12">(S82-S83)</f>
        <v>-6.5200000000000036E-2</v>
      </c>
      <c r="T84">
        <f t="shared" ref="T84" si="13">(T82-T83)</f>
        <v>-6.8599999999999994E-2</v>
      </c>
      <c r="U84">
        <f t="shared" ref="U84" si="14">(U82-U83)</f>
        <v>-5.6549999999999989E-2</v>
      </c>
      <c r="AB84">
        <f t="shared" ref="AB84" si="15">(AB82-AB83)</f>
        <v>-6.8100000000000049E-2</v>
      </c>
      <c r="AC84">
        <f t="shared" ref="AC84" si="16">(AC82-AC83)</f>
        <v>-6.910000000000005E-2</v>
      </c>
      <c r="AD84">
        <f t="shared" ref="AD84" si="17">(AD82-AD83)</f>
        <v>-7.0199999999999929E-2</v>
      </c>
      <c r="AE84">
        <f t="shared" ref="AE84" si="18">(AE82-AE83)</f>
        <v>-6.9900000000000073E-2</v>
      </c>
      <c r="AF84">
        <f t="shared" ref="AF84" si="19">(AF82-AF83)</f>
        <v>-8.550000000000002E-2</v>
      </c>
      <c r="AG84">
        <f t="shared" ref="AG84" si="20">(AG82-AG83)</f>
        <v>-6.6500000000000004E-2</v>
      </c>
    </row>
    <row r="85" spans="2:33" x14ac:dyDescent="0.2">
      <c r="C85" s="4" t="s">
        <v>183</v>
      </c>
      <c r="D85">
        <f>D84-$M84</f>
        <v>5.6000000000000494E-3</v>
      </c>
      <c r="E85">
        <f t="shared" ref="E85:I85" si="21">E84-$M84</f>
        <v>4.1000000000001036E-3</v>
      </c>
      <c r="F85">
        <f t="shared" si="21"/>
        <v>3.1000000000001027E-3</v>
      </c>
      <c r="G85">
        <f t="shared" si="21"/>
        <v>3.9000000000001256E-3</v>
      </c>
      <c r="H85">
        <f t="shared" si="21"/>
        <v>4.1000000000001036E-3</v>
      </c>
      <c r="I85">
        <f t="shared" si="21"/>
        <v>9.000000000000119E-3</v>
      </c>
      <c r="P85">
        <f>P84-$M84</f>
        <v>6.5000000000000613E-3</v>
      </c>
      <c r="Q85">
        <f t="shared" ref="Q85" si="22">Q84-$M84</f>
        <v>7.7000000000000401E-3</v>
      </c>
      <c r="R85">
        <f t="shared" ref="R85" si="23">R84-$M84</f>
        <v>1.0800000000000143E-2</v>
      </c>
      <c r="S85">
        <f t="shared" ref="S85" si="24">S84-$M84</f>
        <v>1.2500000000000067E-2</v>
      </c>
      <c r="T85">
        <f t="shared" ref="T85" si="25">T84-$M84</f>
        <v>9.100000000000108E-3</v>
      </c>
      <c r="U85">
        <f t="shared" ref="U85" si="26">U84-$M84</f>
        <v>2.1150000000000113E-2</v>
      </c>
      <c r="AB85">
        <f>AB84-$M84</f>
        <v>9.6000000000000529E-3</v>
      </c>
      <c r="AC85">
        <f t="shared" ref="AC85" si="27">AC84-$M84</f>
        <v>8.600000000000052E-3</v>
      </c>
      <c r="AD85">
        <f t="shared" ref="AD85" si="28">AD84-$M84</f>
        <v>7.5000000000001732E-3</v>
      </c>
      <c r="AE85">
        <f t="shared" ref="AE85" si="29">AE84-$M84</f>
        <v>7.8000000000000291E-3</v>
      </c>
      <c r="AF85">
        <f t="shared" ref="AF85" si="30">AF84-$M84</f>
        <v>-7.7999999999999181E-3</v>
      </c>
      <c r="AG85">
        <f t="shared" ref="AG85" si="31">AG84-$M84</f>
        <v>1.1200000000000099E-2</v>
      </c>
    </row>
    <row r="86" spans="2:33" x14ac:dyDescent="0.2">
      <c r="C86" s="4" t="s">
        <v>189</v>
      </c>
      <c r="D86">
        <f>(D44-D83)</f>
        <v>-0.20320000000000005</v>
      </c>
      <c r="E86">
        <f t="shared" ref="E86:I86" si="32">(E44-E83)</f>
        <v>-0.1986</v>
      </c>
      <c r="F86">
        <f t="shared" si="32"/>
        <v>-0.2036</v>
      </c>
      <c r="G86">
        <f t="shared" si="32"/>
        <v>-0.19790000000000008</v>
      </c>
      <c r="H86">
        <f t="shared" si="32"/>
        <v>-0.19630000000000003</v>
      </c>
      <c r="I86">
        <f t="shared" si="32"/>
        <v>-0.19230000000000003</v>
      </c>
      <c r="M86">
        <f>(M44-M83)</f>
        <v>-0.2077</v>
      </c>
      <c r="P86">
        <f>(P44-P83)</f>
        <v>-0.19240000000000002</v>
      </c>
      <c r="Q86">
        <f t="shared" ref="Q86:U86" si="33">(Q44-Q83)</f>
        <v>-0.18820000000000003</v>
      </c>
      <c r="R86">
        <f t="shared" si="33"/>
        <v>-0.16930000000000001</v>
      </c>
      <c r="S86">
        <f t="shared" si="33"/>
        <v>-0.18130000000000002</v>
      </c>
      <c r="T86">
        <f t="shared" si="33"/>
        <v>-0.19869999999999999</v>
      </c>
      <c r="U86">
        <f t="shared" si="33"/>
        <v>-0.19889999999999997</v>
      </c>
      <c r="AB86">
        <f>(AB44-AB83)</f>
        <v>-0.19360000000000011</v>
      </c>
      <c r="AC86">
        <f t="shared" ref="AC86:AG86" si="34">(AC44-AC83)</f>
        <v>-0.18920000000000003</v>
      </c>
      <c r="AD86">
        <f t="shared" si="34"/>
        <v>-0.18999999999999995</v>
      </c>
      <c r="AE86">
        <f t="shared" si="34"/>
        <v>-0.19090000000000007</v>
      </c>
      <c r="AF86">
        <f t="shared" si="34"/>
        <v>-0.21019999999999994</v>
      </c>
      <c r="AG86">
        <f t="shared" si="34"/>
        <v>-0.19709999999999994</v>
      </c>
    </row>
    <row r="87" spans="2:33" x14ac:dyDescent="0.2">
      <c r="C87" s="4" t="s">
        <v>183</v>
      </c>
      <c r="D87" s="8">
        <f>D86-$M86</f>
        <v>4.4999999999999485E-3</v>
      </c>
      <c r="E87" s="8">
        <f t="shared" ref="E87:I87" si="35">E86-$M86</f>
        <v>9.099999999999997E-3</v>
      </c>
      <c r="F87" s="8">
        <f t="shared" si="35"/>
        <v>4.0999999999999925E-3</v>
      </c>
      <c r="G87" s="8">
        <f t="shared" si="35"/>
        <v>9.7999999999999199E-3</v>
      </c>
      <c r="H87" s="8">
        <f t="shared" si="35"/>
        <v>1.1399999999999966E-2</v>
      </c>
      <c r="I87" s="8">
        <f t="shared" si="35"/>
        <v>1.5399999999999969E-2</v>
      </c>
      <c r="P87" s="9">
        <f>P86-$M86</f>
        <v>1.529999999999998E-2</v>
      </c>
      <c r="Q87" s="9">
        <f t="shared" ref="Q87" si="36">Q86-$M86</f>
        <v>1.9499999999999962E-2</v>
      </c>
      <c r="R87" s="9">
        <f t="shared" ref="R87" si="37">R86-$M86</f>
        <v>3.839999999999999E-2</v>
      </c>
      <c r="S87" s="9">
        <f t="shared" ref="S87" si="38">S86-$M86</f>
        <v>2.6399999999999979E-2</v>
      </c>
      <c r="T87" s="9">
        <f t="shared" ref="T87" si="39">T86-$M86</f>
        <v>9.000000000000008E-3</v>
      </c>
      <c r="U87" s="9">
        <f t="shared" ref="U87" si="40">U86-$M86</f>
        <v>8.80000000000003E-3</v>
      </c>
      <c r="AB87" s="9">
        <f>AB86-$M86</f>
        <v>1.409999999999989E-2</v>
      </c>
      <c r="AC87" s="9">
        <f t="shared" ref="AC87" si="41">AC86-$M86</f>
        <v>1.8499999999999961E-2</v>
      </c>
      <c r="AD87" s="9">
        <f t="shared" ref="AD87" si="42">AD86-$M86</f>
        <v>1.7700000000000049E-2</v>
      </c>
      <c r="AE87" s="9">
        <f t="shared" ref="AE87" si="43">AE86-$M86</f>
        <v>1.6799999999999926E-2</v>
      </c>
      <c r="AF87" s="9">
        <f t="shared" ref="AF87" si="44">AF86-$M86</f>
        <v>-2.4999999999999467E-3</v>
      </c>
      <c r="AG87" s="9">
        <f t="shared" ref="AG87" si="45">AG86-$M86</f>
        <v>1.0600000000000054E-2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2026-08-26T09:19:06Z</dcterms:modified>
</cp:coreProperties>
</file>