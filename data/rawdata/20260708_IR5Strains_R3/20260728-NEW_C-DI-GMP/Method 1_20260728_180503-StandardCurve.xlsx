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708_IR5Strains_R3/20260728-NEW_C-DI-GMP/"/>
    </mc:Choice>
  </mc:AlternateContent>
  <xr:revisionPtr revIDLastSave="0" documentId="13_ncr:1_{CDA3BCCA-7E62-824B-9D16-5A962077D4E3}" xr6:coauthVersionLast="47" xr6:coauthVersionMax="47" xr10:uidLastSave="{00000000-0000-0000-0000-000000000000}"/>
  <bookViews>
    <workbookView xWindow="5560" yWindow="600" windowWidth="28140" windowHeight="1634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1" l="1"/>
  <c r="F47" i="1" s="1"/>
  <c r="C48" i="1"/>
  <c r="G48" i="1" s="1"/>
  <c r="F50" i="1"/>
  <c r="C47" i="1"/>
  <c r="G47" i="1" s="1"/>
  <c r="C49" i="1"/>
  <c r="G49" i="1" s="1"/>
  <c r="C50" i="1"/>
  <c r="G50" i="1" s="1"/>
  <c r="C51" i="1"/>
  <c r="G51" i="1" s="1"/>
  <c r="C46" i="1"/>
  <c r="E48" i="1"/>
  <c r="F48" i="1" s="1"/>
  <c r="E49" i="1"/>
  <c r="F49" i="1" s="1"/>
  <c r="E50" i="1"/>
  <c r="E51" i="1"/>
  <c r="F51" i="1" s="1"/>
  <c r="E46" i="1"/>
</calcChain>
</file>

<file path=xl/sharedStrings.xml><?xml version="1.0" encoding="utf-8"?>
<sst xmlns="http://schemas.openxmlformats.org/spreadsheetml/2006/main" count="199" uniqueCount="188">
  <si>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</si>
  <si>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</si>
  <si>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</si>
  <si>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</si>
  <si>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</si>
  <si>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</si>
  <si>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</si>
  <si>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</si>
  <si>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</si>
  <si>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2026-07-28</t>
  </si>
  <si>
    <t>Time:</t>
  </si>
  <si>
    <t>18:05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</si>
  <si>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</si>
  <si>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</si>
  <si>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</si>
  <si>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</si>
  <si>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</si>
  <si>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</si>
  <si>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</si>
  <si>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</si>
  <si>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</si>
  <si>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</si>
  <si>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</si>
  <si>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</si>
  <si>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</si>
  <si>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</si>
  <si>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</si>
  <si>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</si>
  <si>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</si>
  <si>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</si>
  <si>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</si>
  <si>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</si>
  <si>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A1-C12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</si>
  <si>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</si>
  <si>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</si>
  <si>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</si>
  <si>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</si>
  <si>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</si>
  <si>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</si>
  <si>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</si>
  <si>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</si>
  <si>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</si>
  <si>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</si>
  <si>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</si>
  <si>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2026-07-28 18:04:28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</si>
  <si>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</si>
  <si>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</si>
  <si>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</si>
  <si>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</si>
  <si>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</si>
  <si>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</si>
  <si>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</si>
  <si>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</si>
  <si>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</si>
  <si>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</si>
  <si>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</si>
  <si>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</si>
  <si>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</si>
  <si>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</si>
  <si>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</si>
  <si>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</si>
  <si>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</si>
  <si>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</si>
  <si>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</si>
  <si>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</si>
  <si>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</si>
  <si>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</si>
  <si>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</si>
  <si>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</si>
  <si>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</si>
  <si>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</si>
  <si>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</si>
  <si>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</si>
  <si>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</si>
  <si>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</si>
  <si>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</si>
  <si>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</si>
  <si>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</si>
  <si>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</si>
  <si>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</si>
  <si>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</si>
  <si>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</si>
  <si>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</si>
  <si>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</si>
  <si>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</si>
  <si>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</si>
  <si>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</si>
  <si>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</si>
  <si>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</si>
  <si>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</si>
  <si>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</si>
  <si>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</si>
  <si>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</si>
  <si>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</si>
  <si>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</si>
  <si>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</si>
  <si>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</si>
  <si>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</si>
  <si>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</si>
  <si>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</si>
  <si>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</si>
  <si>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</si>
  <si>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</si>
  <si>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</si>
  <si>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</si>
  <si>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</si>
  <si>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</si>
  <si>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</si>
  <si>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</si>
  <si>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</si>
  <si>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</si>
  <si>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</si>
  <si>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</si>
  <si>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</si>
  <si>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</si>
  <si>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</si>
  <si>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</si>
  <si>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</si>
  <si>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</si>
  <si>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</si>
  <si>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</si>
  <si>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</si>
  <si>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</si>
  <si>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</si>
  <si>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</si>
  <si>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</si>
  <si>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</si>
  <si>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</si>
  <si>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</si>
  <si>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</si>
  <si>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</si>
  <si>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</si>
  <si>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</si>
  <si>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</si>
  <si>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</si>
  <si>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</si>
  <si>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</si>
  <si>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</si>
  <si>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</si>
  <si>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</si>
  <si>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</si>
  <si>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</si>
  <si>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</si>
  <si>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</si>
  <si>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</si>
  <si>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</si>
  <si>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</si>
  <si>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</si>
  <si>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2026-07-28 18:04:57</t>
  </si>
  <si>
    <t>Con</t>
  </si>
  <si>
    <t>Abs</t>
  </si>
  <si>
    <t>LogitAbs</t>
  </si>
  <si>
    <t>LogCon</t>
  </si>
  <si>
    <t>D-D1</t>
  </si>
  <si>
    <t>D-D2</t>
  </si>
  <si>
    <t>D-D3</t>
  </si>
  <si>
    <t>I-D1</t>
  </si>
  <si>
    <t>I-D2</t>
  </si>
  <si>
    <t>I-D3</t>
  </si>
  <si>
    <t>D-A1</t>
  </si>
  <si>
    <t>D-A2</t>
  </si>
  <si>
    <t>D-A3</t>
  </si>
  <si>
    <t>I-A1</t>
  </si>
  <si>
    <t>I-A2</t>
  </si>
  <si>
    <t>I-A3</t>
  </si>
  <si>
    <t>D-P1</t>
  </si>
  <si>
    <t>D-P2</t>
  </si>
  <si>
    <t>D-P3</t>
  </si>
  <si>
    <t>I-P1</t>
  </si>
  <si>
    <t>I-P2</t>
  </si>
  <si>
    <t>I-P3</t>
  </si>
  <si>
    <t>D-H1</t>
  </si>
  <si>
    <t>D-H2</t>
  </si>
  <si>
    <t>D-H3</t>
  </si>
  <si>
    <t>I-H1</t>
  </si>
  <si>
    <t>I-H2</t>
  </si>
  <si>
    <t>I-H3</t>
  </si>
  <si>
    <t>D-M1</t>
  </si>
  <si>
    <t>D-M2</t>
  </si>
  <si>
    <t>D-M3</t>
  </si>
  <si>
    <t>I-M1</t>
  </si>
  <si>
    <t>I-M2</t>
  </si>
  <si>
    <t>I-M3</t>
  </si>
  <si>
    <t xml:space="preserve"> -logitAbs</t>
  </si>
  <si>
    <t>0-1000 ng ml-1</t>
  </si>
  <si>
    <t>适用浓度范围</t>
  </si>
  <si>
    <t>使用吸光度范围</t>
  </si>
  <si>
    <t>0.1-1.95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</si>
</sst>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1"/>
      <color rgb="FFC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5" fillId="0" borderId="0" xfId="0" applyFont="1"/>
    <xf numFmtId="0" fontId="1" fillId="4" borderId="0" xfId="0" applyFont="1" applyFill="1"/>
    <xf numFmtId="0" fontId="6" fillId="0" borderId="0" xfId="0" applyFont="1"/>
    <xf numFmtId="0" fontId="7" fillId="5" borderId="1" xfId="0" applyFont="1" applyFill="1" applyBorder="1"/>
    <xf numFmtId="0" fontId="7" fillId="5" borderId="2" xfId="0" applyFont="1" applyFill="1" applyBorder="1"/>
    <xf numFmtId="0" fontId="7" fillId="5" borderId="3" xfId="0" applyFont="1" applyFill="1" applyBorder="1"/>
    <xf numFmtId="0" fontId="1" fillId="6" borderId="4" xfId="0" applyFont="1" applyFill="1" applyBorder="1"/>
    <xf numFmtId="0" fontId="0" fillId="6" borderId="0" xfId="0" applyFill="1" applyBorder="1"/>
    <xf numFmtId="0" fontId="1" fillId="6" borderId="0" xfId="0" applyFont="1" applyFill="1" applyBorder="1"/>
    <xf numFmtId="0" fontId="0" fillId="6" borderId="5" xfId="0" applyFill="1" applyBorder="1"/>
    <xf numFmtId="0" fontId="1" fillId="6" borderId="6" xfId="0" applyFont="1" applyFill="1" applyBorder="1"/>
    <xf numFmtId="0" fontId="0" fillId="6" borderId="7" xfId="0" applyFill="1" applyBorder="1"/>
    <xf numFmtId="0" fontId="1" fillId="6" borderId="7" xfId="0" applyFont="1" applyFill="1" applyBorder="1"/>
    <xf numFmtId="0" fontId="0" fillId="6" borderId="8" xfId="0" applyFill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'Result sheet'!$D$45</c:f>
              <c:strCache>
                <c:ptCount val="1"/>
                <c:pt idx="0">
                  <c:v>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 sheet'!$B$46:$B$51</c:f>
              <c:numCache>
                <c:formatCode>General</c:formatCode>
                <c:ptCount val="6"/>
                <c:pt idx="0">
                  <c:v>0</c:v>
                </c:pt>
                <c:pt idx="1">
                  <c:v>62.5</c:v>
                </c:pt>
                <c:pt idx="2">
                  <c:v>125</c:v>
                </c:pt>
                <c:pt idx="3">
                  <c:v>250</c:v>
                </c:pt>
                <c:pt idx="4">
                  <c:v>500</c:v>
                </c:pt>
                <c:pt idx="5">
                  <c:v>1000</c:v>
                </c:pt>
              </c:numCache>
            </c:numRef>
          </c:xVal>
          <c:yVal>
            <c:numRef>
              <c:f>'Result sheet'!$D$46:$D$51</c:f>
              <c:numCache>
                <c:formatCode>General</c:formatCode>
                <c:ptCount val="6"/>
                <c:pt idx="0">
                  <c:v>1.9384999999999999</c:v>
                </c:pt>
                <c:pt idx="1">
                  <c:v>1.6014999999999999</c:v>
                </c:pt>
                <c:pt idx="2">
                  <c:v>0.60370000000000001</c:v>
                </c:pt>
                <c:pt idx="3">
                  <c:v>0.29149999999999998</c:v>
                </c:pt>
                <c:pt idx="4">
                  <c:v>0.14480000000000001</c:v>
                </c:pt>
                <c:pt idx="5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1E-194C-8070-9A5A7E7B0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9731136"/>
        <c:axId val="1700151744"/>
      </c:scatterChart>
      <c:valAx>
        <c:axId val="169973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700151744"/>
        <c:crosses val="autoZero"/>
        <c:crossBetween val="midCat"/>
      </c:valAx>
      <c:valAx>
        <c:axId val="170015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699731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 sheet'!$B$47:$B$51</c:f>
              <c:numCache>
                <c:formatCode>General</c:formatCode>
                <c:ptCount val="5"/>
                <c:pt idx="0">
                  <c:v>62.5</c:v>
                </c:pt>
                <c:pt idx="1">
                  <c:v>125</c:v>
                </c:pt>
                <c:pt idx="2">
                  <c:v>250</c:v>
                </c:pt>
                <c:pt idx="3">
                  <c:v>500</c:v>
                </c:pt>
                <c:pt idx="4">
                  <c:v>1000</c:v>
                </c:pt>
              </c:numCache>
            </c:numRef>
          </c:xVal>
          <c:yVal>
            <c:numRef>
              <c:f>'Result sheet'!$E$47:$E$51</c:f>
              <c:numCache>
                <c:formatCode>General</c:formatCode>
                <c:ptCount val="5"/>
                <c:pt idx="0">
                  <c:v>-1.0985242972039853</c:v>
                </c:pt>
                <c:pt idx="1">
                  <c:v>-1.6942158464052499</c:v>
                </c:pt>
                <c:pt idx="2">
                  <c:v>-2.2299573606160696</c:v>
                </c:pt>
                <c:pt idx="3">
                  <c:v>-2.8037476184832659</c:v>
                </c:pt>
                <c:pt idx="4">
                  <c:v>-3.1257451284317255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CF-C449-9723-31573E1DC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9374208"/>
        <c:axId val="1749372416"/>
      </c:scatterChart>
      <c:valAx>
        <c:axId val="174937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749372416"/>
        <c:crosses val="autoZero"/>
        <c:crossBetween val="midCat"/>
      </c:valAx>
      <c:valAx>
        <c:axId val="174937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749374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>
                <a:solidFill>
                  <a:srgbClr val="FF0000"/>
                </a:solidFill>
              </a:rPr>
              <a:t>LOGIT</a:t>
            </a:r>
            <a:endParaRPr lang="en-US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5915026246719159"/>
                  <c:y val="-0.689004447360746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N"/>
                </a:p>
              </c:txPr>
            </c:trendlineLbl>
          </c:trendline>
          <c:xVal>
            <c:numRef>
              <c:f>'Result sheet'!$C$47:$C$51</c:f>
              <c:numCache>
                <c:formatCode>General</c:formatCode>
                <c:ptCount val="5"/>
                <c:pt idx="0">
                  <c:v>1.7958800173440752</c:v>
                </c:pt>
                <c:pt idx="1">
                  <c:v>2.0969100130080562</c:v>
                </c:pt>
                <c:pt idx="2">
                  <c:v>2.3979400086720375</c:v>
                </c:pt>
                <c:pt idx="3">
                  <c:v>2.6989700043360187</c:v>
                </c:pt>
                <c:pt idx="4">
                  <c:v>3</c:v>
                </c:pt>
              </c:numCache>
            </c:numRef>
          </c:xVal>
          <c:yVal>
            <c:numRef>
              <c:f>'Result sheet'!$E$47:$E$51</c:f>
              <c:numCache>
                <c:formatCode>General</c:formatCode>
                <c:ptCount val="5"/>
                <c:pt idx="0">
                  <c:v>-1.0985242972039853</c:v>
                </c:pt>
                <c:pt idx="1">
                  <c:v>-1.6942158464052499</c:v>
                </c:pt>
                <c:pt idx="2">
                  <c:v>-2.2299573606160696</c:v>
                </c:pt>
                <c:pt idx="3">
                  <c:v>-2.8037476184832659</c:v>
                </c:pt>
                <c:pt idx="4">
                  <c:v>-3.1257451284317255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A0-374F-8E9B-1120177CD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1563584"/>
        <c:axId val="1716214336"/>
      </c:scatterChart>
      <c:valAx>
        <c:axId val="1751563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Log(Concentration)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716214336"/>
        <c:crosses val="autoZero"/>
        <c:crossBetween val="midCat"/>
      </c:valAx>
      <c:valAx>
        <c:axId val="171621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LogitAbs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751563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N"/>
                </a:p>
              </c:txPr>
            </c:trendlineLbl>
          </c:trendline>
          <c:xVal>
            <c:numRef>
              <c:f>'Result sheet'!$F$47:$F$51</c:f>
              <c:numCache>
                <c:formatCode>General</c:formatCode>
                <c:ptCount val="5"/>
                <c:pt idx="0">
                  <c:v>1.0985242972039853</c:v>
                </c:pt>
                <c:pt idx="1">
                  <c:v>1.6942158464052499</c:v>
                </c:pt>
                <c:pt idx="2">
                  <c:v>2.2299573606160696</c:v>
                </c:pt>
                <c:pt idx="3">
                  <c:v>2.8037476184832659</c:v>
                </c:pt>
                <c:pt idx="4">
                  <c:v>3.1257451284317255</c:v>
                </c:pt>
              </c:numCache>
            </c:numRef>
          </c:xVal>
          <c:yVal>
            <c:numRef>
              <c:f>'Result sheet'!$G$47:$G$51</c:f>
              <c:numCache>
                <c:formatCode>General</c:formatCode>
                <c:ptCount val="5"/>
                <c:pt idx="0">
                  <c:v>1.7958800173440752</c:v>
                </c:pt>
                <c:pt idx="1">
                  <c:v>2.0969100130080562</c:v>
                </c:pt>
                <c:pt idx="2">
                  <c:v>2.3979400086720375</c:v>
                </c:pt>
                <c:pt idx="3">
                  <c:v>2.6989700043360187</c:v>
                </c:pt>
                <c:pt idx="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55-3440-81D3-0C158525B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6021184"/>
        <c:axId val="1749379584"/>
      </c:scatterChart>
      <c:valAx>
        <c:axId val="1786021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-LogitAbs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749379584"/>
        <c:crosses val="autoZero"/>
        <c:crossBetween val="midCat"/>
      </c:valAx>
      <c:valAx>
        <c:axId val="174937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LogCon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786021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196850</xdr:colOff>
      <xdr:row>60</xdr:row>
      <xdr:rowOff>146050</xdr:rowOff>
    </xdr:from>
    <xdr:to>
      <xdr:col>13</xdr:col>
      <xdr:colOff>57150</xdr:colOff>
      <xdr:row>75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AFE046-223A-0C24-557F-BD7056B209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196850</xdr:colOff>
      <xdr:row>75</xdr:row>
      <xdr:rowOff>44450</xdr:rowOff>
    </xdr:from>
    <xdr:to>
      <xdr:col>13</xdr:col>
      <xdr:colOff>57150</xdr:colOff>
      <xdr:row>89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D62F28-A4F7-C4CC-ED14-509555F867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38100</xdr:colOff>
      <xdr:row>45</xdr:row>
      <xdr:rowOff>184150</xdr:rowOff>
    </xdr:from>
    <xdr:to>
      <xdr:col>13</xdr:col>
      <xdr:colOff>571500</xdr:colOff>
      <xdr:row>60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3163B3-E38F-11A8-EFCA-2256CAD1FA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590550</xdr:colOff>
      <xdr:row>45</xdr:row>
      <xdr:rowOff>184150</xdr:rowOff>
    </xdr:from>
    <xdr:to>
      <xdr:col>20</xdr:col>
      <xdr:colOff>450850</xdr:colOff>
      <xdr:row>60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37AC95-F2CD-D06E-E8BB-FF33E39C7D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54"/>
  <sheetViews>
    <sheetView tabSelected="1" topLeftCell="A34" workbookViewId="0">
      <selection activeCell="J42" sqref="J42"/>
    </sheetView>
  </sheetViews>
  <sheetFormatPr baseColWidth="10" defaultColWidth="8.83203125" defaultRowHeight="15" x14ac:dyDescent="0.2"/>
  <cols>
    <col min="1" max="1" width="14.6640625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37</v>
      </c>
      <c r="B30" s="1"/>
      <c r="C30" s="1"/>
      <c r="D30" s="1"/>
      <c r="E30" s="1">
        <v>450</v>
      </c>
      <c r="F30" s="1" t="s">
        <v>38</v>
      </c>
      <c r="G30" s="1"/>
      <c r="H30" s="1"/>
      <c r="I30" s="1"/>
      <c r="J30" s="1"/>
      <c r="K30" s="1"/>
    </row>
    <row r="31" spans="1:11" x14ac:dyDescent="0.2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 x14ac:dyDescent="0.2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>
        <v>0</v>
      </c>
      <c r="E37" s="1">
        <v>62.5</v>
      </c>
      <c r="F37" s="1">
        <v>125</v>
      </c>
      <c r="G37" s="1">
        <v>250</v>
      </c>
      <c r="H37" s="1">
        <v>500</v>
      </c>
      <c r="I37" s="1">
        <v>1000</v>
      </c>
      <c r="J37" s="4" t="s">
        <v>153</v>
      </c>
      <c r="K37" s="4" t="s">
        <v>154</v>
      </c>
      <c r="L37" s="4" t="s">
        <v>155</v>
      </c>
      <c r="M37" s="4" t="s">
        <v>156</v>
      </c>
      <c r="N37" s="4" t="s">
        <v>157</v>
      </c>
      <c r="O37" s="4" t="s">
        <v>158</v>
      </c>
      <c r="P37" s="4" t="s">
        <v>159</v>
      </c>
      <c r="Q37" s="4" t="s">
        <v>160</v>
      </c>
      <c r="R37" s="4" t="s">
        <v>161</v>
      </c>
      <c r="S37" s="4" t="s">
        <v>162</v>
      </c>
      <c r="T37" s="4" t="s">
        <v>163</v>
      </c>
      <c r="U37" s="4" t="s">
        <v>164</v>
      </c>
      <c r="V37" s="4" t="s">
        <v>165</v>
      </c>
      <c r="W37" s="4" t="s">
        <v>166</v>
      </c>
      <c r="X37" s="4" t="s">
        <v>167</v>
      </c>
      <c r="Y37" s="4" t="s">
        <v>168</v>
      </c>
      <c r="Z37" s="4" t="s">
        <v>169</v>
      </c>
      <c r="AA37" s="4" t="s">
        <v>170</v>
      </c>
      <c r="AB37" s="4" t="s">
        <v>171</v>
      </c>
      <c r="AC37" s="4" t="s">
        <v>172</v>
      </c>
      <c r="AD37" s="4" t="s">
        <v>173</v>
      </c>
      <c r="AE37" s="4" t="s">
        <v>174</v>
      </c>
      <c r="AF37" s="4" t="s">
        <v>175</v>
      </c>
      <c r="AG37" s="4" t="s">
        <v>176</v>
      </c>
      <c r="AH37" s="4" t="s">
        <v>177</v>
      </c>
      <c r="AI37" s="4" t="s">
        <v>178</v>
      </c>
      <c r="AJ37" s="4" t="s">
        <v>179</v>
      </c>
      <c r="AK37" s="4" t="s">
        <v>180</v>
      </c>
      <c r="AL37" s="4" t="s">
        <v>181</v>
      </c>
      <c r="AM37" s="4" t="s">
        <v>182</v>
      </c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28.7</v>
      </c>
      <c r="D39" s="1">
        <v>1.9384999999999999</v>
      </c>
      <c r="E39" s="1">
        <v>1.6014999999999999</v>
      </c>
      <c r="F39" s="1">
        <v>0.60370000000000001</v>
      </c>
      <c r="G39" s="1">
        <v>0.29149999999999998</v>
      </c>
      <c r="H39" s="1">
        <v>0.14480000000000001</v>
      </c>
      <c r="I39" s="1">
        <v>0.1</v>
      </c>
      <c r="J39" s="1">
        <v>1.7675000000000001</v>
      </c>
      <c r="K39" s="1">
        <v>1.5993999999999999</v>
      </c>
      <c r="L39" s="1">
        <v>1.8411999999999999</v>
      </c>
      <c r="M39" s="6">
        <v>7.5499999999999998E-2</v>
      </c>
      <c r="N39" s="1">
        <v>1.7224999999999999</v>
      </c>
      <c r="O39" s="7">
        <v>1.0041</v>
      </c>
      <c r="P39" s="5">
        <v>1.8505</v>
      </c>
      <c r="Q39" s="5">
        <v>1.6387</v>
      </c>
      <c r="R39" s="5">
        <v>1.5958000000000001</v>
      </c>
      <c r="S39" s="5">
        <v>1.7948</v>
      </c>
      <c r="T39" s="5">
        <v>1.6711</v>
      </c>
      <c r="U39" s="5">
        <v>1.7422</v>
      </c>
      <c r="V39" s="1">
        <v>1.6711</v>
      </c>
      <c r="W39" s="1">
        <v>1.6889000000000001</v>
      </c>
      <c r="X39" s="1">
        <v>1.5277000000000001</v>
      </c>
      <c r="Y39" s="1">
        <v>1.6600999999999999</v>
      </c>
      <c r="Z39" s="1">
        <v>1.6857</v>
      </c>
      <c r="AA39" s="1">
        <v>1.7112000000000001</v>
      </c>
      <c r="AB39" s="5">
        <v>1.8108</v>
      </c>
      <c r="AC39" s="5">
        <v>1.8362000000000001</v>
      </c>
      <c r="AD39" s="5">
        <v>1.7058</v>
      </c>
      <c r="AE39" s="5">
        <v>1.6943999999999999</v>
      </c>
      <c r="AF39" s="5">
        <v>1.6075999999999999</v>
      </c>
      <c r="AG39" s="5">
        <v>1.6645000000000001</v>
      </c>
      <c r="AH39" s="1">
        <v>1.5508999999999999</v>
      </c>
      <c r="AI39" s="1">
        <v>1.583</v>
      </c>
      <c r="AJ39" s="1">
        <v>1.6857</v>
      </c>
      <c r="AK39" s="1">
        <v>1.617</v>
      </c>
      <c r="AL39" s="1">
        <v>1.7457</v>
      </c>
      <c r="AM39" s="6">
        <v>5.67E-2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3" t="s">
        <v>145</v>
      </c>
      <c r="B40" s="1">
        <v>9.5410000000000004</v>
      </c>
      <c r="C40" s="1">
        <v>28.7</v>
      </c>
      <c r="D40" s="1">
        <v>1.9392</v>
      </c>
      <c r="E40" s="1">
        <v>1.6094999999999999</v>
      </c>
      <c r="F40" s="1">
        <v>0.61109999999999998</v>
      </c>
      <c r="G40" s="1">
        <v>0.29470000000000002</v>
      </c>
      <c r="H40" s="1">
        <v>0.1457</v>
      </c>
      <c r="I40" s="1">
        <v>0.1008</v>
      </c>
      <c r="J40" s="1">
        <v>1.7789999999999999</v>
      </c>
      <c r="K40" s="1">
        <v>1.6086</v>
      </c>
      <c r="L40" s="1">
        <v>1.8492999999999999</v>
      </c>
      <c r="M40" s="6">
        <v>7.5999999999999998E-2</v>
      </c>
      <c r="N40" s="1">
        <v>1.7230000000000001</v>
      </c>
      <c r="O40" s="7">
        <v>1.0061</v>
      </c>
      <c r="P40" s="5">
        <v>1.8511</v>
      </c>
      <c r="Q40" s="5">
        <v>1.6384000000000001</v>
      </c>
      <c r="R40" s="5">
        <v>1.5928</v>
      </c>
      <c r="S40" s="5">
        <v>1.7986</v>
      </c>
      <c r="T40" s="5">
        <v>1.6673</v>
      </c>
      <c r="U40" s="5">
        <v>1.7416</v>
      </c>
      <c r="V40" s="1">
        <v>1.6778999999999999</v>
      </c>
      <c r="W40" s="1">
        <v>1.6964999999999999</v>
      </c>
      <c r="X40" s="1">
        <v>1.5318000000000001</v>
      </c>
      <c r="Y40" s="1">
        <v>1.6677999999999999</v>
      </c>
      <c r="Z40" s="1">
        <v>1.694</v>
      </c>
      <c r="AA40" s="1">
        <v>1.7157</v>
      </c>
      <c r="AB40" s="5">
        <v>1.8104</v>
      </c>
      <c r="AC40" s="5">
        <v>1.8412999999999999</v>
      </c>
      <c r="AD40" s="5">
        <v>1.7115</v>
      </c>
      <c r="AE40" s="5">
        <v>1.6978</v>
      </c>
      <c r="AF40" s="5">
        <v>1.6121000000000001</v>
      </c>
      <c r="AG40" s="5">
        <v>1.6584000000000001</v>
      </c>
      <c r="AH40" s="1">
        <v>1.5541</v>
      </c>
      <c r="AI40" s="1">
        <v>1.5862000000000001</v>
      </c>
      <c r="AJ40" s="1">
        <v>1.6879999999999999</v>
      </c>
      <c r="AK40" s="1">
        <v>1.6198999999999999</v>
      </c>
      <c r="AL40" s="1">
        <v>1.7526999999999999</v>
      </c>
      <c r="AM40" s="6">
        <v>5.7099999999999998E-2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x14ac:dyDescent="0.2">
      <c r="A41" s="3" t="s">
        <v>146</v>
      </c>
      <c r="B41" s="1">
        <v>19.085999999999999</v>
      </c>
      <c r="C41" s="1">
        <v>28.7</v>
      </c>
      <c r="D41" s="1">
        <v>1.9392</v>
      </c>
      <c r="E41" s="1">
        <v>1.6128</v>
      </c>
      <c r="F41" s="1">
        <v>0.6139</v>
      </c>
      <c r="G41" s="1">
        <v>0.2954</v>
      </c>
      <c r="H41" s="1">
        <v>0.14549999999999999</v>
      </c>
      <c r="I41" s="1">
        <v>0.1004</v>
      </c>
      <c r="J41" s="1">
        <v>1.7810999999999999</v>
      </c>
      <c r="K41" s="1">
        <v>1.6088</v>
      </c>
      <c r="L41" s="1">
        <v>1.8520000000000001</v>
      </c>
      <c r="M41" s="6">
        <v>7.5999999999999998E-2</v>
      </c>
      <c r="N41" s="1">
        <v>1.7241</v>
      </c>
      <c r="O41" s="7">
        <v>1.0088999999999999</v>
      </c>
      <c r="P41" s="5">
        <v>1.8514999999999999</v>
      </c>
      <c r="Q41" s="5">
        <v>1.6373</v>
      </c>
      <c r="R41" s="5">
        <v>1.59</v>
      </c>
      <c r="S41" s="5">
        <v>1.7986</v>
      </c>
      <c r="T41" s="5">
        <v>1.6606000000000001</v>
      </c>
      <c r="U41" s="5">
        <v>1.7405999999999999</v>
      </c>
      <c r="V41" s="1">
        <v>1.6812</v>
      </c>
      <c r="W41" s="1">
        <v>1.6987000000000001</v>
      </c>
      <c r="X41" s="1">
        <v>1.5339</v>
      </c>
      <c r="Y41" s="1">
        <v>1.6701999999999999</v>
      </c>
      <c r="Z41" s="1">
        <v>1.6962999999999999</v>
      </c>
      <c r="AA41" s="1">
        <v>1.7204999999999999</v>
      </c>
      <c r="AB41" s="5">
        <v>1.8102</v>
      </c>
      <c r="AC41" s="5">
        <v>1.8406</v>
      </c>
      <c r="AD41" s="5">
        <v>1.7121999999999999</v>
      </c>
      <c r="AE41" s="5">
        <v>1.6988000000000001</v>
      </c>
      <c r="AF41" s="5">
        <v>1.6135999999999999</v>
      </c>
      <c r="AG41" s="5">
        <v>1.6571</v>
      </c>
      <c r="AH41" s="1">
        <v>1.5559000000000001</v>
      </c>
      <c r="AI41" s="1">
        <v>1.5874999999999999</v>
      </c>
      <c r="AJ41" s="1">
        <v>1.6887000000000001</v>
      </c>
      <c r="AK41" s="1">
        <v>1.6206</v>
      </c>
      <c r="AL41" s="1">
        <v>1.7567999999999999</v>
      </c>
      <c r="AM41" s="6">
        <v>5.6899999999999999E-2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 x14ac:dyDescent="0.2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 ht="16" thickBo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 x14ac:dyDescent="0.2">
      <c r="A45" s="1"/>
      <c r="B45" s="8" t="s">
        <v>149</v>
      </c>
      <c r="C45" s="9" t="s">
        <v>152</v>
      </c>
      <c r="D45" s="9" t="s">
        <v>150</v>
      </c>
      <c r="E45" s="9" t="s">
        <v>151</v>
      </c>
      <c r="F45" s="9" t="s">
        <v>183</v>
      </c>
      <c r="G45" s="10" t="s">
        <v>152</v>
      </c>
      <c r="H45" s="1"/>
      <c r="I45" s="1"/>
      <c r="J45" s="1"/>
      <c r="K45" s="1"/>
    </row>
    <row r="46" spans="1:99" x14ac:dyDescent="0.2">
      <c r="B46" s="11">
        <v>0</v>
      </c>
      <c r="C46" s="12" t="e">
        <f>LOG(B46)</f>
        <v>#NUM!</v>
      </c>
      <c r="D46" s="13">
        <v>1.9384999999999999</v>
      </c>
      <c r="E46" s="12" t="e">
        <f>LN(D46/$D$46)/(1-D46/$D$46)</f>
        <v>#DIV/0!</v>
      </c>
      <c r="F46" s="12"/>
      <c r="G46" s="14"/>
    </row>
    <row r="47" spans="1:99" x14ac:dyDescent="0.2">
      <c r="B47" s="11">
        <v>62.5</v>
      </c>
      <c r="C47" s="12">
        <f t="shared" ref="C47:C51" si="0">LOG(B47)</f>
        <v>1.7958800173440752</v>
      </c>
      <c r="D47" s="13">
        <v>1.6014999999999999</v>
      </c>
      <c r="E47" s="12">
        <f>LN(D47/$D$46)/(1-D47/$D$46)</f>
        <v>-1.0985242972039853</v>
      </c>
      <c r="F47" s="12">
        <f>-E47</f>
        <v>1.0985242972039853</v>
      </c>
      <c r="G47" s="14">
        <f>C47</f>
        <v>1.7958800173440752</v>
      </c>
    </row>
    <row r="48" spans="1:99" x14ac:dyDescent="0.2">
      <c r="B48" s="11">
        <v>125</v>
      </c>
      <c r="C48" s="12">
        <f>LOG(B48)</f>
        <v>2.0969100130080562</v>
      </c>
      <c r="D48" s="13">
        <v>0.60370000000000001</v>
      </c>
      <c r="E48" s="12">
        <f t="shared" ref="E48:E51" si="1">LN(D48/$D$46)/(1-D48/$D$46)</f>
        <v>-1.6942158464052499</v>
      </c>
      <c r="F48" s="12">
        <f t="shared" ref="F48:F51" si="2">-E48</f>
        <v>1.6942158464052499</v>
      </c>
      <c r="G48" s="14">
        <f t="shared" ref="G48:G51" si="3">C48</f>
        <v>2.0969100130080562</v>
      </c>
    </row>
    <row r="49" spans="1:7" x14ac:dyDescent="0.2">
      <c r="B49" s="11">
        <v>250</v>
      </c>
      <c r="C49" s="12">
        <f t="shared" si="0"/>
        <v>2.3979400086720375</v>
      </c>
      <c r="D49" s="13">
        <v>0.29149999999999998</v>
      </c>
      <c r="E49" s="12">
        <f t="shared" si="1"/>
        <v>-2.2299573606160696</v>
      </c>
      <c r="F49" s="12">
        <f t="shared" si="2"/>
        <v>2.2299573606160696</v>
      </c>
      <c r="G49" s="14">
        <f t="shared" si="3"/>
        <v>2.3979400086720375</v>
      </c>
    </row>
    <row r="50" spans="1:7" x14ac:dyDescent="0.2">
      <c r="B50" s="11">
        <v>500</v>
      </c>
      <c r="C50" s="12">
        <f t="shared" si="0"/>
        <v>2.6989700043360187</v>
      </c>
      <c r="D50" s="13">
        <v>0.14480000000000001</v>
      </c>
      <c r="E50" s="12">
        <f t="shared" si="1"/>
        <v>-2.8037476184832659</v>
      </c>
      <c r="F50" s="12">
        <f t="shared" si="2"/>
        <v>2.8037476184832659</v>
      </c>
      <c r="G50" s="14">
        <f t="shared" si="3"/>
        <v>2.6989700043360187</v>
      </c>
    </row>
    <row r="51" spans="1:7" ht="16" thickBot="1" x14ac:dyDescent="0.25">
      <c r="B51" s="15">
        <v>1000</v>
      </c>
      <c r="C51" s="16">
        <f t="shared" si="0"/>
        <v>3</v>
      </c>
      <c r="D51" s="17">
        <v>0.1</v>
      </c>
      <c r="E51" s="16">
        <f t="shared" si="1"/>
        <v>-3.1257451284317255</v>
      </c>
      <c r="F51" s="16">
        <f t="shared" si="2"/>
        <v>3.1257451284317255</v>
      </c>
      <c r="G51" s="18">
        <f t="shared" si="3"/>
        <v>3</v>
      </c>
    </row>
    <row r="53" spans="1:7" x14ac:dyDescent="0.2">
      <c r="A53" s="19" t="s">
        <v>185</v>
      </c>
      <c r="B53" s="19" t="s">
        <v>184</v>
      </c>
    </row>
    <row r="54" spans="1:7" x14ac:dyDescent="0.2">
      <c r="A54" s="19" t="s">
        <v>186</v>
      </c>
      <c r="B54" s="19" t="s">
        <v>187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2026-08-28T09:29:37Z</dcterms:modified>
</cp:coreProperties>
</file>