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620_IR5Strains/CCOx/"/>
    </mc:Choice>
  </mc:AlternateContent>
  <xr:revisionPtr revIDLastSave="0" documentId="13_ncr:1_{6CAAEA18-7E31-FE43-8EDB-20A3DDAF2AF0}" xr6:coauthVersionLast="47" xr6:coauthVersionMax="47" xr10:uidLastSave="{00000000-0000-0000-0000-000000000000}"/>
  <bookViews>
    <workbookView xWindow="11060" yWindow="1120" windowWidth="20540" windowHeight="16220" xr2:uid="{00000000-000D-0000-FFFF-FFFF00000000}"/>
  </bookViews>
  <sheets>
    <sheet name="Result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E84" i="1" l="1"/>
  <c r="BD84" i="1"/>
  <c r="BC84" i="1"/>
  <c r="BB84" i="1"/>
  <c r="BA84" i="1"/>
  <c r="AZ84" i="1"/>
  <c r="AS84" i="1"/>
  <c r="AR84" i="1"/>
  <c r="AQ84" i="1"/>
  <c r="AP84" i="1"/>
  <c r="AO84" i="1"/>
  <c r="AN84" i="1"/>
  <c r="AG84" i="1"/>
  <c r="AF84" i="1"/>
  <c r="AE84" i="1"/>
  <c r="AD84" i="1"/>
  <c r="AC84" i="1"/>
  <c r="AB84" i="1"/>
  <c r="U84" i="1"/>
  <c r="T84" i="1"/>
  <c r="S84" i="1"/>
  <c r="R84" i="1"/>
  <c r="Q84" i="1"/>
  <c r="P84" i="1"/>
  <c r="E84" i="1"/>
  <c r="F84" i="1"/>
  <c r="G84" i="1"/>
  <c r="H84" i="1"/>
  <c r="I84" i="1"/>
  <c r="D84" i="1"/>
  <c r="BE83" i="1"/>
  <c r="BD83" i="1"/>
  <c r="BC83" i="1"/>
  <c r="BB83" i="1"/>
  <c r="BA83" i="1"/>
  <c r="AZ83" i="1"/>
  <c r="AS83" i="1"/>
  <c r="AR83" i="1"/>
  <c r="AQ83" i="1"/>
  <c r="AP83" i="1"/>
  <c r="AO83" i="1"/>
  <c r="AN83" i="1"/>
  <c r="AG83" i="1"/>
  <c r="AF83" i="1"/>
  <c r="AE83" i="1"/>
  <c r="AD83" i="1"/>
  <c r="AC83" i="1"/>
  <c r="AB83" i="1"/>
  <c r="U83" i="1"/>
  <c r="T83" i="1"/>
  <c r="S83" i="1"/>
  <c r="R83" i="1"/>
  <c r="Q83" i="1"/>
  <c r="P83" i="1"/>
  <c r="E83" i="1"/>
  <c r="F83" i="1"/>
  <c r="G83" i="1"/>
  <c r="H83" i="1"/>
  <c r="I83" i="1"/>
  <c r="J83" i="1"/>
  <c r="K83" i="1"/>
  <c r="L83" i="1"/>
  <c r="D83" i="1"/>
  <c r="D78" i="1"/>
  <c r="J80" i="1"/>
  <c r="BE78" i="1"/>
  <c r="BD78" i="1"/>
  <c r="BC78" i="1"/>
  <c r="BB78" i="1"/>
  <c r="BA78" i="1"/>
  <c r="AZ78" i="1"/>
  <c r="AS78" i="1"/>
  <c r="AR78" i="1"/>
  <c r="AQ78" i="1"/>
  <c r="AP78" i="1"/>
  <c r="AO78" i="1"/>
  <c r="AN78" i="1"/>
  <c r="AG78" i="1"/>
  <c r="AF78" i="1"/>
  <c r="AE78" i="1"/>
  <c r="AD78" i="1"/>
  <c r="AC78" i="1"/>
  <c r="AB78" i="1"/>
  <c r="U78" i="1"/>
  <c r="T78" i="1"/>
  <c r="S78" i="1"/>
  <c r="R78" i="1"/>
  <c r="Q78" i="1"/>
  <c r="P78" i="1"/>
  <c r="B74" i="1"/>
  <c r="E78" i="1"/>
  <c r="F78" i="1"/>
  <c r="G78" i="1"/>
  <c r="H78" i="1"/>
  <c r="I78" i="1"/>
  <c r="J78" i="1"/>
  <c r="K78" i="1"/>
  <c r="L78" i="1"/>
</calcChain>
</file>

<file path=xl/sharedStrings.xml><?xml version="1.0" encoding="utf-8"?>
<sst xmlns="http://schemas.openxmlformats.org/spreadsheetml/2006/main" count="232" uniqueCount="218">
  <si>
    <t>Method name: Method 1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</si>
  <si>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</si>
  <si>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</si>
  <si>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</si>
  <si>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</si>
  <si>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</si>
  <si>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</si>
  <si>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</si>
  <si>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</si>
  <si>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2026-06-25</t>
  </si>
  <si>
    <t>Time:</t>
  </si>
  <si>
    <t>19:21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</si>
  <si>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</si>
  <si>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</si>
  <si>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</si>
  <si>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</si>
  <si>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</si>
  <si>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</si>
  <si>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</si>
  <si>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</si>
  <si>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</si>
  <si>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</si>
  <si>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</si>
  <si>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</si>
  <si>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</si>
  <si>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Temperature</t>
  </si>
  <si>
    <t>Kinetic</t>
  </si>
  <si>
    <t>Absorbance</t>
  </si>
  <si>
    <t>Label 1</t>
  </si>
  <si>
    <t>Name</t>
  </si>
  <si>
    <t>GRE96ft</t>
  </si>
  <si>
    <t>Plate layout</t>
  </si>
  <si>
    <t>Plate area</t>
  </si>
  <si>
    <t>A1-A9;B1-E6</t>
  </si>
  <si>
    <t>Start Time</t>
  </si>
  <si>
    <t>2026-06-25 18:52:38</t>
  </si>
  <si>
    <t>Temperature control</t>
  </si>
  <si>
    <t>On</t>
  </si>
  <si>
    <t>Target temperature</t>
  </si>
  <si>
    <t>°C</t>
  </si>
  <si>
    <t>Mode</t>
  </si>
  <si>
    <t>Kinetic cycles</t>
  </si>
  <si>
    <t>Interval time</t>
  </si>
  <si>
    <t>00:01:00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</si>
  <si>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</si>
  <si>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</si>
  <si>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</si>
  <si>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</si>
  <si>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</si>
  <si>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</si>
  <si>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</si>
  <si>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2026-06-25 18:52:39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</si>
  <si>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</si>
  <si>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</si>
  <si>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</si>
  <si>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</si>
  <si>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</si>
  <si>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</si>
  <si>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</si>
  <si>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</si>
  <si>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</si>
  <si>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</si>
  <si>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</si>
  <si>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</si>
  <si>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</si>
  <si>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</si>
  <si>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</si>
  <si>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</si>
  <si>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</si>
  <si>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</si>
  <si>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</si>
  <si>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</si>
  <si>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</si>
  <si>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</si>
  <si>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</si>
  <si>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</si>
  <si>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</si>
  <si>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</si>
  <si>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</si>
  <si>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</si>
  <si>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</si>
  <si>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</si>
  <si>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</si>
  <si>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</si>
  <si>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</si>
  <si>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</si>
  <si>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</si>
  <si>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</si>
  <si>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</si>
  <si>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</si>
  <si>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</si>
  <si>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</si>
  <si>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</si>
  <si>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</si>
  <si>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</si>
  <si>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</si>
  <si>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</si>
  <si>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</si>
  <si>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</si>
  <si>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</si>
  <si>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</si>
  <si>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</si>
  <si>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</si>
  <si>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</si>
  <si>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</si>
  <si>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</si>
  <si>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</si>
  <si>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</si>
  <si>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</si>
  <si>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</si>
  <si>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</si>
  <si>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</si>
  <si>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</si>
  <si>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</si>
  <si>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</si>
  <si>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</si>
  <si>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</si>
  <si>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</si>
  <si>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</si>
  <si>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</si>
  <si>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</si>
  <si>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</si>
  <si>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</si>
  <si>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</si>
  <si>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</si>
  <si>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</si>
  <si>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</si>
  <si>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</si>
  <si>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</si>
  <si>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</si>
  <si>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</si>
  <si>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</si>
  <si>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</si>
  <si>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</si>
  <si>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</si>
  <si>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</si>
  <si>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</si>
  <si>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</si>
  <si>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</si>
  <si>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</si>
  <si>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</si>
  <si>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</si>
  <si>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</si>
  <si>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</si>
  <si>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</si>
  <si>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</si>
  <si>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</si>
  <si>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</si>
  <si>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</si>
  <si>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</si>
  <si>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</si>
  <si>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</si>
  <si>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</si>
  <si>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</si>
  <si>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</si>
  <si>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</si>
  <si>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</si>
  <si>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</si>
  <si>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</si>
  <si>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</si>
  <si>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</si>
  <si>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</si>
  <si>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</si>
  <si>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</si>
  <si>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</si>
  <si>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</si>
  <si>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</si>
  <si>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</si>
  <si>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</si>
  <si>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</si>
  <si>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</si>
  <si>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</si>
  <si>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</si>
  <si>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</si>
  <si>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</si>
  <si>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</si>
  <si>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</si>
  <si>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</si>
  <si>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</si>
  <si>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</si>
  <si>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</si>
  <si>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End Time</t>
  </si>
  <si>
    <t>2026-06-25 19:21:48</t>
  </si>
  <si>
    <t>D-D1</t>
  </si>
  <si>
    <t>D-D2</t>
  </si>
  <si>
    <t>D-D3</t>
  </si>
  <si>
    <t>I-D1</t>
  </si>
  <si>
    <t>I-D2</t>
  </si>
  <si>
    <t>I-D3</t>
  </si>
  <si>
    <t>Control</t>
  </si>
  <si>
    <t>Blank</t>
  </si>
  <si>
    <t>D-A1</t>
  </si>
  <si>
    <t>D-A2</t>
  </si>
  <si>
    <t>D-A3</t>
  </si>
  <si>
    <t>I-A1</t>
  </si>
  <si>
    <t>I-A2</t>
  </si>
  <si>
    <t>I-A3</t>
  </si>
  <si>
    <t>D-P1</t>
  </si>
  <si>
    <t>D-P2</t>
  </si>
  <si>
    <t>D-P3</t>
  </si>
  <si>
    <t>I-P1</t>
  </si>
  <si>
    <t>I-P2</t>
  </si>
  <si>
    <t>I-P3</t>
  </si>
  <si>
    <t>D-H1</t>
  </si>
  <si>
    <t>D-H2</t>
  </si>
  <si>
    <t>D-H3</t>
  </si>
  <si>
    <t>I-H1</t>
  </si>
  <si>
    <t>I-H2</t>
  </si>
  <si>
    <t>I-H3</t>
  </si>
  <si>
    <t>D-M1</t>
  </si>
  <si>
    <t>D-M2</t>
  </si>
  <si>
    <t>D-M3</t>
  </si>
  <si>
    <t>I-M1</t>
  </si>
  <si>
    <t>I-M2</t>
  </si>
  <si>
    <t>I-M3</t>
  </si>
  <si>
    <t>min</t>
  </si>
  <si>
    <t>△</t>
  </si>
  <si>
    <t>A-A0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</si>
</sst>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9"/>
      <name val="宋体"/>
      <family val="3"/>
      <charset val="134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4" fillId="0" borderId="0" xfId="0" applyFont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84"/>
  <sheetViews>
    <sheetView tabSelected="1" topLeftCell="AS62" workbookViewId="0">
      <selection activeCell="AX86" sqref="AX86"/>
    </sheetView>
  </sheetViews>
  <sheetFormatPr baseColWidth="10" defaultColWidth="8.83203125"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 t="s">
        <v>26</v>
      </c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2"/>
      <c r="B19" s="2"/>
      <c r="C19" s="2" t="s">
        <v>27</v>
      </c>
      <c r="D19" s="2"/>
      <c r="E19" s="2"/>
      <c r="F19" s="2"/>
      <c r="G19" s="2" t="s">
        <v>28</v>
      </c>
      <c r="H19" s="2"/>
      <c r="I19" s="2"/>
      <c r="J19" s="2"/>
      <c r="K19" s="2"/>
    </row>
    <row r="20" spans="1:1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>
      <c r="A21" s="1" t="s">
        <v>29</v>
      </c>
      <c r="B21" s="1"/>
      <c r="C21" s="1"/>
      <c r="D21" s="1"/>
      <c r="E21" s="1" t="s">
        <v>30</v>
      </c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 t="s">
        <v>32</v>
      </c>
      <c r="B23" s="1"/>
      <c r="C23" s="1"/>
      <c r="D23" s="1"/>
      <c r="E23" s="1" t="s">
        <v>33</v>
      </c>
      <c r="F23" s="1"/>
      <c r="G23" s="1"/>
      <c r="H23" s="1"/>
      <c r="I23" s="1"/>
      <c r="J23" s="1"/>
      <c r="K23" s="1"/>
    </row>
    <row r="24" spans="1:1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34</v>
      </c>
      <c r="B25" s="1"/>
      <c r="C25" s="1"/>
      <c r="D25" s="1"/>
      <c r="E25" s="1" t="s">
        <v>35</v>
      </c>
      <c r="F25" s="1"/>
      <c r="G25" s="1"/>
      <c r="H25" s="1"/>
      <c r="I25" s="1"/>
      <c r="J25" s="1"/>
      <c r="K25" s="1"/>
    </row>
    <row r="26" spans="1:11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>
      <c r="A27" s="1" t="s">
        <v>38</v>
      </c>
      <c r="B27" s="1"/>
      <c r="C27" s="1"/>
      <c r="D27" s="1"/>
      <c r="E27" s="1">
        <v>25</v>
      </c>
      <c r="F27" s="1" t="s">
        <v>39</v>
      </c>
      <c r="G27" s="1"/>
      <c r="H27" s="1"/>
      <c r="I27" s="1"/>
      <c r="J27" s="1"/>
      <c r="K27" s="1"/>
    </row>
    <row r="28" spans="1:1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 t="s">
        <v>40</v>
      </c>
      <c r="B29" s="1" t="s">
        <v>26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41</v>
      </c>
      <c r="B30" s="1"/>
      <c r="C30" s="1"/>
      <c r="D30" s="1"/>
      <c r="E30" s="1">
        <v>30</v>
      </c>
      <c r="F30" s="1"/>
      <c r="G30" s="1"/>
      <c r="H30" s="1"/>
      <c r="I30" s="1"/>
      <c r="J30" s="1"/>
      <c r="K30" s="1"/>
    </row>
    <row r="31" spans="1:11">
      <c r="A31" s="1" t="s">
        <v>42</v>
      </c>
      <c r="B31" s="1"/>
      <c r="C31" s="1"/>
      <c r="D31" s="1"/>
      <c r="E31" s="1" t="s">
        <v>43</v>
      </c>
      <c r="F31" s="1" t="s">
        <v>44</v>
      </c>
      <c r="G31" s="1"/>
      <c r="H31" s="1"/>
      <c r="I31" s="1"/>
      <c r="J31" s="1"/>
      <c r="K31" s="1"/>
    </row>
    <row r="32" spans="1:1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99">
      <c r="A33" s="1" t="s">
        <v>40</v>
      </c>
      <c r="B33" s="1" t="s">
        <v>27</v>
      </c>
      <c r="C33" s="1"/>
      <c r="D33" s="1"/>
      <c r="E33" s="1"/>
      <c r="F33" s="1"/>
      <c r="G33" s="1"/>
      <c r="H33" s="1"/>
      <c r="I33" s="1"/>
      <c r="J33" s="1"/>
      <c r="K33" s="1"/>
    </row>
    <row r="34" spans="1:99">
      <c r="A34" s="1" t="s">
        <v>29</v>
      </c>
      <c r="B34" s="1" t="s">
        <v>28</v>
      </c>
      <c r="C34" s="1"/>
      <c r="D34" s="1"/>
      <c r="E34" s="1"/>
      <c r="F34" s="1"/>
      <c r="G34" s="1"/>
      <c r="H34" s="1"/>
      <c r="I34" s="1"/>
      <c r="J34" s="1"/>
      <c r="K34" s="1"/>
    </row>
    <row r="35" spans="1:99">
      <c r="A35" s="1" t="s">
        <v>45</v>
      </c>
      <c r="B35" s="1"/>
      <c r="C35" s="1"/>
      <c r="D35" s="1"/>
      <c r="E35" s="1">
        <v>550</v>
      </c>
      <c r="F35" s="1" t="s">
        <v>46</v>
      </c>
      <c r="G35" s="1"/>
      <c r="H35" s="1"/>
      <c r="I35" s="1"/>
      <c r="J35" s="1"/>
      <c r="K35" s="1"/>
    </row>
    <row r="36" spans="1:99">
      <c r="A36" s="1" t="s">
        <v>47</v>
      </c>
      <c r="B36" s="1"/>
      <c r="C36" s="1"/>
      <c r="D36" s="1"/>
      <c r="E36" s="1">
        <v>10</v>
      </c>
      <c r="F36" s="1"/>
      <c r="G36" s="1"/>
      <c r="H36" s="1"/>
      <c r="I36" s="1"/>
      <c r="J36" s="1"/>
      <c r="K36" s="1"/>
    </row>
    <row r="37" spans="1:99">
      <c r="A37" s="1" t="s">
        <v>48</v>
      </c>
      <c r="B37" s="1"/>
      <c r="C37" s="1"/>
      <c r="D37" s="1"/>
      <c r="E37" s="1">
        <v>50</v>
      </c>
      <c r="F37" s="1" t="s">
        <v>49</v>
      </c>
      <c r="G37" s="1"/>
      <c r="H37" s="1"/>
      <c r="I37" s="1"/>
      <c r="J37" s="1"/>
      <c r="K37" s="1"/>
    </row>
    <row r="38" spans="1:99">
      <c r="A38" s="1" t="s">
        <v>50</v>
      </c>
      <c r="B38" s="1"/>
      <c r="C38" s="1"/>
      <c r="D38" s="1"/>
      <c r="E38" s="1" t="s">
        <v>33</v>
      </c>
      <c r="F38" s="1"/>
      <c r="G38" s="1"/>
      <c r="H38" s="1"/>
      <c r="I38" s="1"/>
      <c r="J38" s="1"/>
      <c r="K38" s="1"/>
    </row>
    <row r="39" spans="1:9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99">
      <c r="A40" s="1" t="s">
        <v>34</v>
      </c>
      <c r="B40" s="1"/>
      <c r="C40" s="1"/>
      <c r="D40" s="1"/>
      <c r="E40" s="1" t="s">
        <v>51</v>
      </c>
      <c r="F40" s="1"/>
      <c r="G40" s="1"/>
      <c r="H40" s="1"/>
      <c r="I40" s="1"/>
      <c r="J40" s="1"/>
      <c r="K40" s="1"/>
    </row>
    <row r="41" spans="1:99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99">
      <c r="A42" s="1" t="s">
        <v>28</v>
      </c>
      <c r="B42" s="1"/>
      <c r="C42" s="1"/>
      <c r="D42" s="1" t="s">
        <v>183</v>
      </c>
      <c r="E42" s="1" t="s">
        <v>184</v>
      </c>
      <c r="F42" s="1" t="s">
        <v>185</v>
      </c>
      <c r="G42" s="1" t="s">
        <v>186</v>
      </c>
      <c r="H42" s="1" t="s">
        <v>187</v>
      </c>
      <c r="I42" s="1" t="s">
        <v>188</v>
      </c>
      <c r="J42" s="1" t="s">
        <v>189</v>
      </c>
      <c r="K42" s="1" t="s">
        <v>189</v>
      </c>
      <c r="L42" s="1" t="s">
        <v>190</v>
      </c>
      <c r="P42" s="4" t="s">
        <v>191</v>
      </c>
      <c r="Q42" s="4" t="s">
        <v>192</v>
      </c>
      <c r="R42" s="4" t="s">
        <v>193</v>
      </c>
      <c r="S42" s="4" t="s">
        <v>194</v>
      </c>
      <c r="T42" s="4" t="s">
        <v>195</v>
      </c>
      <c r="U42" s="4" t="s">
        <v>196</v>
      </c>
      <c r="AB42" s="4" t="s">
        <v>197</v>
      </c>
      <c r="AC42" s="4" t="s">
        <v>198</v>
      </c>
      <c r="AD42" s="4" t="s">
        <v>199</v>
      </c>
      <c r="AE42" s="4" t="s">
        <v>200</v>
      </c>
      <c r="AF42" s="4" t="s">
        <v>201</v>
      </c>
      <c r="AG42" s="4" t="s">
        <v>202</v>
      </c>
      <c r="AN42" s="4" t="s">
        <v>203</v>
      </c>
      <c r="AO42" s="4" t="s">
        <v>204</v>
      </c>
      <c r="AP42" s="4" t="s">
        <v>205</v>
      </c>
      <c r="AQ42" s="4" t="s">
        <v>206</v>
      </c>
      <c r="AR42" s="4" t="s">
        <v>207</v>
      </c>
      <c r="AS42" s="4" t="s">
        <v>208</v>
      </c>
      <c r="AZ42" s="4" t="s">
        <v>209</v>
      </c>
      <c r="BA42" s="4" t="s">
        <v>210</v>
      </c>
      <c r="BB42" s="4" t="s">
        <v>211</v>
      </c>
      <c r="BC42" s="4" t="s">
        <v>212</v>
      </c>
      <c r="BD42" s="4" t="s">
        <v>213</v>
      </c>
      <c r="BE42" s="4" t="s">
        <v>214</v>
      </c>
    </row>
    <row r="43" spans="1:99">
      <c r="A43" s="3" t="s">
        <v>52</v>
      </c>
      <c r="B43" s="3" t="s">
        <v>53</v>
      </c>
      <c r="C43" s="3" t="s">
        <v>54</v>
      </c>
      <c r="D43" s="3" t="s">
        <v>55</v>
      </c>
      <c r="E43" s="3" t="s">
        <v>56</v>
      </c>
      <c r="F43" s="3" t="s">
        <v>57</v>
      </c>
      <c r="G43" s="3" t="s">
        <v>58</v>
      </c>
      <c r="H43" s="3" t="s">
        <v>59</v>
      </c>
      <c r="I43" s="3" t="s">
        <v>60</v>
      </c>
      <c r="J43" s="3" t="s">
        <v>61</v>
      </c>
      <c r="K43" s="3" t="s">
        <v>62</v>
      </c>
      <c r="L43" s="3" t="s">
        <v>63</v>
      </c>
      <c r="M43" s="3" t="s">
        <v>64</v>
      </c>
      <c r="N43" s="3" t="s">
        <v>65</v>
      </c>
      <c r="O43" s="3" t="s">
        <v>66</v>
      </c>
      <c r="P43" s="3" t="s">
        <v>67</v>
      </c>
      <c r="Q43" s="3" t="s">
        <v>68</v>
      </c>
      <c r="R43" s="3" t="s">
        <v>69</v>
      </c>
      <c r="S43" s="3" t="s">
        <v>70</v>
      </c>
      <c r="T43" s="3" t="s">
        <v>71</v>
      </c>
      <c r="U43" s="3" t="s">
        <v>72</v>
      </c>
      <c r="V43" s="3" t="s">
        <v>73</v>
      </c>
      <c r="W43" s="3" t="s">
        <v>74</v>
      </c>
      <c r="X43" s="3" t="s">
        <v>75</v>
      </c>
      <c r="Y43" s="3" t="s">
        <v>76</v>
      </c>
      <c r="Z43" s="3" t="s">
        <v>77</v>
      </c>
      <c r="AA43" s="3" t="s">
        <v>78</v>
      </c>
      <c r="AB43" s="3" t="s">
        <v>79</v>
      </c>
      <c r="AC43" s="3" t="s">
        <v>80</v>
      </c>
      <c r="AD43" s="3" t="s">
        <v>81</v>
      </c>
      <c r="AE43" s="3" t="s">
        <v>82</v>
      </c>
      <c r="AF43" s="3" t="s">
        <v>83</v>
      </c>
      <c r="AG43" s="3" t="s">
        <v>84</v>
      </c>
      <c r="AH43" s="3" t="s">
        <v>85</v>
      </c>
      <c r="AI43" s="3" t="s">
        <v>86</v>
      </c>
      <c r="AJ43" s="3" t="s">
        <v>87</v>
      </c>
      <c r="AK43" s="3" t="s">
        <v>88</v>
      </c>
      <c r="AL43" s="3" t="s">
        <v>89</v>
      </c>
      <c r="AM43" s="3" t="s">
        <v>90</v>
      </c>
      <c r="AN43" s="3" t="s">
        <v>91</v>
      </c>
      <c r="AO43" s="3" t="s">
        <v>92</v>
      </c>
      <c r="AP43" s="3" t="s">
        <v>93</v>
      </c>
      <c r="AQ43" s="3" t="s">
        <v>94</v>
      </c>
      <c r="AR43" s="3" t="s">
        <v>95</v>
      </c>
      <c r="AS43" s="3" t="s">
        <v>96</v>
      </c>
      <c r="AT43" s="3" t="s">
        <v>97</v>
      </c>
      <c r="AU43" s="3" t="s">
        <v>98</v>
      </c>
      <c r="AV43" s="3" t="s">
        <v>99</v>
      </c>
      <c r="AW43" s="3" t="s">
        <v>100</v>
      </c>
      <c r="AX43" s="3" t="s">
        <v>101</v>
      </c>
      <c r="AY43" s="3" t="s">
        <v>102</v>
      </c>
      <c r="AZ43" s="3" t="s">
        <v>103</v>
      </c>
      <c r="BA43" s="3" t="s">
        <v>104</v>
      </c>
      <c r="BB43" s="3" t="s">
        <v>105</v>
      </c>
      <c r="BC43" s="3" t="s">
        <v>106</v>
      </c>
      <c r="BD43" s="3" t="s">
        <v>107</v>
      </c>
      <c r="BE43" s="3" t="s">
        <v>108</v>
      </c>
      <c r="BF43" s="3" t="s">
        <v>109</v>
      </c>
      <c r="BG43" s="3" t="s">
        <v>110</v>
      </c>
      <c r="BH43" s="3" t="s">
        <v>111</v>
      </c>
      <c r="BI43" s="3" t="s">
        <v>112</v>
      </c>
      <c r="BJ43" s="3" t="s">
        <v>113</v>
      </c>
      <c r="BK43" s="3" t="s">
        <v>114</v>
      </c>
      <c r="BL43" s="3" t="s">
        <v>115</v>
      </c>
      <c r="BM43" s="3" t="s">
        <v>116</v>
      </c>
      <c r="BN43" s="3" t="s">
        <v>117</v>
      </c>
      <c r="BO43" s="3" t="s">
        <v>118</v>
      </c>
      <c r="BP43" s="3" t="s">
        <v>119</v>
      </c>
      <c r="BQ43" s="3" t="s">
        <v>120</v>
      </c>
      <c r="BR43" s="3" t="s">
        <v>121</v>
      </c>
      <c r="BS43" s="3" t="s">
        <v>122</v>
      </c>
      <c r="BT43" s="3" t="s">
        <v>123</v>
      </c>
      <c r="BU43" s="3" t="s">
        <v>124</v>
      </c>
      <c r="BV43" s="3" t="s">
        <v>125</v>
      </c>
      <c r="BW43" s="3" t="s">
        <v>126</v>
      </c>
      <c r="BX43" s="3" t="s">
        <v>127</v>
      </c>
      <c r="BY43" s="3" t="s">
        <v>128</v>
      </c>
      <c r="BZ43" s="3" t="s">
        <v>129</v>
      </c>
      <c r="CA43" s="3" t="s">
        <v>130</v>
      </c>
      <c r="CB43" s="3" t="s">
        <v>131</v>
      </c>
      <c r="CC43" s="3" t="s">
        <v>132</v>
      </c>
      <c r="CD43" s="3" t="s">
        <v>133</v>
      </c>
      <c r="CE43" s="3" t="s">
        <v>134</v>
      </c>
      <c r="CF43" s="3" t="s">
        <v>135</v>
      </c>
      <c r="CG43" s="3" t="s">
        <v>136</v>
      </c>
      <c r="CH43" s="3" t="s">
        <v>137</v>
      </c>
      <c r="CI43" s="3" t="s">
        <v>138</v>
      </c>
      <c r="CJ43" s="3" t="s">
        <v>139</v>
      </c>
      <c r="CK43" s="3" t="s">
        <v>140</v>
      </c>
      <c r="CL43" s="3" t="s">
        <v>141</v>
      </c>
      <c r="CM43" s="3" t="s">
        <v>142</v>
      </c>
      <c r="CN43" s="3" t="s">
        <v>143</v>
      </c>
      <c r="CO43" s="3" t="s">
        <v>144</v>
      </c>
      <c r="CP43" s="3" t="s">
        <v>145</v>
      </c>
      <c r="CQ43" s="3" t="s">
        <v>146</v>
      </c>
      <c r="CR43" s="3" t="s">
        <v>147</v>
      </c>
      <c r="CS43" s="3" t="s">
        <v>148</v>
      </c>
      <c r="CT43" s="3" t="s">
        <v>149</v>
      </c>
      <c r="CU43" s="3" t="s">
        <v>150</v>
      </c>
    </row>
    <row r="44" spans="1:99">
      <c r="A44" s="3" t="s">
        <v>151</v>
      </c>
      <c r="B44" s="1">
        <v>0</v>
      </c>
      <c r="C44" s="1">
        <v>27.5</v>
      </c>
      <c r="D44" s="1">
        <v>0.19170000000000001</v>
      </c>
      <c r="E44" s="1">
        <v>0.17949999999999999</v>
      </c>
      <c r="F44" s="1">
        <v>0.18240000000000001</v>
      </c>
      <c r="G44" s="1">
        <v>0.18129999999999999</v>
      </c>
      <c r="H44" s="1">
        <v>0.18859999999999999</v>
      </c>
      <c r="I44" s="1">
        <v>0.191</v>
      </c>
      <c r="J44" s="1">
        <v>0.18090000000000001</v>
      </c>
      <c r="K44" s="1">
        <v>0.17910000000000001</v>
      </c>
      <c r="L44" s="1">
        <v>4.9200000000000001E-2</v>
      </c>
      <c r="M44" s="1"/>
      <c r="N44" s="1"/>
      <c r="O44" s="1"/>
      <c r="P44" s="1">
        <v>0.189</v>
      </c>
      <c r="Q44" s="1">
        <v>0.1847</v>
      </c>
      <c r="R44" s="1">
        <v>0.188</v>
      </c>
      <c r="S44" s="1">
        <v>0.1862</v>
      </c>
      <c r="T44" s="1">
        <v>0.1852</v>
      </c>
      <c r="U44" s="1">
        <v>0.18329999999999999</v>
      </c>
      <c r="V44" s="1"/>
      <c r="W44" s="1"/>
      <c r="X44" s="1"/>
      <c r="Y44" s="1"/>
      <c r="Z44" s="1"/>
      <c r="AA44" s="1"/>
      <c r="AB44" s="1">
        <v>0.18759999999999999</v>
      </c>
      <c r="AC44" s="1">
        <v>0.1855</v>
      </c>
      <c r="AD44" s="1">
        <v>0.18709999999999999</v>
      </c>
      <c r="AE44" s="1">
        <v>0.18990000000000001</v>
      </c>
      <c r="AF44" s="1">
        <v>0.183</v>
      </c>
      <c r="AG44" s="1">
        <v>0.1575</v>
      </c>
      <c r="AH44" s="1"/>
      <c r="AI44" s="1"/>
      <c r="AJ44" s="1"/>
      <c r="AK44" s="1"/>
      <c r="AL44" s="1"/>
      <c r="AM44" s="1"/>
      <c r="AN44" s="1">
        <v>0.183</v>
      </c>
      <c r="AO44" s="1">
        <v>0.18759999999999999</v>
      </c>
      <c r="AP44" s="1">
        <v>0.18970000000000001</v>
      </c>
      <c r="AQ44" s="1">
        <v>0.19289999999999999</v>
      </c>
      <c r="AR44" s="1">
        <v>0.18240000000000001</v>
      </c>
      <c r="AS44" s="1">
        <v>0.23699999999999999</v>
      </c>
      <c r="AT44" s="1"/>
      <c r="AU44" s="1"/>
      <c r="AV44" s="1"/>
      <c r="AW44" s="1"/>
      <c r="AX44" s="1"/>
      <c r="AY44" s="1"/>
      <c r="AZ44" s="1">
        <v>0.19750000000000001</v>
      </c>
      <c r="BA44" s="1">
        <v>0.1837</v>
      </c>
      <c r="BB44" s="1">
        <v>0.1852</v>
      </c>
      <c r="BC44" s="1">
        <v>0.18329999999999999</v>
      </c>
      <c r="BD44" s="1">
        <v>0.18820000000000001</v>
      </c>
      <c r="BE44" s="1">
        <v>0.1827</v>
      </c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</row>
    <row r="45" spans="1:99">
      <c r="A45" s="3" t="s">
        <v>152</v>
      </c>
      <c r="B45" s="1">
        <v>59.51</v>
      </c>
      <c r="C45" s="1">
        <v>27.1</v>
      </c>
      <c r="D45" s="1">
        <v>0.19220000000000001</v>
      </c>
      <c r="E45" s="1">
        <v>0.1845</v>
      </c>
      <c r="F45" s="1">
        <v>0.18659999999999999</v>
      </c>
      <c r="G45" s="1">
        <v>0.1865</v>
      </c>
      <c r="H45" s="1">
        <v>0.193</v>
      </c>
      <c r="I45" s="1">
        <v>0.1948</v>
      </c>
      <c r="J45" s="1">
        <v>0.183</v>
      </c>
      <c r="K45" s="1">
        <v>0.18110000000000001</v>
      </c>
      <c r="L45" s="1">
        <v>4.9200000000000001E-2</v>
      </c>
      <c r="M45" s="1"/>
      <c r="N45" s="1"/>
      <c r="O45" s="1"/>
      <c r="P45" s="1">
        <v>0.1923</v>
      </c>
      <c r="Q45" s="1">
        <v>0.1888</v>
      </c>
      <c r="R45" s="1">
        <v>0.19259999999999999</v>
      </c>
      <c r="S45" s="1">
        <v>0.18959999999999999</v>
      </c>
      <c r="T45" s="1">
        <v>0.1895</v>
      </c>
      <c r="U45" s="1">
        <v>0.18790000000000001</v>
      </c>
      <c r="V45" s="1"/>
      <c r="W45" s="1"/>
      <c r="X45" s="1"/>
      <c r="Y45" s="1"/>
      <c r="Z45" s="1"/>
      <c r="AA45" s="1"/>
      <c r="AB45" s="1">
        <v>0.19270000000000001</v>
      </c>
      <c r="AC45" s="1">
        <v>0.18840000000000001</v>
      </c>
      <c r="AD45" s="1">
        <v>0.19059999999999999</v>
      </c>
      <c r="AE45" s="1">
        <v>0.19409999999999999</v>
      </c>
      <c r="AF45" s="1">
        <v>0.18659999999999999</v>
      </c>
      <c r="AG45" s="1">
        <v>0.1628</v>
      </c>
      <c r="AH45" s="1"/>
      <c r="AI45" s="1"/>
      <c r="AJ45" s="1"/>
      <c r="AK45" s="1"/>
      <c r="AL45" s="1"/>
      <c r="AM45" s="1"/>
      <c r="AN45" s="1">
        <v>0.188</v>
      </c>
      <c r="AO45" s="1">
        <v>0.19089999999999999</v>
      </c>
      <c r="AP45" s="1">
        <v>0.1933</v>
      </c>
      <c r="AQ45" s="1">
        <v>0.20860000000000001</v>
      </c>
      <c r="AR45" s="1">
        <v>0.1867</v>
      </c>
      <c r="AS45" s="1">
        <v>0.2414</v>
      </c>
      <c r="AT45" s="1"/>
      <c r="AU45" s="1"/>
      <c r="AV45" s="1"/>
      <c r="AW45" s="1"/>
      <c r="AX45" s="1"/>
      <c r="AY45" s="1"/>
      <c r="AZ45" s="1">
        <v>0.20019999999999999</v>
      </c>
      <c r="BA45" s="1">
        <v>0.18859999999999999</v>
      </c>
      <c r="BB45" s="1">
        <v>0.189</v>
      </c>
      <c r="BC45" s="1">
        <v>0.187</v>
      </c>
      <c r="BD45" s="1">
        <v>0.1918</v>
      </c>
      <c r="BE45" s="1">
        <v>0.18729999999999999</v>
      </c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</row>
    <row r="46" spans="1:99">
      <c r="A46" s="3" t="s">
        <v>153</v>
      </c>
      <c r="B46" s="1">
        <v>119.512</v>
      </c>
      <c r="C46" s="1">
        <v>27.4</v>
      </c>
      <c r="D46" s="1">
        <v>0.19539999999999999</v>
      </c>
      <c r="E46" s="1">
        <v>0.18920000000000001</v>
      </c>
      <c r="F46" s="1">
        <v>0.18959999999999999</v>
      </c>
      <c r="G46" s="1">
        <v>0.1905</v>
      </c>
      <c r="H46" s="1">
        <v>0.19700000000000001</v>
      </c>
      <c r="I46" s="1">
        <v>0.1986</v>
      </c>
      <c r="J46" s="1">
        <v>0.18540000000000001</v>
      </c>
      <c r="K46" s="1">
        <v>0.183</v>
      </c>
      <c r="L46" s="1">
        <v>4.9099999999999998E-2</v>
      </c>
      <c r="M46" s="1"/>
      <c r="N46" s="1"/>
      <c r="O46" s="1"/>
      <c r="P46" s="1">
        <v>0.1983</v>
      </c>
      <c r="Q46" s="1">
        <v>0.19220000000000001</v>
      </c>
      <c r="R46" s="1">
        <v>0.1966</v>
      </c>
      <c r="S46" s="1">
        <v>0.19370000000000001</v>
      </c>
      <c r="T46" s="1">
        <v>0.19309999999999999</v>
      </c>
      <c r="U46" s="1">
        <v>0.1908</v>
      </c>
      <c r="V46" s="1"/>
      <c r="W46" s="1"/>
      <c r="X46" s="1"/>
      <c r="Y46" s="1"/>
      <c r="Z46" s="1"/>
      <c r="AA46" s="1"/>
      <c r="AB46" s="1">
        <v>0.19819999999999999</v>
      </c>
      <c r="AC46" s="1">
        <v>0.19139999999999999</v>
      </c>
      <c r="AD46" s="1">
        <v>0.19520000000000001</v>
      </c>
      <c r="AE46" s="1">
        <v>0.19850000000000001</v>
      </c>
      <c r="AF46" s="1">
        <v>0.1905</v>
      </c>
      <c r="AG46" s="1">
        <v>0.1658</v>
      </c>
      <c r="AH46" s="1"/>
      <c r="AI46" s="1"/>
      <c r="AJ46" s="1"/>
      <c r="AK46" s="1"/>
      <c r="AL46" s="1"/>
      <c r="AM46" s="1"/>
      <c r="AN46" s="1">
        <v>0.19270000000000001</v>
      </c>
      <c r="AO46" s="1">
        <v>0.19520000000000001</v>
      </c>
      <c r="AP46" s="1">
        <v>0.1966</v>
      </c>
      <c r="AQ46" s="1">
        <v>0.21199999999999999</v>
      </c>
      <c r="AR46" s="1">
        <v>0.1905</v>
      </c>
      <c r="AS46" s="1">
        <v>0.24540000000000001</v>
      </c>
      <c r="AT46" s="1"/>
      <c r="AU46" s="1"/>
      <c r="AV46" s="1"/>
      <c r="AW46" s="1"/>
      <c r="AX46" s="1"/>
      <c r="AY46" s="1"/>
      <c r="AZ46" s="1">
        <v>0.20930000000000001</v>
      </c>
      <c r="BA46" s="1">
        <v>0.19309999999999999</v>
      </c>
      <c r="BB46" s="1">
        <v>0.1915</v>
      </c>
      <c r="BC46" s="1">
        <v>0.19009999999999999</v>
      </c>
      <c r="BD46" s="1">
        <v>0.1951</v>
      </c>
      <c r="BE46" s="1">
        <v>0.18920000000000001</v>
      </c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</row>
    <row r="47" spans="1:99">
      <c r="A47" s="3" t="s">
        <v>154</v>
      </c>
      <c r="B47" s="1">
        <v>179.50399999999999</v>
      </c>
      <c r="C47" s="1">
        <v>27.3</v>
      </c>
      <c r="D47" s="1">
        <v>0.1991</v>
      </c>
      <c r="E47" s="1">
        <v>0.19339999999999999</v>
      </c>
      <c r="F47" s="1">
        <v>0.1923</v>
      </c>
      <c r="G47" s="1">
        <v>0.19350000000000001</v>
      </c>
      <c r="H47" s="1">
        <v>0.2031</v>
      </c>
      <c r="I47" s="1">
        <v>0.2024</v>
      </c>
      <c r="J47" s="1">
        <v>0.188</v>
      </c>
      <c r="K47" s="1">
        <v>0.1857</v>
      </c>
      <c r="L47" s="1">
        <v>4.9099999999999998E-2</v>
      </c>
      <c r="M47" s="1"/>
      <c r="N47" s="1"/>
      <c r="O47" s="1"/>
      <c r="P47" s="1">
        <v>0.20230000000000001</v>
      </c>
      <c r="Q47" s="1">
        <v>0.1951</v>
      </c>
      <c r="R47" s="1">
        <v>0.20030000000000001</v>
      </c>
      <c r="S47" s="1">
        <v>0.1978</v>
      </c>
      <c r="T47" s="1">
        <v>0.1963</v>
      </c>
      <c r="U47" s="1">
        <v>0.1938</v>
      </c>
      <c r="V47" s="1"/>
      <c r="W47" s="1"/>
      <c r="X47" s="1"/>
      <c r="Y47" s="1"/>
      <c r="Z47" s="1"/>
      <c r="AA47" s="1"/>
      <c r="AB47" s="1">
        <v>0.2026</v>
      </c>
      <c r="AC47" s="1">
        <v>0.19450000000000001</v>
      </c>
      <c r="AD47" s="1">
        <v>0.19939999999999999</v>
      </c>
      <c r="AE47" s="1">
        <v>0.20549999999999999</v>
      </c>
      <c r="AF47" s="1">
        <v>0.1956</v>
      </c>
      <c r="AG47" s="1">
        <v>0.16850000000000001</v>
      </c>
      <c r="AH47" s="1"/>
      <c r="AI47" s="1"/>
      <c r="AJ47" s="1"/>
      <c r="AK47" s="1"/>
      <c r="AL47" s="1"/>
      <c r="AM47" s="1"/>
      <c r="AN47" s="1">
        <v>0.1971</v>
      </c>
      <c r="AO47" s="1">
        <v>0.1986</v>
      </c>
      <c r="AP47" s="1">
        <v>0.19980000000000001</v>
      </c>
      <c r="AQ47" s="1">
        <v>0.2145</v>
      </c>
      <c r="AR47" s="1">
        <v>0.1943</v>
      </c>
      <c r="AS47" s="1">
        <v>0.24959999999999999</v>
      </c>
      <c r="AT47" s="1"/>
      <c r="AU47" s="1"/>
      <c r="AV47" s="1"/>
      <c r="AW47" s="1"/>
      <c r="AX47" s="1"/>
      <c r="AY47" s="1"/>
      <c r="AZ47" s="1">
        <v>0.2175</v>
      </c>
      <c r="BA47" s="1">
        <v>0.1961</v>
      </c>
      <c r="BB47" s="1">
        <v>0.19570000000000001</v>
      </c>
      <c r="BC47" s="1">
        <v>0.1933</v>
      </c>
      <c r="BD47" s="1">
        <v>0.19839999999999999</v>
      </c>
      <c r="BE47" s="1">
        <v>0.19270000000000001</v>
      </c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</row>
    <row r="48" spans="1:99">
      <c r="A48" s="3" t="s">
        <v>155</v>
      </c>
      <c r="B48" s="1">
        <v>239.506</v>
      </c>
      <c r="C48" s="1">
        <v>27.2</v>
      </c>
      <c r="D48" s="1">
        <v>0.20280000000000001</v>
      </c>
      <c r="E48" s="1">
        <v>0.1968</v>
      </c>
      <c r="F48" s="1">
        <v>0.1951</v>
      </c>
      <c r="G48" s="1">
        <v>0.19650000000000001</v>
      </c>
      <c r="H48" s="1">
        <v>0.20699999999999999</v>
      </c>
      <c r="I48" s="1">
        <v>0.20580000000000001</v>
      </c>
      <c r="J48" s="1">
        <v>0.1908</v>
      </c>
      <c r="K48" s="1">
        <v>0.18920000000000001</v>
      </c>
      <c r="L48" s="1">
        <v>4.9200000000000001E-2</v>
      </c>
      <c r="M48" s="1"/>
      <c r="N48" s="1"/>
      <c r="O48" s="1"/>
      <c r="P48" s="1">
        <v>0.20549999999999999</v>
      </c>
      <c r="Q48" s="1">
        <v>0.19839999999999999</v>
      </c>
      <c r="R48" s="1">
        <v>0.20369999999999999</v>
      </c>
      <c r="S48" s="1">
        <v>0.20219999999999999</v>
      </c>
      <c r="T48" s="1">
        <v>0.19989999999999999</v>
      </c>
      <c r="U48" s="1">
        <v>0.1966</v>
      </c>
      <c r="V48" s="1"/>
      <c r="W48" s="1"/>
      <c r="X48" s="1"/>
      <c r="Y48" s="1"/>
      <c r="Z48" s="1"/>
      <c r="AA48" s="1"/>
      <c r="AB48" s="1">
        <v>0.20660000000000001</v>
      </c>
      <c r="AC48" s="1">
        <v>0.19739999999999999</v>
      </c>
      <c r="AD48" s="1">
        <v>0.20269999999999999</v>
      </c>
      <c r="AE48" s="1">
        <v>0.21</v>
      </c>
      <c r="AF48" s="1">
        <v>0.19989999999999999</v>
      </c>
      <c r="AG48" s="1">
        <v>0.17080000000000001</v>
      </c>
      <c r="AH48" s="1"/>
      <c r="AI48" s="1"/>
      <c r="AJ48" s="1"/>
      <c r="AK48" s="1"/>
      <c r="AL48" s="1"/>
      <c r="AM48" s="1"/>
      <c r="AN48" s="1">
        <v>0.2011</v>
      </c>
      <c r="AO48" s="1">
        <v>0.2019</v>
      </c>
      <c r="AP48" s="1">
        <v>0.2031</v>
      </c>
      <c r="AQ48" s="1">
        <v>0.2137</v>
      </c>
      <c r="AR48" s="1">
        <v>0.1981</v>
      </c>
      <c r="AS48" s="1">
        <v>0.25390000000000001</v>
      </c>
      <c r="AT48" s="1"/>
      <c r="AU48" s="1"/>
      <c r="AV48" s="1"/>
      <c r="AW48" s="1"/>
      <c r="AX48" s="1"/>
      <c r="AY48" s="1"/>
      <c r="AZ48" s="1">
        <v>0.22409999999999999</v>
      </c>
      <c r="BA48" s="1">
        <v>0.19950000000000001</v>
      </c>
      <c r="BB48" s="1">
        <v>0.19869999999999999</v>
      </c>
      <c r="BC48" s="1">
        <v>0.19639999999999999</v>
      </c>
      <c r="BD48" s="1">
        <v>0.20180000000000001</v>
      </c>
      <c r="BE48" s="1">
        <v>0.1963</v>
      </c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</row>
    <row r="49" spans="1:99">
      <c r="A49" s="3" t="s">
        <v>156</v>
      </c>
      <c r="B49" s="1">
        <v>299.50700000000001</v>
      </c>
      <c r="C49" s="1">
        <v>27.3</v>
      </c>
      <c r="D49" s="1">
        <v>0.20760000000000001</v>
      </c>
      <c r="E49" s="1">
        <v>0.2001</v>
      </c>
      <c r="F49" s="1">
        <v>0.19819999999999999</v>
      </c>
      <c r="G49" s="1">
        <v>0.19939999999999999</v>
      </c>
      <c r="H49" s="1">
        <v>0.21149999999999999</v>
      </c>
      <c r="I49" s="1">
        <v>0.2092</v>
      </c>
      <c r="J49" s="1">
        <v>0.19420000000000001</v>
      </c>
      <c r="K49" s="1">
        <v>0.1928</v>
      </c>
      <c r="L49" s="1">
        <v>4.9099999999999998E-2</v>
      </c>
      <c r="M49" s="1"/>
      <c r="N49" s="1"/>
      <c r="O49" s="1"/>
      <c r="P49" s="1">
        <v>0.20880000000000001</v>
      </c>
      <c r="Q49" s="1">
        <v>0.20150000000000001</v>
      </c>
      <c r="R49" s="1">
        <v>0.20699999999999999</v>
      </c>
      <c r="S49" s="1">
        <v>0.20480000000000001</v>
      </c>
      <c r="T49" s="1">
        <v>0.20330000000000001</v>
      </c>
      <c r="U49" s="1">
        <v>0.20069999999999999</v>
      </c>
      <c r="V49" s="1"/>
      <c r="W49" s="1"/>
      <c r="X49" s="1"/>
      <c r="Y49" s="1"/>
      <c r="Z49" s="1"/>
      <c r="AA49" s="1"/>
      <c r="AB49" s="1">
        <v>0.2107</v>
      </c>
      <c r="AC49" s="1">
        <v>0.20080000000000001</v>
      </c>
      <c r="AD49" s="1">
        <v>0.20549999999999999</v>
      </c>
      <c r="AE49" s="1">
        <v>0.214</v>
      </c>
      <c r="AF49" s="1">
        <v>0.20319999999999999</v>
      </c>
      <c r="AG49" s="1">
        <v>0.1734</v>
      </c>
      <c r="AH49" s="1"/>
      <c r="AI49" s="1"/>
      <c r="AJ49" s="1"/>
      <c r="AK49" s="1"/>
      <c r="AL49" s="1"/>
      <c r="AM49" s="1"/>
      <c r="AN49" s="1">
        <v>0.20449999999999999</v>
      </c>
      <c r="AO49" s="1">
        <v>0.2051</v>
      </c>
      <c r="AP49" s="1">
        <v>0.20610000000000001</v>
      </c>
      <c r="AQ49" s="1">
        <v>0.21729999999999999</v>
      </c>
      <c r="AR49" s="1">
        <v>0.2009</v>
      </c>
      <c r="AS49" s="1">
        <v>0.25890000000000002</v>
      </c>
      <c r="AT49" s="1"/>
      <c r="AU49" s="1"/>
      <c r="AV49" s="1"/>
      <c r="AW49" s="1"/>
      <c r="AX49" s="1"/>
      <c r="AY49" s="1"/>
      <c r="AZ49" s="1">
        <v>0.22459999999999999</v>
      </c>
      <c r="BA49" s="1">
        <v>0.20330000000000001</v>
      </c>
      <c r="BB49" s="1">
        <v>0.2026</v>
      </c>
      <c r="BC49" s="1">
        <v>0.1993</v>
      </c>
      <c r="BD49" s="1">
        <v>0.2051</v>
      </c>
      <c r="BE49" s="1">
        <v>0.19989999999999999</v>
      </c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</row>
    <row r="50" spans="1:99">
      <c r="A50" s="3" t="s">
        <v>157</v>
      </c>
      <c r="B50" s="1">
        <v>359.49900000000002</v>
      </c>
      <c r="C50" s="1">
        <v>26.7</v>
      </c>
      <c r="D50" s="1">
        <v>0.21099999999999999</v>
      </c>
      <c r="E50" s="1">
        <v>0.2031</v>
      </c>
      <c r="F50" s="1">
        <v>0.2009</v>
      </c>
      <c r="G50" s="1">
        <v>0.20250000000000001</v>
      </c>
      <c r="H50" s="1">
        <v>0.21460000000000001</v>
      </c>
      <c r="I50" s="1">
        <v>0.21249999999999999</v>
      </c>
      <c r="J50" s="1">
        <v>0.1976</v>
      </c>
      <c r="K50" s="1">
        <v>0.19539999999999999</v>
      </c>
      <c r="L50" s="1">
        <v>4.9099999999999998E-2</v>
      </c>
      <c r="M50" s="1"/>
      <c r="N50" s="1"/>
      <c r="O50" s="1"/>
      <c r="P50" s="1">
        <v>0.21210000000000001</v>
      </c>
      <c r="Q50" s="1">
        <v>0.20449999999999999</v>
      </c>
      <c r="R50" s="1">
        <v>0.21049999999999999</v>
      </c>
      <c r="S50" s="1">
        <v>0.2074</v>
      </c>
      <c r="T50" s="1">
        <v>0.20619999999999999</v>
      </c>
      <c r="U50" s="1">
        <v>0.20380000000000001</v>
      </c>
      <c r="V50" s="1"/>
      <c r="W50" s="1"/>
      <c r="X50" s="1"/>
      <c r="Y50" s="1"/>
      <c r="Z50" s="1"/>
      <c r="AA50" s="1"/>
      <c r="AB50" s="1">
        <v>0.21579999999999999</v>
      </c>
      <c r="AC50" s="1">
        <v>0.2039</v>
      </c>
      <c r="AD50" s="1">
        <v>0.20860000000000001</v>
      </c>
      <c r="AE50" s="1">
        <v>0.21690000000000001</v>
      </c>
      <c r="AF50" s="1">
        <v>0.20619999999999999</v>
      </c>
      <c r="AG50" s="1">
        <v>0.1757</v>
      </c>
      <c r="AH50" s="1"/>
      <c r="AI50" s="1"/>
      <c r="AJ50" s="1"/>
      <c r="AK50" s="1"/>
      <c r="AL50" s="1"/>
      <c r="AM50" s="1"/>
      <c r="AN50" s="1">
        <v>0.20780000000000001</v>
      </c>
      <c r="AO50" s="1">
        <v>0.2082</v>
      </c>
      <c r="AP50" s="1">
        <v>0.2092</v>
      </c>
      <c r="AQ50" s="1">
        <v>0.22220000000000001</v>
      </c>
      <c r="AR50" s="1">
        <v>0.2036</v>
      </c>
      <c r="AS50" s="1">
        <v>0.26369999999999999</v>
      </c>
      <c r="AT50" s="1"/>
      <c r="AU50" s="1"/>
      <c r="AV50" s="1"/>
      <c r="AW50" s="1"/>
      <c r="AX50" s="1"/>
      <c r="AY50" s="1"/>
      <c r="AZ50" s="1">
        <v>0.2248</v>
      </c>
      <c r="BA50" s="1">
        <v>0.20660000000000001</v>
      </c>
      <c r="BB50" s="1">
        <v>0.20549999999999999</v>
      </c>
      <c r="BC50" s="1">
        <v>0.20250000000000001</v>
      </c>
      <c r="BD50" s="1">
        <v>0.20880000000000001</v>
      </c>
      <c r="BE50" s="1">
        <v>0.20369999999999999</v>
      </c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</row>
    <row r="51" spans="1:99">
      <c r="A51" s="3" t="s">
        <v>158</v>
      </c>
      <c r="B51" s="1">
        <v>419.49400000000003</v>
      </c>
      <c r="C51" s="1">
        <v>26.9</v>
      </c>
      <c r="D51" s="1">
        <v>0.21429999999999999</v>
      </c>
      <c r="E51" s="1">
        <v>0.20649999999999999</v>
      </c>
      <c r="F51" s="1">
        <v>0.2039</v>
      </c>
      <c r="G51" s="1">
        <v>0.20569999999999999</v>
      </c>
      <c r="H51" s="1">
        <v>0.2185</v>
      </c>
      <c r="I51" s="1">
        <v>0.21579999999999999</v>
      </c>
      <c r="J51" s="1">
        <v>0.19950000000000001</v>
      </c>
      <c r="K51" s="1">
        <v>0.19769999999999999</v>
      </c>
      <c r="L51" s="1">
        <v>4.9200000000000001E-2</v>
      </c>
      <c r="M51" s="1"/>
      <c r="N51" s="1"/>
      <c r="O51" s="1"/>
      <c r="P51" s="1">
        <v>0.21579999999999999</v>
      </c>
      <c r="Q51" s="1">
        <v>0.20799999999999999</v>
      </c>
      <c r="R51" s="1">
        <v>0.2142</v>
      </c>
      <c r="S51" s="1">
        <v>0.21010000000000001</v>
      </c>
      <c r="T51" s="1">
        <v>0.2094</v>
      </c>
      <c r="U51" s="1">
        <v>0.20619999999999999</v>
      </c>
      <c r="V51" s="1"/>
      <c r="W51" s="1"/>
      <c r="X51" s="1"/>
      <c r="Y51" s="1"/>
      <c r="Z51" s="1"/>
      <c r="AA51" s="1"/>
      <c r="AB51" s="1">
        <v>0.21809999999999999</v>
      </c>
      <c r="AC51" s="1">
        <v>0.2069</v>
      </c>
      <c r="AD51" s="1">
        <v>0.2114</v>
      </c>
      <c r="AE51" s="1">
        <v>0.22020000000000001</v>
      </c>
      <c r="AF51" s="1">
        <v>0.20910000000000001</v>
      </c>
      <c r="AG51" s="1">
        <v>0.17810000000000001</v>
      </c>
      <c r="AH51" s="1"/>
      <c r="AI51" s="1"/>
      <c r="AJ51" s="1"/>
      <c r="AK51" s="1"/>
      <c r="AL51" s="1"/>
      <c r="AM51" s="1"/>
      <c r="AN51" s="1">
        <v>0.2112</v>
      </c>
      <c r="AO51" s="1">
        <v>0.21129999999999999</v>
      </c>
      <c r="AP51" s="1">
        <v>0.21260000000000001</v>
      </c>
      <c r="AQ51" s="1">
        <v>0.22700000000000001</v>
      </c>
      <c r="AR51" s="1">
        <v>0.20660000000000001</v>
      </c>
      <c r="AS51" s="1">
        <v>0.26829999999999998</v>
      </c>
      <c r="AT51" s="1"/>
      <c r="AU51" s="1"/>
      <c r="AV51" s="1"/>
      <c r="AW51" s="1"/>
      <c r="AX51" s="1"/>
      <c r="AY51" s="1"/>
      <c r="AZ51" s="1">
        <v>0.23180000000000001</v>
      </c>
      <c r="BA51" s="1">
        <v>0.21010000000000001</v>
      </c>
      <c r="BB51" s="1">
        <v>0.20880000000000001</v>
      </c>
      <c r="BC51" s="1">
        <v>0.20549999999999999</v>
      </c>
      <c r="BD51" s="1">
        <v>0.21290000000000001</v>
      </c>
      <c r="BE51" s="1">
        <v>0.2072</v>
      </c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</row>
    <row r="52" spans="1:99">
      <c r="A52" s="3" t="s">
        <v>159</v>
      </c>
      <c r="B52" s="1">
        <v>479.49599999999998</v>
      </c>
      <c r="C52" s="1">
        <v>26.7</v>
      </c>
      <c r="D52" s="1">
        <v>0.21779999999999999</v>
      </c>
      <c r="E52" s="1">
        <v>0.20949999999999999</v>
      </c>
      <c r="F52" s="1">
        <v>0.20669999999999999</v>
      </c>
      <c r="G52" s="1">
        <v>0.2089</v>
      </c>
      <c r="H52" s="1">
        <v>0.22189999999999999</v>
      </c>
      <c r="I52" s="1">
        <v>0.219</v>
      </c>
      <c r="J52" s="1">
        <v>0.2019</v>
      </c>
      <c r="K52" s="1">
        <v>0.19989999999999999</v>
      </c>
      <c r="L52" s="1">
        <v>4.9200000000000001E-2</v>
      </c>
      <c r="M52" s="1"/>
      <c r="N52" s="1"/>
      <c r="O52" s="1"/>
      <c r="P52" s="1">
        <v>0.21929999999999999</v>
      </c>
      <c r="Q52" s="1">
        <v>0.21160000000000001</v>
      </c>
      <c r="R52" s="1">
        <v>0.21809999999999999</v>
      </c>
      <c r="S52" s="1">
        <v>0.2127</v>
      </c>
      <c r="T52" s="1">
        <v>0.21249999999999999</v>
      </c>
      <c r="U52" s="1">
        <v>0.20899999999999999</v>
      </c>
      <c r="V52" s="1"/>
      <c r="W52" s="1"/>
      <c r="X52" s="1"/>
      <c r="Y52" s="1"/>
      <c r="Z52" s="1"/>
      <c r="AA52" s="1"/>
      <c r="AB52" s="1">
        <v>0.22059999999999999</v>
      </c>
      <c r="AC52" s="1">
        <v>0.2099</v>
      </c>
      <c r="AD52" s="1">
        <v>0.2142</v>
      </c>
      <c r="AE52" s="1">
        <v>0.223</v>
      </c>
      <c r="AF52" s="1">
        <v>0.21229999999999999</v>
      </c>
      <c r="AG52" s="1">
        <v>0.18049999999999999</v>
      </c>
      <c r="AH52" s="1"/>
      <c r="AI52" s="1"/>
      <c r="AJ52" s="1"/>
      <c r="AK52" s="1"/>
      <c r="AL52" s="1"/>
      <c r="AM52" s="1"/>
      <c r="AN52" s="1">
        <v>0.21460000000000001</v>
      </c>
      <c r="AO52" s="1">
        <v>0.21429999999999999</v>
      </c>
      <c r="AP52" s="1">
        <v>0.21560000000000001</v>
      </c>
      <c r="AQ52" s="1">
        <v>0.23180000000000001</v>
      </c>
      <c r="AR52" s="1">
        <v>0.20979999999999999</v>
      </c>
      <c r="AS52" s="1">
        <v>0.27339999999999998</v>
      </c>
      <c r="AT52" s="1"/>
      <c r="AU52" s="1"/>
      <c r="AV52" s="1"/>
      <c r="AW52" s="1"/>
      <c r="AX52" s="1"/>
      <c r="AY52" s="1"/>
      <c r="AZ52" s="1">
        <v>0.23080000000000001</v>
      </c>
      <c r="BA52" s="1">
        <v>0.21329999999999999</v>
      </c>
      <c r="BB52" s="1">
        <v>0.2122</v>
      </c>
      <c r="BC52" s="1">
        <v>0.20849999999999999</v>
      </c>
      <c r="BD52" s="1">
        <v>0.2165</v>
      </c>
      <c r="BE52" s="1">
        <v>0.2107</v>
      </c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</row>
    <row r="53" spans="1:99">
      <c r="A53" s="3" t="s">
        <v>160</v>
      </c>
      <c r="B53" s="1">
        <v>539.49800000000005</v>
      </c>
      <c r="C53" s="1">
        <v>26.8</v>
      </c>
      <c r="D53" s="1">
        <v>0.22120000000000001</v>
      </c>
      <c r="E53" s="1">
        <v>0.21249999999999999</v>
      </c>
      <c r="F53" s="1">
        <v>0.2094</v>
      </c>
      <c r="G53" s="1">
        <v>0.21199999999999999</v>
      </c>
      <c r="H53" s="1">
        <v>0.22470000000000001</v>
      </c>
      <c r="I53" s="1">
        <v>0.2223</v>
      </c>
      <c r="J53" s="1">
        <v>0.2046</v>
      </c>
      <c r="K53" s="1">
        <v>0.20250000000000001</v>
      </c>
      <c r="L53" s="1">
        <v>4.9200000000000001E-2</v>
      </c>
      <c r="M53" s="1"/>
      <c r="N53" s="1"/>
      <c r="O53" s="1"/>
      <c r="P53" s="1">
        <v>0.22259999999999999</v>
      </c>
      <c r="Q53" s="1">
        <v>0.21490000000000001</v>
      </c>
      <c r="R53" s="1">
        <v>0.2215</v>
      </c>
      <c r="S53" s="1">
        <v>0.21579999999999999</v>
      </c>
      <c r="T53" s="1">
        <v>0.21560000000000001</v>
      </c>
      <c r="U53" s="1">
        <v>0.2117</v>
      </c>
      <c r="V53" s="1"/>
      <c r="W53" s="1"/>
      <c r="X53" s="1"/>
      <c r="Y53" s="1"/>
      <c r="Z53" s="1"/>
      <c r="AA53" s="1"/>
      <c r="AB53" s="1">
        <v>0.22109999999999999</v>
      </c>
      <c r="AC53" s="1">
        <v>0.21279999999999999</v>
      </c>
      <c r="AD53" s="1">
        <v>0.217</v>
      </c>
      <c r="AE53" s="1">
        <v>0.22600000000000001</v>
      </c>
      <c r="AF53" s="1">
        <v>0.215</v>
      </c>
      <c r="AG53" s="1">
        <v>0.18279999999999999</v>
      </c>
      <c r="AH53" s="1"/>
      <c r="AI53" s="1"/>
      <c r="AJ53" s="1"/>
      <c r="AK53" s="1"/>
      <c r="AL53" s="1"/>
      <c r="AM53" s="1"/>
      <c r="AN53" s="1">
        <v>0.21779999999999999</v>
      </c>
      <c r="AO53" s="1">
        <v>0.2172</v>
      </c>
      <c r="AP53" s="1">
        <v>0.21859999999999999</v>
      </c>
      <c r="AQ53" s="1">
        <v>0.23150000000000001</v>
      </c>
      <c r="AR53" s="1">
        <v>0.21260000000000001</v>
      </c>
      <c r="AS53" s="1">
        <v>0.2787</v>
      </c>
      <c r="AT53" s="1"/>
      <c r="AU53" s="1"/>
      <c r="AV53" s="1"/>
      <c r="AW53" s="1"/>
      <c r="AX53" s="1"/>
      <c r="AY53" s="1"/>
      <c r="AZ53" s="1">
        <v>0.2359</v>
      </c>
      <c r="BA53" s="1">
        <v>0.2165</v>
      </c>
      <c r="BB53" s="1">
        <v>0.2147</v>
      </c>
      <c r="BC53" s="1">
        <v>0.2112</v>
      </c>
      <c r="BD53" s="1">
        <v>0.21959999999999999</v>
      </c>
      <c r="BE53" s="1">
        <v>0.21379999999999999</v>
      </c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</row>
    <row r="54" spans="1:99">
      <c r="A54" s="3" t="s">
        <v>161</v>
      </c>
      <c r="B54" s="1">
        <v>599.48800000000006</v>
      </c>
      <c r="C54" s="1">
        <v>26.7</v>
      </c>
      <c r="D54" s="1">
        <v>0.2243</v>
      </c>
      <c r="E54" s="1">
        <v>0.21540000000000001</v>
      </c>
      <c r="F54" s="1">
        <v>0.21229999999999999</v>
      </c>
      <c r="G54" s="1">
        <v>0.21490000000000001</v>
      </c>
      <c r="H54" s="1">
        <v>0.22770000000000001</v>
      </c>
      <c r="I54" s="1">
        <v>0.22520000000000001</v>
      </c>
      <c r="J54" s="1">
        <v>0.2072</v>
      </c>
      <c r="K54" s="1">
        <v>0.2044</v>
      </c>
      <c r="L54" s="1">
        <v>4.9099999999999998E-2</v>
      </c>
      <c r="M54" s="1"/>
      <c r="N54" s="1"/>
      <c r="O54" s="1"/>
      <c r="P54" s="1">
        <v>0.22539999999999999</v>
      </c>
      <c r="Q54" s="1">
        <v>0.21840000000000001</v>
      </c>
      <c r="R54" s="1">
        <v>0.22470000000000001</v>
      </c>
      <c r="S54" s="1">
        <v>0.21859999999999999</v>
      </c>
      <c r="T54" s="1">
        <v>0.21829999999999999</v>
      </c>
      <c r="U54" s="1">
        <v>0.21460000000000001</v>
      </c>
      <c r="V54" s="1"/>
      <c r="W54" s="1"/>
      <c r="X54" s="1"/>
      <c r="Y54" s="1"/>
      <c r="Z54" s="1"/>
      <c r="AA54" s="1"/>
      <c r="AB54" s="1">
        <v>0.2351</v>
      </c>
      <c r="AC54" s="1">
        <v>0.2157</v>
      </c>
      <c r="AD54" s="1">
        <v>0.21959999999999999</v>
      </c>
      <c r="AE54" s="1">
        <v>0.22919999999999999</v>
      </c>
      <c r="AF54" s="1">
        <v>0.2177</v>
      </c>
      <c r="AG54" s="1">
        <v>0.18529999999999999</v>
      </c>
      <c r="AH54" s="1"/>
      <c r="AI54" s="1"/>
      <c r="AJ54" s="1"/>
      <c r="AK54" s="1"/>
      <c r="AL54" s="1"/>
      <c r="AM54" s="1"/>
      <c r="AN54" s="1">
        <v>0.22109999999999999</v>
      </c>
      <c r="AO54" s="1">
        <v>0.22020000000000001</v>
      </c>
      <c r="AP54" s="1">
        <v>0.22189999999999999</v>
      </c>
      <c r="AQ54" s="1">
        <v>0.23200000000000001</v>
      </c>
      <c r="AR54" s="1">
        <v>0.21560000000000001</v>
      </c>
      <c r="AS54" s="1">
        <v>0.28349999999999997</v>
      </c>
      <c r="AT54" s="1"/>
      <c r="AU54" s="1"/>
      <c r="AV54" s="1"/>
      <c r="AW54" s="1"/>
      <c r="AX54" s="1"/>
      <c r="AY54" s="1"/>
      <c r="AZ54" s="1">
        <v>0.24379999999999999</v>
      </c>
      <c r="BA54" s="1">
        <v>0.22020000000000001</v>
      </c>
      <c r="BB54" s="1">
        <v>0.21820000000000001</v>
      </c>
      <c r="BC54" s="1">
        <v>0.21390000000000001</v>
      </c>
      <c r="BD54" s="1">
        <v>0.2228</v>
      </c>
      <c r="BE54" s="1">
        <v>0.21709999999999999</v>
      </c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</row>
    <row r="55" spans="1:99">
      <c r="A55" s="3" t="s">
        <v>162</v>
      </c>
      <c r="B55" s="1">
        <v>659.49099999999999</v>
      </c>
      <c r="C55" s="1">
        <v>26.8</v>
      </c>
      <c r="D55" s="1">
        <v>0.22789999999999999</v>
      </c>
      <c r="E55" s="1">
        <v>0.21779999999999999</v>
      </c>
      <c r="F55" s="1">
        <v>0.21510000000000001</v>
      </c>
      <c r="G55" s="1">
        <v>0.2175</v>
      </c>
      <c r="H55" s="1">
        <v>0.23139999999999999</v>
      </c>
      <c r="I55" s="1">
        <v>0.22839999999999999</v>
      </c>
      <c r="J55" s="1">
        <v>0.2099</v>
      </c>
      <c r="K55" s="1">
        <v>0.2079</v>
      </c>
      <c r="L55" s="1">
        <v>4.9200000000000001E-2</v>
      </c>
      <c r="M55" s="1"/>
      <c r="N55" s="1"/>
      <c r="O55" s="1"/>
      <c r="P55" s="1">
        <v>0.22869999999999999</v>
      </c>
      <c r="Q55" s="1">
        <v>0.222</v>
      </c>
      <c r="R55" s="1">
        <v>0.22800000000000001</v>
      </c>
      <c r="S55" s="1">
        <v>0.2215</v>
      </c>
      <c r="T55" s="1">
        <v>0.2213</v>
      </c>
      <c r="U55" s="1">
        <v>0.21709999999999999</v>
      </c>
      <c r="V55" s="1"/>
      <c r="W55" s="1"/>
      <c r="X55" s="1"/>
      <c r="Y55" s="1"/>
      <c r="Z55" s="1"/>
      <c r="AA55" s="1"/>
      <c r="AB55" s="1">
        <v>0.2293</v>
      </c>
      <c r="AC55" s="1">
        <v>0.21859999999999999</v>
      </c>
      <c r="AD55" s="1">
        <v>0.22239999999999999</v>
      </c>
      <c r="AE55" s="1">
        <v>0.23219999999999999</v>
      </c>
      <c r="AF55" s="1">
        <v>0.22040000000000001</v>
      </c>
      <c r="AG55" s="1">
        <v>0.18770000000000001</v>
      </c>
      <c r="AH55" s="1"/>
      <c r="AI55" s="1"/>
      <c r="AJ55" s="1"/>
      <c r="AK55" s="1"/>
      <c r="AL55" s="1"/>
      <c r="AM55" s="1"/>
      <c r="AN55" s="1">
        <v>0.22409999999999999</v>
      </c>
      <c r="AO55" s="1">
        <v>0.22320000000000001</v>
      </c>
      <c r="AP55" s="1">
        <v>0.22489999999999999</v>
      </c>
      <c r="AQ55" s="1">
        <v>0.23480000000000001</v>
      </c>
      <c r="AR55" s="1">
        <v>0.21859999999999999</v>
      </c>
      <c r="AS55" s="1">
        <v>0.28789999999999999</v>
      </c>
      <c r="AT55" s="1"/>
      <c r="AU55" s="1"/>
      <c r="AV55" s="1"/>
      <c r="AW55" s="1"/>
      <c r="AX55" s="1"/>
      <c r="AY55" s="1"/>
      <c r="AZ55" s="1">
        <v>0.2472</v>
      </c>
      <c r="BA55" s="1">
        <v>0.223</v>
      </c>
      <c r="BB55" s="1">
        <v>0.22020000000000001</v>
      </c>
      <c r="BC55" s="1">
        <v>0.2167</v>
      </c>
      <c r="BD55" s="1">
        <v>0.22589999999999999</v>
      </c>
      <c r="BE55" s="1">
        <v>0.2203</v>
      </c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</row>
    <row r="56" spans="1:99">
      <c r="A56" s="3" t="s">
        <v>163</v>
      </c>
      <c r="B56" s="1">
        <v>719.49400000000003</v>
      </c>
      <c r="C56" s="1">
        <v>26.7</v>
      </c>
      <c r="D56" s="1">
        <v>0.23069999999999999</v>
      </c>
      <c r="E56" s="1">
        <v>0.2205</v>
      </c>
      <c r="F56" s="1">
        <v>0.21779999999999999</v>
      </c>
      <c r="G56" s="1">
        <v>0.2205</v>
      </c>
      <c r="H56" s="1">
        <v>0.23330000000000001</v>
      </c>
      <c r="I56" s="1">
        <v>0.23139999999999999</v>
      </c>
      <c r="J56" s="1">
        <v>0.21260000000000001</v>
      </c>
      <c r="K56" s="1">
        <v>0.2099</v>
      </c>
      <c r="L56" s="1">
        <v>4.9099999999999998E-2</v>
      </c>
      <c r="M56" s="1"/>
      <c r="N56" s="1"/>
      <c r="O56" s="1"/>
      <c r="P56" s="1">
        <v>0.23169999999999999</v>
      </c>
      <c r="Q56" s="1">
        <v>0.22550000000000001</v>
      </c>
      <c r="R56" s="1">
        <v>0.23089999999999999</v>
      </c>
      <c r="S56" s="1">
        <v>0.22439999999999999</v>
      </c>
      <c r="T56" s="1">
        <v>0.22370000000000001</v>
      </c>
      <c r="U56" s="1">
        <v>0.22009999999999999</v>
      </c>
      <c r="V56" s="1"/>
      <c r="W56" s="1"/>
      <c r="X56" s="1"/>
      <c r="Y56" s="1"/>
      <c r="Z56" s="1"/>
      <c r="AA56" s="1"/>
      <c r="AB56" s="1">
        <v>0.2369</v>
      </c>
      <c r="AC56" s="1">
        <v>0.2213</v>
      </c>
      <c r="AD56" s="1">
        <v>0.22500000000000001</v>
      </c>
      <c r="AE56" s="1">
        <v>0.23519999999999999</v>
      </c>
      <c r="AF56" s="1">
        <v>0.2233</v>
      </c>
      <c r="AG56" s="1">
        <v>0.1898</v>
      </c>
      <c r="AH56" s="1"/>
      <c r="AI56" s="1"/>
      <c r="AJ56" s="1"/>
      <c r="AK56" s="1"/>
      <c r="AL56" s="1"/>
      <c r="AM56" s="1"/>
      <c r="AN56" s="1">
        <v>0.2271</v>
      </c>
      <c r="AO56" s="1">
        <v>0.22600000000000001</v>
      </c>
      <c r="AP56" s="1">
        <v>0.2278</v>
      </c>
      <c r="AQ56" s="1">
        <v>0.2382</v>
      </c>
      <c r="AR56" s="1">
        <v>0.222</v>
      </c>
      <c r="AS56" s="1">
        <v>0.29289999999999999</v>
      </c>
      <c r="AT56" s="1"/>
      <c r="AU56" s="1"/>
      <c r="AV56" s="1"/>
      <c r="AW56" s="1"/>
      <c r="AX56" s="1"/>
      <c r="AY56" s="1"/>
      <c r="AZ56" s="1">
        <v>0.24829999999999999</v>
      </c>
      <c r="BA56" s="1">
        <v>0.2263</v>
      </c>
      <c r="BB56" s="1">
        <v>0.2233</v>
      </c>
      <c r="BC56" s="1">
        <v>0.21929999999999999</v>
      </c>
      <c r="BD56" s="1">
        <v>0.22900000000000001</v>
      </c>
      <c r="BE56" s="1">
        <v>0.22339999999999999</v>
      </c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</row>
    <row r="57" spans="1:99">
      <c r="A57" s="3" t="s">
        <v>164</v>
      </c>
      <c r="B57" s="1">
        <v>779.48400000000004</v>
      </c>
      <c r="C57" s="1">
        <v>26.7</v>
      </c>
      <c r="D57" s="1">
        <v>0.2339</v>
      </c>
      <c r="E57" s="1">
        <v>0.22339999999999999</v>
      </c>
      <c r="F57" s="1">
        <v>0.2205</v>
      </c>
      <c r="G57" s="1">
        <v>0.22320000000000001</v>
      </c>
      <c r="H57" s="1">
        <v>0.23669999999999999</v>
      </c>
      <c r="I57" s="1">
        <v>0.23419999999999999</v>
      </c>
      <c r="J57" s="1">
        <v>0.21529999999999999</v>
      </c>
      <c r="K57" s="1">
        <v>0.21260000000000001</v>
      </c>
      <c r="L57" s="1">
        <v>4.9099999999999998E-2</v>
      </c>
      <c r="M57" s="1"/>
      <c r="N57" s="1"/>
      <c r="O57" s="1"/>
      <c r="P57" s="1">
        <v>0.2346</v>
      </c>
      <c r="Q57" s="1">
        <v>0.2288</v>
      </c>
      <c r="R57" s="1">
        <v>0.23350000000000001</v>
      </c>
      <c r="S57" s="1">
        <v>0.22720000000000001</v>
      </c>
      <c r="T57" s="1">
        <v>0.22620000000000001</v>
      </c>
      <c r="U57" s="1">
        <v>0.2228</v>
      </c>
      <c r="V57" s="1"/>
      <c r="W57" s="1"/>
      <c r="X57" s="1"/>
      <c r="Y57" s="1"/>
      <c r="Z57" s="1"/>
      <c r="AA57" s="1"/>
      <c r="AB57" s="1">
        <v>0.23469999999999999</v>
      </c>
      <c r="AC57" s="1">
        <v>0.22389999999999999</v>
      </c>
      <c r="AD57" s="1">
        <v>0.2276</v>
      </c>
      <c r="AE57" s="1">
        <v>0.2379</v>
      </c>
      <c r="AF57" s="1">
        <v>0.22620000000000001</v>
      </c>
      <c r="AG57" s="1">
        <v>0.192</v>
      </c>
      <c r="AH57" s="1"/>
      <c r="AI57" s="1"/>
      <c r="AJ57" s="1"/>
      <c r="AK57" s="1"/>
      <c r="AL57" s="1"/>
      <c r="AM57" s="1"/>
      <c r="AN57" s="1">
        <v>0.2301</v>
      </c>
      <c r="AO57" s="1">
        <v>0.22889999999999999</v>
      </c>
      <c r="AP57" s="1">
        <v>0.23069999999999999</v>
      </c>
      <c r="AQ57" s="1">
        <v>0.24149999999999999</v>
      </c>
      <c r="AR57" s="1">
        <v>0.22420000000000001</v>
      </c>
      <c r="AS57" s="1">
        <v>0.29820000000000002</v>
      </c>
      <c r="AT57" s="1"/>
      <c r="AU57" s="1"/>
      <c r="AV57" s="1"/>
      <c r="AW57" s="1"/>
      <c r="AX57" s="1"/>
      <c r="AY57" s="1"/>
      <c r="AZ57" s="1">
        <v>0.25259999999999999</v>
      </c>
      <c r="BA57" s="1">
        <v>0.2286</v>
      </c>
      <c r="BB57" s="1">
        <v>0.22589999999999999</v>
      </c>
      <c r="BC57" s="1">
        <v>0.222</v>
      </c>
      <c r="BD57" s="1">
        <v>0.2319</v>
      </c>
      <c r="BE57" s="1">
        <v>0.22650000000000001</v>
      </c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</row>
    <row r="58" spans="1:99">
      <c r="A58" s="3" t="s">
        <v>165</v>
      </c>
      <c r="B58" s="1">
        <v>839.48800000000006</v>
      </c>
      <c r="C58" s="1">
        <v>26.7</v>
      </c>
      <c r="D58" s="1">
        <v>0.23680000000000001</v>
      </c>
      <c r="E58" s="1">
        <v>0.2263</v>
      </c>
      <c r="F58" s="1">
        <v>0.22309999999999999</v>
      </c>
      <c r="G58" s="1">
        <v>0.22570000000000001</v>
      </c>
      <c r="H58" s="1">
        <v>0.23960000000000001</v>
      </c>
      <c r="I58" s="1">
        <v>0.23680000000000001</v>
      </c>
      <c r="J58" s="1">
        <v>0.2177</v>
      </c>
      <c r="K58" s="1">
        <v>0.21529999999999999</v>
      </c>
      <c r="L58" s="1">
        <v>4.9099999999999998E-2</v>
      </c>
      <c r="M58" s="1"/>
      <c r="N58" s="1"/>
      <c r="O58" s="1"/>
      <c r="P58" s="1">
        <v>0.23769999999999999</v>
      </c>
      <c r="Q58" s="1">
        <v>0.23080000000000001</v>
      </c>
      <c r="R58" s="1">
        <v>0.2364</v>
      </c>
      <c r="S58" s="1">
        <v>0.2298</v>
      </c>
      <c r="T58" s="1">
        <v>0.22869999999999999</v>
      </c>
      <c r="U58" s="1">
        <v>0.22559999999999999</v>
      </c>
      <c r="V58" s="1"/>
      <c r="W58" s="1"/>
      <c r="X58" s="1"/>
      <c r="Y58" s="1"/>
      <c r="Z58" s="1"/>
      <c r="AA58" s="1"/>
      <c r="AB58" s="1">
        <v>0.23449999999999999</v>
      </c>
      <c r="AC58" s="1">
        <v>0.22620000000000001</v>
      </c>
      <c r="AD58" s="1">
        <v>0.2301</v>
      </c>
      <c r="AE58" s="1">
        <v>0.24079999999999999</v>
      </c>
      <c r="AF58" s="1">
        <v>0.22889999999999999</v>
      </c>
      <c r="AG58" s="1">
        <v>0.19400000000000001</v>
      </c>
      <c r="AH58" s="1"/>
      <c r="AI58" s="1"/>
      <c r="AJ58" s="1"/>
      <c r="AK58" s="1"/>
      <c r="AL58" s="1"/>
      <c r="AM58" s="1"/>
      <c r="AN58" s="1">
        <v>0.2329</v>
      </c>
      <c r="AO58" s="1">
        <v>0.23150000000000001</v>
      </c>
      <c r="AP58" s="1">
        <v>0.23350000000000001</v>
      </c>
      <c r="AQ58" s="1">
        <v>0.2429</v>
      </c>
      <c r="AR58" s="1">
        <v>0.22689999999999999</v>
      </c>
      <c r="AS58" s="1">
        <v>0.30259999999999998</v>
      </c>
      <c r="AT58" s="1"/>
      <c r="AU58" s="1"/>
      <c r="AV58" s="1"/>
      <c r="AW58" s="1"/>
      <c r="AX58" s="1"/>
      <c r="AY58" s="1"/>
      <c r="AZ58" s="1">
        <v>0.25690000000000002</v>
      </c>
      <c r="BA58" s="1">
        <v>0.2319</v>
      </c>
      <c r="BB58" s="1">
        <v>0.2286</v>
      </c>
      <c r="BC58" s="1">
        <v>0.22459999999999999</v>
      </c>
      <c r="BD58" s="1">
        <v>0.23499999999999999</v>
      </c>
      <c r="BE58" s="1">
        <v>0.2293</v>
      </c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</row>
    <row r="59" spans="1:99">
      <c r="A59" s="3" t="s">
        <v>166</v>
      </c>
      <c r="B59" s="1">
        <v>899.48199999999997</v>
      </c>
      <c r="C59" s="1">
        <v>26.7</v>
      </c>
      <c r="D59" s="1">
        <v>0.24</v>
      </c>
      <c r="E59" s="1">
        <v>0.2291</v>
      </c>
      <c r="F59" s="1">
        <v>0.22589999999999999</v>
      </c>
      <c r="G59" s="1">
        <v>0.2286</v>
      </c>
      <c r="H59" s="1">
        <v>0.24299999999999999</v>
      </c>
      <c r="I59" s="1">
        <v>0.23980000000000001</v>
      </c>
      <c r="J59" s="1">
        <v>0.22009999999999999</v>
      </c>
      <c r="K59" s="1">
        <v>0.2177</v>
      </c>
      <c r="L59" s="1">
        <v>4.9200000000000001E-2</v>
      </c>
      <c r="M59" s="1"/>
      <c r="N59" s="1"/>
      <c r="O59" s="1"/>
      <c r="P59" s="1">
        <v>0.24010000000000001</v>
      </c>
      <c r="Q59" s="1">
        <v>0.2331</v>
      </c>
      <c r="R59" s="1">
        <v>0.23930000000000001</v>
      </c>
      <c r="S59" s="1">
        <v>0.23250000000000001</v>
      </c>
      <c r="T59" s="1">
        <v>0.23130000000000001</v>
      </c>
      <c r="U59" s="1">
        <v>0.22819999999999999</v>
      </c>
      <c r="V59" s="1"/>
      <c r="W59" s="1"/>
      <c r="X59" s="1"/>
      <c r="Y59" s="1"/>
      <c r="Z59" s="1"/>
      <c r="AA59" s="1"/>
      <c r="AB59" s="1">
        <v>0.2404</v>
      </c>
      <c r="AC59" s="1">
        <v>0.22869999999999999</v>
      </c>
      <c r="AD59" s="1">
        <v>0.2326</v>
      </c>
      <c r="AE59" s="1">
        <v>0.24340000000000001</v>
      </c>
      <c r="AF59" s="1">
        <v>0.2311</v>
      </c>
      <c r="AG59" s="1">
        <v>0.1961</v>
      </c>
      <c r="AH59" s="1"/>
      <c r="AI59" s="1"/>
      <c r="AJ59" s="1"/>
      <c r="AK59" s="1"/>
      <c r="AL59" s="1"/>
      <c r="AM59" s="1"/>
      <c r="AN59" s="1">
        <v>0.23569999999999999</v>
      </c>
      <c r="AO59" s="1">
        <v>0.2344</v>
      </c>
      <c r="AP59" s="1">
        <v>0.23619999999999999</v>
      </c>
      <c r="AQ59" s="1">
        <v>0.24740000000000001</v>
      </c>
      <c r="AR59" s="1">
        <v>0.2298</v>
      </c>
      <c r="AS59" s="1">
        <v>0.30719999999999997</v>
      </c>
      <c r="AT59" s="1"/>
      <c r="AU59" s="1"/>
      <c r="AV59" s="1"/>
      <c r="AW59" s="1"/>
      <c r="AX59" s="1"/>
      <c r="AY59" s="1"/>
      <c r="AZ59" s="1">
        <v>0.25869999999999999</v>
      </c>
      <c r="BA59" s="1">
        <v>0.23449999999999999</v>
      </c>
      <c r="BB59" s="1">
        <v>0.23200000000000001</v>
      </c>
      <c r="BC59" s="1">
        <v>0.22720000000000001</v>
      </c>
      <c r="BD59" s="1">
        <v>0.23799999999999999</v>
      </c>
      <c r="BE59" s="1">
        <v>0.23230000000000001</v>
      </c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</row>
    <row r="60" spans="1:99">
      <c r="A60" s="3" t="s">
        <v>167</v>
      </c>
      <c r="B60" s="1">
        <v>959.47799999999995</v>
      </c>
      <c r="C60" s="1">
        <v>26.6</v>
      </c>
      <c r="D60" s="1">
        <v>0.24279999999999999</v>
      </c>
      <c r="E60" s="1">
        <v>0.23169999999999999</v>
      </c>
      <c r="F60" s="1">
        <v>0.2286</v>
      </c>
      <c r="G60" s="1">
        <v>0.2311</v>
      </c>
      <c r="H60" s="1">
        <v>0.24640000000000001</v>
      </c>
      <c r="I60" s="1">
        <v>0.2427</v>
      </c>
      <c r="J60" s="1">
        <v>0.22270000000000001</v>
      </c>
      <c r="K60" s="1">
        <v>0.2203</v>
      </c>
      <c r="L60" s="1">
        <v>4.9099999999999998E-2</v>
      </c>
      <c r="M60" s="1"/>
      <c r="N60" s="1"/>
      <c r="O60" s="1"/>
      <c r="P60" s="1">
        <v>0.24299999999999999</v>
      </c>
      <c r="Q60" s="1">
        <v>0.2356</v>
      </c>
      <c r="R60" s="1">
        <v>0.24199999999999999</v>
      </c>
      <c r="S60" s="1">
        <v>0.23499999999999999</v>
      </c>
      <c r="T60" s="1">
        <v>0.2339</v>
      </c>
      <c r="U60" s="1">
        <v>0.23080000000000001</v>
      </c>
      <c r="V60" s="1"/>
      <c r="W60" s="1"/>
      <c r="X60" s="1"/>
      <c r="Y60" s="1"/>
      <c r="Z60" s="1"/>
      <c r="AA60" s="1"/>
      <c r="AB60" s="1">
        <v>0.24360000000000001</v>
      </c>
      <c r="AC60" s="1">
        <v>0.23150000000000001</v>
      </c>
      <c r="AD60" s="1">
        <v>0.23549999999999999</v>
      </c>
      <c r="AE60" s="1">
        <v>0.24640000000000001</v>
      </c>
      <c r="AF60" s="1">
        <v>0.23449999999999999</v>
      </c>
      <c r="AG60" s="1">
        <v>0.19850000000000001</v>
      </c>
      <c r="AH60" s="1"/>
      <c r="AI60" s="1"/>
      <c r="AJ60" s="1"/>
      <c r="AK60" s="1"/>
      <c r="AL60" s="1"/>
      <c r="AM60" s="1"/>
      <c r="AN60" s="1">
        <v>0.23849999999999999</v>
      </c>
      <c r="AO60" s="1">
        <v>0.23710000000000001</v>
      </c>
      <c r="AP60" s="1">
        <v>0.2387</v>
      </c>
      <c r="AQ60" s="1">
        <v>0.25240000000000001</v>
      </c>
      <c r="AR60" s="1">
        <v>0.23250000000000001</v>
      </c>
      <c r="AS60" s="1">
        <v>0.31240000000000001</v>
      </c>
      <c r="AT60" s="1"/>
      <c r="AU60" s="1"/>
      <c r="AV60" s="1"/>
      <c r="AW60" s="1"/>
      <c r="AX60" s="1"/>
      <c r="AY60" s="1"/>
      <c r="AZ60" s="1">
        <v>0.2676</v>
      </c>
      <c r="BA60" s="1">
        <v>0.23799999999999999</v>
      </c>
      <c r="BB60" s="1">
        <v>0.2344</v>
      </c>
      <c r="BC60" s="1">
        <v>0.22989999999999999</v>
      </c>
      <c r="BD60" s="1">
        <v>0.2412</v>
      </c>
      <c r="BE60" s="1">
        <v>0.2351</v>
      </c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</row>
    <row r="61" spans="1:99">
      <c r="A61" s="3" t="s">
        <v>168</v>
      </c>
      <c r="B61" s="1">
        <v>1019.4829999999999</v>
      </c>
      <c r="C61" s="1">
        <v>26.6</v>
      </c>
      <c r="D61" s="1">
        <v>0.2455</v>
      </c>
      <c r="E61" s="1">
        <v>0.23430000000000001</v>
      </c>
      <c r="F61" s="1">
        <v>0.23089999999999999</v>
      </c>
      <c r="G61" s="1">
        <v>0.23350000000000001</v>
      </c>
      <c r="H61" s="1">
        <v>0.24909999999999999</v>
      </c>
      <c r="I61" s="1">
        <v>0.24529999999999999</v>
      </c>
      <c r="J61" s="1">
        <v>0.22500000000000001</v>
      </c>
      <c r="K61" s="1">
        <v>0.22270000000000001</v>
      </c>
      <c r="L61" s="1">
        <v>4.9099999999999998E-2</v>
      </c>
      <c r="M61" s="1"/>
      <c r="N61" s="1"/>
      <c r="O61" s="1"/>
      <c r="P61" s="1">
        <v>0.24560000000000001</v>
      </c>
      <c r="Q61" s="1">
        <v>0.2384</v>
      </c>
      <c r="R61" s="1">
        <v>0.2447</v>
      </c>
      <c r="S61" s="1">
        <v>0.23769999999999999</v>
      </c>
      <c r="T61" s="1">
        <v>0.23619999999999999</v>
      </c>
      <c r="U61" s="1">
        <v>0.2331</v>
      </c>
      <c r="V61" s="1"/>
      <c r="W61" s="1"/>
      <c r="X61" s="1"/>
      <c r="Y61" s="1"/>
      <c r="Z61" s="1"/>
      <c r="AA61" s="1"/>
      <c r="AB61" s="1">
        <v>0.2424</v>
      </c>
      <c r="AC61" s="1">
        <v>0.23380000000000001</v>
      </c>
      <c r="AD61" s="1">
        <v>0.2379</v>
      </c>
      <c r="AE61" s="1">
        <v>0.2492</v>
      </c>
      <c r="AF61" s="1">
        <v>0.23710000000000001</v>
      </c>
      <c r="AG61" s="1">
        <v>0.20019999999999999</v>
      </c>
      <c r="AH61" s="1"/>
      <c r="AI61" s="1"/>
      <c r="AJ61" s="1"/>
      <c r="AK61" s="1"/>
      <c r="AL61" s="1"/>
      <c r="AM61" s="1"/>
      <c r="AN61" s="1">
        <v>0.2412</v>
      </c>
      <c r="AO61" s="1">
        <v>0.23980000000000001</v>
      </c>
      <c r="AP61" s="1">
        <v>0.24160000000000001</v>
      </c>
      <c r="AQ61" s="1">
        <v>0.25569999999999998</v>
      </c>
      <c r="AR61" s="1">
        <v>0.23480000000000001</v>
      </c>
      <c r="AS61" s="1">
        <v>0.31640000000000001</v>
      </c>
      <c r="AT61" s="1"/>
      <c r="AU61" s="1"/>
      <c r="AV61" s="1"/>
      <c r="AW61" s="1"/>
      <c r="AX61" s="1"/>
      <c r="AY61" s="1"/>
      <c r="AZ61" s="1">
        <v>0.26400000000000001</v>
      </c>
      <c r="BA61" s="1">
        <v>0.2407</v>
      </c>
      <c r="BB61" s="1">
        <v>0.23669999999999999</v>
      </c>
      <c r="BC61" s="1">
        <v>0.23219999999999999</v>
      </c>
      <c r="BD61" s="1">
        <v>0.24410000000000001</v>
      </c>
      <c r="BE61" s="1">
        <v>0.2379</v>
      </c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</row>
    <row r="62" spans="1:99">
      <c r="A62" s="3" t="s">
        <v>169</v>
      </c>
      <c r="B62" s="1">
        <v>1079.482</v>
      </c>
      <c r="C62" s="1">
        <v>26.6</v>
      </c>
      <c r="D62" s="1">
        <v>0.24829999999999999</v>
      </c>
      <c r="E62" s="1">
        <v>0.23669999999999999</v>
      </c>
      <c r="F62" s="1">
        <v>0.23330000000000001</v>
      </c>
      <c r="G62" s="1">
        <v>0.23599999999999999</v>
      </c>
      <c r="H62" s="1">
        <v>0.25230000000000002</v>
      </c>
      <c r="I62" s="1">
        <v>0.24790000000000001</v>
      </c>
      <c r="J62" s="1">
        <v>0.22720000000000001</v>
      </c>
      <c r="K62" s="1">
        <v>0.22509999999999999</v>
      </c>
      <c r="L62" s="1">
        <v>4.9099999999999998E-2</v>
      </c>
      <c r="M62" s="1"/>
      <c r="N62" s="1"/>
      <c r="O62" s="1"/>
      <c r="P62" s="1">
        <v>0.2482</v>
      </c>
      <c r="Q62" s="1">
        <v>0.2412</v>
      </c>
      <c r="R62" s="1">
        <v>0.2472</v>
      </c>
      <c r="S62" s="1">
        <v>0.2402</v>
      </c>
      <c r="T62" s="1">
        <v>0.23880000000000001</v>
      </c>
      <c r="U62" s="1">
        <v>0.23569999999999999</v>
      </c>
      <c r="V62" s="1"/>
      <c r="W62" s="1"/>
      <c r="X62" s="1"/>
      <c r="Y62" s="1"/>
      <c r="Z62" s="1"/>
      <c r="AA62" s="1"/>
      <c r="AB62" s="1">
        <v>0.24929999999999999</v>
      </c>
      <c r="AC62" s="1">
        <v>0.2366</v>
      </c>
      <c r="AD62" s="1">
        <v>0.2402</v>
      </c>
      <c r="AE62" s="1">
        <v>0.2515</v>
      </c>
      <c r="AF62" s="1">
        <v>0.2394</v>
      </c>
      <c r="AG62" s="1">
        <v>0.2024</v>
      </c>
      <c r="AH62" s="1"/>
      <c r="AI62" s="1"/>
      <c r="AJ62" s="1"/>
      <c r="AK62" s="1"/>
      <c r="AL62" s="1"/>
      <c r="AM62" s="1"/>
      <c r="AN62" s="1">
        <v>0.24360000000000001</v>
      </c>
      <c r="AO62" s="1">
        <v>0.2424</v>
      </c>
      <c r="AP62" s="1">
        <v>0.24429999999999999</v>
      </c>
      <c r="AQ62" s="1">
        <v>0.25900000000000001</v>
      </c>
      <c r="AR62" s="1">
        <v>0.2374</v>
      </c>
      <c r="AS62" s="1">
        <v>0.31950000000000001</v>
      </c>
      <c r="AT62" s="1"/>
      <c r="AU62" s="1"/>
      <c r="AV62" s="1"/>
      <c r="AW62" s="1"/>
      <c r="AX62" s="1"/>
      <c r="AY62" s="1"/>
      <c r="AZ62" s="1">
        <v>0.26740000000000003</v>
      </c>
      <c r="BA62" s="1">
        <v>0.24310000000000001</v>
      </c>
      <c r="BB62" s="1">
        <v>0.2389</v>
      </c>
      <c r="BC62" s="1">
        <v>0.2346</v>
      </c>
      <c r="BD62" s="1">
        <v>0.2467</v>
      </c>
      <c r="BE62" s="1">
        <v>0.24060000000000001</v>
      </c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</row>
    <row r="63" spans="1:99">
      <c r="A63" s="3" t="s">
        <v>170</v>
      </c>
      <c r="B63" s="1">
        <v>1139.4760000000001</v>
      </c>
      <c r="C63" s="1">
        <v>26.4</v>
      </c>
      <c r="D63" s="1">
        <v>0.25109999999999999</v>
      </c>
      <c r="E63" s="1">
        <v>0.23880000000000001</v>
      </c>
      <c r="F63" s="1">
        <v>0.2359</v>
      </c>
      <c r="G63" s="1">
        <v>0.23849999999999999</v>
      </c>
      <c r="H63" s="1">
        <v>0.25530000000000003</v>
      </c>
      <c r="I63" s="1">
        <v>0.2505</v>
      </c>
      <c r="J63" s="1">
        <v>0.2298</v>
      </c>
      <c r="K63" s="1">
        <v>0.2273</v>
      </c>
      <c r="L63" s="1">
        <v>4.9099999999999998E-2</v>
      </c>
      <c r="M63" s="1"/>
      <c r="N63" s="1"/>
      <c r="O63" s="1"/>
      <c r="P63" s="1">
        <v>0.251</v>
      </c>
      <c r="Q63" s="1">
        <v>0.24360000000000001</v>
      </c>
      <c r="R63" s="1">
        <v>0.25009999999999999</v>
      </c>
      <c r="S63" s="1">
        <v>0.2427</v>
      </c>
      <c r="T63" s="1">
        <v>0.2412</v>
      </c>
      <c r="U63" s="1">
        <v>0.2382</v>
      </c>
      <c r="V63" s="1"/>
      <c r="W63" s="1"/>
      <c r="X63" s="1"/>
      <c r="Y63" s="1"/>
      <c r="Z63" s="1"/>
      <c r="AA63" s="1"/>
      <c r="AB63" s="1">
        <v>0.25</v>
      </c>
      <c r="AC63" s="1">
        <v>0.23899999999999999</v>
      </c>
      <c r="AD63" s="1">
        <v>0.2427</v>
      </c>
      <c r="AE63" s="1">
        <v>0.25459999999999999</v>
      </c>
      <c r="AF63" s="1">
        <v>0.24199999999999999</v>
      </c>
      <c r="AG63" s="1">
        <v>0.2041</v>
      </c>
      <c r="AH63" s="1"/>
      <c r="AI63" s="1"/>
      <c r="AJ63" s="1"/>
      <c r="AK63" s="1"/>
      <c r="AL63" s="1"/>
      <c r="AM63" s="1"/>
      <c r="AN63" s="1">
        <v>0.24629999999999999</v>
      </c>
      <c r="AO63" s="1">
        <v>0.24529999999999999</v>
      </c>
      <c r="AP63" s="1">
        <v>0.24690000000000001</v>
      </c>
      <c r="AQ63" s="1">
        <v>0.26169999999999999</v>
      </c>
      <c r="AR63" s="1">
        <v>0.2399</v>
      </c>
      <c r="AS63" s="1">
        <v>0.3231</v>
      </c>
      <c r="AT63" s="1"/>
      <c r="AU63" s="1"/>
      <c r="AV63" s="1"/>
      <c r="AW63" s="1"/>
      <c r="AX63" s="1"/>
      <c r="AY63" s="1"/>
      <c r="AZ63" s="1">
        <v>0.27150000000000002</v>
      </c>
      <c r="BA63" s="1">
        <v>0.2457</v>
      </c>
      <c r="BB63" s="1">
        <v>0.2414</v>
      </c>
      <c r="BC63" s="1">
        <v>0.23680000000000001</v>
      </c>
      <c r="BD63" s="1">
        <v>0.2495</v>
      </c>
      <c r="BE63" s="1">
        <v>0.24279999999999999</v>
      </c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</row>
    <row r="64" spans="1:99">
      <c r="A64" s="3" t="s">
        <v>171</v>
      </c>
      <c r="B64" s="1">
        <v>1199.481</v>
      </c>
      <c r="C64" s="1">
        <v>26.5</v>
      </c>
      <c r="D64" s="1">
        <v>0.25369999999999998</v>
      </c>
      <c r="E64" s="1">
        <v>0.24160000000000001</v>
      </c>
      <c r="F64" s="1">
        <v>0.2382</v>
      </c>
      <c r="G64" s="1">
        <v>0.24079999999999999</v>
      </c>
      <c r="H64" s="1">
        <v>0.25800000000000001</v>
      </c>
      <c r="I64" s="1">
        <v>0.25309999999999999</v>
      </c>
      <c r="J64" s="1">
        <v>0.23219999999999999</v>
      </c>
      <c r="K64" s="1">
        <v>0.2298</v>
      </c>
      <c r="L64" s="1">
        <v>4.9099999999999998E-2</v>
      </c>
      <c r="M64" s="1"/>
      <c r="N64" s="1"/>
      <c r="O64" s="1"/>
      <c r="P64" s="1">
        <v>0.25330000000000003</v>
      </c>
      <c r="Q64" s="1">
        <v>0.2462</v>
      </c>
      <c r="R64" s="1">
        <v>0.25230000000000002</v>
      </c>
      <c r="S64" s="1">
        <v>0.2452</v>
      </c>
      <c r="T64" s="1">
        <v>0.24349999999999999</v>
      </c>
      <c r="U64" s="1">
        <v>0.24049999999999999</v>
      </c>
      <c r="V64" s="1"/>
      <c r="W64" s="1"/>
      <c r="X64" s="1"/>
      <c r="Y64" s="1"/>
      <c r="Z64" s="1"/>
      <c r="AA64" s="1"/>
      <c r="AB64" s="1">
        <v>0.25230000000000002</v>
      </c>
      <c r="AC64" s="1">
        <v>0.24129999999999999</v>
      </c>
      <c r="AD64" s="1">
        <v>0.245</v>
      </c>
      <c r="AE64" s="1">
        <v>0.2571</v>
      </c>
      <c r="AF64" s="1">
        <v>0.24429999999999999</v>
      </c>
      <c r="AG64" s="1">
        <v>0.20630000000000001</v>
      </c>
      <c r="AH64" s="1"/>
      <c r="AI64" s="1"/>
      <c r="AJ64" s="1"/>
      <c r="AK64" s="1"/>
      <c r="AL64" s="1"/>
      <c r="AM64" s="1"/>
      <c r="AN64" s="1">
        <v>0.24879999999999999</v>
      </c>
      <c r="AO64" s="1">
        <v>0.2477</v>
      </c>
      <c r="AP64" s="1">
        <v>0.2492</v>
      </c>
      <c r="AQ64" s="1">
        <v>0.26450000000000001</v>
      </c>
      <c r="AR64" s="1">
        <v>0.2424</v>
      </c>
      <c r="AS64" s="1">
        <v>0.32600000000000001</v>
      </c>
      <c r="AT64" s="1"/>
      <c r="AU64" s="1"/>
      <c r="AV64" s="1"/>
      <c r="AW64" s="1"/>
      <c r="AX64" s="1"/>
      <c r="AY64" s="1"/>
      <c r="AZ64" s="1">
        <v>0.27639999999999998</v>
      </c>
      <c r="BA64" s="1">
        <v>0.2485</v>
      </c>
      <c r="BB64" s="1">
        <v>0.24399999999999999</v>
      </c>
      <c r="BC64" s="1">
        <v>0.2397</v>
      </c>
      <c r="BD64" s="1">
        <v>0.25219999999999998</v>
      </c>
      <c r="BE64" s="1">
        <v>0.24529999999999999</v>
      </c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</row>
    <row r="65" spans="1:99">
      <c r="A65" s="3" t="s">
        <v>172</v>
      </c>
      <c r="B65" s="1">
        <v>1259.4839999999999</v>
      </c>
      <c r="C65" s="1">
        <v>26.5</v>
      </c>
      <c r="D65" s="1">
        <v>0.25659999999999999</v>
      </c>
      <c r="E65" s="1">
        <v>0.2437</v>
      </c>
      <c r="F65" s="1">
        <v>0.2404</v>
      </c>
      <c r="G65" s="1">
        <v>0.2432</v>
      </c>
      <c r="H65" s="1">
        <v>0.26040000000000002</v>
      </c>
      <c r="I65" s="1">
        <v>0.25530000000000003</v>
      </c>
      <c r="J65" s="1">
        <v>0.23419999999999999</v>
      </c>
      <c r="K65" s="1">
        <v>0.23200000000000001</v>
      </c>
      <c r="L65" s="1">
        <v>4.9099999999999998E-2</v>
      </c>
      <c r="M65" s="1"/>
      <c r="N65" s="1"/>
      <c r="O65" s="1"/>
      <c r="P65" s="1">
        <v>0.25559999999999999</v>
      </c>
      <c r="Q65" s="1">
        <v>0.24879999999999999</v>
      </c>
      <c r="R65" s="1">
        <v>0.25480000000000003</v>
      </c>
      <c r="S65" s="1">
        <v>0.24759999999999999</v>
      </c>
      <c r="T65" s="1">
        <v>0.24579999999999999</v>
      </c>
      <c r="U65" s="1">
        <v>0.24310000000000001</v>
      </c>
      <c r="V65" s="1"/>
      <c r="W65" s="1"/>
      <c r="X65" s="1"/>
      <c r="Y65" s="1"/>
      <c r="Z65" s="1"/>
      <c r="AA65" s="1"/>
      <c r="AB65" s="1">
        <v>0.2535</v>
      </c>
      <c r="AC65" s="1">
        <v>0.2442</v>
      </c>
      <c r="AD65" s="1">
        <v>0.2472</v>
      </c>
      <c r="AE65" s="1">
        <v>0.25940000000000002</v>
      </c>
      <c r="AF65" s="1">
        <v>0.24640000000000001</v>
      </c>
      <c r="AG65" s="1">
        <v>0.20810000000000001</v>
      </c>
      <c r="AH65" s="1"/>
      <c r="AI65" s="1"/>
      <c r="AJ65" s="1"/>
      <c r="AK65" s="1"/>
      <c r="AL65" s="1"/>
      <c r="AM65" s="1"/>
      <c r="AN65" s="1">
        <v>0.25130000000000002</v>
      </c>
      <c r="AO65" s="1">
        <v>0.25030000000000002</v>
      </c>
      <c r="AP65" s="1">
        <v>0.25180000000000002</v>
      </c>
      <c r="AQ65" s="1">
        <v>0.26700000000000002</v>
      </c>
      <c r="AR65" s="1">
        <v>0.24510000000000001</v>
      </c>
      <c r="AS65" s="1">
        <v>0.32979999999999998</v>
      </c>
      <c r="AT65" s="1"/>
      <c r="AU65" s="1"/>
      <c r="AV65" s="1"/>
      <c r="AW65" s="1"/>
      <c r="AX65" s="1"/>
      <c r="AY65" s="1"/>
      <c r="AZ65" s="1">
        <v>0.27600000000000002</v>
      </c>
      <c r="BA65" s="1">
        <v>0.251</v>
      </c>
      <c r="BB65" s="1">
        <v>0.24629999999999999</v>
      </c>
      <c r="BC65" s="1">
        <v>0.2417</v>
      </c>
      <c r="BD65" s="1">
        <v>0.25430000000000003</v>
      </c>
      <c r="BE65" s="1">
        <v>0.2475</v>
      </c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</row>
    <row r="66" spans="1:99">
      <c r="A66" s="3" t="s">
        <v>173</v>
      </c>
      <c r="B66" s="1">
        <v>1319.4739999999999</v>
      </c>
      <c r="C66" s="1">
        <v>26.5</v>
      </c>
      <c r="D66" s="1">
        <v>0.25919999999999999</v>
      </c>
      <c r="E66" s="1">
        <v>0.2457</v>
      </c>
      <c r="F66" s="1">
        <v>0.24249999999999999</v>
      </c>
      <c r="G66" s="1">
        <v>0.2455</v>
      </c>
      <c r="H66" s="1">
        <v>0.26190000000000002</v>
      </c>
      <c r="I66" s="1">
        <v>0.25779999999999997</v>
      </c>
      <c r="J66" s="1">
        <v>0.2366</v>
      </c>
      <c r="K66" s="1">
        <v>0.23400000000000001</v>
      </c>
      <c r="L66" s="1">
        <v>4.9000000000000002E-2</v>
      </c>
      <c r="M66" s="1"/>
      <c r="N66" s="1"/>
      <c r="O66" s="1"/>
      <c r="P66" s="1">
        <v>0.25819999999999999</v>
      </c>
      <c r="Q66" s="1">
        <v>0.25119999999999998</v>
      </c>
      <c r="R66" s="1">
        <v>0.25740000000000002</v>
      </c>
      <c r="S66" s="1">
        <v>0.25</v>
      </c>
      <c r="T66" s="1">
        <v>0.2482</v>
      </c>
      <c r="U66" s="1">
        <v>0.24510000000000001</v>
      </c>
      <c r="V66" s="1"/>
      <c r="W66" s="1"/>
      <c r="X66" s="1"/>
      <c r="Y66" s="1"/>
      <c r="Z66" s="1"/>
      <c r="AA66" s="1"/>
      <c r="AB66" s="1">
        <v>0.2581</v>
      </c>
      <c r="AC66" s="1">
        <v>0.24590000000000001</v>
      </c>
      <c r="AD66" s="1">
        <v>0.2495</v>
      </c>
      <c r="AE66" s="1">
        <v>0.26169999999999999</v>
      </c>
      <c r="AF66" s="1">
        <v>0.24879999999999999</v>
      </c>
      <c r="AG66" s="1">
        <v>0.21010000000000001</v>
      </c>
      <c r="AH66" s="1"/>
      <c r="AI66" s="1"/>
      <c r="AJ66" s="1"/>
      <c r="AK66" s="1"/>
      <c r="AL66" s="1"/>
      <c r="AM66" s="1"/>
      <c r="AN66" s="1">
        <v>0.25359999999999999</v>
      </c>
      <c r="AO66" s="1">
        <v>0.25280000000000002</v>
      </c>
      <c r="AP66" s="1">
        <v>0.2545</v>
      </c>
      <c r="AQ66" s="1">
        <v>0.26800000000000002</v>
      </c>
      <c r="AR66" s="1">
        <v>0.2475</v>
      </c>
      <c r="AS66" s="1">
        <v>0.3332</v>
      </c>
      <c r="AT66" s="1"/>
      <c r="AU66" s="1"/>
      <c r="AV66" s="1"/>
      <c r="AW66" s="1"/>
      <c r="AX66" s="1"/>
      <c r="AY66" s="1"/>
      <c r="AZ66" s="1">
        <v>0.2838</v>
      </c>
      <c r="BA66" s="1">
        <v>0.25330000000000003</v>
      </c>
      <c r="BB66" s="1">
        <v>0.24829999999999999</v>
      </c>
      <c r="BC66" s="1">
        <v>0.24379999999999999</v>
      </c>
      <c r="BD66" s="1">
        <v>0.25700000000000001</v>
      </c>
      <c r="BE66" s="1">
        <v>0.25</v>
      </c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</row>
    <row r="67" spans="1:99">
      <c r="A67" s="3" t="s">
        <v>174</v>
      </c>
      <c r="B67" s="1">
        <v>1379.4770000000001</v>
      </c>
      <c r="C67" s="1">
        <v>26.5</v>
      </c>
      <c r="D67" s="1">
        <v>0.2616</v>
      </c>
      <c r="E67" s="1">
        <v>0.2482</v>
      </c>
      <c r="F67" s="1">
        <v>0.24510000000000001</v>
      </c>
      <c r="G67" s="1">
        <v>0.2477</v>
      </c>
      <c r="H67" s="1">
        <v>0.26429999999999998</v>
      </c>
      <c r="I67" s="1">
        <v>0.26029999999999998</v>
      </c>
      <c r="J67" s="1">
        <v>0.23949999999999999</v>
      </c>
      <c r="K67" s="1">
        <v>0.2361</v>
      </c>
      <c r="L67" s="1">
        <v>4.9099999999999998E-2</v>
      </c>
      <c r="M67" s="1"/>
      <c r="N67" s="1"/>
      <c r="O67" s="1"/>
      <c r="P67" s="1">
        <v>0.26069999999999999</v>
      </c>
      <c r="Q67" s="1">
        <v>0.25369999999999998</v>
      </c>
      <c r="R67" s="1">
        <v>0.25990000000000002</v>
      </c>
      <c r="S67" s="1">
        <v>0.25240000000000001</v>
      </c>
      <c r="T67" s="1">
        <v>0.25069999999999998</v>
      </c>
      <c r="U67" s="1">
        <v>0.2477</v>
      </c>
      <c r="V67" s="1"/>
      <c r="W67" s="1"/>
      <c r="X67" s="1"/>
      <c r="Y67" s="1"/>
      <c r="Z67" s="1"/>
      <c r="AA67" s="1"/>
      <c r="AB67" s="1">
        <v>0.26169999999999999</v>
      </c>
      <c r="AC67" s="1">
        <v>0.2482</v>
      </c>
      <c r="AD67" s="1">
        <v>0.25169999999999998</v>
      </c>
      <c r="AE67" s="1">
        <v>0.26419999999999999</v>
      </c>
      <c r="AF67" s="1">
        <v>0.25090000000000001</v>
      </c>
      <c r="AG67" s="1">
        <v>0.2135</v>
      </c>
      <c r="AH67" s="1"/>
      <c r="AI67" s="1"/>
      <c r="AJ67" s="1"/>
      <c r="AK67" s="1"/>
      <c r="AL67" s="1"/>
      <c r="AM67" s="1"/>
      <c r="AN67" s="1">
        <v>0.25619999999999998</v>
      </c>
      <c r="AO67" s="1">
        <v>0.25509999999999999</v>
      </c>
      <c r="AP67" s="1">
        <v>0.25690000000000002</v>
      </c>
      <c r="AQ67" s="1">
        <v>0.26860000000000001</v>
      </c>
      <c r="AR67" s="1">
        <v>0.24970000000000001</v>
      </c>
      <c r="AS67" s="1">
        <v>0.3362</v>
      </c>
      <c r="AT67" s="1"/>
      <c r="AU67" s="1"/>
      <c r="AV67" s="1"/>
      <c r="AW67" s="1"/>
      <c r="AX67" s="1"/>
      <c r="AY67" s="1"/>
      <c r="AZ67" s="1">
        <v>0.28089999999999998</v>
      </c>
      <c r="BA67" s="1">
        <v>0.25519999999999998</v>
      </c>
      <c r="BB67" s="1">
        <v>0.25030000000000002</v>
      </c>
      <c r="BC67" s="1">
        <v>0.24590000000000001</v>
      </c>
      <c r="BD67" s="1">
        <v>0.2591</v>
      </c>
      <c r="BE67" s="1">
        <v>0.25240000000000001</v>
      </c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</row>
    <row r="68" spans="1:99">
      <c r="A68" s="3" t="s">
        <v>175</v>
      </c>
      <c r="B68" s="1">
        <v>1439.472</v>
      </c>
      <c r="C68" s="1">
        <v>26.6</v>
      </c>
      <c r="D68" s="1">
        <v>0.26419999999999999</v>
      </c>
      <c r="E68" s="1">
        <v>0.24990000000000001</v>
      </c>
      <c r="F68" s="1">
        <v>0.247</v>
      </c>
      <c r="G68" s="1">
        <v>0.2495</v>
      </c>
      <c r="H68" s="1">
        <v>0.26690000000000003</v>
      </c>
      <c r="I68" s="1">
        <v>0.26229999999999998</v>
      </c>
      <c r="J68" s="1">
        <v>0.2419</v>
      </c>
      <c r="K68" s="1">
        <v>0.23810000000000001</v>
      </c>
      <c r="L68" s="1">
        <v>4.9099999999999998E-2</v>
      </c>
      <c r="M68" s="1"/>
      <c r="N68" s="1"/>
      <c r="O68" s="1"/>
      <c r="P68" s="1">
        <v>0.26290000000000002</v>
      </c>
      <c r="Q68" s="1">
        <v>0.25600000000000001</v>
      </c>
      <c r="R68" s="1">
        <v>0.2621</v>
      </c>
      <c r="S68" s="1">
        <v>0.2545</v>
      </c>
      <c r="T68" s="1">
        <v>0.25269999999999998</v>
      </c>
      <c r="U68" s="1">
        <v>0.25030000000000002</v>
      </c>
      <c r="V68" s="1"/>
      <c r="W68" s="1"/>
      <c r="X68" s="1"/>
      <c r="Y68" s="1"/>
      <c r="Z68" s="1"/>
      <c r="AA68" s="1"/>
      <c r="AB68" s="1">
        <v>0.2646</v>
      </c>
      <c r="AC68" s="1">
        <v>0.24959999999999999</v>
      </c>
      <c r="AD68" s="1">
        <v>0.25359999999999999</v>
      </c>
      <c r="AE68" s="1">
        <v>0.2661</v>
      </c>
      <c r="AF68" s="1">
        <v>0.25290000000000001</v>
      </c>
      <c r="AG68" s="1">
        <v>0.2142</v>
      </c>
      <c r="AH68" s="1"/>
      <c r="AI68" s="1"/>
      <c r="AJ68" s="1"/>
      <c r="AK68" s="1"/>
      <c r="AL68" s="1"/>
      <c r="AM68" s="1"/>
      <c r="AN68" s="1">
        <v>0.2586</v>
      </c>
      <c r="AO68" s="1">
        <v>0.25740000000000002</v>
      </c>
      <c r="AP68" s="1">
        <v>0.25950000000000001</v>
      </c>
      <c r="AQ68" s="1">
        <v>0.26829999999999998</v>
      </c>
      <c r="AR68" s="1">
        <v>0.252</v>
      </c>
      <c r="AS68" s="1">
        <v>0.33960000000000001</v>
      </c>
      <c r="AT68" s="1"/>
      <c r="AU68" s="1"/>
      <c r="AV68" s="1"/>
      <c r="AW68" s="1"/>
      <c r="AX68" s="1"/>
      <c r="AY68" s="1"/>
      <c r="AZ68" s="1">
        <v>0.2868</v>
      </c>
      <c r="BA68" s="1">
        <v>0.25800000000000001</v>
      </c>
      <c r="BB68" s="1">
        <v>0.25269999999999998</v>
      </c>
      <c r="BC68" s="1">
        <v>0.24790000000000001</v>
      </c>
      <c r="BD68" s="1">
        <v>0.26119999999999999</v>
      </c>
      <c r="BE68" s="1">
        <v>0.2545</v>
      </c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</row>
    <row r="69" spans="1:99">
      <c r="A69" s="3" t="s">
        <v>176</v>
      </c>
      <c r="B69" s="1">
        <v>1499.472</v>
      </c>
      <c r="C69" s="1">
        <v>26.6</v>
      </c>
      <c r="D69" s="1">
        <v>0.26650000000000001</v>
      </c>
      <c r="E69" s="1">
        <v>0.252</v>
      </c>
      <c r="F69" s="1">
        <v>0.249</v>
      </c>
      <c r="G69" s="1">
        <v>0.25190000000000001</v>
      </c>
      <c r="H69" s="1">
        <v>0.26960000000000001</v>
      </c>
      <c r="I69" s="1">
        <v>0.26440000000000002</v>
      </c>
      <c r="J69" s="1">
        <v>0.2442</v>
      </c>
      <c r="K69" s="1">
        <v>0.24010000000000001</v>
      </c>
      <c r="L69" s="1">
        <v>4.9099999999999998E-2</v>
      </c>
      <c r="M69" s="1"/>
      <c r="N69" s="1"/>
      <c r="O69" s="1"/>
      <c r="P69" s="1">
        <v>0.26500000000000001</v>
      </c>
      <c r="Q69" s="1">
        <v>0.25840000000000002</v>
      </c>
      <c r="R69" s="1">
        <v>0.2646</v>
      </c>
      <c r="S69" s="1">
        <v>0.25669999999999998</v>
      </c>
      <c r="T69" s="1">
        <v>0.25480000000000003</v>
      </c>
      <c r="U69" s="1">
        <v>0.25230000000000002</v>
      </c>
      <c r="V69" s="1"/>
      <c r="W69" s="1"/>
      <c r="X69" s="1"/>
      <c r="Y69" s="1"/>
      <c r="Z69" s="1"/>
      <c r="AA69" s="1"/>
      <c r="AB69" s="1">
        <v>0.26679999999999998</v>
      </c>
      <c r="AC69" s="1">
        <v>0.25230000000000002</v>
      </c>
      <c r="AD69" s="1">
        <v>0.25540000000000002</v>
      </c>
      <c r="AE69" s="1">
        <v>0.26829999999999998</v>
      </c>
      <c r="AF69" s="1">
        <v>0.25519999999999998</v>
      </c>
      <c r="AG69" s="1">
        <v>0.215</v>
      </c>
      <c r="AH69" s="1"/>
      <c r="AI69" s="1"/>
      <c r="AJ69" s="1"/>
      <c r="AK69" s="1"/>
      <c r="AL69" s="1"/>
      <c r="AM69" s="1"/>
      <c r="AN69" s="1">
        <v>0.26079999999999998</v>
      </c>
      <c r="AO69" s="1">
        <v>0.25950000000000001</v>
      </c>
      <c r="AP69" s="1">
        <v>0.26190000000000002</v>
      </c>
      <c r="AQ69" s="1">
        <v>0.27100000000000002</v>
      </c>
      <c r="AR69" s="1">
        <v>0.25430000000000003</v>
      </c>
      <c r="AS69" s="1">
        <v>0.34310000000000002</v>
      </c>
      <c r="AT69" s="1"/>
      <c r="AU69" s="1"/>
      <c r="AV69" s="1"/>
      <c r="AW69" s="1"/>
      <c r="AX69" s="1"/>
      <c r="AY69" s="1"/>
      <c r="AZ69" s="1">
        <v>0.28460000000000002</v>
      </c>
      <c r="BA69" s="1">
        <v>0.25990000000000002</v>
      </c>
      <c r="BB69" s="1">
        <v>0.25509999999999999</v>
      </c>
      <c r="BC69" s="1">
        <v>0.25</v>
      </c>
      <c r="BD69" s="1">
        <v>0.26369999999999999</v>
      </c>
      <c r="BE69" s="1">
        <v>0.25659999999999999</v>
      </c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</row>
    <row r="70" spans="1:99">
      <c r="A70" s="3" t="s">
        <v>177</v>
      </c>
      <c r="B70" s="1">
        <v>1559.4739999999999</v>
      </c>
      <c r="C70" s="1">
        <v>26.7</v>
      </c>
      <c r="D70" s="1">
        <v>0.26869999999999999</v>
      </c>
      <c r="E70" s="1">
        <v>0.25459999999999999</v>
      </c>
      <c r="F70" s="1">
        <v>0.25130000000000002</v>
      </c>
      <c r="G70" s="1">
        <v>0.25409999999999999</v>
      </c>
      <c r="H70" s="1">
        <v>0.27200000000000002</v>
      </c>
      <c r="I70" s="1">
        <v>0.2666</v>
      </c>
      <c r="J70" s="1">
        <v>0.24629999999999999</v>
      </c>
      <c r="K70" s="1">
        <v>0.2419</v>
      </c>
      <c r="L70" s="1">
        <v>4.9099999999999998E-2</v>
      </c>
      <c r="M70" s="1"/>
      <c r="N70" s="1"/>
      <c r="O70" s="1"/>
      <c r="P70" s="1">
        <v>0.2671</v>
      </c>
      <c r="Q70" s="1">
        <v>0.26050000000000001</v>
      </c>
      <c r="R70" s="1">
        <v>0.26700000000000002</v>
      </c>
      <c r="S70" s="1">
        <v>0.25869999999999999</v>
      </c>
      <c r="T70" s="1">
        <v>0.25669999999999998</v>
      </c>
      <c r="U70" s="1">
        <v>0.25459999999999999</v>
      </c>
      <c r="V70" s="1"/>
      <c r="W70" s="1"/>
      <c r="X70" s="1"/>
      <c r="Y70" s="1"/>
      <c r="Z70" s="1"/>
      <c r="AA70" s="1"/>
      <c r="AB70" s="1">
        <v>0.26679999999999998</v>
      </c>
      <c r="AC70" s="1">
        <v>0.25440000000000002</v>
      </c>
      <c r="AD70" s="1">
        <v>0.25769999999999998</v>
      </c>
      <c r="AE70" s="1">
        <v>0.27050000000000002</v>
      </c>
      <c r="AF70" s="1">
        <v>0.25740000000000002</v>
      </c>
      <c r="AG70" s="1">
        <v>0.21679999999999999</v>
      </c>
      <c r="AH70" s="1"/>
      <c r="AI70" s="1"/>
      <c r="AJ70" s="1"/>
      <c r="AK70" s="1"/>
      <c r="AL70" s="1"/>
      <c r="AM70" s="1"/>
      <c r="AN70" s="1">
        <v>0.2631</v>
      </c>
      <c r="AO70" s="1">
        <v>0.26169999999999999</v>
      </c>
      <c r="AP70" s="1">
        <v>0.26379999999999998</v>
      </c>
      <c r="AQ70" s="1">
        <v>0.2782</v>
      </c>
      <c r="AR70" s="1">
        <v>0.25629999999999997</v>
      </c>
      <c r="AS70" s="1">
        <v>0.3453</v>
      </c>
      <c r="AT70" s="1"/>
      <c r="AU70" s="1"/>
      <c r="AV70" s="1"/>
      <c r="AW70" s="1"/>
      <c r="AX70" s="1"/>
      <c r="AY70" s="1"/>
      <c r="AZ70" s="1">
        <v>0.2903</v>
      </c>
      <c r="BA70" s="1">
        <v>0.26169999999999999</v>
      </c>
      <c r="BB70" s="1">
        <v>0.2571</v>
      </c>
      <c r="BC70" s="1">
        <v>0.25180000000000002</v>
      </c>
      <c r="BD70" s="1">
        <v>0.26579999999999998</v>
      </c>
      <c r="BE70" s="1">
        <v>0.25850000000000001</v>
      </c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</row>
    <row r="71" spans="1:99">
      <c r="A71" s="3" t="s">
        <v>178</v>
      </c>
      <c r="B71" s="1">
        <v>1619.4749999999999</v>
      </c>
      <c r="C71" s="1">
        <v>26.7</v>
      </c>
      <c r="D71" s="1">
        <v>0.27110000000000001</v>
      </c>
      <c r="E71" s="1">
        <v>0.25690000000000002</v>
      </c>
      <c r="F71" s="1">
        <v>0.25330000000000003</v>
      </c>
      <c r="G71" s="1">
        <v>0.25619999999999998</v>
      </c>
      <c r="H71" s="1">
        <v>0.27389999999999998</v>
      </c>
      <c r="I71" s="1">
        <v>0.26889999999999997</v>
      </c>
      <c r="J71" s="1">
        <v>0.24829999999999999</v>
      </c>
      <c r="K71" s="1">
        <v>0.24399999999999999</v>
      </c>
      <c r="L71" s="1">
        <v>4.9099999999999998E-2</v>
      </c>
      <c r="M71" s="1"/>
      <c r="N71" s="1"/>
      <c r="O71" s="1"/>
      <c r="P71" s="1">
        <v>0.26939999999999997</v>
      </c>
      <c r="Q71" s="1">
        <v>0.26200000000000001</v>
      </c>
      <c r="R71" s="1">
        <v>0.26919999999999999</v>
      </c>
      <c r="S71" s="1">
        <v>0.26079999999999998</v>
      </c>
      <c r="T71" s="1">
        <v>0.25890000000000002</v>
      </c>
      <c r="U71" s="1">
        <v>0.25650000000000001</v>
      </c>
      <c r="V71" s="1"/>
      <c r="W71" s="1"/>
      <c r="X71" s="1"/>
      <c r="Y71" s="1"/>
      <c r="Z71" s="1"/>
      <c r="AA71" s="1"/>
      <c r="AB71" s="1">
        <v>0.27200000000000002</v>
      </c>
      <c r="AC71" s="1">
        <v>0.25700000000000001</v>
      </c>
      <c r="AD71" s="1">
        <v>0.25969999999999999</v>
      </c>
      <c r="AE71" s="1">
        <v>0.27289999999999998</v>
      </c>
      <c r="AF71" s="1">
        <v>0.25950000000000001</v>
      </c>
      <c r="AG71" s="1">
        <v>0.21840000000000001</v>
      </c>
      <c r="AH71" s="1"/>
      <c r="AI71" s="1"/>
      <c r="AJ71" s="1"/>
      <c r="AK71" s="1"/>
      <c r="AL71" s="1"/>
      <c r="AM71" s="1"/>
      <c r="AN71" s="1">
        <v>0.26519999999999999</v>
      </c>
      <c r="AO71" s="1">
        <v>0.26379999999999998</v>
      </c>
      <c r="AP71" s="1">
        <v>0.26600000000000001</v>
      </c>
      <c r="AQ71" s="1">
        <v>0.28110000000000002</v>
      </c>
      <c r="AR71" s="1">
        <v>0.25850000000000001</v>
      </c>
      <c r="AS71" s="1">
        <v>0.3488</v>
      </c>
      <c r="AT71" s="1"/>
      <c r="AU71" s="1"/>
      <c r="AV71" s="1"/>
      <c r="AW71" s="1"/>
      <c r="AX71" s="1"/>
      <c r="AY71" s="1"/>
      <c r="AZ71" s="1">
        <v>0.28849999999999998</v>
      </c>
      <c r="BA71" s="1">
        <v>0.26390000000000002</v>
      </c>
      <c r="BB71" s="1">
        <v>0.25879999999999997</v>
      </c>
      <c r="BC71" s="1">
        <v>0.25390000000000001</v>
      </c>
      <c r="BD71" s="1">
        <v>0.26829999999999998</v>
      </c>
      <c r="BE71" s="1">
        <v>0.2606</v>
      </c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</row>
    <row r="72" spans="1:99">
      <c r="A72" s="3" t="s">
        <v>179</v>
      </c>
      <c r="B72" s="1">
        <v>1679.4670000000001</v>
      </c>
      <c r="C72" s="1">
        <v>26.7</v>
      </c>
      <c r="D72" s="1">
        <v>0.27300000000000002</v>
      </c>
      <c r="E72" s="1">
        <v>0.25869999999999999</v>
      </c>
      <c r="F72" s="1">
        <v>0.25509999999999999</v>
      </c>
      <c r="G72" s="1">
        <v>0.2581</v>
      </c>
      <c r="H72" s="1">
        <v>0.2762</v>
      </c>
      <c r="I72" s="1">
        <v>0.27079999999999999</v>
      </c>
      <c r="J72" s="1">
        <v>0.25030000000000002</v>
      </c>
      <c r="K72" s="1">
        <v>0.24590000000000001</v>
      </c>
      <c r="L72" s="1">
        <v>4.9099999999999998E-2</v>
      </c>
      <c r="M72" s="1"/>
      <c r="N72" s="1"/>
      <c r="O72" s="1"/>
      <c r="P72" s="1">
        <v>0.27160000000000001</v>
      </c>
      <c r="Q72" s="1">
        <v>0.26369999999999999</v>
      </c>
      <c r="R72" s="1">
        <v>0.27110000000000001</v>
      </c>
      <c r="S72" s="1">
        <v>0.26269999999999999</v>
      </c>
      <c r="T72" s="1">
        <v>0.26079999999999998</v>
      </c>
      <c r="U72" s="1">
        <v>0.25840000000000002</v>
      </c>
      <c r="V72" s="1"/>
      <c r="W72" s="1"/>
      <c r="X72" s="1"/>
      <c r="Y72" s="1"/>
      <c r="Z72" s="1"/>
      <c r="AA72" s="1"/>
      <c r="AB72" s="1">
        <v>0.2762</v>
      </c>
      <c r="AC72" s="1">
        <v>0.25890000000000002</v>
      </c>
      <c r="AD72" s="1">
        <v>0.26150000000000001</v>
      </c>
      <c r="AE72" s="1">
        <v>0.27450000000000002</v>
      </c>
      <c r="AF72" s="1">
        <v>0.26150000000000001</v>
      </c>
      <c r="AG72" s="1">
        <v>0.2198</v>
      </c>
      <c r="AH72" s="1"/>
      <c r="AI72" s="1"/>
      <c r="AJ72" s="1"/>
      <c r="AK72" s="1"/>
      <c r="AL72" s="1"/>
      <c r="AM72" s="1"/>
      <c r="AN72" s="1">
        <v>0.26719999999999999</v>
      </c>
      <c r="AO72" s="1">
        <v>0.26600000000000001</v>
      </c>
      <c r="AP72" s="1">
        <v>0.26829999999999998</v>
      </c>
      <c r="AQ72" s="1">
        <v>0.28000000000000003</v>
      </c>
      <c r="AR72" s="1">
        <v>0.26050000000000001</v>
      </c>
      <c r="AS72" s="1">
        <v>0.3518</v>
      </c>
      <c r="AT72" s="1"/>
      <c r="AU72" s="1"/>
      <c r="AV72" s="1"/>
      <c r="AW72" s="1"/>
      <c r="AX72" s="1"/>
      <c r="AY72" s="1"/>
      <c r="AZ72" s="1">
        <v>0.29480000000000001</v>
      </c>
      <c r="BA72" s="1">
        <v>0.26600000000000001</v>
      </c>
      <c r="BB72" s="1">
        <v>0.26050000000000001</v>
      </c>
      <c r="BC72" s="1">
        <v>0.25580000000000003</v>
      </c>
      <c r="BD72" s="1">
        <v>0.27029999999999998</v>
      </c>
      <c r="BE72" s="1">
        <v>0.26250000000000001</v>
      </c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</row>
    <row r="73" spans="1:99">
      <c r="A73" s="3" t="s">
        <v>180</v>
      </c>
      <c r="B73" s="1">
        <v>1739.47</v>
      </c>
      <c r="C73" s="1">
        <v>26.6</v>
      </c>
      <c r="D73" s="1">
        <v>0.27529999999999999</v>
      </c>
      <c r="E73" s="1">
        <v>0.26050000000000001</v>
      </c>
      <c r="F73" s="1">
        <v>0.25729999999999997</v>
      </c>
      <c r="G73" s="1">
        <v>0.2601</v>
      </c>
      <c r="H73" s="1">
        <v>0.2777</v>
      </c>
      <c r="I73" s="1">
        <v>0.27279999999999999</v>
      </c>
      <c r="J73" s="1">
        <v>0.25230000000000002</v>
      </c>
      <c r="K73" s="1">
        <v>0.24809999999999999</v>
      </c>
      <c r="L73" s="1">
        <v>4.9099999999999998E-2</v>
      </c>
      <c r="M73" s="1"/>
      <c r="N73" s="1"/>
      <c r="O73" s="1"/>
      <c r="P73" s="1">
        <v>0.27389999999999998</v>
      </c>
      <c r="Q73" s="1">
        <v>0.26529999999999998</v>
      </c>
      <c r="R73" s="1">
        <v>0.2737</v>
      </c>
      <c r="S73" s="1">
        <v>0.2646</v>
      </c>
      <c r="T73" s="1">
        <v>0.26300000000000001</v>
      </c>
      <c r="U73" s="1">
        <v>0.26050000000000001</v>
      </c>
      <c r="V73" s="1"/>
      <c r="W73" s="1"/>
      <c r="X73" s="1"/>
      <c r="Y73" s="1"/>
      <c r="Z73" s="1"/>
      <c r="AA73" s="1"/>
      <c r="AB73" s="1">
        <v>0.27850000000000003</v>
      </c>
      <c r="AC73" s="1">
        <v>0.2611</v>
      </c>
      <c r="AD73" s="1">
        <v>0.26390000000000002</v>
      </c>
      <c r="AE73" s="1">
        <v>0.27639999999999998</v>
      </c>
      <c r="AF73" s="1">
        <v>0.26350000000000001</v>
      </c>
      <c r="AG73" s="1">
        <v>0.2215</v>
      </c>
      <c r="AH73" s="1"/>
      <c r="AI73" s="1"/>
      <c r="AJ73" s="1"/>
      <c r="AK73" s="1"/>
      <c r="AL73" s="1"/>
      <c r="AM73" s="1"/>
      <c r="AN73" s="1">
        <v>0.26910000000000001</v>
      </c>
      <c r="AO73" s="1">
        <v>0.26790000000000003</v>
      </c>
      <c r="AP73" s="1">
        <v>0.27060000000000001</v>
      </c>
      <c r="AQ73" s="1">
        <v>0.2767</v>
      </c>
      <c r="AR73" s="1">
        <v>0.26250000000000001</v>
      </c>
      <c r="AS73" s="1">
        <v>0.35339999999999999</v>
      </c>
      <c r="AT73" s="1"/>
      <c r="AU73" s="1"/>
      <c r="AV73" s="1"/>
      <c r="AW73" s="1"/>
      <c r="AX73" s="1"/>
      <c r="AY73" s="1"/>
      <c r="AZ73" s="1">
        <v>0.29420000000000002</v>
      </c>
      <c r="BA73" s="1">
        <v>0.2681</v>
      </c>
      <c r="BB73" s="1">
        <v>0.2626</v>
      </c>
      <c r="BC73" s="1">
        <v>0.25729999999999997</v>
      </c>
      <c r="BD73" s="1">
        <v>0.27250000000000002</v>
      </c>
      <c r="BE73" s="1">
        <v>0.26440000000000002</v>
      </c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</row>
    <row r="74" spans="1:99">
      <c r="A74" s="1" t="s">
        <v>215</v>
      </c>
      <c r="B74" s="1">
        <f>B73/60</f>
        <v>28.991166666666668</v>
      </c>
      <c r="C74" s="1"/>
      <c r="D74" s="1"/>
      <c r="E74" s="1"/>
      <c r="F74" s="1"/>
      <c r="G74" s="1"/>
      <c r="H74" s="1"/>
      <c r="I74" s="1"/>
      <c r="J74" s="1"/>
      <c r="K74" s="1"/>
    </row>
    <row r="75" spans="1:99">
      <c r="A75" s="1" t="s">
        <v>181</v>
      </c>
      <c r="B75" s="1"/>
      <c r="C75" s="1"/>
      <c r="D75" s="1"/>
      <c r="E75" s="1" t="s">
        <v>182</v>
      </c>
      <c r="F75" s="1"/>
      <c r="G75" s="1"/>
      <c r="H75" s="1"/>
      <c r="I75" s="1"/>
      <c r="J75" s="1"/>
      <c r="K75" s="1"/>
    </row>
    <row r="76" spans="1:99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99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99">
      <c r="D78">
        <f>D73-D44</f>
        <v>8.359999999999998E-2</v>
      </c>
      <c r="E78">
        <f t="shared" ref="E78:K78" si="0">E73-E44</f>
        <v>8.1000000000000016E-2</v>
      </c>
      <c r="F78">
        <f t="shared" si="0"/>
        <v>7.4899999999999967E-2</v>
      </c>
      <c r="G78">
        <f t="shared" si="0"/>
        <v>7.8800000000000009E-2</v>
      </c>
      <c r="H78">
        <f t="shared" si="0"/>
        <v>8.9100000000000013E-2</v>
      </c>
      <c r="I78">
        <f t="shared" si="0"/>
        <v>8.1799999999999984E-2</v>
      </c>
      <c r="J78" s="6">
        <f t="shared" si="0"/>
        <v>7.1400000000000019E-2</v>
      </c>
      <c r="K78" s="6">
        <f t="shared" si="0"/>
        <v>6.8999999999999978E-2</v>
      </c>
      <c r="L78" s="5">
        <f t="shared" ref="L78" si="1">L73-L44</f>
        <v>-1.0000000000000286E-4</v>
      </c>
      <c r="P78">
        <f>P73-P44</f>
        <v>8.4899999999999975E-2</v>
      </c>
      <c r="Q78">
        <f t="shared" ref="Q78:U78" si="2">Q73-Q44</f>
        <v>8.0599999999999977E-2</v>
      </c>
      <c r="R78">
        <f t="shared" si="2"/>
        <v>8.5699999999999998E-2</v>
      </c>
      <c r="S78">
        <f t="shared" si="2"/>
        <v>7.8399999999999997E-2</v>
      </c>
      <c r="T78">
        <f t="shared" si="2"/>
        <v>7.7800000000000008E-2</v>
      </c>
      <c r="U78">
        <f t="shared" si="2"/>
        <v>7.7200000000000019E-2</v>
      </c>
      <c r="AB78">
        <f>AB73-AB44</f>
        <v>9.0900000000000036E-2</v>
      </c>
      <c r="AC78">
        <f t="shared" ref="AC78:AG78" si="3">AC73-AC44</f>
        <v>7.5600000000000001E-2</v>
      </c>
      <c r="AD78">
        <f t="shared" si="3"/>
        <v>7.6800000000000035E-2</v>
      </c>
      <c r="AE78">
        <f t="shared" si="3"/>
        <v>8.6499999999999966E-2</v>
      </c>
      <c r="AF78">
        <f t="shared" si="3"/>
        <v>8.0500000000000016E-2</v>
      </c>
      <c r="AG78">
        <f t="shared" si="3"/>
        <v>6.4000000000000001E-2</v>
      </c>
      <c r="AN78">
        <f>AN73-AN44</f>
        <v>8.610000000000001E-2</v>
      </c>
      <c r="AO78">
        <f t="shared" ref="AO78:AS78" si="4">AO73-AO44</f>
        <v>8.0300000000000038E-2</v>
      </c>
      <c r="AP78">
        <f t="shared" si="4"/>
        <v>8.09E-2</v>
      </c>
      <c r="AQ78">
        <f t="shared" si="4"/>
        <v>8.3800000000000013E-2</v>
      </c>
      <c r="AR78">
        <f t="shared" si="4"/>
        <v>8.0100000000000005E-2</v>
      </c>
      <c r="AS78">
        <f t="shared" si="4"/>
        <v>0.1164</v>
      </c>
      <c r="AZ78">
        <f>AZ73-AZ44</f>
        <v>9.6700000000000008E-2</v>
      </c>
      <c r="BA78">
        <f t="shared" ref="BA78:BE78" si="5">BA73-BA44</f>
        <v>8.4400000000000003E-2</v>
      </c>
      <c r="BB78">
        <f t="shared" si="5"/>
        <v>7.7399999999999997E-2</v>
      </c>
      <c r="BC78">
        <f t="shared" si="5"/>
        <v>7.3999999999999982E-2</v>
      </c>
      <c r="BD78">
        <f t="shared" si="5"/>
        <v>8.4300000000000014E-2</v>
      </c>
      <c r="BE78">
        <f t="shared" si="5"/>
        <v>8.1700000000000023E-2</v>
      </c>
    </row>
    <row r="80" spans="1:99">
      <c r="J80">
        <f>AVERAGE(J78:K78)</f>
        <v>7.0199999999999999E-2</v>
      </c>
    </row>
    <row r="81" spans="2:57">
      <c r="B81" s="1" t="s">
        <v>51</v>
      </c>
    </row>
    <row r="82" spans="2:57">
      <c r="B82" s="1" t="s">
        <v>182</v>
      </c>
    </row>
    <row r="83" spans="2:57">
      <c r="B83" s="4" t="s">
        <v>216</v>
      </c>
      <c r="D83">
        <f>D44-D73</f>
        <v>-8.359999999999998E-2</v>
      </c>
      <c r="E83">
        <f t="shared" ref="E83:L83" si="6">E44-E73</f>
        <v>-8.1000000000000016E-2</v>
      </c>
      <c r="F83">
        <f t="shared" si="6"/>
        <v>-7.4899999999999967E-2</v>
      </c>
      <c r="G83">
        <f t="shared" si="6"/>
        <v>-7.8800000000000009E-2</v>
      </c>
      <c r="H83">
        <f t="shared" si="6"/>
        <v>-8.9100000000000013E-2</v>
      </c>
      <c r="I83">
        <f t="shared" si="6"/>
        <v>-8.1799999999999984E-2</v>
      </c>
      <c r="J83">
        <f t="shared" si="6"/>
        <v>-7.1400000000000019E-2</v>
      </c>
      <c r="K83">
        <f t="shared" si="6"/>
        <v>-6.8999999999999978E-2</v>
      </c>
      <c r="L83">
        <f t="shared" si="6"/>
        <v>1.0000000000000286E-4</v>
      </c>
      <c r="P83">
        <f>P44-P73</f>
        <v>-8.4899999999999975E-2</v>
      </c>
      <c r="Q83">
        <f t="shared" ref="Q83:X83" si="7">Q44-Q73</f>
        <v>-8.0599999999999977E-2</v>
      </c>
      <c r="R83">
        <f t="shared" si="7"/>
        <v>-8.5699999999999998E-2</v>
      </c>
      <c r="S83">
        <f t="shared" si="7"/>
        <v>-7.8399999999999997E-2</v>
      </c>
      <c r="T83">
        <f t="shared" si="7"/>
        <v>-7.7800000000000008E-2</v>
      </c>
      <c r="U83">
        <f t="shared" si="7"/>
        <v>-7.7200000000000019E-2</v>
      </c>
      <c r="AB83">
        <f>AB44-AB73</f>
        <v>-9.0900000000000036E-2</v>
      </c>
      <c r="AC83">
        <f t="shared" ref="AC83:AG83" si="8">AC44-AC73</f>
        <v>-7.5600000000000001E-2</v>
      </c>
      <c r="AD83">
        <f t="shared" si="8"/>
        <v>-7.6800000000000035E-2</v>
      </c>
      <c r="AE83">
        <f t="shared" si="8"/>
        <v>-8.6499999999999966E-2</v>
      </c>
      <c r="AF83">
        <f t="shared" si="8"/>
        <v>-8.0500000000000016E-2</v>
      </c>
      <c r="AG83">
        <f t="shared" si="8"/>
        <v>-6.4000000000000001E-2</v>
      </c>
      <c r="AN83">
        <f>AN44-AN73</f>
        <v>-8.610000000000001E-2</v>
      </c>
      <c r="AO83">
        <f t="shared" ref="AO83:AS83" si="9">AO44-AO73</f>
        <v>-8.0300000000000038E-2</v>
      </c>
      <c r="AP83">
        <f t="shared" si="9"/>
        <v>-8.09E-2</v>
      </c>
      <c r="AQ83">
        <f t="shared" si="9"/>
        <v>-8.3800000000000013E-2</v>
      </c>
      <c r="AR83">
        <f t="shared" si="9"/>
        <v>-8.0100000000000005E-2</v>
      </c>
      <c r="AS83">
        <f t="shared" si="9"/>
        <v>-0.1164</v>
      </c>
      <c r="AZ83">
        <f>AZ44-AZ73</f>
        <v>-9.6700000000000008E-2</v>
      </c>
      <c r="BA83">
        <f t="shared" ref="BA83:BE83" si="10">BA44-BA73</f>
        <v>-8.4400000000000003E-2</v>
      </c>
      <c r="BB83">
        <f t="shared" si="10"/>
        <v>-7.7399999999999997E-2</v>
      </c>
      <c r="BC83">
        <f t="shared" si="10"/>
        <v>-7.3999999999999982E-2</v>
      </c>
      <c r="BD83">
        <f t="shared" si="10"/>
        <v>-8.4300000000000014E-2</v>
      </c>
      <c r="BE83">
        <f t="shared" si="10"/>
        <v>-8.1700000000000023E-2</v>
      </c>
    </row>
    <row r="84" spans="2:57">
      <c r="B84" s="4" t="s">
        <v>217</v>
      </c>
      <c r="D84" s="7">
        <f>D83-$J83</f>
        <v>-1.2199999999999961E-2</v>
      </c>
      <c r="E84" s="7">
        <f t="shared" ref="E84:I84" si="11">E83-$J83</f>
        <v>-9.5999999999999974E-3</v>
      </c>
      <c r="F84" s="7">
        <f t="shared" si="11"/>
        <v>-3.4999999999999476E-3</v>
      </c>
      <c r="G84" s="7">
        <f t="shared" si="11"/>
        <v>-7.3999999999999899E-3</v>
      </c>
      <c r="H84" s="7">
        <f t="shared" si="11"/>
        <v>-1.7699999999999994E-2</v>
      </c>
      <c r="I84" s="7">
        <f t="shared" si="11"/>
        <v>-1.0399999999999965E-2</v>
      </c>
      <c r="P84" s="5">
        <f>P83-$J83</f>
        <v>-1.3499999999999956E-2</v>
      </c>
      <c r="Q84" s="5">
        <f t="shared" ref="Q84" si="12">Q83-$J83</f>
        <v>-9.1999999999999582E-3</v>
      </c>
      <c r="R84" s="5">
        <f t="shared" ref="R84" si="13">R83-$J83</f>
        <v>-1.4299999999999979E-2</v>
      </c>
      <c r="S84" s="5">
        <f t="shared" ref="S84" si="14">S83-$J83</f>
        <v>-6.9999999999999785E-3</v>
      </c>
      <c r="T84" s="5">
        <f t="shared" ref="T84" si="15">T83-$J83</f>
        <v>-6.399999999999989E-3</v>
      </c>
      <c r="U84" s="5">
        <f t="shared" ref="U84" si="16">U83-$J83</f>
        <v>-5.7999999999999996E-3</v>
      </c>
      <c r="AB84" s="7">
        <f>AB83-$J83</f>
        <v>-1.9500000000000017E-2</v>
      </c>
      <c r="AC84" s="7">
        <f t="shared" ref="AC84" si="17">AC83-$J83</f>
        <v>-4.1999999999999815E-3</v>
      </c>
      <c r="AD84" s="7">
        <f t="shared" ref="AD84" si="18">AD83-$J83</f>
        <v>-5.4000000000000159E-3</v>
      </c>
      <c r="AE84" s="7">
        <f t="shared" ref="AE84" si="19">AE83-$J83</f>
        <v>-1.5099999999999947E-2</v>
      </c>
      <c r="AF84" s="7">
        <f t="shared" ref="AF84" si="20">AF83-$J83</f>
        <v>-9.099999999999997E-3</v>
      </c>
      <c r="AG84" s="7">
        <f t="shared" ref="AG84" si="21">AG83-$J83</f>
        <v>7.4000000000000177E-3</v>
      </c>
      <c r="AN84" s="7">
        <f>AN83-$J83</f>
        <v>-1.4699999999999991E-2</v>
      </c>
      <c r="AO84" s="7">
        <f t="shared" ref="AO84" si="22">AO83-$J83</f>
        <v>-8.900000000000019E-3</v>
      </c>
      <c r="AP84" s="7">
        <f t="shared" ref="AP84" si="23">AP83-$J83</f>
        <v>-9.4999999999999807E-3</v>
      </c>
      <c r="AQ84" s="7">
        <f t="shared" ref="AQ84" si="24">AQ83-$J83</f>
        <v>-1.2399999999999994E-2</v>
      </c>
      <c r="AR84" s="7">
        <f t="shared" ref="AR84" si="25">AR83-$J83</f>
        <v>-8.6999999999999855E-3</v>
      </c>
      <c r="AS84" s="7">
        <f t="shared" ref="AS84" si="26">AS83-$J83</f>
        <v>-4.4999999999999984E-2</v>
      </c>
      <c r="AZ84" s="7">
        <f>AZ83-$J83</f>
        <v>-2.5299999999999989E-2</v>
      </c>
      <c r="BA84" s="7">
        <f t="shared" ref="BA84" si="27">BA83-$J83</f>
        <v>-1.2999999999999984E-2</v>
      </c>
      <c r="BB84" s="7">
        <f t="shared" ref="BB84" si="28">BB83-$J83</f>
        <v>-5.9999999999999776E-3</v>
      </c>
      <c r="BC84" s="7">
        <f t="shared" ref="BC84" si="29">BC83-$J83</f>
        <v>-2.5999999999999635E-3</v>
      </c>
      <c r="BD84" s="7">
        <f t="shared" ref="BD84" si="30">BD83-$J83</f>
        <v>-1.2899999999999995E-2</v>
      </c>
      <c r="BE84" s="7">
        <f t="shared" ref="BE84" si="31">BE83-$J83</f>
        <v>-1.0300000000000004E-2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YANG LIAO</cp:lastModifiedBy>
  <dcterms:created xsi:type="dcterms:W3CDTF">2026-06-25T11:23:24Z</dcterms:created>
  <dcterms:modified xsi:type="dcterms:W3CDTF">2026-08-26T08:52:51Z</dcterms:modified>
</cp:coreProperties>
</file>