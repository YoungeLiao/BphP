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20260327-NO2NH4HCO3-PASH/"/>
    </mc:Choice>
  </mc:AlternateContent>
  <xr:revisionPtr revIDLastSave="0" documentId="13_ncr:1_{E7584CCB-E7F6-4C48-BB3E-A9DE1814329F}" xr6:coauthVersionLast="47" xr6:coauthVersionMax="47" xr10:uidLastSave="{00000000-0000-0000-0000-000000000000}"/>
  <bookViews>
    <workbookView xWindow="360" yWindow="600" windowWidth="24460" windowHeight="158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7" i="1" l="1"/>
  <c r="AG47" i="1"/>
  <c r="AF46" i="1"/>
  <c r="AG46" i="1"/>
  <c r="W47" i="1"/>
  <c r="X47" i="1"/>
  <c r="Y47" i="1"/>
  <c r="Z47" i="1"/>
  <c r="AA47" i="1"/>
  <c r="AB47" i="1"/>
  <c r="AC47" i="1"/>
  <c r="AD47" i="1"/>
  <c r="AE47" i="1"/>
  <c r="V47" i="1"/>
  <c r="W46" i="1"/>
  <c r="X46" i="1"/>
  <c r="Y46" i="1"/>
  <c r="Z46" i="1"/>
  <c r="AA46" i="1"/>
  <c r="AB46" i="1"/>
  <c r="AC46" i="1"/>
  <c r="AD46" i="1"/>
  <c r="AE46" i="1"/>
  <c r="V46" i="1"/>
  <c r="N47" i="1"/>
  <c r="O47" i="1"/>
  <c r="P47" i="1"/>
  <c r="Q47" i="1"/>
  <c r="R47" i="1"/>
  <c r="S47" i="1"/>
  <c r="T47" i="1"/>
  <c r="U47" i="1"/>
  <c r="M47" i="1"/>
  <c r="N46" i="1"/>
  <c r="O46" i="1"/>
  <c r="P46" i="1"/>
  <c r="Q46" i="1"/>
  <c r="R46" i="1"/>
  <c r="S46" i="1"/>
  <c r="T46" i="1"/>
  <c r="U46" i="1"/>
  <c r="M46" i="1"/>
  <c r="E47" i="1"/>
  <c r="F47" i="1"/>
  <c r="G47" i="1"/>
  <c r="H47" i="1"/>
  <c r="I47" i="1"/>
  <c r="J47" i="1"/>
  <c r="K47" i="1"/>
  <c r="L47" i="1"/>
  <c r="D47" i="1"/>
  <c r="E46" i="1"/>
  <c r="F46" i="1"/>
  <c r="G46" i="1"/>
  <c r="H46" i="1"/>
  <c r="I46" i="1"/>
  <c r="J46" i="1"/>
  <c r="K46" i="1"/>
  <c r="L46" i="1"/>
  <c r="D46" i="1"/>
</calcChain>
</file>

<file path=xl/sharedStrings.xml><?xml version="1.0" encoding="utf-8"?>
<sst xmlns="http://schemas.openxmlformats.org/spreadsheetml/2006/main" count="237" uniqueCount="185">
  <si>
    <t>Method name: NH4_Younge_20260302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</si>
  <si>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</si>
  <si>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</si>
  <si>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</si>
  <si>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</si>
  <si>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</si>
  <si>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</si>
  <si>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</si>
  <si>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</si>
  <si>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2026-03-29</t>
  </si>
  <si>
    <t>Time:</t>
  </si>
  <si>
    <t>18:19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</si>
  <si>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</si>
  <si>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</si>
  <si>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</si>
  <si>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</si>
  <si>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</si>
  <si>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</si>
  <si>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</si>
  <si>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</si>
  <si>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</si>
  <si>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</si>
  <si>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</si>
  <si>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</si>
  <si>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</si>
  <si>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</si>
  <si>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</si>
  <si>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</si>
  <si>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</si>
  <si>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</si>
  <si>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</si>
  <si>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</si>
  <si>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A1-D10;E1-F12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</si>
  <si>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</si>
  <si>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</si>
  <si>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</si>
  <si>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</si>
  <si>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</si>
  <si>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</si>
  <si>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</si>
  <si>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</si>
  <si>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</si>
  <si>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</si>
  <si>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</si>
  <si>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2026-03-29 18:18:19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</si>
  <si>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</si>
  <si>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</si>
  <si>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</si>
  <si>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</si>
  <si>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</si>
  <si>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</si>
  <si>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</si>
  <si>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</si>
  <si>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</si>
  <si>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</si>
  <si>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</si>
  <si>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</si>
  <si>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</si>
  <si>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</si>
  <si>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</si>
  <si>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</si>
  <si>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</si>
  <si>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</si>
  <si>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</si>
  <si>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</si>
  <si>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</si>
  <si>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</si>
  <si>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</si>
  <si>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</si>
  <si>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</si>
  <si>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</si>
  <si>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</si>
  <si>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</si>
  <si>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</si>
  <si>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</si>
  <si>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</si>
  <si>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</si>
  <si>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</si>
  <si>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</si>
  <si>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</si>
  <si>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</si>
  <si>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</si>
  <si>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</si>
  <si>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</si>
  <si>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</si>
  <si>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</si>
  <si>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</si>
  <si>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</si>
  <si>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</si>
  <si>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</si>
  <si>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</si>
  <si>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</si>
  <si>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</si>
  <si>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</si>
  <si>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</si>
  <si>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</si>
  <si>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</si>
  <si>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</si>
  <si>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</si>
  <si>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</si>
  <si>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</si>
  <si>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</si>
  <si>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</si>
  <si>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</si>
  <si>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</si>
  <si>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</si>
  <si>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</si>
  <si>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</si>
  <si>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</si>
  <si>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</si>
  <si>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</si>
  <si>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</si>
  <si>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</si>
  <si>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</si>
  <si>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</si>
  <si>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</si>
  <si>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</si>
  <si>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</si>
  <si>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</si>
  <si>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</si>
  <si>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</si>
  <si>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</si>
  <si>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</si>
  <si>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</si>
  <si>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</si>
  <si>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</si>
  <si>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</si>
  <si>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</si>
  <si>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</si>
  <si>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</si>
  <si>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</si>
  <si>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</si>
  <si>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</si>
  <si>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</si>
  <si>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</si>
  <si>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</si>
  <si>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</si>
  <si>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</si>
  <si>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</si>
  <si>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</si>
  <si>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</si>
  <si>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</si>
  <si>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</si>
  <si>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</si>
  <si>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</si>
  <si>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</si>
  <si>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</si>
  <si>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</si>
  <si>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2026-03-29 18:19:07</t>
  </si>
  <si>
    <r>
      <t>P</t>
    </r>
    <r>
      <rPr>
        <sz val="11"/>
        <color rgb="FF000000"/>
        <rFont val="Calibri"/>
        <family val="2"/>
      </rPr>
      <t>1-D</t>
    </r>
    <phoneticPr fontId="3" type="noConversion"/>
  </si>
  <si>
    <r>
      <t>P</t>
    </r>
    <r>
      <rPr>
        <sz val="11"/>
        <color rgb="FF000000"/>
        <rFont val="Calibri"/>
        <family val="2"/>
      </rPr>
      <t>2-D</t>
    </r>
    <phoneticPr fontId="3" type="noConversion"/>
  </si>
  <si>
    <r>
      <t>P</t>
    </r>
    <r>
      <rPr>
        <sz val="11"/>
        <color rgb="FF000000"/>
        <rFont val="Calibri"/>
        <family val="2"/>
      </rPr>
      <t>3-D</t>
    </r>
    <phoneticPr fontId="3" type="noConversion"/>
  </si>
  <si>
    <r>
      <t>A</t>
    </r>
    <r>
      <rPr>
        <sz val="11"/>
        <color rgb="FF000000"/>
        <rFont val="Calibri"/>
        <family val="2"/>
      </rPr>
      <t>1-D</t>
    </r>
    <phoneticPr fontId="3" type="noConversion"/>
  </si>
  <si>
    <r>
      <t>A</t>
    </r>
    <r>
      <rPr>
        <sz val="11"/>
        <color rgb="FF000000"/>
        <rFont val="Calibri"/>
        <family val="2"/>
      </rPr>
      <t>2-D</t>
    </r>
    <phoneticPr fontId="3" type="noConversion"/>
  </si>
  <si>
    <t>A</t>
    <phoneticPr fontId="3" type="noConversion"/>
  </si>
  <si>
    <r>
      <t>A</t>
    </r>
    <r>
      <rPr>
        <sz val="11"/>
        <color rgb="FF000000"/>
        <rFont val="Calibri"/>
        <family val="2"/>
      </rPr>
      <t>3-D</t>
    </r>
    <phoneticPr fontId="3" type="noConversion"/>
  </si>
  <si>
    <r>
      <t>P</t>
    </r>
    <r>
      <rPr>
        <sz val="11"/>
        <color rgb="FF000000"/>
        <rFont val="Calibri"/>
        <family val="2"/>
      </rPr>
      <t>1-I</t>
    </r>
    <phoneticPr fontId="3" type="noConversion"/>
  </si>
  <si>
    <r>
      <t>P</t>
    </r>
    <r>
      <rPr>
        <sz val="11"/>
        <color rgb="FF000000"/>
        <rFont val="Calibri"/>
        <family val="2"/>
      </rPr>
      <t>2-I</t>
    </r>
    <phoneticPr fontId="3" type="noConversion"/>
  </si>
  <si>
    <t>P3-I</t>
    <phoneticPr fontId="3" type="noConversion"/>
  </si>
  <si>
    <r>
      <t>3</t>
    </r>
    <r>
      <rPr>
        <sz val="11"/>
        <color rgb="FF000000"/>
        <rFont val="Calibri"/>
        <family val="2"/>
      </rPr>
      <t>.27-IR</t>
    </r>
    <phoneticPr fontId="3" type="noConversion"/>
  </si>
  <si>
    <r>
      <t>3</t>
    </r>
    <r>
      <rPr>
        <sz val="11"/>
        <rFont val="Calibri"/>
        <family val="2"/>
      </rPr>
      <t>.27-IR</t>
    </r>
    <phoneticPr fontId="3" type="noConversion"/>
  </si>
  <si>
    <r>
      <t>P</t>
    </r>
    <r>
      <rPr>
        <sz val="11"/>
        <rFont val="Calibri"/>
        <family val="2"/>
      </rPr>
      <t>1-NO</t>
    </r>
    <phoneticPr fontId="3" type="noConversion"/>
  </si>
  <si>
    <r>
      <t>P</t>
    </r>
    <r>
      <rPr>
        <sz val="11"/>
        <rFont val="Calibri"/>
        <family val="2"/>
      </rPr>
      <t>2-NO</t>
    </r>
    <phoneticPr fontId="3" type="noConversion"/>
  </si>
  <si>
    <r>
      <t>P</t>
    </r>
    <r>
      <rPr>
        <sz val="11"/>
        <rFont val="Calibri"/>
        <family val="2"/>
      </rPr>
      <t>3-NO</t>
    </r>
    <phoneticPr fontId="3" type="noConversion"/>
  </si>
  <si>
    <t>S1-NO</t>
    <phoneticPr fontId="3" type="noConversion"/>
  </si>
  <si>
    <t>S2-NO</t>
    <phoneticPr fontId="3" type="noConversion"/>
  </si>
  <si>
    <t>S3-NO</t>
    <phoneticPr fontId="3" type="noConversion"/>
  </si>
  <si>
    <t>H1-D</t>
    <phoneticPr fontId="3" type="noConversion"/>
  </si>
  <si>
    <t>H2-D</t>
    <phoneticPr fontId="3" type="noConversion"/>
  </si>
  <si>
    <t>H3-D</t>
    <phoneticPr fontId="3" type="noConversion"/>
  </si>
  <si>
    <t>H1-I</t>
    <phoneticPr fontId="3" type="noConversion"/>
  </si>
  <si>
    <t>H2-I</t>
    <phoneticPr fontId="3" type="noConversion"/>
  </si>
  <si>
    <t>H3-I</t>
    <phoneticPr fontId="3" type="noConversion"/>
  </si>
  <si>
    <r>
      <t>S</t>
    </r>
    <r>
      <rPr>
        <sz val="11"/>
        <color rgb="FF000000"/>
        <rFont val="Calibri"/>
        <family val="2"/>
      </rPr>
      <t>1-I</t>
    </r>
  </si>
  <si>
    <r>
      <t>S</t>
    </r>
    <r>
      <rPr>
        <sz val="11"/>
        <color rgb="FF000000"/>
        <rFont val="Calibri"/>
        <family val="2"/>
      </rPr>
      <t>2-I</t>
    </r>
  </si>
  <si>
    <t>S3-I</t>
  </si>
  <si>
    <t>S1-I</t>
  </si>
  <si>
    <t>Dark</t>
  </si>
  <si>
    <t>IR</t>
  </si>
  <si>
    <t>P</t>
  </si>
  <si>
    <t>A</t>
  </si>
  <si>
    <t>S</t>
  </si>
  <si>
    <t>NO-IR</t>
  </si>
  <si>
    <t>H-D</t>
  </si>
  <si>
    <t>H-I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</si>
</sst>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8"/>
  <sheetViews>
    <sheetView tabSelected="1" topLeftCell="X21" workbookViewId="0">
      <selection activeCell="Y37" sqref="Y3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3.27</v>
      </c>
      <c r="E36" s="1"/>
      <c r="F36" s="1"/>
      <c r="G36" s="1"/>
      <c r="H36" s="1"/>
      <c r="I36" s="1"/>
      <c r="J36" s="1"/>
      <c r="K36" s="1"/>
      <c r="P36" s="1">
        <v>3.27</v>
      </c>
      <c r="Q36" s="1"/>
      <c r="R36" s="1"/>
      <c r="S36" s="1"/>
      <c r="T36" s="1"/>
      <c r="U36" s="1"/>
      <c r="V36" s="1"/>
      <c r="W36" s="1"/>
      <c r="AB36" s="4" t="s">
        <v>159</v>
      </c>
      <c r="AC36" s="1"/>
      <c r="AD36" s="1"/>
      <c r="AE36" s="1"/>
      <c r="AF36" s="1"/>
      <c r="AG36" s="1"/>
      <c r="AH36" s="1"/>
      <c r="AI36" s="1"/>
      <c r="AN36" s="4" t="s">
        <v>159</v>
      </c>
      <c r="AO36" s="1"/>
      <c r="AP36" s="1"/>
      <c r="AQ36" s="1"/>
      <c r="AR36" s="1"/>
      <c r="AS36" s="1"/>
      <c r="AT36" s="1"/>
      <c r="AU36" s="1"/>
      <c r="AZ36" s="5" t="s">
        <v>160</v>
      </c>
      <c r="BL36" s="5" t="s">
        <v>160</v>
      </c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155</v>
      </c>
      <c r="J37" s="4" t="s">
        <v>156</v>
      </c>
      <c r="K37" s="4" t="s">
        <v>157</v>
      </c>
      <c r="L37" s="4" t="s">
        <v>158</v>
      </c>
      <c r="P37" s="4" t="s">
        <v>149</v>
      </c>
      <c r="Q37" s="4" t="s">
        <v>150</v>
      </c>
      <c r="R37" s="4" t="s">
        <v>151</v>
      </c>
      <c r="S37" s="4" t="s">
        <v>152</v>
      </c>
      <c r="T37" s="4" t="s">
        <v>153</v>
      </c>
      <c r="U37" s="4" t="s">
        <v>155</v>
      </c>
      <c r="V37" s="4" t="s">
        <v>156</v>
      </c>
      <c r="W37" s="4" t="s">
        <v>157</v>
      </c>
      <c r="X37" s="4" t="s">
        <v>158</v>
      </c>
      <c r="AB37" s="4" t="s">
        <v>149</v>
      </c>
      <c r="AC37" s="4" t="s">
        <v>150</v>
      </c>
      <c r="AD37" s="4" t="s">
        <v>151</v>
      </c>
      <c r="AE37" s="4" t="s">
        <v>152</v>
      </c>
      <c r="AF37" s="4" t="s">
        <v>153</v>
      </c>
      <c r="AG37" s="4" t="s">
        <v>155</v>
      </c>
      <c r="AH37" s="1" t="s">
        <v>173</v>
      </c>
      <c r="AI37" s="1" t="s">
        <v>174</v>
      </c>
      <c r="AJ37" s="1" t="s">
        <v>175</v>
      </c>
      <c r="AN37" s="4" t="s">
        <v>149</v>
      </c>
      <c r="AO37" s="4" t="s">
        <v>150</v>
      </c>
      <c r="AP37" s="4" t="s">
        <v>151</v>
      </c>
      <c r="AQ37" s="4" t="s">
        <v>152</v>
      </c>
      <c r="AR37" s="4" t="s">
        <v>153</v>
      </c>
      <c r="AS37" s="4" t="s">
        <v>155</v>
      </c>
      <c r="AT37" s="1" t="s">
        <v>176</v>
      </c>
      <c r="AU37" s="1" t="s">
        <v>174</v>
      </c>
      <c r="AV37" s="1" t="s">
        <v>175</v>
      </c>
      <c r="AZ37" s="5" t="s">
        <v>161</v>
      </c>
      <c r="BA37" s="5" t="s">
        <v>162</v>
      </c>
      <c r="BB37" s="5" t="s">
        <v>163</v>
      </c>
      <c r="BC37" s="5" t="s">
        <v>164</v>
      </c>
      <c r="BD37" s="5" t="s">
        <v>165</v>
      </c>
      <c r="BE37" s="5" t="s">
        <v>166</v>
      </c>
      <c r="BF37" s="5" t="s">
        <v>167</v>
      </c>
      <c r="BG37" s="5" t="s">
        <v>168</v>
      </c>
      <c r="BH37" s="5" t="s">
        <v>169</v>
      </c>
      <c r="BI37" s="5" t="s">
        <v>170</v>
      </c>
      <c r="BJ37" s="5" t="s">
        <v>171</v>
      </c>
      <c r="BK37" s="5" t="s">
        <v>172</v>
      </c>
      <c r="BL37" s="5" t="s">
        <v>161</v>
      </c>
      <c r="BM37" s="5" t="s">
        <v>162</v>
      </c>
      <c r="BN37" s="5" t="s">
        <v>163</v>
      </c>
      <c r="BO37" s="5" t="s">
        <v>164</v>
      </c>
      <c r="BP37" s="5" t="s">
        <v>165</v>
      </c>
      <c r="BQ37" s="5" t="s">
        <v>166</v>
      </c>
      <c r="BR37" s="5" t="s">
        <v>167</v>
      </c>
      <c r="BS37" s="5" t="s">
        <v>168</v>
      </c>
      <c r="BT37" s="5" t="s">
        <v>169</v>
      </c>
      <c r="BU37" s="5" t="s">
        <v>170</v>
      </c>
      <c r="BV37" s="5" t="s">
        <v>171</v>
      </c>
      <c r="BW37" s="5" t="s">
        <v>172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28.4</v>
      </c>
      <c r="D39" s="1">
        <v>0.1454</v>
      </c>
      <c r="E39" s="1">
        <v>0.14960000000000001</v>
      </c>
      <c r="F39" s="1">
        <v>0.1406</v>
      </c>
      <c r="G39" s="1">
        <v>0.1656</v>
      </c>
      <c r="H39" s="1">
        <v>0.11650000000000001</v>
      </c>
      <c r="I39" s="1">
        <v>0.152</v>
      </c>
      <c r="J39" s="1">
        <v>0.1275</v>
      </c>
      <c r="K39" s="1">
        <v>0.12920000000000001</v>
      </c>
      <c r="L39" s="1">
        <v>0.16400000000000001</v>
      </c>
      <c r="M39" s="1">
        <v>5.3900000000000003E-2</v>
      </c>
      <c r="N39" s="1"/>
      <c r="O39" s="1"/>
      <c r="P39" s="1">
        <v>0.1447</v>
      </c>
      <c r="Q39" s="1">
        <v>0.1467</v>
      </c>
      <c r="R39" s="1">
        <v>0.14000000000000001</v>
      </c>
      <c r="S39" s="1">
        <v>0.16370000000000001</v>
      </c>
      <c r="T39" s="1">
        <v>0.1164</v>
      </c>
      <c r="U39" s="1">
        <v>0.14949999999999999</v>
      </c>
      <c r="V39" s="1">
        <v>0.1366</v>
      </c>
      <c r="W39" s="1">
        <v>0.13109999999999999</v>
      </c>
      <c r="X39" s="1">
        <v>0.16339999999999999</v>
      </c>
      <c r="Y39" s="1">
        <v>5.2299999999999999E-2</v>
      </c>
      <c r="Z39" s="1"/>
      <c r="AA39" s="1"/>
      <c r="AB39" s="1">
        <v>0.18260000000000001</v>
      </c>
      <c r="AC39" s="1">
        <v>0.15190000000000001</v>
      </c>
      <c r="AD39" s="1">
        <v>0.1542</v>
      </c>
      <c r="AE39" s="1">
        <v>0.17749999999999999</v>
      </c>
      <c r="AF39" s="1">
        <v>0.17699999999999999</v>
      </c>
      <c r="AG39" s="1">
        <v>0.2281</v>
      </c>
      <c r="AH39" s="1">
        <v>0.16889999999999999</v>
      </c>
      <c r="AI39" s="1">
        <v>0.15329999999999999</v>
      </c>
      <c r="AJ39" s="1">
        <v>0.1706</v>
      </c>
      <c r="AK39" s="1">
        <v>5.3400000000000003E-2</v>
      </c>
      <c r="AL39" s="1"/>
      <c r="AM39" s="1"/>
      <c r="AN39" s="1">
        <v>0.16420000000000001</v>
      </c>
      <c r="AO39" s="1">
        <v>0.15840000000000001</v>
      </c>
      <c r="AP39" s="1">
        <v>0.15809999999999999</v>
      </c>
      <c r="AQ39" s="1">
        <v>0.17899999999999999</v>
      </c>
      <c r="AR39" s="1">
        <v>0.17430000000000001</v>
      </c>
      <c r="AS39" s="1">
        <v>0.20499999999999999</v>
      </c>
      <c r="AT39" s="1">
        <v>0.14080000000000001</v>
      </c>
      <c r="AU39" s="1">
        <v>0.17150000000000001</v>
      </c>
      <c r="AV39" s="1">
        <v>0.16700000000000001</v>
      </c>
      <c r="AW39" s="1">
        <v>5.3699999999999998E-2</v>
      </c>
      <c r="AX39" s="1"/>
      <c r="AY39" s="1"/>
      <c r="AZ39" s="1">
        <v>0.16</v>
      </c>
      <c r="BA39" s="1">
        <v>0.15790000000000001</v>
      </c>
      <c r="BB39" s="1">
        <v>0.1686</v>
      </c>
      <c r="BC39" s="1">
        <v>0.1608</v>
      </c>
      <c r="BD39" s="1">
        <v>0.1802</v>
      </c>
      <c r="BE39" s="1">
        <v>0.1714</v>
      </c>
      <c r="BF39" s="1">
        <v>0.1074</v>
      </c>
      <c r="BG39" s="1">
        <v>0.15160000000000001</v>
      </c>
      <c r="BH39" s="1">
        <v>0.16120000000000001</v>
      </c>
      <c r="BI39" s="1">
        <v>0.12559999999999999</v>
      </c>
      <c r="BJ39" s="1">
        <v>0.16669999999999999</v>
      </c>
      <c r="BK39" s="1">
        <v>0.13370000000000001</v>
      </c>
      <c r="BL39" s="1">
        <v>0.14960000000000001</v>
      </c>
      <c r="BM39" s="1">
        <v>0.15939999999999999</v>
      </c>
      <c r="BN39" s="1">
        <v>0.17130000000000001</v>
      </c>
      <c r="BO39" s="1">
        <v>0.1656</v>
      </c>
      <c r="BP39" s="1">
        <v>0.1726</v>
      </c>
      <c r="BQ39" s="1">
        <v>0.17449999999999999</v>
      </c>
      <c r="BR39" s="1">
        <v>0.1159</v>
      </c>
      <c r="BS39" s="1">
        <v>0.16239999999999999</v>
      </c>
      <c r="BT39" s="1">
        <v>0.1401</v>
      </c>
      <c r="BU39" s="1">
        <v>0.1326</v>
      </c>
      <c r="BV39" s="1">
        <v>0.16370000000000001</v>
      </c>
      <c r="BW39" s="1">
        <v>0.1318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15.734999999999999</v>
      </c>
      <c r="C40" s="1">
        <v>28.6</v>
      </c>
      <c r="D40" s="1">
        <v>0.14510000000000001</v>
      </c>
      <c r="E40" s="1">
        <v>0.14649999999999999</v>
      </c>
      <c r="F40" s="1">
        <v>0.14000000000000001</v>
      </c>
      <c r="G40" s="1">
        <v>0.1656</v>
      </c>
      <c r="H40" s="1">
        <v>0.1166</v>
      </c>
      <c r="I40" s="1">
        <v>0.15210000000000001</v>
      </c>
      <c r="J40" s="1">
        <v>0.1275</v>
      </c>
      <c r="K40" s="1">
        <v>0.12820000000000001</v>
      </c>
      <c r="L40" s="1">
        <v>0.16339999999999999</v>
      </c>
      <c r="M40" s="1">
        <v>5.3800000000000001E-2</v>
      </c>
      <c r="N40" s="1"/>
      <c r="O40" s="1"/>
      <c r="P40" s="1">
        <v>0.14560000000000001</v>
      </c>
      <c r="Q40" s="1">
        <v>0.1474</v>
      </c>
      <c r="R40" s="1">
        <v>0.1394</v>
      </c>
      <c r="S40" s="1">
        <v>0.1641</v>
      </c>
      <c r="T40" s="1">
        <v>0.11609999999999999</v>
      </c>
      <c r="U40" s="1">
        <v>0.15060000000000001</v>
      </c>
      <c r="V40" s="1">
        <v>0.13650000000000001</v>
      </c>
      <c r="W40" s="1">
        <v>0.1308</v>
      </c>
      <c r="X40" s="1">
        <v>0.16389999999999999</v>
      </c>
      <c r="Y40" s="1">
        <v>5.2299999999999999E-2</v>
      </c>
      <c r="Z40" s="1"/>
      <c r="AA40" s="1"/>
      <c r="AB40" s="1">
        <v>0.1759</v>
      </c>
      <c r="AC40" s="1">
        <v>0.15229999999999999</v>
      </c>
      <c r="AD40" s="1">
        <v>0.1542</v>
      </c>
      <c r="AE40" s="1">
        <v>0.17660000000000001</v>
      </c>
      <c r="AF40" s="1">
        <v>0.1759</v>
      </c>
      <c r="AG40" s="1">
        <v>0.2271</v>
      </c>
      <c r="AH40" s="1">
        <v>0.183</v>
      </c>
      <c r="AI40" s="1">
        <v>0.15559999999999999</v>
      </c>
      <c r="AJ40" s="1">
        <v>0.17019999999999999</v>
      </c>
      <c r="AK40" s="1">
        <v>5.3600000000000002E-2</v>
      </c>
      <c r="AL40" s="1"/>
      <c r="AM40" s="1"/>
      <c r="AN40" s="1">
        <v>0.1633</v>
      </c>
      <c r="AO40" s="1">
        <v>0.15840000000000001</v>
      </c>
      <c r="AP40" s="1">
        <v>0.15820000000000001</v>
      </c>
      <c r="AQ40" s="1">
        <v>0.17860000000000001</v>
      </c>
      <c r="AR40" s="1">
        <v>0.17369999999999999</v>
      </c>
      <c r="AS40" s="1">
        <v>0.2029</v>
      </c>
      <c r="AT40" s="1">
        <v>0.14099999999999999</v>
      </c>
      <c r="AU40" s="1">
        <v>0.17199999999999999</v>
      </c>
      <c r="AV40" s="1">
        <v>0.16669999999999999</v>
      </c>
      <c r="AW40" s="1">
        <v>5.3699999999999998E-2</v>
      </c>
      <c r="AX40" s="1"/>
      <c r="AY40" s="1"/>
      <c r="AZ40" s="1">
        <v>0.158</v>
      </c>
      <c r="BA40" s="1">
        <v>0.15740000000000001</v>
      </c>
      <c r="BB40" s="1">
        <v>0.16930000000000001</v>
      </c>
      <c r="BC40" s="1">
        <v>0.1653</v>
      </c>
      <c r="BD40" s="1">
        <v>0.18</v>
      </c>
      <c r="BE40" s="1">
        <v>0.17100000000000001</v>
      </c>
      <c r="BF40" s="1">
        <v>0.1062</v>
      </c>
      <c r="BG40" s="1">
        <v>0.15179999999999999</v>
      </c>
      <c r="BH40" s="1">
        <v>0.16009999999999999</v>
      </c>
      <c r="BI40" s="1">
        <v>0.12529999999999999</v>
      </c>
      <c r="BJ40" s="1">
        <v>0.1666</v>
      </c>
      <c r="BK40" s="1">
        <v>0.1336</v>
      </c>
      <c r="BL40" s="1">
        <v>0.14990000000000001</v>
      </c>
      <c r="BM40" s="1">
        <v>0.158</v>
      </c>
      <c r="BN40" s="1">
        <v>0.17180000000000001</v>
      </c>
      <c r="BO40" s="1">
        <v>0.16450000000000001</v>
      </c>
      <c r="BP40" s="1">
        <v>0.17</v>
      </c>
      <c r="BQ40" s="1">
        <v>0.17580000000000001</v>
      </c>
      <c r="BR40" s="1">
        <v>0.11550000000000001</v>
      </c>
      <c r="BS40" s="1">
        <v>0.16139999999999999</v>
      </c>
      <c r="BT40" s="1">
        <v>0.13930000000000001</v>
      </c>
      <c r="BU40" s="1">
        <v>0.1328</v>
      </c>
      <c r="BV40" s="1">
        <v>0.16300000000000001</v>
      </c>
      <c r="BW40" s="1">
        <v>0.13159999999999999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31.466000000000001</v>
      </c>
      <c r="C41" s="1">
        <v>28.5</v>
      </c>
      <c r="D41" s="1">
        <v>0.14580000000000001</v>
      </c>
      <c r="E41" s="1">
        <v>0.1469</v>
      </c>
      <c r="F41" s="1">
        <v>0.13919999999999999</v>
      </c>
      <c r="G41" s="1">
        <v>0.16569999999999999</v>
      </c>
      <c r="H41" s="1">
        <v>0.11600000000000001</v>
      </c>
      <c r="I41" s="1">
        <v>0.15179999999999999</v>
      </c>
      <c r="J41" s="1">
        <v>0.1278</v>
      </c>
      <c r="K41" s="1">
        <v>0.12809999999999999</v>
      </c>
      <c r="L41" s="1">
        <v>0.16339999999999999</v>
      </c>
      <c r="M41" s="1">
        <v>5.3800000000000001E-2</v>
      </c>
      <c r="N41" s="1"/>
      <c r="O41" s="1"/>
      <c r="P41" s="1">
        <v>0.14499999999999999</v>
      </c>
      <c r="Q41" s="1">
        <v>0.14710000000000001</v>
      </c>
      <c r="R41" s="1">
        <v>0.13900000000000001</v>
      </c>
      <c r="S41" s="1">
        <v>0.16289999999999999</v>
      </c>
      <c r="T41" s="1">
        <v>0.1163</v>
      </c>
      <c r="U41" s="1">
        <v>0.1502</v>
      </c>
      <c r="V41" s="1">
        <v>0.13619999999999999</v>
      </c>
      <c r="W41" s="1">
        <v>0.13059999999999999</v>
      </c>
      <c r="X41" s="1">
        <v>0.1633</v>
      </c>
      <c r="Y41" s="1">
        <v>5.2200000000000003E-2</v>
      </c>
      <c r="Z41" s="1"/>
      <c r="AA41" s="1"/>
      <c r="AB41" s="1">
        <v>0.1794</v>
      </c>
      <c r="AC41" s="1">
        <v>0.1517</v>
      </c>
      <c r="AD41" s="1">
        <v>0.15409999999999999</v>
      </c>
      <c r="AE41" s="1">
        <v>0.17660000000000001</v>
      </c>
      <c r="AF41" s="1">
        <v>0.1762</v>
      </c>
      <c r="AG41" s="1">
        <v>0.2276</v>
      </c>
      <c r="AH41" s="1">
        <v>0.19289999999999999</v>
      </c>
      <c r="AI41" s="1">
        <v>0.1522</v>
      </c>
      <c r="AJ41" s="1">
        <v>0.16980000000000001</v>
      </c>
      <c r="AK41" s="1">
        <v>5.3400000000000003E-2</v>
      </c>
      <c r="AL41" s="1"/>
      <c r="AM41" s="1"/>
      <c r="AN41" s="1">
        <v>0.16350000000000001</v>
      </c>
      <c r="AO41" s="1">
        <v>0.15809999999999999</v>
      </c>
      <c r="AP41" s="1">
        <v>0.15770000000000001</v>
      </c>
      <c r="AQ41" s="1">
        <v>0.1787</v>
      </c>
      <c r="AR41" s="1">
        <v>0.17480000000000001</v>
      </c>
      <c r="AS41" s="1">
        <v>0.20300000000000001</v>
      </c>
      <c r="AT41" s="1">
        <v>0.14119999999999999</v>
      </c>
      <c r="AU41" s="1">
        <v>0.17100000000000001</v>
      </c>
      <c r="AV41" s="1">
        <v>0.16520000000000001</v>
      </c>
      <c r="AW41" s="1">
        <v>5.3800000000000001E-2</v>
      </c>
      <c r="AX41" s="1"/>
      <c r="AY41" s="1"/>
      <c r="AZ41" s="1">
        <v>0.15920000000000001</v>
      </c>
      <c r="BA41" s="1">
        <v>0.15720000000000001</v>
      </c>
      <c r="BB41" s="1">
        <v>0.16980000000000001</v>
      </c>
      <c r="BC41" s="1">
        <v>0.16950000000000001</v>
      </c>
      <c r="BD41" s="1">
        <v>0.17949999999999999</v>
      </c>
      <c r="BE41" s="1">
        <v>0.17</v>
      </c>
      <c r="BF41" s="1">
        <v>0.10589999999999999</v>
      </c>
      <c r="BG41" s="1">
        <v>0.1515</v>
      </c>
      <c r="BH41" s="1">
        <v>0.1598</v>
      </c>
      <c r="BI41" s="1">
        <v>0.125</v>
      </c>
      <c r="BJ41" s="1">
        <v>0.16639999999999999</v>
      </c>
      <c r="BK41" s="1">
        <v>0.13350000000000001</v>
      </c>
      <c r="BL41" s="1">
        <v>0.14990000000000001</v>
      </c>
      <c r="BM41" s="1">
        <v>0.15820000000000001</v>
      </c>
      <c r="BN41" s="1">
        <v>0.17180000000000001</v>
      </c>
      <c r="BO41" s="1">
        <v>0.16350000000000001</v>
      </c>
      <c r="BP41" s="1">
        <v>0.17280000000000001</v>
      </c>
      <c r="BQ41" s="1">
        <v>0.17530000000000001</v>
      </c>
      <c r="BR41" s="1">
        <v>0.1154</v>
      </c>
      <c r="BS41" s="1">
        <v>0.161</v>
      </c>
      <c r="BT41" s="1">
        <v>0.1389</v>
      </c>
      <c r="BU41" s="1">
        <v>0.13350000000000001</v>
      </c>
      <c r="BV41" s="1">
        <v>0.16289999999999999</v>
      </c>
      <c r="BW41" s="1">
        <v>0.13170000000000001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 t="s">
        <v>177</v>
      </c>
      <c r="E44" s="1"/>
      <c r="F44" s="1"/>
      <c r="G44" s="1"/>
      <c r="H44" s="1"/>
      <c r="I44" s="1"/>
      <c r="J44" s="1"/>
      <c r="K44" s="1"/>
      <c r="M44" s="5" t="s">
        <v>178</v>
      </c>
      <c r="V44" s="5" t="s">
        <v>182</v>
      </c>
    </row>
    <row r="45" spans="1:99">
      <c r="A45" s="1"/>
      <c r="B45" s="1"/>
      <c r="C45" s="1"/>
      <c r="D45" s="5" t="s">
        <v>179</v>
      </c>
      <c r="G45" s="5" t="s">
        <v>180</v>
      </c>
      <c r="J45" s="5" t="s">
        <v>181</v>
      </c>
      <c r="M45" s="5" t="s">
        <v>179</v>
      </c>
      <c r="P45" s="5" t="s">
        <v>180</v>
      </c>
      <c r="S45" s="5" t="s">
        <v>181</v>
      </c>
      <c r="V45" s="5" t="s">
        <v>179</v>
      </c>
      <c r="Y45" s="5" t="s">
        <v>181</v>
      </c>
      <c r="AB45" s="5" t="s">
        <v>183</v>
      </c>
      <c r="AE45" s="5" t="s">
        <v>184</v>
      </c>
    </row>
    <row r="46" spans="1:99">
      <c r="D46" s="1">
        <f>D40</f>
        <v>0.14510000000000001</v>
      </c>
      <c r="E46" s="1">
        <f>E40</f>
        <v>0.14649999999999999</v>
      </c>
      <c r="F46" s="1">
        <f>F40</f>
        <v>0.14000000000000001</v>
      </c>
      <c r="G46" s="1">
        <f>G40</f>
        <v>0.1656</v>
      </c>
      <c r="H46" s="1">
        <f>H40</f>
        <v>0.1166</v>
      </c>
      <c r="I46" s="1">
        <f>I40</f>
        <v>0.15210000000000001</v>
      </c>
      <c r="J46" s="1">
        <f>J40</f>
        <v>0.1275</v>
      </c>
      <c r="K46" s="1">
        <f>K40</f>
        <v>0.12820000000000001</v>
      </c>
      <c r="L46" s="1">
        <f>L40</f>
        <v>0.16339999999999999</v>
      </c>
      <c r="M46" s="1">
        <f>AN40</f>
        <v>0.1633</v>
      </c>
      <c r="N46" s="1">
        <f t="shared" ref="N46:Y46" si="0">AO40</f>
        <v>0.15840000000000001</v>
      </c>
      <c r="O46" s="1">
        <f t="shared" si="0"/>
        <v>0.15820000000000001</v>
      </c>
      <c r="P46" s="1">
        <f t="shared" si="0"/>
        <v>0.17860000000000001</v>
      </c>
      <c r="Q46" s="1">
        <f t="shared" si="0"/>
        <v>0.17369999999999999</v>
      </c>
      <c r="R46" s="1">
        <f t="shared" si="0"/>
        <v>0.2029</v>
      </c>
      <c r="S46" s="1">
        <f t="shared" si="0"/>
        <v>0.14099999999999999</v>
      </c>
      <c r="T46" s="1">
        <f t="shared" si="0"/>
        <v>0.17199999999999999</v>
      </c>
      <c r="U46" s="1">
        <f t="shared" si="0"/>
        <v>0.16669999999999999</v>
      </c>
      <c r="V46" s="1">
        <f>AZ40</f>
        <v>0.158</v>
      </c>
      <c r="W46" s="1">
        <f t="shared" ref="W46:AE46" si="1">BA40</f>
        <v>0.15740000000000001</v>
      </c>
      <c r="X46" s="1">
        <f t="shared" si="1"/>
        <v>0.16930000000000001</v>
      </c>
      <c r="Y46" s="1">
        <f t="shared" si="1"/>
        <v>0.1653</v>
      </c>
      <c r="Z46" s="1">
        <f t="shared" si="1"/>
        <v>0.18</v>
      </c>
      <c r="AA46" s="1">
        <f t="shared" si="1"/>
        <v>0.17100000000000001</v>
      </c>
      <c r="AB46" s="1">
        <f t="shared" si="1"/>
        <v>0.1062</v>
      </c>
      <c r="AC46" s="1">
        <f t="shared" si="1"/>
        <v>0.15179999999999999</v>
      </c>
      <c r="AD46" s="1">
        <f t="shared" si="1"/>
        <v>0.16009999999999999</v>
      </c>
      <c r="AE46" s="1">
        <f t="shared" si="1"/>
        <v>0.12529999999999999</v>
      </c>
      <c r="AF46" s="1">
        <f t="shared" ref="AF46" si="2">BJ40</f>
        <v>0.1666</v>
      </c>
      <c r="AG46" s="1">
        <f t="shared" ref="AG46" si="3">BK40</f>
        <v>0.1336</v>
      </c>
    </row>
    <row r="47" spans="1:99">
      <c r="D47">
        <f>P40</f>
        <v>0.14560000000000001</v>
      </c>
      <c r="E47">
        <f t="shared" ref="E47:M47" si="4">Q40</f>
        <v>0.1474</v>
      </c>
      <c r="F47">
        <f t="shared" si="4"/>
        <v>0.1394</v>
      </c>
      <c r="G47">
        <f t="shared" si="4"/>
        <v>0.1641</v>
      </c>
      <c r="H47">
        <f t="shared" si="4"/>
        <v>0.11609999999999999</v>
      </c>
      <c r="I47">
        <f t="shared" si="4"/>
        <v>0.15060000000000001</v>
      </c>
      <c r="J47">
        <f t="shared" si="4"/>
        <v>0.13650000000000001</v>
      </c>
      <c r="K47">
        <f t="shared" si="4"/>
        <v>0.1308</v>
      </c>
      <c r="L47">
        <f t="shared" si="4"/>
        <v>0.16389999999999999</v>
      </c>
      <c r="M47">
        <f>AB40</f>
        <v>0.1759</v>
      </c>
      <c r="N47">
        <f t="shared" ref="N47:U47" si="5">AC40</f>
        <v>0.15229999999999999</v>
      </c>
      <c r="O47">
        <f t="shared" si="5"/>
        <v>0.1542</v>
      </c>
      <c r="P47">
        <f t="shared" si="5"/>
        <v>0.17660000000000001</v>
      </c>
      <c r="Q47">
        <f t="shared" si="5"/>
        <v>0.1759</v>
      </c>
      <c r="R47">
        <f t="shared" si="5"/>
        <v>0.2271</v>
      </c>
      <c r="S47">
        <f t="shared" si="5"/>
        <v>0.183</v>
      </c>
      <c r="T47">
        <f t="shared" si="5"/>
        <v>0.15559999999999999</v>
      </c>
      <c r="U47">
        <f t="shared" si="5"/>
        <v>0.17019999999999999</v>
      </c>
      <c r="V47">
        <f>BL40</f>
        <v>0.14990000000000001</v>
      </c>
      <c r="W47">
        <f t="shared" ref="W47:AE47" si="6">BM40</f>
        <v>0.158</v>
      </c>
      <c r="X47">
        <f t="shared" si="6"/>
        <v>0.17180000000000001</v>
      </c>
      <c r="Y47">
        <f t="shared" si="6"/>
        <v>0.16450000000000001</v>
      </c>
      <c r="Z47">
        <f t="shared" si="6"/>
        <v>0.17</v>
      </c>
      <c r="AA47">
        <f t="shared" si="6"/>
        <v>0.17580000000000001</v>
      </c>
      <c r="AB47">
        <f t="shared" si="6"/>
        <v>0.11550000000000001</v>
      </c>
      <c r="AC47">
        <f t="shared" si="6"/>
        <v>0.16139999999999999</v>
      </c>
      <c r="AD47">
        <f t="shared" si="6"/>
        <v>0.13930000000000001</v>
      </c>
      <c r="AE47">
        <f t="shared" si="6"/>
        <v>0.1328</v>
      </c>
      <c r="AF47">
        <f t="shared" ref="AF47" si="7">BV40</f>
        <v>0.16300000000000001</v>
      </c>
      <c r="AG47">
        <f t="shared" ref="AG47" si="8">BW40</f>
        <v>0.13159999999999999</v>
      </c>
    </row>
    <row r="58" spans="9:9">
      <c r="I58" s="5" t="s">
        <v>154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2026-03-29T10:23:00Z</dcterms:created>
  <dcterms:modified xsi:type="dcterms:W3CDTF">2026-04-05T03:13:45Z</dcterms:modified>
</cp:coreProperties>
</file>