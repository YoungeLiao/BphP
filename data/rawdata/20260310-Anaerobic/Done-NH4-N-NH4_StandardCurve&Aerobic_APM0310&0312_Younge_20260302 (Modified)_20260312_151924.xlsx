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10-Anaerobic/"/>
    </mc:Choice>
  </mc:AlternateContent>
  <xr:revisionPtr revIDLastSave="0" documentId="13_ncr:1_{3CC85A8A-7D00-504E-B4E4-2E65A9B900E3}" xr6:coauthVersionLast="47" xr6:coauthVersionMax="47" xr10:uidLastSave="{00000000-0000-0000-0000-000000000000}"/>
  <bookViews>
    <workbookView xWindow="240" yWindow="600" windowWidth="18020" windowHeight="161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45" i="1" l="1"/>
  <c r="BN45" i="1"/>
  <c r="BO45" i="1"/>
  <c r="BP45" i="1"/>
  <c r="BQ45" i="1"/>
  <c r="BL45" i="1"/>
  <c r="BM44" i="1"/>
  <c r="BN44" i="1"/>
  <c r="BO44" i="1"/>
  <c r="BP44" i="1"/>
  <c r="BQ44" i="1"/>
  <c r="BL44" i="1"/>
  <c r="BM43" i="1"/>
  <c r="BN43" i="1"/>
  <c r="BO43" i="1"/>
  <c r="BP43" i="1"/>
  <c r="BQ43" i="1"/>
  <c r="BL43" i="1"/>
</calcChain>
</file>

<file path=xl/sharedStrings.xml><?xml version="1.0" encoding="utf-8"?>
<sst xmlns="http://schemas.openxmlformats.org/spreadsheetml/2006/main" count="175" uniqueCount="156">
  <si>
    <t>Method name: NH4_Younge_20260302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</si>
  <si>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</si>
  <si>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</si>
  <si>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</si>
  <si>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</si>
  <si>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</si>
  <si>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</si>
  <si>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</si>
  <si>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</si>
  <si>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2026-03-12</t>
  </si>
  <si>
    <t>Time:</t>
  </si>
  <si>
    <t>15:19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</si>
  <si>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</si>
  <si>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</si>
  <si>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</si>
  <si>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</si>
  <si>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</si>
  <si>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</si>
  <si>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</si>
  <si>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</si>
  <si>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</si>
  <si>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</si>
  <si>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</si>
  <si>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</si>
  <si>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</si>
  <si>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</si>
  <si>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</si>
  <si>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</si>
  <si>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</si>
  <si>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</si>
  <si>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</si>
  <si>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</si>
  <si>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A1-C9;F1-H6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</si>
  <si>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</si>
  <si>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</si>
  <si>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</si>
  <si>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</si>
  <si>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</si>
  <si>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</si>
  <si>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</si>
  <si>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</si>
  <si>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</si>
  <si>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</si>
  <si>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</si>
  <si>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2026-03-12 15:18:43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</si>
  <si>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</si>
  <si>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</si>
  <si>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</si>
  <si>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</si>
  <si>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</si>
  <si>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</si>
  <si>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</si>
  <si>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</si>
  <si>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</si>
  <si>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</si>
  <si>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</si>
  <si>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</si>
  <si>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</si>
  <si>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</si>
  <si>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</si>
  <si>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</si>
  <si>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</si>
  <si>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</si>
  <si>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</si>
  <si>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</si>
  <si>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</si>
  <si>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</si>
  <si>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</si>
  <si>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</si>
  <si>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</si>
  <si>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</si>
  <si>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</si>
  <si>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</si>
  <si>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</si>
  <si>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</si>
  <si>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</si>
  <si>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</si>
  <si>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</si>
  <si>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</si>
  <si>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</si>
  <si>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</si>
  <si>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</si>
  <si>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</si>
  <si>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</si>
  <si>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</si>
  <si>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</si>
  <si>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</si>
  <si>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</si>
  <si>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</si>
  <si>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</si>
  <si>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</si>
  <si>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</si>
  <si>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</si>
  <si>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</si>
  <si>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</si>
  <si>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</si>
  <si>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</si>
  <si>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</si>
  <si>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</si>
  <si>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</si>
  <si>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</si>
  <si>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</si>
  <si>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</si>
  <si>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</si>
  <si>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</si>
  <si>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</si>
  <si>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</si>
  <si>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</si>
  <si>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</si>
  <si>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</si>
  <si>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</si>
  <si>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</si>
  <si>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</si>
  <si>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</si>
  <si>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</si>
  <si>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</si>
  <si>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</si>
  <si>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</si>
  <si>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</si>
  <si>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</si>
  <si>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</si>
  <si>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</si>
  <si>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</si>
  <si>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</si>
  <si>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</si>
  <si>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</si>
  <si>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</si>
  <si>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</si>
  <si>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</si>
  <si>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</si>
  <si>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</si>
  <si>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</si>
  <si>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</si>
  <si>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</si>
  <si>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</si>
  <si>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</si>
  <si>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</si>
  <si>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</si>
  <si>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</si>
  <si>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</si>
  <si>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</si>
  <si>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</si>
  <si>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</si>
  <si>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</si>
  <si>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</si>
  <si>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</si>
  <si>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</si>
  <si>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</si>
  <si>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2026-03-12 15:19:19</t>
  </si>
  <si>
    <r>
      <t>S</t>
    </r>
    <r>
      <rPr>
        <sz val="11"/>
        <color rgb="FF000000"/>
        <rFont val="Calibri"/>
        <family val="2"/>
      </rPr>
      <t>tandard Curve</t>
    </r>
    <phoneticPr fontId="3" type="noConversion"/>
  </si>
  <si>
    <t>6*2</t>
    <phoneticPr fontId="3" type="noConversion"/>
  </si>
  <si>
    <t>6*3</t>
    <phoneticPr fontId="3" type="noConversion"/>
  </si>
  <si>
    <r>
      <t>An</t>
    </r>
    <r>
      <rPr>
        <sz val="11"/>
        <rFont val="Calibri"/>
        <family val="2"/>
      </rPr>
      <t>aerobic_</t>
    </r>
    <r>
      <rPr>
        <sz val="11"/>
        <rFont val="宋体"/>
        <family val="3"/>
        <charset val="134"/>
      </rPr>
      <t>活化</t>
    </r>
    <phoneticPr fontId="3" type="noConversion"/>
  </si>
  <si>
    <t>A</t>
    <phoneticPr fontId="3" type="noConversion"/>
  </si>
  <si>
    <t>P</t>
    <phoneticPr fontId="3" type="noConversion"/>
  </si>
  <si>
    <t>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</si>
</sst>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I29" workbookViewId="0">
      <selection activeCell="N38" sqref="N38"/>
    </sheetView>
  </sheetViews>
  <sheetFormatPr baseColWidth="10" defaultColWidth="8.83203125" defaultRowHeight="15"/>
  <cols>
    <col min="64" max="64" width="13.83203125" customWidth="1"/>
    <col min="67" max="67" width="14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  <c r="BL35" s="5" t="s">
        <v>152</v>
      </c>
    </row>
    <row r="36" spans="1:99">
      <c r="A36" s="1"/>
      <c r="B36" s="1"/>
      <c r="C36" s="1"/>
      <c r="D36" s="4" t="s">
        <v>149</v>
      </c>
      <c r="E36" s="1"/>
      <c r="F36" s="1"/>
      <c r="G36" s="1"/>
      <c r="H36" s="1"/>
      <c r="I36" s="1"/>
      <c r="J36" s="1"/>
      <c r="K36" s="1"/>
      <c r="P36" s="4" t="s">
        <v>149</v>
      </c>
      <c r="Q36" s="1"/>
      <c r="R36" s="1"/>
      <c r="S36" s="1"/>
      <c r="T36" s="1"/>
      <c r="U36" s="1"/>
      <c r="V36" s="1"/>
      <c r="W36" s="1"/>
      <c r="AB36" s="4" t="s">
        <v>149</v>
      </c>
      <c r="AC36" s="1"/>
      <c r="AD36" s="1"/>
      <c r="AE36" s="1"/>
      <c r="AF36" s="1"/>
      <c r="AG36" s="1"/>
      <c r="AH36" s="1"/>
      <c r="AI36" s="1"/>
      <c r="BL36" s="6">
        <v>46091</v>
      </c>
      <c r="BO36" s="6">
        <v>46093</v>
      </c>
    </row>
    <row r="37" spans="1:99">
      <c r="A37" s="1" t="s">
        <v>27</v>
      </c>
      <c r="B37" s="1"/>
      <c r="C37" s="1"/>
      <c r="D37" s="1">
        <v>0</v>
      </c>
      <c r="E37" s="1">
        <v>1</v>
      </c>
      <c r="F37" s="1">
        <v>2</v>
      </c>
      <c r="G37" s="1">
        <v>3</v>
      </c>
      <c r="H37" s="1">
        <v>4</v>
      </c>
      <c r="I37" s="1">
        <v>5</v>
      </c>
      <c r="J37" s="1">
        <v>6</v>
      </c>
      <c r="K37" s="4" t="s">
        <v>150</v>
      </c>
      <c r="L37" s="5" t="s">
        <v>151</v>
      </c>
      <c r="P37" s="1">
        <v>0</v>
      </c>
      <c r="Q37" s="1">
        <v>1</v>
      </c>
      <c r="R37" s="1">
        <v>2</v>
      </c>
      <c r="S37" s="1">
        <v>3</v>
      </c>
      <c r="T37" s="1">
        <v>4</v>
      </c>
      <c r="U37" s="1">
        <v>5</v>
      </c>
      <c r="V37" s="1">
        <v>6</v>
      </c>
      <c r="W37" s="4" t="s">
        <v>150</v>
      </c>
      <c r="X37" s="5" t="s">
        <v>151</v>
      </c>
      <c r="AB37" s="1">
        <v>0</v>
      </c>
      <c r="AC37" s="1">
        <v>1</v>
      </c>
      <c r="AD37" s="1">
        <v>2</v>
      </c>
      <c r="AE37" s="1">
        <v>3</v>
      </c>
      <c r="AF37" s="1">
        <v>4</v>
      </c>
      <c r="AG37" s="1">
        <v>5</v>
      </c>
      <c r="AH37" s="1">
        <v>6</v>
      </c>
      <c r="AI37" s="4" t="s">
        <v>150</v>
      </c>
      <c r="AJ37" s="5" t="s">
        <v>151</v>
      </c>
      <c r="BL37" s="5" t="s">
        <v>153</v>
      </c>
      <c r="BM37" s="5" t="s">
        <v>154</v>
      </c>
      <c r="BN37" s="5" t="s">
        <v>155</v>
      </c>
      <c r="BO37" s="5" t="s">
        <v>153</v>
      </c>
      <c r="BP37" s="5" t="s">
        <v>154</v>
      </c>
      <c r="BQ37" s="5" t="s">
        <v>155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28.3</v>
      </c>
      <c r="D39" s="1">
        <v>4.8399999999999999E-2</v>
      </c>
      <c r="E39" s="1">
        <v>4.7899999999999998E-2</v>
      </c>
      <c r="F39" s="1">
        <v>4.9099999999999998E-2</v>
      </c>
      <c r="G39" s="1">
        <v>4.9299999999999997E-2</v>
      </c>
      <c r="H39" s="1">
        <v>7.8899999999999998E-2</v>
      </c>
      <c r="I39" s="1">
        <v>0.1086</v>
      </c>
      <c r="J39" s="1">
        <v>0.1429</v>
      </c>
      <c r="K39" s="1">
        <v>0.22520000000000001</v>
      </c>
      <c r="L39" s="1">
        <v>0.29949999999999999</v>
      </c>
      <c r="M39" s="1"/>
      <c r="N39" s="1"/>
      <c r="O39" s="1"/>
      <c r="P39" s="1">
        <v>4.8399999999999999E-2</v>
      </c>
      <c r="Q39" s="1">
        <v>4.9299999999999997E-2</v>
      </c>
      <c r="R39" s="1">
        <v>5.1499999999999997E-2</v>
      </c>
      <c r="S39" s="1">
        <v>5.9400000000000001E-2</v>
      </c>
      <c r="T39" s="1">
        <v>7.3800000000000004E-2</v>
      </c>
      <c r="U39" s="1">
        <v>0.1018</v>
      </c>
      <c r="V39" s="1">
        <v>0.14169999999999999</v>
      </c>
      <c r="W39" s="1">
        <v>0.22559999999999999</v>
      </c>
      <c r="X39" s="1">
        <v>0.30120000000000002</v>
      </c>
      <c r="Y39" s="1"/>
      <c r="Z39" s="1"/>
      <c r="AA39" s="1"/>
      <c r="AB39" s="1">
        <v>6.93E-2</v>
      </c>
      <c r="AC39" s="1">
        <v>4.7399999999999998E-2</v>
      </c>
      <c r="AD39" s="1">
        <v>5.0799999999999998E-2</v>
      </c>
      <c r="AE39" s="1">
        <v>5.11E-2</v>
      </c>
      <c r="AF39" s="1">
        <v>7.5800000000000006E-2</v>
      </c>
      <c r="AG39" s="1">
        <v>0.1037</v>
      </c>
      <c r="AH39" s="1">
        <v>0.14230000000000001</v>
      </c>
      <c r="AI39" s="1">
        <v>0.22189999999999999</v>
      </c>
      <c r="AJ39" s="1">
        <v>0.30659999999999998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>
        <v>0.18310000000000001</v>
      </c>
      <c r="BM39" s="1">
        <v>0.20219999999999999</v>
      </c>
      <c r="BN39" s="1">
        <v>0.16489999999999999</v>
      </c>
      <c r="BO39" s="1">
        <v>0.19350000000000001</v>
      </c>
      <c r="BP39" s="1">
        <v>0.26219999999999999</v>
      </c>
      <c r="BQ39" s="1">
        <v>0.1963</v>
      </c>
      <c r="BR39" s="1"/>
      <c r="BS39" s="1"/>
      <c r="BT39" s="1"/>
      <c r="BU39" s="1"/>
      <c r="BV39" s="1"/>
      <c r="BW39" s="1"/>
      <c r="BX39" s="1">
        <v>0.27860000000000001</v>
      </c>
      <c r="BY39" s="1">
        <v>0.20619999999999999</v>
      </c>
      <c r="BZ39" s="1">
        <v>0.16739999999999999</v>
      </c>
      <c r="CA39" s="1">
        <v>0.19059999999999999</v>
      </c>
      <c r="CB39" s="1">
        <v>0.24940000000000001</v>
      </c>
      <c r="CC39" s="1">
        <v>0.19159999999999999</v>
      </c>
      <c r="CD39" s="1"/>
      <c r="CE39" s="1"/>
      <c r="CF39" s="1"/>
      <c r="CG39" s="1"/>
      <c r="CH39" s="1"/>
      <c r="CI39" s="1"/>
      <c r="CJ39" s="1">
        <v>0.1782</v>
      </c>
      <c r="CK39" s="1">
        <v>0.2059</v>
      </c>
      <c r="CL39" s="1">
        <v>0.16819999999999999</v>
      </c>
      <c r="CM39" s="1">
        <v>0.18990000000000001</v>
      </c>
      <c r="CN39" s="1">
        <v>0.25459999999999999</v>
      </c>
      <c r="CO39" s="1">
        <v>0.19650000000000001</v>
      </c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11.945</v>
      </c>
      <c r="C40" s="1">
        <v>28.2</v>
      </c>
      <c r="D40" s="1">
        <v>4.8399999999999999E-2</v>
      </c>
      <c r="E40" s="1">
        <v>4.8099999999999997E-2</v>
      </c>
      <c r="F40" s="1">
        <v>4.9299999999999997E-2</v>
      </c>
      <c r="G40" s="1">
        <v>4.9599999999999998E-2</v>
      </c>
      <c r="H40" s="1">
        <v>7.85E-2</v>
      </c>
      <c r="I40" s="1">
        <v>0.1085</v>
      </c>
      <c r="J40" s="1">
        <v>0.14230000000000001</v>
      </c>
      <c r="K40" s="1">
        <v>0.21990000000000001</v>
      </c>
      <c r="L40" s="1">
        <v>0.29499999999999998</v>
      </c>
      <c r="M40" s="1"/>
      <c r="N40" s="1"/>
      <c r="O40" s="1"/>
      <c r="P40" s="1">
        <v>4.8099999999999997E-2</v>
      </c>
      <c r="Q40" s="1">
        <v>4.9500000000000002E-2</v>
      </c>
      <c r="R40" s="1">
        <v>5.1499999999999997E-2</v>
      </c>
      <c r="S40" s="1">
        <v>5.9299999999999999E-2</v>
      </c>
      <c r="T40" s="1">
        <v>7.4499999999999997E-2</v>
      </c>
      <c r="U40" s="1">
        <v>0.1018</v>
      </c>
      <c r="V40" s="1">
        <v>0.1419</v>
      </c>
      <c r="W40" s="1">
        <v>0.22159999999999999</v>
      </c>
      <c r="X40" s="1">
        <v>0.30030000000000001</v>
      </c>
      <c r="Y40" s="1"/>
      <c r="Z40" s="1"/>
      <c r="AA40" s="1"/>
      <c r="AB40" s="1">
        <v>7.3200000000000001E-2</v>
      </c>
      <c r="AC40" s="1">
        <v>4.7E-2</v>
      </c>
      <c r="AD40" s="1">
        <v>5.0599999999999999E-2</v>
      </c>
      <c r="AE40" s="1">
        <v>5.0200000000000002E-2</v>
      </c>
      <c r="AF40" s="1">
        <v>7.5700000000000003E-2</v>
      </c>
      <c r="AG40" s="1">
        <v>0.10299999999999999</v>
      </c>
      <c r="AH40" s="1">
        <v>0.14149999999999999</v>
      </c>
      <c r="AI40" s="1">
        <v>0.21820000000000001</v>
      </c>
      <c r="AJ40" s="1">
        <v>0.30499999999999999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>
        <v>0.1827</v>
      </c>
      <c r="BM40" s="1">
        <v>0.20100000000000001</v>
      </c>
      <c r="BN40" s="1">
        <v>0.1653</v>
      </c>
      <c r="BO40" s="1">
        <v>0.19289999999999999</v>
      </c>
      <c r="BP40" s="1">
        <v>0.2616</v>
      </c>
      <c r="BQ40" s="1">
        <v>0.19589999999999999</v>
      </c>
      <c r="BR40" s="1"/>
      <c r="BS40" s="1"/>
      <c r="BT40" s="1"/>
      <c r="BU40" s="1"/>
      <c r="BV40" s="1"/>
      <c r="BW40" s="1"/>
      <c r="BX40" s="1">
        <v>0.27639999999999998</v>
      </c>
      <c r="BY40" s="1">
        <v>0.2049</v>
      </c>
      <c r="BZ40" s="1">
        <v>0.16700000000000001</v>
      </c>
      <c r="CA40" s="1">
        <v>0.19040000000000001</v>
      </c>
      <c r="CB40" s="1">
        <v>0.24679999999999999</v>
      </c>
      <c r="CC40" s="1">
        <v>0.19120000000000001</v>
      </c>
      <c r="CD40" s="1"/>
      <c r="CE40" s="1"/>
      <c r="CF40" s="1"/>
      <c r="CG40" s="1"/>
      <c r="CH40" s="1"/>
      <c r="CI40" s="1"/>
      <c r="CJ40" s="1">
        <v>0.17749999999999999</v>
      </c>
      <c r="CK40" s="1">
        <v>0.2056</v>
      </c>
      <c r="CL40" s="1">
        <v>0.1696</v>
      </c>
      <c r="CM40" s="1">
        <v>0.1893</v>
      </c>
      <c r="CN40" s="1">
        <v>0.254</v>
      </c>
      <c r="CO40" s="1">
        <v>0.21110000000000001</v>
      </c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23.902000000000001</v>
      </c>
      <c r="C41" s="1">
        <v>28.3</v>
      </c>
      <c r="D41" s="1">
        <v>4.8300000000000003E-2</v>
      </c>
      <c r="E41" s="1">
        <v>4.8399999999999999E-2</v>
      </c>
      <c r="F41" s="1">
        <v>4.9200000000000001E-2</v>
      </c>
      <c r="G41" s="1">
        <v>4.9399999999999999E-2</v>
      </c>
      <c r="H41" s="1">
        <v>7.8899999999999998E-2</v>
      </c>
      <c r="I41" s="1">
        <v>0.1082</v>
      </c>
      <c r="J41" s="1">
        <v>0.14199999999999999</v>
      </c>
      <c r="K41" s="1">
        <v>0.22009999999999999</v>
      </c>
      <c r="L41" s="1">
        <v>0.29189999999999999</v>
      </c>
      <c r="M41" s="1"/>
      <c r="N41" s="1"/>
      <c r="O41" s="1"/>
      <c r="P41" s="1">
        <v>4.8599999999999997E-2</v>
      </c>
      <c r="Q41" s="1">
        <v>4.99E-2</v>
      </c>
      <c r="R41" s="1">
        <v>5.2200000000000003E-2</v>
      </c>
      <c r="S41" s="1">
        <v>5.9499999999999997E-2</v>
      </c>
      <c r="T41" s="1">
        <v>7.4499999999999997E-2</v>
      </c>
      <c r="U41" s="1">
        <v>0.1022</v>
      </c>
      <c r="V41" s="1">
        <v>0.14030000000000001</v>
      </c>
      <c r="W41" s="1">
        <v>0.2208</v>
      </c>
      <c r="X41" s="1">
        <v>0.29880000000000001</v>
      </c>
      <c r="Y41" s="1"/>
      <c r="Z41" s="1"/>
      <c r="AA41" s="1"/>
      <c r="AB41" s="1">
        <v>6.5299999999999997E-2</v>
      </c>
      <c r="AC41" s="1">
        <v>4.7E-2</v>
      </c>
      <c r="AD41" s="1">
        <v>5.0900000000000001E-2</v>
      </c>
      <c r="AE41" s="1">
        <v>5.0200000000000002E-2</v>
      </c>
      <c r="AF41" s="1">
        <v>7.5600000000000001E-2</v>
      </c>
      <c r="AG41" s="1">
        <v>0.1027</v>
      </c>
      <c r="AH41" s="1">
        <v>0.14069999999999999</v>
      </c>
      <c r="AI41" s="1">
        <v>0.222</v>
      </c>
      <c r="AJ41" s="1">
        <v>0.30359999999999998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>
        <v>0.18290000000000001</v>
      </c>
      <c r="BM41" s="1">
        <v>0.20130000000000001</v>
      </c>
      <c r="BN41" s="1">
        <v>0.16489999999999999</v>
      </c>
      <c r="BO41" s="1">
        <v>0.19320000000000001</v>
      </c>
      <c r="BP41" s="1">
        <v>0.26200000000000001</v>
      </c>
      <c r="BQ41" s="1">
        <v>0.19589999999999999</v>
      </c>
      <c r="BR41" s="1"/>
      <c r="BS41" s="1"/>
      <c r="BT41" s="1"/>
      <c r="BU41" s="1"/>
      <c r="BV41" s="1"/>
      <c r="BW41" s="1"/>
      <c r="BX41" s="1">
        <v>0.25340000000000001</v>
      </c>
      <c r="BY41" s="1">
        <v>0.2031</v>
      </c>
      <c r="BZ41" s="1">
        <v>0.16689999999999999</v>
      </c>
      <c r="CA41" s="1">
        <v>0.19040000000000001</v>
      </c>
      <c r="CB41" s="1">
        <v>0.24579999999999999</v>
      </c>
      <c r="CC41" s="1">
        <v>0.1908</v>
      </c>
      <c r="CD41" s="1"/>
      <c r="CE41" s="1"/>
      <c r="CF41" s="1"/>
      <c r="CG41" s="1"/>
      <c r="CH41" s="1"/>
      <c r="CI41" s="1"/>
      <c r="CJ41" s="1">
        <v>0.17810000000000001</v>
      </c>
      <c r="CK41" s="1">
        <v>0.20499999999999999</v>
      </c>
      <c r="CL41" s="1">
        <v>0.16789999999999999</v>
      </c>
      <c r="CM41" s="1">
        <v>0.18890000000000001</v>
      </c>
      <c r="CN41" s="1">
        <v>0.25359999999999999</v>
      </c>
      <c r="CO41" s="1">
        <v>0.2419</v>
      </c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  <c r="BL43">
        <f>BL40</f>
        <v>0.1827</v>
      </c>
      <c r="BM43">
        <f t="shared" ref="BM43:BQ43" si="0">BM40</f>
        <v>0.20100000000000001</v>
      </c>
      <c r="BN43">
        <f t="shared" si="0"/>
        <v>0.1653</v>
      </c>
      <c r="BO43">
        <f t="shared" si="0"/>
        <v>0.19289999999999999</v>
      </c>
      <c r="BP43">
        <f t="shared" si="0"/>
        <v>0.2616</v>
      </c>
      <c r="BQ43">
        <f t="shared" si="0"/>
        <v>0.19589999999999999</v>
      </c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BL44">
        <f>BX40</f>
        <v>0.27639999999999998</v>
      </c>
      <c r="BM44">
        <f t="shared" ref="BM44:BQ44" si="1">BY40</f>
        <v>0.2049</v>
      </c>
      <c r="BN44">
        <f t="shared" si="1"/>
        <v>0.16700000000000001</v>
      </c>
      <c r="BO44">
        <f t="shared" si="1"/>
        <v>0.19040000000000001</v>
      </c>
      <c r="BP44">
        <f t="shared" si="1"/>
        <v>0.24679999999999999</v>
      </c>
      <c r="BQ44">
        <f t="shared" si="1"/>
        <v>0.19120000000000001</v>
      </c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BL45">
        <f>CJ40</f>
        <v>0.17749999999999999</v>
      </c>
      <c r="BM45">
        <f t="shared" ref="BM45:BQ45" si="2">CK40</f>
        <v>0.2056</v>
      </c>
      <c r="BN45">
        <f t="shared" si="2"/>
        <v>0.1696</v>
      </c>
      <c r="BO45">
        <f t="shared" si="2"/>
        <v>0.1893</v>
      </c>
      <c r="BP45">
        <f t="shared" si="2"/>
        <v>0.254</v>
      </c>
      <c r="BQ45">
        <f t="shared" si="2"/>
        <v>0.21110000000000001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2026-03-12T07:21:35Z</dcterms:created>
  <dcterms:modified xsi:type="dcterms:W3CDTF">2026-03-21T05:38:03Z</dcterms:modified>
</cp:coreProperties>
</file>