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BC334B94-C117-B649-8D56-9A3C8F550FC1}" xr6:coauthVersionLast="47" xr6:coauthVersionMax="47" xr10:uidLastSave="{00000000-0000-0000-0000-000000000000}"/>
  <bookViews>
    <workbookView xWindow="8760" yWindow="1400" windowWidth="20140" windowHeight="14580" xr2:uid="{B679385D-B3C3-A94A-871F-3DCD330101BA}"/>
  </bookViews>
  <sheets>
    <sheet name="R1" sheetId="1" r:id="rId1"/>
  </sheets>
  <definedNames>
    <definedName name="_xlnm._FilterDatabase" localSheetId="0" hidden="1">'R1'!$A$1:$AT$1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17" i="1" l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K127" i="1"/>
  <c r="K125" i="1"/>
  <c r="K126" i="1"/>
  <c r="K12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K3" i="1"/>
  <c r="K4" i="1"/>
  <c r="K5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B122" i="1"/>
  <c r="B105" i="1"/>
  <c r="B135" i="1" s="1"/>
  <c r="B113" i="1"/>
  <c r="B143" i="1" s="1"/>
  <c r="B114" i="1"/>
  <c r="B144" i="1" s="1"/>
  <c r="B115" i="1"/>
  <c r="B145" i="1" s="1"/>
  <c r="B92" i="1"/>
  <c r="B63" i="1"/>
  <c r="B93" i="1" s="1"/>
  <c r="B123" i="1" s="1"/>
  <c r="B64" i="1"/>
  <c r="B94" i="1" s="1"/>
  <c r="B124" i="1" s="1"/>
  <c r="B65" i="1"/>
  <c r="B95" i="1" s="1"/>
  <c r="B125" i="1" s="1"/>
  <c r="B66" i="1"/>
  <c r="B96" i="1" s="1"/>
  <c r="B126" i="1" s="1"/>
  <c r="B67" i="1"/>
  <c r="B97" i="1" s="1"/>
  <c r="B127" i="1" s="1"/>
  <c r="B68" i="1"/>
  <c r="B98" i="1" s="1"/>
  <c r="B128" i="1" s="1"/>
  <c r="B69" i="1"/>
  <c r="B99" i="1" s="1"/>
  <c r="B129" i="1" s="1"/>
  <c r="B70" i="1"/>
  <c r="B100" i="1" s="1"/>
  <c r="B130" i="1" s="1"/>
  <c r="B71" i="1"/>
  <c r="B101" i="1" s="1"/>
  <c r="B131" i="1" s="1"/>
  <c r="B72" i="1"/>
  <c r="B102" i="1" s="1"/>
  <c r="B132" i="1" s="1"/>
  <c r="B73" i="1"/>
  <c r="B103" i="1" s="1"/>
  <c r="B133" i="1" s="1"/>
  <c r="B74" i="1"/>
  <c r="B104" i="1" s="1"/>
  <c r="B134" i="1" s="1"/>
  <c r="B75" i="1"/>
  <c r="B76" i="1"/>
  <c r="B106" i="1" s="1"/>
  <c r="B136" i="1" s="1"/>
  <c r="B77" i="1"/>
  <c r="B107" i="1" s="1"/>
  <c r="B137" i="1" s="1"/>
  <c r="B78" i="1"/>
  <c r="B108" i="1" s="1"/>
  <c r="B138" i="1" s="1"/>
  <c r="B79" i="1"/>
  <c r="B109" i="1" s="1"/>
  <c r="B139" i="1" s="1"/>
  <c r="B80" i="1"/>
  <c r="B110" i="1" s="1"/>
  <c r="B140" i="1" s="1"/>
  <c r="B81" i="1"/>
  <c r="B111" i="1" s="1"/>
  <c r="B141" i="1" s="1"/>
  <c r="B82" i="1"/>
  <c r="B112" i="1" s="1"/>
  <c r="B142" i="1" s="1"/>
  <c r="B83" i="1"/>
  <c r="B84" i="1"/>
  <c r="B85" i="1"/>
  <c r="B86" i="1"/>
  <c r="B116" i="1" s="1"/>
  <c r="B146" i="1" s="1"/>
  <c r="B87" i="1"/>
  <c r="B117" i="1" s="1"/>
  <c r="B147" i="1" s="1"/>
  <c r="B88" i="1"/>
  <c r="B118" i="1" s="1"/>
  <c r="B148" i="1" s="1"/>
  <c r="B89" i="1"/>
  <c r="B119" i="1" s="1"/>
  <c r="B149" i="1" s="1"/>
  <c r="B90" i="1"/>
  <c r="B120" i="1" s="1"/>
  <c r="B150" i="1" s="1"/>
  <c r="B91" i="1"/>
  <c r="B121" i="1" s="1"/>
  <c r="B151" i="1" s="1"/>
  <c r="B62" i="1"/>
  <c r="K6" i="1"/>
  <c r="K7" i="1"/>
  <c r="K8" i="1"/>
  <c r="N8" i="1"/>
  <c r="N7" i="1"/>
  <c r="N6" i="1"/>
  <c r="N5" i="1"/>
  <c r="N4" i="1"/>
  <c r="N3" i="1"/>
  <c r="P8" i="1"/>
  <c r="P7" i="1"/>
  <c r="P6" i="1"/>
  <c r="P5" i="1"/>
  <c r="P4" i="1"/>
  <c r="P3" i="1"/>
  <c r="J8" i="1"/>
  <c r="J7" i="1"/>
  <c r="J6" i="1"/>
  <c r="J5" i="1"/>
  <c r="J4" i="1"/>
  <c r="J3" i="1"/>
  <c r="I8" i="1"/>
  <c r="I7" i="1"/>
  <c r="I6" i="1"/>
  <c r="I5" i="1"/>
  <c r="I4" i="1"/>
  <c r="I3" i="1"/>
  <c r="V2" i="1"/>
  <c r="N2" i="1"/>
  <c r="L2" i="1"/>
  <c r="O2" i="1"/>
  <c r="J2" i="1"/>
  <c r="I2" i="1"/>
  <c r="J102" i="1" l="1"/>
  <c r="J101" i="1"/>
  <c r="J103" i="1"/>
  <c r="J100" i="1"/>
  <c r="J99" i="1"/>
  <c r="J98" i="1"/>
  <c r="M2" i="1"/>
</calcChain>
</file>

<file path=xl/sharedStrings.xml><?xml version="1.0" encoding="utf-8"?>
<sst xmlns="http://schemas.openxmlformats.org/spreadsheetml/2006/main" count="496" uniqueCount="87">
  <si>
    <t>Samples</t>
  </si>
  <si>
    <t>Time</t>
  </si>
  <si>
    <t>NO3</t>
  </si>
  <si>
    <t>NO2</t>
  </si>
  <si>
    <t>NH4</t>
  </si>
  <si>
    <t>TIN</t>
  </si>
  <si>
    <t>NLR/NRR</t>
  </si>
  <si>
    <t>HCO3</t>
  </si>
  <si>
    <t>NO3_Raw</t>
  </si>
  <si>
    <t>NO2_Raw</t>
  </si>
  <si>
    <t>NH4_Raw</t>
  </si>
  <si>
    <t>NH4_1</t>
  </si>
  <si>
    <t>NH4_2</t>
  </si>
  <si>
    <t>NH4_3</t>
  </si>
  <si>
    <t>Dark</t>
  </si>
  <si>
    <t>IR</t>
  </si>
  <si>
    <t>Strain</t>
  </si>
  <si>
    <t>Light</t>
  </si>
  <si>
    <t>HCO3_raw</t>
  </si>
  <si>
    <t>Paracoccus</t>
  </si>
  <si>
    <t>Marinobacter</t>
  </si>
  <si>
    <t>Aliidiomarina</t>
  </si>
  <si>
    <t>△NH4N</t>
  </si>
  <si>
    <t>△NO2N</t>
  </si>
  <si>
    <t>OD600.raw1</t>
  </si>
  <si>
    <t>OD600.raw2</t>
  </si>
  <si>
    <t>Acetate_Raw</t>
  </si>
  <si>
    <t>S_Raw</t>
  </si>
  <si>
    <t>S2O3</t>
  </si>
  <si>
    <t>CH3COO</t>
  </si>
  <si>
    <t>△S2O3</t>
  </si>
  <si>
    <t>SO4_Raw</t>
  </si>
  <si>
    <t>OD600.raw3</t>
  </si>
  <si>
    <t>OD600</t>
  </si>
  <si>
    <t>SO4</t>
  </si>
  <si>
    <t>S_CRate_(%)</t>
  </si>
  <si>
    <t>NO2/NH4</t>
  </si>
  <si>
    <t>TOC_raw</t>
  </si>
  <si>
    <t>IC_raw</t>
  </si>
  <si>
    <t>TC_raw</t>
  </si>
  <si>
    <t>IC</t>
  </si>
  <si>
    <t>TOC</t>
  </si>
  <si>
    <t>TC</t>
  </si>
  <si>
    <t>TN</t>
  </si>
  <si>
    <t>TN_raw</t>
  </si>
  <si>
    <t>CCUS</t>
  </si>
  <si>
    <t>CCUS_Efficiency</t>
  </si>
  <si>
    <t>S2O3_Intake</t>
  </si>
  <si>
    <t>SO4_produce</t>
  </si>
  <si>
    <t>e_efficiency</t>
  </si>
  <si>
    <t>CCUS_Rate</t>
  </si>
  <si>
    <t>D2_D</t>
  </si>
  <si>
    <t>D3_D</t>
  </si>
  <si>
    <t>D1_I</t>
  </si>
  <si>
    <t>D2_I</t>
  </si>
  <si>
    <t>D3_I</t>
  </si>
  <si>
    <t>A1_D</t>
  </si>
  <si>
    <t>A2_D</t>
  </si>
  <si>
    <t>A3_D</t>
  </si>
  <si>
    <t>A1_I</t>
  </si>
  <si>
    <t>A2_I</t>
  </si>
  <si>
    <t>A3_I</t>
  </si>
  <si>
    <t>P1_D</t>
  </si>
  <si>
    <t>P2_D</t>
  </si>
  <si>
    <t>P3_D</t>
  </si>
  <si>
    <t>P1_I</t>
  </si>
  <si>
    <t>P2_I</t>
  </si>
  <si>
    <t>P3_I</t>
  </si>
  <si>
    <t>H1_D</t>
  </si>
  <si>
    <t>H2_D</t>
  </si>
  <si>
    <t>H3_D</t>
  </si>
  <si>
    <t>H1_I</t>
  </si>
  <si>
    <t>H2_I</t>
  </si>
  <si>
    <t>H3_I</t>
  </si>
  <si>
    <t>M1_D</t>
  </si>
  <si>
    <t>M2_D</t>
  </si>
  <si>
    <t>M3_D</t>
  </si>
  <si>
    <t>M1_I</t>
  </si>
  <si>
    <t>M2_I</t>
  </si>
  <si>
    <t>M3_I</t>
  </si>
  <si>
    <t>D1_D_0602</t>
  </si>
  <si>
    <t>D1_D_0604</t>
  </si>
  <si>
    <t>D1_D_0608</t>
  </si>
  <si>
    <t>D1_D_0611</t>
  </si>
  <si>
    <t>D1_D_0612</t>
  </si>
  <si>
    <t>Deinococcus</t>
  </si>
  <si>
    <t>Halomonas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</si>
</sst>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rgb="FFFF0000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2" borderId="0" xfId="0" applyFont="1" applyFill="1"/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B25-9AF0-9B44-BB0B-59E0C1010BCE}">
  <dimension ref="A1:AT181"/>
  <sheetViews>
    <sheetView tabSelected="1" zoomScale="75" zoomScaleNormal="90" workbookViewId="0">
      <pane ySplit="1" topLeftCell="A142" activePane="bottomLeft" state="frozen"/>
      <selection pane="bottomLeft" activeCell="K153" sqref="K153"/>
    </sheetView>
  </sheetViews>
  <sheetFormatPr baseColWidth="10" defaultRowHeight="16" x14ac:dyDescent="0.2"/>
  <cols>
    <col min="1" max="1" width="9.5" customWidth="1"/>
    <col min="2" max="2" width="6.33203125" customWidth="1"/>
    <col min="3" max="3" width="12.1640625" customWidth="1"/>
    <col min="4" max="4" width="7.5" customWidth="1"/>
    <col min="5" max="18" width="9.6640625" customWidth="1"/>
    <col min="19" max="21" width="14.1640625" customWidth="1"/>
    <col min="22" max="22" width="12.6640625" customWidth="1"/>
    <col min="23" max="23" width="10.6640625" customWidth="1"/>
    <col min="24" max="24" width="16.5" customWidth="1"/>
    <col min="25" max="25" width="13.6640625" customWidth="1"/>
    <col min="33" max="33" width="10.83203125" customWidth="1"/>
    <col min="34" max="36" width="12.6640625" customWidth="1"/>
  </cols>
  <sheetData>
    <row r="1" spans="1:46" ht="17" thickBot="1" x14ac:dyDescent="0.25">
      <c r="A1" s="5" t="s">
        <v>0</v>
      </c>
      <c r="B1" s="6" t="s">
        <v>1</v>
      </c>
      <c r="C1" s="3" t="s">
        <v>16</v>
      </c>
      <c r="D1" s="3" t="s">
        <v>17</v>
      </c>
      <c r="E1" s="1" t="s">
        <v>40</v>
      </c>
      <c r="F1" s="1" t="s">
        <v>41</v>
      </c>
      <c r="G1" s="1" t="s">
        <v>42</v>
      </c>
      <c r="H1" s="1" t="s">
        <v>43</v>
      </c>
      <c r="I1" s="3" t="s">
        <v>7</v>
      </c>
      <c r="J1" s="5" t="s">
        <v>3</v>
      </c>
      <c r="K1" s="5" t="s">
        <v>4</v>
      </c>
      <c r="L1" s="1" t="s">
        <v>2</v>
      </c>
      <c r="M1" s="1" t="s">
        <v>5</v>
      </c>
      <c r="N1" s="1" t="s">
        <v>29</v>
      </c>
      <c r="O1" s="3" t="s">
        <v>28</v>
      </c>
      <c r="P1" s="3" t="s">
        <v>34</v>
      </c>
      <c r="Q1" s="3" t="s">
        <v>47</v>
      </c>
      <c r="R1" s="3" t="s">
        <v>48</v>
      </c>
      <c r="S1" s="7" t="s">
        <v>35</v>
      </c>
      <c r="T1" s="7" t="s">
        <v>49</v>
      </c>
      <c r="U1" s="7" t="s">
        <v>36</v>
      </c>
      <c r="V1" s="1" t="s">
        <v>33</v>
      </c>
      <c r="W1" s="1" t="s">
        <v>45</v>
      </c>
      <c r="X1" s="1" t="s">
        <v>46</v>
      </c>
      <c r="Y1" s="1" t="s">
        <v>50</v>
      </c>
      <c r="Z1" s="1" t="s">
        <v>23</v>
      </c>
      <c r="AA1" s="1" t="s">
        <v>22</v>
      </c>
      <c r="AB1" s="1" t="s">
        <v>30</v>
      </c>
      <c r="AC1" s="1" t="s">
        <v>6</v>
      </c>
      <c r="AD1" s="1" t="s">
        <v>18</v>
      </c>
      <c r="AE1" s="1" t="s">
        <v>9</v>
      </c>
      <c r="AF1" s="1" t="s">
        <v>10</v>
      </c>
      <c r="AG1" s="1" t="s">
        <v>8</v>
      </c>
      <c r="AH1" s="1" t="s">
        <v>26</v>
      </c>
      <c r="AI1" s="1" t="s">
        <v>27</v>
      </c>
      <c r="AJ1" s="1" t="s">
        <v>31</v>
      </c>
      <c r="AK1" s="1" t="s">
        <v>11</v>
      </c>
      <c r="AL1" s="1" t="s">
        <v>12</v>
      </c>
      <c r="AM1" s="1" t="s">
        <v>13</v>
      </c>
      <c r="AN1" s="1" t="s">
        <v>24</v>
      </c>
      <c r="AO1" s="1" t="s">
        <v>25</v>
      </c>
      <c r="AP1" s="1" t="s">
        <v>32</v>
      </c>
      <c r="AQ1" s="1" t="s">
        <v>38</v>
      </c>
      <c r="AR1" s="1" t="s">
        <v>37</v>
      </c>
      <c r="AS1" s="1" t="s">
        <v>39</v>
      </c>
      <c r="AT1" s="1" t="s">
        <v>44</v>
      </c>
    </row>
    <row r="2" spans="1:46" x14ac:dyDescent="0.2">
      <c r="A2" s="10" t="s">
        <v>80</v>
      </c>
      <c r="B2">
        <v>0</v>
      </c>
      <c r="C2" t="s">
        <v>85</v>
      </c>
      <c r="D2" t="s">
        <v>14</v>
      </c>
      <c r="I2" s="2">
        <f t="shared" ref="I2:I65" si="0">30*(AD2-0.0549)/0.0239</f>
        <v>81.931778214359639</v>
      </c>
      <c r="J2">
        <f t="shared" ref="J2:J8" si="1">(3.9165*AE2-0.5231)*30</f>
        <v>40.139785325329228</v>
      </c>
      <c r="K2">
        <f t="shared" ref="K2:K5" si="2">(11.007*AK2-0.65)*20</f>
        <v>29.663132000000001</v>
      </c>
      <c r="L2">
        <f t="shared" ref="L2" si="3">(4.6372*AG2-0.0418)*30</f>
        <v>2.1795920898160284</v>
      </c>
      <c r="M2">
        <f t="shared" ref="M2" si="4">J2+K2</f>
        <v>69.802917325329233</v>
      </c>
      <c r="N2" s="2">
        <f t="shared" ref="N2:N8" si="5">(AH2*0.0602-0.0038)*30</f>
        <v>-0.10818763955994561</v>
      </c>
      <c r="O2" s="4">
        <f t="shared" ref="O2:O65" si="6">(0.3548*AI2 + 0.0099)*30</f>
        <v>6.5003232000000004</v>
      </c>
      <c r="P2" s="4">
        <f>(0.1094*AJ2 - 0.0017)*30</f>
        <v>1.2642678278730295</v>
      </c>
      <c r="V2">
        <f t="shared" ref="V2" si="7">AVERAGE(AN2:AP2)</f>
        <v>0.1424</v>
      </c>
      <c r="AD2" s="11">
        <v>0.12017231664410652</v>
      </c>
      <c r="AE2" s="8">
        <v>0.47519286203948452</v>
      </c>
      <c r="AF2">
        <f>AVERAGE(AK2:AM2)</f>
        <v>0.1938</v>
      </c>
      <c r="AG2" s="8">
        <v>2.4681503851577302E-2</v>
      </c>
      <c r="AH2" s="8">
        <v>3.2183612624885893E-3</v>
      </c>
      <c r="AI2" s="11">
        <v>0.58279999999999998</v>
      </c>
      <c r="AJ2" s="8">
        <v>0.40075192805393955</v>
      </c>
      <c r="AK2">
        <v>0.1938</v>
      </c>
      <c r="AN2">
        <v>0.14030000000000001</v>
      </c>
      <c r="AO2">
        <v>0.14449999999999999</v>
      </c>
    </row>
    <row r="3" spans="1:46" x14ac:dyDescent="0.2">
      <c r="A3" s="10" t="s">
        <v>51</v>
      </c>
      <c r="B3">
        <v>0</v>
      </c>
      <c r="C3" t="s">
        <v>85</v>
      </c>
      <c r="D3" t="s">
        <v>14</v>
      </c>
      <c r="I3" s="2">
        <f t="shared" si="0"/>
        <v>143.51711259363501</v>
      </c>
      <c r="J3">
        <f t="shared" si="1"/>
        <v>38.131459499999998</v>
      </c>
      <c r="K3">
        <f t="shared" si="2"/>
        <v>33.493567999999996</v>
      </c>
      <c r="N3" s="2">
        <f t="shared" si="5"/>
        <v>-0.1087626</v>
      </c>
      <c r="O3" s="4">
        <f t="shared" si="6"/>
        <v>6.0984955244000503</v>
      </c>
      <c r="P3" s="4">
        <f t="shared" ref="P2:P8" si="8">(0.1094*AJ3 - 0.0017)*30</f>
        <v>4.5808865999999995</v>
      </c>
      <c r="AD3" s="11">
        <v>0.16923529969959589</v>
      </c>
      <c r="AE3" s="9">
        <v>0.45810000000000001</v>
      </c>
      <c r="AF3">
        <f t="shared" ref="AF3:AF66" si="9">AVERAGE(AK3:AM3)</f>
        <v>0.2112</v>
      </c>
      <c r="AG3" s="8">
        <v>0.01</v>
      </c>
      <c r="AH3" s="9">
        <v>2.8999999999999998E-3</v>
      </c>
      <c r="AI3" s="11">
        <v>0.54504843333333808</v>
      </c>
      <c r="AJ3" s="9">
        <v>1.4113</v>
      </c>
      <c r="AK3">
        <v>0.2112</v>
      </c>
      <c r="AN3">
        <v>0.1242</v>
      </c>
      <c r="AO3">
        <v>0.13600000000000001</v>
      </c>
    </row>
    <row r="4" spans="1:46" x14ac:dyDescent="0.2">
      <c r="A4" s="10" t="s">
        <v>52</v>
      </c>
      <c r="B4">
        <v>0</v>
      </c>
      <c r="C4" t="s">
        <v>85</v>
      </c>
      <c r="D4" t="s">
        <v>14</v>
      </c>
      <c r="I4" s="2">
        <f t="shared" si="0"/>
        <v>67.748446956286216</v>
      </c>
      <c r="J4">
        <f t="shared" si="1"/>
        <v>-15.693</v>
      </c>
      <c r="K4">
        <f t="shared" si="2"/>
        <v>38.424703999999998</v>
      </c>
      <c r="N4" s="2">
        <f t="shared" si="5"/>
        <v>-0.1060536</v>
      </c>
      <c r="O4" s="4">
        <f t="shared" si="6"/>
        <v>6.0522702360802487</v>
      </c>
      <c r="P4" s="4">
        <f t="shared" si="8"/>
        <v>18.815576999999998</v>
      </c>
      <c r="AD4" s="11">
        <v>0.10887292940850803</v>
      </c>
      <c r="AE4" s="9">
        <v>0</v>
      </c>
      <c r="AF4">
        <f t="shared" si="9"/>
        <v>0.2336</v>
      </c>
      <c r="AG4" s="8">
        <v>0.01</v>
      </c>
      <c r="AH4" s="9">
        <v>4.4000000000000003E-3</v>
      </c>
      <c r="AI4" s="11">
        <v>0.5407055839985202</v>
      </c>
      <c r="AJ4" s="9">
        <v>5.7484999999999999</v>
      </c>
      <c r="AK4">
        <v>0.2336</v>
      </c>
      <c r="AN4">
        <v>0.12590000000000001</v>
      </c>
      <c r="AO4">
        <v>0.12520000000000001</v>
      </c>
    </row>
    <row r="5" spans="1:46" x14ac:dyDescent="0.2">
      <c r="A5" s="10" t="s">
        <v>53</v>
      </c>
      <c r="B5">
        <v>0</v>
      </c>
      <c r="C5" t="s">
        <v>85</v>
      </c>
      <c r="D5" t="s">
        <v>15</v>
      </c>
      <c r="I5" s="2">
        <f t="shared" si="0"/>
        <v>89.555369559882323</v>
      </c>
      <c r="J5">
        <f t="shared" si="1"/>
        <v>35.370327000000003</v>
      </c>
      <c r="K5">
        <f t="shared" si="2"/>
        <v>35.034548000000001</v>
      </c>
      <c r="N5" s="2">
        <f t="shared" si="5"/>
        <v>-0.11002679999999999</v>
      </c>
      <c r="O5" s="4">
        <f t="shared" si="6"/>
        <v>6.0748608772000239</v>
      </c>
      <c r="P5" s="4">
        <f t="shared" si="8"/>
        <v>1.6887882000000001</v>
      </c>
      <c r="AD5" s="11">
        <v>0.12624577774937293</v>
      </c>
      <c r="AE5" s="9">
        <v>0.43459999999999999</v>
      </c>
      <c r="AF5">
        <f t="shared" si="9"/>
        <v>0.21820000000000001</v>
      </c>
      <c r="AG5" s="8">
        <v>0.01</v>
      </c>
      <c r="AH5" s="9">
        <v>2.2000000000000001E-3</v>
      </c>
      <c r="AI5" s="11">
        <v>0.54282796666666888</v>
      </c>
      <c r="AJ5" s="9">
        <v>0.53010000000000002</v>
      </c>
      <c r="AK5">
        <v>0.21820000000000001</v>
      </c>
      <c r="AN5">
        <v>0.126</v>
      </c>
      <c r="AO5">
        <v>0.12509999999999999</v>
      </c>
    </row>
    <row r="6" spans="1:46" x14ac:dyDescent="0.2">
      <c r="A6" s="10" t="s">
        <v>54</v>
      </c>
      <c r="B6">
        <v>0</v>
      </c>
      <c r="C6" t="s">
        <v>85</v>
      </c>
      <c r="D6" t="s">
        <v>15</v>
      </c>
      <c r="I6" s="2">
        <f t="shared" si="0"/>
        <v>76.432798105030898</v>
      </c>
      <c r="J6">
        <f t="shared" si="1"/>
        <v>36.709769999999999</v>
      </c>
      <c r="K6">
        <f>(11.007*AK6-0.65)*20</f>
        <v>31.138070000000006</v>
      </c>
      <c r="N6" s="2">
        <f t="shared" si="5"/>
        <v>-0.109485</v>
      </c>
      <c r="O6" s="4">
        <f t="shared" si="6"/>
        <v>6.0545138067999984</v>
      </c>
      <c r="P6" s="4">
        <f t="shared" si="8"/>
        <v>5.0085312000000002</v>
      </c>
      <c r="AD6" s="11">
        <v>0.11579146249034128</v>
      </c>
      <c r="AE6" s="9">
        <v>0.44600000000000001</v>
      </c>
      <c r="AF6">
        <f t="shared" si="9"/>
        <v>0.20050000000000001</v>
      </c>
      <c r="AG6" s="8">
        <v>0.01</v>
      </c>
      <c r="AH6" s="9">
        <v>2.5000000000000001E-3</v>
      </c>
      <c r="AI6" s="11">
        <v>0.54091636666666654</v>
      </c>
      <c r="AJ6" s="9">
        <v>1.5416000000000001</v>
      </c>
      <c r="AK6">
        <v>0.20050000000000001</v>
      </c>
      <c r="AN6">
        <v>0.1191</v>
      </c>
      <c r="AO6">
        <v>0.12089999999999999</v>
      </c>
    </row>
    <row r="7" spans="1:46" x14ac:dyDescent="0.2">
      <c r="A7" s="10" t="s">
        <v>55</v>
      </c>
      <c r="B7">
        <v>0</v>
      </c>
      <c r="C7" t="s">
        <v>85</v>
      </c>
      <c r="D7" t="s">
        <v>15</v>
      </c>
      <c r="I7" s="2">
        <f t="shared" si="0"/>
        <v>78.684749542241661</v>
      </c>
      <c r="J7">
        <f t="shared" si="1"/>
        <v>-15.693</v>
      </c>
      <c r="K7">
        <f>(11.007*AK7-0.65)*20</f>
        <v>26.845339999999993</v>
      </c>
      <c r="N7" s="2">
        <f t="shared" si="5"/>
        <v>-0.1078596</v>
      </c>
      <c r="O7" s="4">
        <f t="shared" si="6"/>
        <v>7.2858503999999993</v>
      </c>
      <c r="P7" s="4">
        <f t="shared" si="8"/>
        <v>19.2954054</v>
      </c>
      <c r="AD7" s="11">
        <v>0.11758551713531919</v>
      </c>
      <c r="AE7" s="9">
        <v>0</v>
      </c>
      <c r="AF7">
        <f t="shared" si="9"/>
        <v>0.18099999999999999</v>
      </c>
      <c r="AG7" s="8">
        <v>0.01</v>
      </c>
      <c r="AH7" s="9">
        <v>3.3999999999999998E-3</v>
      </c>
      <c r="AI7" s="11">
        <v>0.65659999999999996</v>
      </c>
      <c r="AJ7" s="9">
        <v>5.8947000000000003</v>
      </c>
      <c r="AK7">
        <v>0.18099999999999999</v>
      </c>
      <c r="AN7">
        <v>0.12330000000000001</v>
      </c>
      <c r="AO7">
        <v>0.12180000000000001</v>
      </c>
    </row>
    <row r="8" spans="1:46" x14ac:dyDescent="0.2">
      <c r="A8" s="10" t="s">
        <v>56</v>
      </c>
      <c r="B8">
        <v>0</v>
      </c>
      <c r="C8" t="s">
        <v>21</v>
      </c>
      <c r="D8" t="s">
        <v>14</v>
      </c>
      <c r="I8" s="2">
        <f t="shared" si="0"/>
        <v>80.591021340471443</v>
      </c>
      <c r="J8">
        <f t="shared" si="1"/>
        <v>33.948637499999997</v>
      </c>
      <c r="K8">
        <f>(11.007*AK8-0.65)*20</f>
        <v>39.833600000000004</v>
      </c>
      <c r="N8" s="2">
        <f t="shared" si="5"/>
        <v>-0.10930440000000001</v>
      </c>
      <c r="O8" s="4">
        <f t="shared" si="6"/>
        <v>5.8463870624000078</v>
      </c>
      <c r="P8" s="4">
        <f t="shared" si="8"/>
        <v>2.0652336</v>
      </c>
      <c r="AD8" s="11">
        <v>0.11910418033457559</v>
      </c>
      <c r="AE8" s="9">
        <v>0.42249999999999999</v>
      </c>
      <c r="AF8">
        <f t="shared" si="9"/>
        <v>0.24</v>
      </c>
      <c r="AG8" s="8">
        <v>0.01</v>
      </c>
      <c r="AH8" s="9">
        <v>2.5999999999999999E-3</v>
      </c>
      <c r="AI8" s="11">
        <v>0.52136293333333406</v>
      </c>
      <c r="AJ8" s="9">
        <v>0.64480000000000004</v>
      </c>
      <c r="AK8">
        <v>0.24</v>
      </c>
      <c r="AN8">
        <v>0.16969999999999999</v>
      </c>
      <c r="AO8">
        <v>0.16900000000000001</v>
      </c>
    </row>
    <row r="9" spans="1:46" x14ac:dyDescent="0.2">
      <c r="A9" s="10" t="s">
        <v>57</v>
      </c>
      <c r="B9">
        <v>0</v>
      </c>
      <c r="C9" t="s">
        <v>21</v>
      </c>
      <c r="D9" t="s">
        <v>14</v>
      </c>
      <c r="I9" s="2">
        <f t="shared" si="0"/>
        <v>74.143710935329793</v>
      </c>
      <c r="K9">
        <f t="shared" ref="K9:K72" si="10">(11.007*AK9-0.65)*20</f>
        <v>44.588624000000003</v>
      </c>
      <c r="O9" s="4">
        <f t="shared" si="6"/>
        <v>5.2993716788000027</v>
      </c>
      <c r="AD9" s="11">
        <v>0.11396782304514606</v>
      </c>
      <c r="AF9">
        <f t="shared" si="9"/>
        <v>0.2616</v>
      </c>
      <c r="AI9" s="11">
        <v>0.46997103333333357</v>
      </c>
      <c r="AK9">
        <v>0.2616</v>
      </c>
      <c r="AN9">
        <v>0.27300000000000002</v>
      </c>
      <c r="AO9">
        <v>0.26500000000000001</v>
      </c>
    </row>
    <row r="10" spans="1:46" x14ac:dyDescent="0.2">
      <c r="A10" s="10" t="s">
        <v>58</v>
      </c>
      <c r="B10">
        <v>0</v>
      </c>
      <c r="C10" t="s">
        <v>21</v>
      </c>
      <c r="D10" t="s">
        <v>14</v>
      </c>
      <c r="I10" s="2">
        <f t="shared" si="0"/>
        <v>117.70240656639544</v>
      </c>
      <c r="K10">
        <f t="shared" si="10"/>
        <v>43.245770000000007</v>
      </c>
      <c r="O10" s="4">
        <f t="shared" si="6"/>
        <v>5.1440005011999936</v>
      </c>
      <c r="AD10" s="11">
        <v>0.14866958389789503</v>
      </c>
      <c r="AF10">
        <f t="shared" si="9"/>
        <v>0.2555</v>
      </c>
      <c r="AI10" s="11">
        <v>0.45537396666666607</v>
      </c>
      <c r="AK10">
        <v>0.2555</v>
      </c>
      <c r="AN10">
        <v>0.16950000000000001</v>
      </c>
      <c r="AO10">
        <v>0.17100000000000001</v>
      </c>
    </row>
    <row r="11" spans="1:46" x14ac:dyDescent="0.2">
      <c r="A11" s="10" t="s">
        <v>59</v>
      </c>
      <c r="B11">
        <v>0</v>
      </c>
      <c r="C11" t="s">
        <v>21</v>
      </c>
      <c r="D11" t="s">
        <v>15</v>
      </c>
      <c r="I11" s="2">
        <f t="shared" si="0"/>
        <v>63.333693108224985</v>
      </c>
      <c r="K11">
        <f t="shared" si="10"/>
        <v>60.989054000000003</v>
      </c>
      <c r="O11" s="4">
        <f t="shared" si="6"/>
        <v>4.5745248584000029</v>
      </c>
      <c r="AD11" s="11">
        <v>0.10535584217621924</v>
      </c>
      <c r="AF11">
        <f t="shared" si="9"/>
        <v>0.33610000000000001</v>
      </c>
      <c r="AI11" s="11">
        <v>0.4018719333333336</v>
      </c>
      <c r="AK11">
        <v>0.33610000000000001</v>
      </c>
      <c r="AN11">
        <v>0.20150000000000001</v>
      </c>
      <c r="AO11">
        <v>0.19539999999999999</v>
      </c>
    </row>
    <row r="12" spans="1:46" x14ac:dyDescent="0.2">
      <c r="A12" s="10" t="s">
        <v>60</v>
      </c>
      <c r="B12">
        <v>0</v>
      </c>
      <c r="C12" t="s">
        <v>21</v>
      </c>
      <c r="D12" t="s">
        <v>15</v>
      </c>
      <c r="I12" s="2">
        <f t="shared" si="0"/>
        <v>81.235944296059472</v>
      </c>
      <c r="K12">
        <f t="shared" si="10"/>
        <v>47.934751999999996</v>
      </c>
      <c r="O12" s="4">
        <f t="shared" si="6"/>
        <v>5.1125733815999999</v>
      </c>
      <c r="AD12" s="11">
        <v>0.1196179689558607</v>
      </c>
      <c r="AF12">
        <f t="shared" si="9"/>
        <v>0.27679999999999999</v>
      </c>
      <c r="AI12" s="11">
        <v>0.45242139999999997</v>
      </c>
      <c r="AK12">
        <v>0.27679999999999999</v>
      </c>
      <c r="AN12">
        <v>0.16650000000000001</v>
      </c>
      <c r="AO12">
        <v>0.17030000000000001</v>
      </c>
    </row>
    <row r="13" spans="1:46" x14ac:dyDescent="0.2">
      <c r="A13" s="10" t="s">
        <v>61</v>
      </c>
      <c r="B13">
        <v>0</v>
      </c>
      <c r="C13" t="s">
        <v>21</v>
      </c>
      <c r="D13" t="s">
        <v>15</v>
      </c>
      <c r="I13" s="2">
        <f t="shared" si="0"/>
        <v>99.88166504239102</v>
      </c>
      <c r="K13">
        <f t="shared" si="10"/>
        <v>33.295442000000001</v>
      </c>
      <c r="O13" s="4">
        <f t="shared" si="6"/>
        <v>5.8423097008000031</v>
      </c>
      <c r="AD13" s="11">
        <v>0.13447239315043819</v>
      </c>
      <c r="AF13">
        <f t="shared" si="9"/>
        <v>0.21029999999999999</v>
      </c>
      <c r="AI13" s="11">
        <v>0.52097986666666696</v>
      </c>
      <c r="AK13">
        <v>0.21029999999999999</v>
      </c>
      <c r="AN13">
        <v>0.25469999999999998</v>
      </c>
      <c r="AO13">
        <v>0.26129999999999998</v>
      </c>
    </row>
    <row r="14" spans="1:46" x14ac:dyDescent="0.2">
      <c r="A14" s="10" t="s">
        <v>62</v>
      </c>
      <c r="B14">
        <v>0</v>
      </c>
      <c r="C14" t="s">
        <v>19</v>
      </c>
      <c r="D14" t="s">
        <v>14</v>
      </c>
      <c r="I14" s="2">
        <f t="shared" si="0"/>
        <v>88.089809412786266</v>
      </c>
      <c r="K14">
        <f t="shared" si="10"/>
        <v>42.343195999999999</v>
      </c>
      <c r="O14" s="4">
        <f t="shared" si="6"/>
        <v>5.761657984000073</v>
      </c>
      <c r="AD14" s="11">
        <v>0.1250782148321864</v>
      </c>
      <c r="AF14">
        <f t="shared" si="9"/>
        <v>0.25140000000000001</v>
      </c>
      <c r="AI14" s="11">
        <v>0.51340266666667356</v>
      </c>
      <c r="AK14">
        <v>0.25140000000000001</v>
      </c>
      <c r="AN14">
        <v>0.2596</v>
      </c>
      <c r="AO14">
        <v>0.19819999999999999</v>
      </c>
    </row>
    <row r="15" spans="1:46" x14ac:dyDescent="0.2">
      <c r="A15" s="10" t="s">
        <v>63</v>
      </c>
      <c r="B15">
        <v>0</v>
      </c>
      <c r="C15" t="s">
        <v>19</v>
      </c>
      <c r="D15" t="s">
        <v>14</v>
      </c>
      <c r="I15" s="2">
        <f t="shared" si="0"/>
        <v>87.82956419957722</v>
      </c>
      <c r="K15">
        <f t="shared" si="10"/>
        <v>41.286524</v>
      </c>
      <c r="O15" s="4">
        <f t="shared" si="6"/>
        <v>4.7063468994320274</v>
      </c>
      <c r="AD15" s="11">
        <v>0.12487088614566318</v>
      </c>
      <c r="AF15">
        <f t="shared" si="9"/>
        <v>0.24660000000000001</v>
      </c>
      <c r="AI15" s="11">
        <v>0.41425656702668423</v>
      </c>
      <c r="AK15">
        <v>0.24660000000000001</v>
      </c>
      <c r="AN15">
        <v>0.24959999999999999</v>
      </c>
      <c r="AO15">
        <v>0.2472</v>
      </c>
    </row>
    <row r="16" spans="1:46" x14ac:dyDescent="0.2">
      <c r="A16" s="10" t="s">
        <v>64</v>
      </c>
      <c r="B16">
        <v>0</v>
      </c>
      <c r="C16" t="s">
        <v>19</v>
      </c>
      <c r="D16" t="s">
        <v>14</v>
      </c>
      <c r="I16" s="2">
        <f t="shared" si="0"/>
        <v>81.318330609994888</v>
      </c>
      <c r="K16">
        <f t="shared" si="10"/>
        <v>46.856065999999998</v>
      </c>
      <c r="O16" s="4">
        <f t="shared" si="6"/>
        <v>5.7507411428000044</v>
      </c>
      <c r="AD16" s="11">
        <v>0.11968360338596258</v>
      </c>
      <c r="AF16">
        <f t="shared" si="9"/>
        <v>0.27189999999999998</v>
      </c>
      <c r="AI16" s="11">
        <v>0.51237703333333373</v>
      </c>
      <c r="AK16">
        <v>0.27189999999999998</v>
      </c>
      <c r="AN16">
        <v>0.21870000000000001</v>
      </c>
      <c r="AO16">
        <v>0.21429999999999999</v>
      </c>
    </row>
    <row r="17" spans="1:41" x14ac:dyDescent="0.2">
      <c r="A17" s="10" t="s">
        <v>65</v>
      </c>
      <c r="B17">
        <v>0</v>
      </c>
      <c r="C17" t="s">
        <v>19</v>
      </c>
      <c r="D17" t="s">
        <v>15</v>
      </c>
      <c r="I17" s="2">
        <f t="shared" si="0"/>
        <v>78.219072663926255</v>
      </c>
      <c r="K17">
        <f t="shared" si="10"/>
        <v>43.53195199999999</v>
      </c>
      <c r="O17" s="4">
        <f t="shared" si="6"/>
        <v>5.4601138187999894</v>
      </c>
      <c r="AD17" s="11">
        <v>0.11721452788892792</v>
      </c>
      <c r="AF17">
        <f t="shared" si="9"/>
        <v>0.25679999999999997</v>
      </c>
      <c r="AI17" s="11">
        <v>0.48507269999999902</v>
      </c>
      <c r="AK17">
        <v>0.25679999999999997</v>
      </c>
      <c r="AN17">
        <v>0.21809999999999999</v>
      </c>
      <c r="AO17">
        <v>0.21590000000000001</v>
      </c>
    </row>
    <row r="18" spans="1:41" x14ac:dyDescent="0.2">
      <c r="A18" s="10" t="s">
        <v>66</v>
      </c>
      <c r="B18">
        <v>0</v>
      </c>
      <c r="C18" t="s">
        <v>19</v>
      </c>
      <c r="D18" t="s">
        <v>15</v>
      </c>
      <c r="I18" s="2">
        <f t="shared" si="0"/>
        <v>94.094998376610789</v>
      </c>
      <c r="K18">
        <f t="shared" si="10"/>
        <v>33.77975</v>
      </c>
      <c r="O18" s="4">
        <f t="shared" si="6"/>
        <v>5.4349560151999876</v>
      </c>
      <c r="AD18" s="11">
        <v>0.12986234870669994</v>
      </c>
      <c r="AF18">
        <f t="shared" si="9"/>
        <v>0.21249999999999999</v>
      </c>
      <c r="AI18" s="11">
        <v>0.48270913333333221</v>
      </c>
      <c r="AK18">
        <v>0.21249999999999999</v>
      </c>
      <c r="AN18">
        <v>0.2195</v>
      </c>
      <c r="AO18">
        <v>0.2205</v>
      </c>
    </row>
    <row r="19" spans="1:41" x14ac:dyDescent="0.2">
      <c r="A19" s="10" t="s">
        <v>67</v>
      </c>
      <c r="B19">
        <v>0</v>
      </c>
      <c r="C19" t="s">
        <v>19</v>
      </c>
      <c r="D19" t="s">
        <v>15</v>
      </c>
      <c r="I19" s="2">
        <f t="shared" si="0"/>
        <v>94.32081621063854</v>
      </c>
      <c r="K19">
        <f t="shared" si="10"/>
        <v>42.541322000000008</v>
      </c>
      <c r="O19" s="4">
        <f t="shared" si="6"/>
        <v>5.6991344184000239</v>
      </c>
      <c r="AD19" s="11">
        <v>0.13004225024780872</v>
      </c>
      <c r="AF19">
        <f t="shared" si="9"/>
        <v>0.25230000000000002</v>
      </c>
      <c r="AI19" s="11">
        <v>0.50752860000000233</v>
      </c>
      <c r="AK19">
        <v>0.25230000000000002</v>
      </c>
      <c r="AN19">
        <v>0.2135</v>
      </c>
      <c r="AO19">
        <v>0.21190000000000001</v>
      </c>
    </row>
    <row r="20" spans="1:41" x14ac:dyDescent="0.2">
      <c r="A20" s="10" t="s">
        <v>68</v>
      </c>
      <c r="B20">
        <v>0</v>
      </c>
      <c r="C20" t="s">
        <v>86</v>
      </c>
      <c r="D20" t="s">
        <v>14</v>
      </c>
      <c r="I20" s="2">
        <f t="shared" si="0"/>
        <v>76.737415240640374</v>
      </c>
      <c r="K20">
        <f t="shared" si="10"/>
        <v>38.534773999999999</v>
      </c>
      <c r="O20" s="4">
        <f t="shared" si="6"/>
        <v>5.9106892403999982</v>
      </c>
      <c r="AD20" s="11">
        <v>0.11603414080837683</v>
      </c>
      <c r="AF20">
        <f t="shared" si="9"/>
        <v>0.2341</v>
      </c>
      <c r="AI20" s="11">
        <v>0.52740409999999982</v>
      </c>
      <c r="AK20">
        <v>0.2341</v>
      </c>
      <c r="AN20">
        <v>0.1855</v>
      </c>
      <c r="AO20">
        <v>0.183</v>
      </c>
    </row>
    <row r="21" spans="1:41" x14ac:dyDescent="0.2">
      <c r="A21" s="10" t="s">
        <v>69</v>
      </c>
      <c r="B21">
        <v>0</v>
      </c>
      <c r="C21" t="s">
        <v>86</v>
      </c>
      <c r="D21" t="s">
        <v>14</v>
      </c>
      <c r="I21" s="2">
        <f t="shared" si="0"/>
        <v>83.691083703316536</v>
      </c>
      <c r="K21">
        <f t="shared" si="10"/>
        <v>44.214386000000005</v>
      </c>
      <c r="O21" s="4">
        <f t="shared" si="6"/>
        <v>5.7513670099999912</v>
      </c>
      <c r="AD21" s="11">
        <v>0.12157389668364217</v>
      </c>
      <c r="AF21">
        <f t="shared" si="9"/>
        <v>0.25990000000000002</v>
      </c>
      <c r="AI21" s="11">
        <v>0.51243583333333254</v>
      </c>
      <c r="AK21">
        <v>0.25990000000000002</v>
      </c>
      <c r="AN21">
        <v>0.20380000000000001</v>
      </c>
      <c r="AO21">
        <v>0.20419999999999999</v>
      </c>
    </row>
    <row r="22" spans="1:41" x14ac:dyDescent="0.2">
      <c r="A22" s="10" t="s">
        <v>70</v>
      </c>
      <c r="B22">
        <v>0</v>
      </c>
      <c r="C22" t="s">
        <v>86</v>
      </c>
      <c r="D22" t="s">
        <v>14</v>
      </c>
      <c r="I22" s="2">
        <f t="shared" si="0"/>
        <v>85.820408922396979</v>
      </c>
      <c r="K22">
        <f t="shared" si="10"/>
        <v>39.569432000000006</v>
      </c>
      <c r="O22" s="4">
        <f t="shared" si="6"/>
        <v>5.6707158253999763</v>
      </c>
      <c r="AD22" s="11">
        <v>0.12327025910817625</v>
      </c>
      <c r="AF22">
        <f t="shared" si="9"/>
        <v>0.23880000000000001</v>
      </c>
      <c r="AI22" s="11">
        <v>0.50485868333333106</v>
      </c>
      <c r="AK22">
        <v>0.23880000000000001</v>
      </c>
      <c r="AN22">
        <v>0.2026</v>
      </c>
      <c r="AO22">
        <v>0.2044</v>
      </c>
    </row>
    <row r="23" spans="1:41" x14ac:dyDescent="0.2">
      <c r="A23" s="10" t="s">
        <v>71</v>
      </c>
      <c r="B23">
        <v>0</v>
      </c>
      <c r="C23" t="s">
        <v>86</v>
      </c>
      <c r="D23" t="s">
        <v>15</v>
      </c>
      <c r="I23" s="2">
        <f t="shared" si="0"/>
        <v>88.495856726230187</v>
      </c>
      <c r="K23">
        <f t="shared" si="10"/>
        <v>41.308537999999999</v>
      </c>
      <c r="O23" s="4">
        <f t="shared" si="6"/>
        <v>5.2650252647999904</v>
      </c>
      <c r="AD23" s="11">
        <v>0.12540169919189673</v>
      </c>
      <c r="AF23">
        <f t="shared" si="9"/>
        <v>0.2467</v>
      </c>
      <c r="AI23" s="11">
        <v>0.46674419999999905</v>
      </c>
      <c r="AK23">
        <v>0.2467</v>
      </c>
      <c r="AN23">
        <v>0.17799999999999999</v>
      </c>
      <c r="AO23">
        <v>0.17549999999999999</v>
      </c>
    </row>
    <row r="24" spans="1:41" x14ac:dyDescent="0.2">
      <c r="A24" s="10" t="s">
        <v>72</v>
      </c>
      <c r="B24">
        <v>0</v>
      </c>
      <c r="C24" t="s">
        <v>86</v>
      </c>
      <c r="D24" t="s">
        <v>15</v>
      </c>
      <c r="I24" s="2">
        <f t="shared" si="0"/>
        <v>86.319962415054349</v>
      </c>
      <c r="K24">
        <f t="shared" si="10"/>
        <v>41.924929999999996</v>
      </c>
      <c r="O24" s="4">
        <f t="shared" si="6"/>
        <v>5.7060012175999812</v>
      </c>
      <c r="AD24" s="11">
        <v>0.1236682367239933</v>
      </c>
      <c r="AF24">
        <f t="shared" si="9"/>
        <v>0.2495</v>
      </c>
      <c r="AI24" s="11">
        <v>0.5081737333333316</v>
      </c>
      <c r="AK24">
        <v>0.2495</v>
      </c>
      <c r="AN24">
        <v>0.1943</v>
      </c>
      <c r="AO24">
        <v>0.1951</v>
      </c>
    </row>
    <row r="25" spans="1:41" x14ac:dyDescent="0.2">
      <c r="A25" s="10" t="s">
        <v>73</v>
      </c>
      <c r="B25">
        <v>0</v>
      </c>
      <c r="C25" t="s">
        <v>86</v>
      </c>
      <c r="D25" t="s">
        <v>15</v>
      </c>
      <c r="I25" s="2">
        <f t="shared" si="0"/>
        <v>89.005556197238406</v>
      </c>
      <c r="K25">
        <f t="shared" si="10"/>
        <v>35.871079999999999</v>
      </c>
      <c r="O25" s="4">
        <f t="shared" si="6"/>
        <v>5.8837932716000303</v>
      </c>
      <c r="AD25" s="11">
        <v>0.1258077597704666</v>
      </c>
      <c r="AF25">
        <f t="shared" si="9"/>
        <v>0.222</v>
      </c>
      <c r="AI25" s="11">
        <v>0.52487723333333625</v>
      </c>
      <c r="AK25">
        <v>0.222</v>
      </c>
      <c r="AN25">
        <v>0.1956</v>
      </c>
      <c r="AO25">
        <v>0.2</v>
      </c>
    </row>
    <row r="26" spans="1:41" x14ac:dyDescent="0.2">
      <c r="A26" s="10" t="s">
        <v>74</v>
      </c>
      <c r="B26">
        <v>0</v>
      </c>
      <c r="C26" t="s">
        <v>20</v>
      </c>
      <c r="D26" t="s">
        <v>14</v>
      </c>
      <c r="I26" s="2">
        <f t="shared" si="0"/>
        <v>78.47405248163723</v>
      </c>
      <c r="K26">
        <f t="shared" si="10"/>
        <v>30.741817999999999</v>
      </c>
      <c r="O26" s="4">
        <f t="shared" si="6"/>
        <v>6.0554558007999502</v>
      </c>
      <c r="AD26" s="11">
        <v>0.117417661810371</v>
      </c>
      <c r="AF26">
        <f t="shared" si="9"/>
        <v>0.19869999999999999</v>
      </c>
      <c r="AI26" s="11">
        <v>0.54100486666666203</v>
      </c>
      <c r="AK26">
        <v>0.19869999999999999</v>
      </c>
      <c r="AN26">
        <v>0.33660000000000001</v>
      </c>
      <c r="AO26">
        <v>0.22389999999999999</v>
      </c>
    </row>
    <row r="27" spans="1:41" x14ac:dyDescent="0.2">
      <c r="A27" s="10" t="s">
        <v>75</v>
      </c>
      <c r="B27">
        <v>0</v>
      </c>
      <c r="C27" t="s">
        <v>20</v>
      </c>
      <c r="D27" t="s">
        <v>14</v>
      </c>
      <c r="I27" s="2">
        <f t="shared" si="0"/>
        <v>91.143809623429064</v>
      </c>
      <c r="K27">
        <f t="shared" si="10"/>
        <v>35.166632</v>
      </c>
      <c r="O27" s="4">
        <f t="shared" si="6"/>
        <v>5.888372143000014</v>
      </c>
      <c r="AD27" s="11">
        <v>0.1275112349999985</v>
      </c>
      <c r="AF27">
        <f t="shared" si="9"/>
        <v>0.21879999999999999</v>
      </c>
      <c r="AI27" s="11">
        <v>0.52530741666666803</v>
      </c>
      <c r="AK27">
        <v>0.21879999999999999</v>
      </c>
      <c r="AN27">
        <v>0.23369999999999999</v>
      </c>
      <c r="AO27">
        <v>0.2233</v>
      </c>
    </row>
    <row r="28" spans="1:41" x14ac:dyDescent="0.2">
      <c r="A28" s="10" t="s">
        <v>76</v>
      </c>
      <c r="B28">
        <v>0</v>
      </c>
      <c r="C28" t="s">
        <v>20</v>
      </c>
      <c r="D28" t="s">
        <v>14</v>
      </c>
      <c r="I28" s="2">
        <f t="shared" si="0"/>
        <v>82.13320449441936</v>
      </c>
      <c r="K28">
        <f t="shared" si="10"/>
        <v>42.475279999999998</v>
      </c>
      <c r="O28" s="4">
        <f t="shared" si="6"/>
        <v>5.7939231411999685</v>
      </c>
      <c r="AD28" s="11">
        <v>0.12033278624722075</v>
      </c>
      <c r="AF28">
        <f t="shared" si="9"/>
        <v>0.252</v>
      </c>
      <c r="AI28" s="11">
        <v>0.51643396666666375</v>
      </c>
      <c r="AK28">
        <v>0.252</v>
      </c>
      <c r="AN28">
        <v>0.21890000000000001</v>
      </c>
      <c r="AO28">
        <v>0.2175</v>
      </c>
    </row>
    <row r="29" spans="1:41" x14ac:dyDescent="0.2">
      <c r="A29" s="10" t="s">
        <v>77</v>
      </c>
      <c r="B29">
        <v>0</v>
      </c>
      <c r="C29" t="s">
        <v>20</v>
      </c>
      <c r="D29" t="s">
        <v>15</v>
      </c>
      <c r="I29" s="2">
        <f t="shared" si="0"/>
        <v>88.350203064581592</v>
      </c>
      <c r="K29">
        <f t="shared" si="10"/>
        <v>41.286524</v>
      </c>
      <c r="O29" s="4">
        <f t="shared" si="6"/>
        <v>5.7597977676000154</v>
      </c>
      <c r="AD29" s="11">
        <v>0.12528566177478334</v>
      </c>
      <c r="AF29">
        <f t="shared" si="9"/>
        <v>0.24660000000000001</v>
      </c>
      <c r="AI29" s="11">
        <v>0.51322790000000151</v>
      </c>
      <c r="AK29">
        <v>0.24660000000000001</v>
      </c>
      <c r="AN29">
        <v>0.20469999999999999</v>
      </c>
      <c r="AO29">
        <v>0.2051</v>
      </c>
    </row>
    <row r="30" spans="1:41" x14ac:dyDescent="0.2">
      <c r="A30" s="10" t="s">
        <v>78</v>
      </c>
      <c r="B30">
        <v>0</v>
      </c>
      <c r="C30" t="s">
        <v>20</v>
      </c>
      <c r="D30" t="s">
        <v>15</v>
      </c>
      <c r="I30" s="2">
        <f t="shared" si="0"/>
        <v>88.844735329424836</v>
      </c>
      <c r="K30">
        <f t="shared" si="10"/>
        <v>39.833600000000004</v>
      </c>
      <c r="O30" s="4">
        <f t="shared" si="6"/>
        <v>5.9042592000000003</v>
      </c>
      <c r="AD30" s="11">
        <v>0.12567963914577512</v>
      </c>
      <c r="AF30">
        <f t="shared" si="9"/>
        <v>0.24</v>
      </c>
      <c r="AI30" s="11">
        <v>0.52680000000000005</v>
      </c>
      <c r="AK30">
        <v>0.24</v>
      </c>
      <c r="AN30">
        <v>0.2016</v>
      </c>
      <c r="AO30">
        <v>0.20449999999999999</v>
      </c>
    </row>
    <row r="31" spans="1:41" x14ac:dyDescent="0.2">
      <c r="A31" s="10" t="s">
        <v>79</v>
      </c>
      <c r="B31">
        <v>0</v>
      </c>
      <c r="C31" t="s">
        <v>20</v>
      </c>
      <c r="D31" t="s">
        <v>15</v>
      </c>
      <c r="I31" s="2">
        <f t="shared" si="0"/>
        <v>95.77203167879189</v>
      </c>
      <c r="K31">
        <f t="shared" si="10"/>
        <v>36.223303999999999</v>
      </c>
      <c r="O31" s="4">
        <f t="shared" si="6"/>
        <v>6.2533823999999996</v>
      </c>
      <c r="AD31" s="11">
        <v>0.13119838523743754</v>
      </c>
      <c r="AF31">
        <f t="shared" si="9"/>
        <v>0.22359999999999999</v>
      </c>
      <c r="AI31" s="11">
        <v>0.55959999999999999</v>
      </c>
      <c r="AK31">
        <v>0.22359999999999999</v>
      </c>
      <c r="AN31">
        <v>0.20330000000000001</v>
      </c>
      <c r="AO31">
        <v>0.2011</v>
      </c>
    </row>
    <row r="32" spans="1:41" x14ac:dyDescent="0.2">
      <c r="A32" s="10" t="s">
        <v>81</v>
      </c>
      <c r="B32">
        <v>48</v>
      </c>
      <c r="C32" t="s">
        <v>85</v>
      </c>
      <c r="D32" t="s">
        <v>14</v>
      </c>
      <c r="I32" s="2">
        <f t="shared" si="0"/>
        <v>95.884187945854251</v>
      </c>
      <c r="K32">
        <f t="shared" si="10"/>
        <v>48.595171999999998</v>
      </c>
      <c r="O32" s="4">
        <f t="shared" si="6"/>
        <v>6.3437190923999722</v>
      </c>
      <c r="AD32" s="11">
        <v>0.13128773639686389</v>
      </c>
      <c r="AF32">
        <f t="shared" si="9"/>
        <v>0.27979999999999999</v>
      </c>
      <c r="AI32" s="11">
        <v>0.5680870999999974</v>
      </c>
      <c r="AK32">
        <v>0.27979999999999999</v>
      </c>
    </row>
    <row r="33" spans="1:37" x14ac:dyDescent="0.2">
      <c r="A33" s="10" t="s">
        <v>51</v>
      </c>
      <c r="B33">
        <v>48</v>
      </c>
      <c r="C33" t="s">
        <v>85</v>
      </c>
      <c r="D33" t="s">
        <v>14</v>
      </c>
      <c r="I33" s="2">
        <f t="shared" si="0"/>
        <v>96.883423590776204</v>
      </c>
      <c r="K33">
        <f t="shared" si="10"/>
        <v>45.469183999999998</v>
      </c>
      <c r="O33" s="4">
        <f t="shared" si="6"/>
        <v>6.5012935779999435</v>
      </c>
      <c r="AD33" s="11">
        <v>0.13208379412731838</v>
      </c>
      <c r="AF33">
        <f t="shared" si="9"/>
        <v>0.2656</v>
      </c>
      <c r="AI33" s="11">
        <v>0.58289116666666141</v>
      </c>
      <c r="AK33">
        <v>0.2656</v>
      </c>
    </row>
    <row r="34" spans="1:37" x14ac:dyDescent="0.2">
      <c r="A34" s="10" t="s">
        <v>52</v>
      </c>
      <c r="B34">
        <v>48</v>
      </c>
      <c r="C34" t="s">
        <v>85</v>
      </c>
      <c r="D34" t="s">
        <v>14</v>
      </c>
      <c r="I34" s="2">
        <f t="shared" si="0"/>
        <v>114.23019268669823</v>
      </c>
      <c r="K34">
        <f t="shared" si="10"/>
        <v>46.239673999999994</v>
      </c>
      <c r="O34" s="4">
        <f t="shared" si="6"/>
        <v>6.6631763999999993</v>
      </c>
      <c r="AD34" s="11">
        <v>0.14590338684040294</v>
      </c>
      <c r="AF34">
        <f t="shared" si="9"/>
        <v>0.26910000000000001</v>
      </c>
      <c r="AI34" s="11">
        <v>0.59809999999999997</v>
      </c>
      <c r="AK34">
        <v>0.26910000000000001</v>
      </c>
    </row>
    <row r="35" spans="1:37" x14ac:dyDescent="0.2">
      <c r="A35" s="10" t="s">
        <v>53</v>
      </c>
      <c r="B35">
        <v>48</v>
      </c>
      <c r="C35" t="s">
        <v>85</v>
      </c>
      <c r="D35" t="s">
        <v>15</v>
      </c>
      <c r="I35" s="2">
        <f t="shared" si="0"/>
        <v>89.228429356792859</v>
      </c>
      <c r="K35">
        <f t="shared" si="10"/>
        <v>41.484650000000002</v>
      </c>
      <c r="O35" s="4">
        <f t="shared" si="6"/>
        <v>5.6024964350902504</v>
      </c>
      <c r="AD35" s="11">
        <v>0.12598531538757832</v>
      </c>
      <c r="AF35">
        <f t="shared" si="9"/>
        <v>0.2475</v>
      </c>
      <c r="AI35" s="11">
        <v>0.4984494959686443</v>
      </c>
      <c r="AK35">
        <v>0.2475</v>
      </c>
    </row>
    <row r="36" spans="1:37" x14ac:dyDescent="0.2">
      <c r="A36" s="10" t="s">
        <v>54</v>
      </c>
      <c r="B36">
        <v>48</v>
      </c>
      <c r="C36" t="s">
        <v>85</v>
      </c>
      <c r="D36" t="s">
        <v>15</v>
      </c>
      <c r="I36" s="2">
        <f t="shared" si="0"/>
        <v>82.401362124058096</v>
      </c>
      <c r="K36">
        <f t="shared" si="10"/>
        <v>39.151166000000003</v>
      </c>
      <c r="O36" s="4">
        <f t="shared" si="6"/>
        <v>6.2661551999999991</v>
      </c>
      <c r="AD36" s="11">
        <v>0.1205464184921663</v>
      </c>
      <c r="AF36">
        <f t="shared" si="9"/>
        <v>0.2369</v>
      </c>
      <c r="AI36" s="11">
        <v>0.56079999999999997</v>
      </c>
      <c r="AK36">
        <v>0.2369</v>
      </c>
    </row>
    <row r="37" spans="1:37" x14ac:dyDescent="0.2">
      <c r="A37" s="10" t="s">
        <v>55</v>
      </c>
      <c r="B37">
        <v>48</v>
      </c>
      <c r="C37" t="s">
        <v>85</v>
      </c>
      <c r="D37" t="s">
        <v>15</v>
      </c>
      <c r="I37" s="2">
        <f t="shared" si="0"/>
        <v>87.875532487416081</v>
      </c>
      <c r="K37">
        <f t="shared" si="10"/>
        <v>45.425156000000008</v>
      </c>
      <c r="O37" s="4">
        <f t="shared" si="6"/>
        <v>6.5727023999999998</v>
      </c>
      <c r="AD37" s="11">
        <v>0.12490750754830815</v>
      </c>
      <c r="AF37">
        <f t="shared" si="9"/>
        <v>0.26540000000000002</v>
      </c>
      <c r="AI37" s="11">
        <v>0.58960000000000001</v>
      </c>
      <c r="AK37">
        <v>0.26540000000000002</v>
      </c>
    </row>
    <row r="38" spans="1:37" x14ac:dyDescent="0.2">
      <c r="A38" s="10" t="s">
        <v>56</v>
      </c>
      <c r="B38">
        <v>48</v>
      </c>
      <c r="C38" t="s">
        <v>21</v>
      </c>
      <c r="D38" t="s">
        <v>14</v>
      </c>
      <c r="I38" s="2">
        <f t="shared" si="0"/>
        <v>104.4631736088194</v>
      </c>
      <c r="K38">
        <f t="shared" si="10"/>
        <v>56.432156000000006</v>
      </c>
      <c r="O38" s="4">
        <f t="shared" si="6"/>
        <v>4.6102926012000589</v>
      </c>
      <c r="AD38" s="11">
        <v>0.13812232830835947</v>
      </c>
      <c r="AF38">
        <f t="shared" si="9"/>
        <v>0.31540000000000001</v>
      </c>
      <c r="AI38" s="11">
        <v>0.40523230000000554</v>
      </c>
      <c r="AK38">
        <v>0.31540000000000001</v>
      </c>
    </row>
    <row r="39" spans="1:37" x14ac:dyDescent="0.2">
      <c r="A39" s="10" t="s">
        <v>57</v>
      </c>
      <c r="B39">
        <v>48</v>
      </c>
      <c r="C39" t="s">
        <v>21</v>
      </c>
      <c r="D39" t="s">
        <v>14</v>
      </c>
      <c r="I39" s="2">
        <f t="shared" si="0"/>
        <v>91.738852467518015</v>
      </c>
      <c r="K39">
        <f t="shared" si="10"/>
        <v>58.391401999999992</v>
      </c>
      <c r="O39" s="4">
        <f t="shared" si="6"/>
        <v>4.3853603999999997</v>
      </c>
      <c r="AD39" s="11">
        <v>0.12798528579912269</v>
      </c>
      <c r="AF39">
        <f t="shared" si="9"/>
        <v>0.32429999999999998</v>
      </c>
      <c r="AI39" s="11">
        <v>0.3841</v>
      </c>
      <c r="AK39">
        <v>0.32429999999999998</v>
      </c>
    </row>
    <row r="40" spans="1:37" x14ac:dyDescent="0.2">
      <c r="A40" s="10" t="s">
        <v>58</v>
      </c>
      <c r="B40">
        <v>48</v>
      </c>
      <c r="C40" t="s">
        <v>21</v>
      </c>
      <c r="D40" t="s">
        <v>14</v>
      </c>
      <c r="I40" s="2">
        <f t="shared" si="0"/>
        <v>104.36078346451913</v>
      </c>
      <c r="K40">
        <f t="shared" si="10"/>
        <v>62.728159999999995</v>
      </c>
      <c r="O40" s="4">
        <f t="shared" si="6"/>
        <v>3.8818992000000003</v>
      </c>
      <c r="AD40" s="11">
        <v>0.13804075749340025</v>
      </c>
      <c r="AF40">
        <f t="shared" si="9"/>
        <v>0.34399999999999997</v>
      </c>
      <c r="AI40" s="11">
        <v>0.33679999999999999</v>
      </c>
      <c r="AK40">
        <v>0.34399999999999997</v>
      </c>
    </row>
    <row r="41" spans="1:37" x14ac:dyDescent="0.2">
      <c r="A41" s="10" t="s">
        <v>59</v>
      </c>
      <c r="B41">
        <v>48</v>
      </c>
      <c r="C41" t="s">
        <v>21</v>
      </c>
      <c r="D41" t="s">
        <v>15</v>
      </c>
      <c r="I41" s="2">
        <f t="shared" si="0"/>
        <v>72.880606372556159</v>
      </c>
      <c r="K41">
        <f t="shared" si="10"/>
        <v>63.38857999999999</v>
      </c>
      <c r="O41" s="4">
        <f t="shared" si="6"/>
        <v>3.956414650799994</v>
      </c>
      <c r="AD41" s="11">
        <v>0.11296154974346974</v>
      </c>
      <c r="AF41">
        <f t="shared" si="9"/>
        <v>0.34699999999999998</v>
      </c>
      <c r="AI41" s="11">
        <v>0.3438006999999994</v>
      </c>
      <c r="AK41">
        <v>0.34699999999999998</v>
      </c>
    </row>
    <row r="42" spans="1:37" x14ac:dyDescent="0.2">
      <c r="A42" s="10" t="s">
        <v>60</v>
      </c>
      <c r="B42">
        <v>48</v>
      </c>
      <c r="C42" t="s">
        <v>21</v>
      </c>
      <c r="D42" t="s">
        <v>15</v>
      </c>
      <c r="I42" s="2">
        <f t="shared" si="0"/>
        <v>98.423378240391941</v>
      </c>
      <c r="K42">
        <f t="shared" si="10"/>
        <v>74.351551999999998</v>
      </c>
      <c r="O42" s="4">
        <f t="shared" si="6"/>
        <v>4.0095564173999261</v>
      </c>
      <c r="AD42" s="11">
        <v>0.13331062466484558</v>
      </c>
      <c r="AF42">
        <f t="shared" si="9"/>
        <v>0.39679999999999999</v>
      </c>
      <c r="AI42" s="11">
        <v>0.34879334999999312</v>
      </c>
      <c r="AK42">
        <v>0.39679999999999999</v>
      </c>
    </row>
    <row r="43" spans="1:37" x14ac:dyDescent="0.2">
      <c r="A43" s="10" t="s">
        <v>61</v>
      </c>
      <c r="B43">
        <v>48</v>
      </c>
      <c r="C43" t="s">
        <v>21</v>
      </c>
      <c r="D43" t="s">
        <v>15</v>
      </c>
      <c r="I43" s="2">
        <f t="shared" si="0"/>
        <v>88.309373613811474</v>
      </c>
      <c r="K43">
        <f t="shared" si="10"/>
        <v>68.914093999999992</v>
      </c>
      <c r="O43" s="4">
        <f t="shared" si="6"/>
        <v>4.3432377256466337</v>
      </c>
      <c r="AD43" s="11">
        <v>0.12525313431233648</v>
      </c>
      <c r="AF43">
        <f t="shared" si="9"/>
        <v>0.37209999999999999</v>
      </c>
      <c r="AI43" s="11">
        <v>0.38014258978266002</v>
      </c>
      <c r="AK43">
        <v>0.37209999999999999</v>
      </c>
    </row>
    <row r="44" spans="1:37" x14ac:dyDescent="0.2">
      <c r="A44" s="10" t="s">
        <v>62</v>
      </c>
      <c r="B44">
        <v>48</v>
      </c>
      <c r="C44" t="s">
        <v>19</v>
      </c>
      <c r="D44" t="s">
        <v>14</v>
      </c>
      <c r="I44" s="2">
        <f t="shared" si="0"/>
        <v>95.146692284829498</v>
      </c>
      <c r="K44">
        <f t="shared" si="10"/>
        <v>50.268236000000002</v>
      </c>
      <c r="O44" s="4">
        <f t="shared" si="6"/>
        <v>6.3949475999999992</v>
      </c>
      <c r="AD44" s="11">
        <v>0.13070019818691417</v>
      </c>
      <c r="AF44">
        <f t="shared" si="9"/>
        <v>0.28739999999999999</v>
      </c>
      <c r="AI44" s="11">
        <v>0.57289999999999996</v>
      </c>
      <c r="AK44">
        <v>0.28739999999999999</v>
      </c>
    </row>
    <row r="45" spans="1:37" x14ac:dyDescent="0.2">
      <c r="A45" s="10" t="s">
        <v>63</v>
      </c>
      <c r="B45">
        <v>48</v>
      </c>
      <c r="C45" t="s">
        <v>19</v>
      </c>
      <c r="D45" t="s">
        <v>14</v>
      </c>
      <c r="I45" s="2">
        <f t="shared" si="0"/>
        <v>102.11279370005232</v>
      </c>
      <c r="K45">
        <f t="shared" si="10"/>
        <v>40.141795999999999</v>
      </c>
      <c r="O45" s="4">
        <f t="shared" si="6"/>
        <v>4.9175603999999993</v>
      </c>
      <c r="AD45" s="11">
        <v>0.13624985898104169</v>
      </c>
      <c r="AF45">
        <f t="shared" si="9"/>
        <v>0.2414</v>
      </c>
      <c r="AI45" s="11">
        <v>0.43409999999999999</v>
      </c>
      <c r="AK45">
        <v>0.2414</v>
      </c>
    </row>
    <row r="46" spans="1:37" x14ac:dyDescent="0.2">
      <c r="A46" s="10" t="s">
        <v>64</v>
      </c>
      <c r="B46">
        <v>48</v>
      </c>
      <c r="C46" t="s">
        <v>19</v>
      </c>
      <c r="D46" t="s">
        <v>14</v>
      </c>
      <c r="I46" s="2">
        <f t="shared" si="0"/>
        <v>97.909809818949881</v>
      </c>
      <c r="K46">
        <f t="shared" si="10"/>
        <v>40.383949999999999</v>
      </c>
      <c r="O46" s="4">
        <f t="shared" si="6"/>
        <v>6.4098492</v>
      </c>
      <c r="AD46" s="11">
        <v>0.13290148182243008</v>
      </c>
      <c r="AF46">
        <f t="shared" si="9"/>
        <v>0.24249999999999999</v>
      </c>
      <c r="AI46" s="11">
        <v>0.57430000000000003</v>
      </c>
      <c r="AK46">
        <v>0.24249999999999999</v>
      </c>
    </row>
    <row r="47" spans="1:37" x14ac:dyDescent="0.2">
      <c r="A47" s="10" t="s">
        <v>65</v>
      </c>
      <c r="B47">
        <v>48</v>
      </c>
      <c r="C47" t="s">
        <v>19</v>
      </c>
      <c r="D47" t="s">
        <v>15</v>
      </c>
      <c r="I47" s="2">
        <f t="shared" si="0"/>
        <v>97.87879482257199</v>
      </c>
      <c r="K47">
        <f t="shared" si="10"/>
        <v>43.906190000000002</v>
      </c>
      <c r="O47" s="4">
        <f t="shared" si="6"/>
        <v>6.3566292000000004</v>
      </c>
      <c r="AD47" s="11">
        <v>0.13287677320864902</v>
      </c>
      <c r="AF47">
        <f t="shared" si="9"/>
        <v>0.25850000000000001</v>
      </c>
      <c r="AI47" s="11">
        <v>0.56930000000000003</v>
      </c>
      <c r="AK47">
        <v>0.25850000000000001</v>
      </c>
    </row>
    <row r="48" spans="1:37" x14ac:dyDescent="0.2">
      <c r="A48" s="10" t="s">
        <v>66</v>
      </c>
      <c r="B48">
        <v>48</v>
      </c>
      <c r="C48" t="s">
        <v>19</v>
      </c>
      <c r="D48" t="s">
        <v>15</v>
      </c>
      <c r="I48" s="2">
        <f t="shared" si="0"/>
        <v>118.47698778333937</v>
      </c>
      <c r="K48">
        <f t="shared" si="10"/>
        <v>48.066835999999995</v>
      </c>
      <c r="O48" s="4">
        <f t="shared" si="6"/>
        <v>5.7424704000000002</v>
      </c>
      <c r="AD48" s="11">
        <v>0.14928666693406037</v>
      </c>
      <c r="AF48">
        <f t="shared" si="9"/>
        <v>0.27739999999999998</v>
      </c>
      <c r="AI48" s="11">
        <v>0.51160000000000005</v>
      </c>
      <c r="AK48">
        <v>0.27739999999999998</v>
      </c>
    </row>
    <row r="49" spans="1:38" x14ac:dyDescent="0.2">
      <c r="A49" s="10" t="s">
        <v>67</v>
      </c>
      <c r="B49">
        <v>48</v>
      </c>
      <c r="C49" t="s">
        <v>19</v>
      </c>
      <c r="D49" t="s">
        <v>15</v>
      </c>
      <c r="I49" s="2">
        <f t="shared" si="0"/>
        <v>103.99479346475107</v>
      </c>
      <c r="K49">
        <f t="shared" si="10"/>
        <v>46.944121999999993</v>
      </c>
      <c r="O49" s="4">
        <f t="shared" si="6"/>
        <v>6.348222923599991</v>
      </c>
      <c r="AD49" s="11">
        <v>0.13774918546025169</v>
      </c>
      <c r="AF49">
        <f t="shared" si="9"/>
        <v>0.27229999999999999</v>
      </c>
      <c r="AI49" s="11">
        <v>0.5685102333333325</v>
      </c>
      <c r="AK49">
        <v>0.27229999999999999</v>
      </c>
    </row>
    <row r="50" spans="1:38" x14ac:dyDescent="0.2">
      <c r="A50" s="10" t="s">
        <v>68</v>
      </c>
      <c r="B50">
        <v>48</v>
      </c>
      <c r="C50" t="s">
        <v>86</v>
      </c>
      <c r="D50" t="s">
        <v>14</v>
      </c>
      <c r="I50" s="2">
        <f t="shared" si="0"/>
        <v>106.80097602551831</v>
      </c>
      <c r="K50">
        <f t="shared" si="10"/>
        <v>51.699145999999999</v>
      </c>
      <c r="O50" s="4">
        <f t="shared" si="6"/>
        <v>6.3715307999999995</v>
      </c>
      <c r="AD50" s="11">
        <v>0.13998477756699626</v>
      </c>
      <c r="AF50">
        <f t="shared" si="9"/>
        <v>0.29389999999999999</v>
      </c>
      <c r="AI50" s="11">
        <v>0.57069999999999999</v>
      </c>
      <c r="AK50">
        <v>0.29389999999999999</v>
      </c>
    </row>
    <row r="51" spans="1:38" x14ac:dyDescent="0.2">
      <c r="A51" s="10" t="s">
        <v>69</v>
      </c>
      <c r="B51">
        <v>48</v>
      </c>
      <c r="C51" t="s">
        <v>86</v>
      </c>
      <c r="D51" t="s">
        <v>14</v>
      </c>
      <c r="I51" s="2">
        <f t="shared" si="0"/>
        <v>105.57606278947721</v>
      </c>
      <c r="K51">
        <f t="shared" si="10"/>
        <v>48.154892000000004</v>
      </c>
      <c r="O51" s="4">
        <f t="shared" si="6"/>
        <v>6.2975535808000025</v>
      </c>
      <c r="AD51" s="11">
        <v>0.13900893002228351</v>
      </c>
      <c r="AF51">
        <f t="shared" si="9"/>
        <v>0.27779999999999999</v>
      </c>
      <c r="AI51" s="11">
        <v>0.56374986666666693</v>
      </c>
      <c r="AK51">
        <v>0.27779999999999999</v>
      </c>
    </row>
    <row r="52" spans="1:38" x14ac:dyDescent="0.2">
      <c r="A52" s="10" t="s">
        <v>70</v>
      </c>
      <c r="B52">
        <v>48</v>
      </c>
      <c r="C52" t="s">
        <v>86</v>
      </c>
      <c r="D52" t="s">
        <v>14</v>
      </c>
      <c r="I52" s="2">
        <f t="shared" si="0"/>
        <v>114.90767598026237</v>
      </c>
      <c r="K52">
        <f t="shared" si="10"/>
        <v>44.830777999999995</v>
      </c>
      <c r="O52" s="4">
        <f t="shared" si="6"/>
        <v>6.2427383999999995</v>
      </c>
      <c r="AD52" s="11">
        <v>0.14644311519760903</v>
      </c>
      <c r="AF52">
        <f t="shared" si="9"/>
        <v>0.26269999999999999</v>
      </c>
      <c r="AI52" s="11">
        <v>0.55859999999999999</v>
      </c>
      <c r="AK52">
        <v>0.26269999999999999</v>
      </c>
    </row>
    <row r="53" spans="1:38" x14ac:dyDescent="0.2">
      <c r="A53" s="10" t="s">
        <v>71</v>
      </c>
      <c r="B53">
        <v>48</v>
      </c>
      <c r="C53" t="s">
        <v>86</v>
      </c>
      <c r="D53" t="s">
        <v>15</v>
      </c>
      <c r="I53" s="2">
        <f t="shared" si="0"/>
        <v>111.18905978643824</v>
      </c>
      <c r="K53">
        <f t="shared" si="10"/>
        <v>46.701968000000001</v>
      </c>
      <c r="O53" s="4">
        <f t="shared" si="6"/>
        <v>6.1394916000000004</v>
      </c>
      <c r="AD53" s="11">
        <v>0.14348061762986247</v>
      </c>
      <c r="AF53">
        <f t="shared" si="9"/>
        <v>0.2712</v>
      </c>
      <c r="AI53" s="11">
        <v>0.54890000000000005</v>
      </c>
      <c r="AK53">
        <v>0.2712</v>
      </c>
    </row>
    <row r="54" spans="1:38" x14ac:dyDescent="0.2">
      <c r="A54" s="10" t="s">
        <v>72</v>
      </c>
      <c r="B54">
        <v>48</v>
      </c>
      <c r="C54" t="s">
        <v>86</v>
      </c>
      <c r="D54" t="s">
        <v>15</v>
      </c>
      <c r="I54" s="2">
        <f t="shared" si="0"/>
        <v>110.41729578688449</v>
      </c>
      <c r="K54">
        <f t="shared" si="10"/>
        <v>46.239673999999994</v>
      </c>
      <c r="O54" s="4">
        <f t="shared" si="6"/>
        <v>6.0213431999999987</v>
      </c>
      <c r="AD54" s="11">
        <v>0.14286577897688466</v>
      </c>
      <c r="AF54">
        <f t="shared" si="9"/>
        <v>0.26910000000000001</v>
      </c>
      <c r="AI54" s="11">
        <v>0.53779999999999994</v>
      </c>
      <c r="AK54">
        <v>0.26910000000000001</v>
      </c>
    </row>
    <row r="55" spans="1:38" x14ac:dyDescent="0.2">
      <c r="A55" s="10" t="s">
        <v>73</v>
      </c>
      <c r="B55">
        <v>48</v>
      </c>
      <c r="C55" t="s">
        <v>86</v>
      </c>
      <c r="D55" t="s">
        <v>15</v>
      </c>
      <c r="I55" s="2">
        <f t="shared" si="0"/>
        <v>113.08998264882976</v>
      </c>
      <c r="K55">
        <f t="shared" si="10"/>
        <v>48.881354000000002</v>
      </c>
      <c r="O55" s="4">
        <f t="shared" si="6"/>
        <v>5.4518892000000001</v>
      </c>
      <c r="AD55" s="11">
        <v>0.14499501951023439</v>
      </c>
      <c r="AF55">
        <f t="shared" si="9"/>
        <v>0.28110000000000002</v>
      </c>
      <c r="AI55" s="11">
        <v>0.48430000000000001</v>
      </c>
      <c r="AK55">
        <v>0.28110000000000002</v>
      </c>
    </row>
    <row r="56" spans="1:38" x14ac:dyDescent="0.2">
      <c r="A56" s="10" t="s">
        <v>74</v>
      </c>
      <c r="B56">
        <v>48</v>
      </c>
      <c r="C56" t="s">
        <v>20</v>
      </c>
      <c r="D56" t="s">
        <v>14</v>
      </c>
      <c r="I56" s="2">
        <f t="shared" si="0"/>
        <v>114.21657466836906</v>
      </c>
      <c r="K56">
        <f t="shared" si="10"/>
        <v>41.528677999999999</v>
      </c>
      <c r="O56" s="4">
        <f t="shared" si="6"/>
        <v>7.1400275999999998</v>
      </c>
      <c r="AD56" s="11">
        <v>0.14589253781913403</v>
      </c>
      <c r="AF56">
        <f t="shared" si="9"/>
        <v>0.2477</v>
      </c>
      <c r="AI56" s="11">
        <v>0.64290000000000003</v>
      </c>
      <c r="AK56">
        <v>0.2477</v>
      </c>
    </row>
    <row r="57" spans="1:38" x14ac:dyDescent="0.2">
      <c r="A57" s="10" t="s">
        <v>75</v>
      </c>
      <c r="B57">
        <v>48</v>
      </c>
      <c r="C57" t="s">
        <v>20</v>
      </c>
      <c r="D57" t="s">
        <v>14</v>
      </c>
      <c r="I57" s="2">
        <f t="shared" si="0"/>
        <v>124.75467320873629</v>
      </c>
      <c r="K57">
        <f t="shared" si="10"/>
        <v>54.693049999999999</v>
      </c>
      <c r="O57" s="4">
        <f t="shared" si="6"/>
        <v>4.808400326553679</v>
      </c>
      <c r="AD57" s="11">
        <v>0.15428788965629325</v>
      </c>
      <c r="AF57">
        <f t="shared" si="9"/>
        <v>0.3075</v>
      </c>
      <c r="AI57" s="11">
        <v>0.42384445007080795</v>
      </c>
      <c r="AK57">
        <v>0.3075</v>
      </c>
    </row>
    <row r="58" spans="1:38" x14ac:dyDescent="0.2">
      <c r="A58" s="10" t="s">
        <v>76</v>
      </c>
      <c r="B58">
        <v>48</v>
      </c>
      <c r="C58" t="s">
        <v>20</v>
      </c>
      <c r="D58" t="s">
        <v>14</v>
      </c>
      <c r="I58" s="2">
        <f t="shared" si="0"/>
        <v>105.54720718503026</v>
      </c>
      <c r="K58">
        <f t="shared" si="10"/>
        <v>50.070109999999993</v>
      </c>
      <c r="O58" s="4">
        <f t="shared" si="6"/>
        <v>5.6197025297634822</v>
      </c>
      <c r="AD58" s="11">
        <v>0.13898594172407411</v>
      </c>
      <c r="AF58">
        <f t="shared" si="9"/>
        <v>0.28649999999999998</v>
      </c>
      <c r="AI58" s="11">
        <v>0.50006600242046995</v>
      </c>
      <c r="AK58">
        <v>0.28649999999999998</v>
      </c>
    </row>
    <row r="59" spans="1:38" x14ac:dyDescent="0.2">
      <c r="A59" s="10" t="s">
        <v>77</v>
      </c>
      <c r="B59">
        <v>48</v>
      </c>
      <c r="C59" t="s">
        <v>20</v>
      </c>
      <c r="D59" t="s">
        <v>15</v>
      </c>
      <c r="I59" s="2">
        <f t="shared" si="0"/>
        <v>103.78874616973106</v>
      </c>
      <c r="K59">
        <f t="shared" si="10"/>
        <v>55.881806000000005</v>
      </c>
      <c r="O59" s="4">
        <f t="shared" si="6"/>
        <v>6.1353847899999661</v>
      </c>
      <c r="AD59" s="11">
        <v>0.13758503444855241</v>
      </c>
      <c r="AF59">
        <f t="shared" si="9"/>
        <v>0.31290000000000001</v>
      </c>
      <c r="AI59" s="11">
        <v>0.54851416666666353</v>
      </c>
      <c r="AK59">
        <v>0.31290000000000001</v>
      </c>
    </row>
    <row r="60" spans="1:38" x14ac:dyDescent="0.2">
      <c r="A60" s="10" t="s">
        <v>78</v>
      </c>
      <c r="B60">
        <v>48</v>
      </c>
      <c r="C60" t="s">
        <v>20</v>
      </c>
      <c r="D60" t="s">
        <v>15</v>
      </c>
      <c r="I60" s="2">
        <f t="shared" si="0"/>
        <v>105.1901352477314</v>
      </c>
      <c r="K60">
        <f t="shared" si="10"/>
        <v>47.582528000000003</v>
      </c>
      <c r="O60" s="4">
        <f t="shared" si="6"/>
        <v>5.9170319999999998</v>
      </c>
      <c r="AD60" s="11">
        <v>0.13870147441402603</v>
      </c>
      <c r="AF60">
        <f t="shared" si="9"/>
        <v>0.2752</v>
      </c>
      <c r="AI60" s="11">
        <v>0.52800000000000002</v>
      </c>
      <c r="AK60">
        <v>0.2752</v>
      </c>
    </row>
    <row r="61" spans="1:38" x14ac:dyDescent="0.2">
      <c r="A61" s="10" t="s">
        <v>79</v>
      </c>
      <c r="B61">
        <v>48</v>
      </c>
      <c r="C61" t="s">
        <v>20</v>
      </c>
      <c r="D61" t="s">
        <v>15</v>
      </c>
      <c r="I61" s="2">
        <f t="shared" si="0"/>
        <v>98.383475954508171</v>
      </c>
      <c r="K61">
        <f t="shared" si="10"/>
        <v>46.173631999999998</v>
      </c>
      <c r="O61" s="4">
        <f t="shared" si="6"/>
        <v>6.4939378644000385</v>
      </c>
      <c r="AD61" s="11">
        <v>0.13327883584375819</v>
      </c>
      <c r="AF61">
        <f t="shared" si="9"/>
        <v>0.26879999999999998</v>
      </c>
      <c r="AI61" s="11">
        <v>0.58220010000000366</v>
      </c>
      <c r="AK61">
        <v>0.26879999999999998</v>
      </c>
    </row>
    <row r="62" spans="1:38" x14ac:dyDescent="0.2">
      <c r="A62" s="10" t="s">
        <v>82</v>
      </c>
      <c r="B62">
        <f>B32+4*24</f>
        <v>144</v>
      </c>
      <c r="C62" t="s">
        <v>85</v>
      </c>
      <c r="D62" t="s">
        <v>14</v>
      </c>
      <c r="I62" s="2">
        <f t="shared" si="0"/>
        <v>85.601699015040666</v>
      </c>
      <c r="K62">
        <f t="shared" si="10"/>
        <v>43.201742000000003</v>
      </c>
      <c r="O62" s="4">
        <f t="shared" si="6"/>
        <v>6.011241334399986</v>
      </c>
      <c r="AD62" s="11">
        <v>0.12309602021531574</v>
      </c>
      <c r="AF62">
        <f t="shared" si="9"/>
        <v>0.25565000000000004</v>
      </c>
      <c r="AI62" s="11">
        <v>0.536850933333332</v>
      </c>
      <c r="AK62">
        <v>0.25530000000000003</v>
      </c>
      <c r="AL62">
        <v>0.25600000000000001</v>
      </c>
    </row>
    <row r="63" spans="1:38" x14ac:dyDescent="0.2">
      <c r="A63" s="10" t="s">
        <v>51</v>
      </c>
      <c r="B63">
        <f t="shared" ref="B63:B91" si="11">B33+4*24</f>
        <v>144</v>
      </c>
      <c r="C63" t="s">
        <v>85</v>
      </c>
      <c r="D63" t="s">
        <v>14</v>
      </c>
      <c r="I63" s="2">
        <f t="shared" si="0"/>
        <v>84.085970677986495</v>
      </c>
      <c r="K63">
        <f t="shared" si="10"/>
        <v>33.691694000000005</v>
      </c>
      <c r="O63" s="4">
        <f t="shared" si="6"/>
        <v>6.4196200372000041</v>
      </c>
      <c r="AD63" s="11">
        <v>0.12188848997346258</v>
      </c>
      <c r="AF63">
        <f t="shared" si="9"/>
        <v>0.2122</v>
      </c>
      <c r="AI63" s="11">
        <v>0.57521796666666702</v>
      </c>
      <c r="AK63">
        <v>0.21210000000000001</v>
      </c>
      <c r="AL63">
        <v>0.21229999999999999</v>
      </c>
    </row>
    <row r="64" spans="1:38" x14ac:dyDescent="0.2">
      <c r="A64" s="10" t="s">
        <v>52</v>
      </c>
      <c r="B64">
        <f t="shared" si="11"/>
        <v>144</v>
      </c>
      <c r="C64" t="s">
        <v>85</v>
      </c>
      <c r="D64" t="s">
        <v>14</v>
      </c>
      <c r="I64" s="2">
        <f t="shared" si="0"/>
        <v>87.912393639244215</v>
      </c>
      <c r="K64">
        <f t="shared" si="10"/>
        <v>33.383497999999996</v>
      </c>
      <c r="O64" s="4">
        <f t="shared" si="6"/>
        <v>6.2189682192000015</v>
      </c>
      <c r="AD64" s="11">
        <v>0.12493687359926454</v>
      </c>
      <c r="AF64">
        <f t="shared" si="9"/>
        <v>0.21605000000000002</v>
      </c>
      <c r="AI64" s="11">
        <v>0.55636680000000016</v>
      </c>
      <c r="AK64">
        <v>0.2107</v>
      </c>
      <c r="AL64">
        <v>0.22140000000000001</v>
      </c>
    </row>
    <row r="65" spans="1:38" x14ac:dyDescent="0.2">
      <c r="A65" s="10" t="s">
        <v>53</v>
      </c>
      <c r="B65">
        <f t="shared" si="11"/>
        <v>144</v>
      </c>
      <c r="C65" t="s">
        <v>85</v>
      </c>
      <c r="D65" t="s">
        <v>15</v>
      </c>
      <c r="I65" s="2">
        <f t="shared" si="0"/>
        <v>84.480131075864065</v>
      </c>
      <c r="K65">
        <f t="shared" si="10"/>
        <v>32.679049999999997</v>
      </c>
      <c r="O65" s="4">
        <f t="shared" si="6"/>
        <v>6.9106380463999972</v>
      </c>
      <c r="AD65" s="11">
        <v>0.1222025044237717</v>
      </c>
      <c r="AF65">
        <f t="shared" si="9"/>
        <v>0.20989999999999998</v>
      </c>
      <c r="AI65" s="11">
        <v>0.62134893333333308</v>
      </c>
      <c r="AK65">
        <v>0.20749999999999999</v>
      </c>
      <c r="AL65">
        <v>0.21229999999999999</v>
      </c>
    </row>
    <row r="66" spans="1:38" x14ac:dyDescent="0.2">
      <c r="A66" s="10" t="s">
        <v>54</v>
      </c>
      <c r="B66">
        <f t="shared" si="11"/>
        <v>144</v>
      </c>
      <c r="C66" t="s">
        <v>85</v>
      </c>
      <c r="D66" t="s">
        <v>15</v>
      </c>
      <c r="I66" s="2">
        <f t="shared" ref="I66:I129" si="12">30*(AD66-0.0549)/0.0239</f>
        <v>82.822303269404088</v>
      </c>
      <c r="K66">
        <f t="shared" si="10"/>
        <v>33.889819999999993</v>
      </c>
      <c r="O66" s="4">
        <f t="shared" ref="O66:O129" si="13">(0.3548*AI66 + 0.0099)*30</f>
        <v>7.0652045376000068</v>
      </c>
      <c r="AD66" s="11">
        <v>0.12088176827129193</v>
      </c>
      <c r="AF66">
        <f t="shared" si="9"/>
        <v>0.2084</v>
      </c>
      <c r="AI66" s="11">
        <v>0.63587040000000061</v>
      </c>
      <c r="AK66">
        <v>0.21299999999999999</v>
      </c>
      <c r="AL66">
        <v>0.20380000000000001</v>
      </c>
    </row>
    <row r="67" spans="1:38" x14ac:dyDescent="0.2">
      <c r="A67" s="10" t="s">
        <v>55</v>
      </c>
      <c r="B67">
        <f t="shared" si="11"/>
        <v>144</v>
      </c>
      <c r="C67" t="s">
        <v>85</v>
      </c>
      <c r="D67" t="s">
        <v>15</v>
      </c>
      <c r="I67" s="2">
        <f t="shared" si="12"/>
        <v>86.362924638966106</v>
      </c>
      <c r="K67">
        <f t="shared" si="10"/>
        <v>37.962410000000006</v>
      </c>
      <c r="O67" s="4">
        <f t="shared" si="13"/>
        <v>6.9330012678000186</v>
      </c>
      <c r="AD67" s="11">
        <v>0.12370246329570965</v>
      </c>
      <c r="AF67">
        <f t="shared" ref="AF67:AF130" si="14">AVERAGE(AK67:AM67)</f>
        <v>0.23125000000000001</v>
      </c>
      <c r="AI67" s="11">
        <v>0.6234499500000017</v>
      </c>
      <c r="AK67">
        <v>0.23150000000000001</v>
      </c>
      <c r="AL67">
        <v>0.23100000000000001</v>
      </c>
    </row>
    <row r="68" spans="1:38" x14ac:dyDescent="0.2">
      <c r="A68" s="10" t="s">
        <v>56</v>
      </c>
      <c r="B68">
        <f t="shared" si="11"/>
        <v>144</v>
      </c>
      <c r="C68" t="s">
        <v>21</v>
      </c>
      <c r="D68" t="s">
        <v>14</v>
      </c>
      <c r="I68" s="2">
        <f t="shared" si="12"/>
        <v>108.64359993456185</v>
      </c>
      <c r="K68">
        <f t="shared" si="10"/>
        <v>66.646652000000003</v>
      </c>
      <c r="O68" s="4">
        <f t="shared" si="13"/>
        <v>3.2011960633999794</v>
      </c>
      <c r="AD68" s="11">
        <v>0.14145273461453428</v>
      </c>
      <c r="AF68">
        <f t="shared" si="14"/>
        <v>0.3584</v>
      </c>
      <c r="AI68" s="11">
        <v>0.27284818333333138</v>
      </c>
      <c r="AK68">
        <v>0.36180000000000001</v>
      </c>
      <c r="AL68">
        <v>0.35499999999999998</v>
      </c>
    </row>
    <row r="69" spans="1:38" x14ac:dyDescent="0.2">
      <c r="A69" s="10" t="s">
        <v>57</v>
      </c>
      <c r="B69">
        <f t="shared" si="11"/>
        <v>144</v>
      </c>
      <c r="C69" t="s">
        <v>21</v>
      </c>
      <c r="D69" t="s">
        <v>14</v>
      </c>
      <c r="I69" s="2">
        <f t="shared" si="12"/>
        <v>123.91086859006306</v>
      </c>
      <c r="K69">
        <f t="shared" si="10"/>
        <v>69.794653999999994</v>
      </c>
      <c r="O69" s="4">
        <f t="shared" si="13"/>
        <v>3.3633664508000178</v>
      </c>
      <c r="AD69" s="11">
        <v>0.15361565864341692</v>
      </c>
      <c r="AF69">
        <f t="shared" si="14"/>
        <v>0.37275000000000003</v>
      </c>
      <c r="AI69" s="11">
        <v>0.28808403333333499</v>
      </c>
      <c r="AK69">
        <v>0.37609999999999999</v>
      </c>
      <c r="AL69">
        <v>0.36940000000000001</v>
      </c>
    </row>
    <row r="70" spans="1:38" x14ac:dyDescent="0.2">
      <c r="A70" s="10" t="s">
        <v>58</v>
      </c>
      <c r="B70">
        <f t="shared" si="11"/>
        <v>144</v>
      </c>
      <c r="C70" t="s">
        <v>21</v>
      </c>
      <c r="D70" t="s">
        <v>14</v>
      </c>
      <c r="I70" s="2">
        <f t="shared" si="12"/>
        <v>85.413536938114532</v>
      </c>
      <c r="K70">
        <f t="shared" si="10"/>
        <v>67.747351999999992</v>
      </c>
      <c r="O70" s="4">
        <f t="shared" si="13"/>
        <v>2.427032501603875</v>
      </c>
      <c r="AD70" s="8">
        <v>0.1229461177606979</v>
      </c>
      <c r="AF70">
        <f t="shared" si="14"/>
        <v>0.36485000000000001</v>
      </c>
      <c r="AI70" s="11">
        <v>0.20011579308567029</v>
      </c>
      <c r="AK70">
        <v>0.36680000000000001</v>
      </c>
      <c r="AL70">
        <v>0.3629</v>
      </c>
    </row>
    <row r="71" spans="1:38" x14ac:dyDescent="0.2">
      <c r="A71" s="10" t="s">
        <v>59</v>
      </c>
      <c r="B71">
        <f t="shared" si="11"/>
        <v>144</v>
      </c>
      <c r="C71" t="s">
        <v>21</v>
      </c>
      <c r="D71" t="s">
        <v>15</v>
      </c>
      <c r="I71" s="2">
        <f t="shared" si="12"/>
        <v>62.399100905319564</v>
      </c>
      <c r="K71">
        <f t="shared" si="10"/>
        <v>85.864873999999986</v>
      </c>
      <c r="O71" s="4">
        <f t="shared" si="13"/>
        <v>1.5187697660000177</v>
      </c>
      <c r="AD71" s="11">
        <v>0.10461128372123792</v>
      </c>
      <c r="AF71">
        <f t="shared" si="14"/>
        <v>0.45324999999999999</v>
      </c>
      <c r="AI71" s="11">
        <v>0.114784833333335</v>
      </c>
      <c r="AK71">
        <v>0.4491</v>
      </c>
      <c r="AL71">
        <v>0.45739999999999997</v>
      </c>
    </row>
    <row r="72" spans="1:38" x14ac:dyDescent="0.2">
      <c r="A72" s="10" t="s">
        <v>60</v>
      </c>
      <c r="B72">
        <f t="shared" si="11"/>
        <v>144</v>
      </c>
      <c r="C72" t="s">
        <v>21</v>
      </c>
      <c r="D72" t="s">
        <v>15</v>
      </c>
      <c r="I72" s="2">
        <f t="shared" si="12"/>
        <v>73.937453857866402</v>
      </c>
      <c r="K72">
        <f t="shared" si="10"/>
        <v>82.474717999999982</v>
      </c>
      <c r="O72" s="4">
        <f t="shared" si="13"/>
        <v>1.3615394364000328</v>
      </c>
      <c r="AD72" s="11">
        <v>0.1138035049067669</v>
      </c>
      <c r="AF72">
        <f t="shared" si="14"/>
        <v>0.44174999999999998</v>
      </c>
      <c r="AI72" s="11">
        <v>0.10001310000000307</v>
      </c>
      <c r="AK72">
        <v>0.43369999999999997</v>
      </c>
      <c r="AL72">
        <v>0.44979999999999998</v>
      </c>
    </row>
    <row r="73" spans="1:38" x14ac:dyDescent="0.2">
      <c r="A73" s="10" t="s">
        <v>61</v>
      </c>
      <c r="B73">
        <f t="shared" si="11"/>
        <v>144</v>
      </c>
      <c r="C73" t="s">
        <v>21</v>
      </c>
      <c r="D73" t="s">
        <v>15</v>
      </c>
      <c r="I73" s="2">
        <f t="shared" si="12"/>
        <v>67.331389625586567</v>
      </c>
      <c r="K73">
        <f t="shared" ref="K73:K136" si="15">(11.007*AK73-0.65)*20</f>
        <v>65.766092</v>
      </c>
      <c r="O73" s="4">
        <f t="shared" si="13"/>
        <v>3.6156531998000125</v>
      </c>
      <c r="AD73" s="11">
        <v>0.10854067373505064</v>
      </c>
      <c r="AF73">
        <f t="shared" si="14"/>
        <v>0.35060000000000002</v>
      </c>
      <c r="AI73" s="11">
        <v>0.31178628333333447</v>
      </c>
      <c r="AK73">
        <v>0.35780000000000001</v>
      </c>
      <c r="AL73">
        <v>0.34339999999999998</v>
      </c>
    </row>
    <row r="74" spans="1:38" x14ac:dyDescent="0.2">
      <c r="A74" s="10" t="s">
        <v>62</v>
      </c>
      <c r="B74">
        <f t="shared" si="11"/>
        <v>144</v>
      </c>
      <c r="C74" t="s">
        <v>19</v>
      </c>
      <c r="D74" t="s">
        <v>14</v>
      </c>
      <c r="I74" s="2">
        <f t="shared" si="12"/>
        <v>79.025902825530736</v>
      </c>
      <c r="K74">
        <f t="shared" si="15"/>
        <v>46.591898</v>
      </c>
      <c r="O74" s="4">
        <f t="shared" si="13"/>
        <v>5.5011088300000202</v>
      </c>
      <c r="AD74" s="11">
        <v>0.11785730258433949</v>
      </c>
      <c r="AF74">
        <f t="shared" si="14"/>
        <v>0.27079999999999999</v>
      </c>
      <c r="AI74" s="11">
        <v>0.4889241666666686</v>
      </c>
      <c r="AK74">
        <v>0.2707</v>
      </c>
      <c r="AL74">
        <v>0.27089999999999997</v>
      </c>
    </row>
    <row r="75" spans="1:38" x14ac:dyDescent="0.2">
      <c r="A75" s="10" t="s">
        <v>63</v>
      </c>
      <c r="B75">
        <f t="shared" si="11"/>
        <v>144</v>
      </c>
      <c r="C75" t="s">
        <v>19</v>
      </c>
      <c r="D75" t="s">
        <v>14</v>
      </c>
      <c r="I75" s="2">
        <f t="shared" si="12"/>
        <v>62.255606400358744</v>
      </c>
      <c r="K75">
        <f t="shared" si="15"/>
        <v>74.241482000000005</v>
      </c>
      <c r="O75" s="4">
        <f t="shared" si="13"/>
        <v>3.2368728000000004</v>
      </c>
      <c r="AD75" s="11">
        <v>0.1044969664322858</v>
      </c>
      <c r="AF75">
        <f t="shared" si="14"/>
        <v>0.39684999999999998</v>
      </c>
      <c r="AI75" s="11">
        <v>0.2762</v>
      </c>
      <c r="AK75">
        <v>0.39629999999999999</v>
      </c>
      <c r="AL75">
        <v>0.39739999999999998</v>
      </c>
    </row>
    <row r="76" spans="1:38" x14ac:dyDescent="0.2">
      <c r="A76" s="10" t="s">
        <v>64</v>
      </c>
      <c r="B76">
        <f t="shared" si="11"/>
        <v>144</v>
      </c>
      <c r="C76" t="s">
        <v>19</v>
      </c>
      <c r="D76" t="s">
        <v>14</v>
      </c>
      <c r="I76" s="2">
        <f t="shared" si="12"/>
        <v>33.747977323335157</v>
      </c>
      <c r="K76">
        <f t="shared" si="15"/>
        <v>81.572143999999994</v>
      </c>
      <c r="O76" s="4">
        <f t="shared" si="13"/>
        <v>2.329385938400014</v>
      </c>
      <c r="AD76" s="11">
        <v>8.1785888600923673E-2</v>
      </c>
      <c r="AF76">
        <f t="shared" si="14"/>
        <v>0.43195</v>
      </c>
      <c r="AI76" s="11">
        <v>0.19094193333333465</v>
      </c>
      <c r="AK76">
        <v>0.42959999999999998</v>
      </c>
      <c r="AL76">
        <v>0.43430000000000002</v>
      </c>
    </row>
    <row r="77" spans="1:38" x14ac:dyDescent="0.2">
      <c r="A77" s="10" t="s">
        <v>65</v>
      </c>
      <c r="B77">
        <f t="shared" si="11"/>
        <v>144</v>
      </c>
      <c r="C77" t="s">
        <v>19</v>
      </c>
      <c r="D77" t="s">
        <v>15</v>
      </c>
      <c r="I77" s="2">
        <f t="shared" si="12"/>
        <v>57.396226046331513</v>
      </c>
      <c r="K77">
        <f t="shared" si="15"/>
        <v>70.433059999999998</v>
      </c>
      <c r="O77" s="4">
        <f t="shared" si="13"/>
        <v>4.0887603728000173</v>
      </c>
      <c r="AD77" s="11">
        <v>0.10062566008357744</v>
      </c>
      <c r="AF77">
        <f t="shared" si="14"/>
        <v>0.37995000000000001</v>
      </c>
      <c r="AI77" s="11">
        <v>0.35623453333333499</v>
      </c>
      <c r="AK77">
        <v>0.379</v>
      </c>
      <c r="AL77">
        <v>0.38090000000000002</v>
      </c>
    </row>
    <row r="78" spans="1:38" x14ac:dyDescent="0.2">
      <c r="A78" s="10" t="s">
        <v>66</v>
      </c>
      <c r="B78">
        <f t="shared" si="11"/>
        <v>144</v>
      </c>
      <c r="C78" t="s">
        <v>19</v>
      </c>
      <c r="D78" t="s">
        <v>15</v>
      </c>
      <c r="I78" s="2">
        <f t="shared" si="12"/>
        <v>78.419160820135318</v>
      </c>
      <c r="K78">
        <f t="shared" si="15"/>
        <v>47.472458000000003</v>
      </c>
      <c r="O78" s="4">
        <f t="shared" si="13"/>
        <v>5.5649557995999777</v>
      </c>
      <c r="AD78" s="11">
        <v>0.11737393145337446</v>
      </c>
      <c r="AF78">
        <f t="shared" si="14"/>
        <v>0.27779999999999999</v>
      </c>
      <c r="AI78" s="11">
        <v>0.49492256666666457</v>
      </c>
      <c r="AK78">
        <v>0.2747</v>
      </c>
      <c r="AL78">
        <v>0.28089999999999998</v>
      </c>
    </row>
    <row r="79" spans="1:38" x14ac:dyDescent="0.2">
      <c r="A79" s="10" t="s">
        <v>67</v>
      </c>
      <c r="B79">
        <f t="shared" si="11"/>
        <v>144</v>
      </c>
      <c r="C79" t="s">
        <v>19</v>
      </c>
      <c r="D79" t="s">
        <v>15</v>
      </c>
      <c r="I79" s="2">
        <f t="shared" si="12"/>
        <v>65.752270534043731</v>
      </c>
      <c r="K79">
        <f t="shared" si="15"/>
        <v>59.029808000000003</v>
      </c>
      <c r="O79" s="4">
        <f t="shared" si="13"/>
        <v>3.9430319496000004</v>
      </c>
      <c r="AD79" s="11">
        <v>0.10728264219212151</v>
      </c>
      <c r="AF79">
        <f t="shared" si="14"/>
        <v>0.33255000000000001</v>
      </c>
      <c r="AI79" s="11">
        <v>0.34254340000000005</v>
      </c>
      <c r="AK79">
        <v>0.32719999999999999</v>
      </c>
      <c r="AL79">
        <v>0.33789999999999998</v>
      </c>
    </row>
    <row r="80" spans="1:38" x14ac:dyDescent="0.2">
      <c r="A80" s="10" t="s">
        <v>68</v>
      </c>
      <c r="B80">
        <f t="shared" si="11"/>
        <v>144</v>
      </c>
      <c r="C80" t="s">
        <v>86</v>
      </c>
      <c r="D80" t="s">
        <v>14</v>
      </c>
      <c r="I80" s="2">
        <f t="shared" si="12"/>
        <v>77.790571023025564</v>
      </c>
      <c r="K80">
        <f t="shared" si="15"/>
        <v>24.115603999999998</v>
      </c>
      <c r="O80" s="4">
        <f t="shared" si="13"/>
        <v>6.2416445515999923</v>
      </c>
      <c r="AD80" s="11">
        <v>0.11687315491501037</v>
      </c>
      <c r="AF80">
        <f t="shared" si="14"/>
        <v>0.16605</v>
      </c>
      <c r="AI80" s="11">
        <v>0.55849723333333268</v>
      </c>
      <c r="AK80">
        <v>0.1686</v>
      </c>
      <c r="AL80">
        <v>0.16350000000000001</v>
      </c>
    </row>
    <row r="81" spans="1:38" x14ac:dyDescent="0.2">
      <c r="A81" s="10" t="s">
        <v>69</v>
      </c>
      <c r="B81">
        <f t="shared" si="11"/>
        <v>144</v>
      </c>
      <c r="C81" t="s">
        <v>86</v>
      </c>
      <c r="D81" t="s">
        <v>14</v>
      </c>
      <c r="I81" s="2">
        <f t="shared" si="12"/>
        <v>59.119753586763537</v>
      </c>
      <c r="K81">
        <f t="shared" si="15"/>
        <v>51.677132</v>
      </c>
      <c r="O81" s="4">
        <f t="shared" si="13"/>
        <v>4.0785282956000275</v>
      </c>
      <c r="AD81" s="11">
        <v>0.10199873702412161</v>
      </c>
      <c r="AF81">
        <f t="shared" si="14"/>
        <v>0.29430000000000001</v>
      </c>
      <c r="AI81" s="11">
        <v>0.35527323333333594</v>
      </c>
      <c r="AK81">
        <v>0.29380000000000001</v>
      </c>
      <c r="AL81">
        <v>0.29480000000000001</v>
      </c>
    </row>
    <row r="82" spans="1:38" x14ac:dyDescent="0.2">
      <c r="A82" s="10" t="s">
        <v>70</v>
      </c>
      <c r="B82">
        <f t="shared" si="11"/>
        <v>144</v>
      </c>
      <c r="C82" t="s">
        <v>86</v>
      </c>
      <c r="D82" t="s">
        <v>14</v>
      </c>
      <c r="I82" s="2">
        <f t="shared" si="12"/>
        <v>83.126861412842572</v>
      </c>
      <c r="K82">
        <f t="shared" si="15"/>
        <v>37.830325999999999</v>
      </c>
      <c r="O82" s="4">
        <f t="shared" si="13"/>
        <v>5.996426128200012</v>
      </c>
      <c r="AD82" s="11">
        <v>0.12112439959223126</v>
      </c>
      <c r="AF82">
        <f t="shared" si="14"/>
        <v>0.23180000000000001</v>
      </c>
      <c r="AI82" s="11">
        <v>0.53545905000000116</v>
      </c>
      <c r="AK82">
        <v>0.23089999999999999</v>
      </c>
      <c r="AL82">
        <v>0.23269999999999999</v>
      </c>
    </row>
    <row r="83" spans="1:38" x14ac:dyDescent="0.2">
      <c r="A83" s="10" t="s">
        <v>71</v>
      </c>
      <c r="B83">
        <f t="shared" si="11"/>
        <v>144</v>
      </c>
      <c r="C83" t="s">
        <v>86</v>
      </c>
      <c r="D83" t="s">
        <v>15</v>
      </c>
      <c r="I83" s="2">
        <f t="shared" si="12"/>
        <v>53.371585556633036</v>
      </c>
      <c r="K83">
        <f t="shared" si="15"/>
        <v>64.665391999999997</v>
      </c>
      <c r="O83" s="4">
        <f t="shared" si="13"/>
        <v>3.1230898592000198</v>
      </c>
      <c r="AD83" s="11">
        <v>9.741936316011765E-2</v>
      </c>
      <c r="AF83">
        <f t="shared" si="14"/>
        <v>0.35339999999999999</v>
      </c>
      <c r="AI83" s="11">
        <v>0.26551013333333517</v>
      </c>
      <c r="AK83">
        <v>0.3528</v>
      </c>
      <c r="AL83">
        <v>0.35399999999999998</v>
      </c>
    </row>
    <row r="84" spans="1:38" x14ac:dyDescent="0.2">
      <c r="A84" s="10" t="s">
        <v>72</v>
      </c>
      <c r="B84">
        <f t="shared" si="11"/>
        <v>144</v>
      </c>
      <c r="C84" t="s">
        <v>86</v>
      </c>
      <c r="D84" t="s">
        <v>15</v>
      </c>
      <c r="I84" s="2">
        <f t="shared" si="12"/>
        <v>80.166630435415001</v>
      </c>
      <c r="K84">
        <f t="shared" si="15"/>
        <v>43.201742000000003</v>
      </c>
      <c r="O84" s="4">
        <f t="shared" si="13"/>
        <v>6.0504910843999582</v>
      </c>
      <c r="AD84" s="11">
        <v>0.11876608224688062</v>
      </c>
      <c r="AF84">
        <f t="shared" si="14"/>
        <v>0.25765000000000005</v>
      </c>
      <c r="AI84" s="11">
        <v>0.5405384333333294</v>
      </c>
      <c r="AK84">
        <v>0.25530000000000003</v>
      </c>
      <c r="AL84">
        <v>0.26</v>
      </c>
    </row>
    <row r="85" spans="1:38" x14ac:dyDescent="0.2">
      <c r="A85" s="10" t="s">
        <v>73</v>
      </c>
      <c r="B85">
        <f t="shared" si="11"/>
        <v>144</v>
      </c>
      <c r="C85" t="s">
        <v>86</v>
      </c>
      <c r="D85" t="s">
        <v>15</v>
      </c>
      <c r="I85" s="2">
        <f t="shared" si="12"/>
        <v>77.565866375260683</v>
      </c>
      <c r="K85">
        <f t="shared" si="15"/>
        <v>38.182550000000006</v>
      </c>
      <c r="O85" s="4">
        <f t="shared" si="13"/>
        <v>6.2192525913999628</v>
      </c>
      <c r="AD85" s="11">
        <v>0.11669414021229101</v>
      </c>
      <c r="AF85">
        <f t="shared" si="14"/>
        <v>0.23115000000000002</v>
      </c>
      <c r="AI85" s="11">
        <v>0.55639351666666315</v>
      </c>
      <c r="AK85">
        <v>0.23250000000000001</v>
      </c>
      <c r="AL85">
        <v>0.2298</v>
      </c>
    </row>
    <row r="86" spans="1:38" x14ac:dyDescent="0.2">
      <c r="A86" s="10" t="s">
        <v>74</v>
      </c>
      <c r="B86">
        <f t="shared" si="11"/>
        <v>144</v>
      </c>
      <c r="C86" t="s">
        <v>20</v>
      </c>
      <c r="D86" t="s">
        <v>14</v>
      </c>
      <c r="I86" s="2">
        <f t="shared" si="12"/>
        <v>85.335393145463499</v>
      </c>
      <c r="K86">
        <f t="shared" si="15"/>
        <v>46.52585599999999</v>
      </c>
      <c r="O86" s="4">
        <f t="shared" si="13"/>
        <v>6.4023178603999948</v>
      </c>
      <c r="AD86" s="11">
        <v>0.12288386320588592</v>
      </c>
      <c r="AF86">
        <f t="shared" si="14"/>
        <v>0.26244999999999996</v>
      </c>
      <c r="AI86" s="11">
        <v>0.57359243333333287</v>
      </c>
      <c r="AK86">
        <v>0.27039999999999997</v>
      </c>
      <c r="AL86">
        <v>0.2545</v>
      </c>
    </row>
    <row r="87" spans="1:38" x14ac:dyDescent="0.2">
      <c r="A87" s="10" t="s">
        <v>75</v>
      </c>
      <c r="B87">
        <f t="shared" si="11"/>
        <v>144</v>
      </c>
      <c r="C87" t="s">
        <v>20</v>
      </c>
      <c r="D87" t="s">
        <v>14</v>
      </c>
      <c r="I87" s="2">
        <f t="shared" si="12"/>
        <v>85.972499803825869</v>
      </c>
      <c r="K87">
        <f t="shared" si="15"/>
        <v>50.444348000000005</v>
      </c>
      <c r="O87" s="4">
        <f t="shared" si="13"/>
        <v>5.7995396251999978</v>
      </c>
      <c r="AD87" s="11">
        <v>0.12339142484371461</v>
      </c>
      <c r="AF87">
        <f t="shared" si="14"/>
        <v>0.28615000000000002</v>
      </c>
      <c r="AI87" s="11">
        <v>0.51696163333333311</v>
      </c>
      <c r="AK87">
        <v>0.28820000000000001</v>
      </c>
      <c r="AL87">
        <v>0.28410000000000002</v>
      </c>
    </row>
    <row r="88" spans="1:38" x14ac:dyDescent="0.2">
      <c r="A88" s="10" t="s">
        <v>76</v>
      </c>
      <c r="B88">
        <f t="shared" si="11"/>
        <v>144</v>
      </c>
      <c r="C88" t="s">
        <v>20</v>
      </c>
      <c r="D88" t="s">
        <v>14</v>
      </c>
      <c r="I88" s="2">
        <f t="shared" si="12"/>
        <v>86.811804187080682</v>
      </c>
      <c r="K88">
        <f t="shared" si="15"/>
        <v>45.579254000000006</v>
      </c>
      <c r="O88" s="4">
        <f t="shared" si="13"/>
        <v>6.2568555372000603</v>
      </c>
      <c r="AD88" s="11">
        <v>0.12406007066904094</v>
      </c>
      <c r="AF88">
        <f t="shared" si="14"/>
        <v>0.26185000000000003</v>
      </c>
      <c r="AI88" s="11">
        <v>0.55992630000000565</v>
      </c>
      <c r="AK88">
        <v>0.2661</v>
      </c>
      <c r="AL88">
        <v>0.2576</v>
      </c>
    </row>
    <row r="89" spans="1:38" x14ac:dyDescent="0.2">
      <c r="A89" s="10" t="s">
        <v>77</v>
      </c>
      <c r="B89">
        <f t="shared" si="11"/>
        <v>144</v>
      </c>
      <c r="C89" t="s">
        <v>20</v>
      </c>
      <c r="D89" t="s">
        <v>15</v>
      </c>
      <c r="I89" s="2">
        <f t="shared" si="12"/>
        <v>82.62047071704373</v>
      </c>
      <c r="K89">
        <f t="shared" si="15"/>
        <v>39.481375999999997</v>
      </c>
      <c r="O89" s="4">
        <f t="shared" si="13"/>
        <v>6.3618389057999529</v>
      </c>
      <c r="AD89" s="11">
        <v>0.12072097500457818</v>
      </c>
      <c r="AF89">
        <f t="shared" si="14"/>
        <v>0.24080000000000001</v>
      </c>
      <c r="AI89" s="11">
        <v>0.56978944999999559</v>
      </c>
      <c r="AK89">
        <v>0.2384</v>
      </c>
      <c r="AL89">
        <v>0.2432</v>
      </c>
    </row>
    <row r="90" spans="1:38" x14ac:dyDescent="0.2">
      <c r="A90" s="10" t="s">
        <v>78</v>
      </c>
      <c r="B90">
        <f t="shared" si="11"/>
        <v>144</v>
      </c>
      <c r="C90" t="s">
        <v>20</v>
      </c>
      <c r="D90" t="s">
        <v>15</v>
      </c>
      <c r="I90" s="2">
        <f t="shared" si="12"/>
        <v>84.498294754923037</v>
      </c>
      <c r="K90">
        <f t="shared" si="15"/>
        <v>44.126330000000003</v>
      </c>
      <c r="O90" s="4">
        <f t="shared" si="13"/>
        <v>6.3132749462000008</v>
      </c>
      <c r="AD90" s="11">
        <v>0.12221697482142202</v>
      </c>
      <c r="AF90">
        <f t="shared" si="14"/>
        <v>0.26119999999999999</v>
      </c>
      <c r="AI90" s="11">
        <v>0.56522688333333337</v>
      </c>
      <c r="AK90">
        <v>0.25950000000000001</v>
      </c>
      <c r="AL90">
        <v>0.26290000000000002</v>
      </c>
    </row>
    <row r="91" spans="1:38" x14ac:dyDescent="0.2">
      <c r="A91" s="10" t="s">
        <v>79</v>
      </c>
      <c r="B91">
        <f t="shared" si="11"/>
        <v>144</v>
      </c>
      <c r="C91" t="s">
        <v>20</v>
      </c>
      <c r="D91" t="s">
        <v>15</v>
      </c>
      <c r="I91" s="2">
        <f t="shared" si="12"/>
        <v>84.50381131360156</v>
      </c>
      <c r="K91">
        <f t="shared" si="15"/>
        <v>35.606912000000001</v>
      </c>
      <c r="O91" s="4">
        <f t="shared" si="13"/>
        <v>6.4761872204000728</v>
      </c>
      <c r="AD91" s="11">
        <v>0.12222136967983589</v>
      </c>
      <c r="AF91">
        <f t="shared" si="14"/>
        <v>0.21939999999999998</v>
      </c>
      <c r="AI91" s="11">
        <v>0.58053243333334015</v>
      </c>
      <c r="AK91">
        <v>0.2208</v>
      </c>
      <c r="AL91">
        <v>0.218</v>
      </c>
    </row>
    <row r="92" spans="1:38" x14ac:dyDescent="0.2">
      <c r="A92" s="10" t="s">
        <v>83</v>
      </c>
      <c r="B92">
        <f>B62+3*24</f>
        <v>216</v>
      </c>
      <c r="C92" t="s">
        <v>85</v>
      </c>
      <c r="D92" t="s">
        <v>14</v>
      </c>
      <c r="I92" s="2">
        <f t="shared" si="12"/>
        <v>101.68820544539498</v>
      </c>
      <c r="K92">
        <f t="shared" si="15"/>
        <v>7.1868379999999981</v>
      </c>
      <c r="O92" s="4">
        <f t="shared" si="13"/>
        <v>3.7343353964000028</v>
      </c>
      <c r="AD92" s="11">
        <v>0.13591160367149802</v>
      </c>
      <c r="AF92">
        <f t="shared" si="14"/>
        <v>9.1299999999999992E-2</v>
      </c>
      <c r="AI92" s="11">
        <v>0.32293643333333355</v>
      </c>
      <c r="AK92">
        <v>9.1700000000000004E-2</v>
      </c>
      <c r="AL92">
        <v>9.0899999999999995E-2</v>
      </c>
    </row>
    <row r="93" spans="1:38" x14ac:dyDescent="0.2">
      <c r="A93" s="10" t="s">
        <v>51</v>
      </c>
      <c r="B93">
        <f t="shared" ref="B93:B121" si="16">B63+3*24</f>
        <v>216</v>
      </c>
      <c r="C93" t="s">
        <v>85</v>
      </c>
      <c r="D93" t="s">
        <v>14</v>
      </c>
      <c r="I93" s="2">
        <f t="shared" si="12"/>
        <v>86.340249268079418</v>
      </c>
      <c r="K93">
        <f t="shared" si="15"/>
        <v>4.0828639999999989</v>
      </c>
      <c r="O93" s="4">
        <f t="shared" si="13"/>
        <v>4.3709544555999988</v>
      </c>
      <c r="AD93" s="11">
        <v>0.12368439858356994</v>
      </c>
      <c r="AF93">
        <f t="shared" si="14"/>
        <v>7.7550000000000008E-2</v>
      </c>
      <c r="AI93" s="11">
        <v>0.38274656666666651</v>
      </c>
      <c r="AK93">
        <v>7.7600000000000002E-2</v>
      </c>
      <c r="AL93">
        <v>7.7499999999999999E-2</v>
      </c>
    </row>
    <row r="94" spans="1:38" x14ac:dyDescent="0.2">
      <c r="A94" s="10" t="s">
        <v>52</v>
      </c>
      <c r="B94">
        <f t="shared" si="16"/>
        <v>216</v>
      </c>
      <c r="C94" t="s">
        <v>85</v>
      </c>
      <c r="D94" t="s">
        <v>14</v>
      </c>
      <c r="I94" s="2">
        <f t="shared" si="12"/>
        <v>82.411887547502772</v>
      </c>
      <c r="K94">
        <f t="shared" si="15"/>
        <v>4.4130739999999991</v>
      </c>
      <c r="O94" s="4">
        <f t="shared" si="13"/>
        <v>4.3927414820163317</v>
      </c>
      <c r="AD94" s="11">
        <v>0.12055480374617722</v>
      </c>
      <c r="AF94">
        <f t="shared" si="14"/>
        <v>7.9699999999999993E-2</v>
      </c>
      <c r="AI94" s="11">
        <v>0.38479345002032428</v>
      </c>
      <c r="AK94">
        <v>7.9100000000000004E-2</v>
      </c>
      <c r="AL94">
        <v>8.0299999999999996E-2</v>
      </c>
    </row>
    <row r="95" spans="1:38" x14ac:dyDescent="0.2">
      <c r="A95" s="10" t="s">
        <v>53</v>
      </c>
      <c r="B95">
        <f t="shared" si="16"/>
        <v>216</v>
      </c>
      <c r="C95" t="s">
        <v>85</v>
      </c>
      <c r="D95" t="s">
        <v>15</v>
      </c>
      <c r="I95" s="2">
        <f t="shared" si="12"/>
        <v>77.723333520542695</v>
      </c>
      <c r="K95">
        <f t="shared" si="15"/>
        <v>4.6992559999999983</v>
      </c>
      <c r="O95" s="4">
        <f t="shared" si="13"/>
        <v>4.5834468366000225</v>
      </c>
      <c r="AD95" s="11">
        <v>0.11681958903803236</v>
      </c>
      <c r="AF95">
        <f t="shared" si="14"/>
        <v>8.0799999999999997E-2</v>
      </c>
      <c r="AI95" s="11">
        <v>0.4027101500000021</v>
      </c>
      <c r="AK95">
        <v>8.0399999999999999E-2</v>
      </c>
      <c r="AL95">
        <v>8.1199999999999994E-2</v>
      </c>
    </row>
    <row r="96" spans="1:38" x14ac:dyDescent="0.2">
      <c r="A96" s="10" t="s">
        <v>54</v>
      </c>
      <c r="B96">
        <f t="shared" si="16"/>
        <v>216</v>
      </c>
      <c r="C96" t="s">
        <v>85</v>
      </c>
      <c r="D96" t="s">
        <v>15</v>
      </c>
      <c r="I96" s="2">
        <f t="shared" si="12"/>
        <v>81.282683801554441</v>
      </c>
      <c r="K96">
        <f t="shared" si="15"/>
        <v>2.2997299999999998</v>
      </c>
      <c r="O96" s="4">
        <f t="shared" si="13"/>
        <v>5.0044817876000236</v>
      </c>
      <c r="AD96" s="11">
        <v>0.11965520476190505</v>
      </c>
      <c r="AF96">
        <f t="shared" si="14"/>
        <v>7.0349999999999996E-2</v>
      </c>
      <c r="AI96" s="11">
        <v>0.44226623333333559</v>
      </c>
      <c r="AK96">
        <v>6.9500000000000006E-2</v>
      </c>
      <c r="AL96">
        <v>7.1199999999999999E-2</v>
      </c>
    </row>
    <row r="97" spans="1:38" x14ac:dyDescent="0.2">
      <c r="A97" s="10" t="s">
        <v>55</v>
      </c>
      <c r="B97">
        <f t="shared" si="16"/>
        <v>216</v>
      </c>
      <c r="C97" t="s">
        <v>85</v>
      </c>
      <c r="D97" t="s">
        <v>15</v>
      </c>
      <c r="I97" s="2">
        <f t="shared" si="12"/>
        <v>82.373566443823506</v>
      </c>
      <c r="K97">
        <f t="shared" si="15"/>
        <v>3.6866120000000002</v>
      </c>
      <c r="O97" s="4">
        <f t="shared" si="13"/>
        <v>4.9944450278000243</v>
      </c>
      <c r="AD97" s="11">
        <v>0.12052427460024606</v>
      </c>
      <c r="AF97">
        <f t="shared" si="14"/>
        <v>7.5550000000000006E-2</v>
      </c>
      <c r="AI97" s="11">
        <v>0.44132328333333559</v>
      </c>
      <c r="AK97">
        <v>7.5800000000000006E-2</v>
      </c>
      <c r="AL97">
        <v>7.5300000000000006E-2</v>
      </c>
    </row>
    <row r="98" spans="1:38" x14ac:dyDescent="0.2">
      <c r="A98" s="10" t="s">
        <v>56</v>
      </c>
      <c r="B98">
        <f t="shared" si="16"/>
        <v>216</v>
      </c>
      <c r="C98" t="s">
        <v>21</v>
      </c>
      <c r="D98" t="s">
        <v>14</v>
      </c>
      <c r="I98" s="2">
        <f t="shared" si="12"/>
        <v>101.40954753818552</v>
      </c>
      <c r="J98">
        <f>(I68-I98)/3</f>
        <v>2.411350798792109</v>
      </c>
      <c r="K98">
        <f t="shared" si="15"/>
        <v>102.749612</v>
      </c>
      <c r="O98" s="4">
        <f t="shared" si="13"/>
        <v>1.7275869511999882</v>
      </c>
      <c r="AD98" s="11">
        <v>0.13568960620542114</v>
      </c>
      <c r="AF98">
        <f t="shared" si="14"/>
        <v>0.52495000000000003</v>
      </c>
      <c r="AI98" s="11">
        <v>0.1344031333333322</v>
      </c>
      <c r="AK98">
        <v>0.52580000000000005</v>
      </c>
      <c r="AL98">
        <v>0.52410000000000001</v>
      </c>
    </row>
    <row r="99" spans="1:38" x14ac:dyDescent="0.2">
      <c r="A99" s="10" t="s">
        <v>57</v>
      </c>
      <c r="B99">
        <f t="shared" si="16"/>
        <v>216</v>
      </c>
      <c r="C99" t="s">
        <v>21</v>
      </c>
      <c r="D99" t="s">
        <v>14</v>
      </c>
      <c r="I99" s="2">
        <f t="shared" si="12"/>
        <v>47.819882545903184</v>
      </c>
      <c r="J99">
        <f t="shared" ref="J99:J103" si="17">(I69-I99)/3</f>
        <v>25.36366201471996</v>
      </c>
      <c r="K99">
        <f t="shared" si="15"/>
        <v>127.47133399999998</v>
      </c>
      <c r="O99" s="4">
        <f t="shared" si="13"/>
        <v>1.4541651210000064</v>
      </c>
      <c r="AD99" s="11">
        <v>9.2996506428236203E-2</v>
      </c>
      <c r="AF99">
        <f t="shared" si="14"/>
        <v>0.63205</v>
      </c>
      <c r="AI99" s="11">
        <v>0.1087152500000006</v>
      </c>
      <c r="AK99">
        <v>0.6381</v>
      </c>
      <c r="AL99">
        <v>0.626</v>
      </c>
    </row>
    <row r="100" spans="1:38" x14ac:dyDescent="0.2">
      <c r="A100" s="10" t="s">
        <v>58</v>
      </c>
      <c r="B100">
        <f t="shared" si="16"/>
        <v>216</v>
      </c>
      <c r="C100" t="s">
        <v>21</v>
      </c>
      <c r="D100" t="s">
        <v>14</v>
      </c>
      <c r="I100" s="2">
        <f t="shared" si="12"/>
        <v>96.454886371459438</v>
      </c>
      <c r="J100">
        <f t="shared" si="17"/>
        <v>-3.6804498111149684</v>
      </c>
      <c r="K100">
        <f t="shared" si="15"/>
        <v>139.40292199999999</v>
      </c>
      <c r="O100" s="4">
        <f t="shared" si="13"/>
        <v>0.29700000000000004</v>
      </c>
      <c r="AD100" s="11">
        <v>0.1317423928092627</v>
      </c>
      <c r="AF100">
        <f t="shared" si="14"/>
        <v>0.70125000000000004</v>
      </c>
      <c r="AI100" s="11">
        <v>0</v>
      </c>
      <c r="AK100">
        <v>0.69230000000000003</v>
      </c>
      <c r="AL100">
        <v>0.71020000000000005</v>
      </c>
    </row>
    <row r="101" spans="1:38" x14ac:dyDescent="0.2">
      <c r="A101" s="10" t="s">
        <v>59</v>
      </c>
      <c r="B101">
        <f t="shared" si="16"/>
        <v>216</v>
      </c>
      <c r="C101" t="s">
        <v>21</v>
      </c>
      <c r="D101" t="s">
        <v>15</v>
      </c>
      <c r="I101" s="2">
        <f t="shared" si="12"/>
        <v>32.351411121608258</v>
      </c>
      <c r="J101">
        <f t="shared" si="17"/>
        <v>10.015896594570435</v>
      </c>
      <c r="K101">
        <f t="shared" si="15"/>
        <v>153.55792399999999</v>
      </c>
      <c r="O101" s="4">
        <f t="shared" si="13"/>
        <v>0.29700000000000004</v>
      </c>
      <c r="AD101" s="11">
        <v>8.0673290860214575E-2</v>
      </c>
      <c r="AF101">
        <f t="shared" si="14"/>
        <v>0.75449999999999995</v>
      </c>
      <c r="AI101" s="11">
        <v>0</v>
      </c>
      <c r="AK101">
        <v>0.75660000000000005</v>
      </c>
      <c r="AL101">
        <v>0.75239999999999996</v>
      </c>
    </row>
    <row r="102" spans="1:38" x14ac:dyDescent="0.2">
      <c r="A102" s="10" t="s">
        <v>60</v>
      </c>
      <c r="B102">
        <f t="shared" si="16"/>
        <v>216</v>
      </c>
      <c r="C102" t="s">
        <v>21</v>
      </c>
      <c r="D102" t="s">
        <v>15</v>
      </c>
      <c r="I102" s="2">
        <f t="shared" si="12"/>
        <v>67.777650969585068</v>
      </c>
      <c r="J102">
        <f t="shared" si="17"/>
        <v>2.0532676294271113</v>
      </c>
      <c r="K102">
        <f t="shared" si="15"/>
        <v>149.13310999999999</v>
      </c>
      <c r="O102" s="4">
        <f t="shared" si="13"/>
        <v>0.29700000000000004</v>
      </c>
      <c r="AD102" s="11">
        <v>0.1088961952724361</v>
      </c>
      <c r="AF102">
        <f t="shared" si="14"/>
        <v>0.73165000000000002</v>
      </c>
      <c r="AI102" s="11">
        <v>0</v>
      </c>
      <c r="AK102">
        <v>0.73650000000000004</v>
      </c>
      <c r="AL102">
        <v>0.7268</v>
      </c>
    </row>
    <row r="103" spans="1:38" x14ac:dyDescent="0.2">
      <c r="A103" s="10" t="s">
        <v>61</v>
      </c>
      <c r="B103">
        <f t="shared" si="16"/>
        <v>216</v>
      </c>
      <c r="C103" t="s">
        <v>21</v>
      </c>
      <c r="D103" t="s">
        <v>15</v>
      </c>
      <c r="I103" s="2">
        <f t="shared" si="12"/>
        <v>46.38910725382231</v>
      </c>
      <c r="J103">
        <f t="shared" si="17"/>
        <v>6.9807607905880857</v>
      </c>
      <c r="K103">
        <f t="shared" si="15"/>
        <v>118.40156599999999</v>
      </c>
      <c r="O103" s="4">
        <f t="shared" si="13"/>
        <v>2.015206458199998</v>
      </c>
      <c r="AD103" s="11">
        <v>9.185665544554511E-2</v>
      </c>
      <c r="AF103">
        <f t="shared" si="14"/>
        <v>0.58689999999999998</v>
      </c>
      <c r="AI103" s="11">
        <v>0.16142488333333316</v>
      </c>
      <c r="AK103">
        <v>0.59689999999999999</v>
      </c>
      <c r="AL103">
        <v>0.57689999999999997</v>
      </c>
    </row>
    <row r="104" spans="1:38" x14ac:dyDescent="0.2">
      <c r="A104" s="10" t="s">
        <v>62</v>
      </c>
      <c r="B104">
        <f t="shared" si="16"/>
        <v>216</v>
      </c>
      <c r="C104" t="s">
        <v>19</v>
      </c>
      <c r="D104" t="s">
        <v>14</v>
      </c>
      <c r="I104" s="2">
        <f t="shared" si="12"/>
        <v>54.611084362944496</v>
      </c>
      <c r="K104">
        <f t="shared" si="15"/>
        <v>98.500909999999976</v>
      </c>
      <c r="O104" s="4">
        <f t="shared" si="13"/>
        <v>2.2348689924000023</v>
      </c>
      <c r="AD104" s="11">
        <v>9.8406830542479118E-2</v>
      </c>
      <c r="AF104">
        <f t="shared" si="14"/>
        <v>0.51970000000000005</v>
      </c>
      <c r="AI104" s="11">
        <v>0.18206210000000023</v>
      </c>
      <c r="AK104">
        <v>0.50649999999999995</v>
      </c>
      <c r="AL104">
        <v>0.53290000000000004</v>
      </c>
    </row>
    <row r="105" spans="1:38" x14ac:dyDescent="0.2">
      <c r="A105" s="10" t="s">
        <v>63</v>
      </c>
      <c r="B105">
        <f t="shared" si="16"/>
        <v>216</v>
      </c>
      <c r="C105" t="s">
        <v>19</v>
      </c>
      <c r="D105" t="s">
        <v>14</v>
      </c>
      <c r="I105" s="2">
        <f t="shared" si="12"/>
        <v>39.873649279975687</v>
      </c>
      <c r="K105">
        <f t="shared" si="15"/>
        <v>131.98420399999998</v>
      </c>
      <c r="O105" s="4">
        <f t="shared" si="13"/>
        <v>1.1987192327999872</v>
      </c>
      <c r="AD105" s="11">
        <v>8.6666007259713962E-2</v>
      </c>
      <c r="AF105">
        <f t="shared" si="14"/>
        <v>0.66254999999999997</v>
      </c>
      <c r="AI105" s="11">
        <v>8.4716199999998798E-2</v>
      </c>
      <c r="AK105">
        <v>0.65859999999999996</v>
      </c>
      <c r="AL105">
        <v>0.66649999999999998</v>
      </c>
    </row>
    <row r="106" spans="1:38" x14ac:dyDescent="0.2">
      <c r="A106" s="10" t="s">
        <v>64</v>
      </c>
      <c r="B106">
        <f t="shared" si="16"/>
        <v>216</v>
      </c>
      <c r="C106" t="s">
        <v>19</v>
      </c>
      <c r="D106" t="s">
        <v>14</v>
      </c>
      <c r="I106" s="2">
        <f t="shared" si="12"/>
        <v>26.099826322378778</v>
      </c>
      <c r="K106">
        <f t="shared" si="15"/>
        <v>143.73967999999996</v>
      </c>
      <c r="O106" s="4">
        <f t="shared" si="13"/>
        <v>0.29700000000000004</v>
      </c>
      <c r="AD106" s="11">
        <v>7.5692861636828423E-2</v>
      </c>
      <c r="AF106">
        <f t="shared" si="14"/>
        <v>0.71049999999999991</v>
      </c>
      <c r="AI106" s="11">
        <v>0</v>
      </c>
      <c r="AK106">
        <v>0.71199999999999997</v>
      </c>
      <c r="AL106">
        <v>0.70899999999999996</v>
      </c>
    </row>
    <row r="107" spans="1:38" x14ac:dyDescent="0.2">
      <c r="A107" s="10" t="s">
        <v>65</v>
      </c>
      <c r="B107">
        <f t="shared" si="16"/>
        <v>216</v>
      </c>
      <c r="C107" t="s">
        <v>19</v>
      </c>
      <c r="D107" t="s">
        <v>15</v>
      </c>
      <c r="I107" s="2">
        <f t="shared" si="12"/>
        <v>48.300158257757232</v>
      </c>
      <c r="K107">
        <f t="shared" si="15"/>
        <v>123.09054799999998</v>
      </c>
      <c r="O107" s="4">
        <f t="shared" si="13"/>
        <v>1.6105260131999877</v>
      </c>
      <c r="AD107" s="11">
        <v>9.337912607867993E-2</v>
      </c>
      <c r="AF107">
        <f t="shared" si="14"/>
        <v>0.62624999999999997</v>
      </c>
      <c r="AI107" s="11">
        <v>0.12340529999999883</v>
      </c>
      <c r="AK107">
        <v>0.61819999999999997</v>
      </c>
      <c r="AL107">
        <v>0.63429999999999997</v>
      </c>
    </row>
    <row r="108" spans="1:38" s="16" customFormat="1" x14ac:dyDescent="0.2">
      <c r="A108" s="15" t="s">
        <v>66</v>
      </c>
      <c r="B108" s="16">
        <f t="shared" si="16"/>
        <v>216</v>
      </c>
      <c r="C108" s="16" t="s">
        <v>19</v>
      </c>
      <c r="D108" s="16" t="s">
        <v>15</v>
      </c>
      <c r="I108" s="17">
        <f t="shared" si="12"/>
        <v>27.560225316349968</v>
      </c>
      <c r="K108">
        <f t="shared" si="15"/>
        <v>117.05871199999999</v>
      </c>
      <c r="O108" s="4">
        <f t="shared" si="13"/>
        <v>1.718257793376706</v>
      </c>
      <c r="AD108" s="12">
        <v>7.6856312835358806E-2</v>
      </c>
      <c r="AF108">
        <f t="shared" si="14"/>
        <v>0.60315000000000007</v>
      </c>
      <c r="AI108" s="11">
        <v>0.13352666228642485</v>
      </c>
      <c r="AJ108" s="18"/>
      <c r="AK108" s="18">
        <v>0.59079999999999999</v>
      </c>
      <c r="AL108" s="18">
        <v>0.61550000000000005</v>
      </c>
    </row>
    <row r="109" spans="1:38" x14ac:dyDescent="0.2">
      <c r="A109" s="10" t="s">
        <v>67</v>
      </c>
      <c r="B109">
        <f t="shared" si="16"/>
        <v>216</v>
      </c>
      <c r="C109" t="s">
        <v>19</v>
      </c>
      <c r="D109" t="s">
        <v>15</v>
      </c>
      <c r="I109" s="2">
        <f t="shared" si="12"/>
        <v>48.318344845068943</v>
      </c>
      <c r="K109">
        <f t="shared" si="15"/>
        <v>121.10928799999998</v>
      </c>
      <c r="O109" s="4">
        <f t="shared" si="13"/>
        <v>1.7976368892000019</v>
      </c>
      <c r="AD109" s="11">
        <v>9.3393614726571594E-2</v>
      </c>
      <c r="AF109">
        <f t="shared" si="14"/>
        <v>0.62204999999999999</v>
      </c>
      <c r="AI109" s="11">
        <v>0.14098430000000017</v>
      </c>
      <c r="AK109">
        <v>0.60919999999999996</v>
      </c>
      <c r="AL109">
        <v>0.63490000000000002</v>
      </c>
    </row>
    <row r="110" spans="1:38" x14ac:dyDescent="0.2">
      <c r="A110" s="10" t="s">
        <v>68</v>
      </c>
      <c r="B110">
        <f t="shared" si="16"/>
        <v>216</v>
      </c>
      <c r="C110" t="s">
        <v>86</v>
      </c>
      <c r="D110" t="s">
        <v>14</v>
      </c>
      <c r="I110" s="2">
        <f t="shared" si="12"/>
        <v>85.728618459930075</v>
      </c>
      <c r="K110">
        <f t="shared" si="15"/>
        <v>8.3535800000000009</v>
      </c>
      <c r="O110" s="4">
        <f t="shared" si="13"/>
        <v>4.9770775678000021</v>
      </c>
      <c r="AD110" s="11">
        <v>0.12319713270641097</v>
      </c>
      <c r="AF110">
        <f t="shared" si="14"/>
        <v>9.5950000000000008E-2</v>
      </c>
      <c r="AI110" s="11">
        <v>0.4396916166666669</v>
      </c>
      <c r="AK110">
        <v>9.7000000000000003E-2</v>
      </c>
      <c r="AL110">
        <v>9.4899999999999998E-2</v>
      </c>
    </row>
    <row r="111" spans="1:38" x14ac:dyDescent="0.2">
      <c r="A111" s="10" t="s">
        <v>69</v>
      </c>
      <c r="B111">
        <f t="shared" si="16"/>
        <v>216</v>
      </c>
      <c r="C111" t="s">
        <v>86</v>
      </c>
      <c r="D111" t="s">
        <v>14</v>
      </c>
      <c r="I111" s="2">
        <f t="shared" si="12"/>
        <v>54.360086384799914</v>
      </c>
      <c r="K111">
        <f t="shared" si="15"/>
        <v>64.423237999999998</v>
      </c>
      <c r="O111" s="4">
        <f t="shared" si="13"/>
        <v>2.8925589140000114</v>
      </c>
      <c r="AD111" s="11">
        <v>9.8206868819890603E-2</v>
      </c>
      <c r="AF111">
        <f t="shared" si="14"/>
        <v>0.3538</v>
      </c>
      <c r="AI111" s="11">
        <v>0.24385183333333438</v>
      </c>
      <c r="AK111">
        <v>0.35170000000000001</v>
      </c>
      <c r="AL111">
        <v>0.35589999999999999</v>
      </c>
    </row>
    <row r="112" spans="1:38" x14ac:dyDescent="0.2">
      <c r="A112" s="10" t="s">
        <v>70</v>
      </c>
      <c r="B112">
        <f t="shared" si="16"/>
        <v>216</v>
      </c>
      <c r="C112" t="s">
        <v>86</v>
      </c>
      <c r="D112" t="s">
        <v>14</v>
      </c>
      <c r="I112" s="2">
        <f t="shared" si="12"/>
        <v>50.428688768196515</v>
      </c>
      <c r="K112">
        <f t="shared" si="15"/>
        <v>49.982054000000005</v>
      </c>
      <c r="O112" s="4">
        <f t="shared" si="13"/>
        <v>1.9843681291999915</v>
      </c>
      <c r="AD112" s="11">
        <v>9.5074855385329893E-2</v>
      </c>
      <c r="AF112">
        <f t="shared" si="14"/>
        <v>0.28349999999999997</v>
      </c>
      <c r="AI112" s="11">
        <v>0.15852763333333253</v>
      </c>
      <c r="AK112">
        <v>0.28610000000000002</v>
      </c>
      <c r="AL112">
        <v>0.28089999999999998</v>
      </c>
    </row>
    <row r="113" spans="1:38" x14ac:dyDescent="0.2">
      <c r="A113" s="10" t="s">
        <v>71</v>
      </c>
      <c r="B113">
        <f t="shared" si="16"/>
        <v>216</v>
      </c>
      <c r="C113" t="s">
        <v>86</v>
      </c>
      <c r="D113" t="s">
        <v>15</v>
      </c>
      <c r="I113" s="2">
        <f t="shared" si="12"/>
        <v>33.933674297449599</v>
      </c>
      <c r="K113">
        <f t="shared" si="15"/>
        <v>137.35561999999999</v>
      </c>
      <c r="O113" s="4">
        <f t="shared" si="13"/>
        <v>0.29700000000000004</v>
      </c>
      <c r="AD113" s="11">
        <v>8.1933827190301511E-2</v>
      </c>
      <c r="AF113">
        <f t="shared" si="14"/>
        <v>0.6795500000000001</v>
      </c>
      <c r="AI113" s="11">
        <v>0</v>
      </c>
      <c r="AK113">
        <v>0.68300000000000005</v>
      </c>
      <c r="AL113">
        <v>0.67610000000000003</v>
      </c>
    </row>
    <row r="114" spans="1:38" x14ac:dyDescent="0.2">
      <c r="A114" s="10" t="s">
        <v>72</v>
      </c>
      <c r="B114">
        <f t="shared" si="16"/>
        <v>216</v>
      </c>
      <c r="C114" t="s">
        <v>86</v>
      </c>
      <c r="D114" t="s">
        <v>15</v>
      </c>
      <c r="I114" s="2">
        <f t="shared" si="12"/>
        <v>26.503683854294877</v>
      </c>
      <c r="K114">
        <f t="shared" si="15"/>
        <v>134.89005199999997</v>
      </c>
      <c r="O114" s="4">
        <f t="shared" si="13"/>
        <v>0.29700000000000004</v>
      </c>
      <c r="AD114" s="11">
        <v>7.601460147058825E-2</v>
      </c>
      <c r="AF114">
        <f t="shared" si="14"/>
        <v>0.67189999999999994</v>
      </c>
      <c r="AI114" s="11">
        <v>0</v>
      </c>
      <c r="AK114">
        <v>0.67179999999999995</v>
      </c>
      <c r="AL114">
        <v>0.67200000000000004</v>
      </c>
    </row>
    <row r="115" spans="1:38" x14ac:dyDescent="0.2">
      <c r="A115" s="10" t="s">
        <v>73</v>
      </c>
      <c r="B115">
        <f t="shared" si="16"/>
        <v>216</v>
      </c>
      <c r="C115" t="s">
        <v>86</v>
      </c>
      <c r="D115" t="s">
        <v>15</v>
      </c>
      <c r="I115" s="2">
        <f t="shared" si="12"/>
        <v>45.442307272903427</v>
      </c>
      <c r="K115">
        <f t="shared" si="15"/>
        <v>105.80955799999998</v>
      </c>
      <c r="O115" s="4">
        <f t="shared" si="13"/>
        <v>1.9486995530000195</v>
      </c>
      <c r="AD115" s="11">
        <v>9.1102371460746401E-2</v>
      </c>
      <c r="AF115">
        <f t="shared" si="14"/>
        <v>0.53594999999999993</v>
      </c>
      <c r="AI115" s="11">
        <v>0.15517658333333517</v>
      </c>
      <c r="AK115">
        <v>0.53969999999999996</v>
      </c>
      <c r="AL115">
        <v>0.53220000000000001</v>
      </c>
    </row>
    <row r="116" spans="1:38" x14ac:dyDescent="0.2">
      <c r="A116" s="10" t="s">
        <v>74</v>
      </c>
      <c r="B116">
        <f t="shared" si="16"/>
        <v>216</v>
      </c>
      <c r="C116" t="s">
        <v>20</v>
      </c>
      <c r="D116" t="s">
        <v>14</v>
      </c>
      <c r="I116" s="2">
        <f t="shared" si="12"/>
        <v>93.781480181762561</v>
      </c>
      <c r="K116">
        <f t="shared" si="15"/>
        <v>18.149809999999999</v>
      </c>
      <c r="O116" s="4">
        <f t="shared" si="13"/>
        <v>4.775530411999978</v>
      </c>
      <c r="AD116" s="11">
        <v>0.12961257921147085</v>
      </c>
      <c r="AF116">
        <f t="shared" si="14"/>
        <v>0.14015</v>
      </c>
      <c r="AI116" s="11">
        <v>0.42075633333333129</v>
      </c>
      <c r="AK116">
        <v>0.14149999999999999</v>
      </c>
      <c r="AL116">
        <v>0.13880000000000001</v>
      </c>
    </row>
    <row r="117" spans="1:38" x14ac:dyDescent="0.2">
      <c r="A117" s="10" t="s">
        <v>75</v>
      </c>
      <c r="B117">
        <f t="shared" si="16"/>
        <v>216</v>
      </c>
      <c r="C117" t="s">
        <v>20</v>
      </c>
      <c r="D117" t="s">
        <v>14</v>
      </c>
      <c r="I117" s="2">
        <f t="shared" si="12"/>
        <v>106.51968035171775</v>
      </c>
      <c r="K117">
        <f t="shared" si="15"/>
        <v>7.0107259999999965</v>
      </c>
      <c r="O117" s="4">
        <f t="shared" si="13"/>
        <v>5.5989720721999889</v>
      </c>
      <c r="AD117" s="11">
        <v>0.13976067868020181</v>
      </c>
      <c r="AF117">
        <f t="shared" si="14"/>
        <v>8.9249999999999996E-2</v>
      </c>
      <c r="AI117" s="11">
        <v>0.49811838333333225</v>
      </c>
      <c r="AK117">
        <v>9.0899999999999995E-2</v>
      </c>
      <c r="AL117">
        <v>8.7599999999999997E-2</v>
      </c>
    </row>
    <row r="118" spans="1:38" x14ac:dyDescent="0.2">
      <c r="A118" s="10" t="s">
        <v>76</v>
      </c>
      <c r="B118">
        <f t="shared" si="16"/>
        <v>216</v>
      </c>
      <c r="C118" t="s">
        <v>20</v>
      </c>
      <c r="D118" t="s">
        <v>14</v>
      </c>
      <c r="I118" s="2">
        <f t="shared" si="12"/>
        <v>76.780721945320153</v>
      </c>
      <c r="K118">
        <f t="shared" si="15"/>
        <v>7.7371879999999997</v>
      </c>
      <c r="O118" s="4">
        <f t="shared" si="13"/>
        <v>4.7951235324000088</v>
      </c>
      <c r="AD118" s="11">
        <v>0.11606864181643839</v>
      </c>
      <c r="AF118">
        <f t="shared" si="14"/>
        <v>9.3049999999999994E-2</v>
      </c>
      <c r="AI118" s="11">
        <v>0.42259710000000084</v>
      </c>
      <c r="AK118">
        <v>9.4200000000000006E-2</v>
      </c>
      <c r="AL118">
        <v>9.1899999999999996E-2</v>
      </c>
    </row>
    <row r="119" spans="1:38" x14ac:dyDescent="0.2">
      <c r="A119" s="10" t="s">
        <v>77</v>
      </c>
      <c r="B119">
        <f t="shared" si="16"/>
        <v>216</v>
      </c>
      <c r="C119" t="s">
        <v>20</v>
      </c>
      <c r="D119" t="s">
        <v>15</v>
      </c>
      <c r="I119" s="2">
        <f t="shared" si="12"/>
        <v>81.374715468972312</v>
      </c>
      <c r="K119">
        <f t="shared" si="15"/>
        <v>9.7624759999999995</v>
      </c>
      <c r="O119" s="4">
        <f t="shared" si="13"/>
        <v>5.2042189311999945</v>
      </c>
      <c r="AD119" s="11">
        <v>0.11972852332361461</v>
      </c>
      <c r="AF119">
        <f t="shared" si="14"/>
        <v>0.1011</v>
      </c>
      <c r="AI119" s="11">
        <v>0.46103146666666617</v>
      </c>
      <c r="AK119">
        <v>0.10340000000000001</v>
      </c>
      <c r="AL119">
        <v>9.8799999999999999E-2</v>
      </c>
    </row>
    <row r="120" spans="1:38" x14ac:dyDescent="0.2">
      <c r="A120" s="10" t="s">
        <v>78</v>
      </c>
      <c r="B120">
        <f t="shared" si="16"/>
        <v>216</v>
      </c>
      <c r="C120" t="s">
        <v>20</v>
      </c>
      <c r="D120" t="s">
        <v>15</v>
      </c>
      <c r="I120" s="2">
        <f t="shared" si="12"/>
        <v>200.28828100020783</v>
      </c>
      <c r="K120">
        <f t="shared" si="15"/>
        <v>5.9540539999999975</v>
      </c>
      <c r="O120" s="4">
        <f t="shared" si="13"/>
        <v>5.5901036688000172</v>
      </c>
      <c r="AD120" s="11">
        <v>0.21446299719683226</v>
      </c>
      <c r="AF120">
        <f t="shared" si="14"/>
        <v>8.7650000000000006E-2</v>
      </c>
      <c r="AI120" s="11">
        <v>0.49728520000000165</v>
      </c>
      <c r="AK120">
        <v>8.6099999999999996E-2</v>
      </c>
      <c r="AL120">
        <v>8.9200000000000002E-2</v>
      </c>
    </row>
    <row r="121" spans="1:38" x14ac:dyDescent="0.2">
      <c r="A121" s="10" t="s">
        <v>79</v>
      </c>
      <c r="B121">
        <f t="shared" si="16"/>
        <v>216</v>
      </c>
      <c r="C121" t="s">
        <v>20</v>
      </c>
      <c r="D121" t="s">
        <v>15</v>
      </c>
      <c r="I121" s="2">
        <f t="shared" si="12"/>
        <v>91.781601845776294</v>
      </c>
      <c r="K121">
        <f t="shared" si="15"/>
        <v>5.7999559999999999</v>
      </c>
      <c r="O121" s="4">
        <f t="shared" si="13"/>
        <v>4.8566576238518344</v>
      </c>
      <c r="AD121" s="11">
        <v>0.12801934280380178</v>
      </c>
      <c r="AF121">
        <f t="shared" si="14"/>
        <v>8.6150000000000004E-2</v>
      </c>
      <c r="AI121" s="11">
        <v>0.42837820592369735</v>
      </c>
      <c r="AK121">
        <v>8.5400000000000004E-2</v>
      </c>
      <c r="AL121">
        <v>8.6900000000000005E-2</v>
      </c>
    </row>
    <row r="122" spans="1:38" x14ac:dyDescent="0.2">
      <c r="A122" s="10" t="s">
        <v>84</v>
      </c>
      <c r="B122">
        <f>B92+24</f>
        <v>240</v>
      </c>
      <c r="C122" t="s">
        <v>85</v>
      </c>
      <c r="D122" t="s">
        <v>14</v>
      </c>
      <c r="I122" s="2">
        <f t="shared" si="12"/>
        <v>89.20129928609029</v>
      </c>
      <c r="K122">
        <f t="shared" si="15"/>
        <v>25.150262000000005</v>
      </c>
      <c r="O122" s="4">
        <f t="shared" si="13"/>
        <v>5.3313991199999853</v>
      </c>
      <c r="AD122" s="11">
        <v>0.12596370176458527</v>
      </c>
      <c r="AF122">
        <f t="shared" si="14"/>
        <v>0.1711</v>
      </c>
      <c r="AI122" s="11">
        <v>0.47297999999999862</v>
      </c>
      <c r="AK122">
        <v>0.17330000000000001</v>
      </c>
      <c r="AL122">
        <v>0.16889999999999999</v>
      </c>
    </row>
    <row r="123" spans="1:38" x14ac:dyDescent="0.2">
      <c r="A123" s="10" t="s">
        <v>51</v>
      </c>
      <c r="B123">
        <f t="shared" ref="B123:B151" si="18">B93+24</f>
        <v>240</v>
      </c>
      <c r="C123" t="s">
        <v>85</v>
      </c>
      <c r="D123" t="s">
        <v>14</v>
      </c>
      <c r="I123" s="2">
        <f t="shared" si="12"/>
        <v>80.951488070522458</v>
      </c>
      <c r="K123">
        <f t="shared" si="15"/>
        <v>17.929670000000002</v>
      </c>
      <c r="O123" s="4">
        <f t="shared" si="13"/>
        <v>5.5962874779999847</v>
      </c>
      <c r="AD123" s="11">
        <v>0.11939135216284957</v>
      </c>
      <c r="AF123">
        <f t="shared" si="14"/>
        <v>0.13925000000000001</v>
      </c>
      <c r="AI123" s="11">
        <v>0.49786616666666528</v>
      </c>
      <c r="AK123">
        <v>0.14050000000000001</v>
      </c>
      <c r="AL123">
        <v>0.13800000000000001</v>
      </c>
    </row>
    <row r="124" spans="1:38" x14ac:dyDescent="0.2">
      <c r="A124" s="10" t="s">
        <v>52</v>
      </c>
      <c r="B124">
        <f t="shared" si="18"/>
        <v>240</v>
      </c>
      <c r="C124" t="s">
        <v>85</v>
      </c>
      <c r="D124" t="s">
        <v>14</v>
      </c>
      <c r="I124" s="2">
        <f t="shared" si="12"/>
        <v>85.484208630903666</v>
      </c>
      <c r="K124">
        <f t="shared" si="15"/>
        <v>23.080945999999997</v>
      </c>
      <c r="O124" s="4">
        <f t="shared" si="13"/>
        <v>5.3476344131999971</v>
      </c>
      <c r="AD124" s="11">
        <v>0.12300241954261992</v>
      </c>
      <c r="AF124">
        <f t="shared" si="14"/>
        <v>0.16625000000000001</v>
      </c>
      <c r="AI124" s="11">
        <v>0.47450529999999969</v>
      </c>
      <c r="AK124">
        <v>0.16389999999999999</v>
      </c>
      <c r="AL124">
        <v>0.1686</v>
      </c>
    </row>
    <row r="125" spans="1:38" x14ac:dyDescent="0.2">
      <c r="A125" s="10" t="s">
        <v>53</v>
      </c>
      <c r="B125">
        <f t="shared" si="18"/>
        <v>240</v>
      </c>
      <c r="C125" t="s">
        <v>85</v>
      </c>
      <c r="D125" t="s">
        <v>15</v>
      </c>
      <c r="I125" s="2">
        <f t="shared" si="12"/>
        <v>91.09929845727325</v>
      </c>
      <c r="K125">
        <f>(11.007*AK125-0.65)*20</f>
        <v>23.411155999999991</v>
      </c>
      <c r="O125" s="4">
        <f t="shared" si="13"/>
        <v>5.4883379814000017</v>
      </c>
      <c r="AD125" s="11">
        <v>0.1274757744376277</v>
      </c>
      <c r="AF125">
        <f>AVERAGE(AK125:AM125)</f>
        <v>0.16539999999999999</v>
      </c>
      <c r="AI125" s="11">
        <v>0.48772435000000014</v>
      </c>
      <c r="AK125">
        <v>0.16539999999999999</v>
      </c>
    </row>
    <row r="126" spans="1:38" x14ac:dyDescent="0.2">
      <c r="A126" s="10" t="s">
        <v>54</v>
      </c>
      <c r="B126">
        <f t="shared" si="18"/>
        <v>240</v>
      </c>
      <c r="C126" t="s">
        <v>85</v>
      </c>
      <c r="D126" t="s">
        <v>15</v>
      </c>
      <c r="I126" s="2">
        <f t="shared" si="12"/>
        <v>83.596199315328832</v>
      </c>
      <c r="K126">
        <f t="shared" si="15"/>
        <v>17.643487999999998</v>
      </c>
      <c r="O126" s="4">
        <f t="shared" si="13"/>
        <v>5.8234506616000123</v>
      </c>
      <c r="AD126" s="11">
        <v>0.12149830545454532</v>
      </c>
      <c r="AF126">
        <f t="shared" si="14"/>
        <v>0.13919999999999999</v>
      </c>
      <c r="AI126" s="11">
        <v>0.51920806666666786</v>
      </c>
      <c r="AK126">
        <v>0.13919999999999999</v>
      </c>
    </row>
    <row r="127" spans="1:38" x14ac:dyDescent="0.2">
      <c r="A127" s="10" t="s">
        <v>55</v>
      </c>
      <c r="B127">
        <f t="shared" si="18"/>
        <v>240</v>
      </c>
      <c r="C127" t="s">
        <v>85</v>
      </c>
      <c r="D127" t="s">
        <v>15</v>
      </c>
      <c r="I127" s="2">
        <f t="shared" si="12"/>
        <v>88.336412649281726</v>
      </c>
      <c r="K127">
        <f t="shared" si="15"/>
        <v>20.791490000000003</v>
      </c>
      <c r="O127" s="4">
        <f t="shared" si="13"/>
        <v>5.5130661221999846</v>
      </c>
      <c r="AD127" s="11">
        <v>0.12527467541059445</v>
      </c>
      <c r="AF127">
        <f>AVERAGE(AK127:AM127)</f>
        <v>0.1535</v>
      </c>
      <c r="AI127" s="11">
        <v>0.49004754999999856</v>
      </c>
      <c r="AK127">
        <v>0.1535</v>
      </c>
    </row>
    <row r="128" spans="1:38" x14ac:dyDescent="0.2">
      <c r="A128" s="10" t="s">
        <v>56</v>
      </c>
      <c r="B128">
        <f t="shared" si="18"/>
        <v>240</v>
      </c>
      <c r="C128" t="s">
        <v>21</v>
      </c>
      <c r="D128" t="s">
        <v>14</v>
      </c>
      <c r="I128" s="2">
        <f t="shared" si="12"/>
        <v>101.26444852478973</v>
      </c>
      <c r="K128">
        <f t="shared" si="15"/>
        <v>114.086822</v>
      </c>
      <c r="O128" s="4">
        <f t="shared" si="13"/>
        <v>1.9851735252000382</v>
      </c>
      <c r="AD128" s="11">
        <v>0.1355740106580825</v>
      </c>
      <c r="AF128">
        <f t="shared" si="14"/>
        <v>0.57600000000000007</v>
      </c>
      <c r="AI128" s="11">
        <v>0.15860330000000356</v>
      </c>
      <c r="AK128">
        <v>0.57730000000000004</v>
      </c>
      <c r="AL128">
        <v>0.57469999999999999</v>
      </c>
    </row>
    <row r="129" spans="1:38" x14ac:dyDescent="0.2">
      <c r="A129" s="10" t="s">
        <v>57</v>
      </c>
      <c r="B129">
        <f t="shared" si="18"/>
        <v>240</v>
      </c>
      <c r="C129" t="s">
        <v>21</v>
      </c>
      <c r="D129" t="s">
        <v>14</v>
      </c>
      <c r="I129" s="2">
        <f t="shared" si="12"/>
        <v>36.560463288583058</v>
      </c>
      <c r="K129">
        <f t="shared" si="15"/>
        <v>156.08953399999996</v>
      </c>
      <c r="O129" s="4">
        <f t="shared" si="13"/>
        <v>0.29700000000000004</v>
      </c>
      <c r="AD129" s="11">
        <v>8.4026502419904503E-2</v>
      </c>
      <c r="AF129">
        <f t="shared" si="14"/>
        <v>0.76679999999999993</v>
      </c>
      <c r="AI129" s="11">
        <v>0</v>
      </c>
      <c r="AK129">
        <v>0.7681</v>
      </c>
      <c r="AL129">
        <v>0.76549999999999996</v>
      </c>
    </row>
    <row r="130" spans="1:38" x14ac:dyDescent="0.2">
      <c r="A130" s="10" t="s">
        <v>58</v>
      </c>
      <c r="B130">
        <f t="shared" si="18"/>
        <v>240</v>
      </c>
      <c r="C130" t="s">
        <v>21</v>
      </c>
      <c r="D130" t="s">
        <v>14</v>
      </c>
      <c r="I130" s="2">
        <f t="shared" ref="I130:I151" si="19">30*(AD130-0.0549)/0.0239</f>
        <v>86.441512540806059</v>
      </c>
      <c r="K130">
        <f t="shared" si="15"/>
        <v>147.63615799999999</v>
      </c>
      <c r="O130" s="4">
        <f t="shared" ref="O130:O151" si="20">(0.3548*AI130 + 0.0099)*30</f>
        <v>0.29700000000000004</v>
      </c>
      <c r="AD130" s="11">
        <v>0.12376507165750883</v>
      </c>
      <c r="AF130">
        <f t="shared" si="14"/>
        <v>0.72484999999999999</v>
      </c>
      <c r="AI130" s="11">
        <v>0</v>
      </c>
      <c r="AK130">
        <v>0.72970000000000002</v>
      </c>
      <c r="AL130">
        <v>0.72</v>
      </c>
    </row>
    <row r="131" spans="1:38" x14ac:dyDescent="0.2">
      <c r="A131" s="10" t="s">
        <v>59</v>
      </c>
      <c r="B131">
        <f t="shared" si="18"/>
        <v>240</v>
      </c>
      <c r="C131" t="s">
        <v>21</v>
      </c>
      <c r="D131" t="s">
        <v>15</v>
      </c>
      <c r="I131" s="2">
        <f t="shared" si="19"/>
        <v>40.211461653317038</v>
      </c>
      <c r="K131">
        <f t="shared" si="15"/>
        <v>157.80662599999999</v>
      </c>
      <c r="O131" s="4">
        <f t="shared" si="20"/>
        <v>0.29700000000000004</v>
      </c>
      <c r="AD131" s="11">
        <v>8.6935131117142572E-2</v>
      </c>
      <c r="AF131">
        <f t="shared" ref="AF131:AF151" si="21">AVERAGE(AK131:AM131)</f>
        <v>0.7753000000000001</v>
      </c>
      <c r="AI131" s="11">
        <v>0</v>
      </c>
      <c r="AK131">
        <v>0.77590000000000003</v>
      </c>
      <c r="AL131">
        <v>0.77470000000000006</v>
      </c>
    </row>
    <row r="132" spans="1:38" x14ac:dyDescent="0.2">
      <c r="A132" s="10" t="s">
        <v>60</v>
      </c>
      <c r="B132">
        <f t="shared" si="18"/>
        <v>240</v>
      </c>
      <c r="C132" t="s">
        <v>21</v>
      </c>
      <c r="D132" t="s">
        <v>15</v>
      </c>
      <c r="I132" s="2">
        <f t="shared" si="19"/>
        <v>60.186930919058376</v>
      </c>
      <c r="K132">
        <f t="shared" si="15"/>
        <v>154.87876399999999</v>
      </c>
      <c r="O132" s="4">
        <f t="shared" si="20"/>
        <v>0.29700000000000004</v>
      </c>
      <c r="AD132" s="11">
        <v>0.10284892163218318</v>
      </c>
      <c r="AF132">
        <f t="shared" si="21"/>
        <v>0.75859999999999994</v>
      </c>
      <c r="AI132" s="11">
        <v>0</v>
      </c>
      <c r="AK132">
        <v>0.76259999999999994</v>
      </c>
      <c r="AL132">
        <v>0.75460000000000005</v>
      </c>
    </row>
    <row r="133" spans="1:38" x14ac:dyDescent="0.2">
      <c r="A133" s="10" t="s">
        <v>61</v>
      </c>
      <c r="B133">
        <f t="shared" si="18"/>
        <v>240</v>
      </c>
      <c r="C133" t="s">
        <v>21</v>
      </c>
      <c r="D133" t="s">
        <v>15</v>
      </c>
      <c r="I133" s="2">
        <f t="shared" si="19"/>
        <v>42.963386358522605</v>
      </c>
      <c r="K133">
        <f t="shared" si="15"/>
        <v>140.96591599999999</v>
      </c>
      <c r="O133" s="4">
        <f t="shared" si="20"/>
        <v>1.7311319353999957</v>
      </c>
      <c r="AD133" s="11">
        <v>8.9127497798956345E-2</v>
      </c>
      <c r="AF133">
        <f t="shared" si="21"/>
        <v>0.70555000000000001</v>
      </c>
      <c r="AI133" s="11">
        <v>0.13473618333333293</v>
      </c>
      <c r="AK133">
        <v>0.69940000000000002</v>
      </c>
      <c r="AL133">
        <v>0.7117</v>
      </c>
    </row>
    <row r="134" spans="1:38" x14ac:dyDescent="0.2">
      <c r="A134" s="10" t="s">
        <v>62</v>
      </c>
      <c r="B134">
        <f t="shared" si="18"/>
        <v>240</v>
      </c>
      <c r="C134" t="s">
        <v>19</v>
      </c>
      <c r="D134" t="s">
        <v>14</v>
      </c>
      <c r="I134" s="2">
        <f t="shared" si="19"/>
        <v>45.032029507622859</v>
      </c>
      <c r="K134">
        <f t="shared" si="15"/>
        <v>117.03669799999999</v>
      </c>
      <c r="O134" s="4">
        <f t="shared" si="20"/>
        <v>1.9412102571999788</v>
      </c>
      <c r="AD134" s="11">
        <v>9.0775516841072879E-2</v>
      </c>
      <c r="AF134">
        <f t="shared" si="21"/>
        <v>0.59375</v>
      </c>
      <c r="AI134" s="11">
        <v>0.15447296666666466</v>
      </c>
      <c r="AK134">
        <v>0.5907</v>
      </c>
      <c r="AL134">
        <v>0.5968</v>
      </c>
    </row>
    <row r="135" spans="1:38" x14ac:dyDescent="0.2">
      <c r="A135" s="10" t="s">
        <v>63</v>
      </c>
      <c r="B135">
        <f t="shared" si="18"/>
        <v>240</v>
      </c>
      <c r="C135" t="s">
        <v>19</v>
      </c>
      <c r="D135" t="s">
        <v>14</v>
      </c>
      <c r="I135" s="2">
        <f t="shared" si="19"/>
        <v>26.732517701963452</v>
      </c>
      <c r="K135">
        <f t="shared" si="15"/>
        <v>144.90642199999999</v>
      </c>
      <c r="O135" s="4">
        <f t="shared" si="20"/>
        <v>0.65519596819999748</v>
      </c>
      <c r="AD135" s="11">
        <v>7.6196905769230883E-2</v>
      </c>
      <c r="AF135">
        <f t="shared" si="21"/>
        <v>0.71219999999999994</v>
      </c>
      <c r="AI135" s="11">
        <v>3.3652383333333091E-2</v>
      </c>
      <c r="AK135">
        <v>0.71730000000000005</v>
      </c>
      <c r="AL135">
        <v>0.70709999999999995</v>
      </c>
    </row>
    <row r="136" spans="1:38" x14ac:dyDescent="0.2">
      <c r="A136" s="10" t="s">
        <v>64</v>
      </c>
      <c r="B136">
        <f t="shared" si="18"/>
        <v>240</v>
      </c>
      <c r="C136" t="s">
        <v>19</v>
      </c>
      <c r="D136" t="s">
        <v>14</v>
      </c>
      <c r="I136" s="2">
        <f t="shared" si="19"/>
        <v>25.58234234907372</v>
      </c>
      <c r="K136">
        <f t="shared" si="15"/>
        <v>144.15794599999998</v>
      </c>
      <c r="O136" s="4">
        <f t="shared" si="20"/>
        <v>0.29700000000000004</v>
      </c>
      <c r="AD136" s="11">
        <v>7.5280599404762061E-2</v>
      </c>
      <c r="AF136">
        <f t="shared" si="21"/>
        <v>0.71419999999999995</v>
      </c>
      <c r="AI136" s="11">
        <v>0</v>
      </c>
      <c r="AK136">
        <v>0.71389999999999998</v>
      </c>
      <c r="AL136">
        <v>0.71450000000000002</v>
      </c>
    </row>
    <row r="137" spans="1:38" x14ac:dyDescent="0.2">
      <c r="A137" s="10" t="s">
        <v>65</v>
      </c>
      <c r="B137">
        <f t="shared" si="18"/>
        <v>240</v>
      </c>
      <c r="C137" t="s">
        <v>19</v>
      </c>
      <c r="D137" t="s">
        <v>15</v>
      </c>
      <c r="I137" s="2">
        <f t="shared" si="19"/>
        <v>33.227822615047906</v>
      </c>
      <c r="K137">
        <f t="shared" ref="K137:K151" si="22">(11.007*AK137-0.65)*20</f>
        <v>138.17013799999998</v>
      </c>
      <c r="O137" s="4">
        <f t="shared" si="20"/>
        <v>1.2063790100000125</v>
      </c>
      <c r="AD137" s="11">
        <v>8.1371498683321497E-2</v>
      </c>
      <c r="AF137">
        <f t="shared" si="21"/>
        <v>0.67930000000000001</v>
      </c>
      <c r="AI137" s="11">
        <v>8.5435833333334488E-2</v>
      </c>
      <c r="AK137">
        <v>0.68669999999999998</v>
      </c>
      <c r="AL137">
        <v>0.67190000000000005</v>
      </c>
    </row>
    <row r="138" spans="1:38" x14ac:dyDescent="0.2">
      <c r="A138" s="10" t="s">
        <v>66</v>
      </c>
      <c r="B138">
        <f t="shared" si="18"/>
        <v>240</v>
      </c>
      <c r="C138" t="s">
        <v>19</v>
      </c>
      <c r="D138" t="s">
        <v>15</v>
      </c>
      <c r="I138" s="2">
        <f t="shared" si="19"/>
        <v>16.691188721663444</v>
      </c>
      <c r="K138">
        <f t="shared" si="22"/>
        <v>141.89050399999999</v>
      </c>
      <c r="O138" s="4">
        <f t="shared" si="20"/>
        <v>0.29700000000000004</v>
      </c>
      <c r="AD138" s="11">
        <v>6.8197313681591876E-2</v>
      </c>
      <c r="AF138">
        <f t="shared" si="21"/>
        <v>0.72155000000000002</v>
      </c>
      <c r="AI138" s="11">
        <v>0</v>
      </c>
      <c r="AK138">
        <v>0.7036</v>
      </c>
      <c r="AL138">
        <v>0.73950000000000005</v>
      </c>
    </row>
    <row r="139" spans="1:38" x14ac:dyDescent="0.2">
      <c r="A139" s="10" t="s">
        <v>67</v>
      </c>
      <c r="B139">
        <f t="shared" si="18"/>
        <v>240</v>
      </c>
      <c r="C139" t="s">
        <v>19</v>
      </c>
      <c r="D139" t="s">
        <v>15</v>
      </c>
      <c r="I139" s="2">
        <f t="shared" si="19"/>
        <v>54.42829366078432</v>
      </c>
      <c r="K139">
        <f t="shared" si="22"/>
        <v>137.13548</v>
      </c>
      <c r="O139" s="4">
        <f t="shared" si="20"/>
        <v>1.2172302132000061</v>
      </c>
      <c r="AD139" s="11">
        <v>9.8261207283091512E-2</v>
      </c>
      <c r="AF139">
        <f t="shared" si="21"/>
        <v>0.6947000000000001</v>
      </c>
      <c r="AI139" s="11">
        <v>8.6455300000000568E-2</v>
      </c>
      <c r="AK139">
        <v>0.68200000000000005</v>
      </c>
      <c r="AL139">
        <v>0.70740000000000003</v>
      </c>
    </row>
    <row r="140" spans="1:38" x14ac:dyDescent="0.2">
      <c r="A140" s="10" t="s">
        <v>68</v>
      </c>
      <c r="B140">
        <f t="shared" si="18"/>
        <v>240</v>
      </c>
      <c r="C140" t="s">
        <v>86</v>
      </c>
      <c r="D140" t="s">
        <v>14</v>
      </c>
      <c r="I140" s="2">
        <f t="shared" si="19"/>
        <v>96.462557277937663</v>
      </c>
      <c r="K140">
        <f t="shared" si="22"/>
        <v>48.529130000000009</v>
      </c>
      <c r="O140" s="4">
        <f t="shared" si="20"/>
        <v>3.8728468328000165</v>
      </c>
      <c r="AD140" s="11">
        <v>0.13174850396475701</v>
      </c>
      <c r="AF140">
        <f t="shared" si="21"/>
        <v>0.28225</v>
      </c>
      <c r="AI140" s="11">
        <v>0.33594953333333488</v>
      </c>
      <c r="AK140">
        <v>0.27950000000000003</v>
      </c>
      <c r="AL140">
        <v>0.28499999999999998</v>
      </c>
    </row>
    <row r="141" spans="1:38" x14ac:dyDescent="0.2">
      <c r="A141" s="10" t="s">
        <v>69</v>
      </c>
      <c r="B141">
        <f t="shared" si="18"/>
        <v>240</v>
      </c>
      <c r="C141" t="s">
        <v>86</v>
      </c>
      <c r="D141" t="s">
        <v>14</v>
      </c>
      <c r="I141" s="2">
        <f t="shared" si="19"/>
        <v>61.547528247028907</v>
      </c>
      <c r="K141">
        <f t="shared" si="22"/>
        <v>130.33315399999998</v>
      </c>
      <c r="O141" s="4">
        <f t="shared" si="20"/>
        <v>1.9301688812000022</v>
      </c>
      <c r="AD141" s="11">
        <v>0.10393286417013303</v>
      </c>
      <c r="AF141">
        <f t="shared" si="21"/>
        <v>0.64605000000000001</v>
      </c>
      <c r="AI141" s="11">
        <v>0.15343563333333354</v>
      </c>
      <c r="AK141">
        <v>0.65110000000000001</v>
      </c>
      <c r="AL141">
        <v>0.64100000000000001</v>
      </c>
    </row>
    <row r="142" spans="1:38" x14ac:dyDescent="0.2">
      <c r="A142" s="10" t="s">
        <v>70</v>
      </c>
      <c r="B142">
        <f t="shared" si="18"/>
        <v>240</v>
      </c>
      <c r="C142" t="s">
        <v>86</v>
      </c>
      <c r="D142" t="s">
        <v>14</v>
      </c>
      <c r="I142" s="2">
        <f t="shared" si="19"/>
        <v>28.60282037559578</v>
      </c>
      <c r="K142">
        <f t="shared" si="22"/>
        <v>141.42821000000001</v>
      </c>
      <c r="O142" s="4">
        <f t="shared" si="20"/>
        <v>0.29700000000000004</v>
      </c>
      <c r="AD142" s="11">
        <v>7.7686913565891302E-2</v>
      </c>
      <c r="AF142">
        <f t="shared" si="21"/>
        <v>0.70310000000000006</v>
      </c>
      <c r="AI142" s="11">
        <v>0</v>
      </c>
      <c r="AK142">
        <v>0.70150000000000001</v>
      </c>
      <c r="AL142">
        <v>0.70469999999999999</v>
      </c>
    </row>
    <row r="143" spans="1:38" x14ac:dyDescent="0.2">
      <c r="A143" s="10" t="s">
        <v>71</v>
      </c>
      <c r="B143">
        <f t="shared" si="18"/>
        <v>240</v>
      </c>
      <c r="C143" t="s">
        <v>86</v>
      </c>
      <c r="D143" t="s">
        <v>15</v>
      </c>
      <c r="I143" s="2">
        <f t="shared" si="19"/>
        <v>29.416803234197232</v>
      </c>
      <c r="K143">
        <f t="shared" si="22"/>
        <v>141.09799999999998</v>
      </c>
      <c r="O143" s="4">
        <f t="shared" si="20"/>
        <v>0.29700000000000004</v>
      </c>
      <c r="AD143" s="11">
        <v>7.8335386576577126E-2</v>
      </c>
      <c r="AF143">
        <f t="shared" si="21"/>
        <v>0.70694999999999997</v>
      </c>
      <c r="AI143" s="11">
        <v>0</v>
      </c>
      <c r="AK143">
        <v>0.7</v>
      </c>
      <c r="AL143">
        <v>0.71389999999999998</v>
      </c>
    </row>
    <row r="144" spans="1:38" x14ac:dyDescent="0.2">
      <c r="A144" s="10" t="s">
        <v>72</v>
      </c>
      <c r="B144">
        <f t="shared" si="18"/>
        <v>240</v>
      </c>
      <c r="C144" t="s">
        <v>86</v>
      </c>
      <c r="D144" t="s">
        <v>15</v>
      </c>
      <c r="I144" s="2">
        <f t="shared" si="19"/>
        <v>26.797822201899457</v>
      </c>
      <c r="K144">
        <f t="shared" si="22"/>
        <v>141.40619599999999</v>
      </c>
      <c r="O144" s="4">
        <f t="shared" si="20"/>
        <v>0.29700000000000004</v>
      </c>
      <c r="AD144" s="11">
        <v>7.6248931687513233E-2</v>
      </c>
      <c r="AF144">
        <f t="shared" si="21"/>
        <v>0.70435000000000003</v>
      </c>
      <c r="AI144" s="11">
        <v>0</v>
      </c>
      <c r="AK144">
        <v>0.70140000000000002</v>
      </c>
      <c r="AL144">
        <v>0.70730000000000004</v>
      </c>
    </row>
    <row r="145" spans="1:38" x14ac:dyDescent="0.2">
      <c r="A145" s="10" t="s">
        <v>73</v>
      </c>
      <c r="B145">
        <f t="shared" si="18"/>
        <v>240</v>
      </c>
      <c r="C145" t="s">
        <v>86</v>
      </c>
      <c r="D145" t="s">
        <v>15</v>
      </c>
      <c r="I145" s="2">
        <f t="shared" si="19"/>
        <v>24.290413062463379</v>
      </c>
      <c r="K145">
        <f t="shared" si="22"/>
        <v>142.70502199999999</v>
      </c>
      <c r="O145" s="4">
        <f t="shared" si="20"/>
        <v>0.29700000000000004</v>
      </c>
      <c r="AD145" s="11">
        <v>7.4251362406429156E-2</v>
      </c>
      <c r="AF145">
        <f t="shared" si="21"/>
        <v>0.70205000000000006</v>
      </c>
      <c r="AI145" s="11">
        <v>0</v>
      </c>
      <c r="AK145">
        <v>0.70730000000000004</v>
      </c>
      <c r="AL145">
        <v>0.69679999999999997</v>
      </c>
    </row>
    <row r="146" spans="1:38" x14ac:dyDescent="0.2">
      <c r="A146" s="10" t="s">
        <v>74</v>
      </c>
      <c r="B146">
        <f t="shared" si="18"/>
        <v>240</v>
      </c>
      <c r="C146" t="s">
        <v>20</v>
      </c>
      <c r="D146" t="s">
        <v>14</v>
      </c>
      <c r="I146" s="2">
        <f t="shared" si="19"/>
        <v>97.587888584715813</v>
      </c>
      <c r="K146">
        <f t="shared" si="22"/>
        <v>14.055205999999998</v>
      </c>
      <c r="O146" s="4">
        <f t="shared" si="20"/>
        <v>5.6689139735999952</v>
      </c>
      <c r="AD146" s="11">
        <v>0.13264501790582361</v>
      </c>
      <c r="AF146">
        <f t="shared" si="21"/>
        <v>0.12739999999999999</v>
      </c>
      <c r="AI146" s="11">
        <v>0.50468939999999951</v>
      </c>
      <c r="AK146">
        <v>0.1229</v>
      </c>
      <c r="AL146">
        <v>0.13189999999999999</v>
      </c>
    </row>
    <row r="147" spans="1:38" x14ac:dyDescent="0.2">
      <c r="A147" s="10" t="s">
        <v>75</v>
      </c>
      <c r="B147">
        <f t="shared" si="18"/>
        <v>240</v>
      </c>
      <c r="C147" t="s">
        <v>20</v>
      </c>
      <c r="D147" t="s">
        <v>14</v>
      </c>
      <c r="I147" s="2">
        <f t="shared" si="19"/>
        <v>100.37269952237259</v>
      </c>
      <c r="K147">
        <f t="shared" si="22"/>
        <v>22.992889999999999</v>
      </c>
      <c r="O147" s="4">
        <f t="shared" si="20"/>
        <v>5.0431003484000154</v>
      </c>
      <c r="AD147" s="11">
        <v>0.1348635839528235</v>
      </c>
      <c r="AF147">
        <f t="shared" si="21"/>
        <v>0.16475000000000001</v>
      </c>
      <c r="AI147" s="11">
        <v>0.44589443333333478</v>
      </c>
      <c r="AK147">
        <v>0.16350000000000001</v>
      </c>
      <c r="AL147">
        <v>0.16600000000000001</v>
      </c>
    </row>
    <row r="148" spans="1:38" x14ac:dyDescent="0.2">
      <c r="A148" s="10" t="s">
        <v>76</v>
      </c>
      <c r="B148">
        <f t="shared" si="18"/>
        <v>240</v>
      </c>
      <c r="C148" t="s">
        <v>20</v>
      </c>
      <c r="D148" t="s">
        <v>14</v>
      </c>
      <c r="I148" s="2">
        <f t="shared" si="19"/>
        <v>99.642752310450973</v>
      </c>
      <c r="K148">
        <f t="shared" si="22"/>
        <v>16.828969999999998</v>
      </c>
      <c r="O148" s="4">
        <f t="shared" si="20"/>
        <v>5.5743643860000285</v>
      </c>
      <c r="AD148" s="11">
        <v>0.13428205934065929</v>
      </c>
      <c r="AF148">
        <f t="shared" si="21"/>
        <v>0.1353</v>
      </c>
      <c r="AI148" s="11">
        <v>0.4958065000000027</v>
      </c>
      <c r="AK148">
        <v>0.13550000000000001</v>
      </c>
      <c r="AL148">
        <v>0.1351</v>
      </c>
    </row>
    <row r="149" spans="1:38" x14ac:dyDescent="0.2">
      <c r="A149" s="10" t="s">
        <v>77</v>
      </c>
      <c r="B149">
        <f t="shared" si="18"/>
        <v>240</v>
      </c>
      <c r="C149" t="s">
        <v>20</v>
      </c>
      <c r="D149" t="s">
        <v>15</v>
      </c>
      <c r="I149" s="2">
        <f t="shared" si="19"/>
        <v>99.77099235824484</v>
      </c>
      <c r="K149">
        <f t="shared" si="22"/>
        <v>15.001808</v>
      </c>
      <c r="O149" s="4">
        <f t="shared" si="20"/>
        <v>5.9474880319999741</v>
      </c>
      <c r="AD149" s="11">
        <v>0.13438422391206839</v>
      </c>
      <c r="AF149">
        <f t="shared" si="21"/>
        <v>0.15765000000000001</v>
      </c>
      <c r="AI149" s="11">
        <v>0.53086133333333096</v>
      </c>
      <c r="AK149">
        <v>0.12720000000000001</v>
      </c>
      <c r="AL149">
        <v>0.18809999999999999</v>
      </c>
    </row>
    <row r="150" spans="1:38" x14ac:dyDescent="0.2">
      <c r="A150" s="10" t="s">
        <v>78</v>
      </c>
      <c r="B150">
        <f t="shared" si="18"/>
        <v>240</v>
      </c>
      <c r="C150" t="s">
        <v>20</v>
      </c>
      <c r="D150" t="s">
        <v>15</v>
      </c>
      <c r="I150" s="2">
        <f t="shared" si="19"/>
        <v>98.429457766829273</v>
      </c>
      <c r="K150">
        <f t="shared" si="22"/>
        <v>15.155906000000002</v>
      </c>
      <c r="O150" s="4">
        <f t="shared" si="20"/>
        <v>5.8636693703999798</v>
      </c>
      <c r="AD150" s="11">
        <v>0.13331546802090732</v>
      </c>
      <c r="AF150">
        <f t="shared" si="21"/>
        <v>0.13400000000000001</v>
      </c>
      <c r="AI150" s="11">
        <v>0.52298659999999808</v>
      </c>
      <c r="AK150">
        <v>0.12790000000000001</v>
      </c>
      <c r="AL150">
        <v>0.1401</v>
      </c>
    </row>
    <row r="151" spans="1:38" x14ac:dyDescent="0.2">
      <c r="A151" s="10" t="s">
        <v>79</v>
      </c>
      <c r="B151">
        <f t="shared" si="18"/>
        <v>240</v>
      </c>
      <c r="C151" t="s">
        <v>20</v>
      </c>
      <c r="D151" t="s">
        <v>15</v>
      </c>
      <c r="I151" s="2">
        <f t="shared" si="19"/>
        <v>99.719716572674869</v>
      </c>
      <c r="K151">
        <f t="shared" si="22"/>
        <v>24.445813999999999</v>
      </c>
      <c r="O151" s="4">
        <f t="shared" si="20"/>
        <v>5.8404892220000004</v>
      </c>
      <c r="AD151" s="13">
        <v>0.13434337420289766</v>
      </c>
      <c r="AF151">
        <f t="shared" si="21"/>
        <v>0.17055000000000001</v>
      </c>
      <c r="AI151" s="11">
        <v>0.52080883333333339</v>
      </c>
      <c r="AK151">
        <v>0.1701</v>
      </c>
      <c r="AL151">
        <v>0.17100000000000001</v>
      </c>
    </row>
    <row r="152" spans="1:38" x14ac:dyDescent="0.2">
      <c r="I152" s="2"/>
      <c r="AD152" s="14"/>
    </row>
    <row r="153" spans="1:38" x14ac:dyDescent="0.2">
      <c r="I153" s="2"/>
      <c r="AD153" s="14"/>
    </row>
    <row r="154" spans="1:38" x14ac:dyDescent="0.2">
      <c r="I154" s="2"/>
      <c r="AD154" s="14"/>
    </row>
    <row r="155" spans="1:38" x14ac:dyDescent="0.2">
      <c r="I155" s="2"/>
      <c r="AD155" s="14"/>
    </row>
    <row r="156" spans="1:38" x14ac:dyDescent="0.2">
      <c r="I156" s="2"/>
      <c r="AD156" s="14"/>
    </row>
    <row r="157" spans="1:38" x14ac:dyDescent="0.2">
      <c r="I157" s="2"/>
      <c r="AD157" s="14"/>
    </row>
    <row r="158" spans="1:38" x14ac:dyDescent="0.2">
      <c r="I158" s="2"/>
      <c r="AD158" s="14"/>
    </row>
    <row r="159" spans="1:38" x14ac:dyDescent="0.2">
      <c r="I159" s="2"/>
      <c r="AD159" s="14"/>
    </row>
    <row r="160" spans="1:38" x14ac:dyDescent="0.2">
      <c r="I160" s="2"/>
      <c r="AD160" s="14"/>
    </row>
    <row r="161" spans="9:30" x14ac:dyDescent="0.2">
      <c r="I161" s="2"/>
      <c r="AD161" s="14"/>
    </row>
    <row r="162" spans="9:30" x14ac:dyDescent="0.2">
      <c r="I162" s="2"/>
      <c r="AD162" s="14"/>
    </row>
    <row r="163" spans="9:30" x14ac:dyDescent="0.2">
      <c r="I163" s="2"/>
      <c r="AD163" s="14"/>
    </row>
    <row r="164" spans="9:30" x14ac:dyDescent="0.2">
      <c r="I164" s="2"/>
      <c r="AD164" s="14"/>
    </row>
    <row r="165" spans="9:30" x14ac:dyDescent="0.2">
      <c r="I165" s="2"/>
      <c r="AD165" s="14"/>
    </row>
    <row r="166" spans="9:30" x14ac:dyDescent="0.2">
      <c r="I166" s="2"/>
      <c r="AD166" s="14"/>
    </row>
    <row r="167" spans="9:30" x14ac:dyDescent="0.2">
      <c r="I167" s="2"/>
      <c r="AD167" s="14"/>
    </row>
    <row r="168" spans="9:30" x14ac:dyDescent="0.2">
      <c r="I168" s="2"/>
      <c r="AD168" s="14"/>
    </row>
    <row r="169" spans="9:30" x14ac:dyDescent="0.2">
      <c r="I169" s="2"/>
      <c r="AD169" s="14"/>
    </row>
    <row r="170" spans="9:30" x14ac:dyDescent="0.2">
      <c r="I170" s="2"/>
      <c r="AD170" s="14"/>
    </row>
    <row r="171" spans="9:30" x14ac:dyDescent="0.2">
      <c r="I171" s="2"/>
      <c r="AD171" s="14"/>
    </row>
    <row r="172" spans="9:30" x14ac:dyDescent="0.2">
      <c r="I172" s="2"/>
      <c r="AD172" s="14"/>
    </row>
    <row r="173" spans="9:30" x14ac:dyDescent="0.2">
      <c r="I173" s="2"/>
      <c r="AD173" s="14"/>
    </row>
    <row r="174" spans="9:30" x14ac:dyDescent="0.2">
      <c r="I174" s="2"/>
      <c r="AD174" s="14"/>
    </row>
    <row r="175" spans="9:30" x14ac:dyDescent="0.2">
      <c r="I175" s="2"/>
      <c r="AD175" s="14"/>
    </row>
    <row r="176" spans="9:30" x14ac:dyDescent="0.2">
      <c r="I176" s="2"/>
      <c r="AD176" s="14"/>
    </row>
    <row r="177" spans="9:30" x14ac:dyDescent="0.2">
      <c r="I177" s="2"/>
      <c r="AD177" s="14"/>
    </row>
    <row r="178" spans="9:30" x14ac:dyDescent="0.2">
      <c r="I178" s="2"/>
      <c r="AD178" s="14"/>
    </row>
    <row r="179" spans="9:30" x14ac:dyDescent="0.2">
      <c r="I179" s="2"/>
      <c r="AD179" s="14"/>
    </row>
    <row r="180" spans="9:30" x14ac:dyDescent="0.2">
      <c r="I180" s="2"/>
      <c r="AD180" s="14"/>
    </row>
    <row r="181" spans="9:30" x14ac:dyDescent="0.2">
      <c r="I181" s="2"/>
      <c r="AD181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2026-01-29T06:52:27Z</dcterms:created>
  <dcterms:modified xsi:type="dcterms:W3CDTF">2026-06-29T05:30:32Z</dcterms:modified>
</cp:coreProperties>
</file>