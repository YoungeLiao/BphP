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ex-fig1/"/>
    </mc:Choice>
  </mc:AlternateContent>
  <xr:revisionPtr revIDLastSave="0" documentId="13_ncr:1_{755DDCE0-8F4E-544E-A517-E85348C9944E}" xr6:coauthVersionLast="47" xr6:coauthVersionMax="47" xr10:uidLastSave="{00000000-0000-0000-0000-000000000000}"/>
  <bookViews>
    <workbookView xWindow="5120" yWindow="780" windowWidth="22160" windowHeight="15420" xr2:uid="{4E5F8DBA-8B37-F446-87D4-7F56DA87DADD}"/>
  </bookViews>
  <sheets>
    <sheet name="MultiSludge" sheetId="1" r:id="rId1"/>
    <sheet name="Sheet1" sheetId="3" r:id="rId2"/>
  </sheets>
  <definedNames>
    <definedName name="_xlnm._FilterDatabase" localSheetId="0" hidden="1">MultiSludge!$A$1:$E$21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2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<sst xmlns="http://schemas.openxmlformats.org/spreadsheetml/2006/main" count="213" uniqueCount="30">
  <si>
    <t>Samples</t>
  </si>
  <si>
    <t>Time</t>
  </si>
  <si>
    <t>Group</t>
  </si>
  <si>
    <t>Batch</t>
  </si>
  <si>
    <t>Raw</t>
  </si>
  <si>
    <t>SalineAnammox</t>
  </si>
  <si>
    <t>M1-0618</t>
  </si>
  <si>
    <t>M2-0618</t>
  </si>
  <si>
    <t>M3-0618</t>
  </si>
  <si>
    <t>5%-0618</t>
  </si>
  <si>
    <t>FAB-0618</t>
  </si>
  <si>
    <t>M1-0622</t>
  </si>
  <si>
    <t>M2</t>
  </si>
  <si>
    <t>M3</t>
  </si>
  <si>
    <t>5%</t>
  </si>
  <si>
    <t>FAB</t>
  </si>
  <si>
    <t>M1-0625</t>
  </si>
  <si>
    <t>Raw.CO2.IC</t>
  </si>
  <si>
    <t>HCO3</t>
  </si>
  <si>
    <t>M1-0912-19:00</t>
  </si>
  <si>
    <t>M1-0914-13:00</t>
  </si>
  <si>
    <t>M1-0919-9:00</t>
  </si>
  <si>
    <t>M1-0921-9:00</t>
  </si>
  <si>
    <t>PD</t>
  </si>
  <si>
    <t>Default</t>
  </si>
  <si>
    <t>MAB_25°C</t>
  </si>
  <si>
    <t>MAB_37°C</t>
  </si>
  <si>
    <t>Low</t>
  </si>
  <si>
    <t>High</t>
  </si>
  <si>
    <t>Time.raw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</si>
</sst>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B824-7051-C54A-AB4F-704CD4FF9AC5}">
  <dimension ref="A1:E93"/>
  <sheetViews>
    <sheetView tabSelected="1" zoomScale="107" workbookViewId="0">
      <pane ySplit="1" topLeftCell="A2" activePane="bottomLeft" state="frozen"/>
      <selection pane="bottomLeft" activeCell="C15" sqref="C15"/>
    </sheetView>
  </sheetViews>
  <sheetFormatPr baseColWidth="10" defaultRowHeight="16" x14ac:dyDescent="0.2"/>
  <cols>
    <col min="4" max="5" width="14.33203125" customWidth="1"/>
  </cols>
  <sheetData>
    <row r="1" spans="1:5" s="9" customFormat="1" ht="19" x14ac:dyDescent="0.25">
      <c r="A1" s="7" t="s">
        <v>0</v>
      </c>
      <c r="B1" s="8" t="s">
        <v>1</v>
      </c>
      <c r="C1" s="8" t="s">
        <v>2</v>
      </c>
      <c r="D1" s="8" t="s">
        <v>18</v>
      </c>
      <c r="E1" s="8" t="s">
        <v>17</v>
      </c>
    </row>
    <row r="2" spans="1:5" x14ac:dyDescent="0.2">
      <c r="A2" s="3" t="s">
        <v>19</v>
      </c>
      <c r="B2">
        <v>9</v>
      </c>
      <c r="C2" t="s">
        <v>25</v>
      </c>
      <c r="D2">
        <f>(E2-0.0549)/0.0239*50</f>
        <v>719.25822323570424</v>
      </c>
      <c r="E2" s="4">
        <v>0.39870543070666664</v>
      </c>
    </row>
    <row r="3" spans="1:5" x14ac:dyDescent="0.2">
      <c r="A3" s="3" t="s">
        <v>12</v>
      </c>
      <c r="B3">
        <v>9</v>
      </c>
      <c r="C3" t="s">
        <v>25</v>
      </c>
      <c r="D3">
        <f t="shared" ref="D3:D21" si="0">(E3-0.0549)/0.0239*50</f>
        <v>721.51694324417667</v>
      </c>
      <c r="E3" s="4">
        <v>0.3997850988707165</v>
      </c>
    </row>
    <row r="4" spans="1:5" x14ac:dyDescent="0.2">
      <c r="A4" s="3" t="s">
        <v>13</v>
      </c>
      <c r="B4">
        <v>9</v>
      </c>
      <c r="C4" t="s">
        <v>26</v>
      </c>
      <c r="D4">
        <f t="shared" si="0"/>
        <v>670.04989596866301</v>
      </c>
      <c r="E4" s="4">
        <v>0.37518385027302092</v>
      </c>
    </row>
    <row r="5" spans="1:5" x14ac:dyDescent="0.2">
      <c r="A5" s="3" t="s">
        <v>15</v>
      </c>
      <c r="B5">
        <v>9</v>
      </c>
      <c r="C5" t="s">
        <v>15</v>
      </c>
      <c r="D5">
        <f t="shared" si="0"/>
        <v>703.68371869504665</v>
      </c>
      <c r="E5" s="4">
        <v>0.39126081753623232</v>
      </c>
    </row>
    <row r="6" spans="1:5" x14ac:dyDescent="0.2">
      <c r="A6" s="3" t="s">
        <v>14</v>
      </c>
      <c r="B6">
        <v>9</v>
      </c>
      <c r="C6" t="s">
        <v>23</v>
      </c>
      <c r="D6">
        <f t="shared" si="0"/>
        <v>761.75938264752688</v>
      </c>
      <c r="E6" s="4">
        <v>0.41902098490551787</v>
      </c>
    </row>
    <row r="7" spans="1:5" x14ac:dyDescent="0.2">
      <c r="A7" s="3" t="s">
        <v>20</v>
      </c>
      <c r="B7">
        <v>11</v>
      </c>
      <c r="C7" t="s">
        <v>25</v>
      </c>
      <c r="D7">
        <f t="shared" si="0"/>
        <v>571.98288520143194</v>
      </c>
      <c r="E7" s="4">
        <v>0.32830781912628448</v>
      </c>
    </row>
    <row r="8" spans="1:5" x14ac:dyDescent="0.2">
      <c r="A8" s="3" t="s">
        <v>12</v>
      </c>
      <c r="B8">
        <v>11</v>
      </c>
      <c r="C8" t="s">
        <v>25</v>
      </c>
      <c r="D8">
        <f t="shared" si="0"/>
        <v>628.47307773128932</v>
      </c>
      <c r="E8" s="4">
        <v>0.35531013115555632</v>
      </c>
    </row>
    <row r="9" spans="1:5" x14ac:dyDescent="0.2">
      <c r="A9" s="3" t="s">
        <v>13</v>
      </c>
      <c r="B9">
        <v>11</v>
      </c>
      <c r="C9" t="s">
        <v>26</v>
      </c>
      <c r="D9">
        <f t="shared" si="0"/>
        <v>711.31504431511928</v>
      </c>
      <c r="E9" s="4">
        <v>0.394908591182627</v>
      </c>
    </row>
    <row r="10" spans="1:5" x14ac:dyDescent="0.2">
      <c r="A10" s="3" t="s">
        <v>15</v>
      </c>
      <c r="B10">
        <v>11</v>
      </c>
      <c r="C10" t="s">
        <v>15</v>
      </c>
      <c r="D10">
        <f t="shared" si="0"/>
        <v>588.7279238478269</v>
      </c>
      <c r="E10" s="4">
        <v>0.33631194759926131</v>
      </c>
    </row>
    <row r="11" spans="1:5" x14ac:dyDescent="0.2">
      <c r="A11" s="3" t="s">
        <v>14</v>
      </c>
      <c r="B11">
        <v>11</v>
      </c>
      <c r="C11" t="s">
        <v>23</v>
      </c>
      <c r="D11">
        <f t="shared" si="0"/>
        <v>659.69200806376455</v>
      </c>
      <c r="E11" s="4">
        <v>0.3702327798544795</v>
      </c>
    </row>
    <row r="12" spans="1:5" x14ac:dyDescent="0.2">
      <c r="A12" s="3" t="s">
        <v>21</v>
      </c>
      <c r="B12">
        <v>16</v>
      </c>
      <c r="C12" t="s">
        <v>25</v>
      </c>
      <c r="D12">
        <f t="shared" si="0"/>
        <v>647.92834954026659</v>
      </c>
      <c r="E12" s="4">
        <v>0.36460975108024746</v>
      </c>
    </row>
    <row r="13" spans="1:5" x14ac:dyDescent="0.2">
      <c r="A13" s="3" t="s">
        <v>12</v>
      </c>
      <c r="B13">
        <v>16</v>
      </c>
      <c r="C13" t="s">
        <v>25</v>
      </c>
      <c r="D13">
        <f t="shared" si="0"/>
        <v>645.68369795684362</v>
      </c>
      <c r="E13" s="4">
        <v>0.36353680762337126</v>
      </c>
    </row>
    <row r="14" spans="1:5" x14ac:dyDescent="0.2">
      <c r="A14" s="3" t="s">
        <v>13</v>
      </c>
      <c r="B14">
        <v>16</v>
      </c>
      <c r="C14" t="s">
        <v>26</v>
      </c>
      <c r="D14">
        <f t="shared" si="0"/>
        <v>835.39388564990168</v>
      </c>
      <c r="E14" s="4">
        <v>0.45421827734065306</v>
      </c>
    </row>
    <row r="15" spans="1:5" x14ac:dyDescent="0.2">
      <c r="A15" s="3" t="s">
        <v>15</v>
      </c>
      <c r="B15">
        <v>16</v>
      </c>
      <c r="C15" t="s">
        <v>15</v>
      </c>
      <c r="D15">
        <f t="shared" si="0"/>
        <v>750.29198612312302</v>
      </c>
      <c r="E15" s="4">
        <v>0.41353956936685282</v>
      </c>
    </row>
    <row r="16" spans="1:5" x14ac:dyDescent="0.2">
      <c r="A16" s="3" t="s">
        <v>14</v>
      </c>
      <c r="B16">
        <v>16</v>
      </c>
      <c r="C16" t="s">
        <v>23</v>
      </c>
      <c r="D16">
        <f t="shared" si="0"/>
        <v>737.64182396565445</v>
      </c>
      <c r="E16" s="4">
        <v>0.40749279185558285</v>
      </c>
    </row>
    <row r="17" spans="1:5" x14ac:dyDescent="0.2">
      <c r="A17" s="3" t="s">
        <v>22</v>
      </c>
      <c r="B17">
        <v>18</v>
      </c>
      <c r="C17" t="s">
        <v>25</v>
      </c>
      <c r="D17">
        <f t="shared" si="0"/>
        <v>562.18693096973607</v>
      </c>
      <c r="E17" s="4">
        <v>0.32362535300353384</v>
      </c>
    </row>
    <row r="18" spans="1:5" x14ac:dyDescent="0.2">
      <c r="A18" s="3" t="s">
        <v>12</v>
      </c>
      <c r="B18">
        <v>18</v>
      </c>
      <c r="C18" t="s">
        <v>25</v>
      </c>
      <c r="D18">
        <f t="shared" si="0"/>
        <v>680.55603736878572</v>
      </c>
      <c r="E18" s="4">
        <v>0.3802057858622796</v>
      </c>
    </row>
    <row r="19" spans="1:5" x14ac:dyDescent="0.2">
      <c r="A19" s="3" t="s">
        <v>13</v>
      </c>
      <c r="B19">
        <v>18</v>
      </c>
      <c r="C19" t="s">
        <v>26</v>
      </c>
      <c r="D19">
        <f t="shared" si="0"/>
        <v>680.55603736878572</v>
      </c>
      <c r="E19" s="4">
        <v>0.3802057858622796</v>
      </c>
    </row>
    <row r="20" spans="1:5" x14ac:dyDescent="0.2">
      <c r="A20" s="3" t="s">
        <v>15</v>
      </c>
      <c r="B20">
        <v>18</v>
      </c>
      <c r="C20" t="s">
        <v>15</v>
      </c>
      <c r="D20">
        <f t="shared" si="0"/>
        <v>1297.8735018221093</v>
      </c>
      <c r="E20" s="4">
        <v>0.67528353387096818</v>
      </c>
    </row>
    <row r="21" spans="1:5" x14ac:dyDescent="0.2">
      <c r="A21" s="3" t="s">
        <v>14</v>
      </c>
      <c r="B21">
        <v>18</v>
      </c>
      <c r="C21" t="s">
        <v>23</v>
      </c>
      <c r="D21">
        <f t="shared" si="0"/>
        <v>820.86439648383748</v>
      </c>
      <c r="E21" s="4">
        <v>0.44727318151927437</v>
      </c>
    </row>
    <row r="23" spans="1:5" x14ac:dyDescent="0.2">
      <c r="B23" s="6"/>
    </row>
    <row r="24" spans="1:5" x14ac:dyDescent="0.2">
      <c r="B24" s="5"/>
    </row>
    <row r="25" spans="1:5" x14ac:dyDescent="0.2">
      <c r="B25" s="5"/>
    </row>
    <row r="26" spans="1:5" x14ac:dyDescent="0.2">
      <c r="B26" s="5"/>
    </row>
    <row r="27" spans="1:5" x14ac:dyDescent="0.2">
      <c r="B27" s="5"/>
    </row>
    <row r="28" spans="1:5" x14ac:dyDescent="0.2">
      <c r="B28" s="5"/>
    </row>
    <row r="29" spans="1:5" x14ac:dyDescent="0.2">
      <c r="B29" s="5"/>
    </row>
    <row r="30" spans="1:5" x14ac:dyDescent="0.2">
      <c r="B30" s="5"/>
    </row>
    <row r="31" spans="1:5" x14ac:dyDescent="0.2">
      <c r="B31" s="5"/>
    </row>
    <row r="32" spans="1:5" x14ac:dyDescent="0.2">
      <c r="B32" s="5"/>
    </row>
    <row r="33" spans="2:2" x14ac:dyDescent="0.2">
      <c r="B33" s="5"/>
    </row>
    <row r="34" spans="2:2" x14ac:dyDescent="0.2">
      <c r="B34" s="5"/>
    </row>
    <row r="35" spans="2:2" x14ac:dyDescent="0.2">
      <c r="B35" s="5"/>
    </row>
    <row r="36" spans="2:2" x14ac:dyDescent="0.2">
      <c r="B36" s="5"/>
    </row>
    <row r="37" spans="2:2" x14ac:dyDescent="0.2">
      <c r="B37" s="5"/>
    </row>
    <row r="38" spans="2:2" x14ac:dyDescent="0.2">
      <c r="B38" s="5"/>
    </row>
    <row r="39" spans="2:2" x14ac:dyDescent="0.2">
      <c r="B39" s="5"/>
    </row>
    <row r="40" spans="2:2" x14ac:dyDescent="0.2">
      <c r="B40" s="5"/>
    </row>
    <row r="41" spans="2:2" x14ac:dyDescent="0.2">
      <c r="B41" s="5"/>
    </row>
    <row r="42" spans="2:2" x14ac:dyDescent="0.2">
      <c r="B42" s="5"/>
    </row>
    <row r="43" spans="2:2" x14ac:dyDescent="0.2">
      <c r="B43" s="5"/>
    </row>
    <row r="44" spans="2:2" x14ac:dyDescent="0.2">
      <c r="B44" s="5"/>
    </row>
    <row r="45" spans="2:2" x14ac:dyDescent="0.2">
      <c r="B45" s="5"/>
    </row>
    <row r="46" spans="2:2" x14ac:dyDescent="0.2">
      <c r="B46" s="5"/>
    </row>
    <row r="47" spans="2:2" x14ac:dyDescent="0.2">
      <c r="B47" s="5"/>
    </row>
    <row r="48" spans="2:2" x14ac:dyDescent="0.2">
      <c r="B48" s="5"/>
    </row>
    <row r="49" spans="2:2" x14ac:dyDescent="0.2">
      <c r="B49" s="5"/>
    </row>
    <row r="50" spans="2:2" x14ac:dyDescent="0.2">
      <c r="B50" s="5"/>
    </row>
    <row r="51" spans="2:2" x14ac:dyDescent="0.2">
      <c r="B51" s="5"/>
    </row>
    <row r="52" spans="2:2" x14ac:dyDescent="0.2">
      <c r="B52" s="5"/>
    </row>
    <row r="53" spans="2:2" x14ac:dyDescent="0.2">
      <c r="B53" s="5"/>
    </row>
    <row r="54" spans="2:2" x14ac:dyDescent="0.2">
      <c r="B54" s="5"/>
    </row>
    <row r="55" spans="2:2" x14ac:dyDescent="0.2">
      <c r="B55" s="5"/>
    </row>
    <row r="56" spans="2:2" x14ac:dyDescent="0.2">
      <c r="B56" s="5"/>
    </row>
    <row r="57" spans="2:2" x14ac:dyDescent="0.2">
      <c r="B57" s="5"/>
    </row>
    <row r="58" spans="2:2" x14ac:dyDescent="0.2">
      <c r="B58" s="5"/>
    </row>
    <row r="59" spans="2:2" x14ac:dyDescent="0.2">
      <c r="B59" s="5"/>
    </row>
    <row r="60" spans="2:2" x14ac:dyDescent="0.2">
      <c r="B60" s="5"/>
    </row>
    <row r="61" spans="2:2" x14ac:dyDescent="0.2">
      <c r="B61" s="5"/>
    </row>
    <row r="62" spans="2:2" x14ac:dyDescent="0.2">
      <c r="B62" s="5"/>
    </row>
    <row r="63" spans="2:2" x14ac:dyDescent="0.2">
      <c r="B63" s="5"/>
    </row>
    <row r="64" spans="2:2" x14ac:dyDescent="0.2">
      <c r="B64" s="5"/>
    </row>
    <row r="65" spans="2:2" x14ac:dyDescent="0.2">
      <c r="B65" s="5"/>
    </row>
    <row r="66" spans="2:2" x14ac:dyDescent="0.2">
      <c r="B66" s="5"/>
    </row>
    <row r="67" spans="2:2" x14ac:dyDescent="0.2">
      <c r="B67" s="5"/>
    </row>
    <row r="68" spans="2:2" x14ac:dyDescent="0.2">
      <c r="B68" s="5"/>
    </row>
    <row r="69" spans="2:2" x14ac:dyDescent="0.2">
      <c r="B69" s="5"/>
    </row>
    <row r="70" spans="2:2" x14ac:dyDescent="0.2">
      <c r="B70" s="5"/>
    </row>
    <row r="71" spans="2:2" x14ac:dyDescent="0.2">
      <c r="B71" s="5"/>
    </row>
    <row r="72" spans="2:2" x14ac:dyDescent="0.2">
      <c r="B72" s="5"/>
    </row>
    <row r="73" spans="2:2" x14ac:dyDescent="0.2">
      <c r="B73" s="5"/>
    </row>
    <row r="74" spans="2:2" x14ac:dyDescent="0.2">
      <c r="B74" s="5"/>
    </row>
    <row r="75" spans="2:2" x14ac:dyDescent="0.2">
      <c r="B75" s="5"/>
    </row>
    <row r="76" spans="2:2" x14ac:dyDescent="0.2">
      <c r="B76" s="5"/>
    </row>
    <row r="77" spans="2:2" x14ac:dyDescent="0.2">
      <c r="B77" s="5"/>
    </row>
    <row r="78" spans="2:2" x14ac:dyDescent="0.2">
      <c r="B78" s="5"/>
    </row>
    <row r="79" spans="2:2" x14ac:dyDescent="0.2">
      <c r="B79" s="5"/>
    </row>
    <row r="80" spans="2:2" x14ac:dyDescent="0.2">
      <c r="B80" s="5"/>
    </row>
    <row r="81" spans="2:2" x14ac:dyDescent="0.2">
      <c r="B81" s="5"/>
    </row>
    <row r="82" spans="2:2" x14ac:dyDescent="0.2">
      <c r="B82" s="5"/>
    </row>
    <row r="83" spans="2:2" x14ac:dyDescent="0.2">
      <c r="B83" s="5"/>
    </row>
    <row r="84" spans="2:2" x14ac:dyDescent="0.2">
      <c r="B84" s="5"/>
    </row>
    <row r="85" spans="2:2" x14ac:dyDescent="0.2">
      <c r="B85" s="5"/>
    </row>
    <row r="86" spans="2:2" x14ac:dyDescent="0.2">
      <c r="B86" s="5"/>
    </row>
    <row r="87" spans="2:2" x14ac:dyDescent="0.2">
      <c r="B87" s="5"/>
    </row>
    <row r="88" spans="2:2" x14ac:dyDescent="0.2">
      <c r="B88" s="5"/>
    </row>
    <row r="89" spans="2:2" x14ac:dyDescent="0.2">
      <c r="B89" s="5"/>
    </row>
    <row r="90" spans="2:2" x14ac:dyDescent="0.2">
      <c r="B90" s="5"/>
    </row>
    <row r="91" spans="2:2" x14ac:dyDescent="0.2">
      <c r="B91" s="5"/>
    </row>
    <row r="92" spans="2:2" x14ac:dyDescent="0.2">
      <c r="B92" s="5"/>
    </row>
    <row r="93" spans="2:2" x14ac:dyDescent="0.2">
      <c r="B93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B5CCA-3B76-D240-AFF1-AEDD96E0CB05}">
  <dimension ref="A1:I41"/>
  <sheetViews>
    <sheetView workbookViewId="0">
      <selection activeCell="C41" sqref="C41"/>
    </sheetView>
  </sheetViews>
  <sheetFormatPr baseColWidth="10" defaultRowHeight="16" x14ac:dyDescent="0.2"/>
  <sheetData>
    <row r="1" spans="1:9" x14ac:dyDescent="0.2">
      <c r="A1" s="2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18</v>
      </c>
      <c r="G1" s="1" t="s">
        <v>17</v>
      </c>
      <c r="H1" s="1" t="s">
        <v>4</v>
      </c>
      <c r="I1" s="1"/>
    </row>
    <row r="2" spans="1:9" x14ac:dyDescent="0.2">
      <c r="A2" s="3" t="s">
        <v>6</v>
      </c>
      <c r="B2" s="1">
        <v>0</v>
      </c>
      <c r="C2" s="1">
        <f>B2</f>
        <v>0</v>
      </c>
      <c r="D2" t="s">
        <v>25</v>
      </c>
      <c r="E2" t="s">
        <v>27</v>
      </c>
      <c r="F2">
        <f t="shared" ref="F2:F6" si="0">(G2-0.0549)/0.0239*80</f>
        <v>485.69037656903765</v>
      </c>
      <c r="G2" s="4">
        <v>0.2</v>
      </c>
      <c r="H2" s="1" t="s">
        <v>24</v>
      </c>
    </row>
    <row r="3" spans="1:9" x14ac:dyDescent="0.2">
      <c r="A3" s="3" t="s">
        <v>7</v>
      </c>
      <c r="B3" s="1">
        <v>0</v>
      </c>
      <c r="C3" s="1">
        <f t="shared" ref="C3:C21" si="1">B3</f>
        <v>0</v>
      </c>
      <c r="D3" t="s">
        <v>25</v>
      </c>
      <c r="E3" t="s">
        <v>27</v>
      </c>
      <c r="F3">
        <f t="shared" si="0"/>
        <v>485.69037656903765</v>
      </c>
      <c r="G3" s="4">
        <v>0.2</v>
      </c>
      <c r="H3" s="1" t="s">
        <v>24</v>
      </c>
    </row>
    <row r="4" spans="1:9" x14ac:dyDescent="0.2">
      <c r="A4" s="3" t="s">
        <v>8</v>
      </c>
      <c r="B4" s="1">
        <v>0</v>
      </c>
      <c r="C4" s="1">
        <f t="shared" si="1"/>
        <v>0</v>
      </c>
      <c r="D4" t="s">
        <v>26</v>
      </c>
      <c r="E4" t="s">
        <v>27</v>
      </c>
      <c r="F4">
        <f>(G4-0.0549)/0.0239*80</f>
        <v>485.69037656903765</v>
      </c>
      <c r="G4" s="4">
        <v>0.2</v>
      </c>
      <c r="H4" s="1" t="s">
        <v>24</v>
      </c>
    </row>
    <row r="5" spans="1:9" x14ac:dyDescent="0.2">
      <c r="A5" s="3" t="s">
        <v>9</v>
      </c>
      <c r="B5" s="1">
        <v>0</v>
      </c>
      <c r="C5" s="1">
        <f t="shared" si="1"/>
        <v>0</v>
      </c>
      <c r="D5" t="s">
        <v>23</v>
      </c>
      <c r="E5" t="s">
        <v>27</v>
      </c>
      <c r="F5">
        <f t="shared" si="0"/>
        <v>485.69037656903765</v>
      </c>
      <c r="G5" s="4">
        <v>0.2</v>
      </c>
      <c r="H5" s="1" t="s">
        <v>24</v>
      </c>
    </row>
    <row r="6" spans="1:9" x14ac:dyDescent="0.2">
      <c r="A6" s="3" t="s">
        <v>10</v>
      </c>
      <c r="B6" s="1">
        <v>0</v>
      </c>
      <c r="C6" s="1">
        <f t="shared" si="1"/>
        <v>0</v>
      </c>
      <c r="D6" t="s">
        <v>15</v>
      </c>
      <c r="E6" t="s">
        <v>27</v>
      </c>
      <c r="F6">
        <f t="shared" si="0"/>
        <v>485.69037656903765</v>
      </c>
      <c r="G6" s="4">
        <v>0.2</v>
      </c>
      <c r="H6" s="1" t="s">
        <v>24</v>
      </c>
    </row>
    <row r="7" spans="1:9" x14ac:dyDescent="0.2">
      <c r="A7" s="3" t="s">
        <v>6</v>
      </c>
      <c r="B7">
        <v>1</v>
      </c>
      <c r="C7" s="1">
        <f t="shared" si="1"/>
        <v>1</v>
      </c>
      <c r="D7" t="s">
        <v>25</v>
      </c>
      <c r="E7" t="s">
        <v>27</v>
      </c>
      <c r="F7">
        <f>(G7-0.0549)/0.0239*80</f>
        <v>405.39810900348164</v>
      </c>
      <c r="G7" s="4">
        <v>0.17601268506479015</v>
      </c>
      <c r="H7" t="s">
        <v>5</v>
      </c>
    </row>
    <row r="8" spans="1:9" x14ac:dyDescent="0.2">
      <c r="A8" s="3" t="s">
        <v>7</v>
      </c>
      <c r="B8">
        <v>1</v>
      </c>
      <c r="C8" s="1">
        <f t="shared" si="1"/>
        <v>1</v>
      </c>
      <c r="D8" t="s">
        <v>25</v>
      </c>
      <c r="E8" t="s">
        <v>27</v>
      </c>
      <c r="F8">
        <f t="shared" ref="F8:F41" si="2">(G8-0.0549)/0.0239*80</f>
        <v>394.93314486034166</v>
      </c>
      <c r="G8" s="4">
        <v>0.17288627702702708</v>
      </c>
      <c r="H8" t="s">
        <v>5</v>
      </c>
    </row>
    <row r="9" spans="1:9" x14ac:dyDescent="0.2">
      <c r="A9" s="3" t="s">
        <v>8</v>
      </c>
      <c r="B9" s="1">
        <v>1</v>
      </c>
      <c r="C9" s="1">
        <f t="shared" si="1"/>
        <v>1</v>
      </c>
      <c r="D9" t="s">
        <v>26</v>
      </c>
      <c r="E9" t="s">
        <v>27</v>
      </c>
      <c r="F9">
        <f t="shared" si="2"/>
        <v>533.88391884979546</v>
      </c>
      <c r="G9" s="4">
        <v>0.21439782075637639</v>
      </c>
      <c r="H9" t="s">
        <v>5</v>
      </c>
    </row>
    <row r="10" spans="1:9" x14ac:dyDescent="0.2">
      <c r="A10" s="3" t="s">
        <v>9</v>
      </c>
      <c r="B10">
        <v>1</v>
      </c>
      <c r="C10" s="1">
        <f t="shared" si="1"/>
        <v>1</v>
      </c>
      <c r="D10" t="s">
        <v>23</v>
      </c>
      <c r="E10" t="s">
        <v>27</v>
      </c>
      <c r="F10">
        <f t="shared" si="2"/>
        <v>684.17705604200273</v>
      </c>
      <c r="G10" s="4">
        <v>0.25929789549254834</v>
      </c>
      <c r="H10" t="s">
        <v>5</v>
      </c>
    </row>
    <row r="11" spans="1:9" x14ac:dyDescent="0.2">
      <c r="A11" s="3" t="s">
        <v>10</v>
      </c>
      <c r="B11">
        <v>1</v>
      </c>
      <c r="C11" s="1">
        <f t="shared" si="1"/>
        <v>1</v>
      </c>
      <c r="D11" t="s">
        <v>15</v>
      </c>
      <c r="E11" t="s">
        <v>27</v>
      </c>
      <c r="F11">
        <f t="shared" si="2"/>
        <v>733.52227839911723</v>
      </c>
      <c r="G11" s="4">
        <v>0.27403978067173629</v>
      </c>
      <c r="H11" t="s">
        <v>5</v>
      </c>
    </row>
    <row r="12" spans="1:9" x14ac:dyDescent="0.2">
      <c r="A12" s="3" t="s">
        <v>11</v>
      </c>
      <c r="B12">
        <v>4</v>
      </c>
      <c r="C12" s="1">
        <f t="shared" si="1"/>
        <v>4</v>
      </c>
      <c r="D12" t="s">
        <v>25</v>
      </c>
      <c r="E12" t="s">
        <v>27</v>
      </c>
      <c r="F12">
        <f t="shared" si="2"/>
        <v>341.90829169366407</v>
      </c>
      <c r="G12" s="4">
        <v>0.15704510214348216</v>
      </c>
      <c r="H12" t="s">
        <v>5</v>
      </c>
    </row>
    <row r="13" spans="1:9" x14ac:dyDescent="0.2">
      <c r="A13" s="3" t="s">
        <v>12</v>
      </c>
      <c r="B13">
        <v>4</v>
      </c>
      <c r="C13" s="1">
        <f t="shared" si="1"/>
        <v>4</v>
      </c>
      <c r="D13" t="s">
        <v>25</v>
      </c>
      <c r="E13" t="s">
        <v>27</v>
      </c>
      <c r="F13">
        <f t="shared" si="2"/>
        <v>466.68863601333732</v>
      </c>
      <c r="G13" s="4">
        <v>0.19432323000898455</v>
      </c>
      <c r="H13" t="s">
        <v>5</v>
      </c>
    </row>
    <row r="14" spans="1:9" x14ac:dyDescent="0.2">
      <c r="A14" s="3" t="s">
        <v>13</v>
      </c>
      <c r="B14">
        <v>4</v>
      </c>
      <c r="C14" s="1">
        <f t="shared" si="1"/>
        <v>4</v>
      </c>
      <c r="D14" t="s">
        <v>26</v>
      </c>
      <c r="E14" t="s">
        <v>27</v>
      </c>
      <c r="F14">
        <f>(G14-0.0549)/0.0239*80</f>
        <v>437.71166113250388</v>
      </c>
      <c r="G14" s="4">
        <v>0.18566635876333554</v>
      </c>
      <c r="H14" t="s">
        <v>5</v>
      </c>
    </row>
    <row r="15" spans="1:9" x14ac:dyDescent="0.2">
      <c r="A15" s="3" t="s">
        <v>14</v>
      </c>
      <c r="B15">
        <v>4</v>
      </c>
      <c r="C15" s="1">
        <f t="shared" si="1"/>
        <v>4</v>
      </c>
      <c r="D15" t="s">
        <v>23</v>
      </c>
      <c r="E15" t="s">
        <v>27</v>
      </c>
      <c r="F15">
        <f t="shared" si="2"/>
        <v>682.90481694938921</v>
      </c>
      <c r="G15" s="4">
        <v>0.25891781406363001</v>
      </c>
      <c r="H15" t="s">
        <v>5</v>
      </c>
    </row>
    <row r="16" spans="1:9" x14ac:dyDescent="0.2">
      <c r="A16" s="3" t="s">
        <v>15</v>
      </c>
      <c r="B16">
        <v>4</v>
      </c>
      <c r="C16" s="1">
        <f t="shared" si="1"/>
        <v>4</v>
      </c>
      <c r="D16" t="s">
        <v>15</v>
      </c>
      <c r="E16" t="s">
        <v>27</v>
      </c>
      <c r="F16">
        <f t="shared" si="2"/>
        <v>739.05328387867723</v>
      </c>
      <c r="G16" s="4">
        <v>0.27569216855875484</v>
      </c>
      <c r="H16" t="s">
        <v>5</v>
      </c>
    </row>
    <row r="17" spans="1:8" x14ac:dyDescent="0.2">
      <c r="A17" s="3" t="s">
        <v>16</v>
      </c>
      <c r="B17">
        <v>7</v>
      </c>
      <c r="C17" s="1">
        <f t="shared" si="1"/>
        <v>7</v>
      </c>
      <c r="D17" t="s">
        <v>25</v>
      </c>
      <c r="E17" t="s">
        <v>27</v>
      </c>
      <c r="F17">
        <f t="shared" si="2"/>
        <v>424.4640949484052</v>
      </c>
      <c r="G17" s="4">
        <v>0.18170864836583608</v>
      </c>
      <c r="H17" t="s">
        <v>5</v>
      </c>
    </row>
    <row r="18" spans="1:8" x14ac:dyDescent="0.2">
      <c r="A18" s="3" t="s">
        <v>12</v>
      </c>
      <c r="B18">
        <v>7</v>
      </c>
      <c r="C18" s="1">
        <f t="shared" si="1"/>
        <v>7</v>
      </c>
      <c r="D18" t="s">
        <v>25</v>
      </c>
      <c r="E18" t="s">
        <v>27</v>
      </c>
      <c r="F18">
        <f t="shared" si="2"/>
        <v>325.59644478587956</v>
      </c>
      <c r="G18" s="4">
        <v>0.15217193787978153</v>
      </c>
      <c r="H18" t="s">
        <v>5</v>
      </c>
    </row>
    <row r="19" spans="1:8" x14ac:dyDescent="0.2">
      <c r="A19" s="3" t="s">
        <v>13</v>
      </c>
      <c r="B19">
        <v>7</v>
      </c>
      <c r="C19" s="1">
        <f t="shared" si="1"/>
        <v>7</v>
      </c>
      <c r="D19" t="s">
        <v>26</v>
      </c>
      <c r="E19" t="s">
        <v>27</v>
      </c>
      <c r="F19">
        <f t="shared" si="2"/>
        <v>424.4640949484052</v>
      </c>
      <c r="G19" s="4">
        <v>0.18170864836583608</v>
      </c>
      <c r="H19" t="s">
        <v>5</v>
      </c>
    </row>
    <row r="20" spans="1:8" x14ac:dyDescent="0.2">
      <c r="A20" s="3" t="s">
        <v>14</v>
      </c>
      <c r="B20">
        <v>7</v>
      </c>
      <c r="C20" s="1">
        <f t="shared" si="1"/>
        <v>7</v>
      </c>
      <c r="D20" t="s">
        <v>23</v>
      </c>
      <c r="E20" t="s">
        <v>27</v>
      </c>
      <c r="F20">
        <f t="shared" si="2"/>
        <v>593.80750011104305</v>
      </c>
      <c r="G20" s="4">
        <v>0.23229999065817414</v>
      </c>
      <c r="H20" t="s">
        <v>5</v>
      </c>
    </row>
    <row r="21" spans="1:8" x14ac:dyDescent="0.2">
      <c r="A21" s="3" t="s">
        <v>15</v>
      </c>
      <c r="B21">
        <v>7</v>
      </c>
      <c r="C21" s="1">
        <f t="shared" si="1"/>
        <v>7</v>
      </c>
      <c r="D21" t="s">
        <v>15</v>
      </c>
      <c r="E21" t="s">
        <v>27</v>
      </c>
      <c r="F21">
        <f t="shared" si="2"/>
        <v>1034.9908530154139</v>
      </c>
      <c r="G21" s="4">
        <v>0.36410351733835494</v>
      </c>
      <c r="H21" t="s">
        <v>5</v>
      </c>
    </row>
    <row r="22" spans="1:8" x14ac:dyDescent="0.2">
      <c r="A22" s="3" t="s">
        <v>19</v>
      </c>
      <c r="B22">
        <v>9</v>
      </c>
      <c r="C22" s="1">
        <f>B22-9</f>
        <v>0</v>
      </c>
      <c r="D22" t="s">
        <v>25</v>
      </c>
      <c r="E22" t="s">
        <v>28</v>
      </c>
      <c r="F22">
        <f t="shared" si="2"/>
        <v>1150.8131571771266</v>
      </c>
      <c r="G22" s="4">
        <v>0.39870543070666664</v>
      </c>
      <c r="H22" t="s">
        <v>5</v>
      </c>
    </row>
    <row r="23" spans="1:8" x14ac:dyDescent="0.2">
      <c r="A23" s="3" t="s">
        <v>12</v>
      </c>
      <c r="B23">
        <v>9</v>
      </c>
      <c r="C23" s="1">
        <f t="shared" ref="C23:C41" si="3">B23-9</f>
        <v>0</v>
      </c>
      <c r="D23" t="s">
        <v>25</v>
      </c>
      <c r="E23" t="s">
        <v>28</v>
      </c>
      <c r="F23">
        <f t="shared" si="2"/>
        <v>1154.4271091906828</v>
      </c>
      <c r="G23" s="4">
        <v>0.3997850988707165</v>
      </c>
      <c r="H23" t="s">
        <v>5</v>
      </c>
    </row>
    <row r="24" spans="1:8" x14ac:dyDescent="0.2">
      <c r="A24" s="3" t="s">
        <v>13</v>
      </c>
      <c r="B24">
        <v>9</v>
      </c>
      <c r="C24" s="1">
        <f t="shared" si="3"/>
        <v>0</v>
      </c>
      <c r="D24" t="s">
        <v>26</v>
      </c>
      <c r="E24" t="s">
        <v>28</v>
      </c>
      <c r="F24">
        <f t="shared" si="2"/>
        <v>1072.0798335498607</v>
      </c>
      <c r="G24" s="4">
        <v>0.37518385027302092</v>
      </c>
      <c r="H24" t="s">
        <v>5</v>
      </c>
    </row>
    <row r="25" spans="1:8" x14ac:dyDescent="0.2">
      <c r="A25" s="3" t="s">
        <v>15</v>
      </c>
      <c r="B25">
        <v>9</v>
      </c>
      <c r="C25" s="1">
        <f t="shared" si="3"/>
        <v>0</v>
      </c>
      <c r="D25" t="s">
        <v>15</v>
      </c>
      <c r="E25" t="s">
        <v>28</v>
      </c>
      <c r="F25">
        <f t="shared" si="2"/>
        <v>1125.8939499120747</v>
      </c>
      <c r="G25" s="4">
        <v>0.39126081753623232</v>
      </c>
      <c r="H25" t="s">
        <v>5</v>
      </c>
    </row>
    <row r="26" spans="1:8" x14ac:dyDescent="0.2">
      <c r="A26" s="3" t="s">
        <v>14</v>
      </c>
      <c r="B26">
        <v>9</v>
      </c>
      <c r="C26" s="1">
        <f t="shared" si="3"/>
        <v>0</v>
      </c>
      <c r="D26" t="s">
        <v>23</v>
      </c>
      <c r="E26" t="s">
        <v>28</v>
      </c>
      <c r="F26">
        <f t="shared" si="2"/>
        <v>1218.815012236043</v>
      </c>
      <c r="G26" s="4">
        <v>0.41902098490551787</v>
      </c>
      <c r="H26" t="s">
        <v>5</v>
      </c>
    </row>
    <row r="27" spans="1:8" x14ac:dyDescent="0.2">
      <c r="A27" s="3" t="s">
        <v>20</v>
      </c>
      <c r="B27">
        <v>11</v>
      </c>
      <c r="C27" s="1">
        <f t="shared" si="3"/>
        <v>2</v>
      </c>
      <c r="D27" t="s">
        <v>25</v>
      </c>
      <c r="E27" t="s">
        <v>28</v>
      </c>
      <c r="F27">
        <f t="shared" si="2"/>
        <v>915.17261632229111</v>
      </c>
      <c r="G27" s="4">
        <v>0.32830781912628448</v>
      </c>
      <c r="H27" t="s">
        <v>5</v>
      </c>
    </row>
    <row r="28" spans="1:8" x14ac:dyDescent="0.2">
      <c r="A28" s="3" t="s">
        <v>12</v>
      </c>
      <c r="B28">
        <v>11</v>
      </c>
      <c r="C28" s="1">
        <f t="shared" si="3"/>
        <v>2</v>
      </c>
      <c r="D28" t="s">
        <v>25</v>
      </c>
      <c r="E28" t="s">
        <v>28</v>
      </c>
      <c r="F28">
        <f t="shared" si="2"/>
        <v>1005.556924370063</v>
      </c>
      <c r="G28" s="4">
        <v>0.35531013115555632</v>
      </c>
      <c r="H28" t="s">
        <v>5</v>
      </c>
    </row>
    <row r="29" spans="1:8" x14ac:dyDescent="0.2">
      <c r="A29" s="3" t="s">
        <v>13</v>
      </c>
      <c r="B29">
        <v>11</v>
      </c>
      <c r="C29" s="1">
        <f t="shared" si="3"/>
        <v>2</v>
      </c>
      <c r="D29" t="s">
        <v>26</v>
      </c>
      <c r="E29" t="s">
        <v>28</v>
      </c>
      <c r="F29">
        <f t="shared" si="2"/>
        <v>1138.1040709041908</v>
      </c>
      <c r="G29" s="4">
        <v>0.394908591182627</v>
      </c>
      <c r="H29" t="s">
        <v>5</v>
      </c>
    </row>
    <row r="30" spans="1:8" x14ac:dyDescent="0.2">
      <c r="A30" s="3" t="s">
        <v>15</v>
      </c>
      <c r="B30">
        <v>11</v>
      </c>
      <c r="C30" s="1">
        <f t="shared" si="3"/>
        <v>2</v>
      </c>
      <c r="D30" t="s">
        <v>15</v>
      </c>
      <c r="E30" t="s">
        <v>28</v>
      </c>
      <c r="F30">
        <f t="shared" si="2"/>
        <v>941.96467815652318</v>
      </c>
      <c r="G30" s="4">
        <v>0.33631194759926131</v>
      </c>
      <c r="H30" t="s">
        <v>5</v>
      </c>
    </row>
    <row r="31" spans="1:8" x14ac:dyDescent="0.2">
      <c r="A31" s="3" t="s">
        <v>14</v>
      </c>
      <c r="B31">
        <v>11</v>
      </c>
      <c r="C31" s="1">
        <f t="shared" si="3"/>
        <v>2</v>
      </c>
      <c r="D31" t="s">
        <v>23</v>
      </c>
      <c r="E31" t="s">
        <v>28</v>
      </c>
      <c r="F31">
        <f t="shared" si="2"/>
        <v>1055.5072129020234</v>
      </c>
      <c r="G31" s="4">
        <v>0.3702327798544795</v>
      </c>
      <c r="H31" t="s">
        <v>5</v>
      </c>
    </row>
    <row r="32" spans="1:8" x14ac:dyDescent="0.2">
      <c r="A32" s="3" t="s">
        <v>21</v>
      </c>
      <c r="B32">
        <v>16</v>
      </c>
      <c r="C32" s="1">
        <f t="shared" si="3"/>
        <v>7</v>
      </c>
      <c r="D32" t="s">
        <v>25</v>
      </c>
      <c r="E32" t="s">
        <v>28</v>
      </c>
      <c r="F32">
        <f t="shared" si="2"/>
        <v>1036.6853592644266</v>
      </c>
      <c r="G32" s="4">
        <v>0.36460975108024746</v>
      </c>
      <c r="H32" t="s">
        <v>5</v>
      </c>
    </row>
    <row r="33" spans="1:8" x14ac:dyDescent="0.2">
      <c r="A33" s="3" t="s">
        <v>12</v>
      </c>
      <c r="B33">
        <v>16</v>
      </c>
      <c r="C33" s="1">
        <f t="shared" si="3"/>
        <v>7</v>
      </c>
      <c r="D33" t="s">
        <v>25</v>
      </c>
      <c r="E33" t="s">
        <v>28</v>
      </c>
      <c r="F33">
        <f t="shared" si="2"/>
        <v>1033.0939167309498</v>
      </c>
      <c r="G33" s="4">
        <v>0.36353680762337126</v>
      </c>
      <c r="H33" t="s">
        <v>5</v>
      </c>
    </row>
    <row r="34" spans="1:8" x14ac:dyDescent="0.2">
      <c r="A34" s="3" t="s">
        <v>13</v>
      </c>
      <c r="B34">
        <v>16</v>
      </c>
      <c r="C34" s="1">
        <f t="shared" si="3"/>
        <v>7</v>
      </c>
      <c r="D34" t="s">
        <v>26</v>
      </c>
      <c r="E34" t="s">
        <v>28</v>
      </c>
      <c r="F34">
        <f t="shared" si="2"/>
        <v>1336.6302170398426</v>
      </c>
      <c r="G34" s="4">
        <v>0.45421827734065306</v>
      </c>
      <c r="H34" t="s">
        <v>5</v>
      </c>
    </row>
    <row r="35" spans="1:8" x14ac:dyDescent="0.2">
      <c r="A35" s="3" t="s">
        <v>15</v>
      </c>
      <c r="B35">
        <v>16</v>
      </c>
      <c r="C35" s="1">
        <f t="shared" si="3"/>
        <v>7</v>
      </c>
      <c r="D35" t="s">
        <v>15</v>
      </c>
      <c r="E35" t="s">
        <v>28</v>
      </c>
      <c r="F35">
        <f t="shared" si="2"/>
        <v>1200.4671777969968</v>
      </c>
      <c r="G35" s="4">
        <v>0.41353956936685282</v>
      </c>
      <c r="H35" t="s">
        <v>5</v>
      </c>
    </row>
    <row r="36" spans="1:8" x14ac:dyDescent="0.2">
      <c r="A36" s="3" t="s">
        <v>14</v>
      </c>
      <c r="B36">
        <v>16</v>
      </c>
      <c r="C36" s="1">
        <f t="shared" si="3"/>
        <v>7</v>
      </c>
      <c r="D36" t="s">
        <v>23</v>
      </c>
      <c r="E36" t="s">
        <v>28</v>
      </c>
      <c r="F36">
        <f t="shared" si="2"/>
        <v>1180.2269183450471</v>
      </c>
      <c r="G36" s="4">
        <v>0.40749279185558285</v>
      </c>
      <c r="H36" t="s">
        <v>5</v>
      </c>
    </row>
    <row r="37" spans="1:8" x14ac:dyDescent="0.2">
      <c r="A37" s="3" t="s">
        <v>22</v>
      </c>
      <c r="B37">
        <v>18</v>
      </c>
      <c r="C37" s="1">
        <f t="shared" si="3"/>
        <v>9</v>
      </c>
      <c r="D37" t="s">
        <v>25</v>
      </c>
      <c r="E37" t="s">
        <v>28</v>
      </c>
      <c r="F37">
        <f t="shared" si="2"/>
        <v>899.49908955157764</v>
      </c>
      <c r="G37" s="4">
        <v>0.32362535300353384</v>
      </c>
      <c r="H37" t="s">
        <v>5</v>
      </c>
    </row>
    <row r="38" spans="1:8" x14ac:dyDescent="0.2">
      <c r="A38" s="3" t="s">
        <v>12</v>
      </c>
      <c r="B38">
        <v>18</v>
      </c>
      <c r="C38" s="1">
        <f t="shared" si="3"/>
        <v>9</v>
      </c>
      <c r="D38" t="s">
        <v>25</v>
      </c>
      <c r="E38" t="s">
        <v>28</v>
      </c>
      <c r="F38">
        <f t="shared" si="2"/>
        <v>1088.8896597900571</v>
      </c>
      <c r="G38" s="4">
        <v>0.3802057858622796</v>
      </c>
      <c r="H38" t="s">
        <v>5</v>
      </c>
    </row>
    <row r="39" spans="1:8" x14ac:dyDescent="0.2">
      <c r="A39" s="3" t="s">
        <v>13</v>
      </c>
      <c r="B39">
        <v>18</v>
      </c>
      <c r="C39" s="1">
        <f t="shared" si="3"/>
        <v>9</v>
      </c>
      <c r="D39" t="s">
        <v>26</v>
      </c>
      <c r="E39" t="s">
        <v>28</v>
      </c>
      <c r="F39">
        <f t="shared" si="2"/>
        <v>1088.8896597900571</v>
      </c>
      <c r="G39" s="4">
        <v>0.3802057858622796</v>
      </c>
      <c r="H39" t="s">
        <v>5</v>
      </c>
    </row>
    <row r="40" spans="1:8" x14ac:dyDescent="0.2">
      <c r="A40" s="3" t="s">
        <v>15</v>
      </c>
      <c r="B40">
        <v>18</v>
      </c>
      <c r="C40" s="1">
        <f t="shared" si="3"/>
        <v>9</v>
      </c>
      <c r="D40" t="s">
        <v>15</v>
      </c>
      <c r="E40" t="s">
        <v>28</v>
      </c>
      <c r="F40">
        <f t="shared" si="2"/>
        <v>2076.5976029153749</v>
      </c>
      <c r="G40" s="4">
        <v>0.67528353387096818</v>
      </c>
      <c r="H40" t="s">
        <v>5</v>
      </c>
    </row>
    <row r="41" spans="1:8" x14ac:dyDescent="0.2">
      <c r="A41" s="3" t="s">
        <v>14</v>
      </c>
      <c r="B41">
        <v>18</v>
      </c>
      <c r="C41" s="1">
        <f t="shared" si="3"/>
        <v>9</v>
      </c>
      <c r="D41" t="s">
        <v>23</v>
      </c>
      <c r="E41" t="s">
        <v>28</v>
      </c>
      <c r="F41">
        <f t="shared" si="2"/>
        <v>1313.3830343741399</v>
      </c>
      <c r="G41" s="4">
        <v>0.44727318151927437</v>
      </c>
      <c r="H4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MultiSludge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2025-08-03T06:33:07Z</dcterms:created>
  <dcterms:modified xsi:type="dcterms:W3CDTF">2026-09-27T04:16:50Z</dcterms:modified>
</cp:coreProperties>
</file>