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1/"/>
    </mc:Choice>
  </mc:AlternateContent>
  <xr:revisionPtr revIDLastSave="0" documentId="13_ncr:1_{BC39ACB9-450A-E44F-8099-A9DCEAE14264}" xr6:coauthVersionLast="47" xr6:coauthVersionMax="47" xr10:uidLastSave="{00000000-0000-0000-0000-000000000000}"/>
  <bookViews>
    <workbookView xWindow="3580" yWindow="600" windowWidth="22160" windowHeight="16200" xr2:uid="{4E5F8DBA-8B37-F446-87D4-7F56DA87DADD}"/>
  </bookViews>
  <sheets>
    <sheet name="MultiSludge" sheetId="1" r:id="rId1"/>
    <sheet name="CN" sheetId="2" r:id="rId2"/>
    <sheet name="backup" sheetId="3" r:id="rId3"/>
  </sheets>
  <definedNames>
    <definedName name="_xlnm._FilterDatabase" localSheetId="0" hidden="1">MultiSludge!$A$1:$I$38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11" i="1"/>
  <c r="G12" i="1"/>
  <c r="G13" i="1"/>
  <c r="G10" i="1"/>
  <c r="G7" i="1"/>
  <c r="G8" i="1"/>
  <c r="G9" i="1"/>
  <c r="G6" i="1"/>
  <c r="G15" i="1"/>
  <c r="G16" i="1"/>
  <c r="G17" i="1"/>
  <c r="G14" i="1"/>
  <c r="G3" i="1"/>
  <c r="G4" i="1"/>
  <c r="G5" i="1"/>
  <c r="G2" i="1"/>
  <c r="F24" i="1"/>
  <c r="F25" i="1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1" i="3"/>
  <c r="C21" i="3"/>
  <c r="F20" i="3"/>
  <c r="C20" i="3"/>
  <c r="F19" i="3"/>
  <c r="C19" i="3"/>
  <c r="F18" i="3"/>
  <c r="C18" i="3"/>
  <c r="F17" i="3"/>
  <c r="C17" i="3"/>
  <c r="F16" i="3"/>
  <c r="C16" i="3"/>
  <c r="F15" i="3"/>
  <c r="C15" i="3"/>
  <c r="F14" i="3"/>
  <c r="C14" i="3"/>
  <c r="F13" i="3"/>
  <c r="C13" i="3"/>
  <c r="F12" i="3"/>
  <c r="C12" i="3"/>
  <c r="F11" i="3"/>
  <c r="C11" i="3"/>
  <c r="F10" i="3"/>
  <c r="C10" i="3"/>
  <c r="F9" i="3"/>
  <c r="C9" i="3"/>
  <c r="F8" i="3"/>
  <c r="C8" i="3"/>
  <c r="F7" i="3"/>
  <c r="C7" i="3"/>
  <c r="F6" i="3"/>
  <c r="C6" i="3"/>
  <c r="F5" i="3"/>
  <c r="C5" i="3"/>
  <c r="F4" i="3"/>
  <c r="C4" i="3"/>
  <c r="F3" i="3"/>
  <c r="C3" i="3"/>
  <c r="F2" i="3"/>
  <c r="C2" i="3"/>
  <c r="F2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  <c r="F3" i="1"/>
  <c r="F15" i="1" l="1"/>
  <c r="F36" i="1"/>
  <c r="F32" i="1"/>
  <c r="F28" i="1"/>
  <c r="F7" i="1"/>
  <c r="F2" i="1"/>
  <c r="F4" i="1"/>
  <c r="F5" i="1"/>
  <c r="F26" i="1"/>
  <c r="F27" i="1"/>
  <c r="F29" i="1"/>
  <c r="F30" i="1"/>
  <c r="F31" i="1"/>
  <c r="F33" i="1"/>
  <c r="F34" i="1"/>
  <c r="F35" i="1"/>
  <c r="F37" i="1"/>
  <c r="F38" i="1"/>
  <c r="F8" i="1"/>
  <c r="F9" i="1"/>
  <c r="F10" i="1"/>
  <c r="F12" i="1"/>
  <c r="F13" i="1"/>
  <c r="F14" i="1"/>
  <c r="F16" i="1"/>
  <c r="F17" i="1"/>
  <c r="F6" i="1"/>
</calcChain>
</file>

<file path=xl/sharedStrings.xml><?xml version="1.0" encoding="utf-8"?>
<sst xmlns="http://schemas.openxmlformats.org/spreadsheetml/2006/main" count="721" uniqueCount="68">
  <si>
    <t>Samples</t>
  </si>
  <si>
    <t>Time</t>
  </si>
  <si>
    <t>Group</t>
  </si>
  <si>
    <t>Batch</t>
  </si>
  <si>
    <t>Raw</t>
  </si>
  <si>
    <t>SalineAnammox</t>
  </si>
  <si>
    <t>M1-0618</t>
  </si>
  <si>
    <t>M2-0618</t>
  </si>
  <si>
    <t>M3-0618</t>
  </si>
  <si>
    <t>5%-0618</t>
  </si>
  <si>
    <t>FAB-0618</t>
  </si>
  <si>
    <t>M1-0622</t>
  </si>
  <si>
    <t>M2</t>
  </si>
  <si>
    <t>M3</t>
  </si>
  <si>
    <t>5%</t>
  </si>
  <si>
    <t>FAB</t>
  </si>
  <si>
    <t>M1-0625</t>
  </si>
  <si>
    <t>Raw.CO2.IC</t>
  </si>
  <si>
    <t>HCO3</t>
  </si>
  <si>
    <t>M1-0905-19:00</t>
  </si>
  <si>
    <t>M1-0912-19:00</t>
  </si>
  <si>
    <t>M1-0914-13:00</t>
  </si>
  <si>
    <t>M1-0919-9:00</t>
  </si>
  <si>
    <t>M1-0921-9:00</t>
  </si>
  <si>
    <t>PD</t>
  </si>
  <si>
    <t>Default</t>
  </si>
  <si>
    <t>MAB_25°C</t>
  </si>
  <si>
    <t>MAB_37°C</t>
  </si>
  <si>
    <t>NA</t>
  </si>
  <si>
    <t>Substrate</t>
  </si>
  <si>
    <t>Light</t>
  </si>
  <si>
    <t>NO2</t>
  </si>
  <si>
    <t>NH4</t>
  </si>
  <si>
    <t>AN-D1-5.12</t>
  </si>
  <si>
    <t>NH4+NO2</t>
  </si>
  <si>
    <t>Dark</t>
  </si>
  <si>
    <t>AN-D2</t>
  </si>
  <si>
    <t>AN-D3</t>
  </si>
  <si>
    <t>AN-I1</t>
  </si>
  <si>
    <t>IR</t>
  </si>
  <si>
    <t>AN-I2</t>
  </si>
  <si>
    <t>AN-I3</t>
  </si>
  <si>
    <t>NH4-D1</t>
  </si>
  <si>
    <t>NH4-D2</t>
  </si>
  <si>
    <t>NH4-D3</t>
  </si>
  <si>
    <t>NH4-I1</t>
  </si>
  <si>
    <t>NH4-I2</t>
  </si>
  <si>
    <t>NH4-I3</t>
  </si>
  <si>
    <t>NO2-D1</t>
  </si>
  <si>
    <t>NO2-D2</t>
  </si>
  <si>
    <t>NO2-D3</t>
  </si>
  <si>
    <t>NO2-I1</t>
  </si>
  <si>
    <t>NO2-I2</t>
  </si>
  <si>
    <t>NO2-I3</t>
  </si>
  <si>
    <t>AN-D1-5.16</t>
  </si>
  <si>
    <t>AN-D1-5.21</t>
  </si>
  <si>
    <t>AN-D1-5.25</t>
  </si>
  <si>
    <t>AN-D1-5.27</t>
  </si>
  <si>
    <t>NH4+NO2Dark</t>
  </si>
  <si>
    <t>NH4+NO2IR</t>
  </si>
  <si>
    <t>NH4Dark</t>
  </si>
  <si>
    <t>NH4IR</t>
  </si>
  <si>
    <t>NO2Dark</t>
  </si>
  <si>
    <t>NO2IR</t>
  </si>
  <si>
    <t>Time.raw</t>
  </si>
  <si>
    <t>Low</t>
  </si>
  <si>
    <t>High</t>
  </si>
  <si>
    <t>Removal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</si>
</sst>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&quot;  &quot;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Calibri"/>
      <family val="2"/>
      <scheme val="minor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8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0" xfId="0" applyFill="1"/>
    <xf numFmtId="164" fontId="3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3" fillId="3" borderId="2" xfId="0" applyFont="1" applyFill="1" applyBorder="1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horizontal="right"/>
    </xf>
    <xf numFmtId="164" fontId="3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0" fontId="9" fillId="3" borderId="0" xfId="0" applyFont="1" applyFill="1"/>
    <xf numFmtId="164" fontId="10" fillId="3" borderId="2" xfId="0" applyNumberFormat="1" applyFont="1" applyFill="1" applyBorder="1" applyAlignment="1">
      <alignment horizontal="center" vertical="center"/>
    </xf>
    <xf numFmtId="0" fontId="9" fillId="0" borderId="0" xfId="0" applyFont="1"/>
    <xf numFmtId="164" fontId="10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B824-7051-C54A-AB4F-704CD4FF9AC5}">
  <dimension ref="A1:J38"/>
  <sheetViews>
    <sheetView tabSelected="1" zoomScale="107" workbookViewId="0">
      <selection activeCell="F11" sqref="F11"/>
    </sheetView>
  </sheetViews>
  <sheetFormatPr baseColWidth="10" defaultRowHeight="16" x14ac:dyDescent="0.2"/>
  <cols>
    <col min="6" max="8" width="14.33203125" customWidth="1"/>
  </cols>
  <sheetData>
    <row r="1" spans="1:10" x14ac:dyDescent="0.2">
      <c r="A1" s="3" t="s">
        <v>0</v>
      </c>
      <c r="B1" s="2" t="s">
        <v>64</v>
      </c>
      <c r="C1" s="2" t="s">
        <v>1</v>
      </c>
      <c r="D1" s="2" t="s">
        <v>2</v>
      </c>
      <c r="E1" s="2" t="s">
        <v>3</v>
      </c>
      <c r="F1" s="2" t="s">
        <v>18</v>
      </c>
      <c r="G1" s="2" t="s">
        <v>67</v>
      </c>
      <c r="H1" s="2" t="s">
        <v>17</v>
      </c>
      <c r="I1" s="2" t="s">
        <v>4</v>
      </c>
    </row>
    <row r="2" spans="1:10" x14ac:dyDescent="0.2">
      <c r="A2" s="9" t="s">
        <v>6</v>
      </c>
      <c r="B2" s="10">
        <v>0</v>
      </c>
      <c r="C2" s="10">
        <f>B2</f>
        <v>0</v>
      </c>
      <c r="D2" s="11" t="s">
        <v>26</v>
      </c>
      <c r="E2" s="11" t="s">
        <v>65</v>
      </c>
      <c r="F2" s="11">
        <f>(H2-0.0549)/0.0239*80</f>
        <v>485.69037656903765</v>
      </c>
      <c r="G2" s="11">
        <f>1-F2/F2</f>
        <v>0</v>
      </c>
      <c r="H2" s="12">
        <v>0.2</v>
      </c>
      <c r="I2" s="10" t="s">
        <v>25</v>
      </c>
      <c r="J2" s="11"/>
    </row>
    <row r="3" spans="1:10" x14ac:dyDescent="0.2">
      <c r="A3" s="9" t="s">
        <v>8</v>
      </c>
      <c r="B3" s="10">
        <v>0</v>
      </c>
      <c r="C3" s="10">
        <f t="shared" ref="C3:C17" si="0">B3</f>
        <v>0</v>
      </c>
      <c r="D3" s="11" t="s">
        <v>27</v>
      </c>
      <c r="E3" s="11" t="s">
        <v>65</v>
      </c>
      <c r="F3" s="11">
        <f>(H3-0.0549)/0.0239*80</f>
        <v>485.69037656903765</v>
      </c>
      <c r="G3" s="11">
        <f t="shared" ref="G3:G7" si="1">1-F3/F3</f>
        <v>0</v>
      </c>
      <c r="H3" s="12">
        <v>0.2</v>
      </c>
      <c r="I3" s="10" t="s">
        <v>25</v>
      </c>
      <c r="J3" s="11"/>
    </row>
    <row r="4" spans="1:10" x14ac:dyDescent="0.2">
      <c r="A4" s="9" t="s">
        <v>9</v>
      </c>
      <c r="B4" s="10">
        <v>0</v>
      </c>
      <c r="C4" s="10">
        <f t="shared" si="0"/>
        <v>0</v>
      </c>
      <c r="D4" s="11" t="s">
        <v>24</v>
      </c>
      <c r="E4" s="11" t="s">
        <v>65</v>
      </c>
      <c r="F4" s="11">
        <f>(H4-0.0549)/0.0239*80</f>
        <v>485.69037656903765</v>
      </c>
      <c r="G4" s="11">
        <f t="shared" si="1"/>
        <v>0</v>
      </c>
      <c r="H4" s="12">
        <v>0.2</v>
      </c>
      <c r="I4" s="10" t="s">
        <v>25</v>
      </c>
      <c r="J4" s="11"/>
    </row>
    <row r="5" spans="1:10" x14ac:dyDescent="0.2">
      <c r="A5" s="9" t="s">
        <v>10</v>
      </c>
      <c r="B5" s="10">
        <v>0</v>
      </c>
      <c r="C5" s="10">
        <f t="shared" si="0"/>
        <v>0</v>
      </c>
      <c r="D5" s="11" t="s">
        <v>15</v>
      </c>
      <c r="E5" s="11" t="s">
        <v>65</v>
      </c>
      <c r="F5" s="11">
        <f>(H5-0.0549)/0.0239*80</f>
        <v>485.69037656903765</v>
      </c>
      <c r="G5" s="11">
        <f t="shared" si="1"/>
        <v>0</v>
      </c>
      <c r="H5" s="12">
        <v>0.2</v>
      </c>
      <c r="I5" s="10" t="s">
        <v>25</v>
      </c>
      <c r="J5" s="11"/>
    </row>
    <row r="6" spans="1:10" x14ac:dyDescent="0.2">
      <c r="A6" s="9" t="s">
        <v>6</v>
      </c>
      <c r="B6" s="11">
        <v>1</v>
      </c>
      <c r="C6" s="10">
        <f t="shared" si="0"/>
        <v>1</v>
      </c>
      <c r="D6" s="11" t="s">
        <v>26</v>
      </c>
      <c r="E6" s="11" t="s">
        <v>65</v>
      </c>
      <c r="F6" s="11">
        <f>(H6-0.0549)/0.0239*80</f>
        <v>405.39810900348164</v>
      </c>
      <c r="G6" s="11">
        <f>(F2-F6)/F2*100</f>
        <v>16.531574731364479</v>
      </c>
      <c r="H6" s="12">
        <v>0.17601268506479015</v>
      </c>
      <c r="I6" s="11" t="s">
        <v>5</v>
      </c>
      <c r="J6" s="11"/>
    </row>
    <row r="7" spans="1:10" x14ac:dyDescent="0.2">
      <c r="A7" s="9" t="s">
        <v>8</v>
      </c>
      <c r="B7" s="10">
        <v>1</v>
      </c>
      <c r="C7" s="10">
        <f t="shared" si="0"/>
        <v>1</v>
      </c>
      <c r="D7" s="11" t="s">
        <v>27</v>
      </c>
      <c r="E7" s="11" t="s">
        <v>65</v>
      </c>
      <c r="F7" s="11">
        <f>(H7-0.0549)/0.0239*80</f>
        <v>533.88391884979546</v>
      </c>
      <c r="G7" s="11">
        <f t="shared" ref="G7:G9" si="2">(F3-F7)/F3*100</f>
        <v>-9.9226883227955867</v>
      </c>
      <c r="H7" s="12">
        <v>0.21439782075637639</v>
      </c>
      <c r="I7" s="11" t="s">
        <v>5</v>
      </c>
      <c r="J7" s="11"/>
    </row>
    <row r="8" spans="1:10" x14ac:dyDescent="0.2">
      <c r="A8" s="9" t="s">
        <v>9</v>
      </c>
      <c r="B8" s="11">
        <v>1</v>
      </c>
      <c r="C8" s="10">
        <f t="shared" si="0"/>
        <v>1</v>
      </c>
      <c r="D8" s="11" t="s">
        <v>24</v>
      </c>
      <c r="E8" s="11" t="s">
        <v>65</v>
      </c>
      <c r="F8" s="11">
        <f>(H8-0.0549)/0.0239*80</f>
        <v>684.17705604200273</v>
      </c>
      <c r="G8" s="11">
        <f t="shared" si="2"/>
        <v>-40.866916259509523</v>
      </c>
      <c r="H8" s="12">
        <v>0.25929789549254834</v>
      </c>
      <c r="I8" s="11" t="s">
        <v>5</v>
      </c>
      <c r="J8" s="11"/>
    </row>
    <row r="9" spans="1:10" x14ac:dyDescent="0.2">
      <c r="A9" s="9" t="s">
        <v>10</v>
      </c>
      <c r="B9" s="11">
        <v>1</v>
      </c>
      <c r="C9" s="10">
        <f t="shared" si="0"/>
        <v>1</v>
      </c>
      <c r="D9" s="11" t="s">
        <v>15</v>
      </c>
      <c r="E9" s="11" t="s">
        <v>65</v>
      </c>
      <c r="F9" s="11">
        <f>(H9-0.0549)/0.0239*80</f>
        <v>733.52227839911723</v>
      </c>
      <c r="G9" s="11">
        <f t="shared" si="2"/>
        <v>-51.026726858536378</v>
      </c>
      <c r="H9" s="12">
        <v>0.27403978067173629</v>
      </c>
      <c r="I9" s="11" t="s">
        <v>5</v>
      </c>
      <c r="J9" s="11"/>
    </row>
    <row r="10" spans="1:10" x14ac:dyDescent="0.2">
      <c r="A10" s="9" t="s">
        <v>11</v>
      </c>
      <c r="B10" s="11">
        <v>4</v>
      </c>
      <c r="C10" s="10">
        <f t="shared" si="0"/>
        <v>4</v>
      </c>
      <c r="D10" s="11" t="s">
        <v>26</v>
      </c>
      <c r="E10" s="11" t="s">
        <v>65</v>
      </c>
      <c r="F10" s="11">
        <f>(H10-0.0549)/0.0239*80</f>
        <v>341.90829169366407</v>
      </c>
      <c r="G10" s="11">
        <f>-(F10-F2)/F2*100</f>
        <v>29.603651176097767</v>
      </c>
      <c r="H10" s="12">
        <v>0.15704510214348216</v>
      </c>
      <c r="I10" s="11" t="s">
        <v>5</v>
      </c>
      <c r="J10" s="11"/>
    </row>
    <row r="11" spans="1:10" x14ac:dyDescent="0.2">
      <c r="A11" s="9" t="s">
        <v>13</v>
      </c>
      <c r="B11" s="11">
        <v>4</v>
      </c>
      <c r="C11" s="10">
        <f t="shared" si="0"/>
        <v>4</v>
      </c>
      <c r="D11" s="11" t="s">
        <v>27</v>
      </c>
      <c r="E11" s="11" t="s">
        <v>65</v>
      </c>
      <c r="F11" s="11">
        <f>(H11-0.0549)/0.0239*80</f>
        <v>437.71166113250388</v>
      </c>
      <c r="G11" s="11">
        <f t="shared" ref="G11:G13" si="3">-(F11-F3)/F3*100</f>
        <v>9.87845708936214</v>
      </c>
      <c r="H11" s="12">
        <v>0.18566635876333554</v>
      </c>
      <c r="I11" s="11" t="s">
        <v>5</v>
      </c>
      <c r="J11" s="11"/>
    </row>
    <row r="12" spans="1:10" x14ac:dyDescent="0.2">
      <c r="A12" s="9" t="s">
        <v>14</v>
      </c>
      <c r="B12" s="11">
        <v>4</v>
      </c>
      <c r="C12" s="10">
        <f t="shared" si="0"/>
        <v>4</v>
      </c>
      <c r="D12" s="11" t="s">
        <v>24</v>
      </c>
      <c r="E12" s="11" t="s">
        <v>65</v>
      </c>
      <c r="F12" s="11">
        <f>(H12-0.0549)/0.0239*80</f>
        <v>682.90481694938921</v>
      </c>
      <c r="G12" s="11">
        <f t="shared" si="3"/>
        <v>-40.604971787477623</v>
      </c>
      <c r="H12" s="12">
        <v>0.25891781406363001</v>
      </c>
      <c r="I12" s="11" t="s">
        <v>5</v>
      </c>
      <c r="J12" s="11"/>
    </row>
    <row r="13" spans="1:10" x14ac:dyDescent="0.2">
      <c r="A13" s="9" t="s">
        <v>15</v>
      </c>
      <c r="B13" s="11">
        <v>4</v>
      </c>
      <c r="C13" s="10">
        <f t="shared" si="0"/>
        <v>4</v>
      </c>
      <c r="D13" s="11" t="s">
        <v>15</v>
      </c>
      <c r="E13" s="11" t="s">
        <v>65</v>
      </c>
      <c r="F13" s="11">
        <f>(H13-0.0549)/0.0239*80</f>
        <v>739.05328387867723</v>
      </c>
      <c r="G13" s="11">
        <f t="shared" si="3"/>
        <v>-52.165519337529162</v>
      </c>
      <c r="H13" s="12">
        <v>0.27569216855875484</v>
      </c>
      <c r="I13" s="11" t="s">
        <v>5</v>
      </c>
      <c r="J13" s="11"/>
    </row>
    <row r="14" spans="1:10" x14ac:dyDescent="0.2">
      <c r="A14" s="9" t="s">
        <v>16</v>
      </c>
      <c r="B14" s="11">
        <v>7</v>
      </c>
      <c r="C14" s="10">
        <f t="shared" si="0"/>
        <v>7</v>
      </c>
      <c r="D14" s="11" t="s">
        <v>26</v>
      </c>
      <c r="E14" s="11" t="s">
        <v>65</v>
      </c>
      <c r="F14" s="11">
        <f>(H14-0.0549)/0.0239*80</f>
        <v>325.59644478587956</v>
      </c>
      <c r="G14" s="11">
        <f>(F2-F14)/F2*100</f>
        <v>32.962137918827352</v>
      </c>
      <c r="H14" s="12">
        <v>0.15217193787978153</v>
      </c>
      <c r="I14" s="11" t="s">
        <v>5</v>
      </c>
      <c r="J14" s="11"/>
    </row>
    <row r="15" spans="1:10" s="1" customFormat="1" x14ac:dyDescent="0.2">
      <c r="A15" s="9" t="s">
        <v>13</v>
      </c>
      <c r="B15" s="11">
        <v>7</v>
      </c>
      <c r="C15" s="10">
        <f t="shared" si="0"/>
        <v>7</v>
      </c>
      <c r="D15" s="11" t="s">
        <v>27</v>
      </c>
      <c r="E15" s="11" t="s">
        <v>65</v>
      </c>
      <c r="F15" s="11">
        <f>(H15-0.0549)/0.0239*80</f>
        <v>424.4640949484052</v>
      </c>
      <c r="G15" s="11">
        <f t="shared" ref="G15:G17" si="4">(F3-F15)/F3*100</f>
        <v>12.606031450147444</v>
      </c>
      <c r="H15" s="12">
        <v>0.18170864836583608</v>
      </c>
      <c r="I15" s="11" t="s">
        <v>5</v>
      </c>
      <c r="J15" s="13"/>
    </row>
    <row r="16" spans="1:10" x14ac:dyDescent="0.2">
      <c r="A16" s="9" t="s">
        <v>14</v>
      </c>
      <c r="B16" s="11">
        <v>7</v>
      </c>
      <c r="C16" s="10">
        <f t="shared" si="0"/>
        <v>7</v>
      </c>
      <c r="D16" s="11" t="s">
        <v>24</v>
      </c>
      <c r="E16" s="11" t="s">
        <v>65</v>
      </c>
      <c r="F16" s="11">
        <f>(H16-0.0549)/0.0239*80</f>
        <v>593.80750011104305</v>
      </c>
      <c r="G16" s="11">
        <f t="shared" si="4"/>
        <v>-22.260503554909796</v>
      </c>
      <c r="H16" s="12">
        <v>0.23229999065817414</v>
      </c>
      <c r="I16" s="11" t="s">
        <v>5</v>
      </c>
      <c r="J16" s="11"/>
    </row>
    <row r="17" spans="1:10" x14ac:dyDescent="0.2">
      <c r="A17" s="9" t="s">
        <v>15</v>
      </c>
      <c r="B17" s="11">
        <v>7</v>
      </c>
      <c r="C17" s="10">
        <f t="shared" si="0"/>
        <v>7</v>
      </c>
      <c r="D17" s="11" t="s">
        <v>15</v>
      </c>
      <c r="E17" s="11" t="s">
        <v>65</v>
      </c>
      <c r="F17" s="11">
        <f>(H17-0.0549)/0.0239*80</f>
        <v>1034.9908530154139</v>
      </c>
      <c r="G17" s="11">
        <f t="shared" si="4"/>
        <v>-113.09684172181593</v>
      </c>
      <c r="H17" s="12">
        <v>0.36410351733835494</v>
      </c>
      <c r="I17" s="11" t="s">
        <v>5</v>
      </c>
      <c r="J17" s="11"/>
    </row>
    <row r="18" spans="1:10" x14ac:dyDescent="0.2">
      <c r="A18" s="14" t="s">
        <v>19</v>
      </c>
      <c r="B18" s="15">
        <v>8</v>
      </c>
      <c r="C18" s="15"/>
      <c r="D18" s="15" t="s">
        <v>26</v>
      </c>
      <c r="E18" s="15" t="s">
        <v>66</v>
      </c>
      <c r="F18" s="16" t="s">
        <v>28</v>
      </c>
      <c r="G18" s="16"/>
      <c r="H18" s="17">
        <v>0.68081104815484683</v>
      </c>
      <c r="I18" s="15" t="s">
        <v>5</v>
      </c>
    </row>
    <row r="19" spans="1:10" x14ac:dyDescent="0.2">
      <c r="A19" s="14" t="s">
        <v>12</v>
      </c>
      <c r="B19" s="15">
        <v>8</v>
      </c>
      <c r="C19" s="15"/>
      <c r="D19" s="15" t="s">
        <v>26</v>
      </c>
      <c r="E19" s="15" t="s">
        <v>66</v>
      </c>
      <c r="F19" s="16" t="s">
        <v>28</v>
      </c>
      <c r="G19" s="16"/>
      <c r="H19" s="17">
        <v>0.67057455949126876</v>
      </c>
      <c r="I19" s="15" t="s">
        <v>5</v>
      </c>
    </row>
    <row r="20" spans="1:10" x14ac:dyDescent="0.2">
      <c r="A20" s="14" t="s">
        <v>13</v>
      </c>
      <c r="B20" s="15">
        <v>8</v>
      </c>
      <c r="C20" s="15"/>
      <c r="D20" s="15" t="s">
        <v>27</v>
      </c>
      <c r="E20" s="15" t="s">
        <v>66</v>
      </c>
      <c r="F20" s="16" t="s">
        <v>28</v>
      </c>
      <c r="G20" s="16"/>
      <c r="H20" s="17">
        <v>0.69230000000000003</v>
      </c>
      <c r="I20" s="15" t="s">
        <v>5</v>
      </c>
    </row>
    <row r="21" spans="1:10" x14ac:dyDescent="0.2">
      <c r="A21" s="14" t="s">
        <v>15</v>
      </c>
      <c r="B21" s="15">
        <v>8</v>
      </c>
      <c r="C21" s="15"/>
      <c r="D21" s="15" t="s">
        <v>15</v>
      </c>
      <c r="E21" s="15" t="s">
        <v>66</v>
      </c>
      <c r="F21" s="16" t="s">
        <v>28</v>
      </c>
      <c r="G21" s="16"/>
      <c r="H21" s="17">
        <v>0.70279957869402865</v>
      </c>
      <c r="I21" s="15" t="s">
        <v>5</v>
      </c>
    </row>
    <row r="22" spans="1:10" x14ac:dyDescent="0.2">
      <c r="A22" s="14" t="s">
        <v>14</v>
      </c>
      <c r="B22" s="15">
        <v>8</v>
      </c>
      <c r="C22" s="15"/>
      <c r="D22" s="15" t="s">
        <v>24</v>
      </c>
      <c r="E22" s="15" t="s">
        <v>66</v>
      </c>
      <c r="F22" s="16" t="s">
        <v>28</v>
      </c>
      <c r="G22" s="16"/>
      <c r="H22" s="17">
        <v>0.70666618876378096</v>
      </c>
      <c r="I22" s="15" t="s">
        <v>5</v>
      </c>
    </row>
    <row r="23" spans="1:10" s="21" customFormat="1" x14ac:dyDescent="0.2">
      <c r="A23" s="18" t="s">
        <v>20</v>
      </c>
      <c r="B23" s="19">
        <v>9</v>
      </c>
      <c r="C23" s="19">
        <v>0</v>
      </c>
      <c r="D23" s="19" t="s">
        <v>26</v>
      </c>
      <c r="E23" s="19" t="s">
        <v>66</v>
      </c>
      <c r="F23" s="19">
        <f>(H23-0.0549)/0.0239*80</f>
        <v>1154.4271091906828</v>
      </c>
      <c r="G23" s="11">
        <f>1-F23/F23</f>
        <v>0</v>
      </c>
      <c r="H23" s="20">
        <v>0.3997850988707165</v>
      </c>
      <c r="I23" s="19" t="s">
        <v>5</v>
      </c>
    </row>
    <row r="24" spans="1:10" x14ac:dyDescent="0.2">
      <c r="A24" s="14" t="s">
        <v>13</v>
      </c>
      <c r="B24" s="15">
        <v>9</v>
      </c>
      <c r="C24" s="15">
        <v>0</v>
      </c>
      <c r="D24" s="15" t="s">
        <v>27</v>
      </c>
      <c r="E24" s="15" t="s">
        <v>66</v>
      </c>
      <c r="F24" s="15">
        <f>(H24-0.0549)/0.0239*80</f>
        <v>1072.0798335498607</v>
      </c>
      <c r="G24" s="11">
        <f t="shared" ref="G24:G26" si="5">1-F24/F24</f>
        <v>0</v>
      </c>
      <c r="H24" s="17">
        <v>0.37518385027302092</v>
      </c>
      <c r="I24" s="15" t="s">
        <v>5</v>
      </c>
    </row>
    <row r="25" spans="1:10" x14ac:dyDescent="0.2">
      <c r="A25" s="14" t="s">
        <v>15</v>
      </c>
      <c r="B25" s="15">
        <v>9</v>
      </c>
      <c r="C25" s="15">
        <v>0</v>
      </c>
      <c r="D25" s="15" t="s">
        <v>15</v>
      </c>
      <c r="E25" s="15" t="s">
        <v>66</v>
      </c>
      <c r="F25" s="15">
        <f>(H25-0.0549)/0.0239*80</f>
        <v>1125.8939499120747</v>
      </c>
      <c r="G25" s="11">
        <f t="shared" si="5"/>
        <v>0</v>
      </c>
      <c r="H25" s="17">
        <v>0.39126081753623232</v>
      </c>
      <c r="I25" s="15" t="s">
        <v>5</v>
      </c>
    </row>
    <row r="26" spans="1:10" x14ac:dyDescent="0.2">
      <c r="A26" s="14" t="s">
        <v>14</v>
      </c>
      <c r="B26" s="15">
        <v>9</v>
      </c>
      <c r="C26" s="15">
        <v>0</v>
      </c>
      <c r="D26" s="15" t="s">
        <v>24</v>
      </c>
      <c r="E26" s="15" t="s">
        <v>66</v>
      </c>
      <c r="F26" s="15">
        <f>(H26-0.0549)/0.0239*80</f>
        <v>1218.815012236043</v>
      </c>
      <c r="G26" s="11">
        <f t="shared" si="5"/>
        <v>0</v>
      </c>
      <c r="H26" s="17">
        <v>0.41902098490551787</v>
      </c>
      <c r="I26" s="15" t="s">
        <v>5</v>
      </c>
    </row>
    <row r="27" spans="1:10" s="21" customFormat="1" x14ac:dyDescent="0.2">
      <c r="A27" s="18" t="s">
        <v>21</v>
      </c>
      <c r="B27" s="19">
        <v>11</v>
      </c>
      <c r="C27" s="19">
        <v>1</v>
      </c>
      <c r="D27" s="19" t="s">
        <v>26</v>
      </c>
      <c r="E27" s="19" t="s">
        <v>66</v>
      </c>
      <c r="F27" s="19">
        <f>(H27-0.0549)/0.0239*80</f>
        <v>1033.0939167309498</v>
      </c>
      <c r="G27" s="11">
        <f>(F23-F27)/F23*100</f>
        <v>10.510251491304141</v>
      </c>
      <c r="H27" s="20">
        <v>0.36353680762337126</v>
      </c>
      <c r="I27" s="19" t="s">
        <v>5</v>
      </c>
      <c r="J27" s="22"/>
    </row>
    <row r="28" spans="1:10" x14ac:dyDescent="0.2">
      <c r="A28" s="14" t="s">
        <v>13</v>
      </c>
      <c r="B28" s="15">
        <v>11</v>
      </c>
      <c r="C28" s="15">
        <v>1</v>
      </c>
      <c r="D28" s="15" t="s">
        <v>27</v>
      </c>
      <c r="E28" s="15" t="s">
        <v>66</v>
      </c>
      <c r="F28" s="15">
        <f>(H28-0.0549)/0.0239*80</f>
        <v>1138.1040709041908</v>
      </c>
      <c r="G28" s="11">
        <f t="shared" ref="G28:G30" si="6">(F24-F28)/F24*100</f>
        <v>-6.1585187304299236</v>
      </c>
      <c r="H28" s="17">
        <v>0.394908591182627</v>
      </c>
      <c r="I28" s="15" t="s">
        <v>5</v>
      </c>
    </row>
    <row r="29" spans="1:10" x14ac:dyDescent="0.2">
      <c r="A29" s="14" t="s">
        <v>15</v>
      </c>
      <c r="B29" s="15">
        <v>11</v>
      </c>
      <c r="C29" s="15">
        <v>1</v>
      </c>
      <c r="D29" s="15" t="s">
        <v>15</v>
      </c>
      <c r="E29" s="15" t="s">
        <v>66</v>
      </c>
      <c r="F29" s="15">
        <f>(H29-0.0549)/0.0239*80</f>
        <v>941.96467815652318</v>
      </c>
      <c r="G29" s="11">
        <f t="shared" si="6"/>
        <v>16.33628742475393</v>
      </c>
      <c r="H29" s="17">
        <v>0.33631194759926131</v>
      </c>
      <c r="I29" s="15" t="s">
        <v>5</v>
      </c>
    </row>
    <row r="30" spans="1:10" x14ac:dyDescent="0.2">
      <c r="A30" s="14" t="s">
        <v>14</v>
      </c>
      <c r="B30" s="15">
        <v>11</v>
      </c>
      <c r="C30" s="15">
        <v>1</v>
      </c>
      <c r="D30" s="15" t="s">
        <v>24</v>
      </c>
      <c r="E30" s="15" t="s">
        <v>66</v>
      </c>
      <c r="F30" s="15">
        <f>(H30-0.0549)/0.0239*80</f>
        <v>1055.5072129020234</v>
      </c>
      <c r="G30" s="11">
        <f t="shared" si="6"/>
        <v>13.398899561830504</v>
      </c>
      <c r="H30" s="17">
        <v>0.3702327798544795</v>
      </c>
      <c r="I30" s="15" t="s">
        <v>5</v>
      </c>
    </row>
    <row r="31" spans="1:10" s="21" customFormat="1" x14ac:dyDescent="0.2">
      <c r="A31" s="18" t="s">
        <v>22</v>
      </c>
      <c r="B31" s="19">
        <v>16</v>
      </c>
      <c r="C31" s="19">
        <v>4</v>
      </c>
      <c r="D31" s="19" t="s">
        <v>26</v>
      </c>
      <c r="E31" s="19" t="s">
        <v>66</v>
      </c>
      <c r="F31" s="19">
        <f>(H31-0.0549)/0.0239*80</f>
        <v>1005.556924370063</v>
      </c>
      <c r="G31" s="11">
        <f>-(F31-F23)/F23*100</f>
        <v>12.89558982420172</v>
      </c>
      <c r="H31" s="20">
        <v>0.35531013115555632</v>
      </c>
      <c r="I31" s="19" t="s">
        <v>5</v>
      </c>
    </row>
    <row r="32" spans="1:10" x14ac:dyDescent="0.2">
      <c r="A32" s="14" t="s">
        <v>13</v>
      </c>
      <c r="B32" s="15">
        <v>16</v>
      </c>
      <c r="C32" s="15">
        <v>4</v>
      </c>
      <c r="D32" s="15" t="s">
        <v>27</v>
      </c>
      <c r="E32" s="15" t="s">
        <v>66</v>
      </c>
      <c r="F32" s="15">
        <f>(H32-0.0549)/0.0239*80</f>
        <v>1336.6302170398426</v>
      </c>
      <c r="G32" s="11">
        <f t="shared" ref="G32:G34" si="7">-(F32-F24)/F24*100</f>
        <v>-24.67636972649743</v>
      </c>
      <c r="H32" s="17">
        <v>0.45421827734065306</v>
      </c>
      <c r="I32" s="15" t="s">
        <v>5</v>
      </c>
    </row>
    <row r="33" spans="1:9" x14ac:dyDescent="0.2">
      <c r="A33" s="14" t="s">
        <v>15</v>
      </c>
      <c r="B33" s="15">
        <v>16</v>
      </c>
      <c r="C33" s="15">
        <v>4</v>
      </c>
      <c r="D33" s="15" t="s">
        <v>15</v>
      </c>
      <c r="E33" s="15" t="s">
        <v>66</v>
      </c>
      <c r="F33" s="15">
        <f>(H33-0.0549)/0.0239*80</f>
        <v>1200.4671777969968</v>
      </c>
      <c r="G33" s="11">
        <f t="shared" si="7"/>
        <v>-6.6234682130360296</v>
      </c>
      <c r="H33" s="17">
        <v>0.41353956936685282</v>
      </c>
      <c r="I33" s="15" t="s">
        <v>5</v>
      </c>
    </row>
    <row r="34" spans="1:9" x14ac:dyDescent="0.2">
      <c r="A34" s="14" t="s">
        <v>14</v>
      </c>
      <c r="B34" s="15">
        <v>16</v>
      </c>
      <c r="C34" s="15">
        <v>4</v>
      </c>
      <c r="D34" s="15" t="s">
        <v>24</v>
      </c>
      <c r="E34" s="15" t="s">
        <v>66</v>
      </c>
      <c r="F34" s="15">
        <f>(H34-0.0549)/0.0239*80</f>
        <v>1180.2269183450471</v>
      </c>
      <c r="G34" s="11">
        <f t="shared" si="7"/>
        <v>3.1660336887549487</v>
      </c>
      <c r="H34" s="17">
        <v>0.40749279185558285</v>
      </c>
      <c r="I34" s="15" t="s">
        <v>5</v>
      </c>
    </row>
    <row r="35" spans="1:9" s="21" customFormat="1" x14ac:dyDescent="0.2">
      <c r="A35" s="18" t="s">
        <v>23</v>
      </c>
      <c r="B35" s="19">
        <v>18</v>
      </c>
      <c r="C35" s="19">
        <v>7</v>
      </c>
      <c r="D35" s="19" t="s">
        <v>26</v>
      </c>
      <c r="E35" s="19" t="s">
        <v>66</v>
      </c>
      <c r="F35" s="19">
        <f>(H35-0.0549)/0.0239*80</f>
        <v>899.49908955157764</v>
      </c>
      <c r="G35" s="11">
        <f>(F23-F35)/F23*100</f>
        <v>22.082643209740958</v>
      </c>
      <c r="H35" s="20">
        <v>0.32362535300353384</v>
      </c>
      <c r="I35" s="19" t="s">
        <v>5</v>
      </c>
    </row>
    <row r="36" spans="1:9" x14ac:dyDescent="0.2">
      <c r="A36" s="14" t="s">
        <v>13</v>
      </c>
      <c r="B36" s="15">
        <v>18</v>
      </c>
      <c r="C36" s="15">
        <v>7</v>
      </c>
      <c r="D36" s="15" t="s">
        <v>27</v>
      </c>
      <c r="E36" s="15" t="s">
        <v>66</v>
      </c>
      <c r="F36" s="15">
        <f>(H36-0.0549)/0.0239*80</f>
        <v>1088.8896597900571</v>
      </c>
      <c r="G36" s="11">
        <f t="shared" ref="G36:G38" si="8">(F24-F36)/F24*100</f>
        <v>-1.5679640372056813</v>
      </c>
      <c r="H36" s="17">
        <v>0.3802057858622796</v>
      </c>
      <c r="I36" s="15" t="s">
        <v>5</v>
      </c>
    </row>
    <row r="37" spans="1:9" x14ac:dyDescent="0.2">
      <c r="A37" s="14" t="s">
        <v>15</v>
      </c>
      <c r="B37" s="15">
        <v>18</v>
      </c>
      <c r="C37" s="15">
        <v>7</v>
      </c>
      <c r="D37" s="15" t="s">
        <v>15</v>
      </c>
      <c r="E37" s="15" t="s">
        <v>66</v>
      </c>
      <c r="F37" s="15">
        <f>(H37-0.0549)/0.0239*80</f>
        <v>2076.5976029153749</v>
      </c>
      <c r="G37" s="11">
        <f t="shared" si="8"/>
        <v>-84.439893568798738</v>
      </c>
      <c r="H37" s="17">
        <v>0.67528353387096818</v>
      </c>
      <c r="I37" s="15" t="s">
        <v>5</v>
      </c>
    </row>
    <row r="38" spans="1:9" x14ac:dyDescent="0.2">
      <c r="A38" s="14" t="s">
        <v>14</v>
      </c>
      <c r="B38" s="15">
        <v>18</v>
      </c>
      <c r="C38" s="15">
        <v>7</v>
      </c>
      <c r="D38" s="15" t="s">
        <v>24</v>
      </c>
      <c r="E38" s="15" t="s">
        <v>66</v>
      </c>
      <c r="F38" s="15">
        <f>(H38-0.0549)/0.0239*80</f>
        <v>1313.3830343741399</v>
      </c>
      <c r="G38" s="11">
        <f t="shared" si="8"/>
        <v>-7.7590135655288686</v>
      </c>
      <c r="H38" s="17">
        <v>0.44727318151927437</v>
      </c>
      <c r="I38" s="15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20CD-EE77-9241-A36D-DA852846B2A4}">
  <dimension ref="A1:F91"/>
  <sheetViews>
    <sheetView workbookViewId="0">
      <selection activeCell="C18" sqref="C18"/>
    </sheetView>
  </sheetViews>
  <sheetFormatPr baseColWidth="10" defaultRowHeight="16" x14ac:dyDescent="0.2"/>
  <sheetData>
    <row r="1" spans="1:6" x14ac:dyDescent="0.2">
      <c r="A1" t="s">
        <v>0</v>
      </c>
      <c r="B1" t="s">
        <v>29</v>
      </c>
      <c r="C1" t="s">
        <v>30</v>
      </c>
      <c r="D1" t="s">
        <v>2</v>
      </c>
      <c r="E1" t="s">
        <v>1</v>
      </c>
      <c r="F1" t="s">
        <v>18</v>
      </c>
    </row>
    <row r="2" spans="1:6" x14ac:dyDescent="0.2">
      <c r="A2" t="s">
        <v>33</v>
      </c>
      <c r="B2" t="s">
        <v>34</v>
      </c>
      <c r="C2" t="s">
        <v>35</v>
      </c>
      <c r="D2" t="s">
        <v>58</v>
      </c>
      <c r="E2">
        <v>1</v>
      </c>
      <c r="F2">
        <v>317.42929103270473</v>
      </c>
    </row>
    <row r="3" spans="1:6" x14ac:dyDescent="0.2">
      <c r="A3" t="s">
        <v>36</v>
      </c>
      <c r="B3" s="5" t="s">
        <v>34</v>
      </c>
      <c r="C3" s="6" t="s">
        <v>35</v>
      </c>
      <c r="D3" s="6" t="s">
        <v>58</v>
      </c>
      <c r="E3" s="7">
        <v>1</v>
      </c>
      <c r="F3">
        <v>334.66670838110957</v>
      </c>
    </row>
    <row r="4" spans="1:6" x14ac:dyDescent="0.2">
      <c r="A4" t="s">
        <v>37</v>
      </c>
      <c r="B4" s="8" t="s">
        <v>34</v>
      </c>
      <c r="C4" s="4" t="s">
        <v>35</v>
      </c>
      <c r="D4" s="4" t="s">
        <v>58</v>
      </c>
      <c r="E4" s="4">
        <v>1</v>
      </c>
      <c r="F4">
        <v>297.88254893473811</v>
      </c>
    </row>
    <row r="5" spans="1:6" x14ac:dyDescent="0.2">
      <c r="A5" t="s">
        <v>38</v>
      </c>
      <c r="B5" s="8" t="s">
        <v>34</v>
      </c>
      <c r="C5" s="4" t="s">
        <v>39</v>
      </c>
      <c r="D5" s="4" t="s">
        <v>59</v>
      </c>
      <c r="E5" s="4">
        <v>1</v>
      </c>
      <c r="F5">
        <v>317.42929103270473</v>
      </c>
    </row>
    <row r="6" spans="1:6" x14ac:dyDescent="0.2">
      <c r="A6" t="s">
        <v>40</v>
      </c>
      <c r="B6" s="8" t="s">
        <v>34</v>
      </c>
      <c r="C6" s="4" t="s">
        <v>39</v>
      </c>
      <c r="D6" s="4" t="s">
        <v>59</v>
      </c>
      <c r="E6" s="4">
        <v>1</v>
      </c>
      <c r="F6">
        <v>293.76446521729184</v>
      </c>
    </row>
    <row r="7" spans="1:6" x14ac:dyDescent="0.2">
      <c r="A7" t="s">
        <v>41</v>
      </c>
      <c r="B7" s="8" t="s">
        <v>34</v>
      </c>
      <c r="C7" s="4" t="s">
        <v>39</v>
      </c>
      <c r="D7" s="4" t="s">
        <v>59</v>
      </c>
      <c r="E7" s="4">
        <v>1</v>
      </c>
      <c r="F7">
        <v>329.30661401879377</v>
      </c>
    </row>
    <row r="8" spans="1:6" x14ac:dyDescent="0.2">
      <c r="A8" t="s">
        <v>42</v>
      </c>
      <c r="B8" s="8" t="s">
        <v>32</v>
      </c>
      <c r="C8" s="4" t="s">
        <v>35</v>
      </c>
      <c r="D8" s="4" t="s">
        <v>60</v>
      </c>
      <c r="E8" s="4">
        <v>1</v>
      </c>
      <c r="F8">
        <v>509.86433252187112</v>
      </c>
    </row>
    <row r="9" spans="1:6" x14ac:dyDescent="0.2">
      <c r="A9" t="s">
        <v>43</v>
      </c>
      <c r="B9" s="8" t="s">
        <v>32</v>
      </c>
      <c r="C9" s="4" t="s">
        <v>35</v>
      </c>
      <c r="D9" s="4" t="s">
        <v>60</v>
      </c>
      <c r="E9" s="4">
        <v>1</v>
      </c>
      <c r="F9">
        <v>313.83251561994302</v>
      </c>
    </row>
    <row r="10" spans="1:6" x14ac:dyDescent="0.2">
      <c r="A10" t="s">
        <v>44</v>
      </c>
      <c r="B10" s="8" t="s">
        <v>32</v>
      </c>
      <c r="C10" s="4" t="s">
        <v>35</v>
      </c>
      <c r="D10" s="4" t="s">
        <v>60</v>
      </c>
      <c r="E10" s="4">
        <v>1</v>
      </c>
      <c r="F10">
        <v>492.24855900391572</v>
      </c>
    </row>
    <row r="11" spans="1:6" x14ac:dyDescent="0.2">
      <c r="A11" t="s">
        <v>45</v>
      </c>
      <c r="B11" s="8" t="s">
        <v>32</v>
      </c>
      <c r="C11" s="4" t="s">
        <v>39</v>
      </c>
      <c r="D11" s="4" t="s">
        <v>61</v>
      </c>
      <c r="E11" s="4">
        <v>1</v>
      </c>
      <c r="F11">
        <v>349.16170839667842</v>
      </c>
    </row>
    <row r="12" spans="1:6" x14ac:dyDescent="0.2">
      <c r="A12" t="s">
        <v>46</v>
      </c>
      <c r="B12" s="8" t="s">
        <v>32</v>
      </c>
      <c r="C12" s="4" t="s">
        <v>39</v>
      </c>
      <c r="D12" s="4" t="s">
        <v>61</v>
      </c>
      <c r="E12" s="4">
        <v>1</v>
      </c>
      <c r="F12">
        <v>328.74952891534895</v>
      </c>
    </row>
    <row r="13" spans="1:6" x14ac:dyDescent="0.2">
      <c r="A13" t="s">
        <v>47</v>
      </c>
      <c r="B13" s="8" t="s">
        <v>32</v>
      </c>
      <c r="C13" s="4" t="s">
        <v>39</v>
      </c>
      <c r="D13" s="4" t="s">
        <v>61</v>
      </c>
      <c r="E13" s="4">
        <v>1</v>
      </c>
      <c r="F13">
        <v>329.48970865770713</v>
      </c>
    </row>
    <row r="14" spans="1:6" x14ac:dyDescent="0.2">
      <c r="A14" t="s">
        <v>48</v>
      </c>
      <c r="B14" s="8" t="s">
        <v>31</v>
      </c>
      <c r="C14" s="4" t="s">
        <v>35</v>
      </c>
      <c r="D14" s="4" t="s">
        <v>62</v>
      </c>
      <c r="E14" s="4">
        <v>1</v>
      </c>
      <c r="F14">
        <v>379.59255851821138</v>
      </c>
    </row>
    <row r="15" spans="1:6" x14ac:dyDescent="0.2">
      <c r="A15" t="s">
        <v>49</v>
      </c>
      <c r="B15" s="8" t="s">
        <v>31</v>
      </c>
      <c r="C15" s="4" t="s">
        <v>35</v>
      </c>
      <c r="D15" s="4" t="s">
        <v>62</v>
      </c>
      <c r="E15" s="4">
        <v>1</v>
      </c>
      <c r="F15">
        <v>363.86069572935617</v>
      </c>
    </row>
    <row r="16" spans="1:6" x14ac:dyDescent="0.2">
      <c r="A16" t="s">
        <v>50</v>
      </c>
      <c r="B16" s="8" t="s">
        <v>31</v>
      </c>
      <c r="C16" s="4" t="s">
        <v>35</v>
      </c>
      <c r="D16" s="4" t="s">
        <v>62</v>
      </c>
      <c r="E16" s="4">
        <v>1</v>
      </c>
      <c r="F16">
        <v>410.53306787921667</v>
      </c>
    </row>
    <row r="17" spans="1:6" x14ac:dyDescent="0.2">
      <c r="A17" t="s">
        <v>51</v>
      </c>
      <c r="B17" s="8" t="s">
        <v>31</v>
      </c>
      <c r="C17" s="4" t="s">
        <v>39</v>
      </c>
      <c r="D17" s="4" t="s">
        <v>63</v>
      </c>
      <c r="E17" s="4">
        <v>1</v>
      </c>
      <c r="F17">
        <v>336.56467208943928</v>
      </c>
    </row>
    <row r="18" spans="1:6" x14ac:dyDescent="0.2">
      <c r="A18" t="s">
        <v>52</v>
      </c>
      <c r="B18" s="8" t="s">
        <v>31</v>
      </c>
      <c r="C18" s="4" t="s">
        <v>39</v>
      </c>
      <c r="D18" s="4" t="s">
        <v>63</v>
      </c>
      <c r="E18" s="4">
        <v>1</v>
      </c>
      <c r="F18">
        <v>414.55849870528198</v>
      </c>
    </row>
    <row r="19" spans="1:6" x14ac:dyDescent="0.2">
      <c r="A19" t="s">
        <v>53</v>
      </c>
      <c r="B19" s="8" t="s">
        <v>31</v>
      </c>
      <c r="C19" s="4" t="s">
        <v>39</v>
      </c>
      <c r="D19" s="4" t="s">
        <v>63</v>
      </c>
      <c r="E19" s="4">
        <v>1</v>
      </c>
      <c r="F19">
        <v>590.51728253688361</v>
      </c>
    </row>
    <row r="20" spans="1:6" x14ac:dyDescent="0.2">
      <c r="A20" t="s">
        <v>54</v>
      </c>
      <c r="B20" s="8" t="s">
        <v>34</v>
      </c>
      <c r="C20" s="4" t="s">
        <v>35</v>
      </c>
      <c r="D20" s="4" t="s">
        <v>58</v>
      </c>
      <c r="E20" s="4">
        <v>4</v>
      </c>
      <c r="F20">
        <v>520.97365641777242</v>
      </c>
    </row>
    <row r="21" spans="1:6" x14ac:dyDescent="0.2">
      <c r="A21" t="s">
        <v>36</v>
      </c>
      <c r="B21" s="8" t="s">
        <v>34</v>
      </c>
      <c r="C21" s="4" t="s">
        <v>35</v>
      </c>
      <c r="D21" s="4" t="s">
        <v>58</v>
      </c>
      <c r="E21" s="4">
        <v>4</v>
      </c>
      <c r="F21">
        <v>419.13312276145547</v>
      </c>
    </row>
    <row r="22" spans="1:6" x14ac:dyDescent="0.2">
      <c r="A22" t="s">
        <v>37</v>
      </c>
      <c r="B22" s="8" t="s">
        <v>34</v>
      </c>
      <c r="C22" s="4" t="s">
        <v>35</v>
      </c>
      <c r="D22" s="4" t="s">
        <v>58</v>
      </c>
      <c r="E22" s="4">
        <v>4</v>
      </c>
      <c r="F22">
        <v>459.7032583080852</v>
      </c>
    </row>
    <row r="23" spans="1:6" x14ac:dyDescent="0.2">
      <c r="A23" t="s">
        <v>38</v>
      </c>
      <c r="B23" s="8" t="s">
        <v>34</v>
      </c>
      <c r="C23" s="4" t="s">
        <v>39</v>
      </c>
      <c r="D23" s="4" t="s">
        <v>59</v>
      </c>
      <c r="E23" s="4">
        <v>4</v>
      </c>
      <c r="F23">
        <v>407.61315057952237</v>
      </c>
    </row>
    <row r="24" spans="1:6" x14ac:dyDescent="0.2">
      <c r="A24" t="s">
        <v>40</v>
      </c>
      <c r="B24" s="8" t="s">
        <v>34</v>
      </c>
      <c r="C24" s="4" t="s">
        <v>39</v>
      </c>
      <c r="D24" s="4" t="s">
        <v>59</v>
      </c>
      <c r="E24" s="4">
        <v>4</v>
      </c>
      <c r="F24">
        <v>472.02130185096962</v>
      </c>
    </row>
    <row r="25" spans="1:6" x14ac:dyDescent="0.2">
      <c r="A25" t="s">
        <v>41</v>
      </c>
      <c r="B25" s="8" t="s">
        <v>34</v>
      </c>
      <c r="C25" s="4" t="s">
        <v>39</v>
      </c>
      <c r="D25" s="4" t="s">
        <v>59</v>
      </c>
      <c r="E25" s="4">
        <v>4</v>
      </c>
      <c r="F25">
        <v>399.39625742179703</v>
      </c>
    </row>
    <row r="26" spans="1:6" x14ac:dyDescent="0.2">
      <c r="A26" t="s">
        <v>42</v>
      </c>
      <c r="B26" s="8" t="s">
        <v>32</v>
      </c>
      <c r="C26" s="4" t="s">
        <v>35</v>
      </c>
      <c r="D26" s="4" t="s">
        <v>60</v>
      </c>
      <c r="E26" s="4">
        <v>4</v>
      </c>
      <c r="F26">
        <v>521.21532841867611</v>
      </c>
    </row>
    <row r="27" spans="1:6" x14ac:dyDescent="0.2">
      <c r="A27" t="s">
        <v>43</v>
      </c>
      <c r="B27" s="8" t="s">
        <v>32</v>
      </c>
      <c r="C27" s="4" t="s">
        <v>35</v>
      </c>
      <c r="D27" s="4" t="s">
        <v>60</v>
      </c>
      <c r="E27" s="4">
        <v>4</v>
      </c>
      <c r="F27">
        <v>608.83396161253472</v>
      </c>
    </row>
    <row r="28" spans="1:6" x14ac:dyDescent="0.2">
      <c r="A28" t="s">
        <v>44</v>
      </c>
      <c r="B28" s="8" t="s">
        <v>32</v>
      </c>
      <c r="C28" s="4" t="s">
        <v>35</v>
      </c>
      <c r="D28" s="4" t="s">
        <v>60</v>
      </c>
      <c r="E28" s="4">
        <v>4</v>
      </c>
      <c r="F28">
        <v>696.45259480639322</v>
      </c>
    </row>
    <row r="29" spans="1:6" x14ac:dyDescent="0.2">
      <c r="A29" t="s">
        <v>45</v>
      </c>
      <c r="B29" s="8" t="s">
        <v>32</v>
      </c>
      <c r="C29" s="4" t="s">
        <v>39</v>
      </c>
      <c r="D29" s="4" t="s">
        <v>61</v>
      </c>
      <c r="E29" s="4">
        <v>4</v>
      </c>
      <c r="F29">
        <v>373.93113704764028</v>
      </c>
    </row>
    <row r="30" spans="1:6" x14ac:dyDescent="0.2">
      <c r="A30" t="s">
        <v>46</v>
      </c>
      <c r="B30" s="8" t="s">
        <v>32</v>
      </c>
      <c r="C30" s="4" t="s">
        <v>39</v>
      </c>
      <c r="D30" s="4" t="s">
        <v>61</v>
      </c>
      <c r="E30" s="4">
        <v>4</v>
      </c>
      <c r="F30">
        <v>502.52539324590157</v>
      </c>
    </row>
    <row r="31" spans="1:6" x14ac:dyDescent="0.2">
      <c r="A31" t="s">
        <v>47</v>
      </c>
      <c r="B31" s="8" t="s">
        <v>32</v>
      </c>
      <c r="C31" s="4" t="s">
        <v>39</v>
      </c>
      <c r="D31" s="4" t="s">
        <v>61</v>
      </c>
      <c r="E31" s="4">
        <v>4</v>
      </c>
      <c r="F31">
        <v>716.82765019604278</v>
      </c>
    </row>
    <row r="32" spans="1:6" x14ac:dyDescent="0.2">
      <c r="A32" t="s">
        <v>48</v>
      </c>
      <c r="B32" s="8" t="s">
        <v>31</v>
      </c>
      <c r="C32" s="4" t="s">
        <v>35</v>
      </c>
      <c r="D32" s="4" t="s">
        <v>62</v>
      </c>
      <c r="E32" s="4">
        <v>4</v>
      </c>
      <c r="F32">
        <v>418.41517572968598</v>
      </c>
    </row>
    <row r="33" spans="1:6" x14ac:dyDescent="0.2">
      <c r="A33" t="s">
        <v>49</v>
      </c>
      <c r="B33" s="8" t="s">
        <v>31</v>
      </c>
      <c r="C33" s="4" t="s">
        <v>35</v>
      </c>
      <c r="D33" s="4" t="s">
        <v>62</v>
      </c>
      <c r="E33" s="4">
        <v>4</v>
      </c>
      <c r="F33">
        <v>560.70594597878301</v>
      </c>
    </row>
    <row r="34" spans="1:6" x14ac:dyDescent="0.2">
      <c r="A34" t="s">
        <v>50</v>
      </c>
      <c r="B34" s="8" t="s">
        <v>31</v>
      </c>
      <c r="C34" s="4" t="s">
        <v>35</v>
      </c>
      <c r="D34" s="4" t="s">
        <v>62</v>
      </c>
      <c r="E34" s="4">
        <v>4</v>
      </c>
      <c r="F34">
        <v>505.75158522478409</v>
      </c>
    </row>
    <row r="35" spans="1:6" x14ac:dyDescent="0.2">
      <c r="A35" t="s">
        <v>51</v>
      </c>
      <c r="B35" s="8" t="s">
        <v>31</v>
      </c>
      <c r="C35" s="4" t="s">
        <v>39</v>
      </c>
      <c r="D35" s="4" t="s">
        <v>63</v>
      </c>
      <c r="E35" s="4">
        <v>4</v>
      </c>
      <c r="F35">
        <v>535.53108913171684</v>
      </c>
    </row>
    <row r="36" spans="1:6" x14ac:dyDescent="0.2">
      <c r="A36" t="s">
        <v>52</v>
      </c>
      <c r="B36" s="8" t="s">
        <v>31</v>
      </c>
      <c r="C36" s="4" t="s">
        <v>39</v>
      </c>
      <c r="D36" s="4" t="s">
        <v>63</v>
      </c>
      <c r="E36" s="4">
        <v>4</v>
      </c>
      <c r="F36">
        <v>428.88684886361028</v>
      </c>
    </row>
    <row r="37" spans="1:6" x14ac:dyDescent="0.2">
      <c r="A37" t="s">
        <v>53</v>
      </c>
      <c r="B37" s="8" t="s">
        <v>31</v>
      </c>
      <c r="C37" s="4" t="s">
        <v>39</v>
      </c>
      <c r="D37" s="4" t="s">
        <v>63</v>
      </c>
      <c r="E37" s="4">
        <v>4</v>
      </c>
      <c r="F37">
        <v>497.68902214054799</v>
      </c>
    </row>
    <row r="38" spans="1:6" x14ac:dyDescent="0.2">
      <c r="A38" t="s">
        <v>55</v>
      </c>
      <c r="B38" s="8" t="s">
        <v>34</v>
      </c>
      <c r="C38" s="4" t="s">
        <v>35</v>
      </c>
      <c r="D38" s="4" t="s">
        <v>58</v>
      </c>
      <c r="E38" s="4">
        <v>9</v>
      </c>
      <c r="F38">
        <v>358.52820225430122</v>
      </c>
    </row>
    <row r="39" spans="1:6" x14ac:dyDescent="0.2">
      <c r="A39" t="s">
        <v>36</v>
      </c>
      <c r="B39" s="8" t="s">
        <v>34</v>
      </c>
      <c r="C39" s="4" t="s">
        <v>35</v>
      </c>
      <c r="D39" s="4" t="s">
        <v>58</v>
      </c>
      <c r="E39" s="4">
        <v>9</v>
      </c>
      <c r="F39">
        <v>459.89537804979943</v>
      </c>
    </row>
    <row r="40" spans="1:6" x14ac:dyDescent="0.2">
      <c r="A40" t="s">
        <v>37</v>
      </c>
      <c r="B40" s="8" t="s">
        <v>34</v>
      </c>
      <c r="C40" s="4" t="s">
        <v>35</v>
      </c>
      <c r="D40" s="4" t="s">
        <v>58</v>
      </c>
      <c r="E40" s="4">
        <v>9</v>
      </c>
      <c r="F40">
        <v>453.55722312924161</v>
      </c>
    </row>
    <row r="41" spans="1:6" x14ac:dyDescent="0.2">
      <c r="A41" t="s">
        <v>38</v>
      </c>
      <c r="B41" s="8" t="s">
        <v>34</v>
      </c>
      <c r="C41" s="4" t="s">
        <v>39</v>
      </c>
      <c r="D41" s="4" t="s">
        <v>59</v>
      </c>
      <c r="E41" s="4">
        <v>9</v>
      </c>
      <c r="F41">
        <v>453.44237531861756</v>
      </c>
    </row>
    <row r="42" spans="1:6" x14ac:dyDescent="0.2">
      <c r="A42" t="s">
        <v>40</v>
      </c>
      <c r="B42" s="8" t="s">
        <v>34</v>
      </c>
      <c r="C42" s="4" t="s">
        <v>39</v>
      </c>
      <c r="D42" s="4" t="s">
        <v>59</v>
      </c>
      <c r="E42" s="4">
        <v>9</v>
      </c>
      <c r="F42">
        <v>283.53941020130776</v>
      </c>
    </row>
    <row r="43" spans="1:6" x14ac:dyDescent="0.2">
      <c r="A43" t="s">
        <v>41</v>
      </c>
      <c r="B43" s="8" t="s">
        <v>34</v>
      </c>
      <c r="C43" s="4" t="s">
        <v>39</v>
      </c>
      <c r="D43" s="4" t="s">
        <v>59</v>
      </c>
      <c r="E43" s="4">
        <v>9</v>
      </c>
      <c r="F43">
        <v>462.48749799940521</v>
      </c>
    </row>
    <row r="44" spans="1:6" x14ac:dyDescent="0.2">
      <c r="A44" t="s">
        <v>42</v>
      </c>
      <c r="B44" s="8" t="s">
        <v>32</v>
      </c>
      <c r="C44" s="4" t="s">
        <v>35</v>
      </c>
      <c r="D44" s="4" t="s">
        <v>60</v>
      </c>
      <c r="E44" s="4">
        <v>9</v>
      </c>
      <c r="F44">
        <v>411.5190662596475</v>
      </c>
    </row>
    <row r="45" spans="1:6" x14ac:dyDescent="0.2">
      <c r="A45" t="s">
        <v>43</v>
      </c>
      <c r="B45" s="8" t="s">
        <v>32</v>
      </c>
      <c r="C45" s="4" t="s">
        <v>35</v>
      </c>
      <c r="D45" s="4" t="s">
        <v>60</v>
      </c>
      <c r="E45" s="4">
        <v>9</v>
      </c>
      <c r="F45">
        <v>431.88665818709268</v>
      </c>
    </row>
    <row r="46" spans="1:6" x14ac:dyDescent="0.2">
      <c r="A46" t="s">
        <v>44</v>
      </c>
      <c r="B46" s="8" t="s">
        <v>32</v>
      </c>
      <c r="C46" s="4" t="s">
        <v>35</v>
      </c>
      <c r="D46" s="4" t="s">
        <v>60</v>
      </c>
      <c r="E46" s="4">
        <v>9</v>
      </c>
      <c r="F46">
        <v>596.00708507670834</v>
      </c>
    </row>
    <row r="47" spans="1:6" x14ac:dyDescent="0.2">
      <c r="A47" t="s">
        <v>45</v>
      </c>
      <c r="B47" s="8" t="s">
        <v>32</v>
      </c>
      <c r="C47" s="4" t="s">
        <v>39</v>
      </c>
      <c r="D47" s="4" t="s">
        <v>61</v>
      </c>
      <c r="E47" s="4">
        <v>9</v>
      </c>
      <c r="F47">
        <v>409.54410216495006</v>
      </c>
    </row>
    <row r="48" spans="1:6" x14ac:dyDescent="0.2">
      <c r="A48" t="s">
        <v>46</v>
      </c>
      <c r="B48" s="8" t="s">
        <v>32</v>
      </c>
      <c r="C48" s="4" t="s">
        <v>39</v>
      </c>
      <c r="D48" s="4" t="s">
        <v>61</v>
      </c>
      <c r="E48" s="4">
        <v>9</v>
      </c>
      <c r="F48">
        <v>429.56634246849256</v>
      </c>
    </row>
    <row r="49" spans="1:6" x14ac:dyDescent="0.2">
      <c r="A49" t="s">
        <v>47</v>
      </c>
      <c r="B49" s="8" t="s">
        <v>32</v>
      </c>
      <c r="C49" s="4" t="s">
        <v>39</v>
      </c>
      <c r="D49" s="4" t="s">
        <v>61</v>
      </c>
      <c r="E49" s="4">
        <v>9</v>
      </c>
      <c r="F49">
        <v>377.26730251824745</v>
      </c>
    </row>
    <row r="50" spans="1:6" x14ac:dyDescent="0.2">
      <c r="A50" t="s">
        <v>48</v>
      </c>
      <c r="B50" s="8" t="s">
        <v>31</v>
      </c>
      <c r="C50" s="4" t="s">
        <v>35</v>
      </c>
      <c r="D50" s="4" t="s">
        <v>62</v>
      </c>
      <c r="E50" s="4">
        <v>9</v>
      </c>
      <c r="F50">
        <v>696.69573798874683</v>
      </c>
    </row>
    <row r="51" spans="1:6" x14ac:dyDescent="0.2">
      <c r="A51" t="s">
        <v>49</v>
      </c>
      <c r="B51" s="8" t="s">
        <v>31</v>
      </c>
      <c r="C51" s="4" t="s">
        <v>35</v>
      </c>
      <c r="D51" s="4" t="s">
        <v>62</v>
      </c>
      <c r="E51" s="4">
        <v>9</v>
      </c>
      <c r="F51">
        <v>407.55353595385202</v>
      </c>
    </row>
    <row r="52" spans="1:6" x14ac:dyDescent="0.2">
      <c r="A52" t="s">
        <v>50</v>
      </c>
      <c r="B52" s="8" t="s">
        <v>31</v>
      </c>
      <c r="C52" s="4" t="s">
        <v>35</v>
      </c>
      <c r="D52" s="4" t="s">
        <v>62</v>
      </c>
      <c r="E52" s="4">
        <v>9</v>
      </c>
      <c r="F52">
        <v>375.46351347999172</v>
      </c>
    </row>
    <row r="53" spans="1:6" x14ac:dyDescent="0.2">
      <c r="A53" t="s">
        <v>51</v>
      </c>
      <c r="B53" s="8" t="s">
        <v>31</v>
      </c>
      <c r="C53" s="4" t="s">
        <v>39</v>
      </c>
      <c r="D53" s="4" t="s">
        <v>63</v>
      </c>
      <c r="E53" s="4">
        <v>9</v>
      </c>
      <c r="F53">
        <v>425.28120323894461</v>
      </c>
    </row>
    <row r="54" spans="1:6" x14ac:dyDescent="0.2">
      <c r="A54" t="s">
        <v>52</v>
      </c>
      <c r="B54" s="8" t="s">
        <v>31</v>
      </c>
      <c r="C54" s="4" t="s">
        <v>39</v>
      </c>
      <c r="D54" s="4" t="s">
        <v>63</v>
      </c>
      <c r="E54" s="4">
        <v>9</v>
      </c>
      <c r="F54">
        <v>344.47051118132043</v>
      </c>
    </row>
    <row r="55" spans="1:6" x14ac:dyDescent="0.2">
      <c r="A55" t="s">
        <v>53</v>
      </c>
      <c r="B55" s="8" t="s">
        <v>31</v>
      </c>
      <c r="C55" s="4" t="s">
        <v>39</v>
      </c>
      <c r="D55" s="4" t="s">
        <v>63</v>
      </c>
      <c r="E55" s="4">
        <v>9</v>
      </c>
      <c r="F55">
        <v>414.98972726496442</v>
      </c>
    </row>
    <row r="56" spans="1:6" x14ac:dyDescent="0.2">
      <c r="A56" t="s">
        <v>56</v>
      </c>
      <c r="B56" s="8" t="s">
        <v>34</v>
      </c>
      <c r="C56" s="4" t="s">
        <v>35</v>
      </c>
      <c r="D56" s="4" t="s">
        <v>58</v>
      </c>
      <c r="E56" s="4">
        <v>13</v>
      </c>
      <c r="F56">
        <v>225.70006349206366</v>
      </c>
    </row>
    <row r="57" spans="1:6" x14ac:dyDescent="0.2">
      <c r="A57" t="s">
        <v>36</v>
      </c>
      <c r="B57" s="8" t="s">
        <v>34</v>
      </c>
      <c r="C57" s="4" t="s">
        <v>35</v>
      </c>
      <c r="D57" s="4" t="s">
        <v>58</v>
      </c>
      <c r="E57" s="4">
        <v>13</v>
      </c>
      <c r="F57">
        <v>465.97335379062775</v>
      </c>
    </row>
    <row r="58" spans="1:6" x14ac:dyDescent="0.2">
      <c r="A58" t="s">
        <v>37</v>
      </c>
      <c r="B58" s="8" t="s">
        <v>34</v>
      </c>
      <c r="C58" s="4" t="s">
        <v>35</v>
      </c>
      <c r="D58" s="4" t="s">
        <v>58</v>
      </c>
      <c r="E58" s="4">
        <v>13</v>
      </c>
      <c r="F58">
        <v>355.91516416202813</v>
      </c>
    </row>
    <row r="59" spans="1:6" x14ac:dyDescent="0.2">
      <c r="A59" t="s">
        <v>38</v>
      </c>
      <c r="B59" s="8" t="s">
        <v>34</v>
      </c>
      <c r="C59" s="4" t="s">
        <v>39</v>
      </c>
      <c r="D59" s="4" t="s">
        <v>59</v>
      </c>
      <c r="E59" s="4">
        <v>13</v>
      </c>
      <c r="F59">
        <v>268.86981509465465</v>
      </c>
    </row>
    <row r="60" spans="1:6" x14ac:dyDescent="0.2">
      <c r="A60" t="s">
        <v>40</v>
      </c>
      <c r="B60" s="8" t="s">
        <v>34</v>
      </c>
      <c r="C60" s="4" t="s">
        <v>39</v>
      </c>
      <c r="D60" s="4" t="s">
        <v>59</v>
      </c>
      <c r="E60" s="4">
        <v>13</v>
      </c>
      <c r="F60">
        <v>202.86740322014464</v>
      </c>
    </row>
    <row r="61" spans="1:6" x14ac:dyDescent="0.2">
      <c r="A61" t="s">
        <v>41</v>
      </c>
      <c r="B61" s="8" t="s">
        <v>34</v>
      </c>
      <c r="C61" s="4" t="s">
        <v>39</v>
      </c>
      <c r="D61" s="4" t="s">
        <v>59</v>
      </c>
      <c r="E61" s="4">
        <v>13</v>
      </c>
      <c r="F61">
        <v>302.91215101977588</v>
      </c>
    </row>
    <row r="62" spans="1:6" x14ac:dyDescent="0.2">
      <c r="A62" t="s">
        <v>42</v>
      </c>
      <c r="B62" s="8" t="s">
        <v>32</v>
      </c>
      <c r="C62" s="4" t="s">
        <v>35</v>
      </c>
      <c r="D62" s="4" t="s">
        <v>60</v>
      </c>
      <c r="E62" s="4">
        <v>13</v>
      </c>
      <c r="F62">
        <v>499.62426436683467</v>
      </c>
    </row>
    <row r="63" spans="1:6" x14ac:dyDescent="0.2">
      <c r="A63" t="s">
        <v>43</v>
      </c>
      <c r="B63" s="8" t="s">
        <v>32</v>
      </c>
      <c r="C63" s="4" t="s">
        <v>35</v>
      </c>
      <c r="D63" s="4" t="s">
        <v>60</v>
      </c>
      <c r="E63" s="4">
        <v>13</v>
      </c>
      <c r="F63">
        <v>297.69840771417807</v>
      </c>
    </row>
    <row r="64" spans="1:6" x14ac:dyDescent="0.2">
      <c r="A64" t="s">
        <v>44</v>
      </c>
      <c r="B64" s="8" t="s">
        <v>32</v>
      </c>
      <c r="C64" s="4" t="s">
        <v>35</v>
      </c>
      <c r="D64" s="4" t="s">
        <v>60</v>
      </c>
      <c r="E64" s="4">
        <v>13</v>
      </c>
      <c r="F64">
        <v>419.73909164774591</v>
      </c>
    </row>
    <row r="65" spans="1:6" x14ac:dyDescent="0.2">
      <c r="A65" t="s">
        <v>45</v>
      </c>
      <c r="B65" s="8" t="s">
        <v>32</v>
      </c>
      <c r="C65" s="4" t="s">
        <v>39</v>
      </c>
      <c r="D65" s="4" t="s">
        <v>61</v>
      </c>
      <c r="E65" s="4">
        <v>13</v>
      </c>
      <c r="F65">
        <v>386.9245712008651</v>
      </c>
    </row>
    <row r="66" spans="1:6" x14ac:dyDescent="0.2">
      <c r="A66" t="s">
        <v>46</v>
      </c>
      <c r="B66" s="8" t="s">
        <v>32</v>
      </c>
      <c r="C66" s="4" t="s">
        <v>39</v>
      </c>
      <c r="D66" s="4" t="s">
        <v>61</v>
      </c>
      <c r="E66" s="4">
        <v>13</v>
      </c>
      <c r="F66">
        <v>511.64661554663678</v>
      </c>
    </row>
    <row r="67" spans="1:6" x14ac:dyDescent="0.2">
      <c r="A67" t="s">
        <v>47</v>
      </c>
      <c r="B67" s="8" t="s">
        <v>32</v>
      </c>
      <c r="C67" s="4" t="s">
        <v>39</v>
      </c>
      <c r="D67" s="4" t="s">
        <v>61</v>
      </c>
      <c r="E67" s="4">
        <v>13</v>
      </c>
      <c r="F67">
        <v>305.68494228598013</v>
      </c>
    </row>
    <row r="68" spans="1:6" x14ac:dyDescent="0.2">
      <c r="A68" t="s">
        <v>48</v>
      </c>
      <c r="B68" s="8" t="s">
        <v>31</v>
      </c>
      <c r="C68" s="4" t="s">
        <v>35</v>
      </c>
      <c r="D68" s="4" t="s">
        <v>62</v>
      </c>
      <c r="E68" s="4">
        <v>13</v>
      </c>
      <c r="F68">
        <v>406.63227438590462</v>
      </c>
    </row>
    <row r="69" spans="1:6" x14ac:dyDescent="0.2">
      <c r="A69" t="s">
        <v>49</v>
      </c>
      <c r="B69" s="8" t="s">
        <v>31</v>
      </c>
      <c r="C69" s="4" t="s">
        <v>35</v>
      </c>
      <c r="D69" s="4" t="s">
        <v>62</v>
      </c>
      <c r="E69" s="4">
        <v>13</v>
      </c>
      <c r="F69">
        <v>471.74097203958343</v>
      </c>
    </row>
    <row r="70" spans="1:6" x14ac:dyDescent="0.2">
      <c r="A70" t="s">
        <v>50</v>
      </c>
      <c r="B70" s="8" t="s">
        <v>31</v>
      </c>
      <c r="C70" s="4" t="s">
        <v>35</v>
      </c>
      <c r="D70" s="4" t="s">
        <v>62</v>
      </c>
      <c r="E70" s="4">
        <v>13</v>
      </c>
      <c r="F70">
        <v>817.31762995853899</v>
      </c>
    </row>
    <row r="71" spans="1:6" x14ac:dyDescent="0.2">
      <c r="A71" t="s">
        <v>51</v>
      </c>
      <c r="B71" s="8" t="s">
        <v>31</v>
      </c>
      <c r="C71" s="4" t="s">
        <v>39</v>
      </c>
      <c r="D71" s="4" t="s">
        <v>63</v>
      </c>
      <c r="E71" s="4">
        <v>13</v>
      </c>
      <c r="F71">
        <v>531.51179233199593</v>
      </c>
    </row>
    <row r="72" spans="1:6" x14ac:dyDescent="0.2">
      <c r="A72" t="s">
        <v>52</v>
      </c>
      <c r="B72" s="8" t="s">
        <v>31</v>
      </c>
      <c r="C72" s="4" t="s">
        <v>39</v>
      </c>
      <c r="D72" s="4" t="s">
        <v>63</v>
      </c>
      <c r="E72" s="4">
        <v>13</v>
      </c>
      <c r="F72">
        <v>404.60454713991589</v>
      </c>
    </row>
    <row r="73" spans="1:6" x14ac:dyDescent="0.2">
      <c r="A73" t="s">
        <v>53</v>
      </c>
      <c r="B73" s="8" t="s">
        <v>31</v>
      </c>
      <c r="C73" s="4" t="s">
        <v>39</v>
      </c>
      <c r="D73" s="4" t="s">
        <v>63</v>
      </c>
      <c r="E73" s="4">
        <v>13</v>
      </c>
      <c r="F73">
        <v>508.42030379794886</v>
      </c>
    </row>
    <row r="74" spans="1:6" x14ac:dyDescent="0.2">
      <c r="A74" t="s">
        <v>57</v>
      </c>
      <c r="B74" t="s">
        <v>34</v>
      </c>
      <c r="C74" t="s">
        <v>35</v>
      </c>
      <c r="D74" t="s">
        <v>58</v>
      </c>
      <c r="E74">
        <v>14.5</v>
      </c>
      <c r="F74">
        <v>284.28179238892221</v>
      </c>
    </row>
    <row r="75" spans="1:6" x14ac:dyDescent="0.2">
      <c r="A75" t="s">
        <v>36</v>
      </c>
      <c r="B75" t="s">
        <v>34</v>
      </c>
      <c r="C75" t="s">
        <v>35</v>
      </c>
      <c r="D75" t="s">
        <v>58</v>
      </c>
      <c r="E75">
        <v>14.5</v>
      </c>
      <c r="F75">
        <v>341.55698342262849</v>
      </c>
    </row>
    <row r="76" spans="1:6" x14ac:dyDescent="0.2">
      <c r="A76" t="s">
        <v>37</v>
      </c>
      <c r="B76" t="s">
        <v>34</v>
      </c>
      <c r="C76" t="s">
        <v>35</v>
      </c>
      <c r="D76" t="s">
        <v>58</v>
      </c>
      <c r="E76">
        <v>14.5</v>
      </c>
      <c r="F76">
        <v>313.72471439579562</v>
      </c>
    </row>
    <row r="77" spans="1:6" x14ac:dyDescent="0.2">
      <c r="A77" t="s">
        <v>38</v>
      </c>
      <c r="B77" t="s">
        <v>34</v>
      </c>
      <c r="C77" t="s">
        <v>39</v>
      </c>
      <c r="D77" t="s">
        <v>59</v>
      </c>
      <c r="E77">
        <v>14.5</v>
      </c>
      <c r="F77">
        <v>173.54607884234474</v>
      </c>
    </row>
    <row r="78" spans="1:6" x14ac:dyDescent="0.2">
      <c r="A78" t="s">
        <v>40</v>
      </c>
      <c r="B78" t="s">
        <v>34</v>
      </c>
      <c r="C78" t="s">
        <v>39</v>
      </c>
      <c r="D78" t="s">
        <v>59</v>
      </c>
      <c r="E78">
        <v>14.5</v>
      </c>
      <c r="F78">
        <v>163.17938480259346</v>
      </c>
    </row>
    <row r="79" spans="1:6" x14ac:dyDescent="0.2">
      <c r="A79" t="s">
        <v>41</v>
      </c>
      <c r="B79" t="s">
        <v>34</v>
      </c>
      <c r="C79" t="s">
        <v>39</v>
      </c>
      <c r="D79" t="s">
        <v>59</v>
      </c>
      <c r="E79">
        <v>14.5</v>
      </c>
      <c r="F79">
        <v>276.22472646411882</v>
      </c>
    </row>
    <row r="80" spans="1:6" x14ac:dyDescent="0.2">
      <c r="A80" t="s">
        <v>42</v>
      </c>
      <c r="B80" t="s">
        <v>32</v>
      </c>
      <c r="C80" t="s">
        <v>35</v>
      </c>
      <c r="D80" t="s">
        <v>60</v>
      </c>
      <c r="E80">
        <v>14.5</v>
      </c>
      <c r="F80">
        <v>539.16290980622875</v>
      </c>
    </row>
    <row r="81" spans="1:6" x14ac:dyDescent="0.2">
      <c r="A81" t="s">
        <v>43</v>
      </c>
      <c r="B81" t="s">
        <v>32</v>
      </c>
      <c r="C81" t="s">
        <v>35</v>
      </c>
      <c r="D81" t="s">
        <v>60</v>
      </c>
      <c r="E81">
        <v>14.5</v>
      </c>
      <c r="F81">
        <v>300.74858058315135</v>
      </c>
    </row>
    <row r="82" spans="1:6" x14ac:dyDescent="0.2">
      <c r="A82" t="s">
        <v>44</v>
      </c>
      <c r="B82" t="s">
        <v>32</v>
      </c>
      <c r="C82" t="s">
        <v>35</v>
      </c>
      <c r="D82" t="s">
        <v>60</v>
      </c>
      <c r="E82">
        <v>14.5</v>
      </c>
      <c r="F82">
        <v>442.20823895229887</v>
      </c>
    </row>
    <row r="83" spans="1:6" x14ac:dyDescent="0.2">
      <c r="A83" t="s">
        <v>45</v>
      </c>
      <c r="B83" t="s">
        <v>32</v>
      </c>
      <c r="C83" t="s">
        <v>39</v>
      </c>
      <c r="D83" t="s">
        <v>61</v>
      </c>
      <c r="E83">
        <v>14.5</v>
      </c>
      <c r="F83">
        <v>339.87155696584443</v>
      </c>
    </row>
    <row r="84" spans="1:6" x14ac:dyDescent="0.2">
      <c r="A84" t="s">
        <v>46</v>
      </c>
      <c r="B84" t="s">
        <v>32</v>
      </c>
      <c r="C84" t="s">
        <v>39</v>
      </c>
      <c r="D84" t="s">
        <v>61</v>
      </c>
      <c r="E84">
        <v>14.5</v>
      </c>
      <c r="F84">
        <v>401.68682054713111</v>
      </c>
    </row>
    <row r="85" spans="1:6" x14ac:dyDescent="0.2">
      <c r="A85" t="s">
        <v>47</v>
      </c>
      <c r="B85" t="s">
        <v>32</v>
      </c>
      <c r="C85" t="s">
        <v>39</v>
      </c>
      <c r="D85" t="s">
        <v>61</v>
      </c>
      <c r="E85">
        <v>14.5</v>
      </c>
      <c r="F85">
        <v>301.78496001128957</v>
      </c>
    </row>
    <row r="86" spans="1:6" x14ac:dyDescent="0.2">
      <c r="A86" t="s">
        <v>48</v>
      </c>
      <c r="B86" t="s">
        <v>31</v>
      </c>
      <c r="C86" t="s">
        <v>35</v>
      </c>
      <c r="D86" t="s">
        <v>62</v>
      </c>
      <c r="E86">
        <v>14.5</v>
      </c>
      <c r="F86">
        <v>371.45126879399311</v>
      </c>
    </row>
    <row r="87" spans="1:6" x14ac:dyDescent="0.2">
      <c r="A87" t="s">
        <v>49</v>
      </c>
      <c r="B87" t="s">
        <v>31</v>
      </c>
      <c r="C87" t="s">
        <v>35</v>
      </c>
      <c r="D87" t="s">
        <v>62</v>
      </c>
      <c r="E87">
        <v>14.5</v>
      </c>
      <c r="F87">
        <v>528.63494618914388</v>
      </c>
    </row>
    <row r="88" spans="1:6" x14ac:dyDescent="0.2">
      <c r="A88" t="s">
        <v>50</v>
      </c>
      <c r="B88" t="s">
        <v>31</v>
      </c>
      <c r="C88" t="s">
        <v>35</v>
      </c>
      <c r="D88" t="s">
        <v>62</v>
      </c>
      <c r="E88">
        <v>14.5</v>
      </c>
      <c r="F88">
        <v>414.77956930753106</v>
      </c>
    </row>
    <row r="89" spans="1:6" x14ac:dyDescent="0.2">
      <c r="A89" t="s">
        <v>51</v>
      </c>
      <c r="B89" t="s">
        <v>31</v>
      </c>
      <c r="C89" t="s">
        <v>39</v>
      </c>
      <c r="D89" t="s">
        <v>63</v>
      </c>
      <c r="E89">
        <v>14.5</v>
      </c>
      <c r="F89">
        <v>611.40476534011896</v>
      </c>
    </row>
    <row r="90" spans="1:6" x14ac:dyDescent="0.2">
      <c r="A90" t="s">
        <v>52</v>
      </c>
      <c r="B90" t="s">
        <v>31</v>
      </c>
      <c r="C90" t="s">
        <v>39</v>
      </c>
      <c r="D90" t="s">
        <v>63</v>
      </c>
      <c r="E90">
        <v>14.5</v>
      </c>
      <c r="F90">
        <v>452.66943821317705</v>
      </c>
    </row>
    <row r="91" spans="1:6" x14ac:dyDescent="0.2">
      <c r="A91" t="s">
        <v>53</v>
      </c>
      <c r="B91" t="s">
        <v>31</v>
      </c>
      <c r="C91" t="s">
        <v>39</v>
      </c>
      <c r="D91" t="s">
        <v>63</v>
      </c>
      <c r="E91">
        <v>14.5</v>
      </c>
      <c r="F91">
        <v>416.03642639652639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2CDA-901E-194B-B76A-8035FD93F3B3}">
  <dimension ref="A1:I46"/>
  <sheetViews>
    <sheetView workbookViewId="0">
      <selection activeCell="C31" sqref="C31"/>
    </sheetView>
  </sheetViews>
  <sheetFormatPr baseColWidth="10" defaultRowHeight="16" x14ac:dyDescent="0.2"/>
  <cols>
    <col min="6" max="7" width="14.33203125" customWidth="1"/>
  </cols>
  <sheetData>
    <row r="1" spans="1:9" x14ac:dyDescent="0.2">
      <c r="A1" s="3" t="s">
        <v>0</v>
      </c>
      <c r="B1" s="2" t="s">
        <v>64</v>
      </c>
      <c r="C1" s="2" t="s">
        <v>1</v>
      </c>
      <c r="D1" s="2" t="s">
        <v>2</v>
      </c>
      <c r="E1" s="2" t="s">
        <v>3</v>
      </c>
      <c r="F1" s="2" t="s">
        <v>18</v>
      </c>
      <c r="G1" s="2" t="s">
        <v>17</v>
      </c>
      <c r="H1" s="2" t="s">
        <v>4</v>
      </c>
    </row>
    <row r="2" spans="1:9" x14ac:dyDescent="0.2">
      <c r="A2" s="9" t="s">
        <v>6</v>
      </c>
      <c r="B2" s="10">
        <v>0</v>
      </c>
      <c r="C2" s="10">
        <f>B2</f>
        <v>0</v>
      </c>
      <c r="D2" s="11" t="s">
        <v>26</v>
      </c>
      <c r="E2" s="11" t="s">
        <v>65</v>
      </c>
      <c r="F2" s="11">
        <f t="shared" ref="F2:F6" si="0">(G2-0.0549)/0.0239*80</f>
        <v>485.69037656903765</v>
      </c>
      <c r="G2" s="12">
        <v>0.2</v>
      </c>
      <c r="H2" s="10" t="s">
        <v>25</v>
      </c>
      <c r="I2" s="11"/>
    </row>
    <row r="3" spans="1:9" x14ac:dyDescent="0.2">
      <c r="A3" s="9" t="s">
        <v>7</v>
      </c>
      <c r="B3" s="10">
        <v>0</v>
      </c>
      <c r="C3" s="10">
        <f t="shared" ref="C3:C21" si="1">B3</f>
        <v>0</v>
      </c>
      <c r="D3" s="11" t="s">
        <v>26</v>
      </c>
      <c r="E3" s="11" t="s">
        <v>65</v>
      </c>
      <c r="F3" s="11">
        <f t="shared" si="0"/>
        <v>485.69037656903765</v>
      </c>
      <c r="G3" s="12">
        <v>0.2</v>
      </c>
      <c r="H3" s="10" t="s">
        <v>25</v>
      </c>
      <c r="I3" s="11"/>
    </row>
    <row r="4" spans="1:9" x14ac:dyDescent="0.2">
      <c r="A4" s="9" t="s">
        <v>8</v>
      </c>
      <c r="B4" s="10">
        <v>0</v>
      </c>
      <c r="C4" s="10">
        <f t="shared" si="1"/>
        <v>0</v>
      </c>
      <c r="D4" s="11" t="s">
        <v>27</v>
      </c>
      <c r="E4" s="11" t="s">
        <v>65</v>
      </c>
      <c r="F4" s="11">
        <f>(G4-0.0549)/0.0239*80</f>
        <v>485.69037656903765</v>
      </c>
      <c r="G4" s="12">
        <v>0.2</v>
      </c>
      <c r="H4" s="10" t="s">
        <v>25</v>
      </c>
      <c r="I4" s="11"/>
    </row>
    <row r="5" spans="1:9" x14ac:dyDescent="0.2">
      <c r="A5" s="9" t="s">
        <v>9</v>
      </c>
      <c r="B5" s="10">
        <v>0</v>
      </c>
      <c r="C5" s="10">
        <f t="shared" si="1"/>
        <v>0</v>
      </c>
      <c r="D5" s="11" t="s">
        <v>24</v>
      </c>
      <c r="E5" s="11" t="s">
        <v>65</v>
      </c>
      <c r="F5" s="11">
        <f t="shared" si="0"/>
        <v>485.69037656903765</v>
      </c>
      <c r="G5" s="12">
        <v>0.2</v>
      </c>
      <c r="H5" s="10" t="s">
        <v>25</v>
      </c>
      <c r="I5" s="11"/>
    </row>
    <row r="6" spans="1:9" x14ac:dyDescent="0.2">
      <c r="A6" s="9" t="s">
        <v>10</v>
      </c>
      <c r="B6" s="10">
        <v>0</v>
      </c>
      <c r="C6" s="10">
        <f t="shared" si="1"/>
        <v>0</v>
      </c>
      <c r="D6" s="11" t="s">
        <v>15</v>
      </c>
      <c r="E6" s="11" t="s">
        <v>65</v>
      </c>
      <c r="F6" s="11">
        <f t="shared" si="0"/>
        <v>485.69037656903765</v>
      </c>
      <c r="G6" s="12">
        <v>0.2</v>
      </c>
      <c r="H6" s="10" t="s">
        <v>25</v>
      </c>
      <c r="I6" s="11"/>
    </row>
    <row r="7" spans="1:9" x14ac:dyDescent="0.2">
      <c r="A7" s="9" t="s">
        <v>6</v>
      </c>
      <c r="B7" s="11">
        <v>1</v>
      </c>
      <c r="C7" s="10">
        <f t="shared" si="1"/>
        <v>1</v>
      </c>
      <c r="D7" s="11" t="s">
        <v>26</v>
      </c>
      <c r="E7" s="11" t="s">
        <v>65</v>
      </c>
      <c r="F7" s="11">
        <f>(G7-0.0549)/0.0239*80</f>
        <v>405.39810900348164</v>
      </c>
      <c r="G7" s="12">
        <v>0.17601268506479015</v>
      </c>
      <c r="H7" s="11" t="s">
        <v>5</v>
      </c>
      <c r="I7" s="11"/>
    </row>
    <row r="8" spans="1:9" x14ac:dyDescent="0.2">
      <c r="A8" s="9" t="s">
        <v>7</v>
      </c>
      <c r="B8" s="11">
        <v>1</v>
      </c>
      <c r="C8" s="10">
        <f t="shared" si="1"/>
        <v>1</v>
      </c>
      <c r="D8" s="11" t="s">
        <v>26</v>
      </c>
      <c r="E8" s="11" t="s">
        <v>65</v>
      </c>
      <c r="F8" s="11">
        <f t="shared" ref="F8:F46" si="2">(G8-0.0549)/0.0239*80</f>
        <v>394.93314486034166</v>
      </c>
      <c r="G8" s="12">
        <v>0.17288627702702708</v>
      </c>
      <c r="H8" s="11" t="s">
        <v>5</v>
      </c>
      <c r="I8" s="11"/>
    </row>
    <row r="9" spans="1:9" x14ac:dyDescent="0.2">
      <c r="A9" s="9" t="s">
        <v>8</v>
      </c>
      <c r="B9" s="10">
        <v>1</v>
      </c>
      <c r="C9" s="10">
        <f t="shared" si="1"/>
        <v>1</v>
      </c>
      <c r="D9" s="11" t="s">
        <v>27</v>
      </c>
      <c r="E9" s="11" t="s">
        <v>65</v>
      </c>
      <c r="F9" s="11">
        <f t="shared" si="2"/>
        <v>533.88391884979546</v>
      </c>
      <c r="G9" s="12">
        <v>0.21439782075637639</v>
      </c>
      <c r="H9" s="11" t="s">
        <v>5</v>
      </c>
      <c r="I9" s="11"/>
    </row>
    <row r="10" spans="1:9" x14ac:dyDescent="0.2">
      <c r="A10" s="9" t="s">
        <v>9</v>
      </c>
      <c r="B10" s="11">
        <v>1</v>
      </c>
      <c r="C10" s="10">
        <f t="shared" si="1"/>
        <v>1</v>
      </c>
      <c r="D10" s="11" t="s">
        <v>24</v>
      </c>
      <c r="E10" s="11" t="s">
        <v>65</v>
      </c>
      <c r="F10" s="11">
        <f t="shared" si="2"/>
        <v>684.17705604200273</v>
      </c>
      <c r="G10" s="12">
        <v>0.25929789549254834</v>
      </c>
      <c r="H10" s="11" t="s">
        <v>5</v>
      </c>
      <c r="I10" s="11"/>
    </row>
    <row r="11" spans="1:9" x14ac:dyDescent="0.2">
      <c r="A11" s="9" t="s">
        <v>10</v>
      </c>
      <c r="B11" s="11">
        <v>1</v>
      </c>
      <c r="C11" s="10">
        <f t="shared" si="1"/>
        <v>1</v>
      </c>
      <c r="D11" s="11" t="s">
        <v>15</v>
      </c>
      <c r="E11" s="11" t="s">
        <v>65</v>
      </c>
      <c r="F11" s="11">
        <f t="shared" si="2"/>
        <v>733.52227839911723</v>
      </c>
      <c r="G11" s="12">
        <v>0.27403978067173629</v>
      </c>
      <c r="H11" s="11" t="s">
        <v>5</v>
      </c>
      <c r="I11" s="11"/>
    </row>
    <row r="12" spans="1:9" x14ac:dyDescent="0.2">
      <c r="A12" s="9" t="s">
        <v>11</v>
      </c>
      <c r="B12" s="11">
        <v>4</v>
      </c>
      <c r="C12" s="10">
        <f t="shared" si="1"/>
        <v>4</v>
      </c>
      <c r="D12" s="11" t="s">
        <v>26</v>
      </c>
      <c r="E12" s="11" t="s">
        <v>65</v>
      </c>
      <c r="F12" s="11">
        <f t="shared" si="2"/>
        <v>341.90829169366407</v>
      </c>
      <c r="G12" s="12">
        <v>0.15704510214348216</v>
      </c>
      <c r="H12" s="11" t="s">
        <v>5</v>
      </c>
      <c r="I12" s="11"/>
    </row>
    <row r="13" spans="1:9" x14ac:dyDescent="0.2">
      <c r="A13" s="9" t="s">
        <v>12</v>
      </c>
      <c r="B13" s="11">
        <v>4</v>
      </c>
      <c r="C13" s="10">
        <f t="shared" si="1"/>
        <v>4</v>
      </c>
      <c r="D13" s="11" t="s">
        <v>26</v>
      </c>
      <c r="E13" s="11" t="s">
        <v>65</v>
      </c>
      <c r="F13" s="11">
        <f t="shared" si="2"/>
        <v>466.68863601333732</v>
      </c>
      <c r="G13" s="12">
        <v>0.19432323000898455</v>
      </c>
      <c r="H13" s="11" t="s">
        <v>5</v>
      </c>
      <c r="I13" s="11"/>
    </row>
    <row r="14" spans="1:9" x14ac:dyDescent="0.2">
      <c r="A14" s="9" t="s">
        <v>13</v>
      </c>
      <c r="B14" s="11">
        <v>4</v>
      </c>
      <c r="C14" s="10">
        <f t="shared" si="1"/>
        <v>4</v>
      </c>
      <c r="D14" s="11" t="s">
        <v>27</v>
      </c>
      <c r="E14" s="11" t="s">
        <v>65</v>
      </c>
      <c r="F14" s="11">
        <f>(G14-0.0549)/0.0239*80</f>
        <v>437.71166113250388</v>
      </c>
      <c r="G14" s="12">
        <v>0.18566635876333554</v>
      </c>
      <c r="H14" s="11" t="s">
        <v>5</v>
      </c>
      <c r="I14" s="11"/>
    </row>
    <row r="15" spans="1:9" x14ac:dyDescent="0.2">
      <c r="A15" s="9" t="s">
        <v>14</v>
      </c>
      <c r="B15" s="11">
        <v>4</v>
      </c>
      <c r="C15" s="10">
        <f t="shared" si="1"/>
        <v>4</v>
      </c>
      <c r="D15" s="11" t="s">
        <v>24</v>
      </c>
      <c r="E15" s="11" t="s">
        <v>65</v>
      </c>
      <c r="F15" s="11">
        <f t="shared" si="2"/>
        <v>682.90481694938921</v>
      </c>
      <c r="G15" s="12">
        <v>0.25891781406363001</v>
      </c>
      <c r="H15" s="11" t="s">
        <v>5</v>
      </c>
      <c r="I15" s="11"/>
    </row>
    <row r="16" spans="1:9" x14ac:dyDescent="0.2">
      <c r="A16" s="9" t="s">
        <v>15</v>
      </c>
      <c r="B16" s="11">
        <v>4</v>
      </c>
      <c r="C16" s="10">
        <f t="shared" si="1"/>
        <v>4</v>
      </c>
      <c r="D16" s="11" t="s">
        <v>15</v>
      </c>
      <c r="E16" s="11" t="s">
        <v>65</v>
      </c>
      <c r="F16" s="11">
        <f t="shared" si="2"/>
        <v>739.05328387867723</v>
      </c>
      <c r="G16" s="12">
        <v>0.27569216855875484</v>
      </c>
      <c r="H16" s="11" t="s">
        <v>5</v>
      </c>
      <c r="I16" s="11"/>
    </row>
    <row r="17" spans="1:9" x14ac:dyDescent="0.2">
      <c r="A17" s="9" t="s">
        <v>16</v>
      </c>
      <c r="B17" s="11">
        <v>7</v>
      </c>
      <c r="C17" s="10">
        <f t="shared" si="1"/>
        <v>7</v>
      </c>
      <c r="D17" s="11" t="s">
        <v>26</v>
      </c>
      <c r="E17" s="11" t="s">
        <v>65</v>
      </c>
      <c r="F17" s="11">
        <f t="shared" si="2"/>
        <v>424.4640949484052</v>
      </c>
      <c r="G17" s="12">
        <v>0.18170864836583608</v>
      </c>
      <c r="H17" s="11" t="s">
        <v>5</v>
      </c>
      <c r="I17" s="11"/>
    </row>
    <row r="18" spans="1:9" x14ac:dyDescent="0.2">
      <c r="A18" s="9" t="s">
        <v>12</v>
      </c>
      <c r="B18" s="11">
        <v>7</v>
      </c>
      <c r="C18" s="10">
        <f t="shared" si="1"/>
        <v>7</v>
      </c>
      <c r="D18" s="11" t="s">
        <v>26</v>
      </c>
      <c r="E18" s="11" t="s">
        <v>65</v>
      </c>
      <c r="F18" s="11">
        <f t="shared" si="2"/>
        <v>325.59644478587956</v>
      </c>
      <c r="G18" s="12">
        <v>0.15217193787978153</v>
      </c>
      <c r="H18" s="11" t="s">
        <v>5</v>
      </c>
      <c r="I18" s="11"/>
    </row>
    <row r="19" spans="1:9" s="1" customFormat="1" x14ac:dyDescent="0.2">
      <c r="A19" s="9" t="s">
        <v>13</v>
      </c>
      <c r="B19" s="11">
        <v>7</v>
      </c>
      <c r="C19" s="10">
        <f t="shared" si="1"/>
        <v>7</v>
      </c>
      <c r="D19" s="11" t="s">
        <v>27</v>
      </c>
      <c r="E19" s="11" t="s">
        <v>65</v>
      </c>
      <c r="F19" s="11">
        <f t="shared" si="2"/>
        <v>424.4640949484052</v>
      </c>
      <c r="G19" s="12">
        <v>0.18170864836583608</v>
      </c>
      <c r="H19" s="11" t="s">
        <v>5</v>
      </c>
      <c r="I19" s="13"/>
    </row>
    <row r="20" spans="1:9" x14ac:dyDescent="0.2">
      <c r="A20" s="9" t="s">
        <v>14</v>
      </c>
      <c r="B20" s="11">
        <v>7</v>
      </c>
      <c r="C20" s="10">
        <f t="shared" si="1"/>
        <v>7</v>
      </c>
      <c r="D20" s="11" t="s">
        <v>24</v>
      </c>
      <c r="E20" s="11" t="s">
        <v>65</v>
      </c>
      <c r="F20" s="11">
        <f t="shared" si="2"/>
        <v>593.80750011104305</v>
      </c>
      <c r="G20" s="12">
        <v>0.23229999065817414</v>
      </c>
      <c r="H20" s="11" t="s">
        <v>5</v>
      </c>
      <c r="I20" s="11"/>
    </row>
    <row r="21" spans="1:9" x14ac:dyDescent="0.2">
      <c r="A21" s="9" t="s">
        <v>15</v>
      </c>
      <c r="B21" s="11">
        <v>7</v>
      </c>
      <c r="C21" s="10">
        <f t="shared" si="1"/>
        <v>7</v>
      </c>
      <c r="D21" s="11" t="s">
        <v>15</v>
      </c>
      <c r="E21" s="11" t="s">
        <v>65</v>
      </c>
      <c r="F21" s="11">
        <f t="shared" si="2"/>
        <v>1034.9908530154139</v>
      </c>
      <c r="G21" s="12">
        <v>0.36410351733835494</v>
      </c>
      <c r="H21" s="11" t="s">
        <v>5</v>
      </c>
      <c r="I21" s="11"/>
    </row>
    <row r="22" spans="1:9" x14ac:dyDescent="0.2">
      <c r="A22" s="14" t="s">
        <v>19</v>
      </c>
      <c r="B22" s="15">
        <v>8</v>
      </c>
      <c r="C22" s="15"/>
      <c r="D22" s="15" t="s">
        <v>26</v>
      </c>
      <c r="E22" s="15" t="s">
        <v>66</v>
      </c>
      <c r="F22" s="16" t="s">
        <v>28</v>
      </c>
      <c r="G22" s="17">
        <v>0.68081104815484683</v>
      </c>
      <c r="H22" s="15" t="s">
        <v>5</v>
      </c>
    </row>
    <row r="23" spans="1:9" x14ac:dyDescent="0.2">
      <c r="A23" s="14" t="s">
        <v>12</v>
      </c>
      <c r="B23" s="15">
        <v>8</v>
      </c>
      <c r="C23" s="15"/>
      <c r="D23" s="15" t="s">
        <v>26</v>
      </c>
      <c r="E23" s="15" t="s">
        <v>66</v>
      </c>
      <c r="F23" s="16" t="s">
        <v>28</v>
      </c>
      <c r="G23" s="17">
        <v>0.67057455949126876</v>
      </c>
      <c r="H23" s="15" t="s">
        <v>5</v>
      </c>
    </row>
    <row r="24" spans="1:9" x14ac:dyDescent="0.2">
      <c r="A24" s="14" t="s">
        <v>13</v>
      </c>
      <c r="B24" s="15">
        <v>8</v>
      </c>
      <c r="C24" s="15"/>
      <c r="D24" s="15" t="s">
        <v>27</v>
      </c>
      <c r="E24" s="15" t="s">
        <v>66</v>
      </c>
      <c r="F24" s="16" t="s">
        <v>28</v>
      </c>
      <c r="G24" s="17">
        <v>0.69230000000000003</v>
      </c>
      <c r="H24" s="15" t="s">
        <v>5</v>
      </c>
    </row>
    <row r="25" spans="1:9" x14ac:dyDescent="0.2">
      <c r="A25" s="14" t="s">
        <v>15</v>
      </c>
      <c r="B25" s="15">
        <v>8</v>
      </c>
      <c r="C25" s="15"/>
      <c r="D25" s="15" t="s">
        <v>15</v>
      </c>
      <c r="E25" s="15" t="s">
        <v>66</v>
      </c>
      <c r="F25" s="16" t="s">
        <v>28</v>
      </c>
      <c r="G25" s="17">
        <v>0.70279957869402865</v>
      </c>
      <c r="H25" s="15" t="s">
        <v>5</v>
      </c>
    </row>
    <row r="26" spans="1:9" x14ac:dyDescent="0.2">
      <c r="A26" s="14" t="s">
        <v>14</v>
      </c>
      <c r="B26" s="15">
        <v>8</v>
      </c>
      <c r="C26" s="15"/>
      <c r="D26" s="15" t="s">
        <v>24</v>
      </c>
      <c r="E26" s="15" t="s">
        <v>66</v>
      </c>
      <c r="F26" s="16" t="s">
        <v>28</v>
      </c>
      <c r="G26" s="17">
        <v>0.70666618876378096</v>
      </c>
      <c r="H26" s="15" t="s">
        <v>5</v>
      </c>
    </row>
    <row r="27" spans="1:9" x14ac:dyDescent="0.2">
      <c r="A27" s="14" t="s">
        <v>20</v>
      </c>
      <c r="B27" s="15">
        <v>9</v>
      </c>
      <c r="C27" s="15">
        <v>0</v>
      </c>
      <c r="D27" s="15" t="s">
        <v>26</v>
      </c>
      <c r="E27" s="15" t="s">
        <v>66</v>
      </c>
      <c r="F27" s="15">
        <f t="shared" si="2"/>
        <v>1150.8131571771266</v>
      </c>
      <c r="G27" s="17">
        <v>0.39870543070666664</v>
      </c>
      <c r="H27" s="15" t="s">
        <v>5</v>
      </c>
    </row>
    <row r="28" spans="1:9" x14ac:dyDescent="0.2">
      <c r="A28" s="14" t="s">
        <v>12</v>
      </c>
      <c r="B28" s="15">
        <v>9</v>
      </c>
      <c r="C28" s="15">
        <v>0</v>
      </c>
      <c r="D28" s="15" t="s">
        <v>26</v>
      </c>
      <c r="E28" s="15" t="s">
        <v>66</v>
      </c>
      <c r="F28" s="15">
        <f t="shared" si="2"/>
        <v>1154.4271091906828</v>
      </c>
      <c r="G28" s="17">
        <v>0.3997850988707165</v>
      </c>
      <c r="H28" s="15" t="s">
        <v>5</v>
      </c>
    </row>
    <row r="29" spans="1:9" x14ac:dyDescent="0.2">
      <c r="A29" s="14" t="s">
        <v>13</v>
      </c>
      <c r="B29" s="15">
        <v>9</v>
      </c>
      <c r="C29" s="15">
        <v>0</v>
      </c>
      <c r="D29" s="15" t="s">
        <v>27</v>
      </c>
      <c r="E29" s="15" t="s">
        <v>66</v>
      </c>
      <c r="F29" s="15">
        <f t="shared" si="2"/>
        <v>1072.0798335498607</v>
      </c>
      <c r="G29" s="17">
        <v>0.37518385027302092</v>
      </c>
      <c r="H29" s="15" t="s">
        <v>5</v>
      </c>
    </row>
    <row r="30" spans="1:9" x14ac:dyDescent="0.2">
      <c r="A30" s="14" t="s">
        <v>15</v>
      </c>
      <c r="B30" s="15">
        <v>9</v>
      </c>
      <c r="C30" s="15">
        <v>0</v>
      </c>
      <c r="D30" s="15" t="s">
        <v>15</v>
      </c>
      <c r="E30" s="15" t="s">
        <v>66</v>
      </c>
      <c r="F30" s="15">
        <f t="shared" si="2"/>
        <v>1125.8939499120747</v>
      </c>
      <c r="G30" s="17">
        <v>0.39126081753623232</v>
      </c>
      <c r="H30" s="15" t="s">
        <v>5</v>
      </c>
    </row>
    <row r="31" spans="1:9" x14ac:dyDescent="0.2">
      <c r="A31" s="14" t="s">
        <v>14</v>
      </c>
      <c r="B31" s="15">
        <v>9</v>
      </c>
      <c r="C31" s="15">
        <v>0</v>
      </c>
      <c r="D31" s="15" t="s">
        <v>24</v>
      </c>
      <c r="E31" s="15" t="s">
        <v>66</v>
      </c>
      <c r="F31" s="15">
        <f t="shared" si="2"/>
        <v>1218.815012236043</v>
      </c>
      <c r="G31" s="17">
        <v>0.41902098490551787</v>
      </c>
      <c r="H31" s="15" t="s">
        <v>5</v>
      </c>
    </row>
    <row r="32" spans="1:9" x14ac:dyDescent="0.2">
      <c r="A32" s="14" t="s">
        <v>21</v>
      </c>
      <c r="B32" s="15">
        <v>11</v>
      </c>
      <c r="C32" s="15">
        <v>1</v>
      </c>
      <c r="D32" s="15" t="s">
        <v>26</v>
      </c>
      <c r="E32" s="15" t="s">
        <v>66</v>
      </c>
      <c r="F32" s="15">
        <f t="shared" si="2"/>
        <v>915.17261632229111</v>
      </c>
      <c r="G32" s="17">
        <v>0.32830781912628448</v>
      </c>
      <c r="H32" s="15" t="s">
        <v>5</v>
      </c>
    </row>
    <row r="33" spans="1:8" x14ac:dyDescent="0.2">
      <c r="A33" s="14" t="s">
        <v>12</v>
      </c>
      <c r="B33" s="15">
        <v>11</v>
      </c>
      <c r="C33" s="15">
        <v>1</v>
      </c>
      <c r="D33" s="15" t="s">
        <v>26</v>
      </c>
      <c r="E33" s="15" t="s">
        <v>66</v>
      </c>
      <c r="F33" s="15">
        <f t="shared" si="2"/>
        <v>1005.556924370063</v>
      </c>
      <c r="G33" s="17">
        <v>0.35531013115555632</v>
      </c>
      <c r="H33" s="15" t="s">
        <v>5</v>
      </c>
    </row>
    <row r="34" spans="1:8" x14ac:dyDescent="0.2">
      <c r="A34" s="14" t="s">
        <v>13</v>
      </c>
      <c r="B34" s="15">
        <v>11</v>
      </c>
      <c r="C34" s="15">
        <v>1</v>
      </c>
      <c r="D34" s="15" t="s">
        <v>27</v>
      </c>
      <c r="E34" s="15" t="s">
        <v>66</v>
      </c>
      <c r="F34" s="15">
        <f t="shared" si="2"/>
        <v>1138.1040709041908</v>
      </c>
      <c r="G34" s="17">
        <v>0.394908591182627</v>
      </c>
      <c r="H34" s="15" t="s">
        <v>5</v>
      </c>
    </row>
    <row r="35" spans="1:8" x14ac:dyDescent="0.2">
      <c r="A35" s="14" t="s">
        <v>15</v>
      </c>
      <c r="B35" s="15">
        <v>11</v>
      </c>
      <c r="C35" s="15">
        <v>1</v>
      </c>
      <c r="D35" s="15" t="s">
        <v>15</v>
      </c>
      <c r="E35" s="15" t="s">
        <v>66</v>
      </c>
      <c r="F35" s="15">
        <f t="shared" si="2"/>
        <v>941.96467815652318</v>
      </c>
      <c r="G35" s="17">
        <v>0.33631194759926131</v>
      </c>
      <c r="H35" s="15" t="s">
        <v>5</v>
      </c>
    </row>
    <row r="36" spans="1:8" x14ac:dyDescent="0.2">
      <c r="A36" s="14" t="s">
        <v>14</v>
      </c>
      <c r="B36" s="15">
        <v>11</v>
      </c>
      <c r="C36" s="15">
        <v>1</v>
      </c>
      <c r="D36" s="15" t="s">
        <v>24</v>
      </c>
      <c r="E36" s="15" t="s">
        <v>66</v>
      </c>
      <c r="F36" s="15">
        <f t="shared" si="2"/>
        <v>1055.5072129020234</v>
      </c>
      <c r="G36" s="17">
        <v>0.3702327798544795</v>
      </c>
      <c r="H36" s="15" t="s">
        <v>5</v>
      </c>
    </row>
    <row r="37" spans="1:8" x14ac:dyDescent="0.2">
      <c r="A37" s="14" t="s">
        <v>22</v>
      </c>
      <c r="B37" s="15">
        <v>16</v>
      </c>
      <c r="C37" s="15">
        <v>4</v>
      </c>
      <c r="D37" s="15" t="s">
        <v>26</v>
      </c>
      <c r="E37" s="15" t="s">
        <v>66</v>
      </c>
      <c r="F37" s="15">
        <f t="shared" si="2"/>
        <v>1036.6853592644266</v>
      </c>
      <c r="G37" s="17">
        <v>0.36460975108024746</v>
      </c>
      <c r="H37" s="15" t="s">
        <v>5</v>
      </c>
    </row>
    <row r="38" spans="1:8" x14ac:dyDescent="0.2">
      <c r="A38" s="14" t="s">
        <v>12</v>
      </c>
      <c r="B38" s="15">
        <v>16</v>
      </c>
      <c r="C38" s="15">
        <v>4</v>
      </c>
      <c r="D38" s="15" t="s">
        <v>26</v>
      </c>
      <c r="E38" s="15" t="s">
        <v>66</v>
      </c>
      <c r="F38" s="15">
        <f t="shared" si="2"/>
        <v>1033.0939167309498</v>
      </c>
      <c r="G38" s="17">
        <v>0.36353680762337126</v>
      </c>
      <c r="H38" s="15" t="s">
        <v>5</v>
      </c>
    </row>
    <row r="39" spans="1:8" x14ac:dyDescent="0.2">
      <c r="A39" s="14" t="s">
        <v>13</v>
      </c>
      <c r="B39" s="15">
        <v>16</v>
      </c>
      <c r="C39" s="15">
        <v>4</v>
      </c>
      <c r="D39" s="15" t="s">
        <v>27</v>
      </c>
      <c r="E39" s="15" t="s">
        <v>66</v>
      </c>
      <c r="F39" s="15">
        <f t="shared" si="2"/>
        <v>1336.6302170398426</v>
      </c>
      <c r="G39" s="17">
        <v>0.45421827734065306</v>
      </c>
      <c r="H39" s="15" t="s">
        <v>5</v>
      </c>
    </row>
    <row r="40" spans="1:8" x14ac:dyDescent="0.2">
      <c r="A40" s="14" t="s">
        <v>15</v>
      </c>
      <c r="B40" s="15">
        <v>16</v>
      </c>
      <c r="C40" s="15">
        <v>4</v>
      </c>
      <c r="D40" s="15" t="s">
        <v>15</v>
      </c>
      <c r="E40" s="15" t="s">
        <v>66</v>
      </c>
      <c r="F40" s="15">
        <f t="shared" si="2"/>
        <v>1200.4671777969968</v>
      </c>
      <c r="G40" s="17">
        <v>0.41353956936685282</v>
      </c>
      <c r="H40" s="15" t="s">
        <v>5</v>
      </c>
    </row>
    <row r="41" spans="1:8" x14ac:dyDescent="0.2">
      <c r="A41" s="14" t="s">
        <v>14</v>
      </c>
      <c r="B41" s="15">
        <v>16</v>
      </c>
      <c r="C41" s="15">
        <v>4</v>
      </c>
      <c r="D41" s="15" t="s">
        <v>24</v>
      </c>
      <c r="E41" s="15" t="s">
        <v>66</v>
      </c>
      <c r="F41" s="15">
        <f t="shared" si="2"/>
        <v>1180.2269183450471</v>
      </c>
      <c r="G41" s="17">
        <v>0.40749279185558285</v>
      </c>
      <c r="H41" s="15" t="s">
        <v>5</v>
      </c>
    </row>
    <row r="42" spans="1:8" x14ac:dyDescent="0.2">
      <c r="A42" s="14" t="s">
        <v>23</v>
      </c>
      <c r="B42" s="15">
        <v>18</v>
      </c>
      <c r="C42" s="15">
        <v>7</v>
      </c>
      <c r="D42" s="15" t="s">
        <v>26</v>
      </c>
      <c r="E42" s="15" t="s">
        <v>66</v>
      </c>
      <c r="F42" s="15">
        <f t="shared" si="2"/>
        <v>899.49908955157764</v>
      </c>
      <c r="G42" s="17">
        <v>0.32362535300353384</v>
      </c>
      <c r="H42" s="15" t="s">
        <v>5</v>
      </c>
    </row>
    <row r="43" spans="1:8" x14ac:dyDescent="0.2">
      <c r="A43" s="14" t="s">
        <v>12</v>
      </c>
      <c r="B43" s="15">
        <v>18</v>
      </c>
      <c r="C43" s="15">
        <v>7</v>
      </c>
      <c r="D43" s="15" t="s">
        <v>26</v>
      </c>
      <c r="E43" s="15" t="s">
        <v>66</v>
      </c>
      <c r="F43" s="15">
        <f t="shared" si="2"/>
        <v>1088.8896597900571</v>
      </c>
      <c r="G43" s="17">
        <v>0.3802057858622796</v>
      </c>
      <c r="H43" s="15" t="s">
        <v>5</v>
      </c>
    </row>
    <row r="44" spans="1:8" x14ac:dyDescent="0.2">
      <c r="A44" s="14" t="s">
        <v>13</v>
      </c>
      <c r="B44" s="15">
        <v>18</v>
      </c>
      <c r="C44" s="15">
        <v>7</v>
      </c>
      <c r="D44" s="15" t="s">
        <v>27</v>
      </c>
      <c r="E44" s="15" t="s">
        <v>66</v>
      </c>
      <c r="F44" s="15">
        <f t="shared" si="2"/>
        <v>1088.8896597900571</v>
      </c>
      <c r="G44" s="17">
        <v>0.3802057858622796</v>
      </c>
      <c r="H44" s="15" t="s">
        <v>5</v>
      </c>
    </row>
    <row r="45" spans="1:8" x14ac:dyDescent="0.2">
      <c r="A45" s="14" t="s">
        <v>15</v>
      </c>
      <c r="B45" s="15">
        <v>18</v>
      </c>
      <c r="C45" s="15">
        <v>7</v>
      </c>
      <c r="D45" s="15" t="s">
        <v>15</v>
      </c>
      <c r="E45" s="15" t="s">
        <v>66</v>
      </c>
      <c r="F45" s="15">
        <f t="shared" si="2"/>
        <v>2076.5976029153749</v>
      </c>
      <c r="G45" s="17">
        <v>0.67528353387096818</v>
      </c>
      <c r="H45" s="15" t="s">
        <v>5</v>
      </c>
    </row>
    <row r="46" spans="1:8" x14ac:dyDescent="0.2">
      <c r="A46" s="14" t="s">
        <v>14</v>
      </c>
      <c r="B46" s="15">
        <v>18</v>
      </c>
      <c r="C46" s="15">
        <v>7</v>
      </c>
      <c r="D46" s="15" t="s">
        <v>24</v>
      </c>
      <c r="E46" s="15" t="s">
        <v>66</v>
      </c>
      <c r="F46" s="15">
        <f t="shared" si="2"/>
        <v>1313.3830343741399</v>
      </c>
      <c r="G46" s="17">
        <v>0.44727318151927437</v>
      </c>
      <c r="H46" s="1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MultiSludge</vt:lpstr>
      <vt:lpstr>CN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2025-08-03T06:33:07Z</dcterms:created>
  <dcterms:modified xsi:type="dcterms:W3CDTF">2026-08-13T12:51:06Z</dcterms:modified>
</cp:coreProperties>
</file>