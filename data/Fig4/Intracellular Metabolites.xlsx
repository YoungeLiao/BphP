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OFAR/data/Fig4/"/>
    </mc:Choice>
  </mc:AlternateContent>
  <xr:revisionPtr revIDLastSave="0" documentId="13_ncr:1_{B06C1007-FCF5-044E-B1C7-90B5A7AA867A}" xr6:coauthVersionLast="47" xr6:coauthVersionMax="47" xr10:uidLastSave="{00000000-0000-0000-0000-000000000000}"/>
  <bookViews>
    <workbookView xWindow="8880" yWindow="2540" windowWidth="20400" windowHeight="15900" xr2:uid="{00000000-000D-0000-FFFF-FFFF00000000}"/>
  </bookViews>
  <sheets>
    <sheet name="Heatmap" sheetId="3" r:id="rId1"/>
    <sheet name="Normalized" sheetId="2" r:id="rId2"/>
    <sheet name="Compounds.raw" sheetId="1" r:id="rId3"/>
    <sheet name="Sheet2" sheetId="4" r:id="rId4"/>
  </sheets>
  <definedNames>
    <definedName name="_xlnm._FilterDatabase" localSheetId="2" hidden="1">'Compounds.raw'!$B$1:$W$175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5" i="4" l="1"/>
  <c r="AC175" i="4" s="1"/>
  <c r="AA175" i="4"/>
  <c r="Y175" i="4"/>
  <c r="Z175" i="4" s="1"/>
  <c r="X175" i="4"/>
  <c r="J175" i="4"/>
  <c r="G175" i="4"/>
  <c r="I175" i="4" s="1"/>
  <c r="AB174" i="4"/>
  <c r="AA174" i="4"/>
  <c r="AC174" i="4" s="1"/>
  <c r="Z174" i="4"/>
  <c r="Y174" i="4"/>
  <c r="X174" i="4"/>
  <c r="J174" i="4"/>
  <c r="G174" i="4"/>
  <c r="I174" i="4" s="1"/>
  <c r="AB173" i="4"/>
  <c r="AA173" i="4"/>
  <c r="Y173" i="4"/>
  <c r="Z173" i="4" s="1"/>
  <c r="X173" i="4"/>
  <c r="J173" i="4"/>
  <c r="I173" i="4"/>
  <c r="G173" i="4"/>
  <c r="AB172" i="4"/>
  <c r="AC172" i="4" s="1"/>
  <c r="AA172" i="4"/>
  <c r="Y172" i="4"/>
  <c r="Z172" i="4" s="1"/>
  <c r="X172" i="4"/>
  <c r="J172" i="4"/>
  <c r="G172" i="4"/>
  <c r="I172" i="4" s="1"/>
  <c r="AC171" i="4"/>
  <c r="AB171" i="4"/>
  <c r="AA171" i="4"/>
  <c r="Z171" i="4"/>
  <c r="Y171" i="4"/>
  <c r="X171" i="4"/>
  <c r="J171" i="4"/>
  <c r="G171" i="4"/>
  <c r="I171" i="4" s="1"/>
  <c r="AB170" i="4"/>
  <c r="AA170" i="4"/>
  <c r="Y170" i="4"/>
  <c r="Z170" i="4" s="1"/>
  <c r="X170" i="4"/>
  <c r="J170" i="4"/>
  <c r="I170" i="4"/>
  <c r="G170" i="4"/>
  <c r="AB169" i="4"/>
  <c r="AC169" i="4" s="1"/>
  <c r="AA169" i="4"/>
  <c r="Y169" i="4"/>
  <c r="X169" i="4"/>
  <c r="Z169" i="4" s="1"/>
  <c r="J169" i="4"/>
  <c r="G169" i="4"/>
  <c r="I169" i="4" s="1"/>
  <c r="AC168" i="4"/>
  <c r="AB168" i="4"/>
  <c r="AA168" i="4"/>
  <c r="Y168" i="4"/>
  <c r="X168" i="4"/>
  <c r="J168" i="4"/>
  <c r="G168" i="4"/>
  <c r="I168" i="4" s="1"/>
  <c r="AB167" i="4"/>
  <c r="AC167" i="4" s="1"/>
  <c r="AA167" i="4"/>
  <c r="Y167" i="4"/>
  <c r="Z167" i="4" s="1"/>
  <c r="X167" i="4"/>
  <c r="J167" i="4"/>
  <c r="I167" i="4"/>
  <c r="G167" i="4"/>
  <c r="AB166" i="4"/>
  <c r="AA166" i="4"/>
  <c r="AC166" i="4" s="1"/>
  <c r="Z166" i="4"/>
  <c r="Y166" i="4"/>
  <c r="X166" i="4"/>
  <c r="J166" i="4"/>
  <c r="G166" i="4"/>
  <c r="I166" i="4" s="1"/>
  <c r="AB165" i="4"/>
  <c r="AA165" i="4"/>
  <c r="Y165" i="4"/>
  <c r="X165" i="4"/>
  <c r="J165" i="4"/>
  <c r="I165" i="4"/>
  <c r="G165" i="4"/>
  <c r="AB164" i="4"/>
  <c r="AC164" i="4" s="1"/>
  <c r="AA164" i="4"/>
  <c r="Y164" i="4"/>
  <c r="Z164" i="4" s="1"/>
  <c r="X164" i="4"/>
  <c r="J164" i="4"/>
  <c r="G164" i="4"/>
  <c r="I164" i="4" s="1"/>
  <c r="AC163" i="4"/>
  <c r="AB163" i="4"/>
  <c r="AA163" i="4"/>
  <c r="Z163" i="4"/>
  <c r="Y163" i="4"/>
  <c r="X163" i="4"/>
  <c r="J163" i="4"/>
  <c r="G163" i="4"/>
  <c r="I163" i="4" s="1"/>
  <c r="AB162" i="4"/>
  <c r="AA162" i="4"/>
  <c r="Y162" i="4"/>
  <c r="Z162" i="4" s="1"/>
  <c r="X162" i="4"/>
  <c r="J162" i="4"/>
  <c r="I162" i="4"/>
  <c r="G162" i="4"/>
  <c r="AB161" i="4"/>
  <c r="AC161" i="4" s="1"/>
  <c r="AA161" i="4"/>
  <c r="Y161" i="4"/>
  <c r="X161" i="4"/>
  <c r="Z161" i="4" s="1"/>
  <c r="J161" i="4"/>
  <c r="G161" i="4"/>
  <c r="I161" i="4" s="1"/>
  <c r="AC160" i="4"/>
  <c r="AB160" i="4"/>
  <c r="AA160" i="4"/>
  <c r="Y160" i="4"/>
  <c r="X160" i="4"/>
  <c r="J160" i="4"/>
  <c r="G160" i="4"/>
  <c r="I160" i="4" s="1"/>
  <c r="AB159" i="4"/>
  <c r="AC159" i="4" s="1"/>
  <c r="AA159" i="4"/>
  <c r="Z159" i="4"/>
  <c r="Y159" i="4"/>
  <c r="X159" i="4"/>
  <c r="J159" i="4"/>
  <c r="I159" i="4"/>
  <c r="G159" i="4"/>
  <c r="AB158" i="4"/>
  <c r="AA158" i="4"/>
  <c r="AC158" i="4" s="1"/>
  <c r="Z158" i="4"/>
  <c r="Y158" i="4"/>
  <c r="X158" i="4"/>
  <c r="J158" i="4"/>
  <c r="G158" i="4"/>
  <c r="I158" i="4" s="1"/>
  <c r="AB157" i="4"/>
  <c r="AA157" i="4"/>
  <c r="Y157" i="4"/>
  <c r="X157" i="4"/>
  <c r="J157" i="4"/>
  <c r="I157" i="4"/>
  <c r="G157" i="4"/>
  <c r="AB156" i="4"/>
  <c r="AC156" i="4" s="1"/>
  <c r="AA156" i="4"/>
  <c r="Y156" i="4"/>
  <c r="Z156" i="4" s="1"/>
  <c r="X156" i="4"/>
  <c r="J156" i="4"/>
  <c r="G156" i="4"/>
  <c r="I156" i="4" s="1"/>
  <c r="AC155" i="4"/>
  <c r="AB155" i="4"/>
  <c r="AA155" i="4"/>
  <c r="Z155" i="4"/>
  <c r="Y155" i="4"/>
  <c r="X155" i="4"/>
  <c r="J155" i="4"/>
  <c r="G155" i="4"/>
  <c r="I155" i="4" s="1"/>
  <c r="AB154" i="4"/>
  <c r="AA154" i="4"/>
  <c r="Y154" i="4"/>
  <c r="Z154" i="4" s="1"/>
  <c r="X154" i="4"/>
  <c r="J154" i="4"/>
  <c r="I154" i="4"/>
  <c r="G154" i="4"/>
  <c r="AB153" i="4"/>
  <c r="AC153" i="4" s="1"/>
  <c r="AA153" i="4"/>
  <c r="Y153" i="4"/>
  <c r="X153" i="4"/>
  <c r="Z153" i="4" s="1"/>
  <c r="J153" i="4"/>
  <c r="G153" i="4"/>
  <c r="I153" i="4" s="1"/>
  <c r="AC152" i="4"/>
  <c r="AB152" i="4"/>
  <c r="AA152" i="4"/>
  <c r="Y152" i="4"/>
  <c r="X152" i="4"/>
  <c r="J152" i="4"/>
  <c r="G152" i="4"/>
  <c r="I152" i="4" s="1"/>
  <c r="AB151" i="4"/>
  <c r="AC151" i="4" s="1"/>
  <c r="AA151" i="4"/>
  <c r="Y151" i="4"/>
  <c r="Z151" i="4" s="1"/>
  <c r="X151" i="4"/>
  <c r="J151" i="4"/>
  <c r="I151" i="4"/>
  <c r="G151" i="4"/>
  <c r="AB150" i="4"/>
  <c r="AA150" i="4"/>
  <c r="AC150" i="4" s="1"/>
  <c r="Z150" i="4"/>
  <c r="Y150" i="4"/>
  <c r="X150" i="4"/>
  <c r="J150" i="4"/>
  <c r="G150" i="4"/>
  <c r="I150" i="4" s="1"/>
  <c r="AB149" i="4"/>
  <c r="AA149" i="4"/>
  <c r="Y149" i="4"/>
  <c r="X149" i="4"/>
  <c r="J149" i="4"/>
  <c r="I149" i="4"/>
  <c r="G149" i="4"/>
  <c r="AB148" i="4"/>
  <c r="AC148" i="4" s="1"/>
  <c r="AA148" i="4"/>
  <c r="Y148" i="4"/>
  <c r="Z148" i="4" s="1"/>
  <c r="X148" i="4"/>
  <c r="J148" i="4"/>
  <c r="G148" i="4"/>
  <c r="I148" i="4" s="1"/>
  <c r="AC147" i="4"/>
  <c r="AB147" i="4"/>
  <c r="AA147" i="4"/>
  <c r="Z147" i="4"/>
  <c r="Y147" i="4"/>
  <c r="X147" i="4"/>
  <c r="J147" i="4"/>
  <c r="G147" i="4"/>
  <c r="I147" i="4" s="1"/>
  <c r="AB146" i="4"/>
  <c r="AA146" i="4"/>
  <c r="Y146" i="4"/>
  <c r="Z146" i="4" s="1"/>
  <c r="X146" i="4"/>
  <c r="J146" i="4"/>
  <c r="I146" i="4"/>
  <c r="G146" i="4"/>
  <c r="AB145" i="4"/>
  <c r="AC145" i="4" s="1"/>
  <c r="AA145" i="4"/>
  <c r="Y145" i="4"/>
  <c r="X145" i="4"/>
  <c r="Z145" i="4" s="1"/>
  <c r="J145" i="4"/>
  <c r="G145" i="4"/>
  <c r="I145" i="4" s="1"/>
  <c r="AC144" i="4"/>
  <c r="AB144" i="4"/>
  <c r="AA144" i="4"/>
  <c r="Y144" i="4"/>
  <c r="X144" i="4"/>
  <c r="J144" i="4"/>
  <c r="G144" i="4"/>
  <c r="I144" i="4" s="1"/>
  <c r="AB143" i="4"/>
  <c r="AC143" i="4" s="1"/>
  <c r="AA143" i="4"/>
  <c r="Y143" i="4"/>
  <c r="Z143" i="4" s="1"/>
  <c r="X143" i="4"/>
  <c r="J143" i="4"/>
  <c r="I143" i="4"/>
  <c r="G143" i="4"/>
  <c r="AB142" i="4"/>
  <c r="AA142" i="4"/>
  <c r="AC142" i="4" s="1"/>
  <c r="Z142" i="4"/>
  <c r="Y142" i="4"/>
  <c r="X142" i="4"/>
  <c r="J142" i="4"/>
  <c r="G142" i="4"/>
  <c r="I142" i="4" s="1"/>
  <c r="AB141" i="4"/>
  <c r="AA141" i="4"/>
  <c r="Y141" i="4"/>
  <c r="X141" i="4"/>
  <c r="J141" i="4"/>
  <c r="I141" i="4"/>
  <c r="G141" i="4"/>
  <c r="AC140" i="4"/>
  <c r="AB140" i="4"/>
  <c r="AA140" i="4"/>
  <c r="Y140" i="4"/>
  <c r="Z140" i="4" s="1"/>
  <c r="X140" i="4"/>
  <c r="J140" i="4"/>
  <c r="G140" i="4"/>
  <c r="I140" i="4" s="1"/>
  <c r="AC139" i="4"/>
  <c r="AB139" i="4"/>
  <c r="AA139" i="4"/>
  <c r="Z139" i="4"/>
  <c r="Y139" i="4"/>
  <c r="X139" i="4"/>
  <c r="J139" i="4"/>
  <c r="G139" i="4"/>
  <c r="I139" i="4" s="1"/>
  <c r="AB138" i="4"/>
  <c r="AC138" i="4" s="1"/>
  <c r="AA138" i="4"/>
  <c r="Y138" i="4"/>
  <c r="Z138" i="4" s="1"/>
  <c r="X138" i="4"/>
  <c r="J138" i="4"/>
  <c r="I138" i="4"/>
  <c r="G138" i="4"/>
  <c r="AB137" i="4"/>
  <c r="AC137" i="4" s="1"/>
  <c r="AA137" i="4"/>
  <c r="Y137" i="4"/>
  <c r="X137" i="4"/>
  <c r="Z137" i="4" s="1"/>
  <c r="J137" i="4"/>
  <c r="G137" i="4"/>
  <c r="I137" i="4" s="1"/>
  <c r="AC136" i="4"/>
  <c r="AB136" i="4"/>
  <c r="AA136" i="4"/>
  <c r="Y136" i="4"/>
  <c r="Z136" i="4" s="1"/>
  <c r="X136" i="4"/>
  <c r="J136" i="4"/>
  <c r="G136" i="4"/>
  <c r="I136" i="4" s="1"/>
  <c r="AB135" i="4"/>
  <c r="AC135" i="4" s="1"/>
  <c r="AA135" i="4"/>
  <c r="Y135" i="4"/>
  <c r="Z135" i="4" s="1"/>
  <c r="X135" i="4"/>
  <c r="J135" i="4"/>
  <c r="I135" i="4"/>
  <c r="G135" i="4"/>
  <c r="AB134" i="4"/>
  <c r="AA134" i="4"/>
  <c r="AC134" i="4" s="1"/>
  <c r="Z134" i="4"/>
  <c r="Y134" i="4"/>
  <c r="X134" i="4"/>
  <c r="J134" i="4"/>
  <c r="G134" i="4"/>
  <c r="I134" i="4" s="1"/>
  <c r="AB133" i="4"/>
  <c r="AA133" i="4"/>
  <c r="Y133" i="4"/>
  <c r="X133" i="4"/>
  <c r="J133" i="4"/>
  <c r="I133" i="4"/>
  <c r="G133" i="4"/>
  <c r="AB132" i="4"/>
  <c r="AC132" i="4" s="1"/>
  <c r="AA132" i="4"/>
  <c r="Y132" i="4"/>
  <c r="Z132" i="4" s="1"/>
  <c r="X132" i="4"/>
  <c r="J132" i="4"/>
  <c r="G132" i="4"/>
  <c r="I132" i="4" s="1"/>
  <c r="AC131" i="4"/>
  <c r="AB131" i="4"/>
  <c r="AA131" i="4"/>
  <c r="Z131" i="4"/>
  <c r="Y131" i="4"/>
  <c r="X131" i="4"/>
  <c r="J131" i="4"/>
  <c r="I131" i="4"/>
  <c r="G131" i="4"/>
  <c r="AB130" i="4"/>
  <c r="AA130" i="4"/>
  <c r="Y130" i="4"/>
  <c r="Z130" i="4" s="1"/>
  <c r="X130" i="4"/>
  <c r="J130" i="4"/>
  <c r="I130" i="4"/>
  <c r="G130" i="4"/>
  <c r="AB129" i="4"/>
  <c r="AC129" i="4" s="1"/>
  <c r="AA129" i="4"/>
  <c r="Y129" i="4"/>
  <c r="X129" i="4"/>
  <c r="Z129" i="4" s="1"/>
  <c r="J129" i="4"/>
  <c r="G129" i="4"/>
  <c r="I129" i="4" s="1"/>
  <c r="AC128" i="4"/>
  <c r="AB128" i="4"/>
  <c r="AA128" i="4"/>
  <c r="Y128" i="4"/>
  <c r="X128" i="4"/>
  <c r="J128" i="4"/>
  <c r="G128" i="4"/>
  <c r="I128" i="4" s="1"/>
  <c r="AB127" i="4"/>
  <c r="AC127" i="4" s="1"/>
  <c r="AA127" i="4"/>
  <c r="Z127" i="4"/>
  <c r="Y127" i="4"/>
  <c r="X127" i="4"/>
  <c r="J127" i="4"/>
  <c r="I127" i="4"/>
  <c r="G127" i="4"/>
  <c r="AB126" i="4"/>
  <c r="AA126" i="4"/>
  <c r="AC126" i="4" s="1"/>
  <c r="Z126" i="4"/>
  <c r="Y126" i="4"/>
  <c r="X126" i="4"/>
  <c r="J126" i="4"/>
  <c r="G126" i="4"/>
  <c r="I126" i="4" s="1"/>
  <c r="AB125" i="4"/>
  <c r="AA125" i="4"/>
  <c r="Y125" i="4"/>
  <c r="X125" i="4"/>
  <c r="J125" i="4"/>
  <c r="I125" i="4"/>
  <c r="G125" i="4"/>
  <c r="AB124" i="4"/>
  <c r="AC124" i="4" s="1"/>
  <c r="AA124" i="4"/>
  <c r="Y124" i="4"/>
  <c r="Z124" i="4" s="1"/>
  <c r="X124" i="4"/>
  <c r="J124" i="4"/>
  <c r="G124" i="4"/>
  <c r="I124" i="4" s="1"/>
  <c r="AC123" i="4"/>
  <c r="AB123" i="4"/>
  <c r="AA123" i="4"/>
  <c r="Z123" i="4"/>
  <c r="Y123" i="4"/>
  <c r="X123" i="4"/>
  <c r="J123" i="4"/>
  <c r="G123" i="4"/>
  <c r="I123" i="4" s="1"/>
  <c r="AB122" i="4"/>
  <c r="AA122" i="4"/>
  <c r="Y122" i="4"/>
  <c r="Z122" i="4" s="1"/>
  <c r="X122" i="4"/>
  <c r="J122" i="4"/>
  <c r="I122" i="4"/>
  <c r="G122" i="4"/>
  <c r="AB121" i="4"/>
  <c r="AC121" i="4" s="1"/>
  <c r="AA121" i="4"/>
  <c r="Y121" i="4"/>
  <c r="X121" i="4"/>
  <c r="Z121" i="4" s="1"/>
  <c r="J121" i="4"/>
  <c r="G121" i="4"/>
  <c r="I121" i="4" s="1"/>
  <c r="AC120" i="4"/>
  <c r="AB120" i="4"/>
  <c r="AA120" i="4"/>
  <c r="Y120" i="4"/>
  <c r="X120" i="4"/>
  <c r="J120" i="4"/>
  <c r="G120" i="4"/>
  <c r="I120" i="4" s="1"/>
  <c r="AB119" i="4"/>
  <c r="AC119" i="4" s="1"/>
  <c r="AA119" i="4"/>
  <c r="Y119" i="4"/>
  <c r="Z119" i="4" s="1"/>
  <c r="X119" i="4"/>
  <c r="J119" i="4"/>
  <c r="I119" i="4"/>
  <c r="G119" i="4"/>
  <c r="AB118" i="4"/>
  <c r="AA118" i="4"/>
  <c r="AC118" i="4" s="1"/>
  <c r="Z118" i="4"/>
  <c r="Y118" i="4"/>
  <c r="X118" i="4"/>
  <c r="J118" i="4"/>
  <c r="G118" i="4"/>
  <c r="I118" i="4" s="1"/>
  <c r="AB117" i="4"/>
  <c r="AA117" i="4"/>
  <c r="Y117" i="4"/>
  <c r="X117" i="4"/>
  <c r="J117" i="4"/>
  <c r="I117" i="4"/>
  <c r="G117" i="4"/>
  <c r="AB116" i="4"/>
  <c r="AC116" i="4" s="1"/>
  <c r="AA116" i="4"/>
  <c r="Y116" i="4"/>
  <c r="Z116" i="4" s="1"/>
  <c r="X116" i="4"/>
  <c r="J116" i="4"/>
  <c r="G116" i="4"/>
  <c r="I116" i="4" s="1"/>
  <c r="AC115" i="4"/>
  <c r="AB115" i="4"/>
  <c r="AA115" i="4"/>
  <c r="Z115" i="4"/>
  <c r="Y115" i="4"/>
  <c r="X115" i="4"/>
  <c r="J115" i="4"/>
  <c r="G115" i="4"/>
  <c r="I115" i="4" s="1"/>
  <c r="AB114" i="4"/>
  <c r="AA114" i="4"/>
  <c r="Y114" i="4"/>
  <c r="Z114" i="4" s="1"/>
  <c r="X114" i="4"/>
  <c r="J114" i="4"/>
  <c r="I114" i="4"/>
  <c r="G114" i="4"/>
  <c r="AB113" i="4"/>
  <c r="AC113" i="4" s="1"/>
  <c r="AA113" i="4"/>
  <c r="Y113" i="4"/>
  <c r="X113" i="4"/>
  <c r="Z113" i="4" s="1"/>
  <c r="J113" i="4"/>
  <c r="G113" i="4"/>
  <c r="I113" i="4" s="1"/>
  <c r="AC112" i="4"/>
  <c r="AB112" i="4"/>
  <c r="AA112" i="4"/>
  <c r="Y112" i="4"/>
  <c r="X112" i="4"/>
  <c r="J112" i="4"/>
  <c r="G112" i="4"/>
  <c r="I112" i="4" s="1"/>
  <c r="AB111" i="4"/>
  <c r="AC111" i="4" s="1"/>
  <c r="AA111" i="4"/>
  <c r="Y111" i="4"/>
  <c r="Z111" i="4" s="1"/>
  <c r="X111" i="4"/>
  <c r="J111" i="4"/>
  <c r="I111" i="4"/>
  <c r="G111" i="4"/>
  <c r="AB110" i="4"/>
  <c r="AA110" i="4"/>
  <c r="AC110" i="4" s="1"/>
  <c r="Z110" i="4"/>
  <c r="Y110" i="4"/>
  <c r="X110" i="4"/>
  <c r="J110" i="4"/>
  <c r="G110" i="4"/>
  <c r="I110" i="4" s="1"/>
  <c r="AB109" i="4"/>
  <c r="AA109" i="4"/>
  <c r="Y109" i="4"/>
  <c r="X109" i="4"/>
  <c r="J109" i="4"/>
  <c r="I109" i="4"/>
  <c r="G109" i="4"/>
  <c r="AC108" i="4"/>
  <c r="AB108" i="4"/>
  <c r="AA108" i="4"/>
  <c r="Y108" i="4"/>
  <c r="Z108" i="4" s="1"/>
  <c r="X108" i="4"/>
  <c r="J108" i="4"/>
  <c r="G108" i="4"/>
  <c r="I108" i="4" s="1"/>
  <c r="AC107" i="4"/>
  <c r="AB107" i="4"/>
  <c r="AA107" i="4"/>
  <c r="Z107" i="4"/>
  <c r="Y107" i="4"/>
  <c r="X107" i="4"/>
  <c r="J107" i="4"/>
  <c r="G107" i="4"/>
  <c r="I107" i="4" s="1"/>
  <c r="AB106" i="4"/>
  <c r="AC106" i="4" s="1"/>
  <c r="AA106" i="4"/>
  <c r="Y106" i="4"/>
  <c r="Z106" i="4" s="1"/>
  <c r="X106" i="4"/>
  <c r="J106" i="4"/>
  <c r="I106" i="4"/>
  <c r="G106" i="4"/>
  <c r="AB105" i="4"/>
  <c r="AC105" i="4" s="1"/>
  <c r="AA105" i="4"/>
  <c r="Y105" i="4"/>
  <c r="X105" i="4"/>
  <c r="Z105" i="4" s="1"/>
  <c r="J105" i="4"/>
  <c r="G105" i="4"/>
  <c r="I105" i="4" s="1"/>
  <c r="AC104" i="4"/>
  <c r="AB104" i="4"/>
  <c r="AA104" i="4"/>
  <c r="Y104" i="4"/>
  <c r="Z104" i="4" s="1"/>
  <c r="X104" i="4"/>
  <c r="J104" i="4"/>
  <c r="G104" i="4"/>
  <c r="I104" i="4" s="1"/>
  <c r="AB103" i="4"/>
  <c r="AC103" i="4" s="1"/>
  <c r="AA103" i="4"/>
  <c r="Y103" i="4"/>
  <c r="Z103" i="4" s="1"/>
  <c r="X103" i="4"/>
  <c r="J103" i="4"/>
  <c r="I103" i="4"/>
  <c r="G103" i="4"/>
  <c r="AB102" i="4"/>
  <c r="AA102" i="4"/>
  <c r="AC102" i="4" s="1"/>
  <c r="Z102" i="4"/>
  <c r="Y102" i="4"/>
  <c r="X102" i="4"/>
  <c r="J102" i="4"/>
  <c r="G102" i="4"/>
  <c r="I102" i="4" s="1"/>
  <c r="AB101" i="4"/>
  <c r="AA101" i="4"/>
  <c r="Y101" i="4"/>
  <c r="X101" i="4"/>
  <c r="J101" i="4"/>
  <c r="I101" i="4"/>
  <c r="G101" i="4"/>
  <c r="AB100" i="4"/>
  <c r="AC100" i="4" s="1"/>
  <c r="AA100" i="4"/>
  <c r="Y100" i="4"/>
  <c r="Z100" i="4" s="1"/>
  <c r="X100" i="4"/>
  <c r="J100" i="4"/>
  <c r="G100" i="4"/>
  <c r="I100" i="4" s="1"/>
  <c r="AC99" i="4"/>
  <c r="AB99" i="4"/>
  <c r="AA99" i="4"/>
  <c r="Y99" i="4"/>
  <c r="X99" i="4"/>
  <c r="Z99" i="4" s="1"/>
  <c r="J99" i="4"/>
  <c r="I99" i="4"/>
  <c r="G99" i="4"/>
  <c r="AB98" i="4"/>
  <c r="AA98" i="4"/>
  <c r="Y98" i="4"/>
  <c r="Z98" i="4" s="1"/>
  <c r="X98" i="4"/>
  <c r="J98" i="4"/>
  <c r="I98" i="4"/>
  <c r="G98" i="4"/>
  <c r="AB97" i="4"/>
  <c r="AC97" i="4" s="1"/>
  <c r="AA97" i="4"/>
  <c r="Y97" i="4"/>
  <c r="X97" i="4"/>
  <c r="Z97" i="4" s="1"/>
  <c r="J97" i="4"/>
  <c r="G97" i="4"/>
  <c r="I97" i="4" s="1"/>
  <c r="AC96" i="4"/>
  <c r="AB96" i="4"/>
  <c r="AA96" i="4"/>
  <c r="Y96" i="4"/>
  <c r="X96" i="4"/>
  <c r="J96" i="4"/>
  <c r="G96" i="4"/>
  <c r="I96" i="4" s="1"/>
  <c r="AB95" i="4"/>
  <c r="AC95" i="4" s="1"/>
  <c r="AA95" i="4"/>
  <c r="Y95" i="4"/>
  <c r="Z95" i="4" s="1"/>
  <c r="X95" i="4"/>
  <c r="J95" i="4"/>
  <c r="I95" i="4"/>
  <c r="G95" i="4"/>
  <c r="AC94" i="4"/>
  <c r="AB94" i="4"/>
  <c r="AA94" i="4"/>
  <c r="Z94" i="4"/>
  <c r="Y94" i="4"/>
  <c r="X94" i="4"/>
  <c r="J94" i="4"/>
  <c r="G94" i="4"/>
  <c r="I94" i="4" s="1"/>
  <c r="AB93" i="4"/>
  <c r="AA93" i="4"/>
  <c r="Y93" i="4"/>
  <c r="X93" i="4"/>
  <c r="J93" i="4"/>
  <c r="I93" i="4"/>
  <c r="G93" i="4"/>
  <c r="AB92" i="4"/>
  <c r="AC92" i="4" s="1"/>
  <c r="AA92" i="4"/>
  <c r="Y92" i="4"/>
  <c r="Z92" i="4" s="1"/>
  <c r="X92" i="4"/>
  <c r="J92" i="4"/>
  <c r="G92" i="4"/>
  <c r="I92" i="4" s="1"/>
  <c r="AC91" i="4"/>
  <c r="AB91" i="4"/>
  <c r="AA91" i="4"/>
  <c r="Z91" i="4"/>
  <c r="Y91" i="4"/>
  <c r="X91" i="4"/>
  <c r="J91" i="4"/>
  <c r="G91" i="4"/>
  <c r="I91" i="4" s="1"/>
  <c r="AB90" i="4"/>
  <c r="AA90" i="4"/>
  <c r="Y90" i="4"/>
  <c r="Z90" i="4" s="1"/>
  <c r="X90" i="4"/>
  <c r="J90" i="4"/>
  <c r="I90" i="4"/>
  <c r="G90" i="4"/>
  <c r="AB89" i="4"/>
  <c r="AC89" i="4" s="1"/>
  <c r="AA89" i="4"/>
  <c r="Z89" i="4"/>
  <c r="Y89" i="4"/>
  <c r="X89" i="4"/>
  <c r="J89" i="4"/>
  <c r="G89" i="4"/>
  <c r="I89" i="4" s="1"/>
  <c r="AB88" i="4"/>
  <c r="AA88" i="4"/>
  <c r="AC88" i="4" s="1"/>
  <c r="Y88" i="4"/>
  <c r="X88" i="4"/>
  <c r="J88" i="4"/>
  <c r="G88" i="4"/>
  <c r="I88" i="4" s="1"/>
  <c r="AB87" i="4"/>
  <c r="AC87" i="4" s="1"/>
  <c r="AA87" i="4"/>
  <c r="Y87" i="4"/>
  <c r="Z87" i="4" s="1"/>
  <c r="X87" i="4"/>
  <c r="J87" i="4"/>
  <c r="I87" i="4"/>
  <c r="G87" i="4"/>
  <c r="AB86" i="4"/>
  <c r="AA86" i="4"/>
  <c r="AC86" i="4" s="1"/>
  <c r="Z86" i="4"/>
  <c r="Y86" i="4"/>
  <c r="X86" i="4"/>
  <c r="J86" i="4"/>
  <c r="G86" i="4"/>
  <c r="I86" i="4" s="1"/>
  <c r="AB85" i="4"/>
  <c r="AA85" i="4"/>
  <c r="Y85" i="4"/>
  <c r="X85" i="4"/>
  <c r="J85" i="4"/>
  <c r="I85" i="4"/>
  <c r="G85" i="4"/>
  <c r="AB84" i="4"/>
  <c r="AC84" i="4" s="1"/>
  <c r="AA84" i="4"/>
  <c r="Y84" i="4"/>
  <c r="Z84" i="4" s="1"/>
  <c r="X84" i="4"/>
  <c r="J84" i="4"/>
  <c r="G84" i="4"/>
  <c r="I84" i="4" s="1"/>
  <c r="AC83" i="4"/>
  <c r="AB83" i="4"/>
  <c r="AA83" i="4"/>
  <c r="Y83" i="4"/>
  <c r="X83" i="4"/>
  <c r="Z83" i="4" s="1"/>
  <c r="J83" i="4"/>
  <c r="I83" i="4"/>
  <c r="G83" i="4"/>
  <c r="AB82" i="4"/>
  <c r="AA82" i="4"/>
  <c r="Y82" i="4"/>
  <c r="Z82" i="4" s="1"/>
  <c r="X82" i="4"/>
  <c r="J82" i="4"/>
  <c r="I82" i="4"/>
  <c r="G82" i="4"/>
  <c r="AB81" i="4"/>
  <c r="AC81" i="4" s="1"/>
  <c r="AA81" i="4"/>
  <c r="Y81" i="4"/>
  <c r="X81" i="4"/>
  <c r="Z81" i="4" s="1"/>
  <c r="J81" i="4"/>
  <c r="G81" i="4"/>
  <c r="I81" i="4" s="1"/>
  <c r="AC80" i="4"/>
  <c r="AB80" i="4"/>
  <c r="AA80" i="4"/>
  <c r="Y80" i="4"/>
  <c r="X80" i="4"/>
  <c r="J80" i="4"/>
  <c r="G80" i="4"/>
  <c r="I80" i="4" s="1"/>
  <c r="AB79" i="4"/>
  <c r="AC79" i="4" s="1"/>
  <c r="AA79" i="4"/>
  <c r="Y79" i="4"/>
  <c r="Z79" i="4" s="1"/>
  <c r="X79" i="4"/>
  <c r="J79" i="4"/>
  <c r="I79" i="4"/>
  <c r="G79" i="4"/>
  <c r="AC78" i="4"/>
  <c r="AB78" i="4"/>
  <c r="AA78" i="4"/>
  <c r="Z78" i="4"/>
  <c r="Y78" i="4"/>
  <c r="X78" i="4"/>
  <c r="J78" i="4"/>
  <c r="G78" i="4"/>
  <c r="I78" i="4" s="1"/>
  <c r="AB77" i="4"/>
  <c r="AA77" i="4"/>
  <c r="Y77" i="4"/>
  <c r="X77" i="4"/>
  <c r="J77" i="4"/>
  <c r="I77" i="4"/>
  <c r="G77" i="4"/>
  <c r="AB76" i="4"/>
  <c r="AC76" i="4" s="1"/>
  <c r="AA76" i="4"/>
  <c r="Y76" i="4"/>
  <c r="Z76" i="4" s="1"/>
  <c r="X76" i="4"/>
  <c r="J76" i="4"/>
  <c r="G76" i="4"/>
  <c r="I76" i="4" s="1"/>
  <c r="AC75" i="4"/>
  <c r="AB75" i="4"/>
  <c r="AA75" i="4"/>
  <c r="Z75" i="4"/>
  <c r="Y75" i="4"/>
  <c r="X75" i="4"/>
  <c r="J75" i="4"/>
  <c r="G75" i="4"/>
  <c r="I75" i="4" s="1"/>
  <c r="AB74" i="4"/>
  <c r="AA74" i="4"/>
  <c r="Y74" i="4"/>
  <c r="Z74" i="4" s="1"/>
  <c r="X74" i="4"/>
  <c r="J74" i="4"/>
  <c r="I74" i="4"/>
  <c r="G74" i="4"/>
  <c r="AB73" i="4"/>
  <c r="AC73" i="4" s="1"/>
  <c r="AA73" i="4"/>
  <c r="Z73" i="4"/>
  <c r="Y73" i="4"/>
  <c r="X73" i="4"/>
  <c r="J73" i="4"/>
  <c r="G73" i="4"/>
  <c r="I73" i="4" s="1"/>
  <c r="AB72" i="4"/>
  <c r="AA72" i="4"/>
  <c r="AC72" i="4" s="1"/>
  <c r="Y72" i="4"/>
  <c r="X72" i="4"/>
  <c r="J72" i="4"/>
  <c r="G72" i="4"/>
  <c r="I72" i="4" s="1"/>
  <c r="AB71" i="4"/>
  <c r="AC71" i="4" s="1"/>
  <c r="AA71" i="4"/>
  <c r="Y71" i="4"/>
  <c r="Z71" i="4" s="1"/>
  <c r="X71" i="4"/>
  <c r="J71" i="4"/>
  <c r="I71" i="4"/>
  <c r="G71" i="4"/>
  <c r="AB70" i="4"/>
  <c r="AA70" i="4"/>
  <c r="AC70" i="4" s="1"/>
  <c r="Z70" i="4"/>
  <c r="Y70" i="4"/>
  <c r="X70" i="4"/>
  <c r="J70" i="4"/>
  <c r="G70" i="4"/>
  <c r="I70" i="4" s="1"/>
  <c r="AB69" i="4"/>
  <c r="AA69" i="4"/>
  <c r="Y69" i="4"/>
  <c r="X69" i="4"/>
  <c r="J69" i="4"/>
  <c r="I69" i="4"/>
  <c r="G69" i="4"/>
  <c r="AB68" i="4"/>
  <c r="AC68" i="4" s="1"/>
  <c r="AA68" i="4"/>
  <c r="Y68" i="4"/>
  <c r="Z68" i="4" s="1"/>
  <c r="X68" i="4"/>
  <c r="J68" i="4"/>
  <c r="G68" i="4"/>
  <c r="I68" i="4" s="1"/>
  <c r="AC67" i="4"/>
  <c r="AB67" i="4"/>
  <c r="AA67" i="4"/>
  <c r="Y67" i="4"/>
  <c r="X67" i="4"/>
  <c r="Z67" i="4" s="1"/>
  <c r="J67" i="4"/>
  <c r="I67" i="4"/>
  <c r="G67" i="4"/>
  <c r="AB66" i="4"/>
  <c r="AA66" i="4"/>
  <c r="Y66" i="4"/>
  <c r="Z66" i="4" s="1"/>
  <c r="X66" i="4"/>
  <c r="J66" i="4"/>
  <c r="I66" i="4"/>
  <c r="G66" i="4"/>
  <c r="AB65" i="4"/>
  <c r="AC65" i="4" s="1"/>
  <c r="AA65" i="4"/>
  <c r="Y65" i="4"/>
  <c r="X65" i="4"/>
  <c r="Z65" i="4" s="1"/>
  <c r="J65" i="4"/>
  <c r="G65" i="4"/>
  <c r="I65" i="4" s="1"/>
  <c r="AC64" i="4"/>
  <c r="AB64" i="4"/>
  <c r="AA64" i="4"/>
  <c r="Y64" i="4"/>
  <c r="X64" i="4"/>
  <c r="J64" i="4"/>
  <c r="G64" i="4"/>
  <c r="I64" i="4" s="1"/>
  <c r="AB63" i="4"/>
  <c r="AC63" i="4" s="1"/>
  <c r="AA63" i="4"/>
  <c r="Y63" i="4"/>
  <c r="Z63" i="4" s="1"/>
  <c r="X63" i="4"/>
  <c r="J63" i="4"/>
  <c r="I63" i="4"/>
  <c r="G63" i="4"/>
  <c r="AC62" i="4"/>
  <c r="AB62" i="4"/>
  <c r="AA62" i="4"/>
  <c r="Z62" i="4"/>
  <c r="Y62" i="4"/>
  <c r="X62" i="4"/>
  <c r="J62" i="4"/>
  <c r="G62" i="4"/>
  <c r="I62" i="4" s="1"/>
  <c r="AB61" i="4"/>
  <c r="AA61" i="4"/>
  <c r="Y61" i="4"/>
  <c r="X61" i="4"/>
  <c r="J61" i="4"/>
  <c r="I61" i="4"/>
  <c r="G61" i="4"/>
  <c r="AB60" i="4"/>
  <c r="AC60" i="4" s="1"/>
  <c r="AA60" i="4"/>
  <c r="Y60" i="4"/>
  <c r="Z60" i="4" s="1"/>
  <c r="X60" i="4"/>
  <c r="J60" i="4"/>
  <c r="G60" i="4"/>
  <c r="I60" i="4" s="1"/>
  <c r="AC59" i="4"/>
  <c r="AB59" i="4"/>
  <c r="AA59" i="4"/>
  <c r="Z59" i="4"/>
  <c r="Y59" i="4"/>
  <c r="X59" i="4"/>
  <c r="J59" i="4"/>
  <c r="G59" i="4"/>
  <c r="I59" i="4" s="1"/>
  <c r="AB58" i="4"/>
  <c r="AA58" i="4"/>
  <c r="Y58" i="4"/>
  <c r="Z58" i="4" s="1"/>
  <c r="X58" i="4"/>
  <c r="J58" i="4"/>
  <c r="I58" i="4"/>
  <c r="G58" i="4"/>
  <c r="AB57" i="4"/>
  <c r="AC57" i="4" s="1"/>
  <c r="AA57" i="4"/>
  <c r="Z57" i="4"/>
  <c r="Y57" i="4"/>
  <c r="X57" i="4"/>
  <c r="J57" i="4"/>
  <c r="G57" i="4"/>
  <c r="I57" i="4" s="1"/>
  <c r="AB56" i="4"/>
  <c r="AA56" i="4"/>
  <c r="AC56" i="4" s="1"/>
  <c r="Y56" i="4"/>
  <c r="X56" i="4"/>
  <c r="J56" i="4"/>
  <c r="G56" i="4"/>
  <c r="I56" i="4" s="1"/>
  <c r="AB55" i="4"/>
  <c r="AC55" i="4" s="1"/>
  <c r="AA55" i="4"/>
  <c r="Y55" i="4"/>
  <c r="Z55" i="4" s="1"/>
  <c r="X55" i="4"/>
  <c r="J55" i="4"/>
  <c r="I55" i="4"/>
  <c r="G55" i="4"/>
  <c r="AB54" i="4"/>
  <c r="AA54" i="4"/>
  <c r="AC54" i="4" s="1"/>
  <c r="Z54" i="4"/>
  <c r="Y54" i="4"/>
  <c r="X54" i="4"/>
  <c r="J54" i="4"/>
  <c r="G54" i="4"/>
  <c r="I54" i="4" s="1"/>
  <c r="AB53" i="4"/>
  <c r="AA53" i="4"/>
  <c r="Y53" i="4"/>
  <c r="X53" i="4"/>
  <c r="J53" i="4"/>
  <c r="I53" i="4"/>
  <c r="G53" i="4"/>
  <c r="AB52" i="4"/>
  <c r="AC52" i="4" s="1"/>
  <c r="AA52" i="4"/>
  <c r="Y52" i="4"/>
  <c r="Z52" i="4" s="1"/>
  <c r="X52" i="4"/>
  <c r="J52" i="4"/>
  <c r="G52" i="4"/>
  <c r="I52" i="4" s="1"/>
  <c r="AC51" i="4"/>
  <c r="AB51" i="4"/>
  <c r="AA51" i="4"/>
  <c r="Y51" i="4"/>
  <c r="X51" i="4"/>
  <c r="Z51" i="4" s="1"/>
  <c r="J51" i="4"/>
  <c r="I51" i="4"/>
  <c r="G51" i="4"/>
  <c r="AB50" i="4"/>
  <c r="AA50" i="4"/>
  <c r="Y50" i="4"/>
  <c r="Z50" i="4" s="1"/>
  <c r="X50" i="4"/>
  <c r="J50" i="4"/>
  <c r="I50" i="4"/>
  <c r="G50" i="4"/>
  <c r="AB49" i="4"/>
  <c r="AC49" i="4" s="1"/>
  <c r="AA49" i="4"/>
  <c r="Y49" i="4"/>
  <c r="X49" i="4"/>
  <c r="Z49" i="4" s="1"/>
  <c r="J49" i="4"/>
  <c r="G49" i="4"/>
  <c r="I49" i="4" s="1"/>
  <c r="AC48" i="4"/>
  <c r="AB48" i="4"/>
  <c r="AA48" i="4"/>
  <c r="Y48" i="4"/>
  <c r="X48" i="4"/>
  <c r="J48" i="4"/>
  <c r="G48" i="4"/>
  <c r="I48" i="4" s="1"/>
  <c r="AB47" i="4"/>
  <c r="AC47" i="4" s="1"/>
  <c r="AA47" i="4"/>
  <c r="Y47" i="4"/>
  <c r="Z47" i="4" s="1"/>
  <c r="X47" i="4"/>
  <c r="J47" i="4"/>
  <c r="I47" i="4"/>
  <c r="G47" i="4"/>
  <c r="AC46" i="4"/>
  <c r="AB46" i="4"/>
  <c r="AA46" i="4"/>
  <c r="Z46" i="4"/>
  <c r="Y46" i="4"/>
  <c r="X46" i="4"/>
  <c r="J46" i="4"/>
  <c r="G46" i="4"/>
  <c r="I46" i="4" s="1"/>
  <c r="AB45" i="4"/>
  <c r="AA45" i="4"/>
  <c r="Y45" i="4"/>
  <c r="X45" i="4"/>
  <c r="J45" i="4"/>
  <c r="I45" i="4"/>
  <c r="G45" i="4"/>
  <c r="AB44" i="4"/>
  <c r="AC44" i="4" s="1"/>
  <c r="AA44" i="4"/>
  <c r="Y44" i="4"/>
  <c r="Z44" i="4" s="1"/>
  <c r="X44" i="4"/>
  <c r="J44" i="4"/>
  <c r="G44" i="4"/>
  <c r="I44" i="4" s="1"/>
  <c r="AC43" i="4"/>
  <c r="AB43" i="4"/>
  <c r="AA43" i="4"/>
  <c r="Z43" i="4"/>
  <c r="Y43" i="4"/>
  <c r="X43" i="4"/>
  <c r="J43" i="4"/>
  <c r="G43" i="4"/>
  <c r="I43" i="4" s="1"/>
  <c r="AB42" i="4"/>
  <c r="AA42" i="4"/>
  <c r="Y42" i="4"/>
  <c r="Z42" i="4" s="1"/>
  <c r="X42" i="4"/>
  <c r="J42" i="4"/>
  <c r="I42" i="4"/>
  <c r="G42" i="4"/>
  <c r="AB41" i="4"/>
  <c r="AC41" i="4" s="1"/>
  <c r="AA41" i="4"/>
  <c r="Z41" i="4"/>
  <c r="Y41" i="4"/>
  <c r="X41" i="4"/>
  <c r="J41" i="4"/>
  <c r="G41" i="4"/>
  <c r="I41" i="4" s="1"/>
  <c r="AB40" i="4"/>
  <c r="AA40" i="4"/>
  <c r="AC40" i="4" s="1"/>
  <c r="Y40" i="4"/>
  <c r="X40" i="4"/>
  <c r="J40" i="4"/>
  <c r="G40" i="4"/>
  <c r="I40" i="4" s="1"/>
  <c r="AB39" i="4"/>
  <c r="AC39" i="4" s="1"/>
  <c r="AA39" i="4"/>
  <c r="Y39" i="4"/>
  <c r="Z39" i="4" s="1"/>
  <c r="X39" i="4"/>
  <c r="J39" i="4"/>
  <c r="I39" i="4"/>
  <c r="G39" i="4"/>
  <c r="AB38" i="4"/>
  <c r="AA38" i="4"/>
  <c r="AC38" i="4" s="1"/>
  <c r="Z38" i="4"/>
  <c r="Y38" i="4"/>
  <c r="X38" i="4"/>
  <c r="J38" i="4"/>
  <c r="G38" i="4"/>
  <c r="I38" i="4" s="1"/>
  <c r="AB37" i="4"/>
  <c r="AA37" i="4"/>
  <c r="Y37" i="4"/>
  <c r="X37" i="4"/>
  <c r="J37" i="4"/>
  <c r="I37" i="4"/>
  <c r="G37" i="4"/>
  <c r="AC36" i="4"/>
  <c r="AB36" i="4"/>
  <c r="AA36" i="4"/>
  <c r="Y36" i="4"/>
  <c r="Z36" i="4" s="1"/>
  <c r="X36" i="4"/>
  <c r="J36" i="4"/>
  <c r="G36" i="4"/>
  <c r="I36" i="4" s="1"/>
  <c r="AC35" i="4"/>
  <c r="AB35" i="4"/>
  <c r="AA35" i="4"/>
  <c r="Y35" i="4"/>
  <c r="X35" i="4"/>
  <c r="Z35" i="4" s="1"/>
  <c r="J35" i="4"/>
  <c r="I35" i="4"/>
  <c r="G35" i="4"/>
  <c r="AB34" i="4"/>
  <c r="AC34" i="4" s="1"/>
  <c r="AA34" i="4"/>
  <c r="Y34" i="4"/>
  <c r="Z34" i="4" s="1"/>
  <c r="X34" i="4"/>
  <c r="J34" i="4"/>
  <c r="I34" i="4"/>
  <c r="G34" i="4"/>
  <c r="AB33" i="4"/>
  <c r="AC33" i="4" s="1"/>
  <c r="AA33" i="4"/>
  <c r="Y33" i="4"/>
  <c r="X33" i="4"/>
  <c r="Z33" i="4" s="1"/>
  <c r="J33" i="4"/>
  <c r="G33" i="4"/>
  <c r="I33" i="4" s="1"/>
  <c r="AC32" i="4"/>
  <c r="AB32" i="4"/>
  <c r="AA32" i="4"/>
  <c r="Y32" i="4"/>
  <c r="X32" i="4"/>
  <c r="J32" i="4"/>
  <c r="G32" i="4"/>
  <c r="I32" i="4" s="1"/>
  <c r="AB31" i="4"/>
  <c r="AC31" i="4" s="1"/>
  <c r="AA31" i="4"/>
  <c r="Y31" i="4"/>
  <c r="Z31" i="4" s="1"/>
  <c r="X31" i="4"/>
  <c r="J31" i="4"/>
  <c r="I31" i="4"/>
  <c r="G31" i="4"/>
  <c r="AC30" i="4"/>
  <c r="AB30" i="4"/>
  <c r="AA30" i="4"/>
  <c r="Z30" i="4"/>
  <c r="Y30" i="4"/>
  <c r="X30" i="4"/>
  <c r="J30" i="4"/>
  <c r="G30" i="4"/>
  <c r="I30" i="4" s="1"/>
  <c r="AB29" i="4"/>
  <c r="AA29" i="4"/>
  <c r="Y29" i="4"/>
  <c r="X29" i="4"/>
  <c r="J29" i="4"/>
  <c r="I29" i="4"/>
  <c r="G29" i="4"/>
  <c r="AB28" i="4"/>
  <c r="AC28" i="4" s="1"/>
  <c r="AA28" i="4"/>
  <c r="Y28" i="4"/>
  <c r="Z28" i="4" s="1"/>
  <c r="X28" i="4"/>
  <c r="J28" i="4"/>
  <c r="G28" i="4"/>
  <c r="I28" i="4" s="1"/>
  <c r="AC27" i="4"/>
  <c r="AB27" i="4"/>
  <c r="AA27" i="4"/>
  <c r="Z27" i="4"/>
  <c r="Y27" i="4"/>
  <c r="X27" i="4"/>
  <c r="J27" i="4"/>
  <c r="G27" i="4"/>
  <c r="I27" i="4" s="1"/>
  <c r="AB26" i="4"/>
  <c r="AA26" i="4"/>
  <c r="Y26" i="4"/>
  <c r="Z26" i="4" s="1"/>
  <c r="X26" i="4"/>
  <c r="J26" i="4"/>
  <c r="I26" i="4"/>
  <c r="G26" i="4"/>
  <c r="AB25" i="4"/>
  <c r="AC25" i="4" s="1"/>
  <c r="AA25" i="4"/>
  <c r="Z25" i="4"/>
  <c r="Y25" i="4"/>
  <c r="X25" i="4"/>
  <c r="J25" i="4"/>
  <c r="G25" i="4"/>
  <c r="I25" i="4" s="1"/>
  <c r="AB24" i="4"/>
  <c r="AA24" i="4"/>
  <c r="AC24" i="4" s="1"/>
  <c r="Y24" i="4"/>
  <c r="X24" i="4"/>
  <c r="J24" i="4"/>
  <c r="G24" i="4"/>
  <c r="I24" i="4" s="1"/>
  <c r="AB23" i="4"/>
  <c r="AC23" i="4" s="1"/>
  <c r="AA23" i="4"/>
  <c r="Y23" i="4"/>
  <c r="Z23" i="4" s="1"/>
  <c r="X23" i="4"/>
  <c r="J23" i="4"/>
  <c r="I23" i="4"/>
  <c r="G23" i="4"/>
  <c r="AB22" i="4"/>
  <c r="AA22" i="4"/>
  <c r="AC22" i="4" s="1"/>
  <c r="Z22" i="4"/>
  <c r="Y22" i="4"/>
  <c r="X22" i="4"/>
  <c r="J22" i="4"/>
  <c r="G22" i="4"/>
  <c r="I22" i="4" s="1"/>
  <c r="AB21" i="4"/>
  <c r="AA21" i="4"/>
  <c r="Y21" i="4"/>
  <c r="X21" i="4"/>
  <c r="J21" i="4"/>
  <c r="I21" i="4"/>
  <c r="G21" i="4"/>
  <c r="AB20" i="4"/>
  <c r="AC20" i="4" s="1"/>
  <c r="AA20" i="4"/>
  <c r="Y20" i="4"/>
  <c r="Z20" i="4" s="1"/>
  <c r="X20" i="4"/>
  <c r="J20" i="4"/>
  <c r="G20" i="4"/>
  <c r="I20" i="4" s="1"/>
  <c r="AC19" i="4"/>
  <c r="AB19" i="4"/>
  <c r="AA19" i="4"/>
  <c r="Y19" i="4"/>
  <c r="X19" i="4"/>
  <c r="Z19" i="4" s="1"/>
  <c r="J19" i="4"/>
  <c r="I19" i="4"/>
  <c r="G19" i="4"/>
  <c r="AB18" i="4"/>
  <c r="AA18" i="4"/>
  <c r="Y18" i="4"/>
  <c r="Z18" i="4" s="1"/>
  <c r="X18" i="4"/>
  <c r="J18" i="4"/>
  <c r="I18" i="4"/>
  <c r="G18" i="4"/>
  <c r="AB17" i="4"/>
  <c r="AC17" i="4" s="1"/>
  <c r="AA17" i="4"/>
  <c r="Y17" i="4"/>
  <c r="X17" i="4"/>
  <c r="Z17" i="4" s="1"/>
  <c r="J17" i="4"/>
  <c r="G17" i="4"/>
  <c r="I17" i="4" s="1"/>
  <c r="AC16" i="4"/>
  <c r="AB16" i="4"/>
  <c r="AA16" i="4"/>
  <c r="Y16" i="4"/>
  <c r="X16" i="4"/>
  <c r="J16" i="4"/>
  <c r="G16" i="4"/>
  <c r="I16" i="4" s="1"/>
  <c r="AB15" i="4"/>
  <c r="AC15" i="4" s="1"/>
  <c r="AA15" i="4"/>
  <c r="Y15" i="4"/>
  <c r="Z15" i="4" s="1"/>
  <c r="X15" i="4"/>
  <c r="J15" i="4"/>
  <c r="I15" i="4"/>
  <c r="G15" i="4"/>
  <c r="AC14" i="4"/>
  <c r="AB14" i="4"/>
  <c r="AA14" i="4"/>
  <c r="Z14" i="4"/>
  <c r="Y14" i="4"/>
  <c r="X14" i="4"/>
  <c r="J14" i="4"/>
  <c r="G14" i="4"/>
  <c r="I14" i="4" s="1"/>
  <c r="AB13" i="4"/>
  <c r="AA13" i="4"/>
  <c r="Y13" i="4"/>
  <c r="X13" i="4"/>
  <c r="J13" i="4"/>
  <c r="I13" i="4"/>
  <c r="G13" i="4"/>
  <c r="AB12" i="4"/>
  <c r="AC12" i="4" s="1"/>
  <c r="AA12" i="4"/>
  <c r="Y12" i="4"/>
  <c r="Z12" i="4" s="1"/>
  <c r="X12" i="4"/>
  <c r="J12" i="4"/>
  <c r="G12" i="4"/>
  <c r="I12" i="4" s="1"/>
  <c r="AC11" i="4"/>
  <c r="AB11" i="4"/>
  <c r="AA11" i="4"/>
  <c r="Z11" i="4"/>
  <c r="Y11" i="4"/>
  <c r="X11" i="4"/>
  <c r="J11" i="4"/>
  <c r="G11" i="4"/>
  <c r="I11" i="4" s="1"/>
  <c r="AB10" i="4"/>
  <c r="AA10" i="4"/>
  <c r="Y10" i="4"/>
  <c r="Z10" i="4" s="1"/>
  <c r="X10" i="4"/>
  <c r="J10" i="4"/>
  <c r="I10" i="4"/>
  <c r="G10" i="4"/>
  <c r="AB9" i="4"/>
  <c r="AC9" i="4" s="1"/>
  <c r="AA9" i="4"/>
  <c r="Z9" i="4"/>
  <c r="Y9" i="4"/>
  <c r="X9" i="4"/>
  <c r="J9" i="4"/>
  <c r="G9" i="4"/>
  <c r="I9" i="4" s="1"/>
  <c r="AB8" i="4"/>
  <c r="AA8" i="4"/>
  <c r="AC8" i="4" s="1"/>
  <c r="Y8" i="4"/>
  <c r="X8" i="4"/>
  <c r="J8" i="4"/>
  <c r="G8" i="4"/>
  <c r="I8" i="4" s="1"/>
  <c r="AB7" i="4"/>
  <c r="AC7" i="4" s="1"/>
  <c r="AA7" i="4"/>
  <c r="Y7" i="4"/>
  <c r="Z7" i="4" s="1"/>
  <c r="X7" i="4"/>
  <c r="J7" i="4"/>
  <c r="I7" i="4"/>
  <c r="G7" i="4"/>
  <c r="AB6" i="4"/>
  <c r="AA6" i="4"/>
  <c r="AC6" i="4" s="1"/>
  <c r="Z6" i="4"/>
  <c r="Y6" i="4"/>
  <c r="X6" i="4"/>
  <c r="J6" i="4"/>
  <c r="G6" i="4"/>
  <c r="I6" i="4" s="1"/>
  <c r="AB5" i="4"/>
  <c r="AA5" i="4"/>
  <c r="Y5" i="4"/>
  <c r="X5" i="4"/>
  <c r="J5" i="4"/>
  <c r="I5" i="4"/>
  <c r="G5" i="4"/>
  <c r="AC4" i="4"/>
  <c r="AB4" i="4"/>
  <c r="AA4" i="4"/>
  <c r="Y4" i="4"/>
  <c r="Z4" i="4" s="1"/>
  <c r="X4" i="4"/>
  <c r="J4" i="4"/>
  <c r="G4" i="4"/>
  <c r="I4" i="4" s="1"/>
  <c r="AC3" i="4"/>
  <c r="AB3" i="4"/>
  <c r="AA3" i="4"/>
  <c r="Y3" i="4"/>
  <c r="X3" i="4"/>
  <c r="Z3" i="4" s="1"/>
  <c r="J3" i="4"/>
  <c r="I3" i="4"/>
  <c r="G3" i="4"/>
  <c r="AB2" i="4"/>
  <c r="AA2" i="4"/>
  <c r="Y2" i="4"/>
  <c r="Z2" i="4" s="1"/>
  <c r="X2" i="4"/>
  <c r="J2" i="4"/>
  <c r="I2" i="4"/>
  <c r="G2" i="4"/>
  <c r="Y2" i="1"/>
  <c r="Y7" i="1"/>
  <c r="Y99" i="1"/>
  <c r="Y78" i="1"/>
  <c r="Y59" i="1"/>
  <c r="Y82" i="1"/>
  <c r="Y36" i="1"/>
  <c r="Y23" i="1"/>
  <c r="Y136" i="1"/>
  <c r="Y58" i="1"/>
  <c r="Y57" i="1"/>
  <c r="Y68" i="1"/>
  <c r="Y74" i="1"/>
  <c r="Y17" i="1"/>
  <c r="Y147" i="1"/>
  <c r="Z147" i="1" s="1"/>
  <c r="Y32" i="1"/>
  <c r="Y67" i="1"/>
  <c r="Y4" i="1"/>
  <c r="Y46" i="1"/>
  <c r="Y34" i="1"/>
  <c r="Y56" i="1"/>
  <c r="Y114" i="1"/>
  <c r="Y132" i="1"/>
  <c r="Z132" i="1" s="1"/>
  <c r="Y173" i="1"/>
  <c r="Y143" i="1"/>
  <c r="Y47" i="1"/>
  <c r="Y64" i="1"/>
  <c r="Y174" i="1"/>
  <c r="Y91" i="1"/>
  <c r="Y150" i="1"/>
  <c r="Y93" i="1"/>
  <c r="Z93" i="1" s="1"/>
  <c r="Y39" i="1"/>
  <c r="Y53" i="1"/>
  <c r="Y103" i="1"/>
  <c r="Y142" i="1"/>
  <c r="Y30" i="1"/>
  <c r="Y71" i="1"/>
  <c r="Y167" i="1"/>
  <c r="Y54" i="1"/>
  <c r="Z54" i="1" s="1"/>
  <c r="Y88" i="1"/>
  <c r="Y89" i="1"/>
  <c r="Y45" i="1"/>
  <c r="Y90" i="1"/>
  <c r="Y50" i="1"/>
  <c r="Y51" i="1"/>
  <c r="Y170" i="1"/>
  <c r="Y98" i="1"/>
  <c r="Z98" i="1" s="1"/>
  <c r="Y22" i="1"/>
  <c r="Y139" i="1"/>
  <c r="Y61" i="1"/>
  <c r="Y73" i="1"/>
  <c r="Y130" i="1"/>
  <c r="Y20" i="1"/>
  <c r="Y69" i="1"/>
  <c r="Y146" i="1"/>
  <c r="Z146" i="1" s="1"/>
  <c r="Y5" i="1"/>
  <c r="Y106" i="1"/>
  <c r="Y112" i="1"/>
  <c r="Y40" i="1"/>
  <c r="Y160" i="1"/>
  <c r="Y65" i="1"/>
  <c r="Y122" i="1"/>
  <c r="Y119" i="1"/>
  <c r="Z119" i="1" s="1"/>
  <c r="Y8" i="1"/>
  <c r="Y81" i="1"/>
  <c r="Y26" i="1"/>
  <c r="Y163" i="1"/>
  <c r="Y162" i="1"/>
  <c r="Y49" i="1"/>
  <c r="Y86" i="1"/>
  <c r="Y107" i="1"/>
  <c r="Z107" i="1" s="1"/>
  <c r="Y161" i="1"/>
  <c r="Y66" i="1"/>
  <c r="Y148" i="1"/>
  <c r="Y108" i="1"/>
  <c r="Y33" i="1"/>
  <c r="Y111" i="1"/>
  <c r="Y44" i="1"/>
  <c r="Y115" i="1"/>
  <c r="Z115" i="1" s="1"/>
  <c r="Y62" i="1"/>
  <c r="Y87" i="1"/>
  <c r="Y28" i="1"/>
  <c r="Y137" i="1"/>
  <c r="Y110" i="1"/>
  <c r="Y95" i="1"/>
  <c r="Y97" i="1"/>
  <c r="Y153" i="1"/>
  <c r="Z153" i="1" s="1"/>
  <c r="Y55" i="1"/>
  <c r="Y134" i="1"/>
  <c r="Y104" i="1"/>
  <c r="Y29" i="1"/>
  <c r="Y43" i="1"/>
  <c r="Y31" i="1"/>
  <c r="Y35" i="1"/>
  <c r="Y85" i="1"/>
  <c r="Z85" i="1" s="1"/>
  <c r="Y102" i="1"/>
  <c r="Y138" i="1"/>
  <c r="Y141" i="1"/>
  <c r="Y37" i="1"/>
  <c r="Y100" i="1"/>
  <c r="Y149" i="1"/>
  <c r="Y16" i="1"/>
  <c r="Y145" i="1"/>
  <c r="Z145" i="1" s="1"/>
  <c r="Y77" i="1"/>
  <c r="Y96" i="1"/>
  <c r="Y79" i="1"/>
  <c r="Y14" i="1"/>
  <c r="Y117" i="1"/>
  <c r="Y131" i="1"/>
  <c r="Y42" i="1"/>
  <c r="Y105" i="1"/>
  <c r="Z105" i="1" s="1"/>
  <c r="Y83" i="1"/>
  <c r="Y9" i="1"/>
  <c r="Y154" i="1"/>
  <c r="Y126" i="1"/>
  <c r="Y158" i="1"/>
  <c r="Y101" i="1"/>
  <c r="Y11" i="1"/>
  <c r="Y135" i="1"/>
  <c r="Z135" i="1" s="1"/>
  <c r="Y164" i="1"/>
  <c r="Y92" i="1"/>
  <c r="Y133" i="1"/>
  <c r="Y109" i="1"/>
  <c r="Y80" i="1"/>
  <c r="Z80" i="1" s="1"/>
  <c r="Y48" i="1"/>
  <c r="Y60" i="1"/>
  <c r="Y84" i="1"/>
  <c r="Z84" i="1" s="1"/>
  <c r="Y175" i="1"/>
  <c r="Y10" i="1"/>
  <c r="Y113" i="1"/>
  <c r="Y166" i="1"/>
  <c r="Y169" i="1"/>
  <c r="Z169" i="1" s="1"/>
  <c r="Y172" i="1"/>
  <c r="Y76" i="1"/>
  <c r="Y21" i="1"/>
  <c r="Z21" i="1" s="1"/>
  <c r="Y94" i="1"/>
  <c r="Y52" i="1"/>
  <c r="Y3" i="1"/>
  <c r="Y118" i="1"/>
  <c r="Y116" i="1"/>
  <c r="Z116" i="1" s="1"/>
  <c r="Y156" i="1"/>
  <c r="Y124" i="1"/>
  <c r="Y70" i="1"/>
  <c r="Z70" i="1" s="1"/>
  <c r="Y127" i="1"/>
  <c r="Y144" i="1"/>
  <c r="Y152" i="1"/>
  <c r="Y12" i="1"/>
  <c r="Y25" i="1"/>
  <c r="Z25" i="1" s="1"/>
  <c r="Y13" i="1"/>
  <c r="Y27" i="1"/>
  <c r="Y171" i="1"/>
  <c r="Z171" i="1" s="1"/>
  <c r="Y128" i="1"/>
  <c r="Y120" i="1"/>
  <c r="Y63" i="1"/>
  <c r="Y129" i="1"/>
  <c r="Y41" i="1"/>
  <c r="Z41" i="1" s="1"/>
  <c r="Y24" i="1"/>
  <c r="Y159" i="1"/>
  <c r="Y19" i="1"/>
  <c r="Z19" i="1" s="1"/>
  <c r="Y125" i="1"/>
  <c r="Y155" i="1"/>
  <c r="Y151" i="1"/>
  <c r="Y168" i="1"/>
  <c r="Y15" i="1"/>
  <c r="Z15" i="1" s="1"/>
  <c r="Y75" i="1"/>
  <c r="Y157" i="1"/>
  <c r="Y165" i="1"/>
  <c r="Z165" i="1" s="1"/>
  <c r="Y123" i="1"/>
  <c r="Y18" i="1"/>
  <c r="Y6" i="1"/>
  <c r="Y140" i="1"/>
  <c r="Y121" i="1"/>
  <c r="Z121" i="1" s="1"/>
  <c r="Y72" i="1"/>
  <c r="X2" i="1"/>
  <c r="X7" i="1"/>
  <c r="X99" i="1"/>
  <c r="X78" i="1"/>
  <c r="X59" i="1"/>
  <c r="X82" i="1"/>
  <c r="X36" i="1"/>
  <c r="X23" i="1"/>
  <c r="X136" i="1"/>
  <c r="X58" i="1"/>
  <c r="X57" i="1"/>
  <c r="X68" i="1"/>
  <c r="X74" i="1"/>
  <c r="X17" i="1"/>
  <c r="X147" i="1"/>
  <c r="X32" i="1"/>
  <c r="X67" i="1"/>
  <c r="X4" i="1"/>
  <c r="X46" i="1"/>
  <c r="X34" i="1"/>
  <c r="X56" i="1"/>
  <c r="X114" i="1"/>
  <c r="X132" i="1"/>
  <c r="X173" i="1"/>
  <c r="X143" i="1"/>
  <c r="X47" i="1"/>
  <c r="X64" i="1"/>
  <c r="X174" i="1"/>
  <c r="X91" i="1"/>
  <c r="X150" i="1"/>
  <c r="X93" i="1"/>
  <c r="X39" i="1"/>
  <c r="X53" i="1"/>
  <c r="X103" i="1"/>
  <c r="X142" i="1"/>
  <c r="X30" i="1"/>
  <c r="X71" i="1"/>
  <c r="X167" i="1"/>
  <c r="X54" i="1"/>
  <c r="X88" i="1"/>
  <c r="X89" i="1"/>
  <c r="X45" i="1"/>
  <c r="X90" i="1"/>
  <c r="X50" i="1"/>
  <c r="X51" i="1"/>
  <c r="X170" i="1"/>
  <c r="X98" i="1"/>
  <c r="X22" i="1"/>
  <c r="X139" i="1"/>
  <c r="X61" i="1"/>
  <c r="X73" i="1"/>
  <c r="X130" i="1"/>
  <c r="X20" i="1"/>
  <c r="X69" i="1"/>
  <c r="X146" i="1"/>
  <c r="X5" i="1"/>
  <c r="X106" i="1"/>
  <c r="X112" i="1"/>
  <c r="X40" i="1"/>
  <c r="X160" i="1"/>
  <c r="X65" i="1"/>
  <c r="X122" i="1"/>
  <c r="X119" i="1"/>
  <c r="X8" i="1"/>
  <c r="X81" i="1"/>
  <c r="X26" i="1"/>
  <c r="X163" i="1"/>
  <c r="X162" i="1"/>
  <c r="X49" i="1"/>
  <c r="X86" i="1"/>
  <c r="X107" i="1"/>
  <c r="X161" i="1"/>
  <c r="X66" i="1"/>
  <c r="X148" i="1"/>
  <c r="X108" i="1"/>
  <c r="X33" i="1"/>
  <c r="X111" i="1"/>
  <c r="X44" i="1"/>
  <c r="X115" i="1"/>
  <c r="X62" i="1"/>
  <c r="X87" i="1"/>
  <c r="X28" i="1"/>
  <c r="X137" i="1"/>
  <c r="X110" i="1"/>
  <c r="X95" i="1"/>
  <c r="X97" i="1"/>
  <c r="X153" i="1"/>
  <c r="X55" i="1"/>
  <c r="X134" i="1"/>
  <c r="X104" i="1"/>
  <c r="X29" i="1"/>
  <c r="X43" i="1"/>
  <c r="X31" i="1"/>
  <c r="X35" i="1"/>
  <c r="X85" i="1"/>
  <c r="X102" i="1"/>
  <c r="X138" i="1"/>
  <c r="X141" i="1"/>
  <c r="X37" i="1"/>
  <c r="X100" i="1"/>
  <c r="X149" i="1"/>
  <c r="X16" i="1"/>
  <c r="X145" i="1"/>
  <c r="X77" i="1"/>
  <c r="X96" i="1"/>
  <c r="X79" i="1"/>
  <c r="X14" i="1"/>
  <c r="X117" i="1"/>
  <c r="X131" i="1"/>
  <c r="X42" i="1"/>
  <c r="X105" i="1"/>
  <c r="X83" i="1"/>
  <c r="X9" i="1"/>
  <c r="X154" i="1"/>
  <c r="X126" i="1"/>
  <c r="X158" i="1"/>
  <c r="X101" i="1"/>
  <c r="X11" i="1"/>
  <c r="X135" i="1"/>
  <c r="X164" i="1"/>
  <c r="X92" i="1"/>
  <c r="X133" i="1"/>
  <c r="X109" i="1"/>
  <c r="X80" i="1"/>
  <c r="X48" i="1"/>
  <c r="X60" i="1"/>
  <c r="X84" i="1"/>
  <c r="X175" i="1"/>
  <c r="X10" i="1"/>
  <c r="X113" i="1"/>
  <c r="X166" i="1"/>
  <c r="X169" i="1"/>
  <c r="X172" i="1"/>
  <c r="X76" i="1"/>
  <c r="X21" i="1"/>
  <c r="X94" i="1"/>
  <c r="X52" i="1"/>
  <c r="X3" i="1"/>
  <c r="X118" i="1"/>
  <c r="X116" i="1"/>
  <c r="X156" i="1"/>
  <c r="X124" i="1"/>
  <c r="X70" i="1"/>
  <c r="X127" i="1"/>
  <c r="X144" i="1"/>
  <c r="X152" i="1"/>
  <c r="X12" i="1"/>
  <c r="X25" i="1"/>
  <c r="X13" i="1"/>
  <c r="X27" i="1"/>
  <c r="X171" i="1"/>
  <c r="X128" i="1"/>
  <c r="X120" i="1"/>
  <c r="X63" i="1"/>
  <c r="X129" i="1"/>
  <c r="X41" i="1"/>
  <c r="X24" i="1"/>
  <c r="X159" i="1"/>
  <c r="X19" i="1"/>
  <c r="X125" i="1"/>
  <c r="X155" i="1"/>
  <c r="X151" i="1"/>
  <c r="X168" i="1"/>
  <c r="X15" i="1"/>
  <c r="X75" i="1"/>
  <c r="X157" i="1"/>
  <c r="X165" i="1"/>
  <c r="X123" i="1"/>
  <c r="X18" i="1"/>
  <c r="X6" i="1"/>
  <c r="X140" i="1"/>
  <c r="X121" i="1"/>
  <c r="X72" i="1"/>
  <c r="Y38" i="1"/>
  <c r="X38" i="1"/>
  <c r="AB2" i="1"/>
  <c r="AB7" i="1"/>
  <c r="AB99" i="1"/>
  <c r="AC99" i="1" s="1"/>
  <c r="AB78" i="1"/>
  <c r="AB59" i="1"/>
  <c r="AB82" i="1"/>
  <c r="AB36" i="1"/>
  <c r="AB23" i="1"/>
  <c r="AB136" i="1"/>
  <c r="AB58" i="1"/>
  <c r="AB57" i="1"/>
  <c r="AC57" i="1" s="1"/>
  <c r="AB68" i="1"/>
  <c r="AB74" i="1"/>
  <c r="AB17" i="1"/>
  <c r="AB147" i="1"/>
  <c r="AB32" i="1"/>
  <c r="AB67" i="1"/>
  <c r="AB4" i="1"/>
  <c r="AB46" i="1"/>
  <c r="AC46" i="1" s="1"/>
  <c r="AB34" i="1"/>
  <c r="AB56" i="1"/>
  <c r="AB114" i="1"/>
  <c r="AB132" i="1"/>
  <c r="AB173" i="1"/>
  <c r="AB143" i="1"/>
  <c r="AB47" i="1"/>
  <c r="AB64" i="1"/>
  <c r="AC64" i="1" s="1"/>
  <c r="AB174" i="1"/>
  <c r="AB91" i="1"/>
  <c r="AB150" i="1"/>
  <c r="AB93" i="1"/>
  <c r="AB39" i="1"/>
  <c r="AB53" i="1"/>
  <c r="AB103" i="1"/>
  <c r="AB142" i="1"/>
  <c r="AC142" i="1" s="1"/>
  <c r="AB30" i="1"/>
  <c r="AB71" i="1"/>
  <c r="AB167" i="1"/>
  <c r="AB54" i="1"/>
  <c r="AB88" i="1"/>
  <c r="AB89" i="1"/>
  <c r="AB45" i="1"/>
  <c r="AB90" i="1"/>
  <c r="AC90" i="1" s="1"/>
  <c r="AB50" i="1"/>
  <c r="AB51" i="1"/>
  <c r="AB170" i="1"/>
  <c r="AB98" i="1"/>
  <c r="AB22" i="1"/>
  <c r="AB139" i="1"/>
  <c r="AB61" i="1"/>
  <c r="AB73" i="1"/>
  <c r="AB130" i="1"/>
  <c r="AB20" i="1"/>
  <c r="AB69" i="1"/>
  <c r="AB146" i="1"/>
  <c r="AB5" i="1"/>
  <c r="AB106" i="1"/>
  <c r="AB112" i="1"/>
  <c r="AB40" i="1"/>
  <c r="AC40" i="1" s="1"/>
  <c r="AB160" i="1"/>
  <c r="AB65" i="1"/>
  <c r="AB122" i="1"/>
  <c r="AB119" i="1"/>
  <c r="AB8" i="1"/>
  <c r="AB81" i="1"/>
  <c r="AB26" i="1"/>
  <c r="AB163" i="1"/>
  <c r="AC163" i="1" s="1"/>
  <c r="AB162" i="1"/>
  <c r="AB49" i="1"/>
  <c r="AB86" i="1"/>
  <c r="AB107" i="1"/>
  <c r="AB161" i="1"/>
  <c r="AB66" i="1"/>
  <c r="AB148" i="1"/>
  <c r="AB108" i="1"/>
  <c r="AC108" i="1" s="1"/>
  <c r="AB33" i="1"/>
  <c r="AB111" i="1"/>
  <c r="AB44" i="1"/>
  <c r="AB115" i="1"/>
  <c r="AB62" i="1"/>
  <c r="AB87" i="1"/>
  <c r="AB28" i="1"/>
  <c r="AB137" i="1"/>
  <c r="AC137" i="1" s="1"/>
  <c r="AB110" i="1"/>
  <c r="AB95" i="1"/>
  <c r="AB97" i="1"/>
  <c r="AB153" i="1"/>
  <c r="AB55" i="1"/>
  <c r="AB134" i="1"/>
  <c r="AB104" i="1"/>
  <c r="AB29" i="1"/>
  <c r="AB43" i="1"/>
  <c r="AB31" i="1"/>
  <c r="AB35" i="1"/>
  <c r="AB85" i="1"/>
  <c r="AB102" i="1"/>
  <c r="AB138" i="1"/>
  <c r="AB141" i="1"/>
  <c r="AB37" i="1"/>
  <c r="AB100" i="1"/>
  <c r="AB149" i="1"/>
  <c r="AB16" i="1"/>
  <c r="AB145" i="1"/>
  <c r="AB77" i="1"/>
  <c r="AB96" i="1"/>
  <c r="AB79" i="1"/>
  <c r="AB14" i="1"/>
  <c r="AB117" i="1"/>
  <c r="AB131" i="1"/>
  <c r="AB42" i="1"/>
  <c r="AB105" i="1"/>
  <c r="AB83" i="1"/>
  <c r="AB9" i="1"/>
  <c r="AB154" i="1"/>
  <c r="AB126" i="1"/>
  <c r="AB158" i="1"/>
  <c r="AB101" i="1"/>
  <c r="AB11" i="1"/>
  <c r="AB135" i="1"/>
  <c r="AB164" i="1"/>
  <c r="AB92" i="1"/>
  <c r="AB133" i="1"/>
  <c r="AB109" i="1"/>
  <c r="AB80" i="1"/>
  <c r="AB48" i="1"/>
  <c r="AB60" i="1"/>
  <c r="AB84" i="1"/>
  <c r="AB175" i="1"/>
  <c r="AB10" i="1"/>
  <c r="AB113" i="1"/>
  <c r="AB166" i="1"/>
  <c r="AB169" i="1"/>
  <c r="AB172" i="1"/>
  <c r="AB76" i="1"/>
  <c r="AB21" i="1"/>
  <c r="AB94" i="1"/>
  <c r="AB52" i="1"/>
  <c r="AB3" i="1"/>
  <c r="AB118" i="1"/>
  <c r="AB116" i="1"/>
  <c r="AB156" i="1"/>
  <c r="AB124" i="1"/>
  <c r="AB70" i="1"/>
  <c r="AB127" i="1"/>
  <c r="AB144" i="1"/>
  <c r="AB152" i="1"/>
  <c r="AB12" i="1"/>
  <c r="AB25" i="1"/>
  <c r="AB13" i="1"/>
  <c r="AB27" i="1"/>
  <c r="AB171" i="1"/>
  <c r="AB128" i="1"/>
  <c r="AB120" i="1"/>
  <c r="AB63" i="1"/>
  <c r="AB129" i="1"/>
  <c r="AB41" i="1"/>
  <c r="AB24" i="1"/>
  <c r="AB159" i="1"/>
  <c r="AB19" i="1"/>
  <c r="AB125" i="1"/>
  <c r="AB155" i="1"/>
  <c r="AB151" i="1"/>
  <c r="AB168" i="1"/>
  <c r="AB15" i="1"/>
  <c r="AB75" i="1"/>
  <c r="AB157" i="1"/>
  <c r="AB165" i="1"/>
  <c r="AB123" i="1"/>
  <c r="AB18" i="1"/>
  <c r="AB6" i="1"/>
  <c r="AB140" i="1"/>
  <c r="AB121" i="1"/>
  <c r="AB72" i="1"/>
  <c r="AA2" i="1"/>
  <c r="AA7" i="1"/>
  <c r="AA99" i="1"/>
  <c r="AA78" i="1"/>
  <c r="AA59" i="1"/>
  <c r="AA82" i="1"/>
  <c r="AA36" i="1"/>
  <c r="AA23" i="1"/>
  <c r="AA136" i="1"/>
  <c r="AA58" i="1"/>
  <c r="AA57" i="1"/>
  <c r="AA68" i="1"/>
  <c r="AA74" i="1"/>
  <c r="AA17" i="1"/>
  <c r="AA147" i="1"/>
  <c r="AA32" i="1"/>
  <c r="AA67" i="1"/>
  <c r="AA4" i="1"/>
  <c r="AA46" i="1"/>
  <c r="AA34" i="1"/>
  <c r="AA56" i="1"/>
  <c r="AA114" i="1"/>
  <c r="AA132" i="1"/>
  <c r="AA173" i="1"/>
  <c r="AA143" i="1"/>
  <c r="AA47" i="1"/>
  <c r="AA64" i="1"/>
  <c r="AA174" i="1"/>
  <c r="AA91" i="1"/>
  <c r="AA150" i="1"/>
  <c r="AA93" i="1"/>
  <c r="AA39" i="1"/>
  <c r="AA53" i="1"/>
  <c r="AA103" i="1"/>
  <c r="AA142" i="1"/>
  <c r="AA30" i="1"/>
  <c r="AA71" i="1"/>
  <c r="AA167" i="1"/>
  <c r="AA54" i="1"/>
  <c r="AA88" i="1"/>
  <c r="AA89" i="1"/>
  <c r="AA45" i="1"/>
  <c r="AA90" i="1"/>
  <c r="AA50" i="1"/>
  <c r="AA51" i="1"/>
  <c r="AA170" i="1"/>
  <c r="AA98" i="1"/>
  <c r="AA22" i="1"/>
  <c r="AA139" i="1"/>
  <c r="AA61" i="1"/>
  <c r="AA73" i="1"/>
  <c r="AA130" i="1"/>
  <c r="AA20" i="1"/>
  <c r="AA69" i="1"/>
  <c r="AA146" i="1"/>
  <c r="AA5" i="1"/>
  <c r="AA106" i="1"/>
  <c r="AA112" i="1"/>
  <c r="AA40" i="1"/>
  <c r="AA160" i="1"/>
  <c r="AA65" i="1"/>
  <c r="AA122" i="1"/>
  <c r="AA119" i="1"/>
  <c r="AA8" i="1"/>
  <c r="AA81" i="1"/>
  <c r="AA26" i="1"/>
  <c r="AA163" i="1"/>
  <c r="AA162" i="1"/>
  <c r="AA49" i="1"/>
  <c r="AA86" i="1"/>
  <c r="AA107" i="1"/>
  <c r="AA161" i="1"/>
  <c r="AA66" i="1"/>
  <c r="AA148" i="1"/>
  <c r="AA108" i="1"/>
  <c r="AA33" i="1"/>
  <c r="AA111" i="1"/>
  <c r="AA44" i="1"/>
  <c r="AA115" i="1"/>
  <c r="AA62" i="1"/>
  <c r="AA87" i="1"/>
  <c r="AA28" i="1"/>
  <c r="AA137" i="1"/>
  <c r="AA110" i="1"/>
  <c r="AA95" i="1"/>
  <c r="AA97" i="1"/>
  <c r="AA153" i="1"/>
  <c r="AA55" i="1"/>
  <c r="AA134" i="1"/>
  <c r="AA104" i="1"/>
  <c r="AA29" i="1"/>
  <c r="AA43" i="1"/>
  <c r="AA31" i="1"/>
  <c r="AA35" i="1"/>
  <c r="AA85" i="1"/>
  <c r="AA102" i="1"/>
  <c r="AA138" i="1"/>
  <c r="AA141" i="1"/>
  <c r="AA37" i="1"/>
  <c r="AA100" i="1"/>
  <c r="AA149" i="1"/>
  <c r="AA16" i="1"/>
  <c r="AA145" i="1"/>
  <c r="AA77" i="1"/>
  <c r="AA96" i="1"/>
  <c r="AA79" i="1"/>
  <c r="AA14" i="1"/>
  <c r="AA117" i="1"/>
  <c r="AA131" i="1"/>
  <c r="AA42" i="1"/>
  <c r="AA105" i="1"/>
  <c r="AA83" i="1"/>
  <c r="AA9" i="1"/>
  <c r="AA154" i="1"/>
  <c r="AA126" i="1"/>
  <c r="AA158" i="1"/>
  <c r="AA101" i="1"/>
  <c r="AA11" i="1"/>
  <c r="AA135" i="1"/>
  <c r="AA164" i="1"/>
  <c r="AA92" i="1"/>
  <c r="AA133" i="1"/>
  <c r="AA109" i="1"/>
  <c r="AA80" i="1"/>
  <c r="AA48" i="1"/>
  <c r="AA60" i="1"/>
  <c r="AA84" i="1"/>
  <c r="AA175" i="1"/>
  <c r="AA10" i="1"/>
  <c r="AA113" i="1"/>
  <c r="AA166" i="1"/>
  <c r="AA169" i="1"/>
  <c r="AA172" i="1"/>
  <c r="AA76" i="1"/>
  <c r="AA21" i="1"/>
  <c r="AA94" i="1"/>
  <c r="AA52" i="1"/>
  <c r="AA3" i="1"/>
  <c r="AA118" i="1"/>
  <c r="AA116" i="1"/>
  <c r="AA156" i="1"/>
  <c r="AA124" i="1"/>
  <c r="AA70" i="1"/>
  <c r="AA127" i="1"/>
  <c r="AA144" i="1"/>
  <c r="AA152" i="1"/>
  <c r="AA12" i="1"/>
  <c r="AA25" i="1"/>
  <c r="AA13" i="1"/>
  <c r="AA27" i="1"/>
  <c r="AA171" i="1"/>
  <c r="AA128" i="1"/>
  <c r="AA120" i="1"/>
  <c r="AA63" i="1"/>
  <c r="AA129" i="1"/>
  <c r="AA41" i="1"/>
  <c r="AA24" i="1"/>
  <c r="AA159" i="1"/>
  <c r="AA19" i="1"/>
  <c r="AA125" i="1"/>
  <c r="AA155" i="1"/>
  <c r="AA151" i="1"/>
  <c r="AA168" i="1"/>
  <c r="AA15" i="1"/>
  <c r="AA75" i="1"/>
  <c r="AA157" i="1"/>
  <c r="AA165" i="1"/>
  <c r="AA123" i="1"/>
  <c r="AA18" i="1"/>
  <c r="AA6" i="1"/>
  <c r="AA140" i="1"/>
  <c r="AA121" i="1"/>
  <c r="AA72" i="1"/>
  <c r="AB38" i="1"/>
  <c r="AA38" i="1"/>
  <c r="FT52" i="2"/>
  <c r="FS52" i="2"/>
  <c r="FR52" i="2"/>
  <c r="FQ52" i="2"/>
  <c r="FP52" i="2"/>
  <c r="FO52" i="2"/>
  <c r="FN52" i="2"/>
  <c r="FM52" i="2"/>
  <c r="FL52" i="2"/>
  <c r="FK52" i="2"/>
  <c r="FJ52" i="2"/>
  <c r="FI52" i="2"/>
  <c r="FH52" i="2"/>
  <c r="FG52" i="2"/>
  <c r="FF52" i="2"/>
  <c r="FE52" i="2"/>
  <c r="FD52" i="2"/>
  <c r="FC52" i="2"/>
  <c r="FB52" i="2"/>
  <c r="FA52" i="2"/>
  <c r="EZ52" i="2"/>
  <c r="EY52" i="2"/>
  <c r="EX52" i="2"/>
  <c r="EW52" i="2"/>
  <c r="EV52" i="2"/>
  <c r="EU52" i="2"/>
  <c r="ET52" i="2"/>
  <c r="ES52" i="2"/>
  <c r="ER52" i="2"/>
  <c r="EQ52" i="2"/>
  <c r="EP52" i="2"/>
  <c r="EO52" i="2"/>
  <c r="EN52" i="2"/>
  <c r="EM52" i="2"/>
  <c r="EL52" i="2"/>
  <c r="EK52" i="2"/>
  <c r="EJ52" i="2"/>
  <c r="EI52" i="2"/>
  <c r="EH52" i="2"/>
  <c r="EG52" i="2"/>
  <c r="EF52" i="2"/>
  <c r="EE52" i="2"/>
  <c r="ED52" i="2"/>
  <c r="EC52" i="2"/>
  <c r="EB52" i="2"/>
  <c r="EA52" i="2"/>
  <c r="DZ52" i="2"/>
  <c r="DY52" i="2"/>
  <c r="DX52" i="2"/>
  <c r="DW52" i="2"/>
  <c r="DV52" i="2"/>
  <c r="DU52" i="2"/>
  <c r="DT52" i="2"/>
  <c r="DS52" i="2"/>
  <c r="DR52" i="2"/>
  <c r="DQ52" i="2"/>
  <c r="DP52" i="2"/>
  <c r="DO52" i="2"/>
  <c r="DN52" i="2"/>
  <c r="DM52" i="2"/>
  <c r="DL52" i="2"/>
  <c r="DK52" i="2"/>
  <c r="DJ52" i="2"/>
  <c r="DI52" i="2"/>
  <c r="DH52" i="2"/>
  <c r="DG52" i="2"/>
  <c r="DF52" i="2"/>
  <c r="DE52" i="2"/>
  <c r="DD52" i="2"/>
  <c r="DC52" i="2"/>
  <c r="DB52" i="2"/>
  <c r="DA52" i="2"/>
  <c r="CZ52" i="2"/>
  <c r="CY52" i="2"/>
  <c r="CX52" i="2"/>
  <c r="CW52" i="2"/>
  <c r="CV52" i="2"/>
  <c r="CU52" i="2"/>
  <c r="CT52" i="2"/>
  <c r="CS52" i="2"/>
  <c r="CR52" i="2"/>
  <c r="CQ52" i="2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FT51" i="2"/>
  <c r="FS51" i="2"/>
  <c r="FR51" i="2"/>
  <c r="FQ51" i="2"/>
  <c r="FP51" i="2"/>
  <c r="FO51" i="2"/>
  <c r="FN51" i="2"/>
  <c r="FM51" i="2"/>
  <c r="FL51" i="2"/>
  <c r="FK51" i="2"/>
  <c r="FJ51" i="2"/>
  <c r="FI51" i="2"/>
  <c r="FH51" i="2"/>
  <c r="FG51" i="2"/>
  <c r="FF51" i="2"/>
  <c r="FE51" i="2"/>
  <c r="FD51" i="2"/>
  <c r="FC51" i="2"/>
  <c r="FB51" i="2"/>
  <c r="FA51" i="2"/>
  <c r="EZ51" i="2"/>
  <c r="EY51" i="2"/>
  <c r="EX51" i="2"/>
  <c r="EW51" i="2"/>
  <c r="EV51" i="2"/>
  <c r="EU51" i="2"/>
  <c r="ET51" i="2"/>
  <c r="ES51" i="2"/>
  <c r="ER51" i="2"/>
  <c r="EQ51" i="2"/>
  <c r="EP51" i="2"/>
  <c r="EO51" i="2"/>
  <c r="EN51" i="2"/>
  <c r="EM51" i="2"/>
  <c r="EL51" i="2"/>
  <c r="EK51" i="2"/>
  <c r="EJ51" i="2"/>
  <c r="EI51" i="2"/>
  <c r="EH51" i="2"/>
  <c r="EG51" i="2"/>
  <c r="EF51" i="2"/>
  <c r="EE51" i="2"/>
  <c r="ED51" i="2"/>
  <c r="EC51" i="2"/>
  <c r="EB51" i="2"/>
  <c r="EA51" i="2"/>
  <c r="DZ51" i="2"/>
  <c r="DY51" i="2"/>
  <c r="DX51" i="2"/>
  <c r="DW51" i="2"/>
  <c r="DV51" i="2"/>
  <c r="DU51" i="2"/>
  <c r="DT51" i="2"/>
  <c r="DS51" i="2"/>
  <c r="DR51" i="2"/>
  <c r="DQ51" i="2"/>
  <c r="DP51" i="2"/>
  <c r="DO51" i="2"/>
  <c r="DN51" i="2"/>
  <c r="DM51" i="2"/>
  <c r="DL51" i="2"/>
  <c r="DK51" i="2"/>
  <c r="DJ51" i="2"/>
  <c r="DI51" i="2"/>
  <c r="DH51" i="2"/>
  <c r="DG51" i="2"/>
  <c r="DF51" i="2"/>
  <c r="DE51" i="2"/>
  <c r="DD51" i="2"/>
  <c r="DC51" i="2"/>
  <c r="DB51" i="2"/>
  <c r="DA51" i="2"/>
  <c r="CZ51" i="2"/>
  <c r="CY51" i="2"/>
  <c r="CX51" i="2"/>
  <c r="CW51" i="2"/>
  <c r="CV51" i="2"/>
  <c r="CU51" i="2"/>
  <c r="CT51" i="2"/>
  <c r="CS51" i="2"/>
  <c r="CR51" i="2"/>
  <c r="CQ51" i="2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FT50" i="2"/>
  <c r="FS50" i="2"/>
  <c r="FR50" i="2"/>
  <c r="FQ50" i="2"/>
  <c r="FP50" i="2"/>
  <c r="FO50" i="2"/>
  <c r="FN50" i="2"/>
  <c r="FM50" i="2"/>
  <c r="FL50" i="2"/>
  <c r="FK50" i="2"/>
  <c r="FJ50" i="2"/>
  <c r="FI50" i="2"/>
  <c r="FH50" i="2"/>
  <c r="FG50" i="2"/>
  <c r="FF50" i="2"/>
  <c r="FE50" i="2"/>
  <c r="FD50" i="2"/>
  <c r="FC50" i="2"/>
  <c r="FB50" i="2"/>
  <c r="FA50" i="2"/>
  <c r="EZ50" i="2"/>
  <c r="EY50" i="2"/>
  <c r="EX50" i="2"/>
  <c r="EW50" i="2"/>
  <c r="EV50" i="2"/>
  <c r="EU50" i="2"/>
  <c r="ET50" i="2"/>
  <c r="ES50" i="2"/>
  <c r="ER50" i="2"/>
  <c r="EQ50" i="2"/>
  <c r="EP50" i="2"/>
  <c r="EO50" i="2"/>
  <c r="EN50" i="2"/>
  <c r="EM50" i="2"/>
  <c r="EL50" i="2"/>
  <c r="EK50" i="2"/>
  <c r="EJ50" i="2"/>
  <c r="EI50" i="2"/>
  <c r="EH50" i="2"/>
  <c r="EG50" i="2"/>
  <c r="EF50" i="2"/>
  <c r="EE50" i="2"/>
  <c r="ED50" i="2"/>
  <c r="EC50" i="2"/>
  <c r="EB50" i="2"/>
  <c r="EA50" i="2"/>
  <c r="DZ50" i="2"/>
  <c r="DY50" i="2"/>
  <c r="DX50" i="2"/>
  <c r="DW50" i="2"/>
  <c r="DV50" i="2"/>
  <c r="DU50" i="2"/>
  <c r="DT50" i="2"/>
  <c r="DS50" i="2"/>
  <c r="DR50" i="2"/>
  <c r="DQ50" i="2"/>
  <c r="DP50" i="2"/>
  <c r="DO50" i="2"/>
  <c r="DN50" i="2"/>
  <c r="DM50" i="2"/>
  <c r="DL50" i="2"/>
  <c r="DK50" i="2"/>
  <c r="DJ50" i="2"/>
  <c r="DI50" i="2"/>
  <c r="DH50" i="2"/>
  <c r="DG50" i="2"/>
  <c r="DF50" i="2"/>
  <c r="DE50" i="2"/>
  <c r="DD50" i="2"/>
  <c r="DC50" i="2"/>
  <c r="DB50" i="2"/>
  <c r="DA50" i="2"/>
  <c r="CZ50" i="2"/>
  <c r="CY50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FT49" i="2"/>
  <c r="FS49" i="2"/>
  <c r="FR49" i="2"/>
  <c r="FQ49" i="2"/>
  <c r="FP49" i="2"/>
  <c r="FO49" i="2"/>
  <c r="FN49" i="2"/>
  <c r="FM49" i="2"/>
  <c r="FL49" i="2"/>
  <c r="FK49" i="2"/>
  <c r="FJ49" i="2"/>
  <c r="FI49" i="2"/>
  <c r="FH49" i="2"/>
  <c r="FG49" i="2"/>
  <c r="FF49" i="2"/>
  <c r="FE49" i="2"/>
  <c r="FD49" i="2"/>
  <c r="FC49" i="2"/>
  <c r="FB49" i="2"/>
  <c r="FA49" i="2"/>
  <c r="EZ49" i="2"/>
  <c r="EY49" i="2"/>
  <c r="EX49" i="2"/>
  <c r="EW49" i="2"/>
  <c r="EV49" i="2"/>
  <c r="EU49" i="2"/>
  <c r="ET49" i="2"/>
  <c r="ES49" i="2"/>
  <c r="ER49" i="2"/>
  <c r="EQ49" i="2"/>
  <c r="EP49" i="2"/>
  <c r="EO49" i="2"/>
  <c r="EN49" i="2"/>
  <c r="EM49" i="2"/>
  <c r="EL49" i="2"/>
  <c r="EK49" i="2"/>
  <c r="EJ49" i="2"/>
  <c r="EI49" i="2"/>
  <c r="EH49" i="2"/>
  <c r="EG49" i="2"/>
  <c r="EF49" i="2"/>
  <c r="EE49" i="2"/>
  <c r="ED49" i="2"/>
  <c r="EC49" i="2"/>
  <c r="EB49" i="2"/>
  <c r="EA49" i="2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B49" i="2"/>
  <c r="DA49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FT48" i="2"/>
  <c r="FS48" i="2"/>
  <c r="FR48" i="2"/>
  <c r="FQ48" i="2"/>
  <c r="FP48" i="2"/>
  <c r="FO48" i="2"/>
  <c r="FN48" i="2"/>
  <c r="FM48" i="2"/>
  <c r="FL48" i="2"/>
  <c r="FK48" i="2"/>
  <c r="FJ48" i="2"/>
  <c r="FI48" i="2"/>
  <c r="FH48" i="2"/>
  <c r="FG48" i="2"/>
  <c r="FF48" i="2"/>
  <c r="FE48" i="2"/>
  <c r="FD48" i="2"/>
  <c r="FC48" i="2"/>
  <c r="FB48" i="2"/>
  <c r="FA48" i="2"/>
  <c r="EZ48" i="2"/>
  <c r="EY48" i="2"/>
  <c r="EX48" i="2"/>
  <c r="EW48" i="2"/>
  <c r="EV48" i="2"/>
  <c r="EU48" i="2"/>
  <c r="ET48" i="2"/>
  <c r="ES48" i="2"/>
  <c r="ER48" i="2"/>
  <c r="EQ48" i="2"/>
  <c r="EP48" i="2"/>
  <c r="EO48" i="2"/>
  <c r="EN48" i="2"/>
  <c r="EM48" i="2"/>
  <c r="EL48" i="2"/>
  <c r="EK48" i="2"/>
  <c r="EJ48" i="2"/>
  <c r="EI48" i="2"/>
  <c r="EH48" i="2"/>
  <c r="EG48" i="2"/>
  <c r="EF48" i="2"/>
  <c r="EE48" i="2"/>
  <c r="ED48" i="2"/>
  <c r="EC48" i="2"/>
  <c r="EB48" i="2"/>
  <c r="EA48" i="2"/>
  <c r="DZ48" i="2"/>
  <c r="DY48" i="2"/>
  <c r="DX48" i="2"/>
  <c r="DW48" i="2"/>
  <c r="DV48" i="2"/>
  <c r="DU48" i="2"/>
  <c r="DT48" i="2"/>
  <c r="DS48" i="2"/>
  <c r="DR48" i="2"/>
  <c r="DQ48" i="2"/>
  <c r="DP48" i="2"/>
  <c r="DO48" i="2"/>
  <c r="DN48" i="2"/>
  <c r="DM48" i="2"/>
  <c r="DL48" i="2"/>
  <c r="DK48" i="2"/>
  <c r="DJ48" i="2"/>
  <c r="DI48" i="2"/>
  <c r="DH48" i="2"/>
  <c r="DG48" i="2"/>
  <c r="DF48" i="2"/>
  <c r="DE48" i="2"/>
  <c r="DD48" i="2"/>
  <c r="DC48" i="2"/>
  <c r="DB48" i="2"/>
  <c r="DA48" i="2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FT47" i="2"/>
  <c r="FS47" i="2"/>
  <c r="FR47" i="2"/>
  <c r="FQ47" i="2"/>
  <c r="FP47" i="2"/>
  <c r="FO47" i="2"/>
  <c r="FN47" i="2"/>
  <c r="FM47" i="2"/>
  <c r="FL47" i="2"/>
  <c r="FK47" i="2"/>
  <c r="FJ47" i="2"/>
  <c r="FI47" i="2"/>
  <c r="FH47" i="2"/>
  <c r="FG47" i="2"/>
  <c r="FF47" i="2"/>
  <c r="FE47" i="2"/>
  <c r="FD47" i="2"/>
  <c r="FC47" i="2"/>
  <c r="FB47" i="2"/>
  <c r="FA47" i="2"/>
  <c r="EZ47" i="2"/>
  <c r="EY47" i="2"/>
  <c r="EX47" i="2"/>
  <c r="EW47" i="2"/>
  <c r="EV47" i="2"/>
  <c r="EU47" i="2"/>
  <c r="ET47" i="2"/>
  <c r="ES47" i="2"/>
  <c r="ER47" i="2"/>
  <c r="EQ47" i="2"/>
  <c r="EP47" i="2"/>
  <c r="EO47" i="2"/>
  <c r="EN47" i="2"/>
  <c r="EM47" i="2"/>
  <c r="EL47" i="2"/>
  <c r="EK47" i="2"/>
  <c r="EJ47" i="2"/>
  <c r="EI47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FT46" i="2"/>
  <c r="FS46" i="2"/>
  <c r="FR46" i="2"/>
  <c r="FQ46" i="2"/>
  <c r="FP46" i="2"/>
  <c r="FO46" i="2"/>
  <c r="FN46" i="2"/>
  <c r="FM46" i="2"/>
  <c r="FL46" i="2"/>
  <c r="FK46" i="2"/>
  <c r="FJ46" i="2"/>
  <c r="FI46" i="2"/>
  <c r="FH46" i="2"/>
  <c r="FG46" i="2"/>
  <c r="FF46" i="2"/>
  <c r="FE46" i="2"/>
  <c r="FD46" i="2"/>
  <c r="FC46" i="2"/>
  <c r="FB46" i="2"/>
  <c r="FA46" i="2"/>
  <c r="EZ46" i="2"/>
  <c r="EY46" i="2"/>
  <c r="EX46" i="2"/>
  <c r="EW46" i="2"/>
  <c r="EV46" i="2"/>
  <c r="EU46" i="2"/>
  <c r="ET46" i="2"/>
  <c r="ES46" i="2"/>
  <c r="ER46" i="2"/>
  <c r="EQ46" i="2"/>
  <c r="EP46" i="2"/>
  <c r="EO46" i="2"/>
  <c r="EN46" i="2"/>
  <c r="EM46" i="2"/>
  <c r="EL46" i="2"/>
  <c r="EK46" i="2"/>
  <c r="EJ46" i="2"/>
  <c r="EI46" i="2"/>
  <c r="EH46" i="2"/>
  <c r="EG46" i="2"/>
  <c r="EF46" i="2"/>
  <c r="EE46" i="2"/>
  <c r="ED46" i="2"/>
  <c r="EC46" i="2"/>
  <c r="EB46" i="2"/>
  <c r="EA46" i="2"/>
  <c r="DZ46" i="2"/>
  <c r="DY46" i="2"/>
  <c r="DX46" i="2"/>
  <c r="DW46" i="2"/>
  <c r="DV46" i="2"/>
  <c r="DU46" i="2"/>
  <c r="DT46" i="2"/>
  <c r="DS46" i="2"/>
  <c r="DR46" i="2"/>
  <c r="DQ46" i="2"/>
  <c r="DP46" i="2"/>
  <c r="DO46" i="2"/>
  <c r="DN46" i="2"/>
  <c r="DM46" i="2"/>
  <c r="DL46" i="2"/>
  <c r="DK46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FT45" i="2"/>
  <c r="FS45" i="2"/>
  <c r="FR45" i="2"/>
  <c r="FQ45" i="2"/>
  <c r="FP45" i="2"/>
  <c r="FO45" i="2"/>
  <c r="FN45" i="2"/>
  <c r="FM45" i="2"/>
  <c r="FL45" i="2"/>
  <c r="FK45" i="2"/>
  <c r="FJ45" i="2"/>
  <c r="FI45" i="2"/>
  <c r="FH45" i="2"/>
  <c r="FG45" i="2"/>
  <c r="FF45" i="2"/>
  <c r="FE45" i="2"/>
  <c r="FD45" i="2"/>
  <c r="FC45" i="2"/>
  <c r="FB45" i="2"/>
  <c r="FA45" i="2"/>
  <c r="EZ45" i="2"/>
  <c r="EY45" i="2"/>
  <c r="EX45" i="2"/>
  <c r="EW45" i="2"/>
  <c r="EV45" i="2"/>
  <c r="EU45" i="2"/>
  <c r="ET45" i="2"/>
  <c r="ES45" i="2"/>
  <c r="ER45" i="2"/>
  <c r="EQ45" i="2"/>
  <c r="EP45" i="2"/>
  <c r="EO45" i="2"/>
  <c r="EN45" i="2"/>
  <c r="EM45" i="2"/>
  <c r="EL45" i="2"/>
  <c r="EK45" i="2"/>
  <c r="EJ45" i="2"/>
  <c r="EI45" i="2"/>
  <c r="EH45" i="2"/>
  <c r="EG45" i="2"/>
  <c r="EF45" i="2"/>
  <c r="EE45" i="2"/>
  <c r="ED45" i="2"/>
  <c r="EC45" i="2"/>
  <c r="EB45" i="2"/>
  <c r="EA45" i="2"/>
  <c r="DZ45" i="2"/>
  <c r="DY45" i="2"/>
  <c r="DX45" i="2"/>
  <c r="DW45" i="2"/>
  <c r="DV45" i="2"/>
  <c r="DU45" i="2"/>
  <c r="DT45" i="2"/>
  <c r="DS45" i="2"/>
  <c r="DR45" i="2"/>
  <c r="DQ45" i="2"/>
  <c r="DP45" i="2"/>
  <c r="DO45" i="2"/>
  <c r="DN45" i="2"/>
  <c r="DM45" i="2"/>
  <c r="DL45" i="2"/>
  <c r="DK45" i="2"/>
  <c r="DJ45" i="2"/>
  <c r="DI45" i="2"/>
  <c r="DH45" i="2"/>
  <c r="DG45" i="2"/>
  <c r="DF45" i="2"/>
  <c r="DE45" i="2"/>
  <c r="DD45" i="2"/>
  <c r="DC45" i="2"/>
  <c r="DB45" i="2"/>
  <c r="DA45" i="2"/>
  <c r="CZ45" i="2"/>
  <c r="CY45" i="2"/>
  <c r="CX45" i="2"/>
  <c r="CW45" i="2"/>
  <c r="CV45" i="2"/>
  <c r="CU45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FT44" i="2"/>
  <c r="FS44" i="2"/>
  <c r="FR44" i="2"/>
  <c r="FQ44" i="2"/>
  <c r="FP44" i="2"/>
  <c r="FO44" i="2"/>
  <c r="FN44" i="2"/>
  <c r="FM44" i="2"/>
  <c r="FL44" i="2"/>
  <c r="FK44" i="2"/>
  <c r="FJ44" i="2"/>
  <c r="FI44" i="2"/>
  <c r="FH44" i="2"/>
  <c r="FG44" i="2"/>
  <c r="FF44" i="2"/>
  <c r="FE44" i="2"/>
  <c r="FD44" i="2"/>
  <c r="FC44" i="2"/>
  <c r="FB44" i="2"/>
  <c r="FA44" i="2"/>
  <c r="EZ44" i="2"/>
  <c r="EY44" i="2"/>
  <c r="EX44" i="2"/>
  <c r="EW44" i="2"/>
  <c r="EV44" i="2"/>
  <c r="EU44" i="2"/>
  <c r="ET44" i="2"/>
  <c r="ES44" i="2"/>
  <c r="ER44" i="2"/>
  <c r="EQ44" i="2"/>
  <c r="EP44" i="2"/>
  <c r="EO44" i="2"/>
  <c r="EN44" i="2"/>
  <c r="EM44" i="2"/>
  <c r="EL44" i="2"/>
  <c r="EK44" i="2"/>
  <c r="EJ44" i="2"/>
  <c r="EI44" i="2"/>
  <c r="EH44" i="2"/>
  <c r="EG44" i="2"/>
  <c r="EF44" i="2"/>
  <c r="EE44" i="2"/>
  <c r="ED44" i="2"/>
  <c r="EC44" i="2"/>
  <c r="EB44" i="2"/>
  <c r="EA44" i="2"/>
  <c r="DZ44" i="2"/>
  <c r="DY44" i="2"/>
  <c r="DX44" i="2"/>
  <c r="DW44" i="2"/>
  <c r="DV44" i="2"/>
  <c r="DU44" i="2"/>
  <c r="DT44" i="2"/>
  <c r="DS44" i="2"/>
  <c r="DR44" i="2"/>
  <c r="DQ44" i="2"/>
  <c r="DP44" i="2"/>
  <c r="DO44" i="2"/>
  <c r="DN44" i="2"/>
  <c r="DM44" i="2"/>
  <c r="DL44" i="2"/>
  <c r="DK44" i="2"/>
  <c r="DJ44" i="2"/>
  <c r="DI44" i="2"/>
  <c r="DH44" i="2"/>
  <c r="DG44" i="2"/>
  <c r="DF44" i="2"/>
  <c r="DE44" i="2"/>
  <c r="DD44" i="2"/>
  <c r="DC44" i="2"/>
  <c r="DB44" i="2"/>
  <c r="DA44" i="2"/>
  <c r="CZ44" i="2"/>
  <c r="CY44" i="2"/>
  <c r="CX44" i="2"/>
  <c r="CW44" i="2"/>
  <c r="CV44" i="2"/>
  <c r="CU44" i="2"/>
  <c r="CT44" i="2"/>
  <c r="CS44" i="2"/>
  <c r="CR44" i="2"/>
  <c r="CQ44" i="2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FT43" i="2"/>
  <c r="FS43" i="2"/>
  <c r="FR43" i="2"/>
  <c r="FQ43" i="2"/>
  <c r="FP43" i="2"/>
  <c r="FO43" i="2"/>
  <c r="FN43" i="2"/>
  <c r="FM43" i="2"/>
  <c r="FL43" i="2"/>
  <c r="FK43" i="2"/>
  <c r="FJ43" i="2"/>
  <c r="FI43" i="2"/>
  <c r="FH43" i="2"/>
  <c r="FG43" i="2"/>
  <c r="FF43" i="2"/>
  <c r="FE43" i="2"/>
  <c r="FD43" i="2"/>
  <c r="FC43" i="2"/>
  <c r="FB43" i="2"/>
  <c r="FA43" i="2"/>
  <c r="EZ43" i="2"/>
  <c r="EY43" i="2"/>
  <c r="EX43" i="2"/>
  <c r="EW43" i="2"/>
  <c r="EV43" i="2"/>
  <c r="EU43" i="2"/>
  <c r="ET43" i="2"/>
  <c r="ES43" i="2"/>
  <c r="ER43" i="2"/>
  <c r="EQ43" i="2"/>
  <c r="EP43" i="2"/>
  <c r="EO43" i="2"/>
  <c r="EN43" i="2"/>
  <c r="EM43" i="2"/>
  <c r="EL43" i="2"/>
  <c r="EK43" i="2"/>
  <c r="EJ43" i="2"/>
  <c r="EI43" i="2"/>
  <c r="EH43" i="2"/>
  <c r="EG43" i="2"/>
  <c r="EF43" i="2"/>
  <c r="EE43" i="2"/>
  <c r="ED43" i="2"/>
  <c r="EC43" i="2"/>
  <c r="EB43" i="2"/>
  <c r="EA43" i="2"/>
  <c r="DZ43" i="2"/>
  <c r="DY43" i="2"/>
  <c r="DX43" i="2"/>
  <c r="DW43" i="2"/>
  <c r="DV43" i="2"/>
  <c r="DU43" i="2"/>
  <c r="DT43" i="2"/>
  <c r="DS43" i="2"/>
  <c r="DR43" i="2"/>
  <c r="DQ43" i="2"/>
  <c r="DP43" i="2"/>
  <c r="DO43" i="2"/>
  <c r="DN43" i="2"/>
  <c r="DM43" i="2"/>
  <c r="DL43" i="2"/>
  <c r="DK43" i="2"/>
  <c r="DJ43" i="2"/>
  <c r="DI43" i="2"/>
  <c r="DH43" i="2"/>
  <c r="DG43" i="2"/>
  <c r="DF43" i="2"/>
  <c r="DE43" i="2"/>
  <c r="DD43" i="2"/>
  <c r="DC43" i="2"/>
  <c r="DB43" i="2"/>
  <c r="DA43" i="2"/>
  <c r="CZ43" i="2"/>
  <c r="CY43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FT42" i="2"/>
  <c r="FS42" i="2"/>
  <c r="FR42" i="2"/>
  <c r="FQ42" i="2"/>
  <c r="FP42" i="2"/>
  <c r="FO42" i="2"/>
  <c r="FN42" i="2"/>
  <c r="FM42" i="2"/>
  <c r="FL42" i="2"/>
  <c r="FK42" i="2"/>
  <c r="FJ42" i="2"/>
  <c r="FI42" i="2"/>
  <c r="FH42" i="2"/>
  <c r="FG42" i="2"/>
  <c r="FF42" i="2"/>
  <c r="FE42" i="2"/>
  <c r="FD42" i="2"/>
  <c r="FC42" i="2"/>
  <c r="FB42" i="2"/>
  <c r="FA42" i="2"/>
  <c r="EZ42" i="2"/>
  <c r="EY42" i="2"/>
  <c r="EX42" i="2"/>
  <c r="EW42" i="2"/>
  <c r="EV42" i="2"/>
  <c r="EU42" i="2"/>
  <c r="ET42" i="2"/>
  <c r="ES42" i="2"/>
  <c r="ER42" i="2"/>
  <c r="EQ42" i="2"/>
  <c r="EP42" i="2"/>
  <c r="EO42" i="2"/>
  <c r="EN42" i="2"/>
  <c r="EM42" i="2"/>
  <c r="EL42" i="2"/>
  <c r="EK42" i="2"/>
  <c r="EJ42" i="2"/>
  <c r="EI42" i="2"/>
  <c r="EH42" i="2"/>
  <c r="EG42" i="2"/>
  <c r="EF42" i="2"/>
  <c r="EE42" i="2"/>
  <c r="ED42" i="2"/>
  <c r="EC42" i="2"/>
  <c r="EB42" i="2"/>
  <c r="EA42" i="2"/>
  <c r="DZ42" i="2"/>
  <c r="DY42" i="2"/>
  <c r="DX42" i="2"/>
  <c r="DW42" i="2"/>
  <c r="DV42" i="2"/>
  <c r="DU42" i="2"/>
  <c r="DT42" i="2"/>
  <c r="DS42" i="2"/>
  <c r="DR42" i="2"/>
  <c r="DQ42" i="2"/>
  <c r="DP42" i="2"/>
  <c r="DO42" i="2"/>
  <c r="DN42" i="2"/>
  <c r="DM42" i="2"/>
  <c r="DL42" i="2"/>
  <c r="DK42" i="2"/>
  <c r="DJ42" i="2"/>
  <c r="DI42" i="2"/>
  <c r="DH42" i="2"/>
  <c r="DG42" i="2"/>
  <c r="DF42" i="2"/>
  <c r="DE42" i="2"/>
  <c r="DD42" i="2"/>
  <c r="DC42" i="2"/>
  <c r="DB42" i="2"/>
  <c r="DA42" i="2"/>
  <c r="CZ42" i="2"/>
  <c r="CY42" i="2"/>
  <c r="CX42" i="2"/>
  <c r="CW42" i="2"/>
  <c r="CV42" i="2"/>
  <c r="CU42" i="2"/>
  <c r="CT42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FT41" i="2"/>
  <c r="FS41" i="2"/>
  <c r="FR41" i="2"/>
  <c r="FQ41" i="2"/>
  <c r="FP41" i="2"/>
  <c r="FO41" i="2"/>
  <c r="FN41" i="2"/>
  <c r="FM41" i="2"/>
  <c r="FL41" i="2"/>
  <c r="FK41" i="2"/>
  <c r="FJ41" i="2"/>
  <c r="FI41" i="2"/>
  <c r="FH41" i="2"/>
  <c r="FG41" i="2"/>
  <c r="FF41" i="2"/>
  <c r="FE41" i="2"/>
  <c r="FD41" i="2"/>
  <c r="FC41" i="2"/>
  <c r="FB41" i="2"/>
  <c r="FA41" i="2"/>
  <c r="EZ41" i="2"/>
  <c r="EY41" i="2"/>
  <c r="EX41" i="2"/>
  <c r="EW41" i="2"/>
  <c r="EV41" i="2"/>
  <c r="EU41" i="2"/>
  <c r="ET41" i="2"/>
  <c r="ES41" i="2"/>
  <c r="ER41" i="2"/>
  <c r="EQ41" i="2"/>
  <c r="EP41" i="2"/>
  <c r="EO41" i="2"/>
  <c r="EN41" i="2"/>
  <c r="EM41" i="2"/>
  <c r="EL41" i="2"/>
  <c r="EK41" i="2"/>
  <c r="EJ41" i="2"/>
  <c r="EI41" i="2"/>
  <c r="EH41" i="2"/>
  <c r="EG41" i="2"/>
  <c r="EF41" i="2"/>
  <c r="EE41" i="2"/>
  <c r="ED41" i="2"/>
  <c r="EC41" i="2"/>
  <c r="EB41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FT40" i="2"/>
  <c r="FS40" i="2"/>
  <c r="FR40" i="2"/>
  <c r="FQ40" i="2"/>
  <c r="FP40" i="2"/>
  <c r="FO40" i="2"/>
  <c r="FN40" i="2"/>
  <c r="FM40" i="2"/>
  <c r="FL40" i="2"/>
  <c r="FK40" i="2"/>
  <c r="FJ40" i="2"/>
  <c r="FI40" i="2"/>
  <c r="FH40" i="2"/>
  <c r="FG40" i="2"/>
  <c r="FF40" i="2"/>
  <c r="FE40" i="2"/>
  <c r="FD40" i="2"/>
  <c r="FC40" i="2"/>
  <c r="FB40" i="2"/>
  <c r="FA40" i="2"/>
  <c r="EZ40" i="2"/>
  <c r="EY40" i="2"/>
  <c r="EX40" i="2"/>
  <c r="EW40" i="2"/>
  <c r="EV40" i="2"/>
  <c r="EU40" i="2"/>
  <c r="ET40" i="2"/>
  <c r="ES40" i="2"/>
  <c r="ER40" i="2"/>
  <c r="EQ40" i="2"/>
  <c r="EP40" i="2"/>
  <c r="EO40" i="2"/>
  <c r="EN40" i="2"/>
  <c r="EM40" i="2"/>
  <c r="EL40" i="2"/>
  <c r="EK40" i="2"/>
  <c r="EJ40" i="2"/>
  <c r="EI40" i="2"/>
  <c r="EH40" i="2"/>
  <c r="EG40" i="2"/>
  <c r="EF40" i="2"/>
  <c r="EE40" i="2"/>
  <c r="ED40" i="2"/>
  <c r="EC40" i="2"/>
  <c r="EB40" i="2"/>
  <c r="EA40" i="2"/>
  <c r="DZ40" i="2"/>
  <c r="DY40" i="2"/>
  <c r="DX40" i="2"/>
  <c r="DW40" i="2"/>
  <c r="DV40" i="2"/>
  <c r="DU40" i="2"/>
  <c r="DT40" i="2"/>
  <c r="DS40" i="2"/>
  <c r="DR40" i="2"/>
  <c r="DQ40" i="2"/>
  <c r="DP40" i="2"/>
  <c r="DO40" i="2"/>
  <c r="DN40" i="2"/>
  <c r="DM40" i="2"/>
  <c r="DL40" i="2"/>
  <c r="DK40" i="2"/>
  <c r="DJ40" i="2"/>
  <c r="DI40" i="2"/>
  <c r="DH40" i="2"/>
  <c r="DG40" i="2"/>
  <c r="DF40" i="2"/>
  <c r="DE40" i="2"/>
  <c r="DD40" i="2"/>
  <c r="DC40" i="2"/>
  <c r="DB40" i="2"/>
  <c r="DA40" i="2"/>
  <c r="CZ40" i="2"/>
  <c r="CY40" i="2"/>
  <c r="CX40" i="2"/>
  <c r="CW40" i="2"/>
  <c r="CV40" i="2"/>
  <c r="CU40" i="2"/>
  <c r="CT40" i="2"/>
  <c r="CS40" i="2"/>
  <c r="CR40" i="2"/>
  <c r="CQ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FT39" i="2"/>
  <c r="FS39" i="2"/>
  <c r="FR39" i="2"/>
  <c r="FQ39" i="2"/>
  <c r="FP39" i="2"/>
  <c r="FO39" i="2"/>
  <c r="FN39" i="2"/>
  <c r="FM39" i="2"/>
  <c r="FL39" i="2"/>
  <c r="FK39" i="2"/>
  <c r="FJ39" i="2"/>
  <c r="FI39" i="2"/>
  <c r="FH39" i="2"/>
  <c r="FG39" i="2"/>
  <c r="FF39" i="2"/>
  <c r="FE39" i="2"/>
  <c r="FD39" i="2"/>
  <c r="FC39" i="2"/>
  <c r="FB39" i="2"/>
  <c r="FA39" i="2"/>
  <c r="EZ39" i="2"/>
  <c r="EY39" i="2"/>
  <c r="EX39" i="2"/>
  <c r="EW39" i="2"/>
  <c r="EV39" i="2"/>
  <c r="EU39" i="2"/>
  <c r="ET39" i="2"/>
  <c r="ES39" i="2"/>
  <c r="ER39" i="2"/>
  <c r="EQ39" i="2"/>
  <c r="EP39" i="2"/>
  <c r="EO39" i="2"/>
  <c r="EN39" i="2"/>
  <c r="EM39" i="2"/>
  <c r="EL39" i="2"/>
  <c r="EK39" i="2"/>
  <c r="EJ39" i="2"/>
  <c r="EI39" i="2"/>
  <c r="EH39" i="2"/>
  <c r="EG39" i="2"/>
  <c r="EF39" i="2"/>
  <c r="EE39" i="2"/>
  <c r="ED39" i="2"/>
  <c r="EC39" i="2"/>
  <c r="EB39" i="2"/>
  <c r="EA39" i="2"/>
  <c r="DZ39" i="2"/>
  <c r="DY39" i="2"/>
  <c r="DX39" i="2"/>
  <c r="DW39" i="2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FT38" i="2"/>
  <c r="FS38" i="2"/>
  <c r="FR38" i="2"/>
  <c r="FQ38" i="2"/>
  <c r="FP38" i="2"/>
  <c r="FO38" i="2"/>
  <c r="FN38" i="2"/>
  <c r="FM38" i="2"/>
  <c r="FL38" i="2"/>
  <c r="FK38" i="2"/>
  <c r="FJ38" i="2"/>
  <c r="FI38" i="2"/>
  <c r="FH38" i="2"/>
  <c r="FG38" i="2"/>
  <c r="FF38" i="2"/>
  <c r="FE38" i="2"/>
  <c r="FD38" i="2"/>
  <c r="FC38" i="2"/>
  <c r="FB38" i="2"/>
  <c r="FA38" i="2"/>
  <c r="EZ38" i="2"/>
  <c r="EY38" i="2"/>
  <c r="EX38" i="2"/>
  <c r="EW38" i="2"/>
  <c r="EV38" i="2"/>
  <c r="EU38" i="2"/>
  <c r="ET38" i="2"/>
  <c r="ES38" i="2"/>
  <c r="ER38" i="2"/>
  <c r="EQ38" i="2"/>
  <c r="EP38" i="2"/>
  <c r="EO38" i="2"/>
  <c r="EN38" i="2"/>
  <c r="EM38" i="2"/>
  <c r="EL38" i="2"/>
  <c r="EK38" i="2"/>
  <c r="EJ38" i="2"/>
  <c r="EI38" i="2"/>
  <c r="EH38" i="2"/>
  <c r="EG38" i="2"/>
  <c r="EF38" i="2"/>
  <c r="EE38" i="2"/>
  <c r="ED38" i="2"/>
  <c r="EC38" i="2"/>
  <c r="EB38" i="2"/>
  <c r="EA38" i="2"/>
  <c r="DZ38" i="2"/>
  <c r="DY38" i="2"/>
  <c r="DX38" i="2"/>
  <c r="DW38" i="2"/>
  <c r="DV38" i="2"/>
  <c r="DU38" i="2"/>
  <c r="DT38" i="2"/>
  <c r="DS38" i="2"/>
  <c r="DR38" i="2"/>
  <c r="DQ38" i="2"/>
  <c r="DP38" i="2"/>
  <c r="DO38" i="2"/>
  <c r="DN38" i="2"/>
  <c r="DM38" i="2"/>
  <c r="DL38" i="2"/>
  <c r="DK38" i="2"/>
  <c r="DJ38" i="2"/>
  <c r="DI38" i="2"/>
  <c r="DH38" i="2"/>
  <c r="DG38" i="2"/>
  <c r="DF38" i="2"/>
  <c r="DE38" i="2"/>
  <c r="DD38" i="2"/>
  <c r="DC38" i="2"/>
  <c r="DB38" i="2"/>
  <c r="DA38" i="2"/>
  <c r="CZ38" i="2"/>
  <c r="CY38" i="2"/>
  <c r="CX38" i="2"/>
  <c r="CW38" i="2"/>
  <c r="CV38" i="2"/>
  <c r="CU38" i="2"/>
  <c r="CT38" i="2"/>
  <c r="CS38" i="2"/>
  <c r="CR38" i="2"/>
  <c r="CQ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J72" i="1"/>
  <c r="G72" i="1"/>
  <c r="I72" i="1" s="1"/>
  <c r="J121" i="1"/>
  <c r="G121" i="1"/>
  <c r="I121" i="1" s="1"/>
  <c r="J140" i="1"/>
  <c r="G140" i="1"/>
  <c r="I140" i="1" s="1"/>
  <c r="J6" i="1"/>
  <c r="G6" i="1"/>
  <c r="I6" i="1" s="1"/>
  <c r="J18" i="1"/>
  <c r="G18" i="1"/>
  <c r="I18" i="1" s="1"/>
  <c r="J123" i="1"/>
  <c r="G123" i="1"/>
  <c r="I123" i="1" s="1"/>
  <c r="J165" i="1"/>
  <c r="G165" i="1"/>
  <c r="I165" i="1" s="1"/>
  <c r="J157" i="1"/>
  <c r="G157" i="1"/>
  <c r="I157" i="1" s="1"/>
  <c r="J75" i="1"/>
  <c r="G75" i="1"/>
  <c r="I75" i="1" s="1"/>
  <c r="J15" i="1"/>
  <c r="G15" i="1"/>
  <c r="I15" i="1" s="1"/>
  <c r="J168" i="1"/>
  <c r="G168" i="1"/>
  <c r="I168" i="1" s="1"/>
  <c r="J151" i="1"/>
  <c r="G151" i="1"/>
  <c r="I151" i="1" s="1"/>
  <c r="J155" i="1"/>
  <c r="G155" i="1"/>
  <c r="I155" i="1" s="1"/>
  <c r="J125" i="1"/>
  <c r="G125" i="1"/>
  <c r="I125" i="1" s="1"/>
  <c r="J19" i="1"/>
  <c r="G19" i="1"/>
  <c r="I19" i="1" s="1"/>
  <c r="J159" i="1"/>
  <c r="G159" i="1"/>
  <c r="I159" i="1" s="1"/>
  <c r="J24" i="1"/>
  <c r="G24" i="1"/>
  <c r="I24" i="1" s="1"/>
  <c r="J41" i="1"/>
  <c r="G41" i="1"/>
  <c r="I41" i="1" s="1"/>
  <c r="J129" i="1"/>
  <c r="G129" i="1"/>
  <c r="I129" i="1" s="1"/>
  <c r="J63" i="1"/>
  <c r="G63" i="1"/>
  <c r="I63" i="1" s="1"/>
  <c r="J120" i="1"/>
  <c r="G120" i="1"/>
  <c r="I120" i="1" s="1"/>
  <c r="J128" i="1"/>
  <c r="G128" i="1"/>
  <c r="I128" i="1" s="1"/>
  <c r="J171" i="1"/>
  <c r="G171" i="1"/>
  <c r="I171" i="1" s="1"/>
  <c r="J27" i="1"/>
  <c r="G27" i="1"/>
  <c r="I27" i="1" s="1"/>
  <c r="J13" i="1"/>
  <c r="G13" i="1"/>
  <c r="I13" i="1" s="1"/>
  <c r="J25" i="1"/>
  <c r="G25" i="1"/>
  <c r="I25" i="1" s="1"/>
  <c r="J12" i="1"/>
  <c r="G12" i="1"/>
  <c r="I12" i="1" s="1"/>
  <c r="J152" i="1"/>
  <c r="G152" i="1"/>
  <c r="I152" i="1" s="1"/>
  <c r="J144" i="1"/>
  <c r="G144" i="1"/>
  <c r="I144" i="1" s="1"/>
  <c r="J127" i="1"/>
  <c r="G127" i="1"/>
  <c r="I127" i="1" s="1"/>
  <c r="J70" i="1"/>
  <c r="G70" i="1"/>
  <c r="I70" i="1" s="1"/>
  <c r="J124" i="1"/>
  <c r="G124" i="1"/>
  <c r="I124" i="1" s="1"/>
  <c r="J156" i="1"/>
  <c r="G156" i="1"/>
  <c r="I156" i="1" s="1"/>
  <c r="J116" i="1"/>
  <c r="G116" i="1"/>
  <c r="I116" i="1" s="1"/>
  <c r="J118" i="1"/>
  <c r="G118" i="1"/>
  <c r="I118" i="1" s="1"/>
  <c r="J3" i="1"/>
  <c r="G3" i="1"/>
  <c r="I3" i="1" s="1"/>
  <c r="J52" i="1"/>
  <c r="G52" i="1"/>
  <c r="I52" i="1" s="1"/>
  <c r="J94" i="1"/>
  <c r="G94" i="1"/>
  <c r="I94" i="1" s="1"/>
  <c r="J21" i="1"/>
  <c r="G21" i="1"/>
  <c r="I21" i="1" s="1"/>
  <c r="J76" i="1"/>
  <c r="G76" i="1"/>
  <c r="I76" i="1" s="1"/>
  <c r="J172" i="1"/>
  <c r="G172" i="1"/>
  <c r="I172" i="1" s="1"/>
  <c r="J169" i="1"/>
  <c r="G169" i="1"/>
  <c r="I169" i="1" s="1"/>
  <c r="J166" i="1"/>
  <c r="G166" i="1"/>
  <c r="I166" i="1" s="1"/>
  <c r="J113" i="1"/>
  <c r="G113" i="1"/>
  <c r="I113" i="1" s="1"/>
  <c r="J10" i="1"/>
  <c r="G10" i="1"/>
  <c r="I10" i="1" s="1"/>
  <c r="J175" i="1"/>
  <c r="G175" i="1"/>
  <c r="I175" i="1" s="1"/>
  <c r="J84" i="1"/>
  <c r="G84" i="1"/>
  <c r="I84" i="1" s="1"/>
  <c r="J60" i="1"/>
  <c r="G60" i="1"/>
  <c r="I60" i="1" s="1"/>
  <c r="J48" i="1"/>
  <c r="G48" i="1"/>
  <c r="I48" i="1" s="1"/>
  <c r="J80" i="1"/>
  <c r="G80" i="1"/>
  <c r="I80" i="1" s="1"/>
  <c r="J109" i="1"/>
  <c r="G109" i="1"/>
  <c r="I109" i="1" s="1"/>
  <c r="J133" i="1"/>
  <c r="G133" i="1"/>
  <c r="I133" i="1" s="1"/>
  <c r="J92" i="1"/>
  <c r="G92" i="1"/>
  <c r="I92" i="1" s="1"/>
  <c r="J164" i="1"/>
  <c r="G164" i="1"/>
  <c r="I164" i="1" s="1"/>
  <c r="J135" i="1"/>
  <c r="G135" i="1"/>
  <c r="I135" i="1" s="1"/>
  <c r="J11" i="1"/>
  <c r="G11" i="1"/>
  <c r="I11" i="1" s="1"/>
  <c r="J101" i="1"/>
  <c r="G101" i="1"/>
  <c r="I101" i="1" s="1"/>
  <c r="J158" i="1"/>
  <c r="G158" i="1"/>
  <c r="I158" i="1" s="1"/>
  <c r="J126" i="1"/>
  <c r="G126" i="1"/>
  <c r="I126" i="1" s="1"/>
  <c r="J154" i="1"/>
  <c r="G154" i="1"/>
  <c r="I154" i="1" s="1"/>
  <c r="J9" i="1"/>
  <c r="G9" i="1"/>
  <c r="I9" i="1" s="1"/>
  <c r="J83" i="1"/>
  <c r="G83" i="1"/>
  <c r="I83" i="1" s="1"/>
  <c r="J105" i="1"/>
  <c r="G105" i="1"/>
  <c r="I105" i="1" s="1"/>
  <c r="J42" i="1"/>
  <c r="G42" i="1"/>
  <c r="I42" i="1" s="1"/>
  <c r="J131" i="1"/>
  <c r="G131" i="1"/>
  <c r="I131" i="1" s="1"/>
  <c r="J117" i="1"/>
  <c r="G117" i="1"/>
  <c r="I117" i="1" s="1"/>
  <c r="J14" i="1"/>
  <c r="G14" i="1"/>
  <c r="I14" i="1" s="1"/>
  <c r="J79" i="1"/>
  <c r="G79" i="1"/>
  <c r="I79" i="1" s="1"/>
  <c r="J96" i="1"/>
  <c r="G96" i="1"/>
  <c r="I96" i="1" s="1"/>
  <c r="J77" i="1"/>
  <c r="G77" i="1"/>
  <c r="I77" i="1" s="1"/>
  <c r="J145" i="1"/>
  <c r="G145" i="1"/>
  <c r="I145" i="1" s="1"/>
  <c r="J16" i="1"/>
  <c r="G16" i="1"/>
  <c r="I16" i="1" s="1"/>
  <c r="J149" i="1"/>
  <c r="G149" i="1"/>
  <c r="I149" i="1" s="1"/>
  <c r="J100" i="1"/>
  <c r="G100" i="1"/>
  <c r="I100" i="1" s="1"/>
  <c r="J37" i="1"/>
  <c r="G37" i="1"/>
  <c r="I37" i="1" s="1"/>
  <c r="J141" i="1"/>
  <c r="G141" i="1"/>
  <c r="I141" i="1" s="1"/>
  <c r="J138" i="1"/>
  <c r="G138" i="1"/>
  <c r="I138" i="1" s="1"/>
  <c r="J102" i="1"/>
  <c r="G102" i="1"/>
  <c r="I102" i="1" s="1"/>
  <c r="J85" i="1"/>
  <c r="G85" i="1"/>
  <c r="I85" i="1" s="1"/>
  <c r="J35" i="1"/>
  <c r="G35" i="1"/>
  <c r="I35" i="1" s="1"/>
  <c r="J31" i="1"/>
  <c r="G31" i="1"/>
  <c r="I31" i="1" s="1"/>
  <c r="J43" i="1"/>
  <c r="G43" i="1"/>
  <c r="I43" i="1" s="1"/>
  <c r="J29" i="1"/>
  <c r="G29" i="1"/>
  <c r="I29" i="1" s="1"/>
  <c r="J104" i="1"/>
  <c r="G104" i="1"/>
  <c r="I104" i="1" s="1"/>
  <c r="J134" i="1"/>
  <c r="G134" i="1"/>
  <c r="I134" i="1" s="1"/>
  <c r="J55" i="1"/>
  <c r="G55" i="1"/>
  <c r="I55" i="1" s="1"/>
  <c r="J153" i="1"/>
  <c r="G153" i="1"/>
  <c r="I153" i="1" s="1"/>
  <c r="J97" i="1"/>
  <c r="G97" i="1"/>
  <c r="I97" i="1" s="1"/>
  <c r="J95" i="1"/>
  <c r="G95" i="1"/>
  <c r="I95" i="1" s="1"/>
  <c r="J110" i="1"/>
  <c r="G110" i="1"/>
  <c r="I110" i="1" s="1"/>
  <c r="J137" i="1"/>
  <c r="G137" i="1"/>
  <c r="I137" i="1" s="1"/>
  <c r="J28" i="1"/>
  <c r="G28" i="1"/>
  <c r="I28" i="1" s="1"/>
  <c r="J87" i="1"/>
  <c r="G87" i="1"/>
  <c r="I87" i="1" s="1"/>
  <c r="J62" i="1"/>
  <c r="G62" i="1"/>
  <c r="I62" i="1" s="1"/>
  <c r="J115" i="1"/>
  <c r="G115" i="1"/>
  <c r="I115" i="1" s="1"/>
  <c r="J44" i="1"/>
  <c r="G44" i="1"/>
  <c r="I44" i="1" s="1"/>
  <c r="J111" i="1"/>
  <c r="G111" i="1"/>
  <c r="I111" i="1" s="1"/>
  <c r="J33" i="1"/>
  <c r="G33" i="1"/>
  <c r="I33" i="1" s="1"/>
  <c r="J108" i="1"/>
  <c r="G108" i="1"/>
  <c r="I108" i="1" s="1"/>
  <c r="J148" i="1"/>
  <c r="G148" i="1"/>
  <c r="I148" i="1" s="1"/>
  <c r="J66" i="1"/>
  <c r="G66" i="1"/>
  <c r="I66" i="1" s="1"/>
  <c r="J161" i="1"/>
  <c r="G161" i="1"/>
  <c r="I161" i="1" s="1"/>
  <c r="J107" i="1"/>
  <c r="G107" i="1"/>
  <c r="I107" i="1" s="1"/>
  <c r="J86" i="1"/>
  <c r="G86" i="1"/>
  <c r="I86" i="1" s="1"/>
  <c r="J49" i="1"/>
  <c r="G49" i="1"/>
  <c r="I49" i="1" s="1"/>
  <c r="J162" i="1"/>
  <c r="G162" i="1"/>
  <c r="I162" i="1" s="1"/>
  <c r="J163" i="1"/>
  <c r="G163" i="1"/>
  <c r="I163" i="1" s="1"/>
  <c r="J26" i="1"/>
  <c r="G26" i="1"/>
  <c r="I26" i="1" s="1"/>
  <c r="J81" i="1"/>
  <c r="G81" i="1"/>
  <c r="I81" i="1" s="1"/>
  <c r="J8" i="1"/>
  <c r="G8" i="1"/>
  <c r="I8" i="1" s="1"/>
  <c r="J119" i="1"/>
  <c r="G119" i="1"/>
  <c r="I119" i="1" s="1"/>
  <c r="J122" i="1"/>
  <c r="G122" i="1"/>
  <c r="I122" i="1" s="1"/>
  <c r="J65" i="1"/>
  <c r="G65" i="1"/>
  <c r="I65" i="1" s="1"/>
  <c r="J160" i="1"/>
  <c r="G160" i="1"/>
  <c r="I160" i="1" s="1"/>
  <c r="J40" i="1"/>
  <c r="G40" i="1"/>
  <c r="I40" i="1" s="1"/>
  <c r="J112" i="1"/>
  <c r="G112" i="1"/>
  <c r="I112" i="1" s="1"/>
  <c r="J106" i="1"/>
  <c r="G106" i="1"/>
  <c r="I106" i="1" s="1"/>
  <c r="J5" i="1"/>
  <c r="G5" i="1"/>
  <c r="I5" i="1" s="1"/>
  <c r="J146" i="1"/>
  <c r="G146" i="1"/>
  <c r="I146" i="1" s="1"/>
  <c r="J69" i="1"/>
  <c r="G69" i="1"/>
  <c r="I69" i="1" s="1"/>
  <c r="J20" i="1"/>
  <c r="G20" i="1"/>
  <c r="I20" i="1" s="1"/>
  <c r="J130" i="1"/>
  <c r="G130" i="1"/>
  <c r="I130" i="1" s="1"/>
  <c r="J73" i="1"/>
  <c r="G73" i="1"/>
  <c r="I73" i="1" s="1"/>
  <c r="J61" i="1"/>
  <c r="G61" i="1"/>
  <c r="I61" i="1" s="1"/>
  <c r="J139" i="1"/>
  <c r="G139" i="1"/>
  <c r="I139" i="1" s="1"/>
  <c r="J22" i="1"/>
  <c r="G22" i="1"/>
  <c r="I22" i="1" s="1"/>
  <c r="J98" i="1"/>
  <c r="G98" i="1"/>
  <c r="I98" i="1" s="1"/>
  <c r="J170" i="1"/>
  <c r="G170" i="1"/>
  <c r="I170" i="1" s="1"/>
  <c r="J51" i="1"/>
  <c r="G51" i="1"/>
  <c r="I51" i="1" s="1"/>
  <c r="J50" i="1"/>
  <c r="G50" i="1"/>
  <c r="I50" i="1" s="1"/>
  <c r="J90" i="1"/>
  <c r="G90" i="1"/>
  <c r="I90" i="1" s="1"/>
  <c r="J45" i="1"/>
  <c r="G45" i="1"/>
  <c r="I45" i="1" s="1"/>
  <c r="J89" i="1"/>
  <c r="G89" i="1"/>
  <c r="I89" i="1" s="1"/>
  <c r="J88" i="1"/>
  <c r="G88" i="1"/>
  <c r="I88" i="1" s="1"/>
  <c r="J54" i="1"/>
  <c r="G54" i="1"/>
  <c r="I54" i="1" s="1"/>
  <c r="J167" i="1"/>
  <c r="G167" i="1"/>
  <c r="I167" i="1" s="1"/>
  <c r="J71" i="1"/>
  <c r="G71" i="1"/>
  <c r="I71" i="1" s="1"/>
  <c r="J30" i="1"/>
  <c r="G30" i="1"/>
  <c r="I30" i="1" s="1"/>
  <c r="J142" i="1"/>
  <c r="G142" i="1"/>
  <c r="I142" i="1" s="1"/>
  <c r="J103" i="1"/>
  <c r="G103" i="1"/>
  <c r="I103" i="1" s="1"/>
  <c r="J53" i="1"/>
  <c r="G53" i="1"/>
  <c r="I53" i="1" s="1"/>
  <c r="J39" i="1"/>
  <c r="G39" i="1"/>
  <c r="I39" i="1" s="1"/>
  <c r="J93" i="1"/>
  <c r="G93" i="1"/>
  <c r="I93" i="1" s="1"/>
  <c r="J150" i="1"/>
  <c r="G150" i="1"/>
  <c r="I150" i="1" s="1"/>
  <c r="J91" i="1"/>
  <c r="G91" i="1"/>
  <c r="I91" i="1" s="1"/>
  <c r="J174" i="1"/>
  <c r="G174" i="1"/>
  <c r="I174" i="1" s="1"/>
  <c r="J64" i="1"/>
  <c r="G64" i="1"/>
  <c r="I64" i="1" s="1"/>
  <c r="J47" i="1"/>
  <c r="G47" i="1"/>
  <c r="I47" i="1" s="1"/>
  <c r="J143" i="1"/>
  <c r="G143" i="1"/>
  <c r="I143" i="1" s="1"/>
  <c r="J173" i="1"/>
  <c r="G173" i="1"/>
  <c r="I173" i="1" s="1"/>
  <c r="J132" i="1"/>
  <c r="G132" i="1"/>
  <c r="I132" i="1" s="1"/>
  <c r="J114" i="1"/>
  <c r="G114" i="1"/>
  <c r="I114" i="1" s="1"/>
  <c r="J56" i="1"/>
  <c r="G56" i="1"/>
  <c r="I56" i="1" s="1"/>
  <c r="J34" i="1"/>
  <c r="G34" i="1"/>
  <c r="I34" i="1" s="1"/>
  <c r="J46" i="1"/>
  <c r="G46" i="1"/>
  <c r="I46" i="1" s="1"/>
  <c r="J4" i="1"/>
  <c r="G4" i="1"/>
  <c r="I4" i="1" s="1"/>
  <c r="J67" i="1"/>
  <c r="G67" i="1"/>
  <c r="I67" i="1" s="1"/>
  <c r="J32" i="1"/>
  <c r="G32" i="1"/>
  <c r="I32" i="1" s="1"/>
  <c r="J147" i="1"/>
  <c r="G147" i="1"/>
  <c r="I147" i="1" s="1"/>
  <c r="J17" i="1"/>
  <c r="G17" i="1"/>
  <c r="I17" i="1" s="1"/>
  <c r="J74" i="1"/>
  <c r="G74" i="1"/>
  <c r="I74" i="1" s="1"/>
  <c r="J68" i="1"/>
  <c r="G68" i="1"/>
  <c r="I68" i="1" s="1"/>
  <c r="J57" i="1"/>
  <c r="G57" i="1"/>
  <c r="I57" i="1" s="1"/>
  <c r="J58" i="1"/>
  <c r="G58" i="1"/>
  <c r="I58" i="1" s="1"/>
  <c r="J136" i="1"/>
  <c r="G136" i="1"/>
  <c r="I136" i="1" s="1"/>
  <c r="J23" i="1"/>
  <c r="G23" i="1"/>
  <c r="I23" i="1" s="1"/>
  <c r="J36" i="1"/>
  <c r="G36" i="1"/>
  <c r="I36" i="1" s="1"/>
  <c r="J82" i="1"/>
  <c r="G82" i="1"/>
  <c r="I82" i="1" s="1"/>
  <c r="J59" i="1"/>
  <c r="G59" i="1"/>
  <c r="I59" i="1" s="1"/>
  <c r="J78" i="1"/>
  <c r="G78" i="1"/>
  <c r="I78" i="1" s="1"/>
  <c r="J99" i="1"/>
  <c r="G99" i="1"/>
  <c r="I99" i="1" s="1"/>
  <c r="J7" i="1"/>
  <c r="G7" i="1"/>
  <c r="I7" i="1" s="1"/>
  <c r="J2" i="1"/>
  <c r="G2" i="1"/>
  <c r="I2" i="1" s="1"/>
  <c r="J38" i="1"/>
  <c r="G38" i="1"/>
  <c r="I38" i="1" s="1"/>
  <c r="Z24" i="4" l="1"/>
  <c r="AC29" i="4"/>
  <c r="Z40" i="4"/>
  <c r="Z56" i="4"/>
  <c r="AC77" i="4"/>
  <c r="Z88" i="4"/>
  <c r="Z125" i="4"/>
  <c r="Z21" i="4"/>
  <c r="Z53" i="4"/>
  <c r="Z69" i="4"/>
  <c r="Z120" i="4"/>
  <c r="AC122" i="4"/>
  <c r="Z152" i="4"/>
  <c r="AC154" i="4"/>
  <c r="AC61" i="4"/>
  <c r="Z72" i="4"/>
  <c r="AC117" i="4"/>
  <c r="AC173" i="4"/>
  <c r="Z5" i="4"/>
  <c r="Z37" i="4"/>
  <c r="Z85" i="4"/>
  <c r="Z101" i="4"/>
  <c r="AC5" i="4"/>
  <c r="Z16" i="4"/>
  <c r="AC21" i="4"/>
  <c r="Z32" i="4"/>
  <c r="AC37" i="4"/>
  <c r="Z48" i="4"/>
  <c r="AC53" i="4"/>
  <c r="Z64" i="4"/>
  <c r="AC69" i="4"/>
  <c r="Z80" i="4"/>
  <c r="AC85" i="4"/>
  <c r="Z96" i="4"/>
  <c r="AC101" i="4"/>
  <c r="Z109" i="4"/>
  <c r="AC133" i="4"/>
  <c r="Z141" i="4"/>
  <c r="Z168" i="4"/>
  <c r="AC170" i="4"/>
  <c r="AC149" i="4"/>
  <c r="Z157" i="4"/>
  <c r="Z165" i="4"/>
  <c r="AC10" i="4"/>
  <c r="AC26" i="4"/>
  <c r="AC42" i="4"/>
  <c r="AC58" i="4"/>
  <c r="AC74" i="4"/>
  <c r="AC90" i="4"/>
  <c r="Z112" i="4"/>
  <c r="AC114" i="4"/>
  <c r="Z144" i="4"/>
  <c r="AC146" i="4"/>
  <c r="AC125" i="4"/>
  <c r="Z133" i="4"/>
  <c r="AC157" i="4"/>
  <c r="AC165" i="4"/>
  <c r="AC2" i="4"/>
  <c r="AC18" i="4"/>
  <c r="AC50" i="4"/>
  <c r="AC66" i="4"/>
  <c r="AC82" i="4"/>
  <c r="AC98" i="4"/>
  <c r="Z128" i="4"/>
  <c r="AC130" i="4"/>
  <c r="Z160" i="4"/>
  <c r="AC162" i="4"/>
  <c r="Z8" i="4"/>
  <c r="AC13" i="4"/>
  <c r="AC45" i="4"/>
  <c r="AC93" i="4"/>
  <c r="Z13" i="4"/>
  <c r="Z29" i="4"/>
  <c r="Z45" i="4"/>
  <c r="Z61" i="4"/>
  <c r="Z77" i="4"/>
  <c r="Z93" i="4"/>
  <c r="AC109" i="4"/>
  <c r="Z117" i="4"/>
  <c r="AC141" i="4"/>
  <c r="Z149" i="4"/>
  <c r="Z38" i="1"/>
  <c r="Z78" i="1"/>
  <c r="AC121" i="1"/>
  <c r="AC15" i="1"/>
  <c r="AC41" i="1"/>
  <c r="AC25" i="1"/>
  <c r="AC116" i="1"/>
  <c r="AC169" i="1"/>
  <c r="AC80" i="1"/>
  <c r="AC158" i="1"/>
  <c r="AC117" i="1"/>
  <c r="AC100" i="1"/>
  <c r="AC43" i="1"/>
  <c r="AC110" i="1"/>
  <c r="AC33" i="1"/>
  <c r="AC162" i="1"/>
  <c r="AC160" i="1"/>
  <c r="AC130" i="1"/>
  <c r="AC50" i="1"/>
  <c r="AC30" i="1"/>
  <c r="AC174" i="1"/>
  <c r="AC34" i="1"/>
  <c r="AC68" i="1"/>
  <c r="AC78" i="1"/>
  <c r="Z123" i="1"/>
  <c r="Z125" i="1"/>
  <c r="Z128" i="1"/>
  <c r="Z127" i="1"/>
  <c r="Z94" i="1"/>
  <c r="Z175" i="1"/>
  <c r="Z164" i="1"/>
  <c r="Z83" i="1"/>
  <c r="Z77" i="1"/>
  <c r="Z102" i="1"/>
  <c r="Z55" i="1"/>
  <c r="Z62" i="1"/>
  <c r="Z161" i="1"/>
  <c r="Z8" i="1"/>
  <c r="Z5" i="1"/>
  <c r="Z22" i="1"/>
  <c r="Z88" i="1"/>
  <c r="Z39" i="1"/>
  <c r="Z173" i="1"/>
  <c r="Z32" i="1"/>
  <c r="Z23" i="1"/>
  <c r="Z36" i="1"/>
  <c r="Z6" i="1"/>
  <c r="Z151" i="1"/>
  <c r="Z63" i="1"/>
  <c r="Z152" i="1"/>
  <c r="Z3" i="1"/>
  <c r="Z113" i="1"/>
  <c r="Z133" i="1"/>
  <c r="Z154" i="1"/>
  <c r="Z79" i="1"/>
  <c r="Z141" i="1"/>
  <c r="Z104" i="1"/>
  <c r="Z28" i="1"/>
  <c r="Z148" i="1"/>
  <c r="Z26" i="1"/>
  <c r="Z112" i="1"/>
  <c r="Z61" i="1"/>
  <c r="Z45" i="1"/>
  <c r="Z103" i="1"/>
  <c r="Z47" i="1"/>
  <c r="Z4" i="1"/>
  <c r="Z58" i="1"/>
  <c r="Z7" i="1"/>
  <c r="Z158" i="1"/>
  <c r="Z117" i="1"/>
  <c r="Z100" i="1"/>
  <c r="Z18" i="1"/>
  <c r="Z155" i="1"/>
  <c r="Z120" i="1"/>
  <c r="Z144" i="1"/>
  <c r="Z52" i="1"/>
  <c r="Z10" i="1"/>
  <c r="Z92" i="1"/>
  <c r="Z9" i="1"/>
  <c r="Z96" i="1"/>
  <c r="Z138" i="1"/>
  <c r="Z134" i="1"/>
  <c r="Z87" i="1"/>
  <c r="Z66" i="1"/>
  <c r="Z81" i="1"/>
  <c r="Z106" i="1"/>
  <c r="Z139" i="1"/>
  <c r="Z89" i="1"/>
  <c r="Z53" i="1"/>
  <c r="Z143" i="1"/>
  <c r="Z67" i="1"/>
  <c r="Z136" i="1"/>
  <c r="Z2" i="1"/>
  <c r="Z157" i="1"/>
  <c r="Z159" i="1"/>
  <c r="Z27" i="1"/>
  <c r="Z124" i="1"/>
  <c r="Z76" i="1"/>
  <c r="Z60" i="1"/>
  <c r="Z11" i="1"/>
  <c r="Z42" i="1"/>
  <c r="Z16" i="1"/>
  <c r="Z35" i="1"/>
  <c r="Z97" i="1"/>
  <c r="Z44" i="1"/>
  <c r="Z86" i="1"/>
  <c r="Z122" i="1"/>
  <c r="Z69" i="1"/>
  <c r="Z170" i="1"/>
  <c r="Z167" i="1"/>
  <c r="Z150" i="1"/>
  <c r="Z114" i="1"/>
  <c r="Z17" i="1"/>
  <c r="Z82" i="1"/>
  <c r="AC140" i="1"/>
  <c r="AC168" i="1"/>
  <c r="AC129" i="1"/>
  <c r="AC12" i="1"/>
  <c r="AC118" i="1"/>
  <c r="AC166" i="1"/>
  <c r="AC109" i="1"/>
  <c r="AC126" i="1"/>
  <c r="AC29" i="1"/>
  <c r="AC123" i="1"/>
  <c r="AC125" i="1"/>
  <c r="AC128" i="1"/>
  <c r="AC127" i="1"/>
  <c r="AC94" i="1"/>
  <c r="AC175" i="1"/>
  <c r="AC164" i="1"/>
  <c r="AC83" i="1"/>
  <c r="AC77" i="1"/>
  <c r="AC102" i="1"/>
  <c r="AC55" i="1"/>
  <c r="AC62" i="1"/>
  <c r="AC161" i="1"/>
  <c r="AC8" i="1"/>
  <c r="AC5" i="1"/>
  <c r="AC22" i="1"/>
  <c r="AC88" i="1"/>
  <c r="AC39" i="1"/>
  <c r="AC173" i="1"/>
  <c r="AC32" i="1"/>
  <c r="AC23" i="1"/>
  <c r="Z72" i="1"/>
  <c r="Z75" i="1"/>
  <c r="Z24" i="1"/>
  <c r="Z13" i="1"/>
  <c r="Z156" i="1"/>
  <c r="Z172" i="1"/>
  <c r="Z48" i="1"/>
  <c r="Z101" i="1"/>
  <c r="Z131" i="1"/>
  <c r="Z149" i="1"/>
  <c r="Z31" i="1"/>
  <c r="Z95" i="1"/>
  <c r="Z111" i="1"/>
  <c r="Z49" i="1"/>
  <c r="Z65" i="1"/>
  <c r="Z20" i="1"/>
  <c r="Z51" i="1"/>
  <c r="Z71" i="1"/>
  <c r="Z91" i="1"/>
  <c r="Z56" i="1"/>
  <c r="Z74" i="1"/>
  <c r="Z59" i="1"/>
  <c r="Z140" i="1"/>
  <c r="Z168" i="1"/>
  <c r="Z129" i="1"/>
  <c r="Z12" i="1"/>
  <c r="Z118" i="1"/>
  <c r="Z166" i="1"/>
  <c r="Z109" i="1"/>
  <c r="Z126" i="1"/>
  <c r="Z14" i="1"/>
  <c r="Z37" i="1"/>
  <c r="Z29" i="1"/>
  <c r="Z137" i="1"/>
  <c r="Z108" i="1"/>
  <c r="Z163" i="1"/>
  <c r="Z40" i="1"/>
  <c r="Z73" i="1"/>
  <c r="Z90" i="1"/>
  <c r="Z142" i="1"/>
  <c r="Z64" i="1"/>
  <c r="Z46" i="1"/>
  <c r="Z57" i="1"/>
  <c r="Z99" i="1"/>
  <c r="Z43" i="1"/>
  <c r="Z110" i="1"/>
  <c r="Z33" i="1"/>
  <c r="Z162" i="1"/>
  <c r="Z160" i="1"/>
  <c r="Z130" i="1"/>
  <c r="Z50" i="1"/>
  <c r="Z30" i="1"/>
  <c r="Z174" i="1"/>
  <c r="Z34" i="1"/>
  <c r="Z68" i="1"/>
  <c r="AC6" i="1"/>
  <c r="AC151" i="1"/>
  <c r="AC63" i="1"/>
  <c r="AC152" i="1"/>
  <c r="AC3" i="1"/>
  <c r="AC113" i="1"/>
  <c r="AC133" i="1"/>
  <c r="AC154" i="1"/>
  <c r="AC79" i="1"/>
  <c r="AC141" i="1"/>
  <c r="AC104" i="1"/>
  <c r="AC28" i="1"/>
  <c r="AC148" i="1"/>
  <c r="AC26" i="1"/>
  <c r="AC112" i="1"/>
  <c r="AC61" i="1"/>
  <c r="AC45" i="1"/>
  <c r="AC103" i="1"/>
  <c r="AC47" i="1"/>
  <c r="AC4" i="1"/>
  <c r="AC58" i="1"/>
  <c r="AC7" i="1"/>
  <c r="AC38" i="1"/>
  <c r="AC18" i="1"/>
  <c r="AC155" i="1"/>
  <c r="AC120" i="1"/>
  <c r="AC144" i="1"/>
  <c r="AC52" i="1"/>
  <c r="AC10" i="1"/>
  <c r="AC92" i="1"/>
  <c r="AC9" i="1"/>
  <c r="AC96" i="1"/>
  <c r="AC138" i="1"/>
  <c r="AC134" i="1"/>
  <c r="AC87" i="1"/>
  <c r="AC66" i="1"/>
  <c r="AC81" i="1"/>
  <c r="AC106" i="1"/>
  <c r="AC139" i="1"/>
  <c r="AC89" i="1"/>
  <c r="AC53" i="1"/>
  <c r="AC143" i="1"/>
  <c r="AC67" i="1"/>
  <c r="AC136" i="1"/>
  <c r="AC2" i="1"/>
  <c r="AC14" i="1"/>
  <c r="AC37" i="1"/>
  <c r="AC73" i="1"/>
  <c r="AC165" i="1"/>
  <c r="AC19" i="1"/>
  <c r="AC171" i="1"/>
  <c r="AC70" i="1"/>
  <c r="AC21" i="1"/>
  <c r="AC84" i="1"/>
  <c r="AC135" i="1"/>
  <c r="AC105" i="1"/>
  <c r="AC145" i="1"/>
  <c r="AC85" i="1"/>
  <c r="AC153" i="1"/>
  <c r="AC115" i="1"/>
  <c r="AC107" i="1"/>
  <c r="AC119" i="1"/>
  <c r="AC146" i="1"/>
  <c r="AC98" i="1"/>
  <c r="AC54" i="1"/>
  <c r="AC93" i="1"/>
  <c r="AC132" i="1"/>
  <c r="AC147" i="1"/>
  <c r="AC36" i="1"/>
  <c r="AC124" i="1"/>
  <c r="AC97" i="1"/>
  <c r="AC170" i="1"/>
  <c r="AC150" i="1"/>
  <c r="AC114" i="1"/>
  <c r="AC17" i="1"/>
  <c r="AC82" i="1"/>
  <c r="AC157" i="1"/>
  <c r="AC159" i="1"/>
  <c r="AC27" i="1"/>
  <c r="AC76" i="1"/>
  <c r="AC60" i="1"/>
  <c r="AC11" i="1"/>
  <c r="AC42" i="1"/>
  <c r="AC16" i="1"/>
  <c r="AC35" i="1"/>
  <c r="AC44" i="1"/>
  <c r="AC86" i="1"/>
  <c r="AC122" i="1"/>
  <c r="AC69" i="1"/>
  <c r="AC167" i="1"/>
  <c r="AC72" i="1"/>
  <c r="AC75" i="1"/>
  <c r="AC24" i="1"/>
  <c r="AC13" i="1"/>
  <c r="AC156" i="1"/>
  <c r="AC172" i="1"/>
  <c r="AC48" i="1"/>
  <c r="AC101" i="1"/>
  <c r="AC131" i="1"/>
  <c r="AC149" i="1"/>
  <c r="AC31" i="1"/>
  <c r="AC95" i="1"/>
  <c r="AC111" i="1"/>
  <c r="AC49" i="1"/>
  <c r="AC65" i="1"/>
  <c r="AC20" i="1"/>
  <c r="AC51" i="1"/>
  <c r="AC71" i="1"/>
  <c r="AC91" i="1"/>
  <c r="AC56" i="1"/>
  <c r="AC74" i="1"/>
  <c r="AC59" i="1"/>
</calcChain>
</file>

<file path=xl/sharedStrings.xml><?xml version="1.0" encoding="utf-8"?>
<sst xmlns="http://schemas.openxmlformats.org/spreadsheetml/2006/main" count="1531" uniqueCount="538">
  <si>
    <t>Name</t>
  </si>
  <si>
    <t>Formula</t>
  </si>
  <si>
    <t>Annot. DeltaMass [ppm]</t>
  </si>
  <si>
    <t>Calc. MW</t>
  </si>
  <si>
    <t>RT [min]</t>
  </si>
  <si>
    <t>Area (Aver.)</t>
  </si>
  <si>
    <t>Area (Max.)</t>
  </si>
  <si>
    <t>Area.Norm (Aver.)</t>
  </si>
  <si>
    <t>Area.Norm (Max.)</t>
  </si>
  <si>
    <t>mzVault Best Match</t>
  </si>
  <si>
    <t xml:space="preserve">D2-3 </t>
  </si>
  <si>
    <t>D2-2</t>
  </si>
  <si>
    <t>D2-1</t>
  </si>
  <si>
    <t>I2-3</t>
  </si>
  <si>
    <t>I2-2</t>
  </si>
  <si>
    <t>I2-1</t>
  </si>
  <si>
    <t xml:space="preserve">Y2-3 </t>
  </si>
  <si>
    <t>Y2-2</t>
  </si>
  <si>
    <t xml:space="preserve">Y2-1 </t>
  </si>
  <si>
    <t>OP5-D3</t>
  </si>
  <si>
    <t>OP5-D2</t>
  </si>
  <si>
    <t>OP5-D1</t>
  </si>
  <si>
    <t>OP5-I3</t>
  </si>
  <si>
    <t>OP5-I2</t>
  </si>
  <si>
    <t>OP5-I1</t>
  </si>
  <si>
    <t>磷酸</t>
  </si>
  <si>
    <t>Phosphoric acid</t>
  </si>
  <si>
    <t>H3 O4 P</t>
  </si>
  <si>
    <t>L-（+）-酒石酸</t>
  </si>
  <si>
    <t>L-(+)-Tartaric acid</t>
  </si>
  <si>
    <t>C4 H6 O6</t>
  </si>
  <si>
    <t>丙二酸</t>
  </si>
  <si>
    <t>Malonic acid</t>
  </si>
  <si>
    <t>C3 H4 O4</t>
  </si>
  <si>
    <t>N6-乙酰基-L-赖氨酸</t>
  </si>
  <si>
    <t>N6-Acetyl-L-lysine</t>
  </si>
  <si>
    <t>C8 H16 N2 O3</t>
  </si>
  <si>
    <t>三乙醇胺</t>
  </si>
  <si>
    <t>Triethanolamine</t>
  </si>
  <si>
    <t>C6 H15 N O3</t>
  </si>
  <si>
    <t>甘油磷酸胆碱</t>
  </si>
  <si>
    <t>Glycerophosphocholine</t>
  </si>
  <si>
    <t>C8 H20 N O6 P</t>
  </si>
  <si>
    <t>L-焦谷氨酸</t>
  </si>
  <si>
    <t>L-Pyroglutamic acid</t>
  </si>
  <si>
    <t>C5 H7 N O3</t>
  </si>
  <si>
    <t>尼莫地平（内标）</t>
  </si>
  <si>
    <r>
      <rPr>
        <sz val="11"/>
        <color rgb="FF000000"/>
        <rFont val="Calibri"/>
        <family val="2"/>
      </rPr>
      <t xml:space="preserve">Nimodipine </t>
    </r>
    <r>
      <rPr>
        <sz val="11"/>
        <color rgb="FF000000"/>
        <rFont val="宋体"/>
        <charset val="134"/>
      </rPr>
      <t>（内标）</t>
    </r>
  </si>
  <si>
    <t>C21 H26 N2 O7</t>
  </si>
  <si>
    <t>胆碱</t>
  </si>
  <si>
    <t>Choline</t>
  </si>
  <si>
    <t>C5 H13 N O</t>
  </si>
  <si>
    <t>Cyclo(Ala-Leu)是一种二肽化合物，由α-氨基酸Ala(丙氨酸)和Leu(亮氨酸)通过肽键连接而成。</t>
  </si>
  <si>
    <t>Ala-Leu</t>
  </si>
  <si>
    <t>C9 H18 N2 O3</t>
  </si>
  <si>
    <t>尿刊酸</t>
  </si>
  <si>
    <t>Urocanic acid</t>
  </si>
  <si>
    <t>C6 H6 N2 O2</t>
  </si>
  <si>
    <t>α、 α-海藻糖</t>
  </si>
  <si>
    <t>α,α-Trehalose</t>
  </si>
  <si>
    <t>C12 H22 O11</t>
  </si>
  <si>
    <t>双（4-乙基亚苄基）山梨醇</t>
  </si>
  <si>
    <t>Bis(4-ethylbenzylidene)sorbitol</t>
  </si>
  <si>
    <t>C24 H30 O6</t>
  </si>
  <si>
    <t>DL-乳酸</t>
  </si>
  <si>
    <t>DL-Lactic Acid</t>
  </si>
  <si>
    <t>C3 H6 O3</t>
  </si>
  <si>
    <t>棕榈酸甲酯</t>
  </si>
  <si>
    <t>Methyl palmitate</t>
  </si>
  <si>
    <t>C17 H34 O2</t>
  </si>
  <si>
    <t>腺苷</t>
  </si>
  <si>
    <t>Adenosine</t>
  </si>
  <si>
    <t>C10 H13 N5 O4</t>
  </si>
  <si>
    <t>D-（+）-麦芽糖</t>
  </si>
  <si>
    <t>D-(+)-Maltose</t>
  </si>
  <si>
    <t>磷酸三苯酯</t>
  </si>
  <si>
    <t>Triphenyl phosphate</t>
  </si>
  <si>
    <t>C18 H15 O4 P</t>
  </si>
  <si>
    <t>丙酮酸</t>
  </si>
  <si>
    <t>Pyruvic acid</t>
  </si>
  <si>
    <t>C3 H4 O3</t>
  </si>
  <si>
    <t>哌啶酸</t>
  </si>
  <si>
    <t>Nipecotic acid</t>
  </si>
  <si>
    <t>C6 H11 N O2</t>
  </si>
  <si>
    <t>三异丙醇胺</t>
  </si>
  <si>
    <t>Triisopropanolamine</t>
  </si>
  <si>
    <t>C9 H21 N O3</t>
  </si>
  <si>
    <t>吲哚</t>
  </si>
  <si>
    <t>Indole</t>
  </si>
  <si>
    <t>C8 H7 N</t>
  </si>
  <si>
    <t>4-氧代脯氨酸</t>
  </si>
  <si>
    <t>4-Oxoproline</t>
  </si>
  <si>
    <t>泛醇</t>
  </si>
  <si>
    <t>Panthenol</t>
  </si>
  <si>
    <t>C9 H19 N O4</t>
  </si>
  <si>
    <t>鸟嘌呤</t>
  </si>
  <si>
    <t>Guanine</t>
  </si>
  <si>
    <t>C5 H5 N5 O</t>
  </si>
  <si>
    <t>尼古丁</t>
  </si>
  <si>
    <t>Nicotine</t>
  </si>
  <si>
    <t>C10 H14 N2</t>
  </si>
  <si>
    <t>乙二胺四乙酸（EDTA）</t>
  </si>
  <si>
    <t>Ethylenediaminetetraacetic acid (EDTA)</t>
  </si>
  <si>
    <t>C10 H16 N2 O8</t>
  </si>
  <si>
    <t>组氨酸</t>
  </si>
  <si>
    <t>L-Histidine</t>
  </si>
  <si>
    <t>C6 H9 N3 O2</t>
  </si>
  <si>
    <t>DL-肉碱</t>
  </si>
  <si>
    <t>DL-Carnitine</t>
  </si>
  <si>
    <t>C7 H15 N O3</t>
  </si>
  <si>
    <t>4-胍丁酸</t>
  </si>
  <si>
    <t>4-Guanidinobutyric acid</t>
  </si>
  <si>
    <t>C5 H11 N3 O2</t>
  </si>
  <si>
    <t>Gly Ile</t>
  </si>
  <si>
    <t>Gly-Ile</t>
  </si>
  <si>
    <t>2-氨基烟酸</t>
  </si>
  <si>
    <t>2-Aminonicotinic acid</t>
  </si>
  <si>
    <t>己内酰胺</t>
  </si>
  <si>
    <t>Caprolactam</t>
  </si>
  <si>
    <t>C6 H11 N O</t>
  </si>
  <si>
    <t>3-磷酸甘油</t>
  </si>
  <si>
    <t>Glycerol 3-phosphate</t>
  </si>
  <si>
    <t>C3 H9 O6 P</t>
  </si>
  <si>
    <t>N-甲基-2-吡咯烷酮</t>
  </si>
  <si>
    <t>N-Methyl-2-pyrrolidone</t>
  </si>
  <si>
    <t>C5 H9 N O</t>
  </si>
  <si>
    <t>腺嘌呤</t>
  </si>
  <si>
    <t>Adenine</t>
  </si>
  <si>
    <t>C5 H5 N5</t>
  </si>
  <si>
    <t>麦角硫因</t>
  </si>
  <si>
    <t>L-Ergothioneine</t>
  </si>
  <si>
    <t>C9 H15 N3 O2 S</t>
  </si>
  <si>
    <t>4-羟基苯甲醛</t>
  </si>
  <si>
    <t>4-Hydroxybenzaldehyde</t>
  </si>
  <si>
    <t>C7 H6 O2</t>
  </si>
  <si>
    <t>正亮氨酸</t>
  </si>
  <si>
    <t>L-Norleucine</t>
  </si>
  <si>
    <t>C6 H13 N O2</t>
  </si>
  <si>
    <t>乙酸奈拉酯</t>
  </si>
  <si>
    <t>Nerylacetate</t>
  </si>
  <si>
    <t>C12 H20 O2</t>
  </si>
  <si>
    <t>烟酰胺</t>
  </si>
  <si>
    <t>Nicotinamide</t>
  </si>
  <si>
    <t>C6 H6 N2 O</t>
  </si>
  <si>
    <t>甲基磺酸</t>
  </si>
  <si>
    <t>Methanesulfonic acid</t>
  </si>
  <si>
    <t>C H4 O3 S</t>
  </si>
  <si>
    <t>瓜氨酸</t>
  </si>
  <si>
    <t>Citrulline</t>
  </si>
  <si>
    <t>C6 H13 N3 O3</t>
  </si>
  <si>
    <t>茶氨酸</t>
  </si>
  <si>
    <t>Theanine</t>
  </si>
  <si>
    <t>C7 H14 N2 O3</t>
  </si>
  <si>
    <t>异柠檬酸</t>
  </si>
  <si>
    <t>Isocitric acid</t>
  </si>
  <si>
    <t>C6 H8 O7</t>
  </si>
  <si>
    <t>环己胺</t>
  </si>
  <si>
    <t>Cyclohexylamine</t>
  </si>
  <si>
    <t>C6 H13 N</t>
  </si>
  <si>
    <t>甜菜碱</t>
  </si>
  <si>
    <t>Betaine</t>
  </si>
  <si>
    <t>C5 H11 N O2</t>
  </si>
  <si>
    <t>肌酸酐</t>
  </si>
  <si>
    <t>Creatinine</t>
  </si>
  <si>
    <t>C4 H7 N3 O</t>
  </si>
  <si>
    <t>L-谷氨酸</t>
  </si>
  <si>
    <t>L-Glutamic acid</t>
  </si>
  <si>
    <t>C5 H9 N O4</t>
  </si>
  <si>
    <t>N6，N6，N6-三甲基-L-赖氨酸</t>
  </si>
  <si>
    <t>N6,N6,N6-Trimethyl-L-lysine</t>
  </si>
  <si>
    <t>C9 H20 N2 O2</t>
  </si>
  <si>
    <t>5'-单磷酸腺苷</t>
  </si>
  <si>
    <t>Adenosine 5'-monophosphate</t>
  </si>
  <si>
    <t>C10 H14 N5 O7 P</t>
  </si>
  <si>
    <t>酪胺</t>
  </si>
  <si>
    <t>Tyramine</t>
  </si>
  <si>
    <t>C8 H11 N O</t>
  </si>
  <si>
    <t>L-天门冬氨酸</t>
  </si>
  <si>
    <t>L-Aspartic acid</t>
  </si>
  <si>
    <t>C4 H7 N O4</t>
  </si>
  <si>
    <t>乙酰胆碱</t>
  </si>
  <si>
    <t>Acetylcholine</t>
  </si>
  <si>
    <t>C7 H15 N O2</t>
  </si>
  <si>
    <t>乙酰甲胆碱</t>
  </si>
  <si>
    <t>Acetyl-β-methylcholine</t>
  </si>
  <si>
    <t>C8 H17 N O2</t>
  </si>
  <si>
    <t>4-哌啶甲酰胺</t>
  </si>
  <si>
    <t>4-Piperidinecarboxamide</t>
  </si>
  <si>
    <t>C6 H12 N2 O</t>
  </si>
  <si>
    <t>三苯基氧化膦</t>
  </si>
  <si>
    <t>Triphenylphosphine oxide</t>
  </si>
  <si>
    <t>C18 H15 O P</t>
  </si>
  <si>
    <t>1-乙烯基咪唑</t>
  </si>
  <si>
    <t>1-Vinylimidazole</t>
  </si>
  <si>
    <t>C5 H6 N2</t>
  </si>
  <si>
    <t>柠檬酸</t>
  </si>
  <si>
    <t>Citric acid</t>
  </si>
  <si>
    <t>L-（-）-苹果酸</t>
  </si>
  <si>
    <t>L-(-)-Malic acid</t>
  </si>
  <si>
    <t>C4 H6 O5</t>
  </si>
  <si>
    <t>脯氨酸</t>
  </si>
  <si>
    <t>Proline</t>
  </si>
  <si>
    <t>C5 H9 N O2</t>
  </si>
  <si>
    <t>异戊胺</t>
  </si>
  <si>
    <t>Isoamylamine</t>
  </si>
  <si>
    <t>C5 H13 N</t>
  </si>
  <si>
    <t>亚氨基二乙酸二乙酯</t>
  </si>
  <si>
    <t>Diethyl iminodiacetate</t>
  </si>
  <si>
    <t>C8 H15 N O4</t>
  </si>
  <si>
    <t>12-氨基十二烷酸</t>
  </si>
  <si>
    <t>12-Aminododecanoic acid</t>
  </si>
  <si>
    <t>C12 H25 N O2</t>
  </si>
  <si>
    <t>L-磺基丙氨酸</t>
  </si>
  <si>
    <t>L-Cysteic acid</t>
  </si>
  <si>
    <t>C3 H7 N O5 S</t>
  </si>
  <si>
    <t>高丝氨酸</t>
  </si>
  <si>
    <t>Homoserine</t>
  </si>
  <si>
    <t>C4 H9 N O3</t>
  </si>
  <si>
    <t>反式-2,4-庚二烯醛</t>
  </si>
  <si>
    <t>trans,trans-2,4-Heptadienal</t>
  </si>
  <si>
    <t>C7 H10 O</t>
  </si>
  <si>
    <t>乙酰-L-肉碱</t>
  </si>
  <si>
    <t>Acetyl-L-carnitine</t>
  </si>
  <si>
    <t>C9 H17 N O4</t>
  </si>
  <si>
    <t>次黄嘌呤</t>
  </si>
  <si>
    <t>Hypoxanthine</t>
  </si>
  <si>
    <t>C5 H4 N4 O</t>
  </si>
  <si>
    <t>6:2含氟调聚物磺酸盐</t>
  </si>
  <si>
    <t>6:2 Fluorinated telomer sulfonate</t>
  </si>
  <si>
    <t>C8 H5 F13 O3 S</t>
  </si>
  <si>
    <t>D-丝氨酸</t>
  </si>
  <si>
    <t>D-Serine</t>
  </si>
  <si>
    <t>C3 H7 N O3</t>
  </si>
  <si>
    <t>2,4-二甲基苯甲醛</t>
  </si>
  <si>
    <t>2,4-Dimethylbenzaldehyde</t>
  </si>
  <si>
    <t>C9 H10 O</t>
  </si>
  <si>
    <t>黄嘌呤</t>
  </si>
  <si>
    <t>Xanthine</t>
  </si>
  <si>
    <t>C5 H4 N4 O2</t>
  </si>
  <si>
    <t>尿苷一磷酸（UMP）</t>
  </si>
  <si>
    <t>Uridine monophosphate (UMP)</t>
  </si>
  <si>
    <t>C9 H13 N2 O9 P</t>
  </si>
  <si>
    <t>γ-谷氨酰亮氨酸</t>
  </si>
  <si>
    <t>gamma-Glutamylleucine</t>
  </si>
  <si>
    <t>C11 H20 N2 O5</t>
  </si>
  <si>
    <t>异丁醛</t>
  </si>
  <si>
    <t>Isobutyraldehyde</t>
  </si>
  <si>
    <t>C4 H8 O</t>
  </si>
  <si>
    <t>牛磺酸</t>
  </si>
  <si>
    <t>Taurine</t>
  </si>
  <si>
    <t>C2 H7 N O3 S</t>
  </si>
  <si>
    <t>1-氨基环己烷羧酸</t>
  </si>
  <si>
    <t>1-Aminocyclohexanecarboxylic Acid</t>
  </si>
  <si>
    <t>C7 H13 N O2</t>
  </si>
  <si>
    <t/>
  </si>
  <si>
    <t>2-磷酸甘油</t>
  </si>
  <si>
    <t>Glycerol 2-phosphate</t>
  </si>
  <si>
    <t>N-乙酰-DL-谷氨酸</t>
  </si>
  <si>
    <t>N-Acetyl-DL-glutamic acid</t>
  </si>
  <si>
    <t>C7 H11 N O5</t>
  </si>
  <si>
    <t>柠檬醛</t>
  </si>
  <si>
    <t>Citral</t>
  </si>
  <si>
    <t>C10 H16 O</t>
  </si>
  <si>
    <t>4-羟基苯甲酸</t>
  </si>
  <si>
    <t>4-Hydroxybenzoic acid</t>
  </si>
  <si>
    <t>C7 H6 O3</t>
  </si>
  <si>
    <t>十二内酰胺</t>
  </si>
  <si>
    <t>Laurolactam</t>
  </si>
  <si>
    <t>C12 H23 N O</t>
  </si>
  <si>
    <t>尿苷</t>
  </si>
  <si>
    <t>Uridine</t>
  </si>
  <si>
    <t>C9 H12 N2 O6</t>
  </si>
  <si>
    <t>苯乙醛</t>
  </si>
  <si>
    <t>Phenylacetaldehyde</t>
  </si>
  <si>
    <t>C8 H8 O</t>
  </si>
  <si>
    <t>赖氨酸</t>
  </si>
  <si>
    <t>Lysine</t>
  </si>
  <si>
    <t>C6 H14 N2 O2</t>
  </si>
  <si>
    <t>胡芦巴碱</t>
  </si>
  <si>
    <t>Trigonelline</t>
  </si>
  <si>
    <t>C7 H7 N O2</t>
  </si>
  <si>
    <t>D-戊糖7-磷酸</t>
  </si>
  <si>
    <t>D-Sedoheptulose 7-phosphate</t>
  </si>
  <si>
    <t>C7 H15 O10 P</t>
  </si>
  <si>
    <t>D-（-）-谷氨酰胺</t>
  </si>
  <si>
    <t>D-(-)-Glutamine</t>
  </si>
  <si>
    <t>C5 H10 N2 O3</t>
  </si>
  <si>
    <t>壬二酸</t>
  </si>
  <si>
    <t>Azelaic acid</t>
  </si>
  <si>
    <t>C9 H16 O4</t>
  </si>
  <si>
    <t>辛二酸</t>
  </si>
  <si>
    <t>Suberic acid</t>
  </si>
  <si>
    <t>C8 H14 O4</t>
  </si>
  <si>
    <t>5-氯水杨酸</t>
  </si>
  <si>
    <t>5-Chlorosalicylic acid</t>
  </si>
  <si>
    <t>C7 H5 Cl O3</t>
  </si>
  <si>
    <t>天冬酰胺</t>
  </si>
  <si>
    <t>Asparagine</t>
  </si>
  <si>
    <t>C4 H8 N2 O3</t>
  </si>
  <si>
    <t>异丁酸</t>
  </si>
  <si>
    <t>Isobutyric acid</t>
  </si>
  <si>
    <t>C4 H8 O2</t>
  </si>
  <si>
    <t>4-硝基苯酚</t>
  </si>
  <si>
    <t>4-Nitrophenol</t>
  </si>
  <si>
    <t>C6 H5 N O3</t>
  </si>
  <si>
    <t>N-乙酰基-α-D-葡糖胺1-磷酸</t>
  </si>
  <si>
    <t>N-Acetyl-α-D-glucosamine 1-phosphate</t>
  </si>
  <si>
    <t>C8 H16 N O9 P</t>
  </si>
  <si>
    <t>⑶-L-谷氨酸-L-谷氨酸</t>
  </si>
  <si>
    <t>Υ-L-Glutamyl-L-glutamic acid</t>
  </si>
  <si>
    <t>C10 H16 N2 O7</t>
  </si>
  <si>
    <t>葡萄糖酸</t>
  </si>
  <si>
    <t>Gluconic acid</t>
  </si>
  <si>
    <t>C6 H12 O7</t>
  </si>
  <si>
    <t>L-糖精蛋白</t>
  </si>
  <si>
    <t>L-Saccharopine</t>
  </si>
  <si>
    <t>C11 H20 N2 O6</t>
  </si>
  <si>
    <t>烟酰胺腺嘌呤二核苷酸（NAD+）</t>
  </si>
  <si>
    <t>Nicotinamide adenine dinucleotide (NAD+)</t>
  </si>
  <si>
    <t>C21 H27 N7 O14 P2</t>
  </si>
  <si>
    <t>乙酸苯乙酯</t>
  </si>
  <si>
    <t>Phenethylacetate</t>
  </si>
  <si>
    <t>C10 H12 O2</t>
  </si>
  <si>
    <t>肌苷</t>
  </si>
  <si>
    <t>Inosine</t>
  </si>
  <si>
    <t>C10 H12 N4 O5</t>
  </si>
  <si>
    <t>海藻糖-6-磷酸</t>
  </si>
  <si>
    <t>Trehalose-6-Phosphate</t>
  </si>
  <si>
    <t>C12 H23 O14 P</t>
  </si>
  <si>
    <t>胞苷</t>
  </si>
  <si>
    <t>Cytidine</t>
  </si>
  <si>
    <t>C9 H13 N3 O5</t>
  </si>
  <si>
    <t>琥珀酸</t>
  </si>
  <si>
    <t>Succinic acid</t>
  </si>
  <si>
    <t>C4 H6 O4</t>
  </si>
  <si>
    <t>D-甘露糖-6-磷酸</t>
  </si>
  <si>
    <t>D-Mannose 6-phosphate</t>
  </si>
  <si>
    <t>C6 H13 O9 P</t>
  </si>
  <si>
    <t>16-羟基十六烷酸</t>
  </si>
  <si>
    <t>16-Hydroxyhexadecanoic acid</t>
  </si>
  <si>
    <t>C16 H32 O3</t>
  </si>
  <si>
    <t>对苯二甲酸</t>
  </si>
  <si>
    <t>Terephthalic acid</t>
  </si>
  <si>
    <t>C8 H6 O4</t>
  </si>
  <si>
    <t>γ-谷氨酰胺</t>
  </si>
  <si>
    <t>gamma-Glutamylglutamine</t>
  </si>
  <si>
    <t>C10 H17 N3 O6</t>
  </si>
  <si>
    <t>D-（+）-半乳糖</t>
  </si>
  <si>
    <t>D-(+)-Galactose</t>
  </si>
  <si>
    <t>C6 H12 O6</t>
  </si>
  <si>
    <t>D-α-羟基戊二酸</t>
  </si>
  <si>
    <t>D-α-Hydroxyglutaric acid</t>
  </si>
  <si>
    <t>C5 H8 O5</t>
  </si>
  <si>
    <t>D-核糖-1-磷酸</t>
  </si>
  <si>
    <t>D-Ribose-1-phosphate</t>
  </si>
  <si>
    <t>C5 H11 O8 P</t>
  </si>
  <si>
    <t>桂皮醛</t>
  </si>
  <si>
    <t>trans-Cinnamaldehyde</t>
  </si>
  <si>
    <t>C9 H8 O</t>
  </si>
  <si>
    <t>1,4-二羟基-2-萘甲酸</t>
  </si>
  <si>
    <t>1,4-Dihydroxy-2-naphthoic acid</t>
  </si>
  <si>
    <t>C11 H8 O4</t>
  </si>
  <si>
    <t>松油酸</t>
  </si>
  <si>
    <t>Pinolenic acid</t>
  </si>
  <si>
    <t>C18 H30 O2</t>
  </si>
  <si>
    <t>D-核糖5-磷酸</t>
  </si>
  <si>
    <t>D-Ribulose 5-phosphate</t>
  </si>
  <si>
    <t>Glu-Val-Phe</t>
  </si>
  <si>
    <t>C19 H27 N3 O6</t>
  </si>
  <si>
    <t>邻苯二甲酸二异癸酯</t>
  </si>
  <si>
    <t>Diisodecyl phthalate</t>
  </si>
  <si>
    <t>C28 H46 O4</t>
  </si>
  <si>
    <t>UDP-N-乙酰基-α-D-葡糖胺</t>
  </si>
  <si>
    <t>UDP-N-acetyl-alpha-D-glucosamine</t>
  </si>
  <si>
    <t>C17 H27 N3 O17 P2</t>
  </si>
  <si>
    <t>吲哚-3-丙烯酸</t>
  </si>
  <si>
    <t>Indole-3-acrylic acid</t>
  </si>
  <si>
    <t>C11 H9 N O2</t>
  </si>
  <si>
    <t>2-氨基己二酸</t>
  </si>
  <si>
    <t>2-Aminoadipic acid</t>
  </si>
  <si>
    <t>C6 H11 N O4</t>
  </si>
  <si>
    <t>Asp-Glu</t>
  </si>
  <si>
    <t>C9 H14 N2 O7</t>
  </si>
  <si>
    <t>苯丙氨酸</t>
  </si>
  <si>
    <t>Phenylalanine</t>
  </si>
  <si>
    <t>C9 H11 N O2</t>
  </si>
  <si>
    <t>2-苯胺基异吲哚-1,3-二酮</t>
  </si>
  <si>
    <t>2-Anilinoisoindoline-1,3-dione</t>
  </si>
  <si>
    <t>C14 H10 N2 O2</t>
  </si>
  <si>
    <t>1,4-二甲基哌嗪</t>
  </si>
  <si>
    <t>1,4-Dimethylpiperazine</t>
  </si>
  <si>
    <t>C6 H14 N2</t>
  </si>
  <si>
    <t>丙烯酸</t>
  </si>
  <si>
    <t>Acrylic acid</t>
  </si>
  <si>
    <t>C3 H4 O2</t>
  </si>
  <si>
    <t>2-脱氧核糖5-磷酸</t>
  </si>
  <si>
    <t>2-Deoxyribose 5-phosphate</t>
  </si>
  <si>
    <t>C5 H11 O7 P</t>
  </si>
  <si>
    <t>顺-乌头酸</t>
  </si>
  <si>
    <t>cis-Aconitic acid</t>
  </si>
  <si>
    <t>C6 H6 O6</t>
  </si>
  <si>
    <t>甘露醇</t>
  </si>
  <si>
    <t>Mannitol</t>
  </si>
  <si>
    <t>C6 H14 O6</t>
  </si>
  <si>
    <t>L-苏糖酸</t>
  </si>
  <si>
    <t>L-Threonic acid</t>
  </si>
  <si>
    <t>C4 H8 O5</t>
  </si>
  <si>
    <t>α-甲基-DL-组氨酸</t>
  </si>
  <si>
    <t>α-Methyl-DL-histidine</t>
  </si>
  <si>
    <t>C7 H11 N3 O2</t>
  </si>
  <si>
    <t>2'-脱氧腺苷-5'-单磷酸</t>
  </si>
  <si>
    <t>2'-Deoxyadenosine-5'-monophosphate</t>
  </si>
  <si>
    <t>C10 H14 N5 O6 P</t>
  </si>
  <si>
    <t>胸苷5'-单磷酸</t>
  </si>
  <si>
    <t>Thymidine 5'-monophosphate</t>
  </si>
  <si>
    <t>C10 H15 N2 O8 P</t>
  </si>
  <si>
    <t>N-乙酰天冬氨酰谷氨酸</t>
  </si>
  <si>
    <t>N-Acetylaspartylglutamic acid</t>
  </si>
  <si>
    <t>C11 H16 N2 O8</t>
  </si>
  <si>
    <t>N、 N-二甲基精氨酸</t>
  </si>
  <si>
    <t>N,N-Dimethylarginine</t>
  </si>
  <si>
    <t>C8 H18 N4 O2</t>
  </si>
  <si>
    <t>环腺苷二磷酸核糖</t>
  </si>
  <si>
    <t>Cyclic ADP-ribose</t>
  </si>
  <si>
    <t>C15 H21 N5 O13 P2</t>
  </si>
  <si>
    <t>N-乙酰-L-谷氨酰胺</t>
  </si>
  <si>
    <t>N-Acetyl-L-glutamine</t>
  </si>
  <si>
    <t>C7 H12 N2 O4</t>
  </si>
  <si>
    <t>衣康酸</t>
  </si>
  <si>
    <t>Itaconic acid</t>
  </si>
  <si>
    <t>C5 H6 O4</t>
  </si>
  <si>
    <t>N-甲基苏氨酸</t>
  </si>
  <si>
    <t>N-Methylthreonine</t>
  </si>
  <si>
    <t>C5 H11 N O3</t>
  </si>
  <si>
    <t>D-（-）-赖氨酸</t>
  </si>
  <si>
    <t>D-(-)-Lyxose</t>
  </si>
  <si>
    <t>C5 H10 O5</t>
  </si>
  <si>
    <t>β-烟酰胺单核苷酸</t>
  </si>
  <si>
    <t>β-Nicotinamide mononucleotide</t>
  </si>
  <si>
    <t>C11 H15 N2 O8 P</t>
  </si>
  <si>
    <t>N8乙酰亚精胺</t>
  </si>
  <si>
    <t>N8-Acetylspermidine</t>
  </si>
  <si>
    <t>C9 H21 N3 O</t>
  </si>
  <si>
    <t>喹唑啉-2,4-二醇</t>
  </si>
  <si>
    <t>Quinazoline-2,4-diol</t>
  </si>
  <si>
    <t>C8 H6 N2 O2</t>
  </si>
  <si>
    <t>Glu-Gln</t>
  </si>
  <si>
    <t>甘氨酰脯氨酸</t>
  </si>
  <si>
    <t>Glycylproline</t>
  </si>
  <si>
    <t>C7 H12 N2 O3</t>
  </si>
  <si>
    <t>红内酯</t>
  </si>
  <si>
    <t>Erythronolactone</t>
  </si>
  <si>
    <t>苄丝肼</t>
  </si>
  <si>
    <t>Benserazide</t>
  </si>
  <si>
    <t>C10 H15 N3 O5</t>
  </si>
  <si>
    <t>胆碱[M]+</t>
  </si>
  <si>
    <t>Choline [M]+</t>
  </si>
  <si>
    <t>C5 H14 N O</t>
  </si>
  <si>
    <t>葡萄糖-6-磷酸</t>
  </si>
  <si>
    <t>Glucose-6-phosphate</t>
  </si>
  <si>
    <t>2,6-二甲基吡嗪</t>
  </si>
  <si>
    <t>2,6-Dimethylpyrazine</t>
  </si>
  <si>
    <t>C6 H8 N2</t>
  </si>
  <si>
    <t>D-（-）-奎尼酸</t>
  </si>
  <si>
    <t>D-(-)-Quinic acid</t>
  </si>
  <si>
    <t>C7 H12 O6</t>
  </si>
  <si>
    <t>达米肼</t>
  </si>
  <si>
    <t>Daminozide</t>
  </si>
  <si>
    <t>C6 H12 N2 O3</t>
  </si>
  <si>
    <t>乙酰丙酸</t>
  </si>
  <si>
    <t>Levulinic acid</t>
  </si>
  <si>
    <t>C5 H8 O3</t>
  </si>
  <si>
    <t>高精氨酸</t>
  </si>
  <si>
    <t>Homoarginine</t>
  </si>
  <si>
    <t>C7 H16 N4 O2</t>
  </si>
  <si>
    <t>DL-水苏碱</t>
  </si>
  <si>
    <t>DL-Stachydrine</t>
  </si>
  <si>
    <t>蔗糖</t>
  </si>
  <si>
    <t>Sucrose</t>
  </si>
  <si>
    <t>脲戊二酸</t>
  </si>
  <si>
    <t>Ureidoglutaric acid</t>
  </si>
  <si>
    <t>C6 H10 N2 O5</t>
  </si>
  <si>
    <t>间苯二甲酸</t>
  </si>
  <si>
    <t>Isophthalic acid</t>
  </si>
  <si>
    <t>3-亚硫基丙氨酸</t>
  </si>
  <si>
    <t>3-Sulfinoalanine</t>
  </si>
  <si>
    <t>C3 H7 N O4 S</t>
  </si>
  <si>
    <t>半乳糖肌醇</t>
  </si>
  <si>
    <t>Galactinol</t>
  </si>
  <si>
    <t>蛋氨酸硫醚</t>
  </si>
  <si>
    <t>Methioninesulfoxide</t>
  </si>
  <si>
    <t>C5 H11 N O3 S</t>
  </si>
  <si>
    <t>顺式-4-羟基-D-脯氨酸</t>
  </si>
  <si>
    <t>cis-4-Hydroxy-D-proline</t>
  </si>
  <si>
    <t>C5 H9 N O3</t>
  </si>
  <si>
    <t>对苯二胺</t>
  </si>
  <si>
    <t>p-Phenylenediamine</t>
  </si>
  <si>
    <t>DL-苹果酸</t>
  </si>
  <si>
    <t>DL-Malic acid</t>
  </si>
  <si>
    <t>戊酸酐</t>
  </si>
  <si>
    <t>Glutaric anhydride</t>
  </si>
  <si>
    <t>C5 H6 O3</t>
  </si>
  <si>
    <t>N-甲基组胺</t>
  </si>
  <si>
    <t>N-Methylhistamine</t>
  </si>
  <si>
    <t>C6 H11 N3</t>
  </si>
  <si>
    <t>1,3-苯二胺</t>
  </si>
  <si>
    <t>1,3-Phenylenediamine</t>
  </si>
  <si>
    <t>2,5-二甲基吡嗪</t>
  </si>
  <si>
    <t>2,5-Dimethylpyrazine</t>
  </si>
  <si>
    <t>L-（+）-瓜氨酸</t>
  </si>
  <si>
    <t>L-(+)-Citrulline</t>
  </si>
  <si>
    <t>邻苯二甲酸</t>
  </si>
  <si>
    <t>Phthalic acid</t>
  </si>
  <si>
    <t>甘氨酸酐</t>
  </si>
  <si>
    <t>Glycine anhydride</t>
  </si>
  <si>
    <t>C4 H6 N2 O2</t>
  </si>
  <si>
    <t>5-甲基胞嘧啶</t>
  </si>
  <si>
    <t>5-Methylcytosine</t>
  </si>
  <si>
    <t>C5 H7 N3 O</t>
  </si>
  <si>
    <t>N-乙酰组胺</t>
  </si>
  <si>
    <t>N-Acetylhistamine</t>
  </si>
  <si>
    <t>C7 H11 N3 O</t>
  </si>
  <si>
    <t>Label</t>
  </si>
  <si>
    <t>Group</t>
  </si>
  <si>
    <t>D</t>
  </si>
  <si>
    <t>I</t>
  </si>
  <si>
    <t>Y</t>
  </si>
  <si>
    <t>OP5-D</t>
  </si>
  <si>
    <t>OP5-I</t>
  </si>
  <si>
    <t>内标(1ug/mL)</t>
  </si>
  <si>
    <t>OD</t>
  </si>
  <si>
    <t>OP5-Dark</t>
  </si>
  <si>
    <t>OP5-IR</t>
  </si>
  <si>
    <t>OP5-IRtoDARK</t>
  </si>
  <si>
    <t>Dark</t>
  </si>
  <si>
    <t>IR</t>
  </si>
  <si>
    <t>IRtoDark</t>
  </si>
  <si>
    <r>
      <t xml:space="preserve">Nimodipine </t>
    </r>
    <r>
      <rPr>
        <sz val="11"/>
        <color theme="1"/>
        <rFont val="宋体"/>
        <charset val="134"/>
      </rPr>
      <t>（内标）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</si>
</sst>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000000"/>
      <name val="Calibri"/>
      <family val="2"/>
    </font>
    <font>
      <b/>
      <sz val="11"/>
      <color rgb="FFC00000"/>
      <name val="Calibri"/>
      <family val="2"/>
    </font>
    <font>
      <sz val="11"/>
      <color rgb="FFC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A7CDF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4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1" fontId="0" fillId="2" borderId="1" xfId="0" applyNumberFormat="1" applyFill="1" applyBorder="1" applyAlignment="1">
      <alignment horizontal="center" vertical="center"/>
    </xf>
    <xf numFmtId="11" fontId="3" fillId="2" borderId="1" xfId="0" applyNumberFormat="1" applyFont="1" applyFill="1" applyBorder="1" applyAlignment="1">
      <alignment horizontal="center" vertical="center"/>
    </xf>
    <xf numFmtId="11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1" fontId="5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1" fontId="7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1" fontId="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/>
    <xf numFmtId="11" fontId="0" fillId="0" borderId="0" xfId="0" applyNumberFormat="1"/>
    <xf numFmtId="11" fontId="0" fillId="2" borderId="0" xfId="0" applyNumberFormat="1" applyFill="1" applyBorder="1" applyAlignment="1">
      <alignment horizontal="center" vertical="center"/>
    </xf>
    <xf numFmtId="11" fontId="6" fillId="2" borderId="0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2" fontId="0" fillId="0" borderId="0" xfId="0" applyNumberFormat="1"/>
    <xf numFmtId="2" fontId="0" fillId="2" borderId="0" xfId="0" applyNumberFormat="1" applyFill="1" applyBorder="1" applyAlignment="1">
      <alignment horizontal="center" vertical="center"/>
    </xf>
    <xf numFmtId="2" fontId="6" fillId="2" borderId="0" xfId="0" applyNumberFormat="1" applyFont="1" applyFill="1" applyBorder="1" applyAlignment="1">
      <alignment horizontal="center" vertical="center"/>
    </xf>
    <xf numFmtId="11" fontId="6" fillId="0" borderId="0" xfId="0" applyNumberFormat="1" applyFont="1"/>
    <xf numFmtId="2" fontId="6" fillId="0" borderId="0" xfId="0" applyNumberFormat="1" applyFont="1"/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2222-9CFC-0542-BCD9-DD22F5FDE939}">
  <dimension ref="A1"/>
  <sheetViews>
    <sheetView tabSelected="1" workbookViewId="0">
      <selection activeCell="F32" sqref="F32"/>
    </sheetView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T52"/>
  <sheetViews>
    <sheetView zoomScale="102" zoomScaleNormal="102" workbookViewId="0">
      <selection activeCell="D6" sqref="D6"/>
    </sheetView>
  </sheetViews>
  <sheetFormatPr baseColWidth="10" defaultColWidth="8.83203125" defaultRowHeight="15"/>
  <cols>
    <col min="3" max="5" width="12.83203125"/>
    <col min="6" max="6" width="18.1640625" customWidth="1"/>
    <col min="7" max="176" width="12.83203125"/>
  </cols>
  <sheetData>
    <row r="1" spans="1:176">
      <c r="A1" t="s">
        <v>522</v>
      </c>
      <c r="B1" t="s">
        <v>523</v>
      </c>
      <c r="C1" s="1" t="s">
        <v>32</v>
      </c>
      <c r="D1" s="1" t="s">
        <v>29</v>
      </c>
      <c r="E1" s="1" t="s">
        <v>26</v>
      </c>
      <c r="F1" s="1" t="s">
        <v>35</v>
      </c>
      <c r="G1" s="1" t="s">
        <v>38</v>
      </c>
      <c r="H1" s="1" t="s">
        <v>41</v>
      </c>
      <c r="I1" s="1" t="s">
        <v>44</v>
      </c>
      <c r="J1" s="1" t="s">
        <v>50</v>
      </c>
      <c r="K1" s="5" t="s">
        <v>47</v>
      </c>
      <c r="L1" s="1" t="s">
        <v>79</v>
      </c>
      <c r="M1" s="1" t="s">
        <v>53</v>
      </c>
      <c r="N1" s="1" t="s">
        <v>85</v>
      </c>
      <c r="O1" s="1" t="s">
        <v>96</v>
      </c>
      <c r="P1" s="1" t="s">
        <v>56</v>
      </c>
      <c r="Q1" s="1" t="s">
        <v>59</v>
      </c>
      <c r="R1" s="1" t="s">
        <v>71</v>
      </c>
      <c r="S1" s="1" t="s">
        <v>102</v>
      </c>
      <c r="T1" s="1" t="s">
        <v>68</v>
      </c>
      <c r="U1" s="1" t="s">
        <v>118</v>
      </c>
      <c r="V1" s="1" t="s">
        <v>74</v>
      </c>
      <c r="W1" s="1" t="s">
        <v>62</v>
      </c>
      <c r="X1" s="1" t="s">
        <v>65</v>
      </c>
      <c r="Y1" s="1" t="s">
        <v>108</v>
      </c>
      <c r="Z1" s="1" t="s">
        <v>93</v>
      </c>
      <c r="AA1" s="1" t="s">
        <v>136</v>
      </c>
      <c r="AB1" s="1" t="s">
        <v>111</v>
      </c>
      <c r="AC1" s="1" t="s">
        <v>76</v>
      </c>
      <c r="AD1" s="1" t="s">
        <v>114</v>
      </c>
      <c r="AE1" s="1" t="s">
        <v>91</v>
      </c>
      <c r="AF1" s="1" t="s">
        <v>222</v>
      </c>
      <c r="AG1" s="1" t="s">
        <v>160</v>
      </c>
      <c r="AH1" s="1" t="s">
        <v>201</v>
      </c>
      <c r="AI1" s="1" t="s">
        <v>88</v>
      </c>
      <c r="AJ1" s="1" t="s">
        <v>82</v>
      </c>
      <c r="AK1" s="1" t="s">
        <v>105</v>
      </c>
      <c r="AL1" s="1" t="s">
        <v>145</v>
      </c>
      <c r="AM1" s="1" t="s">
        <v>130</v>
      </c>
      <c r="AN1" s="1" t="s">
        <v>124</v>
      </c>
      <c r="AO1" s="1" t="s">
        <v>99</v>
      </c>
      <c r="AP1" s="1" t="s">
        <v>169</v>
      </c>
      <c r="AQ1" s="1" t="s">
        <v>190</v>
      </c>
      <c r="AR1" s="1" t="s">
        <v>181</v>
      </c>
      <c r="AS1" s="1" t="s">
        <v>121</v>
      </c>
      <c r="AT1" s="1" t="s">
        <v>127</v>
      </c>
      <c r="AU1" s="1" t="s">
        <v>139</v>
      </c>
      <c r="AV1" s="1" t="s">
        <v>116</v>
      </c>
      <c r="AW1" s="1" t="s">
        <v>142</v>
      </c>
      <c r="AX1" s="1" t="s">
        <v>166</v>
      </c>
      <c r="AY1" s="1" t="s">
        <v>154</v>
      </c>
      <c r="AZ1" s="1" t="s">
        <v>213</v>
      </c>
      <c r="BA1" s="1" t="s">
        <v>225</v>
      </c>
      <c r="BB1" s="1" t="s">
        <v>151</v>
      </c>
      <c r="BC1" s="1" t="s">
        <v>133</v>
      </c>
      <c r="BD1" s="1" t="s">
        <v>148</v>
      </c>
      <c r="BE1" s="1" t="s">
        <v>157</v>
      </c>
      <c r="BF1" s="1" t="s">
        <v>237</v>
      </c>
      <c r="BG1" s="1" t="s">
        <v>187</v>
      </c>
      <c r="BH1" s="1" t="s">
        <v>198</v>
      </c>
      <c r="BI1" s="1" t="s">
        <v>207</v>
      </c>
      <c r="BJ1" s="1" t="s">
        <v>172</v>
      </c>
      <c r="BK1" s="1" t="s">
        <v>184</v>
      </c>
      <c r="BL1" s="1" t="s">
        <v>163</v>
      </c>
      <c r="BM1" s="1" t="s">
        <v>193</v>
      </c>
      <c r="BN1" s="1" t="s">
        <v>405</v>
      </c>
      <c r="BO1" s="1" t="s">
        <v>175</v>
      </c>
      <c r="BP1" s="1" t="s">
        <v>178</v>
      </c>
      <c r="BQ1" s="1" t="s">
        <v>291</v>
      </c>
      <c r="BR1" s="1" t="s">
        <v>196</v>
      </c>
      <c r="BS1" s="1" t="s">
        <v>393</v>
      </c>
      <c r="BT1" s="1" t="s">
        <v>282</v>
      </c>
      <c r="BU1" s="1" t="s">
        <v>387</v>
      </c>
      <c r="BV1" s="1" t="s">
        <v>204</v>
      </c>
      <c r="BW1" s="1" t="s">
        <v>267</v>
      </c>
      <c r="BX1" s="1" t="s">
        <v>261</v>
      </c>
      <c r="BY1" s="1" t="s">
        <v>210</v>
      </c>
      <c r="BZ1" s="1" t="s">
        <v>219</v>
      </c>
      <c r="CA1" s="1" t="s">
        <v>432</v>
      </c>
      <c r="CB1" s="1" t="s">
        <v>279</v>
      </c>
      <c r="CC1" s="1" t="s">
        <v>249</v>
      </c>
      <c r="CD1" s="1" t="s">
        <v>243</v>
      </c>
      <c r="CE1" s="1" t="s">
        <v>231</v>
      </c>
      <c r="CF1" s="1" t="s">
        <v>327</v>
      </c>
      <c r="CG1" s="1" t="s">
        <v>252</v>
      </c>
      <c r="CH1" s="1" t="s">
        <v>297</v>
      </c>
      <c r="CI1" s="1" t="s">
        <v>456</v>
      </c>
      <c r="CJ1" s="1" t="s">
        <v>216</v>
      </c>
      <c r="CK1" s="1" t="s">
        <v>270</v>
      </c>
      <c r="CL1" s="1" t="s">
        <v>402</v>
      </c>
      <c r="CM1" s="1" t="s">
        <v>256</v>
      </c>
      <c r="CN1" s="1" t="s">
        <v>234</v>
      </c>
      <c r="CO1" s="1" t="s">
        <v>315</v>
      </c>
      <c r="CP1" s="1" t="s">
        <v>330</v>
      </c>
      <c r="CQ1" s="1" t="s">
        <v>366</v>
      </c>
      <c r="CR1" s="1" t="s">
        <v>312</v>
      </c>
      <c r="CS1" s="1" t="s">
        <v>240</v>
      </c>
      <c r="CT1" s="1" t="s">
        <v>228</v>
      </c>
      <c r="CU1" s="1" t="s">
        <v>414</v>
      </c>
      <c r="CV1" s="1" t="s">
        <v>258</v>
      </c>
      <c r="CW1" s="1" t="s">
        <v>306</v>
      </c>
      <c r="CX1" s="1" t="s">
        <v>324</v>
      </c>
      <c r="CY1" s="1" t="s">
        <v>348</v>
      </c>
      <c r="CZ1" s="1" t="s">
        <v>276</v>
      </c>
      <c r="DA1" s="1" t="s">
        <v>351</v>
      </c>
      <c r="DB1" s="1" t="s">
        <v>273</v>
      </c>
      <c r="DC1" s="1" t="s">
        <v>246</v>
      </c>
      <c r="DD1" s="1" t="s">
        <v>461</v>
      </c>
      <c r="DE1" s="1" t="s">
        <v>285</v>
      </c>
      <c r="DF1" s="1" t="s">
        <v>264</v>
      </c>
      <c r="DG1" s="1" t="s">
        <v>360</v>
      </c>
      <c r="DH1" s="1" t="s">
        <v>342</v>
      </c>
      <c r="DI1" s="1" t="s">
        <v>318</v>
      </c>
      <c r="DJ1" s="1" t="s">
        <v>411</v>
      </c>
      <c r="DK1" s="1" t="s">
        <v>321</v>
      </c>
      <c r="DL1" s="1" t="s">
        <v>390</v>
      </c>
      <c r="DM1" s="1" t="s">
        <v>354</v>
      </c>
      <c r="DN1" s="1" t="s">
        <v>294</v>
      </c>
      <c r="DO1" s="1" t="s">
        <v>288</v>
      </c>
      <c r="DP1" s="1" t="s">
        <v>379</v>
      </c>
      <c r="DQ1" s="1" t="s">
        <v>367</v>
      </c>
      <c r="DR1" s="1" t="s">
        <v>300</v>
      </c>
      <c r="DS1" s="1" t="s">
        <v>339</v>
      </c>
      <c r="DT1" s="1" t="s">
        <v>485</v>
      </c>
      <c r="DU1" s="1" t="s">
        <v>309</v>
      </c>
      <c r="DV1" s="1" t="s">
        <v>363</v>
      </c>
      <c r="DW1" s="1" t="s">
        <v>441</v>
      </c>
      <c r="DX1" s="1" t="s">
        <v>345</v>
      </c>
      <c r="DY1" s="1" t="s">
        <v>333</v>
      </c>
      <c r="DZ1" s="1" t="s">
        <v>408</v>
      </c>
      <c r="EA1" s="1" t="s">
        <v>370</v>
      </c>
      <c r="EB1" s="1" t="s">
        <v>303</v>
      </c>
      <c r="EC1" s="1" t="s">
        <v>417</v>
      </c>
      <c r="ED1" s="1" t="s">
        <v>373</v>
      </c>
      <c r="EE1" s="1" t="s">
        <v>336</v>
      </c>
      <c r="EF1" s="1" t="s">
        <v>488</v>
      </c>
      <c r="EG1" s="1" t="s">
        <v>399</v>
      </c>
      <c r="EH1" s="1" t="s">
        <v>429</v>
      </c>
      <c r="EI1" s="1" t="s">
        <v>376</v>
      </c>
      <c r="EJ1" s="1" t="s">
        <v>396</v>
      </c>
      <c r="EK1" s="1" t="s">
        <v>357</v>
      </c>
      <c r="EL1" s="1" t="s">
        <v>420</v>
      </c>
      <c r="EM1" s="1" t="s">
        <v>467</v>
      </c>
      <c r="EN1" s="1" t="s">
        <v>384</v>
      </c>
      <c r="EO1" s="1" t="s">
        <v>438</v>
      </c>
      <c r="EP1" s="1" t="s">
        <v>483</v>
      </c>
      <c r="EQ1" s="1" t="s">
        <v>381</v>
      </c>
      <c r="ER1" s="1" t="s">
        <v>423</v>
      </c>
      <c r="ES1" s="1" t="s">
        <v>451</v>
      </c>
      <c r="ET1" s="1" t="s">
        <v>426</v>
      </c>
      <c r="EU1" s="1" t="s">
        <v>435</v>
      </c>
      <c r="EV1" s="1" t="s">
        <v>444</v>
      </c>
      <c r="EW1" s="1" t="s">
        <v>464</v>
      </c>
      <c r="EX1" s="1" t="s">
        <v>459</v>
      </c>
      <c r="EY1" s="1" t="s">
        <v>478</v>
      </c>
      <c r="EZ1" s="1" t="s">
        <v>448</v>
      </c>
      <c r="FA1" s="1" t="s">
        <v>470</v>
      </c>
      <c r="FB1" s="1" t="s">
        <v>490</v>
      </c>
      <c r="FC1" s="1" t="s">
        <v>446</v>
      </c>
      <c r="FD1" s="1" t="s">
        <v>512</v>
      </c>
      <c r="FE1" s="1" t="s">
        <v>453</v>
      </c>
      <c r="FF1" s="1" t="s">
        <v>473</v>
      </c>
      <c r="FG1" s="1" t="s">
        <v>496</v>
      </c>
      <c r="FH1" s="1" t="s">
        <v>498</v>
      </c>
      <c r="FI1" s="1" t="s">
        <v>476</v>
      </c>
      <c r="FJ1" s="1" t="s">
        <v>493</v>
      </c>
      <c r="FK1" s="1" t="s">
        <v>480</v>
      </c>
      <c r="FL1" s="1" t="s">
        <v>510</v>
      </c>
      <c r="FM1" s="1" t="s">
        <v>503</v>
      </c>
      <c r="FN1" s="1" t="s">
        <v>160</v>
      </c>
      <c r="FO1" s="1" t="s">
        <v>508</v>
      </c>
      <c r="FP1" s="1" t="s">
        <v>506</v>
      </c>
      <c r="FQ1" s="1" t="s">
        <v>500</v>
      </c>
      <c r="FR1" s="1" t="s">
        <v>514</v>
      </c>
      <c r="FS1" s="1" t="s">
        <v>517</v>
      </c>
      <c r="FT1" s="1" t="s">
        <v>520</v>
      </c>
    </row>
    <row r="2" spans="1:176">
      <c r="A2" s="2" t="s">
        <v>10</v>
      </c>
      <c r="B2" t="s">
        <v>524</v>
      </c>
      <c r="C2" s="1">
        <v>76147916.005150199</v>
      </c>
      <c r="D2" s="1">
        <v>381380343.47985601</v>
      </c>
      <c r="E2" s="1">
        <v>14659498346.920601</v>
      </c>
      <c r="F2" s="1">
        <v>741172968.71811604</v>
      </c>
      <c r="G2" s="1">
        <v>4102675272.0875902</v>
      </c>
      <c r="H2" s="1">
        <v>1398987613.91558</v>
      </c>
      <c r="I2" s="1">
        <v>369945936.97800303</v>
      </c>
      <c r="J2" s="1">
        <v>344706220.40315098</v>
      </c>
      <c r="K2" s="1">
        <v>710110235.98536003</v>
      </c>
      <c r="L2" s="1">
        <v>17155360.894353699</v>
      </c>
      <c r="M2" s="1">
        <v>186204258.36120901</v>
      </c>
      <c r="N2" s="1">
        <v>17193644.117642801</v>
      </c>
      <c r="O2" s="1">
        <v>43284168.339339599</v>
      </c>
      <c r="P2" s="1">
        <v>383114802.28931302</v>
      </c>
      <c r="Q2" s="1">
        <v>104960921.69423801</v>
      </c>
      <c r="R2" s="1">
        <v>145400167.091066</v>
      </c>
      <c r="S2" s="1">
        <v>41100942.911745198</v>
      </c>
      <c r="T2" s="1">
        <v>149654093.610008</v>
      </c>
      <c r="U2" s="1">
        <v>66498963.003490798</v>
      </c>
      <c r="V2" s="1">
        <v>66115431.337165497</v>
      </c>
      <c r="W2" s="1">
        <v>168048902.33374</v>
      </c>
      <c r="X2" s="1">
        <v>196909326.622504</v>
      </c>
      <c r="Y2" s="1">
        <v>60273307.575953104</v>
      </c>
      <c r="Z2" s="1">
        <v>87181781.419478506</v>
      </c>
      <c r="AA2" s="1">
        <v>223340.78463805901</v>
      </c>
      <c r="AB2" s="1">
        <v>39099207.756780602</v>
      </c>
      <c r="AC2" s="1">
        <v>116689734.601427</v>
      </c>
      <c r="AD2" s="1">
        <v>80089419.548518598</v>
      </c>
      <c r="AE2" s="1">
        <v>134006811.703796</v>
      </c>
      <c r="AF2" s="1">
        <v>188555396.79444101</v>
      </c>
      <c r="AG2" s="1">
        <v>11438023.4918765</v>
      </c>
      <c r="AH2" s="1">
        <v>170734584.70496601</v>
      </c>
      <c r="AI2" s="1">
        <v>101240466.24207801</v>
      </c>
      <c r="AJ2" s="1">
        <v>166667572.835035</v>
      </c>
      <c r="AK2" s="1">
        <v>114047956.25128999</v>
      </c>
      <c r="AL2" s="1">
        <v>48196810.561724499</v>
      </c>
      <c r="AM2" s="1">
        <v>34248552.000132799</v>
      </c>
      <c r="AN2" s="1">
        <v>116534210.774983</v>
      </c>
      <c r="AO2" s="1">
        <v>124418085.09334201</v>
      </c>
      <c r="AP2" s="1">
        <v>14189582.568798801</v>
      </c>
      <c r="AQ2" s="1">
        <v>17833598.1620658</v>
      </c>
      <c r="AR2" s="1">
        <v>58122621.212186597</v>
      </c>
      <c r="AS2" s="1">
        <v>41974699.790708102</v>
      </c>
      <c r="AT2" s="1">
        <v>59811487.7237477</v>
      </c>
      <c r="AU2" s="1">
        <v>44676989.8137789</v>
      </c>
      <c r="AV2" s="1">
        <v>75532978.951090693</v>
      </c>
      <c r="AW2" s="1">
        <v>32465098.0742043</v>
      </c>
      <c r="AX2" s="1">
        <v>18410382.8767551</v>
      </c>
      <c r="AY2" s="1">
        <v>42481764.607206203</v>
      </c>
      <c r="AZ2" s="1">
        <v>7548172.2810308002</v>
      </c>
      <c r="BA2" s="1">
        <v>15342515.0358776</v>
      </c>
      <c r="BB2" s="1">
        <v>22388309.106084201</v>
      </c>
      <c r="BC2" s="1">
        <v>35630328.303159699</v>
      </c>
      <c r="BD2" s="1">
        <v>40845292.681266099</v>
      </c>
      <c r="BE2" s="1">
        <v>74477107.130162105</v>
      </c>
      <c r="BF2" s="1">
        <v>13983492.601890801</v>
      </c>
      <c r="BG2" s="1">
        <v>34814343.363261901</v>
      </c>
      <c r="BH2" s="1">
        <v>32330565.413690001</v>
      </c>
      <c r="BI2" s="1">
        <v>7187085.2921154397</v>
      </c>
      <c r="BJ2" s="1">
        <v>34629208.492898598</v>
      </c>
      <c r="BK2" s="1">
        <v>25914812.2872422</v>
      </c>
      <c r="BL2" s="1">
        <v>60581815.921711601</v>
      </c>
      <c r="BM2" s="1">
        <v>13462332.2595682</v>
      </c>
      <c r="BN2" s="1">
        <v>541738.08248628594</v>
      </c>
      <c r="BO2" s="1">
        <v>35612650.679332703</v>
      </c>
      <c r="BP2" s="1">
        <v>56744390.638190098</v>
      </c>
      <c r="BQ2" s="1">
        <v>8788805.6735466793</v>
      </c>
      <c r="BR2" s="1">
        <v>16827344.802733701</v>
      </c>
      <c r="BS2" s="1">
        <v>679916.48430208396</v>
      </c>
      <c r="BT2" s="1">
        <v>8153823.3746939898</v>
      </c>
      <c r="BU2" s="1">
        <v>1295452.30507334</v>
      </c>
      <c r="BV2" s="1">
        <v>25609279.573960401</v>
      </c>
      <c r="BW2" s="1">
        <v>14537819.403279301</v>
      </c>
      <c r="BX2" s="1">
        <v>18004337.006386898</v>
      </c>
      <c r="BY2" s="1">
        <v>20509629.4715949</v>
      </c>
      <c r="BZ2" s="1">
        <v>21150215.5132314</v>
      </c>
      <c r="CA2" s="1">
        <v>214906.99258141901</v>
      </c>
      <c r="CB2" s="1">
        <v>7421352.67258956</v>
      </c>
      <c r="CC2" s="1">
        <v>3061593.4709513299</v>
      </c>
      <c r="CD2" s="1">
        <v>13983837.635888901</v>
      </c>
      <c r="CE2" s="1">
        <v>27125330.023056999</v>
      </c>
      <c r="CF2" s="1">
        <v>8162354.28269732</v>
      </c>
      <c r="CG2" s="1">
        <v>4046899.1955459402</v>
      </c>
      <c r="CH2" s="1">
        <v>33257893.968184002</v>
      </c>
      <c r="CI2" s="1">
        <v>217685.00762024501</v>
      </c>
      <c r="CJ2" s="1">
        <v>20024490.723409999</v>
      </c>
      <c r="CK2" s="1">
        <v>7381533.2129431898</v>
      </c>
      <c r="CL2" s="1">
        <v>2890241.5083318199</v>
      </c>
      <c r="CM2" s="1">
        <v>5102826.6807461902</v>
      </c>
      <c r="CN2" s="1">
        <v>17028418.027764499</v>
      </c>
      <c r="CO2" s="1">
        <v>6720962.9493469801</v>
      </c>
      <c r="CP2" s="1">
        <v>493021.44253807701</v>
      </c>
      <c r="CQ2" s="1">
        <v>2415846.60966333</v>
      </c>
      <c r="CR2" s="1">
        <v>8142739.4363533296</v>
      </c>
      <c r="CS2" s="1">
        <v>11054483.0318968</v>
      </c>
      <c r="CT2" s="1">
        <v>21708140.050484199</v>
      </c>
      <c r="CU2" s="1">
        <v>1212982.5506579899</v>
      </c>
      <c r="CV2" s="1">
        <v>12926625.9367062</v>
      </c>
      <c r="CW2" s="1">
        <v>7147615.1886937898</v>
      </c>
      <c r="CX2" s="1">
        <v>6529508.9655007403</v>
      </c>
      <c r="CY2" s="1">
        <v>12423933.7070251</v>
      </c>
      <c r="CZ2" s="1">
        <v>10589215.252621001</v>
      </c>
      <c r="DA2" s="1">
        <v>9374751.0817987099</v>
      </c>
      <c r="DB2" s="1">
        <v>13137939.9177095</v>
      </c>
      <c r="DC2" s="1">
        <v>13038907.819775799</v>
      </c>
      <c r="DD2" s="1">
        <v>795479.80788813601</v>
      </c>
      <c r="DE2" s="1">
        <v>6519450.8163019801</v>
      </c>
      <c r="DF2" s="1">
        <v>14567366.3014681</v>
      </c>
      <c r="DG2" s="1">
        <v>4583755.5064418996</v>
      </c>
      <c r="DH2" s="1">
        <v>7554947.5896573197</v>
      </c>
      <c r="DI2" s="1">
        <v>7279397.6973883798</v>
      </c>
      <c r="DJ2" s="1">
        <v>1254950.22414055</v>
      </c>
      <c r="DK2" s="1">
        <v>7122510.3678815002</v>
      </c>
      <c r="DL2" s="1">
        <v>344514.11637533997</v>
      </c>
      <c r="DM2" s="1">
        <v>6191232.64125372</v>
      </c>
      <c r="DN2" s="1">
        <v>8847133.1588944104</v>
      </c>
      <c r="DO2" s="1">
        <v>11750337.344744399</v>
      </c>
      <c r="DP2" s="1">
        <v>408604.92359447997</v>
      </c>
      <c r="DQ2" s="1">
        <v>3391729.4006737098</v>
      </c>
      <c r="DR2" s="1">
        <v>7372686.8268620502</v>
      </c>
      <c r="DS2" s="1">
        <v>9877927.8386534099</v>
      </c>
      <c r="DT2" s="1">
        <v>11757.1844135501</v>
      </c>
      <c r="DU2" s="1">
        <v>4697735.7246596003</v>
      </c>
      <c r="DV2" s="1">
        <v>4087672.3182357699</v>
      </c>
      <c r="DW2" s="1">
        <v>3541276.8338719201</v>
      </c>
      <c r="DX2" s="1">
        <v>7869364.3393551297</v>
      </c>
      <c r="DY2" s="1">
        <v>4511613.6319422098</v>
      </c>
      <c r="DZ2" s="1">
        <v>1105972.4335892</v>
      </c>
      <c r="EA2" s="1">
        <v>3877903.1122840098</v>
      </c>
      <c r="EB2" s="1">
        <v>11184587.0917341</v>
      </c>
      <c r="EC2" s="1">
        <v>3906926.8223199402</v>
      </c>
      <c r="ED2" s="1">
        <v>3120055.32333712</v>
      </c>
      <c r="EE2" s="1">
        <v>6522690.4623235399</v>
      </c>
      <c r="EF2" s="1">
        <v>15040498.718648899</v>
      </c>
      <c r="EG2" s="1">
        <v>6363767.1286098296</v>
      </c>
      <c r="EH2" s="1">
        <v>3478900.8080212399</v>
      </c>
      <c r="EI2" s="1">
        <v>4344921.6742638899</v>
      </c>
      <c r="EJ2" s="1">
        <v>1911667.15948843</v>
      </c>
      <c r="EK2" s="1">
        <v>6063835.8606265401</v>
      </c>
      <c r="EL2" s="1">
        <v>2389632.7370367302</v>
      </c>
      <c r="EM2" s="1">
        <v>2108667.3038727702</v>
      </c>
      <c r="EN2" s="1">
        <v>6777534.7692664601</v>
      </c>
      <c r="EO2" s="1">
        <v>2468617.5008016299</v>
      </c>
      <c r="EP2" s="1">
        <v>995622.55456873402</v>
      </c>
      <c r="EQ2" s="1">
        <v>4973674.1299399799</v>
      </c>
      <c r="ER2" s="1">
        <v>2363934.3432517</v>
      </c>
      <c r="ES2" s="1">
        <v>3032711.7929319902</v>
      </c>
      <c r="ET2" s="1">
        <v>2193904.3428335702</v>
      </c>
      <c r="EU2" s="1">
        <v>4471229.44368775</v>
      </c>
      <c r="EV2" s="1">
        <v>1956687.62782592</v>
      </c>
      <c r="EW2" s="1">
        <v>745340.23512676801</v>
      </c>
      <c r="EX2" s="1">
        <v>1792746.28526853</v>
      </c>
      <c r="EY2" s="1">
        <v>547931.91984853498</v>
      </c>
      <c r="EZ2" s="1">
        <v>599959.58343541296</v>
      </c>
      <c r="FA2" s="1">
        <v>1700622.07182875</v>
      </c>
      <c r="FB2" s="1">
        <v>126716.34114099</v>
      </c>
      <c r="FC2" s="1">
        <v>969754.49443608697</v>
      </c>
      <c r="FD2" s="1">
        <v>111334.186744569</v>
      </c>
      <c r="FE2" s="1">
        <v>2875358.1936092698</v>
      </c>
      <c r="FF2" s="1">
        <v>851236.40455929795</v>
      </c>
      <c r="FG2" s="1">
        <v>540462.18213034701</v>
      </c>
      <c r="FH2" s="1">
        <v>249999.23813943</v>
      </c>
      <c r="FI2" s="1">
        <v>1174369.9175143801</v>
      </c>
      <c r="FJ2" s="1">
        <v>424133.096757836</v>
      </c>
      <c r="FK2" s="1">
        <v>1855655.00017145</v>
      </c>
      <c r="FL2" s="1">
        <v>338379.86076851399</v>
      </c>
      <c r="FM2" s="1">
        <v>402751.06906673103</v>
      </c>
      <c r="FN2" s="1">
        <v>1274916.1389599801</v>
      </c>
      <c r="FO2" s="1">
        <v>317841.34929637797</v>
      </c>
      <c r="FP2" s="1">
        <v>347108.495815275</v>
      </c>
      <c r="FQ2" s="1">
        <v>440603.54384404601</v>
      </c>
      <c r="FR2" s="1">
        <v>693821.51024055295</v>
      </c>
      <c r="FS2" s="1">
        <v>87300.842173490004</v>
      </c>
      <c r="FT2" s="1">
        <v>43931.246617632503</v>
      </c>
    </row>
    <row r="3" spans="1:176">
      <c r="A3" s="2" t="s">
        <v>11</v>
      </c>
      <c r="B3" t="s">
        <v>524</v>
      </c>
      <c r="C3" s="1">
        <v>8910851.7623568494</v>
      </c>
      <c r="D3" s="1">
        <v>6797551463.7753801</v>
      </c>
      <c r="E3" s="1">
        <v>21510904668.0429</v>
      </c>
      <c r="F3" s="1">
        <v>3329921772.5371599</v>
      </c>
      <c r="G3" s="1">
        <v>2554471606.2761502</v>
      </c>
      <c r="H3" s="1">
        <v>1308886775.2251501</v>
      </c>
      <c r="I3" s="1">
        <v>1366871395.9507</v>
      </c>
      <c r="J3" s="1">
        <v>373820442.486893</v>
      </c>
      <c r="K3" s="1">
        <v>1134232619.7892101</v>
      </c>
      <c r="L3" s="1">
        <v>113089746.778017</v>
      </c>
      <c r="M3" s="1">
        <v>183486104.01008499</v>
      </c>
      <c r="N3" s="1">
        <v>27375872.986148998</v>
      </c>
      <c r="O3" s="1">
        <v>119173896.55558699</v>
      </c>
      <c r="P3" s="1">
        <v>429307383.35826302</v>
      </c>
      <c r="Q3" s="1">
        <v>344692590.536542</v>
      </c>
      <c r="R3" s="1">
        <v>121526460.797389</v>
      </c>
      <c r="S3" s="1">
        <v>51939111.550536998</v>
      </c>
      <c r="T3" s="1">
        <v>222349570.31146899</v>
      </c>
      <c r="U3" s="1">
        <v>125927561.931486</v>
      </c>
      <c r="V3" s="1">
        <v>314704608.72905898</v>
      </c>
      <c r="W3" s="1">
        <v>215317847.272017</v>
      </c>
      <c r="X3" s="1">
        <v>241791956.57488999</v>
      </c>
      <c r="Y3" s="1">
        <v>71093633.952256799</v>
      </c>
      <c r="Z3" s="1">
        <v>197643542.836687</v>
      </c>
      <c r="AA3" s="1">
        <v>106245576.419084</v>
      </c>
      <c r="AB3" s="1">
        <v>198580838.94758001</v>
      </c>
      <c r="AC3" s="1">
        <v>198839992.719522</v>
      </c>
      <c r="AD3" s="1">
        <v>41221934.8219909</v>
      </c>
      <c r="AE3" s="1">
        <v>164180196.96954101</v>
      </c>
      <c r="AF3" s="1">
        <v>10137378.5334676</v>
      </c>
      <c r="AG3" s="1">
        <v>5100472.7418454597</v>
      </c>
      <c r="AH3" s="1">
        <v>21938515.549556401</v>
      </c>
      <c r="AI3" s="1">
        <v>143096029.01334599</v>
      </c>
      <c r="AJ3" s="1">
        <v>138197359.240291</v>
      </c>
      <c r="AK3" s="1">
        <v>95124283.627964303</v>
      </c>
      <c r="AL3" s="1">
        <v>86721269.936414093</v>
      </c>
      <c r="AM3" s="1">
        <v>55368389.4891681</v>
      </c>
      <c r="AN3" s="1">
        <v>85274569.857917294</v>
      </c>
      <c r="AO3" s="1">
        <v>108399000.657326</v>
      </c>
      <c r="AP3" s="1">
        <v>22154119.739915598</v>
      </c>
      <c r="AQ3" s="1">
        <v>19945106.964369498</v>
      </c>
      <c r="AR3" s="1">
        <v>36336555.541960098</v>
      </c>
      <c r="AS3" s="1">
        <v>108866080.86083201</v>
      </c>
      <c r="AT3" s="1">
        <v>93340034.959918097</v>
      </c>
      <c r="AU3" s="1">
        <v>92616416.832662299</v>
      </c>
      <c r="AV3" s="1">
        <v>90523207.607507601</v>
      </c>
      <c r="AW3" s="1">
        <v>63685353.414749801</v>
      </c>
      <c r="AX3" s="1">
        <v>58100766.856100097</v>
      </c>
      <c r="AY3" s="1">
        <v>35468254.359973699</v>
      </c>
      <c r="AZ3" s="1">
        <v>13357130.7703768</v>
      </c>
      <c r="BA3" s="1">
        <v>39085363.392885201</v>
      </c>
      <c r="BB3" s="1">
        <v>56843954.798758</v>
      </c>
      <c r="BC3" s="1">
        <v>44364527.617427103</v>
      </c>
      <c r="BD3" s="1">
        <v>67193399.616686001</v>
      </c>
      <c r="BE3" s="1">
        <v>53346480.913174398</v>
      </c>
      <c r="BF3" s="1">
        <v>26109449.432135899</v>
      </c>
      <c r="BG3" s="1">
        <v>34249874.742827103</v>
      </c>
      <c r="BH3" s="1">
        <v>65619583.030876301</v>
      </c>
      <c r="BI3" s="1">
        <v>8609659.0803033393</v>
      </c>
      <c r="BJ3" s="1">
        <v>56861925.946113102</v>
      </c>
      <c r="BK3" s="1">
        <v>26123800.510021102</v>
      </c>
      <c r="BL3" s="1">
        <v>68292144.886024594</v>
      </c>
      <c r="BM3" s="1">
        <v>13241943.0803294</v>
      </c>
      <c r="BN3" s="1">
        <v>3328477.1542022298</v>
      </c>
      <c r="BO3" s="1">
        <v>64639895.461832799</v>
      </c>
      <c r="BP3" s="1">
        <v>58047889.743393801</v>
      </c>
      <c r="BQ3" s="1">
        <v>15663969.885203</v>
      </c>
      <c r="BR3" s="1">
        <v>43078494.519342802</v>
      </c>
      <c r="BS3" s="1">
        <v>798918.44981751498</v>
      </c>
      <c r="BT3" s="1">
        <v>10269786.4700446</v>
      </c>
      <c r="BU3" s="1">
        <v>2142777.2935657501</v>
      </c>
      <c r="BV3" s="1">
        <v>43413453.967006899</v>
      </c>
      <c r="BW3" s="1">
        <v>44799611.920456298</v>
      </c>
      <c r="BX3" s="1">
        <v>2120413.7210508301</v>
      </c>
      <c r="BY3" s="1">
        <v>29760636.014489699</v>
      </c>
      <c r="BZ3" s="1">
        <v>24774707.465240199</v>
      </c>
      <c r="CA3" s="1">
        <v>499193.45148235402</v>
      </c>
      <c r="CB3" s="1">
        <v>10597961.2361333</v>
      </c>
      <c r="CC3" s="1">
        <v>37301959.133893602</v>
      </c>
      <c r="CD3" s="1">
        <v>16577892.948245199</v>
      </c>
      <c r="CE3" s="1">
        <v>34853910.344754703</v>
      </c>
      <c r="CF3" s="1">
        <v>23379931.811093401</v>
      </c>
      <c r="CG3" s="1">
        <v>5728355.4100309201</v>
      </c>
      <c r="CH3" s="1">
        <v>19978644.167236399</v>
      </c>
      <c r="CI3" s="1">
        <v>506262.59161380801</v>
      </c>
      <c r="CJ3" s="1">
        <v>30389876.035705</v>
      </c>
      <c r="CK3" s="1">
        <v>7279209.1270090397</v>
      </c>
      <c r="CL3" s="1">
        <v>956717.88909044</v>
      </c>
      <c r="CM3" s="1">
        <v>5975985.2192997998</v>
      </c>
      <c r="CN3" s="1">
        <v>20152079.496474601</v>
      </c>
      <c r="CO3" s="1">
        <v>4010648.85583155</v>
      </c>
      <c r="CP3" s="1">
        <v>5031292.4580420898</v>
      </c>
      <c r="CQ3" s="1">
        <v>28479009.221384801</v>
      </c>
      <c r="CR3" s="1">
        <v>14831947.005860399</v>
      </c>
      <c r="CS3" s="1">
        <v>22136230.593531799</v>
      </c>
      <c r="CT3" s="1">
        <v>24689081.2146862</v>
      </c>
      <c r="CU3" s="1">
        <v>1143350.76606513</v>
      </c>
      <c r="CV3" s="1">
        <v>13651325.714539601</v>
      </c>
      <c r="CW3" s="1">
        <v>7105248.7792464504</v>
      </c>
      <c r="CX3" s="1">
        <v>9711797.0954335295</v>
      </c>
      <c r="CY3" s="1">
        <v>12309572.2164695</v>
      </c>
      <c r="CZ3" s="1">
        <v>10269981.289012199</v>
      </c>
      <c r="DA3" s="1">
        <v>18608544.388704699</v>
      </c>
      <c r="DB3" s="1">
        <v>21485327.530802902</v>
      </c>
      <c r="DC3" s="1">
        <v>14120716.034363501</v>
      </c>
      <c r="DD3" s="1">
        <v>973953.27861554699</v>
      </c>
      <c r="DE3" s="1">
        <v>22426407.8362909</v>
      </c>
      <c r="DF3" s="1">
        <v>16928288.466281299</v>
      </c>
      <c r="DG3" s="1">
        <v>5366635.5855663</v>
      </c>
      <c r="DH3" s="1">
        <v>10737067.989403499</v>
      </c>
      <c r="DI3" s="1">
        <v>9636519.3841565698</v>
      </c>
      <c r="DJ3" s="1">
        <v>1730055.6720148299</v>
      </c>
      <c r="DK3" s="1">
        <v>9708154.0859733392</v>
      </c>
      <c r="DL3" s="1">
        <v>401749.65229974099</v>
      </c>
      <c r="DM3" s="1">
        <v>16911506.725152001</v>
      </c>
      <c r="DN3" s="1">
        <v>11863218.376940301</v>
      </c>
      <c r="DO3" s="1">
        <v>14131569.6153217</v>
      </c>
      <c r="DP3" s="1">
        <v>2788909.8710790598</v>
      </c>
      <c r="DQ3" s="1">
        <v>2740325.8872616398</v>
      </c>
      <c r="DR3" s="1">
        <v>10225363.0900495</v>
      </c>
      <c r="DS3" s="1">
        <v>17142342.993216</v>
      </c>
      <c r="DT3" s="1">
        <v>12416.5794621972</v>
      </c>
      <c r="DU3" s="1">
        <v>12821005.1017961</v>
      </c>
      <c r="DV3" s="1">
        <v>7948064.4729089802</v>
      </c>
      <c r="DW3" s="1">
        <v>3315565.3419298399</v>
      </c>
      <c r="DX3" s="1">
        <v>7344501.8612918798</v>
      </c>
      <c r="DY3" s="1">
        <v>17087223.679749899</v>
      </c>
      <c r="DZ3" s="1">
        <v>1585663.4929967399</v>
      </c>
      <c r="EA3" s="1">
        <v>4377083.4355377499</v>
      </c>
      <c r="EB3" s="1">
        <v>12991806.1795072</v>
      </c>
      <c r="EC3" s="1">
        <v>291363.75954965298</v>
      </c>
      <c r="ED3" s="1">
        <v>4499232.7044048598</v>
      </c>
      <c r="EE3" s="1">
        <v>12256927.628916601</v>
      </c>
      <c r="EF3" s="1">
        <v>372247.90821638698</v>
      </c>
      <c r="EG3" s="1">
        <v>7238338.7970375204</v>
      </c>
      <c r="EH3" s="1">
        <v>8699758.6126269605</v>
      </c>
      <c r="EI3" s="1">
        <v>8154614.4773712698</v>
      </c>
      <c r="EJ3" s="1">
        <v>3995428.9086468401</v>
      </c>
      <c r="EK3" s="1">
        <v>8488383.4889193196</v>
      </c>
      <c r="EL3" s="1">
        <v>5109890.3368363101</v>
      </c>
      <c r="EM3" s="1">
        <v>113385.05600677201</v>
      </c>
      <c r="EN3" s="1">
        <v>9426354.2287125401</v>
      </c>
      <c r="EO3" s="1">
        <v>1792053.7544128399</v>
      </c>
      <c r="EP3" s="1">
        <v>188687.27686234601</v>
      </c>
      <c r="EQ3" s="1">
        <v>4972756.4546334101</v>
      </c>
      <c r="ER3" s="1">
        <v>3176825.6971348901</v>
      </c>
      <c r="ES3" s="1">
        <v>1292423.96294223</v>
      </c>
      <c r="ET3" s="1">
        <v>2768396.3559121299</v>
      </c>
      <c r="EU3" s="1">
        <v>3999025.3520590998</v>
      </c>
      <c r="EV3" s="1">
        <v>2273094.1140776998</v>
      </c>
      <c r="EW3" s="1">
        <v>427608.92215490103</v>
      </c>
      <c r="EX3" s="1">
        <v>5797081.04179121</v>
      </c>
      <c r="EY3" s="1">
        <v>174917.451869968</v>
      </c>
      <c r="EZ3" s="1">
        <v>2869979.0352330799</v>
      </c>
      <c r="FA3" s="1">
        <v>1238006.37146933</v>
      </c>
      <c r="FB3" s="1">
        <v>1121622.6858647999</v>
      </c>
      <c r="FC3" s="1">
        <v>4588256.0458211396</v>
      </c>
      <c r="FD3" s="1">
        <v>130467.431898757</v>
      </c>
      <c r="FE3" s="1">
        <v>3893514.7127231099</v>
      </c>
      <c r="FF3" s="1">
        <v>2241726.2527781702</v>
      </c>
      <c r="FG3" s="1">
        <v>547352.99913766899</v>
      </c>
      <c r="FH3" s="1">
        <v>816759.98842746497</v>
      </c>
      <c r="FI3" s="1">
        <v>581126.51403481804</v>
      </c>
      <c r="FJ3" s="1">
        <v>1771196.5747672699</v>
      </c>
      <c r="FK3" s="1">
        <v>1503491.1364696999</v>
      </c>
      <c r="FL3" s="1">
        <v>456938.73578805802</v>
      </c>
      <c r="FM3" s="1">
        <v>419871.96519025601</v>
      </c>
      <c r="FN3" s="1">
        <v>1789806.5288312</v>
      </c>
      <c r="FO3" s="1">
        <v>488609.73719778098</v>
      </c>
      <c r="FP3" s="1">
        <v>278107.41032518703</v>
      </c>
      <c r="FQ3" s="1">
        <v>926847.23767339496</v>
      </c>
      <c r="FR3" s="1">
        <v>239658.27806667701</v>
      </c>
      <c r="FS3" s="1">
        <v>49014.405251682401</v>
      </c>
      <c r="FT3" s="1">
        <v>52198.724504900601</v>
      </c>
    </row>
    <row r="4" spans="1:176">
      <c r="A4" s="2" t="s">
        <v>12</v>
      </c>
      <c r="B4" t="s">
        <v>524</v>
      </c>
      <c r="C4" s="1">
        <v>130471968.946053</v>
      </c>
      <c r="D4" s="1">
        <v>837227473.77092099</v>
      </c>
      <c r="E4" s="1">
        <v>17679214966.318501</v>
      </c>
      <c r="F4" s="1">
        <v>3561894166.2878699</v>
      </c>
      <c r="G4" s="1">
        <v>2118775477.6825399</v>
      </c>
      <c r="H4" s="1">
        <v>2317513236.5963001</v>
      </c>
      <c r="I4" s="1">
        <v>1694803899.7874401</v>
      </c>
      <c r="J4" s="1">
        <v>806058323.01065898</v>
      </c>
      <c r="K4" s="1">
        <v>1096622551.4616101</v>
      </c>
      <c r="L4" s="1">
        <v>30859520.5061494</v>
      </c>
      <c r="M4" s="1">
        <v>339882042.54169399</v>
      </c>
      <c r="N4" s="1">
        <v>23229381.2854416</v>
      </c>
      <c r="O4" s="1">
        <v>56228302.362091899</v>
      </c>
      <c r="P4" s="1">
        <v>289179230.54707903</v>
      </c>
      <c r="Q4" s="1">
        <v>479005711.925264</v>
      </c>
      <c r="R4" s="1">
        <v>226027782.83516699</v>
      </c>
      <c r="S4" s="1">
        <v>60583765.6942586</v>
      </c>
      <c r="T4" s="1">
        <v>264347052.98968899</v>
      </c>
      <c r="U4" s="1">
        <v>61828326.350856602</v>
      </c>
      <c r="V4" s="1">
        <v>309482855.23582703</v>
      </c>
      <c r="W4" s="1">
        <v>209153567.95390499</v>
      </c>
      <c r="X4" s="1">
        <v>198639648.77585301</v>
      </c>
      <c r="Y4" s="1">
        <v>64487603.512858696</v>
      </c>
      <c r="Z4" s="1">
        <v>94434177.878599107</v>
      </c>
      <c r="AA4" s="1">
        <v>29689746.015887398</v>
      </c>
      <c r="AB4" s="1">
        <v>202206133.340462</v>
      </c>
      <c r="AC4" s="1">
        <v>181307643.259615</v>
      </c>
      <c r="AD4" s="1">
        <v>77389929.052975297</v>
      </c>
      <c r="AE4" s="1">
        <v>102308839.135833</v>
      </c>
      <c r="AF4" s="1">
        <v>4156987.2566239401</v>
      </c>
      <c r="AG4" s="1">
        <v>17647739.255327798</v>
      </c>
      <c r="AH4" s="1">
        <v>13597703.518414101</v>
      </c>
      <c r="AI4" s="1">
        <v>169253321.11270699</v>
      </c>
      <c r="AJ4" s="1">
        <v>142043213.19018701</v>
      </c>
      <c r="AK4" s="1">
        <v>50137527.699653298</v>
      </c>
      <c r="AL4" s="1">
        <v>85060615.425160393</v>
      </c>
      <c r="AM4" s="1">
        <v>59920273.6747749</v>
      </c>
      <c r="AN4" s="1">
        <v>47359173.368814699</v>
      </c>
      <c r="AO4" s="1">
        <v>71431615.111985102</v>
      </c>
      <c r="AP4" s="1">
        <v>20725577.229233898</v>
      </c>
      <c r="AQ4" s="1">
        <v>19952985.582370799</v>
      </c>
      <c r="AR4" s="1">
        <v>43384912.291829802</v>
      </c>
      <c r="AS4" s="1">
        <v>117566055.25228401</v>
      </c>
      <c r="AT4" s="1">
        <v>61471494.764411703</v>
      </c>
      <c r="AU4" s="1">
        <v>109015339.95898999</v>
      </c>
      <c r="AV4" s="1">
        <v>71132600.902566403</v>
      </c>
      <c r="AW4" s="1">
        <v>38925045.664784998</v>
      </c>
      <c r="AX4" s="1">
        <v>82414913.984992996</v>
      </c>
      <c r="AY4" s="1">
        <v>97466817.938584194</v>
      </c>
      <c r="AZ4" s="1">
        <v>7289833.1082414696</v>
      </c>
      <c r="BA4" s="1">
        <v>17970021.0029823</v>
      </c>
      <c r="BB4" s="1">
        <v>67827417.110066503</v>
      </c>
      <c r="BC4" s="1">
        <v>59776308.515642799</v>
      </c>
      <c r="BD4" s="1">
        <v>63223643.993476301</v>
      </c>
      <c r="BE4" s="1">
        <v>40331531.610398799</v>
      </c>
      <c r="BF4" s="1">
        <v>11887882.608518999</v>
      </c>
      <c r="BG4" s="1">
        <v>25834984.042319998</v>
      </c>
      <c r="BH4" s="1">
        <v>62133561.943154097</v>
      </c>
      <c r="BI4" s="1">
        <v>24396415.710083399</v>
      </c>
      <c r="BJ4" s="1">
        <v>59031050.831725903</v>
      </c>
      <c r="BK4" s="1">
        <v>33138556.262341499</v>
      </c>
      <c r="BL4" s="1">
        <v>60933564.632965602</v>
      </c>
      <c r="BM4" s="1">
        <v>12055787.986090001</v>
      </c>
      <c r="BN4" s="1">
        <v>65937868.206726998</v>
      </c>
      <c r="BO4" s="1">
        <v>55538682.976026803</v>
      </c>
      <c r="BP4" s="1">
        <v>18325983.919030402</v>
      </c>
      <c r="BQ4" s="1">
        <v>5536676.7290639803</v>
      </c>
      <c r="BR4" s="1">
        <v>35704455.962901197</v>
      </c>
      <c r="BS4" s="1">
        <v>53885641.438076504</v>
      </c>
      <c r="BT4" s="1">
        <v>21338561.028661601</v>
      </c>
      <c r="BU4" s="1">
        <v>1343740.03839786</v>
      </c>
      <c r="BV4" s="1">
        <v>27248387.713047799</v>
      </c>
      <c r="BW4" s="1">
        <v>47113849.638480797</v>
      </c>
      <c r="BX4" s="1">
        <v>10313125.916269699</v>
      </c>
      <c r="BY4" s="1">
        <v>39398726.438359201</v>
      </c>
      <c r="BZ4" s="1">
        <v>35471948.744193003</v>
      </c>
      <c r="CA4" s="1">
        <v>1592956.48895685</v>
      </c>
      <c r="CB4" s="1">
        <v>7613762.1451883297</v>
      </c>
      <c r="CC4" s="1">
        <v>30990313.0087207</v>
      </c>
      <c r="CD4" s="1">
        <v>24495589.509582799</v>
      </c>
      <c r="CE4" s="1">
        <v>16682407.489777301</v>
      </c>
      <c r="CF4" s="1">
        <v>34078825.653155297</v>
      </c>
      <c r="CG4" s="1">
        <v>5466651.06142125</v>
      </c>
      <c r="CH4" s="1">
        <v>11274388.2324847</v>
      </c>
      <c r="CI4" s="1">
        <v>106228.611635535</v>
      </c>
      <c r="CJ4" s="1">
        <v>15733147.7875004</v>
      </c>
      <c r="CK4" s="1">
        <v>9675316.9221628197</v>
      </c>
      <c r="CL4" s="1">
        <v>822984.48457599897</v>
      </c>
      <c r="CM4" s="1">
        <v>22685351.010690499</v>
      </c>
      <c r="CN4" s="1">
        <v>19025102.8167721</v>
      </c>
      <c r="CO4" s="1">
        <v>8638146.6242453791</v>
      </c>
      <c r="CP4" s="1">
        <v>7551521.0393536501</v>
      </c>
      <c r="CQ4" s="1">
        <v>17991284.3692233</v>
      </c>
      <c r="CR4" s="1">
        <v>8751731.7470593192</v>
      </c>
      <c r="CS4" s="1">
        <v>23216611.808168299</v>
      </c>
      <c r="CT4" s="1">
        <v>25827508.096816</v>
      </c>
      <c r="CU4" s="1">
        <v>2617634.2993607498</v>
      </c>
      <c r="CV4" s="1">
        <v>8866071.1501341593</v>
      </c>
      <c r="CW4" s="1">
        <v>7955936.9884172399</v>
      </c>
      <c r="CX4" s="1">
        <v>6700688.4529464003</v>
      </c>
      <c r="CY4" s="1">
        <v>8881411.1168948207</v>
      </c>
      <c r="CZ4" s="1">
        <v>17515766.503811002</v>
      </c>
      <c r="DA4" s="1">
        <v>23766342.635281801</v>
      </c>
      <c r="DB4" s="1">
        <v>16473260.0760653</v>
      </c>
      <c r="DC4" s="1">
        <v>15999399.4852935</v>
      </c>
      <c r="DD4" s="1">
        <v>1006717.60585177</v>
      </c>
      <c r="DE4" s="1">
        <v>19480707.339141399</v>
      </c>
      <c r="DF4" s="1">
        <v>15930068.1566083</v>
      </c>
      <c r="DG4" s="1">
        <v>3356795.8038173802</v>
      </c>
      <c r="DH4" s="1">
        <v>9848912.1785133891</v>
      </c>
      <c r="DI4" s="1">
        <v>9781956.8030828908</v>
      </c>
      <c r="DJ4" s="1">
        <v>3385799.3266931199</v>
      </c>
      <c r="DK4" s="1">
        <v>13683518.154618399</v>
      </c>
      <c r="DL4" s="1">
        <v>330234.334079783</v>
      </c>
      <c r="DM4" s="1">
        <v>20392785.3543308</v>
      </c>
      <c r="DN4" s="1">
        <v>13281427.798726</v>
      </c>
      <c r="DO4" s="1">
        <v>13727728.9214657</v>
      </c>
      <c r="DP4" s="1">
        <v>444732.23686255701</v>
      </c>
      <c r="DQ4" s="1">
        <v>5543919.43278585</v>
      </c>
      <c r="DR4" s="1">
        <v>17081426.5550173</v>
      </c>
      <c r="DS4" s="1">
        <v>19210076.978539299</v>
      </c>
      <c r="DT4" s="1">
        <v>10064.9660178092</v>
      </c>
      <c r="DU4" s="1">
        <v>17666788.332085099</v>
      </c>
      <c r="DV4" s="1">
        <v>8255078.2766142301</v>
      </c>
      <c r="DW4" s="1">
        <v>3776396.1304406901</v>
      </c>
      <c r="DX4" s="1">
        <v>5042160.3538119504</v>
      </c>
      <c r="DY4" s="1">
        <v>11183618.106102699</v>
      </c>
      <c r="DZ4" s="1">
        <v>958698.06472831999</v>
      </c>
      <c r="EA4" s="1">
        <v>8521498.2810914796</v>
      </c>
      <c r="EB4" s="1">
        <v>13507992.078332899</v>
      </c>
      <c r="EC4" s="1">
        <v>5258355.2274004603</v>
      </c>
      <c r="ED4" s="1">
        <v>5285010.3506476805</v>
      </c>
      <c r="EE4" s="1">
        <v>10702432.7563738</v>
      </c>
      <c r="EF4" s="1">
        <v>185634.962396635</v>
      </c>
      <c r="EG4" s="1">
        <v>5642900.4741046503</v>
      </c>
      <c r="EH4" s="1">
        <v>3245922.1926342198</v>
      </c>
      <c r="EI4" s="1">
        <v>4033513.2576493602</v>
      </c>
      <c r="EJ4" s="1">
        <v>5133961.7959014699</v>
      </c>
      <c r="EK4" s="1">
        <v>8671861.5056914594</v>
      </c>
      <c r="EL4" s="1">
        <v>4619687.8953585401</v>
      </c>
      <c r="EM4" s="1">
        <v>1044082.99808475</v>
      </c>
      <c r="EN4" s="1">
        <v>5302784.0382813998</v>
      </c>
      <c r="EO4" s="1">
        <v>1612995.79912644</v>
      </c>
      <c r="EP4" s="1">
        <v>1005342.2231933801</v>
      </c>
      <c r="EQ4" s="1">
        <v>3280793.5577802402</v>
      </c>
      <c r="ER4" s="1">
        <v>4489330.1366151301</v>
      </c>
      <c r="ES4" s="1">
        <v>4520899.0206707502</v>
      </c>
      <c r="ET4" s="1">
        <v>2927660.9676581998</v>
      </c>
      <c r="EU4" s="1">
        <v>7545444.8674894599</v>
      </c>
      <c r="EV4" s="1">
        <v>2448122.6917457501</v>
      </c>
      <c r="EW4" s="1">
        <v>946488.47188351501</v>
      </c>
      <c r="EX4" s="1">
        <v>4106798.6944526602</v>
      </c>
      <c r="EY4" s="1">
        <v>460288.11423764803</v>
      </c>
      <c r="EZ4" s="1">
        <v>3319980.8386657098</v>
      </c>
      <c r="FA4" s="1">
        <v>1842311.5879061001</v>
      </c>
      <c r="FB4" s="1">
        <v>1121693.55584491</v>
      </c>
      <c r="FC4" s="1">
        <v>3304870.1273962702</v>
      </c>
      <c r="FD4" s="1">
        <v>79409.971606560794</v>
      </c>
      <c r="FE4" s="1">
        <v>4070725.546538</v>
      </c>
      <c r="FF4" s="1">
        <v>1182257.1692131299</v>
      </c>
      <c r="FG4" s="1">
        <v>631790.70708379603</v>
      </c>
      <c r="FH4" s="1">
        <v>1464325.32396537</v>
      </c>
      <c r="FI4" s="1">
        <v>833568.34641253797</v>
      </c>
      <c r="FJ4" s="1">
        <v>1696071.2815040001</v>
      </c>
      <c r="FK4" s="1">
        <v>652574.62482704502</v>
      </c>
      <c r="FL4" s="1">
        <v>418478.81181389198</v>
      </c>
      <c r="FM4" s="1">
        <v>178448.35524498601</v>
      </c>
      <c r="FN4" s="1">
        <v>1426351.5342655701</v>
      </c>
      <c r="FO4" s="1">
        <v>406465.58042675903</v>
      </c>
      <c r="FP4" s="1">
        <v>320669.452780872</v>
      </c>
      <c r="FQ4" s="1">
        <v>575180.10224411101</v>
      </c>
      <c r="FR4" s="1">
        <v>241442.61312395899</v>
      </c>
      <c r="FS4" s="1">
        <v>27897.8782194794</v>
      </c>
      <c r="FT4" s="1">
        <v>54255.928094714902</v>
      </c>
    </row>
    <row r="5" spans="1:176">
      <c r="A5" s="2" t="s">
        <v>13</v>
      </c>
      <c r="B5" t="s">
        <v>525</v>
      </c>
      <c r="C5" s="1">
        <v>52706146395.6688</v>
      </c>
      <c r="D5" s="1">
        <v>43870216918.7528</v>
      </c>
      <c r="E5" s="1">
        <v>17080412208.4186</v>
      </c>
      <c r="F5" s="1">
        <v>5138969490.5941</v>
      </c>
      <c r="G5" s="1">
        <v>3327847890.9284701</v>
      </c>
      <c r="H5" s="1">
        <v>3361011469.7395902</v>
      </c>
      <c r="I5" s="1">
        <v>2079724783.7212701</v>
      </c>
      <c r="J5" s="1">
        <v>562224379.30762005</v>
      </c>
      <c r="K5" s="1">
        <v>567135975.77488697</v>
      </c>
      <c r="L5" s="1">
        <v>1032338851.3994401</v>
      </c>
      <c r="M5" s="1">
        <v>6505106.8137967801</v>
      </c>
      <c r="N5" s="1">
        <v>132866207.38936201</v>
      </c>
      <c r="O5" s="1">
        <v>14620145.9866112</v>
      </c>
      <c r="P5" s="1">
        <v>248573664.039626</v>
      </c>
      <c r="Q5" s="1">
        <v>462842338.37516803</v>
      </c>
      <c r="R5" s="1">
        <v>141606274.84515601</v>
      </c>
      <c r="S5" s="1">
        <v>330138391.76733798</v>
      </c>
      <c r="T5" s="1">
        <v>238698783.67445001</v>
      </c>
      <c r="U5" s="1">
        <v>64575032.927029498</v>
      </c>
      <c r="V5" s="1">
        <v>202313445.51728401</v>
      </c>
      <c r="W5" s="1">
        <v>201139640.70319799</v>
      </c>
      <c r="X5" s="1">
        <v>262714705.791888</v>
      </c>
      <c r="Y5" s="1">
        <v>27591793.9836936</v>
      </c>
      <c r="Z5" s="1">
        <v>207305753.21798399</v>
      </c>
      <c r="AA5" s="1">
        <v>44912453.6165751</v>
      </c>
      <c r="AB5" s="1">
        <v>102090388.44511899</v>
      </c>
      <c r="AC5" s="1">
        <v>153588087.97249299</v>
      </c>
      <c r="AD5" s="1">
        <v>16465619.128987201</v>
      </c>
      <c r="AE5" s="1">
        <v>189427711.90052399</v>
      </c>
      <c r="AF5" s="1">
        <v>5647690.0749980304</v>
      </c>
      <c r="AG5" s="1">
        <v>15155350.4352153</v>
      </c>
      <c r="AH5" s="1">
        <v>12296558.275682401</v>
      </c>
      <c r="AI5" s="1">
        <v>128439142.821196</v>
      </c>
      <c r="AJ5" s="1">
        <v>89156100.999508098</v>
      </c>
      <c r="AK5" s="1">
        <v>86900024.306928098</v>
      </c>
      <c r="AL5" s="1">
        <v>6864962.7482840801</v>
      </c>
      <c r="AM5" s="1">
        <v>33012293.5573349</v>
      </c>
      <c r="AN5" s="1">
        <v>150266222.87934801</v>
      </c>
      <c r="AO5" s="1">
        <v>135678679.84691799</v>
      </c>
      <c r="AP5" s="1">
        <v>70466128.502629295</v>
      </c>
      <c r="AQ5" s="1">
        <v>35178815.643895604</v>
      </c>
      <c r="AR5" s="1">
        <v>101206731.01637</v>
      </c>
      <c r="AS5" s="1">
        <v>52791878.632196002</v>
      </c>
      <c r="AT5" s="1">
        <v>53854534.509193301</v>
      </c>
      <c r="AU5" s="1">
        <v>37451357.765563801</v>
      </c>
      <c r="AV5" s="1">
        <v>97930029.259283498</v>
      </c>
      <c r="AW5" s="1">
        <v>78412545.1387095</v>
      </c>
      <c r="AX5" s="1">
        <v>101070738.812323</v>
      </c>
      <c r="AY5" s="1">
        <v>76295147.985667005</v>
      </c>
      <c r="AZ5" s="1">
        <v>8191755.4352875398</v>
      </c>
      <c r="BA5" s="1">
        <v>9404969.7217284702</v>
      </c>
      <c r="BB5" s="1">
        <v>54576374.356348298</v>
      </c>
      <c r="BC5" s="1">
        <v>48704905.519088097</v>
      </c>
      <c r="BD5" s="1">
        <v>55398568.150710501</v>
      </c>
      <c r="BE5" s="1">
        <v>61452021.696210504</v>
      </c>
      <c r="BF5" s="1">
        <v>7906985.2350029098</v>
      </c>
      <c r="BG5" s="1">
        <v>76179192.6035202</v>
      </c>
      <c r="BH5" s="1">
        <v>50981190.800223298</v>
      </c>
      <c r="BI5" s="1">
        <v>69424734.685481697</v>
      </c>
      <c r="BJ5" s="1">
        <v>69056451.115647301</v>
      </c>
      <c r="BK5" s="1">
        <v>68461807.4255348</v>
      </c>
      <c r="BL5" s="1">
        <v>43384178.609933197</v>
      </c>
      <c r="BM5" s="1">
        <v>24297532.422665</v>
      </c>
      <c r="BN5" s="1">
        <v>478130.57953668898</v>
      </c>
      <c r="BO5" s="1">
        <v>42717442.349331103</v>
      </c>
      <c r="BP5" s="1">
        <v>26193871.031038102</v>
      </c>
      <c r="BQ5" s="1">
        <v>57047729.264270604</v>
      </c>
      <c r="BR5" s="1">
        <v>34468422.253389001</v>
      </c>
      <c r="BS5" s="1">
        <v>946934.946143404</v>
      </c>
      <c r="BT5" s="1">
        <v>11256685.9693652</v>
      </c>
      <c r="BU5" s="1">
        <v>2654965.6774201901</v>
      </c>
      <c r="BV5" s="1">
        <v>48666699.7936676</v>
      </c>
      <c r="BW5" s="1">
        <v>17965916.8697339</v>
      </c>
      <c r="BX5" s="1">
        <v>22990906.806882601</v>
      </c>
      <c r="BY5" s="1">
        <v>44117526.904407904</v>
      </c>
      <c r="BZ5" s="1">
        <v>29167325.5742037</v>
      </c>
      <c r="CA5" s="1">
        <v>6007354.8667769097</v>
      </c>
      <c r="CB5" s="1">
        <v>39104899.497257598</v>
      </c>
      <c r="CC5" s="1">
        <v>27634182.574267998</v>
      </c>
      <c r="CD5" s="1">
        <v>8430752.9321263507</v>
      </c>
      <c r="CE5" s="1">
        <v>17956259.198003899</v>
      </c>
      <c r="CF5" s="1">
        <v>11460505.199205101</v>
      </c>
      <c r="CG5" s="1">
        <v>14795135.1775245</v>
      </c>
      <c r="CH5" s="1">
        <v>9409008.1346310396</v>
      </c>
      <c r="CI5" s="1">
        <v>132443.26133714401</v>
      </c>
      <c r="CJ5" s="1">
        <v>27566702.808521502</v>
      </c>
      <c r="CK5" s="1">
        <v>8833518.3156244196</v>
      </c>
      <c r="CL5" s="1">
        <v>1296950.90899149</v>
      </c>
      <c r="CM5" s="1">
        <v>29504950.928830501</v>
      </c>
      <c r="CN5" s="1">
        <v>20685243.577918399</v>
      </c>
      <c r="CO5" s="1">
        <v>7886994.60399938</v>
      </c>
      <c r="CP5" s="1">
        <v>8921371.2940618601</v>
      </c>
      <c r="CQ5" s="1">
        <v>2256058.33913873</v>
      </c>
      <c r="CR5" s="1">
        <v>12339503.406913601</v>
      </c>
      <c r="CS5" s="1">
        <v>26863222.901180901</v>
      </c>
      <c r="CT5" s="1">
        <v>17916586.5740286</v>
      </c>
      <c r="CU5" s="1">
        <v>3182143.1633017501</v>
      </c>
      <c r="CV5" s="1">
        <v>14686227.104098899</v>
      </c>
      <c r="CW5" s="1">
        <v>13771962.337159701</v>
      </c>
      <c r="CX5" s="1">
        <v>2863320.6807339098</v>
      </c>
      <c r="CY5" s="1">
        <v>1914968.8746643499</v>
      </c>
      <c r="CZ5" s="1">
        <v>20183352.835471898</v>
      </c>
      <c r="DA5" s="1">
        <v>7289898.30595084</v>
      </c>
      <c r="DB5" s="1">
        <v>15216261.227291699</v>
      </c>
      <c r="DC5" s="1">
        <v>23483979.029961102</v>
      </c>
      <c r="DD5" s="1">
        <v>906892.80108760996</v>
      </c>
      <c r="DE5" s="1">
        <v>19705413.2115013</v>
      </c>
      <c r="DF5" s="1">
        <v>12512633.860272</v>
      </c>
      <c r="DG5" s="1">
        <v>114507.632647144</v>
      </c>
      <c r="DH5" s="1">
        <v>12183902.689304899</v>
      </c>
      <c r="DI5" s="1">
        <v>16719748.227972399</v>
      </c>
      <c r="DJ5" s="1">
        <v>4249629.5479838904</v>
      </c>
      <c r="DK5" s="1">
        <v>9440275.9376024399</v>
      </c>
      <c r="DL5" s="1">
        <v>258473.93172847101</v>
      </c>
      <c r="DM5" s="1">
        <v>4527639.5894831102</v>
      </c>
      <c r="DN5" s="1">
        <v>13858819.352078799</v>
      </c>
      <c r="DO5" s="1">
        <v>20101245.365643598</v>
      </c>
      <c r="DP5" s="1">
        <v>576320.79623165994</v>
      </c>
      <c r="DQ5" s="1">
        <v>4422638.9487046003</v>
      </c>
      <c r="DR5" s="1">
        <v>13802289.1272549</v>
      </c>
      <c r="DS5" s="1">
        <v>9920387.5131844208</v>
      </c>
      <c r="DT5" s="1">
        <v>9062.7608691634396</v>
      </c>
      <c r="DU5" s="1">
        <v>13966892.9682205</v>
      </c>
      <c r="DV5" s="1">
        <v>13464684.3769622</v>
      </c>
      <c r="DW5" s="1">
        <v>17318582.959745999</v>
      </c>
      <c r="DX5" s="1">
        <v>6092376.3633728102</v>
      </c>
      <c r="DY5" s="1">
        <v>13035173.654917</v>
      </c>
      <c r="DZ5" s="1">
        <v>3067917.2037807298</v>
      </c>
      <c r="EA5" s="1">
        <v>14764469.8364089</v>
      </c>
      <c r="EB5" s="1">
        <v>15411137.7528574</v>
      </c>
      <c r="EC5" s="1">
        <v>16077801.163592899</v>
      </c>
      <c r="ED5" s="1">
        <v>9030911.2192910593</v>
      </c>
      <c r="EE5" s="1">
        <v>7101247.8755302001</v>
      </c>
      <c r="EF5" s="1">
        <v>237052.151558015</v>
      </c>
      <c r="EG5" s="1">
        <v>14200287.974365599</v>
      </c>
      <c r="EH5" s="1">
        <v>12054977.827666299</v>
      </c>
      <c r="EI5" s="1">
        <v>5429191.9684449099</v>
      </c>
      <c r="EJ5" s="1">
        <v>2342961.41041434</v>
      </c>
      <c r="EK5" s="1">
        <v>8258319.9075579504</v>
      </c>
      <c r="EL5" s="1">
        <v>3150235.4748490602</v>
      </c>
      <c r="EM5" s="1">
        <v>3471515.7775502698</v>
      </c>
      <c r="EN5" s="1">
        <v>6565861.9543522596</v>
      </c>
      <c r="EO5" s="1">
        <v>1781539.33113152</v>
      </c>
      <c r="EP5" s="1">
        <v>847421.50763135694</v>
      </c>
      <c r="EQ5" s="1">
        <v>4918263.1767851003</v>
      </c>
      <c r="ER5" s="1">
        <v>7116390.5093093496</v>
      </c>
      <c r="ES5" s="1">
        <v>6727780.2425425304</v>
      </c>
      <c r="ET5" s="1">
        <v>5909010.0600246601</v>
      </c>
      <c r="EU5" s="1">
        <v>5848364.6097747302</v>
      </c>
      <c r="EV5" s="1">
        <v>7116413.8321003001</v>
      </c>
      <c r="EW5" s="1">
        <v>4158267.1443461198</v>
      </c>
      <c r="EX5" s="1">
        <v>3344231.7347290399</v>
      </c>
      <c r="EY5" s="1">
        <v>1441331.1741021499</v>
      </c>
      <c r="EZ5" s="1">
        <v>1231851.50427604</v>
      </c>
      <c r="FA5" s="1">
        <v>4977373.76168996</v>
      </c>
      <c r="FB5" s="1">
        <v>963979.01753325795</v>
      </c>
      <c r="FC5" s="1">
        <v>2825413.79151589</v>
      </c>
      <c r="FD5" s="1">
        <v>85279.887953016601</v>
      </c>
      <c r="FE5" s="1">
        <v>1503546.28335741</v>
      </c>
      <c r="FF5" s="1">
        <v>854488.13351975603</v>
      </c>
      <c r="FG5" s="1">
        <v>709216.261045255</v>
      </c>
      <c r="FH5" s="1">
        <v>3458113.1955621499</v>
      </c>
      <c r="FI5" s="1">
        <v>2779792.7803341202</v>
      </c>
      <c r="FJ5" s="1">
        <v>634251.932985552</v>
      </c>
      <c r="FK5" s="1">
        <v>1481748.0733765401</v>
      </c>
      <c r="FL5" s="1">
        <v>221481.18261993601</v>
      </c>
      <c r="FM5" s="1">
        <v>539991.52720118605</v>
      </c>
      <c r="FN5" s="1">
        <v>1049440.3314453</v>
      </c>
      <c r="FO5" s="1">
        <v>425966.62924617599</v>
      </c>
      <c r="FP5" s="1">
        <v>343189.53466719302</v>
      </c>
      <c r="FQ5" s="1">
        <v>748909.61845690804</v>
      </c>
      <c r="FR5" s="1">
        <v>258366.486206798</v>
      </c>
      <c r="FS5" s="1">
        <v>33615.207608164797</v>
      </c>
      <c r="FT5" s="1">
        <v>51455.835329298301</v>
      </c>
    </row>
    <row r="6" spans="1:176">
      <c r="A6" s="2" t="s">
        <v>14</v>
      </c>
      <c r="B6" t="s">
        <v>525</v>
      </c>
      <c r="C6" s="1">
        <v>11639612.213617301</v>
      </c>
      <c r="D6" s="1">
        <v>289585044.505436</v>
      </c>
      <c r="E6" s="1">
        <v>14490702907.228399</v>
      </c>
      <c r="F6" s="1">
        <v>6425785915.2696104</v>
      </c>
      <c r="G6" s="1">
        <v>1958306902.81846</v>
      </c>
      <c r="H6" s="1">
        <v>2283772154.8743701</v>
      </c>
      <c r="I6" s="1">
        <v>2569280619.7709398</v>
      </c>
      <c r="J6" s="1">
        <v>248925953.281528</v>
      </c>
      <c r="K6" s="1">
        <v>1281643082.4665501</v>
      </c>
      <c r="L6" s="1">
        <v>9987271.6618025191</v>
      </c>
      <c r="M6" s="1">
        <v>568306744.20103896</v>
      </c>
      <c r="N6" s="1">
        <v>30067785.644460201</v>
      </c>
      <c r="O6" s="1">
        <v>45599805.209865101</v>
      </c>
      <c r="P6" s="1">
        <v>193397069.26732999</v>
      </c>
      <c r="Q6" s="1">
        <v>427428682.45352298</v>
      </c>
      <c r="R6" s="1">
        <v>121011597.342599</v>
      </c>
      <c r="S6" s="1">
        <v>52780030.770204999</v>
      </c>
      <c r="T6" s="1">
        <v>164945370.74664399</v>
      </c>
      <c r="U6" s="1">
        <v>63711973.195691399</v>
      </c>
      <c r="V6" s="1">
        <v>226218074.07198</v>
      </c>
      <c r="W6" s="1">
        <v>288196364.64402002</v>
      </c>
      <c r="X6" s="1">
        <v>191925416.78176099</v>
      </c>
      <c r="Y6" s="1">
        <v>115639332.730506</v>
      </c>
      <c r="Z6" s="1">
        <v>64724704.039308503</v>
      </c>
      <c r="AA6" s="1">
        <v>32237208.8898152</v>
      </c>
      <c r="AB6" s="1">
        <v>77884968.678385004</v>
      </c>
      <c r="AC6" s="1">
        <v>165685639.56806999</v>
      </c>
      <c r="AD6" s="1">
        <v>114641833.730406</v>
      </c>
      <c r="AE6" s="1">
        <v>106983602.80212399</v>
      </c>
      <c r="AF6" s="1">
        <v>3604009.46887423</v>
      </c>
      <c r="AG6" s="1">
        <v>18793711.037930701</v>
      </c>
      <c r="AH6" s="1">
        <v>7367982.97920762</v>
      </c>
      <c r="AI6" s="1">
        <v>126855518.336089</v>
      </c>
      <c r="AJ6" s="1">
        <v>98743241.090307802</v>
      </c>
      <c r="AK6" s="1">
        <v>47621529.726130903</v>
      </c>
      <c r="AL6" s="1">
        <v>61945266.018713303</v>
      </c>
      <c r="AM6" s="1">
        <v>31591772.026218999</v>
      </c>
      <c r="AN6" s="1">
        <v>64639901.766274698</v>
      </c>
      <c r="AO6" s="1">
        <v>48472240.128833003</v>
      </c>
      <c r="AP6" s="1">
        <v>54685906.203015499</v>
      </c>
      <c r="AQ6" s="1">
        <v>135796611.86295399</v>
      </c>
      <c r="AR6" s="1">
        <v>25412041.787964702</v>
      </c>
      <c r="AS6" s="1">
        <v>55383671.0312161</v>
      </c>
      <c r="AT6" s="1">
        <v>49560393.265735701</v>
      </c>
      <c r="AU6" s="1">
        <v>32056208.0668917</v>
      </c>
      <c r="AV6" s="1">
        <v>53871674.838058896</v>
      </c>
      <c r="AW6" s="1">
        <v>58553176.760752201</v>
      </c>
      <c r="AX6" s="1">
        <v>42737091.213014103</v>
      </c>
      <c r="AY6" s="1">
        <v>24187925.152066</v>
      </c>
      <c r="AZ6" s="1">
        <v>6565757.1091779396</v>
      </c>
      <c r="BA6" s="1">
        <v>6196503.5601312304</v>
      </c>
      <c r="BB6" s="1">
        <v>53849969.590082303</v>
      </c>
      <c r="BC6" s="1">
        <v>88784441.4650428</v>
      </c>
      <c r="BD6" s="1">
        <v>33703132.855769902</v>
      </c>
      <c r="BE6" s="1">
        <v>65904256.326898202</v>
      </c>
      <c r="BF6" s="1">
        <v>4614963.7711345404</v>
      </c>
      <c r="BG6" s="1">
        <v>19363752.043232001</v>
      </c>
      <c r="BH6" s="1">
        <v>13191358.248437099</v>
      </c>
      <c r="BI6" s="1">
        <v>67794763.621030599</v>
      </c>
      <c r="BJ6" s="1">
        <v>37396074.691629902</v>
      </c>
      <c r="BK6" s="1">
        <v>35517551.394853599</v>
      </c>
      <c r="BL6" s="1">
        <v>36052553.562318899</v>
      </c>
      <c r="BM6" s="1">
        <v>26312018.542290401</v>
      </c>
      <c r="BN6" s="1">
        <v>561664.36464040296</v>
      </c>
      <c r="BO6" s="1">
        <v>41963347.694950603</v>
      </c>
      <c r="BP6" s="1">
        <v>22948292.075536899</v>
      </c>
      <c r="BQ6" s="1">
        <v>17531897.892177399</v>
      </c>
      <c r="BR6" s="1">
        <v>34513498.563921101</v>
      </c>
      <c r="BS6" s="1">
        <v>1144948.4506921601</v>
      </c>
      <c r="BT6" s="1">
        <v>9119624.1447736304</v>
      </c>
      <c r="BU6" s="1">
        <v>1224899.34852198</v>
      </c>
      <c r="BV6" s="1">
        <v>30616650.8858677</v>
      </c>
      <c r="BW6" s="1">
        <v>2653036.4760862598</v>
      </c>
      <c r="BX6" s="1">
        <v>2294543.7539980202</v>
      </c>
      <c r="BY6" s="1">
        <v>28355221.336435501</v>
      </c>
      <c r="BZ6" s="1">
        <v>22462620.222056601</v>
      </c>
      <c r="CA6" s="1">
        <v>1500496.52280286</v>
      </c>
      <c r="CB6" s="1">
        <v>5584028.5335491803</v>
      </c>
      <c r="CC6" s="1">
        <v>29661664.345633499</v>
      </c>
      <c r="CD6" s="1">
        <v>26493386.037408199</v>
      </c>
      <c r="CE6" s="1">
        <v>10044229.9431067</v>
      </c>
      <c r="CF6" s="1">
        <v>17482978.376501702</v>
      </c>
      <c r="CG6" s="1">
        <v>10358602.368329599</v>
      </c>
      <c r="CH6" s="1">
        <v>7411707.1664336901</v>
      </c>
      <c r="CI6" s="1">
        <v>45398.237800457297</v>
      </c>
      <c r="CJ6" s="1">
        <v>12930750.6020985</v>
      </c>
      <c r="CK6" s="1">
        <v>8631878.3552358206</v>
      </c>
      <c r="CL6" s="1">
        <v>835561.56510990101</v>
      </c>
      <c r="CM6" s="1">
        <v>9851132.9898867104</v>
      </c>
      <c r="CN6" s="1">
        <v>22118165.2522997</v>
      </c>
      <c r="CO6" s="1">
        <v>3645760.94673299</v>
      </c>
      <c r="CP6" s="1">
        <v>3113088.7246143199</v>
      </c>
      <c r="CQ6" s="1">
        <v>1709229.8142464601</v>
      </c>
      <c r="CR6" s="1">
        <v>4945515.4835654898</v>
      </c>
      <c r="CS6" s="1">
        <v>14044733.8610132</v>
      </c>
      <c r="CT6" s="1">
        <v>27392940.4846767</v>
      </c>
      <c r="CU6" s="1">
        <v>1701069.05058058</v>
      </c>
      <c r="CV6" s="1">
        <v>13729288.6518755</v>
      </c>
      <c r="CW6" s="1">
        <v>9034154.5821770504</v>
      </c>
      <c r="CX6" s="1">
        <v>7678177.04239963</v>
      </c>
      <c r="CY6" s="1">
        <v>3287842.5527343801</v>
      </c>
      <c r="CZ6" s="1">
        <v>10146497.0256462</v>
      </c>
      <c r="DA6" s="1">
        <v>8611885.7789267693</v>
      </c>
      <c r="DB6" s="1">
        <v>16402411.1703698</v>
      </c>
      <c r="DC6" s="1">
        <v>16425563.5442398</v>
      </c>
      <c r="DD6" s="1">
        <v>1015367.7716036</v>
      </c>
      <c r="DE6" s="1">
        <v>13911914.166374899</v>
      </c>
      <c r="DF6" s="1">
        <v>19204120.304508399</v>
      </c>
      <c r="DG6" s="1">
        <v>6104684.5733502395</v>
      </c>
      <c r="DH6" s="1">
        <v>6855402.2007551398</v>
      </c>
      <c r="DI6" s="1">
        <v>7496151.3153049303</v>
      </c>
      <c r="DJ6" s="1">
        <v>1966499.2329789801</v>
      </c>
      <c r="DK6" s="1">
        <v>8805779.84526252</v>
      </c>
      <c r="DL6" s="1">
        <v>327775.74456116598</v>
      </c>
      <c r="DM6" s="1">
        <v>2708712.63813168</v>
      </c>
      <c r="DN6" s="1">
        <v>15536211.626846001</v>
      </c>
      <c r="DO6" s="1">
        <v>10978386.0522661</v>
      </c>
      <c r="DP6" s="1">
        <v>659185.80500743503</v>
      </c>
      <c r="DQ6" s="1">
        <v>11000924.274658</v>
      </c>
      <c r="DR6" s="1">
        <v>17856599.4637415</v>
      </c>
      <c r="DS6" s="1">
        <v>8250952.0593027603</v>
      </c>
      <c r="DT6" s="1">
        <v>9041.7127679739406</v>
      </c>
      <c r="DU6" s="1">
        <v>14392668.7457137</v>
      </c>
      <c r="DV6" s="1">
        <v>8799588.8840807397</v>
      </c>
      <c r="DW6" s="1">
        <v>2980934.8638053001</v>
      </c>
      <c r="DX6" s="1">
        <v>9438054.7068795506</v>
      </c>
      <c r="DY6" s="1">
        <v>6348900.6135638095</v>
      </c>
      <c r="DZ6" s="1">
        <v>4587667.0500848303</v>
      </c>
      <c r="EA6" s="1">
        <v>4637242.1168767298</v>
      </c>
      <c r="EB6" s="1">
        <v>14992335.860335801</v>
      </c>
      <c r="EC6" s="1">
        <v>13351584.046841299</v>
      </c>
      <c r="ED6" s="1">
        <v>6011056.7798758</v>
      </c>
      <c r="EE6" s="1">
        <v>7464425.05502888</v>
      </c>
      <c r="EF6" s="1">
        <v>240635.79725207199</v>
      </c>
      <c r="EG6" s="1">
        <v>3858172.0683050202</v>
      </c>
      <c r="EH6" s="1">
        <v>1698535.92987624</v>
      </c>
      <c r="EI6" s="1">
        <v>4855067.6248214599</v>
      </c>
      <c r="EJ6" s="1">
        <v>3376375.3209562702</v>
      </c>
      <c r="EK6" s="1">
        <v>9833309.3899139706</v>
      </c>
      <c r="EL6" s="1">
        <v>1645498.10059106</v>
      </c>
      <c r="EM6" s="1">
        <v>3722841.13154461</v>
      </c>
      <c r="EN6" s="1">
        <v>5842526.6998740602</v>
      </c>
      <c r="EO6" s="1">
        <v>1697417.79628546</v>
      </c>
      <c r="EP6" s="1">
        <v>1723121.2798329601</v>
      </c>
      <c r="EQ6" s="1">
        <v>5621574.7920995699</v>
      </c>
      <c r="ER6" s="1">
        <v>4278801.59733837</v>
      </c>
      <c r="ES6" s="1">
        <v>1173822.66830673</v>
      </c>
      <c r="ET6" s="1">
        <v>3887237.2974263001</v>
      </c>
      <c r="EU6" s="1">
        <v>2017508.0950286801</v>
      </c>
      <c r="EV6" s="1">
        <v>3708678.25273648</v>
      </c>
      <c r="EW6" s="1">
        <v>572420.70193785895</v>
      </c>
      <c r="EX6" s="1">
        <v>4962386.12592657</v>
      </c>
      <c r="EY6" s="1">
        <v>5688440.0329038603</v>
      </c>
      <c r="EZ6" s="1">
        <v>725108.11681148596</v>
      </c>
      <c r="FA6" s="1">
        <v>1167040.6628809001</v>
      </c>
      <c r="FB6" s="1">
        <v>1477821.54113756</v>
      </c>
      <c r="FC6" s="1">
        <v>3023534.9575696201</v>
      </c>
      <c r="FD6" s="1">
        <v>118569.45142339201</v>
      </c>
      <c r="FE6" s="1">
        <v>3152171.1388822501</v>
      </c>
      <c r="FF6" s="1">
        <v>559531.86212647206</v>
      </c>
      <c r="FG6" s="1">
        <v>676484.25712480606</v>
      </c>
      <c r="FH6" s="1">
        <v>208657.81372129699</v>
      </c>
      <c r="FI6" s="1">
        <v>1945251.67753873</v>
      </c>
      <c r="FJ6" s="1">
        <v>2335784.6863736501</v>
      </c>
      <c r="FK6" s="1">
        <v>1946184.2595718</v>
      </c>
      <c r="FL6" s="1">
        <v>326466.977985417</v>
      </c>
      <c r="FM6" s="1">
        <v>450389.839263656</v>
      </c>
      <c r="FN6" s="1">
        <v>570043.388958956</v>
      </c>
      <c r="FO6" s="1">
        <v>485129.26619149401</v>
      </c>
      <c r="FP6" s="1">
        <v>227848.090430385</v>
      </c>
      <c r="FQ6" s="1">
        <v>977936.47363128001</v>
      </c>
      <c r="FR6" s="1">
        <v>268507.449915406</v>
      </c>
      <c r="FS6" s="1">
        <v>77885.982867755607</v>
      </c>
      <c r="FT6" s="1">
        <v>46129.095763047997</v>
      </c>
    </row>
    <row r="7" spans="1:176">
      <c r="A7" s="2" t="s">
        <v>15</v>
      </c>
      <c r="B7" t="s">
        <v>525</v>
      </c>
      <c r="C7" s="1">
        <v>42253093.132016703</v>
      </c>
      <c r="D7" s="1">
        <v>214368409.14748499</v>
      </c>
      <c r="E7" s="1">
        <v>19138459422.507</v>
      </c>
      <c r="F7" s="1">
        <v>1756403520.33002</v>
      </c>
      <c r="G7" s="1">
        <v>2278839287.3258901</v>
      </c>
      <c r="H7" s="1">
        <v>2858038147.9991899</v>
      </c>
      <c r="I7" s="1">
        <v>922802491.89350104</v>
      </c>
      <c r="J7" s="1">
        <v>360661060.60199702</v>
      </c>
      <c r="K7" s="1">
        <v>1004856369.2452</v>
      </c>
      <c r="L7" s="1">
        <v>4597147.1698529804</v>
      </c>
      <c r="M7" s="1">
        <v>847379338.24018598</v>
      </c>
      <c r="N7" s="1">
        <v>654201477.25706995</v>
      </c>
      <c r="O7" s="1">
        <v>78115011.628087193</v>
      </c>
      <c r="P7" s="1">
        <v>248852008.96348199</v>
      </c>
      <c r="Q7" s="1">
        <v>179198291.70821801</v>
      </c>
      <c r="R7" s="1">
        <v>182549076.664123</v>
      </c>
      <c r="S7" s="1">
        <v>33576199.798951</v>
      </c>
      <c r="T7" s="1">
        <v>208183328.08722401</v>
      </c>
      <c r="U7" s="1">
        <v>87148275.121719703</v>
      </c>
      <c r="V7" s="1">
        <v>94152670.453648105</v>
      </c>
      <c r="W7" s="1">
        <v>192901754.68762001</v>
      </c>
      <c r="X7" s="1">
        <v>174552734.19880399</v>
      </c>
      <c r="Y7" s="1">
        <v>37245145.993979603</v>
      </c>
      <c r="Z7" s="1">
        <v>57535041.425403297</v>
      </c>
      <c r="AA7" s="1">
        <v>25963060.996274699</v>
      </c>
      <c r="AB7" s="1">
        <v>37600915.800288901</v>
      </c>
      <c r="AC7" s="1">
        <v>155605932.71144399</v>
      </c>
      <c r="AD7" s="1">
        <v>196192293.213045</v>
      </c>
      <c r="AE7" s="1">
        <v>120675769.471325</v>
      </c>
      <c r="AF7" s="1">
        <v>4157827.3579911599</v>
      </c>
      <c r="AG7" s="1">
        <v>2030214.2716715999</v>
      </c>
      <c r="AH7" s="1">
        <v>9561441.1557333097</v>
      </c>
      <c r="AI7" s="1">
        <v>168650592.83663899</v>
      </c>
      <c r="AJ7" s="1">
        <v>129834517.335471</v>
      </c>
      <c r="AK7" s="1">
        <v>54464652.389718398</v>
      </c>
      <c r="AL7" s="1">
        <v>88351242.137505606</v>
      </c>
      <c r="AM7" s="1">
        <v>95545162.4132092</v>
      </c>
      <c r="AN7" s="1">
        <v>90839864.692905098</v>
      </c>
      <c r="AO7" s="1">
        <v>66998946.837280102</v>
      </c>
      <c r="AP7" s="1">
        <v>58269628.420330502</v>
      </c>
      <c r="AQ7" s="1">
        <v>20042830.808680799</v>
      </c>
      <c r="AR7" s="1">
        <v>34534270.2921765</v>
      </c>
      <c r="AS7" s="1">
        <v>80279052.076825202</v>
      </c>
      <c r="AT7" s="1">
        <v>71001474.8091221</v>
      </c>
      <c r="AU7" s="1">
        <v>97525914.171961695</v>
      </c>
      <c r="AV7" s="1">
        <v>108652431.901153</v>
      </c>
      <c r="AW7" s="1">
        <v>55589458.486959897</v>
      </c>
      <c r="AX7" s="1">
        <v>42958470.512189999</v>
      </c>
      <c r="AY7" s="1">
        <v>67104376.007788204</v>
      </c>
      <c r="AZ7" s="1">
        <v>16139063.477790199</v>
      </c>
      <c r="BA7" s="1">
        <v>12245765.8612494</v>
      </c>
      <c r="BB7" s="1">
        <v>32936718.9938371</v>
      </c>
      <c r="BC7" s="1">
        <v>49129002.4266311</v>
      </c>
      <c r="BD7" s="1">
        <v>22145878.6712946</v>
      </c>
      <c r="BE7" s="1">
        <v>60573536.1648724</v>
      </c>
      <c r="BF7" s="1">
        <v>10159694.6382822</v>
      </c>
      <c r="BG7" s="1">
        <v>19641551.714380499</v>
      </c>
      <c r="BH7" s="1">
        <v>15792499.538306201</v>
      </c>
      <c r="BI7" s="1">
        <v>8585523.8031493109</v>
      </c>
      <c r="BJ7" s="1">
        <v>58396891.5984025</v>
      </c>
      <c r="BK7" s="1">
        <v>23421122.8719276</v>
      </c>
      <c r="BL7" s="1">
        <v>31646843.6712493</v>
      </c>
      <c r="BM7" s="1">
        <v>60165590.440397397</v>
      </c>
      <c r="BN7" s="1">
        <v>439790.88825270702</v>
      </c>
      <c r="BO7" s="1">
        <v>55442204.288178802</v>
      </c>
      <c r="BP7" s="1">
        <v>33597298.974255003</v>
      </c>
      <c r="BQ7" s="1">
        <v>6256674.0613847598</v>
      </c>
      <c r="BR7" s="1">
        <v>30655448.068611301</v>
      </c>
      <c r="BS7" s="1">
        <v>2718853.1818177998</v>
      </c>
      <c r="BT7" s="1">
        <v>12732263.4886717</v>
      </c>
      <c r="BU7" s="1">
        <v>1538437.9559090701</v>
      </c>
      <c r="BV7" s="1">
        <v>31561433.0074577</v>
      </c>
      <c r="BW7" s="1">
        <v>9747809.8575941995</v>
      </c>
      <c r="BX7" s="1">
        <v>2256381.1746610999</v>
      </c>
      <c r="BY7" s="1">
        <v>28711240.463926401</v>
      </c>
      <c r="BZ7" s="1">
        <v>32893675.475583699</v>
      </c>
      <c r="CA7" s="1">
        <v>381039.61064349097</v>
      </c>
      <c r="CB7" s="1">
        <v>11039806.097723501</v>
      </c>
      <c r="CC7" s="1">
        <v>7033773.68787295</v>
      </c>
      <c r="CD7" s="1">
        <v>28314513.1516219</v>
      </c>
      <c r="CE7" s="1">
        <v>17366037.948526099</v>
      </c>
      <c r="CF7" s="1">
        <v>7068217.6315133097</v>
      </c>
      <c r="CG7" s="1">
        <v>4201471.9877459602</v>
      </c>
      <c r="CH7" s="1">
        <v>6295178.7427550601</v>
      </c>
      <c r="CI7" s="1">
        <v>145216.00202956601</v>
      </c>
      <c r="CJ7" s="1">
        <v>27214804.422330499</v>
      </c>
      <c r="CK7" s="1">
        <v>15599070.7502633</v>
      </c>
      <c r="CL7" s="1">
        <v>1007970.3705167701</v>
      </c>
      <c r="CM7" s="1">
        <v>24067671.345128998</v>
      </c>
      <c r="CN7" s="1">
        <v>28881878.932667401</v>
      </c>
      <c r="CO7" s="1">
        <v>4950929.3182001002</v>
      </c>
      <c r="CP7" s="1">
        <v>6186812.7353293104</v>
      </c>
      <c r="CQ7" s="1">
        <v>1673748.4878232901</v>
      </c>
      <c r="CR7" s="1">
        <v>18907001.4040462</v>
      </c>
      <c r="CS7" s="1">
        <v>28049981.434541401</v>
      </c>
      <c r="CT7" s="1">
        <v>25356276.670310501</v>
      </c>
      <c r="CU7" s="1">
        <v>2353131.4000789602</v>
      </c>
      <c r="CV7" s="1">
        <v>27186604.725554999</v>
      </c>
      <c r="CW7" s="1">
        <v>9340601.4662293606</v>
      </c>
      <c r="CX7" s="1">
        <v>10445018.293005601</v>
      </c>
      <c r="CY7" s="1">
        <v>3194861.9233094002</v>
      </c>
      <c r="CZ7" s="1">
        <v>13775448.273687299</v>
      </c>
      <c r="DA7" s="1">
        <v>12800251.186612301</v>
      </c>
      <c r="DB7" s="1">
        <v>16725486.276564401</v>
      </c>
      <c r="DC7" s="1">
        <v>19844618.579926498</v>
      </c>
      <c r="DD7" s="1">
        <v>858438.05048202199</v>
      </c>
      <c r="DE7" s="1">
        <v>8722933.0657697208</v>
      </c>
      <c r="DF7" s="1">
        <v>15924861.982064901</v>
      </c>
      <c r="DG7" s="1">
        <v>114255.629268695</v>
      </c>
      <c r="DH7" s="1">
        <v>8892205.2834705301</v>
      </c>
      <c r="DI7" s="1">
        <v>10060882.346176101</v>
      </c>
      <c r="DJ7" s="1">
        <v>5667475.7563859699</v>
      </c>
      <c r="DK7" s="1">
        <v>21061508.7512566</v>
      </c>
      <c r="DL7" s="1">
        <v>545367.75724400999</v>
      </c>
      <c r="DM7" s="1">
        <v>2773582.6867924002</v>
      </c>
      <c r="DN7" s="1">
        <v>20299062.146273799</v>
      </c>
      <c r="DO7" s="1">
        <v>9218045.9804216493</v>
      </c>
      <c r="DP7" s="1">
        <v>19699521.507015701</v>
      </c>
      <c r="DQ7" s="1">
        <v>10735241.376781</v>
      </c>
      <c r="DR7" s="1">
        <v>18170044.936067998</v>
      </c>
      <c r="DS7" s="1">
        <v>8653956.1719418205</v>
      </c>
      <c r="DT7" s="1">
        <v>13065.5864957054</v>
      </c>
      <c r="DU7" s="1">
        <v>7358764.7499908097</v>
      </c>
      <c r="DV7" s="1">
        <v>17401457.784688</v>
      </c>
      <c r="DW7" s="1">
        <v>1498592.47193573</v>
      </c>
      <c r="DX7" s="1">
        <v>10704874.8655384</v>
      </c>
      <c r="DY7" s="1">
        <v>8059353.2789532105</v>
      </c>
      <c r="DZ7" s="1">
        <v>13471013.259011099</v>
      </c>
      <c r="EA7" s="1">
        <v>16293266.074047901</v>
      </c>
      <c r="EB7" s="1">
        <v>13785783.767651601</v>
      </c>
      <c r="EC7" s="1">
        <v>1554867.5189596701</v>
      </c>
      <c r="ED7" s="1">
        <v>6901871.6671371199</v>
      </c>
      <c r="EE7" s="1">
        <v>7248487.3628225299</v>
      </c>
      <c r="EF7" s="1">
        <v>73505.944157023099</v>
      </c>
      <c r="EG7" s="1">
        <v>4838948.6133439504</v>
      </c>
      <c r="EH7" s="1">
        <v>4096121.5339993001</v>
      </c>
      <c r="EI7" s="1">
        <v>6942117.7854351299</v>
      </c>
      <c r="EJ7" s="1">
        <v>11162235.806221699</v>
      </c>
      <c r="EK7" s="1">
        <v>8707907.2704281304</v>
      </c>
      <c r="EL7" s="1">
        <v>3899729.9118527099</v>
      </c>
      <c r="EM7" s="1">
        <v>343407.79157637502</v>
      </c>
      <c r="EN7" s="1">
        <v>3717325.4894925398</v>
      </c>
      <c r="EO7" s="1">
        <v>1504350.18600638</v>
      </c>
      <c r="EP7" s="1">
        <v>1070694.9715380301</v>
      </c>
      <c r="EQ7" s="1">
        <v>7954705.6294959998</v>
      </c>
      <c r="ER7" s="1">
        <v>5791954.2683693497</v>
      </c>
      <c r="ES7" s="1">
        <v>1355904.49478491</v>
      </c>
      <c r="ET7" s="1">
        <v>4699575.1851940397</v>
      </c>
      <c r="EU7" s="1">
        <v>941287.90925967705</v>
      </c>
      <c r="EV7" s="1">
        <v>2500647.8662398499</v>
      </c>
      <c r="EW7" s="1">
        <v>669268.56439539394</v>
      </c>
      <c r="EX7" s="1">
        <v>1689946.80418773</v>
      </c>
      <c r="EY7" s="1">
        <v>2518060.3939863099</v>
      </c>
      <c r="EZ7" s="1">
        <v>791463.54830283602</v>
      </c>
      <c r="FA7" s="1">
        <v>1433643.3139523</v>
      </c>
      <c r="FB7" s="1">
        <v>255053.29659774399</v>
      </c>
      <c r="FC7" s="1">
        <v>850958.31779873697</v>
      </c>
      <c r="FD7" s="1">
        <v>189157.81380426901</v>
      </c>
      <c r="FE7" s="1">
        <v>3131208.8922467502</v>
      </c>
      <c r="FF7" s="1">
        <v>596221.88847465499</v>
      </c>
      <c r="FG7" s="1">
        <v>620520.82493817701</v>
      </c>
      <c r="FH7" s="1">
        <v>462961.77776145597</v>
      </c>
      <c r="FI7" s="1">
        <v>2488156.5590299601</v>
      </c>
      <c r="FJ7" s="1">
        <v>531839.32271089696</v>
      </c>
      <c r="FK7" s="1">
        <v>1974499.0837634599</v>
      </c>
      <c r="FL7" s="1">
        <v>465087.86296807398</v>
      </c>
      <c r="FM7" s="1">
        <v>1023789.24647122</v>
      </c>
      <c r="FN7" s="1">
        <v>1395508.94604789</v>
      </c>
      <c r="FO7" s="1">
        <v>428655.39119059697</v>
      </c>
      <c r="FP7" s="1">
        <v>397337.01756619802</v>
      </c>
      <c r="FQ7" s="1">
        <v>1707268.1827473701</v>
      </c>
      <c r="FR7" s="1">
        <v>265875.04687974398</v>
      </c>
      <c r="FS7" s="1">
        <v>199936.80566731101</v>
      </c>
      <c r="FT7" s="1">
        <v>348209.27993752301</v>
      </c>
    </row>
    <row r="8" spans="1:176">
      <c r="A8" s="2" t="s">
        <v>16</v>
      </c>
      <c r="B8" t="s">
        <v>526</v>
      </c>
      <c r="C8" s="1">
        <v>13943076.5342678</v>
      </c>
      <c r="D8" s="1">
        <v>573147675.47525799</v>
      </c>
      <c r="E8" s="1">
        <v>15763119464.255501</v>
      </c>
      <c r="F8" s="1">
        <v>3000561744.1767201</v>
      </c>
      <c r="G8" s="1">
        <v>2602071320.7964602</v>
      </c>
      <c r="H8" s="1">
        <v>1307568323.9544201</v>
      </c>
      <c r="I8" s="1">
        <v>1310800427.3329201</v>
      </c>
      <c r="J8" s="1">
        <v>206273094.02267399</v>
      </c>
      <c r="K8" s="1">
        <v>1026052574.8455499</v>
      </c>
      <c r="L8" s="1">
        <v>31178241.182693101</v>
      </c>
      <c r="M8" s="1">
        <v>194611260.479583</v>
      </c>
      <c r="N8" s="1">
        <v>57696079.5955543</v>
      </c>
      <c r="O8" s="1">
        <v>55747102.155882701</v>
      </c>
      <c r="P8" s="1">
        <v>419517943.43734998</v>
      </c>
      <c r="Q8" s="1">
        <v>290643531.43213701</v>
      </c>
      <c r="R8" s="1">
        <v>190824003.485468</v>
      </c>
      <c r="S8" s="1">
        <v>16668578.0387291</v>
      </c>
      <c r="T8" s="1">
        <v>143673103.86634699</v>
      </c>
      <c r="U8" s="1">
        <v>44274895.748338699</v>
      </c>
      <c r="V8" s="1">
        <v>234484153.55638099</v>
      </c>
      <c r="W8" s="1">
        <v>142369089.622596</v>
      </c>
      <c r="X8" s="1">
        <v>198372362.03065601</v>
      </c>
      <c r="Y8" s="1">
        <v>50391844.7870031</v>
      </c>
      <c r="Z8" s="1">
        <v>52606578.278573297</v>
      </c>
      <c r="AA8" s="1">
        <v>58108379.593018197</v>
      </c>
      <c r="AB8" s="1">
        <v>67458682.711326197</v>
      </c>
      <c r="AC8" s="1">
        <v>127775341.79458401</v>
      </c>
      <c r="AD8" s="1">
        <v>38454581.166220799</v>
      </c>
      <c r="AE8" s="1">
        <v>128684758.64331999</v>
      </c>
      <c r="AF8" s="1">
        <v>4471333.86449634</v>
      </c>
      <c r="AG8" s="1">
        <v>4299186.8019791404</v>
      </c>
      <c r="AH8" s="1">
        <v>10848310.7629955</v>
      </c>
      <c r="AI8" s="1">
        <v>76458809.871997803</v>
      </c>
      <c r="AJ8" s="1">
        <v>106144419.881542</v>
      </c>
      <c r="AK8" s="1">
        <v>66592827.016494803</v>
      </c>
      <c r="AL8" s="1">
        <v>60943875.163530298</v>
      </c>
      <c r="AM8" s="1">
        <v>21632706.183079299</v>
      </c>
      <c r="AN8" s="1">
        <v>58812607.937437601</v>
      </c>
      <c r="AO8" s="1">
        <v>66552798.0642455</v>
      </c>
      <c r="AP8" s="1">
        <v>18545793.2633566</v>
      </c>
      <c r="AQ8" s="1">
        <v>15848710.8103715</v>
      </c>
      <c r="AR8" s="1">
        <v>16697158.7004568</v>
      </c>
      <c r="AS8" s="1">
        <v>45211367.362277098</v>
      </c>
      <c r="AT8" s="1">
        <v>57427121.941417202</v>
      </c>
      <c r="AU8" s="1">
        <v>27043506.339432001</v>
      </c>
      <c r="AV8" s="1">
        <v>62701854.567082301</v>
      </c>
      <c r="AW8" s="1">
        <v>66623686.212393098</v>
      </c>
      <c r="AX8" s="1">
        <v>55489916.185072698</v>
      </c>
      <c r="AY8" s="1">
        <v>53392019.277096704</v>
      </c>
      <c r="AZ8" s="1">
        <v>6442017.4852001602</v>
      </c>
      <c r="BA8" s="1">
        <v>16067647.9457846</v>
      </c>
      <c r="BB8" s="1">
        <v>67722760.275454104</v>
      </c>
      <c r="BC8" s="1">
        <v>51156960.346190304</v>
      </c>
      <c r="BD8" s="1">
        <v>32812781.3564534</v>
      </c>
      <c r="BE8" s="1">
        <v>35196225.434186503</v>
      </c>
      <c r="BF8" s="1">
        <v>11462814.8867842</v>
      </c>
      <c r="BG8" s="1">
        <v>19692258.022601299</v>
      </c>
      <c r="BH8" s="1">
        <v>16899162.742449</v>
      </c>
      <c r="BI8" s="1">
        <v>31214522.915947899</v>
      </c>
      <c r="BJ8" s="1">
        <v>33085776.103250101</v>
      </c>
      <c r="BK8" s="1">
        <v>14129899.2699764</v>
      </c>
      <c r="BL8" s="1">
        <v>26902807.170103099</v>
      </c>
      <c r="BM8" s="1">
        <v>9064746.3691263106</v>
      </c>
      <c r="BN8" s="1">
        <v>304864.66565964097</v>
      </c>
      <c r="BO8" s="1">
        <v>50052830.262940198</v>
      </c>
      <c r="BP8" s="1">
        <v>34653232.598054402</v>
      </c>
      <c r="BQ8" s="1">
        <v>28396009.500464901</v>
      </c>
      <c r="BR8" s="1">
        <v>33209414.007766899</v>
      </c>
      <c r="BS8" s="1">
        <v>702583.32120407803</v>
      </c>
      <c r="BT8" s="1">
        <v>5014439.9340484701</v>
      </c>
      <c r="BU8" s="1">
        <v>1452752.33507016</v>
      </c>
      <c r="BV8" s="1">
        <v>34958024.904384203</v>
      </c>
      <c r="BW8" s="1">
        <v>15402852.5518432</v>
      </c>
      <c r="BX8" s="1">
        <v>29123707.554278001</v>
      </c>
      <c r="BY8" s="1">
        <v>22006319.491287801</v>
      </c>
      <c r="BZ8" s="1">
        <v>41225565.8376351</v>
      </c>
      <c r="CA8" s="1">
        <v>120078.34164779101</v>
      </c>
      <c r="CB8" s="1">
        <v>7374193.6354159098</v>
      </c>
      <c r="CC8" s="1">
        <v>37327883.609681197</v>
      </c>
      <c r="CD8" s="1">
        <v>8311169.3445555903</v>
      </c>
      <c r="CE8" s="1">
        <v>23275964.126618899</v>
      </c>
      <c r="CF8" s="1">
        <v>9553477.0588823892</v>
      </c>
      <c r="CG8" s="1">
        <v>10979103.5321994</v>
      </c>
      <c r="CH8" s="1">
        <v>8840607.8944913708</v>
      </c>
      <c r="CI8" s="1">
        <v>1502294.21600098</v>
      </c>
      <c r="CJ8" s="1">
        <v>12548964.0728823</v>
      </c>
      <c r="CK8" s="1">
        <v>9651080.8692675997</v>
      </c>
      <c r="CL8" s="1">
        <v>1482231.51816298</v>
      </c>
      <c r="CM8" s="1">
        <v>8606488.4833298698</v>
      </c>
      <c r="CN8" s="1">
        <v>20308286.110732801</v>
      </c>
      <c r="CO8" s="1">
        <v>2902901.0567957498</v>
      </c>
      <c r="CP8" s="1">
        <v>6778265.5331408</v>
      </c>
      <c r="CQ8" s="1">
        <v>11758851.7378264</v>
      </c>
      <c r="CR8" s="1">
        <v>6818394.2361484598</v>
      </c>
      <c r="CS8" s="1">
        <v>9563802.0007300004</v>
      </c>
      <c r="CT8" s="1">
        <v>22472315.348059099</v>
      </c>
      <c r="CU8" s="1">
        <v>830446.12764826301</v>
      </c>
      <c r="CV8" s="1">
        <v>7758284.4542057402</v>
      </c>
      <c r="CW8" s="1">
        <v>4205729.2402009796</v>
      </c>
      <c r="CX8" s="1">
        <v>5656923.0519098602</v>
      </c>
      <c r="CY8" s="1">
        <v>5928723.4965770599</v>
      </c>
      <c r="CZ8" s="1">
        <v>9680494.7204138599</v>
      </c>
      <c r="DA8" s="1">
        <v>14048757.8399614</v>
      </c>
      <c r="DB8" s="1">
        <v>10273269.9866082</v>
      </c>
      <c r="DC8" s="1">
        <v>14892180.3572079</v>
      </c>
      <c r="DD8" s="1">
        <v>1031190.50049766</v>
      </c>
      <c r="DE8" s="1">
        <v>13669400.7544585</v>
      </c>
      <c r="DF8" s="1">
        <v>13873860.7149399</v>
      </c>
      <c r="DG8" s="1">
        <v>6249934.6150687505</v>
      </c>
      <c r="DH8" s="1">
        <v>9688939.77718875</v>
      </c>
      <c r="DI8" s="1">
        <v>3228764.2161727501</v>
      </c>
      <c r="DJ8" s="1">
        <v>1161563.1554508901</v>
      </c>
      <c r="DK8" s="1">
        <v>13098961.8026568</v>
      </c>
      <c r="DL8" s="1">
        <v>312856.642317547</v>
      </c>
      <c r="DM8" s="1">
        <v>6900107.5431610104</v>
      </c>
      <c r="DN8" s="1">
        <v>11146665.661498901</v>
      </c>
      <c r="DO8" s="1">
        <v>12749958.351524601</v>
      </c>
      <c r="DP8" s="1">
        <v>372484.68068063201</v>
      </c>
      <c r="DQ8" s="1">
        <v>2528999.32270488</v>
      </c>
      <c r="DR8" s="1">
        <v>10806463.266022401</v>
      </c>
      <c r="DS8" s="1">
        <v>4284191.8323457101</v>
      </c>
      <c r="DT8" s="1">
        <v>62171.297585652603</v>
      </c>
      <c r="DU8" s="1">
        <v>8305907.6450597402</v>
      </c>
      <c r="DV8" s="1">
        <v>4462742.9190115202</v>
      </c>
      <c r="DW8" s="1">
        <v>1603198.51702229</v>
      </c>
      <c r="DX8" s="1">
        <v>3410940.8929353599</v>
      </c>
      <c r="DY8" s="1">
        <v>12057023.537544301</v>
      </c>
      <c r="DZ8" s="1">
        <v>3824920.74690209</v>
      </c>
      <c r="EA8" s="1">
        <v>5187507.0029790597</v>
      </c>
      <c r="EB8" s="1">
        <v>7257421.22937511</v>
      </c>
      <c r="EC8" s="1">
        <v>1892950.6904092</v>
      </c>
      <c r="ED8" s="1">
        <v>3082014.4652692298</v>
      </c>
      <c r="EE8" s="1">
        <v>5914744.6784845497</v>
      </c>
      <c r="EF8" s="1">
        <v>179206.50422949801</v>
      </c>
      <c r="EG8" s="1">
        <v>4102414.1800245098</v>
      </c>
      <c r="EH8" s="1">
        <v>2629542.2251511202</v>
      </c>
      <c r="EI8" s="1">
        <v>6292273.8924963996</v>
      </c>
      <c r="EJ8" s="1">
        <v>3122669.5529852202</v>
      </c>
      <c r="EK8" s="1">
        <v>10049942.638851499</v>
      </c>
      <c r="EL8" s="1">
        <v>2843455.15069948</v>
      </c>
      <c r="EM8" s="1">
        <v>452587.69510802103</v>
      </c>
      <c r="EN8" s="1">
        <v>5762571.8121036403</v>
      </c>
      <c r="EO8" s="1">
        <v>2226361.5129390801</v>
      </c>
      <c r="EP8" s="1">
        <v>1959196.4394483999</v>
      </c>
      <c r="EQ8" s="1">
        <v>3503470.2718961402</v>
      </c>
      <c r="ER8" s="1">
        <v>1853402.65504171</v>
      </c>
      <c r="ES8" s="1">
        <v>1208080.4811217899</v>
      </c>
      <c r="ET8" s="1">
        <v>1901475.97243292</v>
      </c>
      <c r="EU8" s="1">
        <v>2822774.32838073</v>
      </c>
      <c r="EV8" s="1">
        <v>2190003.9282082198</v>
      </c>
      <c r="EW8" s="1">
        <v>2207298.14077404</v>
      </c>
      <c r="EX8" s="1">
        <v>3150240.1676999</v>
      </c>
      <c r="EY8" s="1">
        <v>326910.01509199198</v>
      </c>
      <c r="EZ8" s="1">
        <v>1552512.3397649799</v>
      </c>
      <c r="FA8" s="1">
        <v>950480.73781521304</v>
      </c>
      <c r="FB8" s="1">
        <v>574895.53969700704</v>
      </c>
      <c r="FC8" s="1">
        <v>1402994.4310767699</v>
      </c>
      <c r="FD8" s="1">
        <v>78757.072715208196</v>
      </c>
      <c r="FE8" s="1">
        <v>2398879.04043297</v>
      </c>
      <c r="FF8" s="1">
        <v>1098141.3421096299</v>
      </c>
      <c r="FG8" s="1">
        <v>746167.57473558094</v>
      </c>
      <c r="FH8" s="1">
        <v>228674.89040578701</v>
      </c>
      <c r="FI8" s="1">
        <v>3311496.4001366701</v>
      </c>
      <c r="FJ8" s="1">
        <v>3178945.0261715902</v>
      </c>
      <c r="FK8" s="1">
        <v>787837.241214204</v>
      </c>
      <c r="FL8" s="1">
        <v>419465.30284212698</v>
      </c>
      <c r="FM8" s="1">
        <v>516816.50567251298</v>
      </c>
      <c r="FN8" s="1">
        <v>1077150.00858787</v>
      </c>
      <c r="FO8" s="1">
        <v>342573.06540878402</v>
      </c>
      <c r="FP8" s="1">
        <v>502809.67687610199</v>
      </c>
      <c r="FQ8" s="1">
        <v>1023609.61477441</v>
      </c>
      <c r="FR8" s="1">
        <v>331343.49286374799</v>
      </c>
      <c r="FS8" s="1">
        <v>91633.490550097195</v>
      </c>
      <c r="FT8" s="1">
        <v>43135.763914017698</v>
      </c>
    </row>
    <row r="9" spans="1:176">
      <c r="A9" s="2" t="s">
        <v>17</v>
      </c>
      <c r="B9" t="s">
        <v>526</v>
      </c>
      <c r="C9" s="1">
        <v>19296197.862126101</v>
      </c>
      <c r="D9" s="1">
        <v>169963063.38821501</v>
      </c>
      <c r="E9" s="1">
        <v>14876104280.513901</v>
      </c>
      <c r="F9" s="1">
        <v>455232937.33421099</v>
      </c>
      <c r="G9" s="1">
        <v>2396266665.8731799</v>
      </c>
      <c r="H9" s="1">
        <v>467137427.99188</v>
      </c>
      <c r="I9" s="1">
        <v>261038069.26483801</v>
      </c>
      <c r="J9" s="1">
        <v>113479065.683928</v>
      </c>
      <c r="K9" s="1">
        <v>1278691097.7051699</v>
      </c>
      <c r="L9" s="1">
        <v>4416650.6571110999</v>
      </c>
      <c r="M9" s="1">
        <v>29444511.333953802</v>
      </c>
      <c r="N9" s="1">
        <v>45169896.3979607</v>
      </c>
      <c r="O9" s="1">
        <v>34849279.235338703</v>
      </c>
      <c r="P9" s="1">
        <v>489408372.50703698</v>
      </c>
      <c r="Q9" s="1">
        <v>31745619.719197199</v>
      </c>
      <c r="R9" s="1">
        <v>84923566.198946297</v>
      </c>
      <c r="S9" s="1">
        <v>1629502.6713854</v>
      </c>
      <c r="T9" s="1">
        <v>328884535.50550598</v>
      </c>
      <c r="U9" s="1">
        <v>318679468.85071301</v>
      </c>
      <c r="V9" s="1">
        <v>45950989.4198713</v>
      </c>
      <c r="W9" s="1">
        <v>286203822.25779599</v>
      </c>
      <c r="X9" s="1">
        <v>165106578.45476601</v>
      </c>
      <c r="Y9" s="1">
        <v>1731164.68178895</v>
      </c>
      <c r="Z9" s="1">
        <v>111169903.593155</v>
      </c>
      <c r="AA9" s="1">
        <v>183281.86800334201</v>
      </c>
      <c r="AB9" s="1">
        <v>19401732.1625623</v>
      </c>
      <c r="AC9" s="1">
        <v>118388411.910707</v>
      </c>
      <c r="AD9" s="1">
        <v>12181274.2329114</v>
      </c>
      <c r="AE9" s="1">
        <v>97704148.084726006</v>
      </c>
      <c r="AF9" s="1">
        <v>4170778.1974356798</v>
      </c>
      <c r="AG9" s="1">
        <v>3368332.6995878099</v>
      </c>
      <c r="AH9" s="1">
        <v>11538940.928777</v>
      </c>
      <c r="AI9" s="1">
        <v>109624029.96461</v>
      </c>
      <c r="AJ9" s="1">
        <v>94365234.539783105</v>
      </c>
      <c r="AK9" s="1">
        <v>30511088.810450502</v>
      </c>
      <c r="AL9" s="1">
        <v>67710397.090400502</v>
      </c>
      <c r="AM9" s="1">
        <v>34102411.858900003</v>
      </c>
      <c r="AN9" s="1">
        <v>132569188.409164</v>
      </c>
      <c r="AO9" s="1">
        <v>131455190.90154301</v>
      </c>
      <c r="AP9" s="1">
        <v>2957675.62473574</v>
      </c>
      <c r="AQ9" s="1">
        <v>26789137.335552201</v>
      </c>
      <c r="AR9" s="1">
        <v>2228569.78694177</v>
      </c>
      <c r="AS9" s="1">
        <v>17408892.417117398</v>
      </c>
      <c r="AT9" s="1">
        <v>73987165.213058695</v>
      </c>
      <c r="AU9" s="1">
        <v>52857674.585151799</v>
      </c>
      <c r="AV9" s="1">
        <v>88307604.196028203</v>
      </c>
      <c r="AW9" s="1">
        <v>52819038.305516496</v>
      </c>
      <c r="AX9" s="1">
        <v>7515072.6296533197</v>
      </c>
      <c r="AY9" s="1">
        <v>35685852.907124199</v>
      </c>
      <c r="AZ9" s="1">
        <v>4602111.8183408203</v>
      </c>
      <c r="BA9" s="1">
        <v>18262376.6897428</v>
      </c>
      <c r="BB9" s="1">
        <v>323607.117729016</v>
      </c>
      <c r="BC9" s="1">
        <v>44017096.503093801</v>
      </c>
      <c r="BD9" s="1">
        <v>29463848.8153283</v>
      </c>
      <c r="BE9" s="1">
        <v>48670256.213090599</v>
      </c>
      <c r="BF9" s="1">
        <v>8718870.1649706494</v>
      </c>
      <c r="BG9" s="1">
        <v>29908860.808931101</v>
      </c>
      <c r="BH9" s="1">
        <v>55356847.273633301</v>
      </c>
      <c r="BI9" s="1">
        <v>4285573.7000796497</v>
      </c>
      <c r="BJ9" s="1">
        <v>20464099.629468601</v>
      </c>
      <c r="BK9" s="1">
        <v>9578818.7226950191</v>
      </c>
      <c r="BL9" s="1">
        <v>41852468.657713003</v>
      </c>
      <c r="BM9" s="1">
        <v>3561811.70893517</v>
      </c>
      <c r="BN9" s="1">
        <v>368606.84776447102</v>
      </c>
      <c r="BO9" s="1">
        <v>2426447.3062241101</v>
      </c>
      <c r="BP9" s="1">
        <v>35611968.237915501</v>
      </c>
      <c r="BQ9" s="1">
        <v>5611124.7966491701</v>
      </c>
      <c r="BR9" s="1">
        <v>26992461.060643699</v>
      </c>
      <c r="BS9" s="1">
        <v>2445363.11480929</v>
      </c>
      <c r="BT9" s="1">
        <v>353355.29711962701</v>
      </c>
      <c r="BU9" s="1">
        <v>1991700.1586076501</v>
      </c>
      <c r="BV9" s="1">
        <v>33176787.8761441</v>
      </c>
      <c r="BW9" s="1">
        <v>7438548.2643989697</v>
      </c>
      <c r="BX9" s="1">
        <v>44780143.699300401</v>
      </c>
      <c r="BY9" s="1">
        <v>20744546.782192402</v>
      </c>
      <c r="BZ9" s="1">
        <v>22060293.6736628</v>
      </c>
      <c r="CA9" s="1">
        <v>111050.010581393</v>
      </c>
      <c r="CB9" s="1">
        <v>4398663.08109238</v>
      </c>
      <c r="CC9" s="1">
        <v>2848444.8988562999</v>
      </c>
      <c r="CD9" s="1">
        <v>3157022.9975002999</v>
      </c>
      <c r="CE9" s="1">
        <v>26130312.822094601</v>
      </c>
      <c r="CF9" s="1">
        <v>680015.42370164394</v>
      </c>
      <c r="CG9" s="1">
        <v>2891547.8300525402</v>
      </c>
      <c r="CH9" s="1">
        <v>6054697.0913281599</v>
      </c>
      <c r="CI9" s="1">
        <v>32832923.704275701</v>
      </c>
      <c r="CJ9" s="1">
        <v>22803072.297130499</v>
      </c>
      <c r="CK9" s="1">
        <v>4271137.6590154096</v>
      </c>
      <c r="CL9" s="1">
        <v>886842.370160616</v>
      </c>
      <c r="CM9" s="1">
        <v>1581566.68700885</v>
      </c>
      <c r="CN9" s="1">
        <v>24438388.6758506</v>
      </c>
      <c r="CO9" s="1">
        <v>119248.376778615</v>
      </c>
      <c r="CP9" s="1">
        <v>3594071.2712538498</v>
      </c>
      <c r="CQ9" s="1">
        <v>7029239.1306128902</v>
      </c>
      <c r="CR9" s="1">
        <v>2703266.4820350301</v>
      </c>
      <c r="CS9" s="1">
        <v>5111368.6237523304</v>
      </c>
      <c r="CT9" s="1">
        <v>23526789.124798398</v>
      </c>
      <c r="CU9" s="1">
        <v>129301.878050591</v>
      </c>
      <c r="CV9" s="1">
        <v>5641318.51374829</v>
      </c>
      <c r="CW9" s="1">
        <v>2877039.02207543</v>
      </c>
      <c r="CX9" s="1">
        <v>247833.56455267101</v>
      </c>
      <c r="CY9" s="1">
        <v>2030137.5312312399</v>
      </c>
      <c r="CZ9" s="1">
        <v>4407276.3916312698</v>
      </c>
      <c r="DA9" s="1">
        <v>10039520.844698399</v>
      </c>
      <c r="DB9" s="1">
        <v>16898644.385166898</v>
      </c>
      <c r="DC9" s="1">
        <v>15347006.019148</v>
      </c>
      <c r="DD9" s="1">
        <v>23385154.168354299</v>
      </c>
      <c r="DE9" s="1">
        <v>3063318.13266807</v>
      </c>
      <c r="DF9" s="1">
        <v>16450969.9473988</v>
      </c>
      <c r="DG9" s="1">
        <v>5156526.3786448603</v>
      </c>
      <c r="DH9" s="1">
        <v>8465016.9495349303</v>
      </c>
      <c r="DI9" s="1">
        <v>1439392.9210644299</v>
      </c>
      <c r="DJ9" s="1">
        <v>134933.089911288</v>
      </c>
      <c r="DK9" s="1">
        <v>8350245.9253473403</v>
      </c>
      <c r="DL9" s="1">
        <v>234745.90223804599</v>
      </c>
      <c r="DM9" s="1">
        <v>1562380.0064278001</v>
      </c>
      <c r="DN9" s="1">
        <v>13793977.047088699</v>
      </c>
      <c r="DO9" s="1">
        <v>12057383.0403117</v>
      </c>
      <c r="DP9" s="1">
        <v>204776.42012018501</v>
      </c>
      <c r="DQ9" s="1">
        <v>266685.97287996399</v>
      </c>
      <c r="DR9" s="1">
        <v>17182323.2733775</v>
      </c>
      <c r="DS9" s="1">
        <v>9377760.3673561197</v>
      </c>
      <c r="DT9" s="1">
        <v>19032711.3457832</v>
      </c>
      <c r="DU9" s="1">
        <v>1767473.62679923</v>
      </c>
      <c r="DV9" s="1">
        <v>3270376.6439608098</v>
      </c>
      <c r="DW9" s="1">
        <v>2636709.6947382898</v>
      </c>
      <c r="DX9" s="1">
        <v>1538482.7928098701</v>
      </c>
      <c r="DY9" s="1">
        <v>5746147.6431088597</v>
      </c>
      <c r="DZ9" s="1">
        <v>1940851.5373561201</v>
      </c>
      <c r="EA9" s="1">
        <v>4311341.4207380898</v>
      </c>
      <c r="EB9" s="1">
        <v>13211537.152220899</v>
      </c>
      <c r="EC9" s="1">
        <v>173026.99877254301</v>
      </c>
      <c r="ED9" s="1">
        <v>448552.531625189</v>
      </c>
      <c r="EE9" s="1">
        <v>570526.97375721403</v>
      </c>
      <c r="EF9" s="1">
        <v>88159.508116428202</v>
      </c>
      <c r="EG9" s="1">
        <v>3806594.85845902</v>
      </c>
      <c r="EH9" s="1">
        <v>2050017.644748</v>
      </c>
      <c r="EI9" s="1">
        <v>1863148.2230432499</v>
      </c>
      <c r="EJ9" s="1">
        <v>1090430.1522341401</v>
      </c>
      <c r="EK9" s="1">
        <v>9557524.5072211307</v>
      </c>
      <c r="EL9" s="1">
        <v>3140799.0026318501</v>
      </c>
      <c r="EM9" s="1">
        <v>98571.305008683194</v>
      </c>
      <c r="EN9" s="1">
        <v>8216816.9197866097</v>
      </c>
      <c r="EO9" s="1">
        <v>346781.65529750503</v>
      </c>
      <c r="EP9" s="1">
        <v>8568035.9378472902</v>
      </c>
      <c r="EQ9" s="1">
        <v>3687168.6964935102</v>
      </c>
      <c r="ER9" s="1">
        <v>328725.65173592302</v>
      </c>
      <c r="ES9" s="1">
        <v>959030.42108138604</v>
      </c>
      <c r="ET9" s="1">
        <v>1290547.18772271</v>
      </c>
      <c r="EU9" s="1">
        <v>1415400.3839416001</v>
      </c>
      <c r="EV9" s="1">
        <v>4591749.7905667098</v>
      </c>
      <c r="EW9" s="1">
        <v>311195.22599832201</v>
      </c>
      <c r="EX9" s="1">
        <v>204758.706800257</v>
      </c>
      <c r="EY9" s="1">
        <v>84570.866026830801</v>
      </c>
      <c r="EZ9" s="1">
        <v>1662307.04671661</v>
      </c>
      <c r="FA9" s="1">
        <v>1071925.21285294</v>
      </c>
      <c r="FB9" s="1">
        <v>89388.375206560406</v>
      </c>
      <c r="FC9" s="1">
        <v>192689.48274384899</v>
      </c>
      <c r="FD9" s="1">
        <v>4540143.9699534196</v>
      </c>
      <c r="FE9" s="1">
        <v>1235634.7350260301</v>
      </c>
      <c r="FF9" s="1">
        <v>1054067.5016083701</v>
      </c>
      <c r="FG9" s="1">
        <v>1933911.48372985</v>
      </c>
      <c r="FH9" s="1">
        <v>698673.84703686705</v>
      </c>
      <c r="FI9" s="1">
        <v>871348.89482359902</v>
      </c>
      <c r="FJ9" s="1">
        <v>59305.887211962901</v>
      </c>
      <c r="FK9" s="1">
        <v>313215.88225722301</v>
      </c>
      <c r="FL9" s="1">
        <v>2722945.2644426399</v>
      </c>
      <c r="FM9" s="1">
        <v>2633992.2118756901</v>
      </c>
      <c r="FN9" s="1">
        <v>1026660.13910572</v>
      </c>
      <c r="FO9" s="1">
        <v>878710.61639334995</v>
      </c>
      <c r="FP9" s="1">
        <v>1901453.19443147</v>
      </c>
      <c r="FQ9" s="1">
        <v>1591647.4203470401</v>
      </c>
      <c r="FR9" s="1">
        <v>247877.60284483401</v>
      </c>
      <c r="FS9" s="1">
        <v>531674.61947260494</v>
      </c>
      <c r="FT9" s="1">
        <v>44019.293512280303</v>
      </c>
    </row>
    <row r="10" spans="1:176">
      <c r="A10" s="2" t="s">
        <v>18</v>
      </c>
      <c r="B10" t="s">
        <v>526</v>
      </c>
      <c r="C10" s="1">
        <v>18307067.563940801</v>
      </c>
      <c r="D10" s="1">
        <v>180865537.937006</v>
      </c>
      <c r="E10" s="1">
        <v>15250964637.997101</v>
      </c>
      <c r="F10" s="1">
        <v>2025218212.6475799</v>
      </c>
      <c r="G10" s="1">
        <v>2915799727.2822399</v>
      </c>
      <c r="H10" s="1">
        <v>1122069139.7597599</v>
      </c>
      <c r="I10" s="1">
        <v>1031432408.7197</v>
      </c>
      <c r="J10" s="1">
        <v>262689700.18982399</v>
      </c>
      <c r="K10" s="1">
        <v>1065004046.2545</v>
      </c>
      <c r="L10" s="1">
        <v>3515061.55056722</v>
      </c>
      <c r="M10" s="1">
        <v>134847623.826922</v>
      </c>
      <c r="N10" s="1">
        <v>29685603.218305498</v>
      </c>
      <c r="O10" s="1">
        <v>42628120.145159699</v>
      </c>
      <c r="P10" s="1">
        <v>434843564.58971202</v>
      </c>
      <c r="Q10" s="1">
        <v>269895113.18569702</v>
      </c>
      <c r="R10" s="1">
        <v>68331484.235847905</v>
      </c>
      <c r="S10" s="1">
        <v>66329363.853428297</v>
      </c>
      <c r="T10" s="1">
        <v>169524188.92770201</v>
      </c>
      <c r="U10" s="1">
        <v>31788328.976191901</v>
      </c>
      <c r="V10" s="1">
        <v>262239175.19985199</v>
      </c>
      <c r="W10" s="1">
        <v>269312799.79310203</v>
      </c>
      <c r="X10" s="1">
        <v>267865912.88649699</v>
      </c>
      <c r="Y10" s="1">
        <v>57281199.686861902</v>
      </c>
      <c r="Z10" s="1">
        <v>189183878.83197501</v>
      </c>
      <c r="AA10" s="1">
        <v>89608002.267617106</v>
      </c>
      <c r="AB10" s="1">
        <v>119326100.381595</v>
      </c>
      <c r="AC10" s="1">
        <v>189746720.73336399</v>
      </c>
      <c r="AD10" s="1">
        <v>52423935.368583798</v>
      </c>
      <c r="AE10" s="1">
        <v>149582517.31941801</v>
      </c>
      <c r="AF10" s="1">
        <v>6531972.8630748</v>
      </c>
      <c r="AG10" s="1">
        <v>10215455.031698501</v>
      </c>
      <c r="AH10" s="1">
        <v>20861267.131358299</v>
      </c>
      <c r="AI10" s="1">
        <v>124986988.328934</v>
      </c>
      <c r="AJ10" s="1">
        <v>138016712.671123</v>
      </c>
      <c r="AK10" s="1">
        <v>99467008.174773797</v>
      </c>
      <c r="AL10" s="1">
        <v>36100841.6889074</v>
      </c>
      <c r="AM10" s="1">
        <v>43931611.309100598</v>
      </c>
      <c r="AN10" s="1">
        <v>62353629.076397501</v>
      </c>
      <c r="AO10" s="1">
        <v>82130753.396157801</v>
      </c>
      <c r="AP10" s="1">
        <v>16205548.937594701</v>
      </c>
      <c r="AQ10" s="1">
        <v>23050168.787808999</v>
      </c>
      <c r="AR10" s="1">
        <v>26244140.980406899</v>
      </c>
      <c r="AS10" s="1">
        <v>57799063.227883697</v>
      </c>
      <c r="AT10" s="1">
        <v>46487657.535484403</v>
      </c>
      <c r="AU10" s="1">
        <v>73658847.236637294</v>
      </c>
      <c r="AV10" s="1">
        <v>82638106.128684893</v>
      </c>
      <c r="AW10" s="1">
        <v>101331814.68022899</v>
      </c>
      <c r="AX10" s="1">
        <v>48960484.687606201</v>
      </c>
      <c r="AY10" s="1">
        <v>29036558.883616999</v>
      </c>
      <c r="AZ10" s="1">
        <v>6251538.3240147801</v>
      </c>
      <c r="BA10" s="1">
        <v>23520449.1285819</v>
      </c>
      <c r="BB10" s="1">
        <v>42137142.170032397</v>
      </c>
      <c r="BC10" s="1">
        <v>62806173.879276901</v>
      </c>
      <c r="BD10" s="1">
        <v>69480769.076131105</v>
      </c>
      <c r="BE10" s="1">
        <v>54382801.008095302</v>
      </c>
      <c r="BF10" s="1">
        <v>13557305.2746506</v>
      </c>
      <c r="BG10" s="1">
        <v>20587473.101478402</v>
      </c>
      <c r="BH10" s="1">
        <v>39528391.004781798</v>
      </c>
      <c r="BI10" s="1">
        <v>23947510.656865701</v>
      </c>
      <c r="BJ10" s="1">
        <v>39970854.947864302</v>
      </c>
      <c r="BK10" s="1">
        <v>14336284.157407399</v>
      </c>
      <c r="BL10" s="1">
        <v>44845070.032250799</v>
      </c>
      <c r="BM10" s="1">
        <v>9915892.5948840603</v>
      </c>
      <c r="BN10" s="1">
        <v>555863.90385008301</v>
      </c>
      <c r="BO10" s="1">
        <v>35527503.852275699</v>
      </c>
      <c r="BP10" s="1">
        <v>46042378.998501301</v>
      </c>
      <c r="BQ10" s="1">
        <v>6478897.2022674298</v>
      </c>
      <c r="BR10" s="1">
        <v>25291630.8538239</v>
      </c>
      <c r="BS10" s="1">
        <v>1791923.4158095899</v>
      </c>
      <c r="BT10" s="1">
        <v>6678579.07721435</v>
      </c>
      <c r="BU10" s="1">
        <v>51076026.442884997</v>
      </c>
      <c r="BV10" s="1">
        <v>32771399.803634599</v>
      </c>
      <c r="BW10" s="1">
        <v>11548864.4616255</v>
      </c>
      <c r="BX10" s="1">
        <v>16127945.424190201</v>
      </c>
      <c r="BY10" s="1">
        <v>28099821.820536401</v>
      </c>
      <c r="BZ10" s="1">
        <v>28968544.137915298</v>
      </c>
      <c r="CA10" s="1">
        <v>245696.22916039501</v>
      </c>
      <c r="CB10" s="1">
        <v>8344994.66607814</v>
      </c>
      <c r="CC10" s="1">
        <v>24883683.9963146</v>
      </c>
      <c r="CD10" s="1">
        <v>4136254.5070284898</v>
      </c>
      <c r="CE10" s="1">
        <v>28499577.874385402</v>
      </c>
      <c r="CF10" s="1">
        <v>5033268.0337104797</v>
      </c>
      <c r="CG10" s="1">
        <v>8876256.9342135098</v>
      </c>
      <c r="CH10" s="1">
        <v>13667186.215622401</v>
      </c>
      <c r="CI10" s="1">
        <v>129797.407317645</v>
      </c>
      <c r="CJ10" s="1">
        <v>31444425.294366799</v>
      </c>
      <c r="CK10" s="1">
        <v>7311211.1506677</v>
      </c>
      <c r="CL10" s="1">
        <v>28621322.699794199</v>
      </c>
      <c r="CM10" s="1">
        <v>3422354.89126459</v>
      </c>
      <c r="CN10" s="1">
        <v>22988735.1786392</v>
      </c>
      <c r="CO10" s="1">
        <v>3430915.4095991501</v>
      </c>
      <c r="CP10" s="1">
        <v>337836.37247885502</v>
      </c>
      <c r="CQ10" s="1">
        <v>3431764.79203569</v>
      </c>
      <c r="CR10" s="1">
        <v>12253228.608950701</v>
      </c>
      <c r="CS10" s="1">
        <v>14030828.6726903</v>
      </c>
      <c r="CT10" s="1">
        <v>27249907.814550601</v>
      </c>
      <c r="CU10" s="1">
        <v>668249.27057401405</v>
      </c>
      <c r="CV10" s="1">
        <v>9115191.6868798807</v>
      </c>
      <c r="CW10" s="1">
        <v>5024483.5853859195</v>
      </c>
      <c r="CX10" s="1">
        <v>9886092.2834680993</v>
      </c>
      <c r="CY10" s="1">
        <v>21606640.480241701</v>
      </c>
      <c r="CZ10" s="1">
        <v>10174290.7695393</v>
      </c>
      <c r="DA10" s="1">
        <v>7772442.37576978</v>
      </c>
      <c r="DB10" s="1">
        <v>23663280.736215301</v>
      </c>
      <c r="DC10" s="1">
        <v>17886219.6382792</v>
      </c>
      <c r="DD10" s="1">
        <v>878486.53764994396</v>
      </c>
      <c r="DE10" s="1">
        <v>12641352.896304401</v>
      </c>
      <c r="DF10" s="1">
        <v>12494450.7822046</v>
      </c>
      <c r="DG10" s="1">
        <v>6562460.4158413596</v>
      </c>
      <c r="DH10" s="1">
        <v>5989488.4809586396</v>
      </c>
      <c r="DI10" s="1">
        <v>4545323.8273815904</v>
      </c>
      <c r="DJ10" s="1">
        <v>929803.02525591396</v>
      </c>
      <c r="DK10" s="1">
        <v>6403058.7241454404</v>
      </c>
      <c r="DL10" s="1">
        <v>395281.46366428299</v>
      </c>
      <c r="DM10" s="1">
        <v>8105982.6962381704</v>
      </c>
      <c r="DN10" s="1">
        <v>8331022.9116772804</v>
      </c>
      <c r="DO10" s="1">
        <v>10042084.8219855</v>
      </c>
      <c r="DP10" s="1">
        <v>5260403.2710402403</v>
      </c>
      <c r="DQ10" s="1">
        <v>1684838.20348366</v>
      </c>
      <c r="DR10" s="1">
        <v>7955018.3786963504</v>
      </c>
      <c r="DS10" s="1">
        <v>10282690.173604799</v>
      </c>
      <c r="DT10" s="1">
        <v>299545.49297775002</v>
      </c>
      <c r="DU10" s="1">
        <v>7740111.7010669503</v>
      </c>
      <c r="DV10" s="1">
        <v>5839917.4401574098</v>
      </c>
      <c r="DW10" s="1">
        <v>621683.07043566799</v>
      </c>
      <c r="DX10" s="1">
        <v>6771360.2787930304</v>
      </c>
      <c r="DY10" s="1">
        <v>7754088.4010115499</v>
      </c>
      <c r="DZ10" s="1">
        <v>3196366.1281160899</v>
      </c>
      <c r="EA10" s="1">
        <v>4685128.8277003802</v>
      </c>
      <c r="EB10" s="1">
        <v>12466194.2691845</v>
      </c>
      <c r="EC10" s="1">
        <v>1305278.88386282</v>
      </c>
      <c r="ED10" s="1">
        <v>1623787.2653461499</v>
      </c>
      <c r="EE10" s="1">
        <v>6766571.3494490301</v>
      </c>
      <c r="EF10" s="1">
        <v>122546.613485454</v>
      </c>
      <c r="EG10" s="1">
        <v>3941572.2191794501</v>
      </c>
      <c r="EH10" s="1">
        <v>1263469.8122566701</v>
      </c>
      <c r="EI10" s="1">
        <v>4564299.0159577597</v>
      </c>
      <c r="EJ10" s="1">
        <v>3592663.2006087201</v>
      </c>
      <c r="EK10" s="1">
        <v>8863112.5198261198</v>
      </c>
      <c r="EL10" s="1">
        <v>2580102.7169947401</v>
      </c>
      <c r="EM10" s="1">
        <v>709002.44171919301</v>
      </c>
      <c r="EN10" s="1">
        <v>3294960.34757357</v>
      </c>
      <c r="EO10" s="1">
        <v>1334507.8074908101</v>
      </c>
      <c r="EP10" s="1">
        <v>556936.71062034997</v>
      </c>
      <c r="EQ10" s="1">
        <v>6004215.8634612402</v>
      </c>
      <c r="ER10" s="1">
        <v>1412707.48071118</v>
      </c>
      <c r="ES10" s="1">
        <v>2569401.0690038698</v>
      </c>
      <c r="ET10" s="1">
        <v>2175301.0325289299</v>
      </c>
      <c r="EU10" s="1">
        <v>2911356.7682354501</v>
      </c>
      <c r="EV10" s="1">
        <v>2344912.60616463</v>
      </c>
      <c r="EW10" s="1">
        <v>143785.029545083</v>
      </c>
      <c r="EX10" s="1">
        <v>2850013.21278624</v>
      </c>
      <c r="EY10" s="1">
        <v>307925.80344933498</v>
      </c>
      <c r="EZ10" s="1">
        <v>1844329.7794651701</v>
      </c>
      <c r="FA10" s="1">
        <v>595793.86290818697</v>
      </c>
      <c r="FB10" s="1">
        <v>1028058.7472114899</v>
      </c>
      <c r="FC10" s="1">
        <v>2316886.7520479201</v>
      </c>
      <c r="FD10" s="1">
        <v>125418.25126541</v>
      </c>
      <c r="FE10" s="1">
        <v>1617385.7999015599</v>
      </c>
      <c r="FF10" s="1">
        <v>925490.92616981699</v>
      </c>
      <c r="FG10" s="1">
        <v>733387.54406885104</v>
      </c>
      <c r="FH10" s="1">
        <v>484269.06902583601</v>
      </c>
      <c r="FI10" s="1">
        <v>2873764.40020337</v>
      </c>
      <c r="FJ10" s="1">
        <v>1328103.74723651</v>
      </c>
      <c r="FK10" s="1">
        <v>1495648.7774874601</v>
      </c>
      <c r="FL10" s="1">
        <v>456007.39601364703</v>
      </c>
      <c r="FM10" s="1">
        <v>531823.83832411806</v>
      </c>
      <c r="FN10" s="1">
        <v>1255095.50562897</v>
      </c>
      <c r="FO10" s="1">
        <v>463544.20491290803</v>
      </c>
      <c r="FP10" s="1">
        <v>389298.01761066797</v>
      </c>
      <c r="FQ10" s="1">
        <v>265389.76461498498</v>
      </c>
      <c r="FR10" s="1">
        <v>257650.94778732801</v>
      </c>
      <c r="FS10" s="1">
        <v>40139.354730567902</v>
      </c>
      <c r="FT10" s="1">
        <v>37082.152704466498</v>
      </c>
    </row>
    <row r="11" spans="1:176">
      <c r="A11" s="2" t="s">
        <v>19</v>
      </c>
      <c r="B11" t="s">
        <v>527</v>
      </c>
      <c r="C11" s="1">
        <v>7320350.3158884998</v>
      </c>
      <c r="D11" s="1">
        <v>172338541.687518</v>
      </c>
      <c r="E11" s="1">
        <v>15277068577.319401</v>
      </c>
      <c r="F11" s="1">
        <v>4050870525.3502898</v>
      </c>
      <c r="G11" s="1">
        <v>1355259442.2293301</v>
      </c>
      <c r="H11" s="1">
        <v>3200933360.3477702</v>
      </c>
      <c r="I11" s="1">
        <v>1496566560.4488499</v>
      </c>
      <c r="J11" s="1">
        <v>454469674.71348202</v>
      </c>
      <c r="K11" s="1">
        <v>472148524.94180602</v>
      </c>
      <c r="L11" s="1">
        <v>7451102.4539783699</v>
      </c>
      <c r="M11" s="1">
        <v>474927708.67831999</v>
      </c>
      <c r="N11" s="1">
        <v>141288797.20663401</v>
      </c>
      <c r="O11" s="1">
        <v>118143122.29216</v>
      </c>
      <c r="P11" s="1">
        <v>571280.093199105</v>
      </c>
      <c r="Q11" s="1">
        <v>260584228.33895299</v>
      </c>
      <c r="R11" s="1">
        <v>260723226.765255</v>
      </c>
      <c r="S11" s="1">
        <v>37061521.4532272</v>
      </c>
      <c r="T11" s="1">
        <v>73241831.051107705</v>
      </c>
      <c r="U11" s="1">
        <v>73799553.946497098</v>
      </c>
      <c r="V11" s="1">
        <v>123566351.456423</v>
      </c>
      <c r="W11" s="1">
        <v>169251465.93058699</v>
      </c>
      <c r="X11" s="1">
        <v>117390428.567194</v>
      </c>
      <c r="Y11" s="1">
        <v>253857078.19377699</v>
      </c>
      <c r="Z11" s="1">
        <v>63102343.700783797</v>
      </c>
      <c r="AA11" s="1">
        <v>172785868.56806901</v>
      </c>
      <c r="AB11" s="1">
        <v>66025836.826680303</v>
      </c>
      <c r="AC11" s="1">
        <v>120105220.494096</v>
      </c>
      <c r="AD11" s="1">
        <v>518345.57572635502</v>
      </c>
      <c r="AE11" s="1">
        <v>75172720.480045393</v>
      </c>
      <c r="AF11" s="1">
        <v>4958145.0373450303</v>
      </c>
      <c r="AG11" s="1">
        <v>176035258.855373</v>
      </c>
      <c r="AH11" s="1">
        <v>22316483.502896398</v>
      </c>
      <c r="AI11" s="1">
        <v>97646960.6155231</v>
      </c>
      <c r="AJ11" s="1">
        <v>99689457.899735793</v>
      </c>
      <c r="AK11" s="1">
        <v>81773987.359824896</v>
      </c>
      <c r="AL11" s="1">
        <v>1237316.65508524</v>
      </c>
      <c r="AM11" s="1">
        <v>33223833.1737203</v>
      </c>
      <c r="AN11" s="1">
        <v>2451737.9458247302</v>
      </c>
      <c r="AO11" s="1">
        <v>114169257.363968</v>
      </c>
      <c r="AP11" s="1">
        <v>49406159.6694168</v>
      </c>
      <c r="AQ11" s="1">
        <v>7105208.7145571103</v>
      </c>
      <c r="AR11" s="1">
        <v>51073010.722542197</v>
      </c>
      <c r="AS11" s="1">
        <v>70821265.127618805</v>
      </c>
      <c r="AT11" s="1">
        <v>74754022.8719365</v>
      </c>
      <c r="AU11" s="1">
        <v>26706025.108151302</v>
      </c>
      <c r="AV11" s="1">
        <v>54596328.445785902</v>
      </c>
      <c r="AW11" s="1">
        <v>49273932.6123318</v>
      </c>
      <c r="AX11" s="1">
        <v>670879.06151651801</v>
      </c>
      <c r="AY11" s="1">
        <v>17308770.309819698</v>
      </c>
      <c r="AZ11" s="1">
        <v>51843427.361375101</v>
      </c>
      <c r="BA11" s="1">
        <v>23563057.433283299</v>
      </c>
      <c r="BB11" s="1">
        <v>91299858.519694999</v>
      </c>
      <c r="BC11" s="1">
        <v>69654085.897258893</v>
      </c>
      <c r="BD11" s="1">
        <v>83080853.333002597</v>
      </c>
      <c r="BE11" s="1">
        <v>46443127.460201703</v>
      </c>
      <c r="BF11" s="1">
        <v>28961074.611041501</v>
      </c>
      <c r="BG11" s="1">
        <v>38535791.4345681</v>
      </c>
      <c r="BH11" s="1">
        <v>311259.47675738903</v>
      </c>
      <c r="BI11" s="1">
        <v>46855030.194251001</v>
      </c>
      <c r="BJ11" s="1">
        <v>59616155.316146001</v>
      </c>
      <c r="BK11" s="1">
        <v>55173284.857042201</v>
      </c>
      <c r="BL11" s="1">
        <v>32496131.561351702</v>
      </c>
      <c r="BM11" s="1">
        <v>68270875.768385604</v>
      </c>
      <c r="BN11" s="1">
        <v>260165.38183914201</v>
      </c>
      <c r="BO11" s="1">
        <v>19187325.8793718</v>
      </c>
      <c r="BP11" s="1">
        <v>62693823.429250002</v>
      </c>
      <c r="BQ11" s="1">
        <v>5354253.9374088598</v>
      </c>
      <c r="BR11" s="1">
        <v>27421093.383430701</v>
      </c>
      <c r="BS11" s="1">
        <v>1313518.9768471201</v>
      </c>
      <c r="BT11" s="1">
        <v>12738679.191359499</v>
      </c>
      <c r="BU11" s="1">
        <v>3759359.6446292801</v>
      </c>
      <c r="BV11" s="1">
        <v>19374998.815434001</v>
      </c>
      <c r="BW11" s="1">
        <v>2596465.1730702701</v>
      </c>
      <c r="BX11" s="1">
        <v>16616908.966125701</v>
      </c>
      <c r="BY11" s="1">
        <v>26162914.889679499</v>
      </c>
      <c r="BZ11" s="1">
        <v>16982239.764833599</v>
      </c>
      <c r="CA11" s="1">
        <v>104298.96114986901</v>
      </c>
      <c r="CB11" s="1">
        <v>23750797.858984299</v>
      </c>
      <c r="CC11" s="1">
        <v>6918172.3211916704</v>
      </c>
      <c r="CD11" s="1">
        <v>25876192.457012199</v>
      </c>
      <c r="CE11" s="1">
        <v>13668192.7720163</v>
      </c>
      <c r="CF11" s="1">
        <v>2799410.6724785902</v>
      </c>
      <c r="CG11" s="1">
        <v>33483030.323604099</v>
      </c>
      <c r="CH11" s="1">
        <v>99189.755230088893</v>
      </c>
      <c r="CI11" s="1">
        <v>11975.968008968101</v>
      </c>
      <c r="CJ11" s="1">
        <v>25050144.262051102</v>
      </c>
      <c r="CK11" s="1">
        <v>22578292.3336442</v>
      </c>
      <c r="CL11" s="1">
        <v>1829225.82978316</v>
      </c>
      <c r="CM11" s="1">
        <v>28072103.778047301</v>
      </c>
      <c r="CN11" s="1">
        <v>18176764.100180399</v>
      </c>
      <c r="CO11" s="1">
        <v>25701635.378996301</v>
      </c>
      <c r="CP11" s="1">
        <v>14335150.9031849</v>
      </c>
      <c r="CQ11" s="1">
        <v>3104742.3014910598</v>
      </c>
      <c r="CR11" s="1">
        <v>9173861.6144929994</v>
      </c>
      <c r="CS11" s="1">
        <v>24991992.100645099</v>
      </c>
      <c r="CT11" s="1">
        <v>16026267.034926301</v>
      </c>
      <c r="CU11" s="1">
        <v>7567283.0395684103</v>
      </c>
      <c r="CV11" s="1">
        <v>15734126.828639301</v>
      </c>
      <c r="CW11" s="1">
        <v>27032688.516495399</v>
      </c>
      <c r="CX11" s="1">
        <v>13727232.319576301</v>
      </c>
      <c r="CY11" s="1">
        <v>9196123.1740481202</v>
      </c>
      <c r="CZ11" s="1">
        <v>12301136.461588999</v>
      </c>
      <c r="DA11" s="1">
        <v>342085.92412318999</v>
      </c>
      <c r="DB11" s="1">
        <v>10475019.343353599</v>
      </c>
      <c r="DC11" s="1">
        <v>17131050.3985737</v>
      </c>
      <c r="DD11" s="1">
        <v>50571.315600374903</v>
      </c>
      <c r="DE11" s="1">
        <v>13067337.9172234</v>
      </c>
      <c r="DF11" s="1">
        <v>10511247.8202326</v>
      </c>
      <c r="DG11" s="1">
        <v>543223.55746654805</v>
      </c>
      <c r="DH11" s="1">
        <v>394910.39111698698</v>
      </c>
      <c r="DI11" s="1">
        <v>17895424.0703854</v>
      </c>
      <c r="DJ11" s="1">
        <v>7899411.5536223603</v>
      </c>
      <c r="DK11" s="1">
        <v>6037968.4455621699</v>
      </c>
      <c r="DL11" s="1">
        <v>13552739.497944901</v>
      </c>
      <c r="DM11" s="1">
        <v>4947979.5757121602</v>
      </c>
      <c r="DN11" s="1">
        <v>8376808.5571817104</v>
      </c>
      <c r="DO11" s="1">
        <v>10466492.384618901</v>
      </c>
      <c r="DP11" s="1">
        <v>19475852.465519801</v>
      </c>
      <c r="DQ11" s="1">
        <v>8757155.6719622407</v>
      </c>
      <c r="DR11" s="1">
        <v>8102119.0492704203</v>
      </c>
      <c r="DS11" s="1">
        <v>7481712.4400224397</v>
      </c>
      <c r="DT11" s="1">
        <v>12826.9381854067</v>
      </c>
      <c r="DU11" s="1">
        <v>15770956.895973301</v>
      </c>
      <c r="DV11" s="1">
        <v>7315753.5490538804</v>
      </c>
      <c r="DW11" s="1">
        <v>583180.15247028205</v>
      </c>
      <c r="DX11" s="1">
        <v>10171105.961727601</v>
      </c>
      <c r="DY11" s="1">
        <v>12322217.9922549</v>
      </c>
      <c r="DZ11" s="1">
        <v>13311413.1032071</v>
      </c>
      <c r="EA11" s="1">
        <v>3858319.3795595202</v>
      </c>
      <c r="EB11" s="1">
        <v>3190984.4896856402</v>
      </c>
      <c r="EC11" s="1">
        <v>13777919.608179901</v>
      </c>
      <c r="ED11" s="1">
        <v>9444034.1933367401</v>
      </c>
      <c r="EE11" s="1">
        <v>15937523.397283001</v>
      </c>
      <c r="EF11" s="1">
        <v>145659.19455559301</v>
      </c>
      <c r="EG11" s="1">
        <v>469482.83787187398</v>
      </c>
      <c r="EH11" s="1">
        <v>240636.225650398</v>
      </c>
      <c r="EI11" s="1">
        <v>7758956.23793728</v>
      </c>
      <c r="EJ11" s="1">
        <v>3321198.7586044399</v>
      </c>
      <c r="EK11" s="1">
        <v>5543745.7068005102</v>
      </c>
      <c r="EL11" s="1">
        <v>4377227.0517104296</v>
      </c>
      <c r="EM11" s="1">
        <v>10230156.9915751</v>
      </c>
      <c r="EN11" s="1">
        <v>5159035.5657181703</v>
      </c>
      <c r="EO11" s="1">
        <v>5989548.5269731898</v>
      </c>
      <c r="EP11" s="1">
        <v>60528.424936528201</v>
      </c>
      <c r="EQ11" s="1">
        <v>8352685.0557671301</v>
      </c>
      <c r="ER11" s="1">
        <v>6138401.85489415</v>
      </c>
      <c r="ES11" s="1">
        <v>506075.031951249</v>
      </c>
      <c r="ET11" s="1">
        <v>7817365.7787803197</v>
      </c>
      <c r="EU11" s="1">
        <v>1054088.5947988699</v>
      </c>
      <c r="EV11" s="1">
        <v>1503143.0096209</v>
      </c>
      <c r="EW11" s="1">
        <v>3388896.6669154498</v>
      </c>
      <c r="EX11" s="1">
        <v>822785.73617168097</v>
      </c>
      <c r="EY11" s="1">
        <v>188185.67107864199</v>
      </c>
      <c r="EZ11" s="1">
        <v>3447477.1711824802</v>
      </c>
      <c r="FA11" s="1">
        <v>2091998.9899976701</v>
      </c>
      <c r="FB11" s="1">
        <v>4638232.4492301</v>
      </c>
      <c r="FC11" s="1">
        <v>3202064.7507426701</v>
      </c>
      <c r="FD11" s="1">
        <v>10898.773261823901</v>
      </c>
      <c r="FE11" s="1">
        <v>3223893.1168338102</v>
      </c>
      <c r="FF11" s="1">
        <v>2001812.93734918</v>
      </c>
      <c r="FG11" s="1">
        <v>774253.87791947497</v>
      </c>
      <c r="FH11" s="1">
        <v>125088.720309176</v>
      </c>
      <c r="FI11" s="1">
        <v>2042137.44582749</v>
      </c>
      <c r="FJ11" s="1">
        <v>1134417.04226792</v>
      </c>
      <c r="FK11" s="1">
        <v>148333.78453810501</v>
      </c>
      <c r="FL11" s="1">
        <v>47654.074585374103</v>
      </c>
      <c r="FM11" s="1">
        <v>523596.77753928403</v>
      </c>
      <c r="FN11" s="1">
        <v>932459.76032836898</v>
      </c>
      <c r="FO11" s="1">
        <v>499613.97779544198</v>
      </c>
      <c r="FP11" s="1">
        <v>361292.136116518</v>
      </c>
      <c r="FQ11" s="1">
        <v>211904.11757315201</v>
      </c>
      <c r="FR11" s="1">
        <v>670960.92681440397</v>
      </c>
      <c r="FS11" s="1">
        <v>32964.272263247301</v>
      </c>
      <c r="FT11" s="1">
        <v>57175.018217285702</v>
      </c>
    </row>
    <row r="12" spans="1:176">
      <c r="A12" s="2" t="s">
        <v>20</v>
      </c>
      <c r="B12" t="s">
        <v>527</v>
      </c>
      <c r="C12" s="1">
        <v>18495673.332985699</v>
      </c>
      <c r="D12" s="1">
        <v>407355644.62323397</v>
      </c>
      <c r="E12" s="1">
        <v>13958837870.4858</v>
      </c>
      <c r="F12" s="1">
        <v>5840588078.9766998</v>
      </c>
      <c r="G12" s="1">
        <v>2342904990.7063999</v>
      </c>
      <c r="H12" s="1">
        <v>2877986844.81319</v>
      </c>
      <c r="I12" s="1">
        <v>2247178792.8566899</v>
      </c>
      <c r="J12" s="1">
        <v>632679563.83253896</v>
      </c>
      <c r="K12" s="1">
        <v>453495181.921691</v>
      </c>
      <c r="L12" s="1">
        <v>11002478.264964299</v>
      </c>
      <c r="M12" s="1">
        <v>422605043.46045601</v>
      </c>
      <c r="N12" s="1">
        <v>51459746.8601311</v>
      </c>
      <c r="O12" s="1">
        <v>536718742.63583201</v>
      </c>
      <c r="P12" s="1">
        <v>247629224.56579399</v>
      </c>
      <c r="Q12" s="1">
        <v>193098148.45247501</v>
      </c>
      <c r="R12" s="1">
        <v>184412015.50924599</v>
      </c>
      <c r="S12" s="1">
        <v>256581537.95270401</v>
      </c>
      <c r="T12" s="1">
        <v>97876889.834592506</v>
      </c>
      <c r="U12" s="1">
        <v>32652295.012995798</v>
      </c>
      <c r="V12" s="1">
        <v>76576962.067301303</v>
      </c>
      <c r="W12" s="1">
        <v>173883711.611301</v>
      </c>
      <c r="X12" s="1">
        <v>188841412.974518</v>
      </c>
      <c r="Y12" s="1">
        <v>139535180.165999</v>
      </c>
      <c r="Z12" s="1">
        <v>152836275.24787</v>
      </c>
      <c r="AA12" s="1">
        <v>100702956.546371</v>
      </c>
      <c r="AB12" s="1">
        <v>49923236.815434001</v>
      </c>
      <c r="AC12" s="1">
        <v>113292940.126811</v>
      </c>
      <c r="AD12" s="1">
        <v>175626074.07120201</v>
      </c>
      <c r="AE12" s="1">
        <v>143850751.48045799</v>
      </c>
      <c r="AF12" s="1">
        <v>35377006.300462201</v>
      </c>
      <c r="AG12" s="1">
        <v>107450618.56270801</v>
      </c>
      <c r="AH12" s="1">
        <v>34398334.007341601</v>
      </c>
      <c r="AI12" s="1">
        <v>86723086.498614907</v>
      </c>
      <c r="AJ12" s="1">
        <v>110247389.129656</v>
      </c>
      <c r="AK12" s="1">
        <v>123961033.619164</v>
      </c>
      <c r="AL12" s="1">
        <v>156082223.58987701</v>
      </c>
      <c r="AM12" s="1">
        <v>42064582.7363462</v>
      </c>
      <c r="AN12" s="1">
        <v>51987334.643751398</v>
      </c>
      <c r="AO12" s="1">
        <v>138505088.367542</v>
      </c>
      <c r="AP12" s="1">
        <v>41235086.0432631</v>
      </c>
      <c r="AQ12" s="1">
        <v>10370393.5065256</v>
      </c>
      <c r="AR12" s="1">
        <v>27523472.072009601</v>
      </c>
      <c r="AS12" s="1">
        <v>66669528.967696898</v>
      </c>
      <c r="AT12" s="1">
        <v>110275047.29448</v>
      </c>
      <c r="AU12" s="1">
        <v>67360109.779746294</v>
      </c>
      <c r="AV12" s="1">
        <v>106948290.303938</v>
      </c>
      <c r="AW12" s="1">
        <v>65498965.367097601</v>
      </c>
      <c r="AX12" s="1">
        <v>19983816.632760499</v>
      </c>
      <c r="AY12" s="1">
        <v>65686723.988420904</v>
      </c>
      <c r="AZ12" s="1">
        <v>14402645.7984145</v>
      </c>
      <c r="BA12" s="1">
        <v>92264080.694919407</v>
      </c>
      <c r="BB12" s="1">
        <v>79301633.502476603</v>
      </c>
      <c r="BC12" s="1">
        <v>71746509.438563898</v>
      </c>
      <c r="BD12" s="1">
        <v>56061734.860923402</v>
      </c>
      <c r="BE12" s="1">
        <v>34581595.5954163</v>
      </c>
      <c r="BF12" s="1">
        <v>79150860.533666</v>
      </c>
      <c r="BG12" s="1">
        <v>45360499.0677872</v>
      </c>
      <c r="BH12" s="1">
        <v>17665155.212125599</v>
      </c>
      <c r="BI12" s="1">
        <v>33119193.423620299</v>
      </c>
      <c r="BJ12" s="1">
        <v>27682473.858295299</v>
      </c>
      <c r="BK12" s="1">
        <v>55328795.745103702</v>
      </c>
      <c r="BL12" s="1">
        <v>60503189.281700797</v>
      </c>
      <c r="BM12" s="1">
        <v>34100801.189774297</v>
      </c>
      <c r="BN12" s="1">
        <v>222588.927995948</v>
      </c>
      <c r="BO12" s="1">
        <v>46337853.715702698</v>
      </c>
      <c r="BP12" s="1">
        <v>62802237.579507999</v>
      </c>
      <c r="BQ12" s="1">
        <v>8999285.2902028207</v>
      </c>
      <c r="BR12" s="1">
        <v>37182667.451168902</v>
      </c>
      <c r="BS12" s="1">
        <v>3780313.0586187202</v>
      </c>
      <c r="BT12" s="1">
        <v>51458248.411518298</v>
      </c>
      <c r="BU12" s="1">
        <v>4954288.2843159102</v>
      </c>
      <c r="BV12" s="1">
        <v>23272879.335591301</v>
      </c>
      <c r="BW12" s="1">
        <v>1118981.3873686099</v>
      </c>
      <c r="BX12" s="1">
        <v>16014843.890031699</v>
      </c>
      <c r="BY12" s="1">
        <v>20104001.877620298</v>
      </c>
      <c r="BZ12" s="1">
        <v>12266933.668215301</v>
      </c>
      <c r="CA12" s="1">
        <v>318258.11921142403</v>
      </c>
      <c r="CB12" s="1">
        <v>20245054.241101399</v>
      </c>
      <c r="CC12" s="1">
        <v>7967607.4982760204</v>
      </c>
      <c r="CD12" s="1">
        <v>25635571.2833343</v>
      </c>
      <c r="CE12" s="1">
        <v>27837998.6103044</v>
      </c>
      <c r="CF12" s="1">
        <v>729357.09124924894</v>
      </c>
      <c r="CG12" s="1">
        <v>23081075.615043901</v>
      </c>
      <c r="CH12" s="1">
        <v>14476449.978191201</v>
      </c>
      <c r="CI12" s="1">
        <v>12576.3271028773</v>
      </c>
      <c r="CJ12" s="1">
        <v>29647833.9484406</v>
      </c>
      <c r="CK12" s="1">
        <v>23899730.373902</v>
      </c>
      <c r="CL12" s="1">
        <v>30484399.043074299</v>
      </c>
      <c r="CM12" s="1">
        <v>21879957.010340899</v>
      </c>
      <c r="CN12" s="1">
        <v>18271699.312985599</v>
      </c>
      <c r="CO12" s="1">
        <v>28774465.3856223</v>
      </c>
      <c r="CP12" s="1">
        <v>20962951.3398818</v>
      </c>
      <c r="CQ12" s="1">
        <v>9608384.4434666708</v>
      </c>
      <c r="CR12" s="1">
        <v>28112019.841522198</v>
      </c>
      <c r="CS12" s="1">
        <v>19005246.206677899</v>
      </c>
      <c r="CT12" s="1">
        <v>20844052.4393925</v>
      </c>
      <c r="CU12" s="1">
        <v>10774849.9190017</v>
      </c>
      <c r="CV12" s="1">
        <v>21699061.507106598</v>
      </c>
      <c r="CW12" s="1">
        <v>11341674.7435885</v>
      </c>
      <c r="CX12" s="1">
        <v>26243717.251291901</v>
      </c>
      <c r="CY12" s="1">
        <v>15207823.131393701</v>
      </c>
      <c r="CZ12" s="1">
        <v>13231989.020272801</v>
      </c>
      <c r="DA12" s="1">
        <v>4324007.6654170696</v>
      </c>
      <c r="DB12" s="1">
        <v>11234157.187458999</v>
      </c>
      <c r="DC12" s="1">
        <v>20378978.435029101</v>
      </c>
      <c r="DD12" s="1">
        <v>53115.566913545197</v>
      </c>
      <c r="DE12" s="1">
        <v>6943303.8516813098</v>
      </c>
      <c r="DF12" s="1">
        <v>22405309.759688601</v>
      </c>
      <c r="DG12" s="1">
        <v>6041306.5608207397</v>
      </c>
      <c r="DH12" s="1">
        <v>9308277.0252350904</v>
      </c>
      <c r="DI12" s="1">
        <v>10254887.478231</v>
      </c>
      <c r="DJ12" s="1">
        <v>10262007.709844399</v>
      </c>
      <c r="DK12" s="1">
        <v>11963971.0214647</v>
      </c>
      <c r="DL12" s="1">
        <v>5854283.9360424001</v>
      </c>
      <c r="DM12" s="1">
        <v>18603321.522157598</v>
      </c>
      <c r="DN12" s="1">
        <v>9870154.5444774702</v>
      </c>
      <c r="DO12" s="1">
        <v>18841591.019943099</v>
      </c>
      <c r="DP12" s="1">
        <v>12595321.436581099</v>
      </c>
      <c r="DQ12" s="1">
        <v>11190036.166269001</v>
      </c>
      <c r="DR12" s="1">
        <v>8503790.0744136292</v>
      </c>
      <c r="DS12" s="1">
        <v>6540085.9043721799</v>
      </c>
      <c r="DT12" s="1">
        <v>11362.7332837088</v>
      </c>
      <c r="DU12" s="1">
        <v>9580617.9866399392</v>
      </c>
      <c r="DV12" s="1">
        <v>10094316.593064601</v>
      </c>
      <c r="DW12" s="1">
        <v>495782.801095712</v>
      </c>
      <c r="DX12" s="1">
        <v>12107852.446649101</v>
      </c>
      <c r="DY12" s="1">
        <v>6612857.7595529398</v>
      </c>
      <c r="DZ12" s="1">
        <v>2146377.3387368699</v>
      </c>
      <c r="EA12" s="1">
        <v>8859268.5452163592</v>
      </c>
      <c r="EB12" s="1">
        <v>13310463.6160163</v>
      </c>
      <c r="EC12" s="1">
        <v>1043678.49236454</v>
      </c>
      <c r="ED12" s="1">
        <v>2601440.4653659798</v>
      </c>
      <c r="EE12" s="1">
        <v>11771286.338151401</v>
      </c>
      <c r="EF12" s="1">
        <v>118027.029924246</v>
      </c>
      <c r="EG12" s="1">
        <v>5519994.4050906897</v>
      </c>
      <c r="EH12" s="1">
        <v>3117641.00686487</v>
      </c>
      <c r="EI12" s="1">
        <v>11947049.148655999</v>
      </c>
      <c r="EJ12" s="1">
        <v>10312809.554435899</v>
      </c>
      <c r="EK12" s="1">
        <v>6509880.38258697</v>
      </c>
      <c r="EL12" s="1">
        <v>8703379.9344940707</v>
      </c>
      <c r="EM12" s="1">
        <v>545107.20383406803</v>
      </c>
      <c r="EN12" s="1">
        <v>7757959.3562212298</v>
      </c>
      <c r="EO12" s="1">
        <v>3842666.0042354199</v>
      </c>
      <c r="EP12" s="1">
        <v>278885.86309595697</v>
      </c>
      <c r="EQ12" s="1">
        <v>8187404.1636702297</v>
      </c>
      <c r="ER12" s="1">
        <v>3635146.1237141099</v>
      </c>
      <c r="ES12" s="1">
        <v>3955355.9234919101</v>
      </c>
      <c r="ET12" s="1">
        <v>3478108.4763642</v>
      </c>
      <c r="EU12" s="1">
        <v>4674104.3626316302</v>
      </c>
      <c r="EV12" s="1">
        <v>2618166.81690284</v>
      </c>
      <c r="EW12" s="1">
        <v>1516851.53231485</v>
      </c>
      <c r="EX12" s="1">
        <v>310533.72759514599</v>
      </c>
      <c r="EY12" s="1">
        <v>4022676.1141583798</v>
      </c>
      <c r="EZ12" s="1">
        <v>5267012.4822776997</v>
      </c>
      <c r="FA12" s="1">
        <v>2091340.6091572701</v>
      </c>
      <c r="FB12" s="1">
        <v>2084404.6851846401</v>
      </c>
      <c r="FC12" s="1">
        <v>2753669.2329953099</v>
      </c>
      <c r="FD12" s="1">
        <v>10919.0355374393</v>
      </c>
      <c r="FE12" s="1">
        <v>2961135.4173194999</v>
      </c>
      <c r="FF12" s="1">
        <v>4069085.5183561598</v>
      </c>
      <c r="FG12" s="1">
        <v>744972.68301181297</v>
      </c>
      <c r="FH12" s="1">
        <v>412679.007638401</v>
      </c>
      <c r="FI12" s="1">
        <v>769376.15421086398</v>
      </c>
      <c r="FJ12" s="1">
        <v>707414.498812426</v>
      </c>
      <c r="FK12" s="1">
        <v>2658325.9481333201</v>
      </c>
      <c r="FL12" s="1">
        <v>42372.402797193601</v>
      </c>
      <c r="FM12" s="1">
        <v>1744787.3814653801</v>
      </c>
      <c r="FN12" s="1">
        <v>1082493.3868396501</v>
      </c>
      <c r="FO12" s="1">
        <v>429150.39882568998</v>
      </c>
      <c r="FP12" s="1">
        <v>1487186.07023816</v>
      </c>
      <c r="FQ12" s="1">
        <v>254666.22925225901</v>
      </c>
      <c r="FR12" s="1">
        <v>284472.02207985602</v>
      </c>
      <c r="FS12" s="1">
        <v>28417.708910244601</v>
      </c>
      <c r="FT12" s="1">
        <v>60507.685938622199</v>
      </c>
    </row>
    <row r="13" spans="1:176">
      <c r="A13" s="2" t="s">
        <v>21</v>
      </c>
      <c r="B13" t="s">
        <v>527</v>
      </c>
      <c r="C13" s="1">
        <v>37212053.567969799</v>
      </c>
      <c r="D13" s="1">
        <v>508090345.71841902</v>
      </c>
      <c r="E13" s="1">
        <v>13410362500.5355</v>
      </c>
      <c r="F13" s="1">
        <v>1914822163.6424799</v>
      </c>
      <c r="G13" s="1">
        <v>2376480872.2794099</v>
      </c>
      <c r="H13" s="1">
        <v>2788971024.03161</v>
      </c>
      <c r="I13" s="1">
        <v>924324495.96684396</v>
      </c>
      <c r="J13" s="1">
        <v>605112698.48720598</v>
      </c>
      <c r="K13" s="1">
        <v>396775263.15657401</v>
      </c>
      <c r="L13" s="1">
        <v>12177862.779915201</v>
      </c>
      <c r="M13" s="1">
        <v>623851875.14233994</v>
      </c>
      <c r="N13" s="1">
        <v>110290825.662917</v>
      </c>
      <c r="O13" s="1">
        <v>170273006.67670399</v>
      </c>
      <c r="P13" s="1">
        <v>170262416.04091901</v>
      </c>
      <c r="Q13" s="1">
        <v>151739236.46825001</v>
      </c>
      <c r="R13" s="1">
        <v>417453702.62128001</v>
      </c>
      <c r="S13" s="1">
        <v>43589043.351620801</v>
      </c>
      <c r="T13" s="1">
        <v>126269077.20369001</v>
      </c>
      <c r="U13" s="1">
        <v>4483194.9283430697</v>
      </c>
      <c r="V13" s="1">
        <v>44184509.334845901</v>
      </c>
      <c r="W13" s="1">
        <v>169716146.55978</v>
      </c>
      <c r="X13" s="1">
        <v>207999491.44109499</v>
      </c>
      <c r="Y13" s="1">
        <v>227891408.186248</v>
      </c>
      <c r="Z13" s="1">
        <v>58054711.975101396</v>
      </c>
      <c r="AA13" s="1">
        <v>107065250.95708001</v>
      </c>
      <c r="AB13" s="1">
        <v>30565693.6409592</v>
      </c>
      <c r="AC13" s="1">
        <v>94830362.243171602</v>
      </c>
      <c r="AD13" s="1">
        <v>165156708.65226501</v>
      </c>
      <c r="AE13" s="1">
        <v>79543264.433226794</v>
      </c>
      <c r="AF13" s="1">
        <v>51032217.558788203</v>
      </c>
      <c r="AG13" s="1">
        <v>179241273.58160901</v>
      </c>
      <c r="AH13" s="1">
        <v>58158369.705986299</v>
      </c>
      <c r="AI13" s="1">
        <v>90481306.724328503</v>
      </c>
      <c r="AJ13" s="1">
        <v>102292197.61494499</v>
      </c>
      <c r="AK13" s="1">
        <v>85870782.864021197</v>
      </c>
      <c r="AL13" s="1">
        <v>1279707.00093828</v>
      </c>
      <c r="AM13" s="1">
        <v>132921476.217371</v>
      </c>
      <c r="AN13" s="1">
        <v>62224354.479501501</v>
      </c>
      <c r="AO13" s="1">
        <v>116319963.939941</v>
      </c>
      <c r="AP13" s="1">
        <v>137957397.894997</v>
      </c>
      <c r="AQ13" s="1">
        <v>9593282.1234486196</v>
      </c>
      <c r="AR13" s="1">
        <v>18434239.436765201</v>
      </c>
      <c r="AS13" s="1">
        <v>95282867.569457799</v>
      </c>
      <c r="AT13" s="1">
        <v>104488559.396604</v>
      </c>
      <c r="AU13" s="1">
        <v>54878759.298958302</v>
      </c>
      <c r="AV13" s="1">
        <v>47873845.591540501</v>
      </c>
      <c r="AW13" s="1">
        <v>50624253.214084402</v>
      </c>
      <c r="AX13" s="1">
        <v>53192059.512864403</v>
      </c>
      <c r="AY13" s="1">
        <v>63398758.717787802</v>
      </c>
      <c r="AZ13" s="1">
        <v>17671477.139326099</v>
      </c>
      <c r="BA13" s="1">
        <v>19443024.905446</v>
      </c>
      <c r="BB13" s="1">
        <v>37388861.358100802</v>
      </c>
      <c r="BC13" s="1">
        <v>65638420.488808498</v>
      </c>
      <c r="BD13" s="1">
        <v>44372703.538380899</v>
      </c>
      <c r="BE13" s="1">
        <v>29553560.233406801</v>
      </c>
      <c r="BF13" s="1">
        <v>11223052.2321619</v>
      </c>
      <c r="BG13" s="1">
        <v>79006291.486400604</v>
      </c>
      <c r="BH13" s="1">
        <v>29569424.2922896</v>
      </c>
      <c r="BI13" s="1">
        <v>19114998.6207885</v>
      </c>
      <c r="BJ13" s="1">
        <v>20368698.520963799</v>
      </c>
      <c r="BK13" s="1">
        <v>49066060.28977</v>
      </c>
      <c r="BL13" s="1">
        <v>31375786.900820199</v>
      </c>
      <c r="BM13" s="1">
        <v>54335614.295065098</v>
      </c>
      <c r="BN13" s="1">
        <v>352563.91945060302</v>
      </c>
      <c r="BO13" s="1">
        <v>47055028.652799599</v>
      </c>
      <c r="BP13" s="1">
        <v>40785300.672804497</v>
      </c>
      <c r="BQ13" s="1">
        <v>5283896.6283748001</v>
      </c>
      <c r="BR13" s="1">
        <v>35338587.314889699</v>
      </c>
      <c r="BS13" s="1">
        <v>3033526.4484019498</v>
      </c>
      <c r="BT13" s="1">
        <v>7526631.0376194501</v>
      </c>
      <c r="BU13" s="1">
        <v>2219437.5693370299</v>
      </c>
      <c r="BV13" s="1">
        <v>19564592.2664597</v>
      </c>
      <c r="BW13" s="1">
        <v>15446578.817565801</v>
      </c>
      <c r="BX13" s="1">
        <v>3259752.5843895101</v>
      </c>
      <c r="BY13" s="1">
        <v>35243594.725829802</v>
      </c>
      <c r="BZ13" s="1">
        <v>12214024.5031601</v>
      </c>
      <c r="CA13" s="1">
        <v>1012510.15571966</v>
      </c>
      <c r="CB13" s="1">
        <v>8478198.5136494692</v>
      </c>
      <c r="CC13" s="1">
        <v>3776195.1865036702</v>
      </c>
      <c r="CD13" s="1">
        <v>35807690.050051197</v>
      </c>
      <c r="CE13" s="1">
        <v>17235248.221293699</v>
      </c>
      <c r="CF13" s="1">
        <v>5131466.5389488703</v>
      </c>
      <c r="CG13" s="1">
        <v>34071033.590477303</v>
      </c>
      <c r="CH13" s="1">
        <v>15094859.886838799</v>
      </c>
      <c r="CI13" s="1">
        <v>197803.55116635701</v>
      </c>
      <c r="CJ13" s="1">
        <v>28389455.089140899</v>
      </c>
      <c r="CK13" s="1">
        <v>31532811.181400999</v>
      </c>
      <c r="CL13" s="1">
        <v>2843193.9454348902</v>
      </c>
      <c r="CM13" s="1">
        <v>1813332.4325015401</v>
      </c>
      <c r="CN13" s="1">
        <v>20912918.908558499</v>
      </c>
      <c r="CO13" s="1">
        <v>19125787.4915636</v>
      </c>
      <c r="CP13" s="1">
        <v>28500710.150269199</v>
      </c>
      <c r="CQ13" s="1">
        <v>1267093.32974201</v>
      </c>
      <c r="CR13" s="1">
        <v>5481433.41088604</v>
      </c>
      <c r="CS13" s="1">
        <v>12309879.2587303</v>
      </c>
      <c r="CT13" s="1">
        <v>15636654.014195099</v>
      </c>
      <c r="CU13" s="1">
        <v>27283110.476525102</v>
      </c>
      <c r="CV13" s="1">
        <v>24294095.7889321</v>
      </c>
      <c r="CW13" s="1">
        <v>14289235.999708701</v>
      </c>
      <c r="CX13" s="1">
        <v>20370904.347713102</v>
      </c>
      <c r="CY13" s="1">
        <v>9179045.9055165201</v>
      </c>
      <c r="CZ13" s="1">
        <v>24453475.869095001</v>
      </c>
      <c r="DA13" s="1">
        <v>1430340.7904842</v>
      </c>
      <c r="DB13" s="1">
        <v>8111220.70546884</v>
      </c>
      <c r="DC13" s="1">
        <v>18185215.735807601</v>
      </c>
      <c r="DD13" s="1">
        <v>1058236.95715366</v>
      </c>
      <c r="DE13" s="1">
        <v>13472556.932844199</v>
      </c>
      <c r="DF13" s="1">
        <v>9250871.3178306408</v>
      </c>
      <c r="DG13" s="1">
        <v>14935575.380266801</v>
      </c>
      <c r="DH13" s="1">
        <v>6561333.3153597396</v>
      </c>
      <c r="DI13" s="1">
        <v>8633775.3707549404</v>
      </c>
      <c r="DJ13" s="1">
        <v>21096204.874687601</v>
      </c>
      <c r="DK13" s="1">
        <v>10408882.517480001</v>
      </c>
      <c r="DL13" s="1">
        <v>20432071.634922899</v>
      </c>
      <c r="DM13" s="1">
        <v>6201921.788195</v>
      </c>
      <c r="DN13" s="1">
        <v>9359858.8168662097</v>
      </c>
      <c r="DO13" s="1">
        <v>15910838.980590001</v>
      </c>
      <c r="DP13" s="1">
        <v>12793501.0454427</v>
      </c>
      <c r="DQ13" s="1">
        <v>19301062.387307599</v>
      </c>
      <c r="DR13" s="1">
        <v>7148152.8809953397</v>
      </c>
      <c r="DS13" s="1">
        <v>4685932.0737107098</v>
      </c>
      <c r="DT13" s="1">
        <v>146726.56658086501</v>
      </c>
      <c r="DU13" s="1">
        <v>12017106.6883549</v>
      </c>
      <c r="DV13" s="1">
        <v>9164098.5389065202</v>
      </c>
      <c r="DW13" s="1">
        <v>2349067.2732501398</v>
      </c>
      <c r="DX13" s="1">
        <v>17095863.7291186</v>
      </c>
      <c r="DY13" s="1">
        <v>6700603.30598344</v>
      </c>
      <c r="DZ13" s="1">
        <v>6811481.42872582</v>
      </c>
      <c r="EA13" s="1">
        <v>3376839.9691688102</v>
      </c>
      <c r="EB13" s="1">
        <v>9747484.3381898906</v>
      </c>
      <c r="EC13" s="1">
        <v>7480175.1036250703</v>
      </c>
      <c r="ED13" s="1">
        <v>4127262.6427434399</v>
      </c>
      <c r="EE13" s="1">
        <v>8931629.0970540792</v>
      </c>
      <c r="EF13" s="1">
        <v>268860.71482302301</v>
      </c>
      <c r="EG13" s="1">
        <v>8057215.9905794403</v>
      </c>
      <c r="EH13" s="1">
        <v>4105900.8292206</v>
      </c>
      <c r="EI13" s="1">
        <v>8884504.7767060902</v>
      </c>
      <c r="EJ13" s="1">
        <v>8185529.7919677403</v>
      </c>
      <c r="EK13" s="1">
        <v>6813574.0333251804</v>
      </c>
      <c r="EL13" s="1">
        <v>4658523.3166409396</v>
      </c>
      <c r="EM13" s="1">
        <v>1683184.7349833399</v>
      </c>
      <c r="EN13" s="1">
        <v>7099695.71558904</v>
      </c>
      <c r="EO13" s="1">
        <v>9315873.0919484906</v>
      </c>
      <c r="EP13" s="1">
        <v>943107.0915024</v>
      </c>
      <c r="EQ13" s="1">
        <v>7030081.2680369904</v>
      </c>
      <c r="ER13" s="1">
        <v>3070451.01180383</v>
      </c>
      <c r="ES13" s="1">
        <v>4543790.3531301403</v>
      </c>
      <c r="ET13" s="1">
        <v>4902198.5988428099</v>
      </c>
      <c r="EU13" s="1">
        <v>4862137.1958203204</v>
      </c>
      <c r="EV13" s="1">
        <v>2666720.3952011201</v>
      </c>
      <c r="EW13" s="1">
        <v>3043981.5891555701</v>
      </c>
      <c r="EX13" s="1">
        <v>1640268.91436253</v>
      </c>
      <c r="EY13" s="1">
        <v>3602070.6136064199</v>
      </c>
      <c r="EZ13" s="1">
        <v>4180543.3311169799</v>
      </c>
      <c r="FA13" s="1">
        <v>2546737.9311762201</v>
      </c>
      <c r="FB13" s="1">
        <v>226211.25590242099</v>
      </c>
      <c r="FC13" s="1">
        <v>2875327.6756630801</v>
      </c>
      <c r="FD13" s="1">
        <v>75828.455270100094</v>
      </c>
      <c r="FE13" s="1">
        <v>2168873.1235463298</v>
      </c>
      <c r="FF13" s="1">
        <v>3144962.2339070998</v>
      </c>
      <c r="FG13" s="1">
        <v>4028089.1170037999</v>
      </c>
      <c r="FH13" s="1">
        <v>913949.29019077704</v>
      </c>
      <c r="FI13" s="1">
        <v>1198419.3992673799</v>
      </c>
      <c r="FJ13" s="1">
        <v>1350729.94820636</v>
      </c>
      <c r="FK13" s="1">
        <v>2746996.5608139602</v>
      </c>
      <c r="FL13" s="1">
        <v>297038.20959704998</v>
      </c>
      <c r="FM13" s="1">
        <v>549736.11356328998</v>
      </c>
      <c r="FN13" s="1">
        <v>886566.85914718302</v>
      </c>
      <c r="FO13" s="1">
        <v>667466.24766572297</v>
      </c>
      <c r="FP13" s="1">
        <v>317295.34501816402</v>
      </c>
      <c r="FQ13" s="1">
        <v>1346351.1449525901</v>
      </c>
      <c r="FR13" s="1">
        <v>528176.11984553898</v>
      </c>
      <c r="FS13" s="1">
        <v>88412.415449226304</v>
      </c>
      <c r="FT13" s="1">
        <v>65086.686179163698</v>
      </c>
    </row>
    <row r="14" spans="1:176">
      <c r="A14" s="2" t="s">
        <v>22</v>
      </c>
      <c r="B14" t="s">
        <v>528</v>
      </c>
      <c r="C14" s="1">
        <v>46238487.185549602</v>
      </c>
      <c r="D14" s="1">
        <v>29596104993.5341</v>
      </c>
      <c r="E14" s="1">
        <v>18892948315.6492</v>
      </c>
      <c r="F14" s="1">
        <v>3869549841.6391401</v>
      </c>
      <c r="G14" s="1">
        <v>2282814802.8452301</v>
      </c>
      <c r="H14" s="1">
        <v>4099897703.1882701</v>
      </c>
      <c r="I14" s="1">
        <v>1660685069.36325</v>
      </c>
      <c r="J14" s="1">
        <v>1605778550.6538999</v>
      </c>
      <c r="K14" s="1">
        <v>574292707.32238305</v>
      </c>
      <c r="L14" s="1">
        <v>459625082.689758</v>
      </c>
      <c r="M14" s="1">
        <v>296014851.44172603</v>
      </c>
      <c r="N14" s="1">
        <v>47820015.946210302</v>
      </c>
      <c r="O14" s="1">
        <v>48796033.273931198</v>
      </c>
      <c r="P14" s="1">
        <v>142100154.09466201</v>
      </c>
      <c r="Q14" s="1">
        <v>271558741.84637702</v>
      </c>
      <c r="R14" s="1">
        <v>143814402.928718</v>
      </c>
      <c r="S14" s="1">
        <v>34849188.839977801</v>
      </c>
      <c r="T14" s="1">
        <v>86166195.460962996</v>
      </c>
      <c r="U14" s="1">
        <v>63039338.660737403</v>
      </c>
      <c r="V14" s="1">
        <v>133394798.705038</v>
      </c>
      <c r="W14" s="1">
        <v>177004387.44747901</v>
      </c>
      <c r="X14" s="1">
        <v>233982425.64814699</v>
      </c>
      <c r="Y14" s="1">
        <v>15791149.708059501</v>
      </c>
      <c r="Z14" s="1">
        <v>41354766.773903102</v>
      </c>
      <c r="AA14" s="1">
        <v>416517.61196776299</v>
      </c>
      <c r="AB14" s="1">
        <v>47712026.4133031</v>
      </c>
      <c r="AC14" s="1">
        <v>118792079.48306499</v>
      </c>
      <c r="AD14" s="1">
        <v>51973990.260791697</v>
      </c>
      <c r="AE14" s="1">
        <v>85268777.626215994</v>
      </c>
      <c r="AF14" s="1">
        <v>24557554.2661056</v>
      </c>
      <c r="AG14" s="1">
        <v>25136550.192504901</v>
      </c>
      <c r="AH14" s="1">
        <v>15262742.148409</v>
      </c>
      <c r="AI14" s="1">
        <v>92099785.352961093</v>
      </c>
      <c r="AJ14" s="1">
        <v>104829621.154817</v>
      </c>
      <c r="AK14" s="1">
        <v>164553538.112629</v>
      </c>
      <c r="AL14" s="1">
        <v>55762993.145006098</v>
      </c>
      <c r="AM14" s="1">
        <v>150506958.21788201</v>
      </c>
      <c r="AN14" s="1">
        <v>20749990.597887699</v>
      </c>
      <c r="AO14" s="1">
        <v>89933570.597337201</v>
      </c>
      <c r="AP14" s="1">
        <v>45408047.806701303</v>
      </c>
      <c r="AQ14" s="1">
        <v>12794968.632469799</v>
      </c>
      <c r="AR14" s="1">
        <v>119522174.830292</v>
      </c>
      <c r="AS14" s="1">
        <v>97013708.784573093</v>
      </c>
      <c r="AT14" s="1">
        <v>57860373.2109598</v>
      </c>
      <c r="AU14" s="1">
        <v>79854105.421841294</v>
      </c>
      <c r="AV14" s="1">
        <v>71158591.459659204</v>
      </c>
      <c r="AW14" s="1">
        <v>38855141.901203804</v>
      </c>
      <c r="AX14" s="1">
        <v>43143070.687988602</v>
      </c>
      <c r="AY14" s="1">
        <v>16219477.426832501</v>
      </c>
      <c r="AZ14" s="1">
        <v>93215807.536595404</v>
      </c>
      <c r="BA14" s="1">
        <v>16803057.661552399</v>
      </c>
      <c r="BB14" s="1">
        <v>65965725.959567003</v>
      </c>
      <c r="BC14" s="1">
        <v>68199066.365986899</v>
      </c>
      <c r="BD14" s="1">
        <v>78145102.873694196</v>
      </c>
      <c r="BE14" s="1">
        <v>32509636.901510201</v>
      </c>
      <c r="BF14" s="1">
        <v>15018791.5779432</v>
      </c>
      <c r="BG14" s="1">
        <v>43037965.229628399</v>
      </c>
      <c r="BH14" s="1">
        <v>21806371.945998602</v>
      </c>
      <c r="BI14" s="1">
        <v>29980762.138951</v>
      </c>
      <c r="BJ14" s="1">
        <v>46671513.839816898</v>
      </c>
      <c r="BK14" s="1">
        <v>65838868.215032503</v>
      </c>
      <c r="BL14" s="1">
        <v>32961316.722916499</v>
      </c>
      <c r="BM14" s="1">
        <v>45020535.142762303</v>
      </c>
      <c r="BN14" s="1">
        <v>704703.310277774</v>
      </c>
      <c r="BO14" s="1">
        <v>30738797.964579999</v>
      </c>
      <c r="BP14" s="1">
        <v>44171278.675882101</v>
      </c>
      <c r="BQ14" s="1">
        <v>5679189.93940436</v>
      </c>
      <c r="BR14" s="1">
        <v>27732868.677692</v>
      </c>
      <c r="BS14" s="1">
        <v>2956395.4175957199</v>
      </c>
      <c r="BT14" s="1">
        <v>11766499.8095241</v>
      </c>
      <c r="BU14" s="1">
        <v>1605440.3032994701</v>
      </c>
      <c r="BV14" s="1">
        <v>19323175.869846899</v>
      </c>
      <c r="BW14" s="1">
        <v>12839161.643397599</v>
      </c>
      <c r="BX14" s="1">
        <v>10093589.043502999</v>
      </c>
      <c r="BY14" s="1">
        <v>22022677.149472401</v>
      </c>
      <c r="BZ14" s="1">
        <v>14881046.803065401</v>
      </c>
      <c r="CA14" s="1">
        <v>39925437.625431098</v>
      </c>
      <c r="CB14" s="1">
        <v>19864845.453258701</v>
      </c>
      <c r="CC14" s="1">
        <v>11426463.2901494</v>
      </c>
      <c r="CD14" s="1">
        <v>17613738.655170701</v>
      </c>
      <c r="CE14" s="1">
        <v>21914777.854085598</v>
      </c>
      <c r="CF14" s="1">
        <v>6280256.8424252104</v>
      </c>
      <c r="CG14" s="1">
        <v>24859883.6730843</v>
      </c>
      <c r="CH14" s="1">
        <v>13059021.082302799</v>
      </c>
      <c r="CI14" s="1">
        <v>198049.811777225</v>
      </c>
      <c r="CJ14" s="1">
        <v>32657241.837154299</v>
      </c>
      <c r="CK14" s="1">
        <v>15125781.909770001</v>
      </c>
      <c r="CL14" s="1">
        <v>1912655.27994537</v>
      </c>
      <c r="CM14" s="1">
        <v>26054988.9283172</v>
      </c>
      <c r="CN14" s="1">
        <v>14288866.9933213</v>
      </c>
      <c r="CO14" s="1">
        <v>16934991.1820389</v>
      </c>
      <c r="CP14" s="1">
        <v>11164822.729960799</v>
      </c>
      <c r="CQ14" s="1">
        <v>2479549.37436635</v>
      </c>
      <c r="CR14" s="1">
        <v>11026991.170600999</v>
      </c>
      <c r="CS14" s="1">
        <v>23715162.3031452</v>
      </c>
      <c r="CT14" s="1">
        <v>22090042.477845602</v>
      </c>
      <c r="CU14" s="1">
        <v>4091774.9546701298</v>
      </c>
      <c r="CV14" s="1">
        <v>14566445.225866901</v>
      </c>
      <c r="CW14" s="1">
        <v>17907467.646481201</v>
      </c>
      <c r="CX14" s="1">
        <v>12651402.112877199</v>
      </c>
      <c r="CY14" s="1">
        <v>7297697.3521610796</v>
      </c>
      <c r="CZ14" s="1">
        <v>17346870.5820782</v>
      </c>
      <c r="DA14" s="1">
        <v>1914155.5009065301</v>
      </c>
      <c r="DB14" s="1">
        <v>8232923.1441304097</v>
      </c>
      <c r="DC14" s="1">
        <v>17602536.977177601</v>
      </c>
      <c r="DD14" s="1">
        <v>789372.41876999103</v>
      </c>
      <c r="DE14" s="1">
        <v>14157216.5140117</v>
      </c>
      <c r="DF14" s="1">
        <v>10144195.4049652</v>
      </c>
      <c r="DG14" s="1">
        <v>14907479.9681269</v>
      </c>
      <c r="DH14" s="1">
        <v>21376343.122194801</v>
      </c>
      <c r="DI14" s="1">
        <v>21201053.497918099</v>
      </c>
      <c r="DJ14" s="1">
        <v>3756247.7005197098</v>
      </c>
      <c r="DK14" s="1">
        <v>6354447.1819303399</v>
      </c>
      <c r="DL14" s="1">
        <v>12157463.983210901</v>
      </c>
      <c r="DM14" s="1">
        <v>10370168.947588099</v>
      </c>
      <c r="DN14" s="1">
        <v>14280518.040050499</v>
      </c>
      <c r="DO14" s="1">
        <v>9357581.6218791306</v>
      </c>
      <c r="DP14" s="1">
        <v>15065927.3369653</v>
      </c>
      <c r="DQ14" s="1">
        <v>5929011.5887928298</v>
      </c>
      <c r="DR14" s="1">
        <v>8009931.6386656603</v>
      </c>
      <c r="DS14" s="1">
        <v>6923042.8666875204</v>
      </c>
      <c r="DT14" s="1">
        <v>10909.522382990401</v>
      </c>
      <c r="DU14" s="1">
        <v>11725059.916028</v>
      </c>
      <c r="DV14" s="1">
        <v>4208444.5833726404</v>
      </c>
      <c r="DW14" s="1">
        <v>510450.44239945302</v>
      </c>
      <c r="DX14" s="1">
        <v>9063111.3456200995</v>
      </c>
      <c r="DY14" s="1">
        <v>9565890.0790564306</v>
      </c>
      <c r="DZ14" s="1">
        <v>6166475.1446031099</v>
      </c>
      <c r="EA14" s="1">
        <v>6548395.5683522997</v>
      </c>
      <c r="EB14" s="1">
        <v>9805672.0585076995</v>
      </c>
      <c r="EC14" s="1">
        <v>946901.18976910505</v>
      </c>
      <c r="ED14" s="1">
        <v>15955102.199000601</v>
      </c>
      <c r="EE14" s="1">
        <v>11638347.1608551</v>
      </c>
      <c r="EF14" s="1">
        <v>203854.85329533799</v>
      </c>
      <c r="EG14" s="1">
        <v>5279945.1732415399</v>
      </c>
      <c r="EH14" s="1">
        <v>2835143.8749161698</v>
      </c>
      <c r="EI14" s="1">
        <v>6616318.3918857798</v>
      </c>
      <c r="EJ14" s="1">
        <v>11147941.191946801</v>
      </c>
      <c r="EK14" s="1">
        <v>4621015.5455739303</v>
      </c>
      <c r="EL14" s="1">
        <v>10445850.9399738</v>
      </c>
      <c r="EM14" s="1">
        <v>109232.946030145</v>
      </c>
      <c r="EN14" s="1">
        <v>2858272.0284695299</v>
      </c>
      <c r="EO14" s="1">
        <v>5189882.0443238104</v>
      </c>
      <c r="EP14" s="1">
        <v>687415.34563878004</v>
      </c>
      <c r="EQ14" s="1">
        <v>6611536.6211253004</v>
      </c>
      <c r="ER14" s="1">
        <v>8287029.9875445897</v>
      </c>
      <c r="ES14" s="1">
        <v>4232864.2357558999</v>
      </c>
      <c r="ET14" s="1">
        <v>5771214.2443055399</v>
      </c>
      <c r="EU14" s="1">
        <v>3153668.9487231802</v>
      </c>
      <c r="EV14" s="1">
        <v>1615279.69845034</v>
      </c>
      <c r="EW14" s="1">
        <v>5910755.2773042899</v>
      </c>
      <c r="EX14" s="1">
        <v>1705031.8562467999</v>
      </c>
      <c r="EY14" s="1">
        <v>1172399.9894012201</v>
      </c>
      <c r="EZ14" s="1">
        <v>2538663.8070119498</v>
      </c>
      <c r="FA14" s="1">
        <v>1691691.81422929</v>
      </c>
      <c r="FB14" s="1">
        <v>1417685.51807338</v>
      </c>
      <c r="FC14" s="1">
        <v>3090705.94699215</v>
      </c>
      <c r="FD14" s="1">
        <v>122199.645377102</v>
      </c>
      <c r="FE14" s="1">
        <v>1601923.0593091201</v>
      </c>
      <c r="FF14" s="1">
        <v>2482555.5946709299</v>
      </c>
      <c r="FG14" s="1">
        <v>514431.62844183901</v>
      </c>
      <c r="FH14" s="1">
        <v>982894.01889045699</v>
      </c>
      <c r="FI14" s="1">
        <v>1371270.4107647</v>
      </c>
      <c r="FJ14" s="1">
        <v>978362.81146402506</v>
      </c>
      <c r="FK14" s="1">
        <v>2031409.9241578099</v>
      </c>
      <c r="FL14" s="1">
        <v>331419.18753418501</v>
      </c>
      <c r="FM14" s="1">
        <v>442453.31860428897</v>
      </c>
      <c r="FN14" s="1">
        <v>1461169.90984174</v>
      </c>
      <c r="FO14" s="1">
        <v>359744.76333921502</v>
      </c>
      <c r="FP14" s="1">
        <v>195621.25487734401</v>
      </c>
      <c r="FQ14" s="1">
        <v>561045.21125397901</v>
      </c>
      <c r="FR14" s="1">
        <v>272162.06337661698</v>
      </c>
      <c r="FS14" s="1">
        <v>52542.310850305497</v>
      </c>
      <c r="FT14" s="1">
        <v>69547.755521098006</v>
      </c>
    </row>
    <row r="15" spans="1:176">
      <c r="A15" s="2" t="s">
        <v>23</v>
      </c>
      <c r="B15" t="s">
        <v>528</v>
      </c>
      <c r="C15" s="1">
        <v>70811295.878647894</v>
      </c>
      <c r="D15" s="1">
        <v>1435705093.4418499</v>
      </c>
      <c r="E15" s="1">
        <v>18668889365.155602</v>
      </c>
      <c r="F15" s="1">
        <v>2807480240.4756899</v>
      </c>
      <c r="G15" s="1">
        <v>2285546156.4568501</v>
      </c>
      <c r="H15" s="1">
        <v>3177714843.4169698</v>
      </c>
      <c r="I15" s="1">
        <v>1318603606.9558499</v>
      </c>
      <c r="J15" s="1">
        <v>553440097.98790205</v>
      </c>
      <c r="K15" s="1">
        <v>615234440.46884406</v>
      </c>
      <c r="L15" s="1">
        <v>65910200.818860702</v>
      </c>
      <c r="M15" s="1">
        <v>308402684.53717601</v>
      </c>
      <c r="N15" s="1">
        <v>334659359.78533798</v>
      </c>
      <c r="O15" s="1">
        <v>53651364.2027606</v>
      </c>
      <c r="P15" s="1">
        <v>204216580.58366001</v>
      </c>
      <c r="Q15" s="1">
        <v>194409228.40774</v>
      </c>
      <c r="R15" s="1">
        <v>124196542.958731</v>
      </c>
      <c r="S15" s="1">
        <v>141049018.04848301</v>
      </c>
      <c r="T15" s="1">
        <v>237630629.449047</v>
      </c>
      <c r="U15" s="1">
        <v>34650059.786950797</v>
      </c>
      <c r="V15" s="1">
        <v>108659907.622536</v>
      </c>
      <c r="W15" s="1">
        <v>206388905.49195299</v>
      </c>
      <c r="X15" s="1">
        <v>170826923.04606301</v>
      </c>
      <c r="Y15" s="1">
        <v>35139524.524303697</v>
      </c>
      <c r="Z15" s="1">
        <v>79135042.047397897</v>
      </c>
      <c r="AA15" s="1">
        <v>66177011.193582803</v>
      </c>
      <c r="AB15" s="1">
        <v>46699526.923198901</v>
      </c>
      <c r="AC15" s="1">
        <v>132871524.331598</v>
      </c>
      <c r="AD15" s="1">
        <v>81669965.448647097</v>
      </c>
      <c r="AE15" s="1">
        <v>94990669.603528902</v>
      </c>
      <c r="AF15" s="1">
        <v>5570034.7592122704</v>
      </c>
      <c r="AG15" s="1">
        <v>59328502.675869502</v>
      </c>
      <c r="AH15" s="1">
        <v>17560446.5319575</v>
      </c>
      <c r="AI15" s="1">
        <v>140865527.93229699</v>
      </c>
      <c r="AJ15" s="1">
        <v>165263279.29949799</v>
      </c>
      <c r="AK15" s="1">
        <v>83823721.633122504</v>
      </c>
      <c r="AL15" s="1">
        <v>45714492.635123901</v>
      </c>
      <c r="AM15" s="1">
        <v>86325630.801063195</v>
      </c>
      <c r="AN15" s="1">
        <v>21778441.286911801</v>
      </c>
      <c r="AO15" s="1">
        <v>65753086.0624993</v>
      </c>
      <c r="AP15" s="1">
        <v>47724101.919802099</v>
      </c>
      <c r="AQ15" s="1">
        <v>135848444.7166</v>
      </c>
      <c r="AR15" s="1">
        <v>19163240.152386699</v>
      </c>
      <c r="AS15" s="1">
        <v>111123221.98756599</v>
      </c>
      <c r="AT15" s="1">
        <v>57943821.411339</v>
      </c>
      <c r="AU15" s="1">
        <v>34283088.217903197</v>
      </c>
      <c r="AV15" s="1">
        <v>77240406.135916397</v>
      </c>
      <c r="AW15" s="1">
        <v>63132273.840498097</v>
      </c>
      <c r="AX15" s="1">
        <v>41187124.496485397</v>
      </c>
      <c r="AY15" s="1">
        <v>95224534.6884415</v>
      </c>
      <c r="AZ15" s="1">
        <v>65982850.436074398</v>
      </c>
      <c r="BA15" s="1">
        <v>18493756.1018099</v>
      </c>
      <c r="BB15" s="1">
        <v>61683746.414498597</v>
      </c>
      <c r="BC15" s="1">
        <v>76205378.258886203</v>
      </c>
      <c r="BD15" s="1">
        <v>61492999.439865202</v>
      </c>
      <c r="BE15" s="1">
        <v>64773794.150924303</v>
      </c>
      <c r="BF15" s="1">
        <v>16654051.0349705</v>
      </c>
      <c r="BG15" s="1">
        <v>22697696.354851998</v>
      </c>
      <c r="BH15" s="1">
        <v>22184894.457017701</v>
      </c>
      <c r="BI15" s="1">
        <v>20310341.676099099</v>
      </c>
      <c r="BJ15" s="1">
        <v>42620054.422493704</v>
      </c>
      <c r="BK15" s="1">
        <v>47004013.842385098</v>
      </c>
      <c r="BL15" s="1">
        <v>49927068.082157597</v>
      </c>
      <c r="BM15" s="1">
        <v>42495137.335885502</v>
      </c>
      <c r="BN15" s="1">
        <v>1059487.59515681</v>
      </c>
      <c r="BO15" s="1">
        <v>40341734.636041097</v>
      </c>
      <c r="BP15" s="1">
        <v>34122630.915386103</v>
      </c>
      <c r="BQ15" s="1">
        <v>5984586.1942039598</v>
      </c>
      <c r="BR15" s="1">
        <v>24745088.72772</v>
      </c>
      <c r="BS15" s="1">
        <v>3938919.0007574698</v>
      </c>
      <c r="BT15" s="1">
        <v>12109186.349314</v>
      </c>
      <c r="BU15" s="1">
        <v>6395499.6243118597</v>
      </c>
      <c r="BV15" s="1">
        <v>20761668.7465594</v>
      </c>
      <c r="BW15" s="1">
        <v>2370815.6218191399</v>
      </c>
      <c r="BX15" s="1">
        <v>15626163.4931968</v>
      </c>
      <c r="BY15" s="1">
        <v>19650281.4914071</v>
      </c>
      <c r="BZ15" s="1">
        <v>37840495.756797001</v>
      </c>
      <c r="CA15" s="1">
        <v>729811.59478545096</v>
      </c>
      <c r="CB15" s="1">
        <v>8541872.1185344197</v>
      </c>
      <c r="CC15" s="1">
        <v>7818648.2567504002</v>
      </c>
      <c r="CD15" s="1">
        <v>16222085.091241</v>
      </c>
      <c r="CE15" s="1">
        <v>17961071.937770799</v>
      </c>
      <c r="CF15" s="1">
        <v>5751847.9082292803</v>
      </c>
      <c r="CG15" s="1">
        <v>22379987.568987299</v>
      </c>
      <c r="CH15" s="1">
        <v>12905041.211441699</v>
      </c>
      <c r="CI15" s="1">
        <v>195611.06124844999</v>
      </c>
      <c r="CJ15" s="1">
        <v>26470280.2587726</v>
      </c>
      <c r="CK15" s="1">
        <v>14691633.813671499</v>
      </c>
      <c r="CL15" s="1">
        <v>1488285.8733236601</v>
      </c>
      <c r="CM15" s="1">
        <v>15227998.4499061</v>
      </c>
      <c r="CN15" s="1">
        <v>23797727.2503323</v>
      </c>
      <c r="CO15" s="1">
        <v>10944581.5908846</v>
      </c>
      <c r="CP15" s="1">
        <v>8723046.4500758108</v>
      </c>
      <c r="CQ15" s="1">
        <v>3151365.8614005102</v>
      </c>
      <c r="CR15" s="1">
        <v>9537047.6803779397</v>
      </c>
      <c r="CS15" s="1">
        <v>17334400.513746299</v>
      </c>
      <c r="CT15" s="1">
        <v>19673402.141960502</v>
      </c>
      <c r="CU15" s="1">
        <v>4802613.4304634798</v>
      </c>
      <c r="CV15" s="1">
        <v>17758564.396167401</v>
      </c>
      <c r="CW15" s="1">
        <v>19598818.132948101</v>
      </c>
      <c r="CX15" s="1">
        <v>11039075.103915</v>
      </c>
      <c r="CY15" s="1">
        <v>13235814.398244699</v>
      </c>
      <c r="CZ15" s="1">
        <v>13053024.303339001</v>
      </c>
      <c r="DA15" s="1">
        <v>2790100.2470839699</v>
      </c>
      <c r="DB15" s="1">
        <v>9170773.4871159103</v>
      </c>
      <c r="DC15" s="1">
        <v>14043834.329562301</v>
      </c>
      <c r="DD15" s="1">
        <v>1000553.0848025</v>
      </c>
      <c r="DE15" s="1">
        <v>12628258.4602207</v>
      </c>
      <c r="DF15" s="1">
        <v>12663008.373050001</v>
      </c>
      <c r="DG15" s="1">
        <v>21883204.685818199</v>
      </c>
      <c r="DH15" s="1">
        <v>6143356.2152107302</v>
      </c>
      <c r="DI15" s="1">
        <v>15390392.122493301</v>
      </c>
      <c r="DJ15" s="1">
        <v>5108439.85143016</v>
      </c>
      <c r="DK15" s="1">
        <v>12161431.4045757</v>
      </c>
      <c r="DL15" s="1">
        <v>15099842.9089818</v>
      </c>
      <c r="DM15" s="1">
        <v>6050926.8465739898</v>
      </c>
      <c r="DN15" s="1">
        <v>10449302.050449399</v>
      </c>
      <c r="DO15" s="1">
        <v>12287934.0788109</v>
      </c>
      <c r="DP15" s="1">
        <v>1569469.21036806</v>
      </c>
      <c r="DQ15" s="1">
        <v>6973358.7650540397</v>
      </c>
      <c r="DR15" s="1">
        <v>12629169.2307813</v>
      </c>
      <c r="DS15" s="1">
        <v>6343759.66725381</v>
      </c>
      <c r="DT15" s="1">
        <v>51995.051918334597</v>
      </c>
      <c r="DU15" s="1">
        <v>10247832.344459601</v>
      </c>
      <c r="DV15" s="1">
        <v>3607334.3851024499</v>
      </c>
      <c r="DW15" s="1">
        <v>701958.73727914796</v>
      </c>
      <c r="DX15" s="1">
        <v>12515380.6704694</v>
      </c>
      <c r="DY15" s="1">
        <v>8536027.5463584196</v>
      </c>
      <c r="DZ15" s="1">
        <v>6231655.9937089402</v>
      </c>
      <c r="EA15" s="1">
        <v>5272277.9722513398</v>
      </c>
      <c r="EB15" s="1">
        <v>15504403.752209401</v>
      </c>
      <c r="EC15" s="1">
        <v>2918610.9796462101</v>
      </c>
      <c r="ED15" s="1">
        <v>13253009.2084828</v>
      </c>
      <c r="EE15" s="1">
        <v>10614939.7936342</v>
      </c>
      <c r="EF15" s="1">
        <v>105731.764547019</v>
      </c>
      <c r="EG15" s="1">
        <v>4071329.7258120701</v>
      </c>
      <c r="EH15" s="1">
        <v>2680519.3698395202</v>
      </c>
      <c r="EI15" s="1">
        <v>5600842.9912005197</v>
      </c>
      <c r="EJ15" s="1">
        <v>4526179.1450087503</v>
      </c>
      <c r="EK15" s="1">
        <v>8359438.7030241899</v>
      </c>
      <c r="EL15" s="1">
        <v>5173744.5100457296</v>
      </c>
      <c r="EM15" s="1">
        <v>1850424.4064201801</v>
      </c>
      <c r="EN15" s="1">
        <v>7422131.0701487102</v>
      </c>
      <c r="EO15" s="1">
        <v>4351815.4973574197</v>
      </c>
      <c r="EP15" s="1">
        <v>301970.76054826198</v>
      </c>
      <c r="EQ15" s="1">
        <v>8413780.1397929005</v>
      </c>
      <c r="ER15" s="1">
        <v>6466693.5255887704</v>
      </c>
      <c r="ES15" s="1">
        <v>443693.20609745203</v>
      </c>
      <c r="ET15" s="1">
        <v>3346645.7303607399</v>
      </c>
      <c r="EU15" s="1">
        <v>3739867.00473744</v>
      </c>
      <c r="EV15" s="1">
        <v>1826543.11274697</v>
      </c>
      <c r="EW15" s="1">
        <v>3363257.2791975602</v>
      </c>
      <c r="EX15" s="1">
        <v>1609816.22958139</v>
      </c>
      <c r="EY15" s="1">
        <v>3104668.2402194901</v>
      </c>
      <c r="EZ15" s="1">
        <v>1732449.86572549</v>
      </c>
      <c r="FA15" s="1">
        <v>1557011.03039952</v>
      </c>
      <c r="FB15" s="1">
        <v>904834.88306807005</v>
      </c>
      <c r="FC15" s="1">
        <v>2925969.3549483502</v>
      </c>
      <c r="FD15" s="1">
        <v>154305.40289696099</v>
      </c>
      <c r="FE15" s="1">
        <v>1573642.07864121</v>
      </c>
      <c r="FF15" s="1">
        <v>2403466.7606125199</v>
      </c>
      <c r="FG15" s="1">
        <v>651465.17725319997</v>
      </c>
      <c r="FH15" s="1">
        <v>915478.02868885396</v>
      </c>
      <c r="FI15" s="1">
        <v>1240812.44056218</v>
      </c>
      <c r="FJ15" s="1">
        <v>212792.239905861</v>
      </c>
      <c r="FK15" s="1">
        <v>2579045.0622265399</v>
      </c>
      <c r="FL15" s="1">
        <v>61465.756905150003</v>
      </c>
      <c r="FM15" s="1">
        <v>424336.172061069</v>
      </c>
      <c r="FN15" s="1">
        <v>2243614.1867952701</v>
      </c>
      <c r="FO15" s="1">
        <v>434095.53809259302</v>
      </c>
      <c r="FP15" s="1">
        <v>337717.012481393</v>
      </c>
      <c r="FQ15" s="1">
        <v>860455.89616632205</v>
      </c>
      <c r="FR15" s="1">
        <v>232500.77970351599</v>
      </c>
      <c r="FS15" s="1">
        <v>31759.511361055698</v>
      </c>
      <c r="FT15" s="1">
        <v>60404.131600975903</v>
      </c>
    </row>
    <row r="16" spans="1:176">
      <c r="A16" s="2" t="s">
        <v>24</v>
      </c>
      <c r="B16" t="s">
        <v>528</v>
      </c>
      <c r="C16" s="1">
        <v>95226229.182806298</v>
      </c>
      <c r="D16" s="1">
        <v>7598657471.1861095</v>
      </c>
      <c r="E16" s="1">
        <v>19954677437.632702</v>
      </c>
      <c r="F16" s="1">
        <v>4290050940.6282101</v>
      </c>
      <c r="G16" s="1">
        <v>1720233899.23874</v>
      </c>
      <c r="H16" s="1">
        <v>2867068734.5798202</v>
      </c>
      <c r="I16" s="1">
        <v>1803170597.71382</v>
      </c>
      <c r="J16" s="1">
        <v>597896007.63184202</v>
      </c>
      <c r="K16" s="1">
        <v>649963811.19467902</v>
      </c>
      <c r="L16" s="1">
        <v>150826164.67458099</v>
      </c>
      <c r="M16" s="1">
        <v>376123384.12162501</v>
      </c>
      <c r="N16" s="1">
        <v>40021805.718209997</v>
      </c>
      <c r="O16" s="1">
        <v>51652427.435701102</v>
      </c>
      <c r="P16" s="1">
        <v>133695299.993315</v>
      </c>
      <c r="Q16" s="1">
        <v>228760297.32379001</v>
      </c>
      <c r="R16" s="1">
        <v>194228352.31608701</v>
      </c>
      <c r="S16" s="1">
        <v>239878670.49875</v>
      </c>
      <c r="T16" s="1">
        <v>222929804.251488</v>
      </c>
      <c r="U16" s="1">
        <v>49688431.220222399</v>
      </c>
      <c r="V16" s="1">
        <v>116478199.36808001</v>
      </c>
      <c r="W16" s="1">
        <v>170280602.57896701</v>
      </c>
      <c r="X16" s="1">
        <v>137448723.982748</v>
      </c>
      <c r="Y16" s="1">
        <v>35199234.1336594</v>
      </c>
      <c r="Z16" s="1">
        <v>64900289.878505602</v>
      </c>
      <c r="AA16" s="1">
        <v>68280106.5913032</v>
      </c>
      <c r="AB16" s="1">
        <v>47425553.037582502</v>
      </c>
      <c r="AC16" s="1">
        <v>106079126.6118</v>
      </c>
      <c r="AD16" s="1">
        <v>44621674.257236697</v>
      </c>
      <c r="AE16" s="1">
        <v>63818466.229956001</v>
      </c>
      <c r="AF16" s="1">
        <v>4756840.7049697097</v>
      </c>
      <c r="AG16" s="1">
        <v>37161024.200226702</v>
      </c>
      <c r="AH16" s="1">
        <v>14293538.6454852</v>
      </c>
      <c r="AI16" s="1">
        <v>82696229.021244094</v>
      </c>
      <c r="AJ16" s="1">
        <v>118286981.48512299</v>
      </c>
      <c r="AK16" s="1">
        <v>78542699.752600595</v>
      </c>
      <c r="AL16" s="1">
        <v>52665947.171946101</v>
      </c>
      <c r="AM16" s="1">
        <v>80539657.470341399</v>
      </c>
      <c r="AN16" s="1">
        <v>63292473.176764302</v>
      </c>
      <c r="AO16" s="1">
        <v>55145612.103828199</v>
      </c>
      <c r="AP16" s="1">
        <v>51568792.191342898</v>
      </c>
      <c r="AQ16" s="1">
        <v>18650893.134179</v>
      </c>
      <c r="AR16" s="1">
        <v>27569289.426524099</v>
      </c>
      <c r="AS16" s="1">
        <v>63124746.544716902</v>
      </c>
      <c r="AT16" s="1">
        <v>50607051.542102903</v>
      </c>
      <c r="AU16" s="1">
        <v>58055737.610932499</v>
      </c>
      <c r="AV16" s="1">
        <v>50606808.157963</v>
      </c>
      <c r="AW16" s="1">
        <v>59880577.279872298</v>
      </c>
      <c r="AX16" s="1">
        <v>36189822.190197401</v>
      </c>
      <c r="AY16" s="1">
        <v>64764966.6716251</v>
      </c>
      <c r="AZ16" s="1">
        <v>65877192.0117089</v>
      </c>
      <c r="BA16" s="1">
        <v>17258027.8075426</v>
      </c>
      <c r="BB16" s="1">
        <v>74285834.831560805</v>
      </c>
      <c r="BC16" s="1">
        <v>76640355.905922994</v>
      </c>
      <c r="BD16" s="1">
        <v>88783796.187668905</v>
      </c>
      <c r="BE16" s="1">
        <v>34386977.442235701</v>
      </c>
      <c r="BF16" s="1">
        <v>17195664.209031701</v>
      </c>
      <c r="BG16" s="1">
        <v>22611892.299686201</v>
      </c>
      <c r="BH16" s="1">
        <v>18950410.448830899</v>
      </c>
      <c r="BI16" s="1">
        <v>26471897.663185298</v>
      </c>
      <c r="BJ16" s="1">
        <v>32776824.7292489</v>
      </c>
      <c r="BK16" s="1">
        <v>58985548.616128497</v>
      </c>
      <c r="BL16" s="1">
        <v>32796599.7578227</v>
      </c>
      <c r="BM16" s="1">
        <v>50882917.103004999</v>
      </c>
      <c r="BN16" s="1">
        <v>317735.80931230198</v>
      </c>
      <c r="BO16" s="1">
        <v>48204373.1313214</v>
      </c>
      <c r="BP16" s="1">
        <v>39020318.443056598</v>
      </c>
      <c r="BQ16" s="1">
        <v>5881739.9661454698</v>
      </c>
      <c r="BR16" s="1">
        <v>30747951.695584401</v>
      </c>
      <c r="BS16" s="1">
        <v>3022896.16369351</v>
      </c>
      <c r="BT16" s="1">
        <v>12639760.5380642</v>
      </c>
      <c r="BU16" s="1">
        <v>1570640.1819253999</v>
      </c>
      <c r="BV16" s="1">
        <v>28324442.208500899</v>
      </c>
      <c r="BW16" s="1">
        <v>14433717.569285899</v>
      </c>
      <c r="BX16" s="1">
        <v>14867756.7355526</v>
      </c>
      <c r="BY16" s="1">
        <v>22778754.6176944</v>
      </c>
      <c r="BZ16" s="1">
        <v>12504368.288741199</v>
      </c>
      <c r="CA16" s="1">
        <v>558504.31826721295</v>
      </c>
      <c r="CB16" s="1">
        <v>20464201.898915701</v>
      </c>
      <c r="CC16" s="1">
        <v>6791944.3245929396</v>
      </c>
      <c r="CD16" s="1">
        <v>12597634.8354923</v>
      </c>
      <c r="CE16" s="1">
        <v>18485790.109842502</v>
      </c>
      <c r="CF16" s="1">
        <v>3917379.7688522302</v>
      </c>
      <c r="CG16" s="1">
        <v>29093528.225723099</v>
      </c>
      <c r="CH16" s="1">
        <v>12542655.3604079</v>
      </c>
      <c r="CI16" s="1">
        <v>135325.63300898901</v>
      </c>
      <c r="CJ16" s="1">
        <v>26105718.319318701</v>
      </c>
      <c r="CK16" s="1">
        <v>20362026.075141702</v>
      </c>
      <c r="CL16" s="1">
        <v>458432.25455478003</v>
      </c>
      <c r="CM16" s="1">
        <v>25419980.333244301</v>
      </c>
      <c r="CN16" s="1">
        <v>12464554.859575201</v>
      </c>
      <c r="CO16" s="1">
        <v>14469130.8807291</v>
      </c>
      <c r="CP16" s="1">
        <v>14837792.6530226</v>
      </c>
      <c r="CQ16" s="1">
        <v>4996470.1508947499</v>
      </c>
      <c r="CR16" s="1">
        <v>6892210.9118457502</v>
      </c>
      <c r="CS16" s="1">
        <v>20412361.257879999</v>
      </c>
      <c r="CT16" s="1">
        <v>22244522.531139798</v>
      </c>
      <c r="CU16" s="1">
        <v>4459053.3099406902</v>
      </c>
      <c r="CV16" s="1">
        <v>17915667.353363998</v>
      </c>
      <c r="CW16" s="1">
        <v>15348302.605932901</v>
      </c>
      <c r="CX16" s="1">
        <v>8284624.0698151197</v>
      </c>
      <c r="CY16" s="1">
        <v>2872065.85986778</v>
      </c>
      <c r="CZ16" s="1">
        <v>16556836.4663192</v>
      </c>
      <c r="DA16" s="1">
        <v>3277494.8302172902</v>
      </c>
      <c r="DB16" s="1">
        <v>8699092.7365202792</v>
      </c>
      <c r="DC16" s="1">
        <v>17138409.732607499</v>
      </c>
      <c r="DD16" s="1">
        <v>853912.93425328401</v>
      </c>
      <c r="DE16" s="1">
        <v>11834127.0338303</v>
      </c>
      <c r="DF16" s="1">
        <v>19024140.036052201</v>
      </c>
      <c r="DG16" s="1">
        <v>19067276.0548863</v>
      </c>
      <c r="DH16" s="1">
        <v>7863687.0884635104</v>
      </c>
      <c r="DI16" s="1">
        <v>13345491.834475299</v>
      </c>
      <c r="DJ16" s="1">
        <v>5247068.9452197095</v>
      </c>
      <c r="DK16" s="1">
        <v>7855327.2743733702</v>
      </c>
      <c r="DL16" s="1">
        <v>13745670.7272525</v>
      </c>
      <c r="DM16" s="1">
        <v>10033154.1701576</v>
      </c>
      <c r="DN16" s="1">
        <v>17483146.119599801</v>
      </c>
      <c r="DO16" s="1">
        <v>8122434.3158258498</v>
      </c>
      <c r="DP16" s="1">
        <v>430046.57556348701</v>
      </c>
      <c r="DQ16" s="1">
        <v>4805223.9946834603</v>
      </c>
      <c r="DR16" s="1">
        <v>15533323.179155599</v>
      </c>
      <c r="DS16" s="1">
        <v>6068324.2241502898</v>
      </c>
      <c r="DT16" s="1">
        <v>10677.3326977373</v>
      </c>
      <c r="DU16" s="1">
        <v>12063425.6355124</v>
      </c>
      <c r="DV16" s="1">
        <v>5462184.49574224</v>
      </c>
      <c r="DW16" s="1">
        <v>411585.20764029201</v>
      </c>
      <c r="DX16" s="1">
        <v>9896098.7582659703</v>
      </c>
      <c r="DY16" s="1">
        <v>8500816.7037472799</v>
      </c>
      <c r="DZ16" s="1">
        <v>5990111.7214893699</v>
      </c>
      <c r="EA16" s="1">
        <v>2898198.62081439</v>
      </c>
      <c r="EB16" s="1">
        <v>11270318.555306099</v>
      </c>
      <c r="EC16" s="1">
        <v>647160.22899957397</v>
      </c>
      <c r="ED16" s="1">
        <v>10402167.2359279</v>
      </c>
      <c r="EE16" s="1">
        <v>12006161.481274299</v>
      </c>
      <c r="EF16" s="1">
        <v>96353.394360993407</v>
      </c>
      <c r="EG16" s="1">
        <v>4963506.2310460303</v>
      </c>
      <c r="EH16" s="1">
        <v>3207699.3817691202</v>
      </c>
      <c r="EI16" s="1">
        <v>6346302.5083830804</v>
      </c>
      <c r="EJ16" s="1">
        <v>9247597.7918255106</v>
      </c>
      <c r="EK16" s="1">
        <v>6274257.6112740003</v>
      </c>
      <c r="EL16" s="1">
        <v>2964714.7013071999</v>
      </c>
      <c r="EM16" s="1">
        <v>736823.93717938301</v>
      </c>
      <c r="EN16" s="1">
        <v>3084482.07262911</v>
      </c>
      <c r="EO16" s="1">
        <v>5797479.2144310698</v>
      </c>
      <c r="EP16" s="1">
        <v>1097842.9795612399</v>
      </c>
      <c r="EQ16" s="1">
        <v>7702566.4219455104</v>
      </c>
      <c r="ER16" s="1">
        <v>6602515.4476275202</v>
      </c>
      <c r="ES16" s="1">
        <v>439084.58279177902</v>
      </c>
      <c r="ET16" s="1">
        <v>6128749.9422699399</v>
      </c>
      <c r="EU16" s="1">
        <v>1514771.2102745399</v>
      </c>
      <c r="EV16" s="1">
        <v>1743488.8261436599</v>
      </c>
      <c r="EW16" s="1">
        <v>3030405.6425812999</v>
      </c>
      <c r="EX16" s="1">
        <v>1093582.1255294799</v>
      </c>
      <c r="EY16" s="1">
        <v>1259696.1358628301</v>
      </c>
      <c r="EZ16" s="1">
        <v>5486615.2242675396</v>
      </c>
      <c r="FA16" s="1">
        <v>1769485.85590446</v>
      </c>
      <c r="FB16" s="1">
        <v>977467.057691416</v>
      </c>
      <c r="FC16" s="1">
        <v>3476146.1668263399</v>
      </c>
      <c r="FD16" s="1">
        <v>89057.393072508596</v>
      </c>
      <c r="FE16" s="1">
        <v>1083853.72332747</v>
      </c>
      <c r="FF16" s="1">
        <v>2299887.7566592898</v>
      </c>
      <c r="FG16" s="1">
        <v>523922.00128809898</v>
      </c>
      <c r="FH16" s="1">
        <v>1185100.1214834901</v>
      </c>
      <c r="FI16" s="1">
        <v>1887869.6078649799</v>
      </c>
      <c r="FJ16" s="1">
        <v>450379.09860301402</v>
      </c>
      <c r="FK16" s="1">
        <v>2706995.4980520299</v>
      </c>
      <c r="FL16" s="1">
        <v>293515.39676441101</v>
      </c>
      <c r="FM16" s="1">
        <v>421285.04207656998</v>
      </c>
      <c r="FN16" s="1">
        <v>1325893.62903979</v>
      </c>
      <c r="FO16" s="1">
        <v>428973.57326365297</v>
      </c>
      <c r="FP16" s="1">
        <v>274607.40659433499</v>
      </c>
      <c r="FQ16" s="1">
        <v>487269.87257084798</v>
      </c>
      <c r="FR16" s="1">
        <v>372862.76906018198</v>
      </c>
      <c r="FS16" s="1">
        <v>32447.651365541598</v>
      </c>
      <c r="FT16" s="1">
        <v>65174.670645018399</v>
      </c>
    </row>
    <row r="19" spans="2:4">
      <c r="C19" s="3" t="s">
        <v>529</v>
      </c>
      <c r="D19" t="s">
        <v>530</v>
      </c>
    </row>
    <row r="20" spans="2:4">
      <c r="B20" s="2" t="s">
        <v>10</v>
      </c>
      <c r="C20">
        <v>710110235.98536003</v>
      </c>
      <c r="D20">
        <v>0.47466666666666701</v>
      </c>
    </row>
    <row r="21" spans="2:4">
      <c r="B21" s="2" t="s">
        <v>11</v>
      </c>
      <c r="C21">
        <v>1134232619.7892101</v>
      </c>
      <c r="D21">
        <v>0.4163</v>
      </c>
    </row>
    <row r="22" spans="2:4">
      <c r="B22" s="2" t="s">
        <v>12</v>
      </c>
      <c r="C22">
        <v>1096622551.4616101</v>
      </c>
      <c r="D22">
        <v>0.52810000000000001</v>
      </c>
    </row>
    <row r="23" spans="2:4">
      <c r="B23" s="2" t="s">
        <v>13</v>
      </c>
      <c r="C23">
        <v>567135975.77488697</v>
      </c>
      <c r="D23">
        <v>0.53879999999999995</v>
      </c>
    </row>
    <row r="24" spans="2:4">
      <c r="B24" s="2" t="s">
        <v>14</v>
      </c>
      <c r="C24">
        <v>1281643082.4665501</v>
      </c>
      <c r="D24">
        <v>0.43859999999999999</v>
      </c>
    </row>
    <row r="25" spans="2:4">
      <c r="B25" s="2" t="s">
        <v>15</v>
      </c>
      <c r="C25">
        <v>1004856369.2452</v>
      </c>
      <c r="D25">
        <v>0.41670000000000001</v>
      </c>
    </row>
    <row r="26" spans="2:4">
      <c r="B26" s="2" t="s">
        <v>16</v>
      </c>
      <c r="C26">
        <v>1026052574.8455499</v>
      </c>
      <c r="D26">
        <v>0.3765</v>
      </c>
    </row>
    <row r="27" spans="2:4">
      <c r="B27" s="2" t="s">
        <v>17</v>
      </c>
      <c r="C27">
        <v>1278691097.7051699</v>
      </c>
      <c r="D27">
        <v>0.378033333333333</v>
      </c>
    </row>
    <row r="28" spans="2:4">
      <c r="B28" s="2" t="s">
        <v>18</v>
      </c>
      <c r="C28">
        <v>1065004046.2545</v>
      </c>
      <c r="D28">
        <v>0.35260000000000002</v>
      </c>
    </row>
    <row r="29" spans="2:4">
      <c r="B29" s="2" t="s">
        <v>19</v>
      </c>
      <c r="C29">
        <v>472148524.94180602</v>
      </c>
      <c r="D29">
        <v>0.63690000000000002</v>
      </c>
    </row>
    <row r="30" spans="2:4">
      <c r="B30" s="2" t="s">
        <v>20</v>
      </c>
      <c r="C30">
        <v>453495181.921691</v>
      </c>
      <c r="D30">
        <v>0.61665000000000003</v>
      </c>
    </row>
    <row r="31" spans="2:4">
      <c r="B31" s="2" t="s">
        <v>21</v>
      </c>
      <c r="C31">
        <v>396775263.15657401</v>
      </c>
      <c r="D31">
        <v>0.65715000000000001</v>
      </c>
    </row>
    <row r="32" spans="2:4">
      <c r="B32" s="2" t="s">
        <v>22</v>
      </c>
      <c r="C32">
        <v>574292707.32238305</v>
      </c>
      <c r="D32">
        <v>0.59660000000000002</v>
      </c>
    </row>
    <row r="33" spans="1:176">
      <c r="B33" s="2" t="s">
        <v>23</v>
      </c>
      <c r="C33">
        <v>615234440.46884406</v>
      </c>
      <c r="D33">
        <v>0.5474</v>
      </c>
    </row>
    <row r="34" spans="1:176">
      <c r="B34" s="2" t="s">
        <v>24</v>
      </c>
      <c r="C34">
        <v>649963811.19467902</v>
      </c>
      <c r="D34">
        <v>0.58875</v>
      </c>
    </row>
    <row r="37" spans="1:176">
      <c r="A37" t="s">
        <v>522</v>
      </c>
      <c r="B37" t="s">
        <v>523</v>
      </c>
      <c r="C37" s="1" t="s">
        <v>32</v>
      </c>
      <c r="D37" s="4" t="s">
        <v>29</v>
      </c>
      <c r="E37" s="1" t="s">
        <v>26</v>
      </c>
      <c r="F37" s="1" t="s">
        <v>35</v>
      </c>
      <c r="G37" s="1" t="s">
        <v>38</v>
      </c>
      <c r="H37" s="1" t="s">
        <v>41</v>
      </c>
      <c r="I37" s="1" t="s">
        <v>44</v>
      </c>
      <c r="J37" s="1" t="s">
        <v>50</v>
      </c>
      <c r="K37" s="5" t="s">
        <v>47</v>
      </c>
      <c r="L37" s="1" t="s">
        <v>79</v>
      </c>
      <c r="M37" s="1" t="s">
        <v>53</v>
      </c>
      <c r="N37" s="1" t="s">
        <v>85</v>
      </c>
      <c r="O37" s="1" t="s">
        <v>96</v>
      </c>
      <c r="P37" s="1" t="s">
        <v>56</v>
      </c>
      <c r="Q37" s="1" t="s">
        <v>59</v>
      </c>
      <c r="R37" s="1" t="s">
        <v>71</v>
      </c>
      <c r="S37" s="1" t="s">
        <v>102</v>
      </c>
      <c r="T37" s="1" t="s">
        <v>68</v>
      </c>
      <c r="U37" s="1" t="s">
        <v>118</v>
      </c>
      <c r="V37" s="1" t="s">
        <v>74</v>
      </c>
      <c r="W37" s="1" t="s">
        <v>62</v>
      </c>
      <c r="X37" s="1" t="s">
        <v>65</v>
      </c>
      <c r="Y37" s="1" t="s">
        <v>108</v>
      </c>
      <c r="Z37" s="1" t="s">
        <v>93</v>
      </c>
      <c r="AA37" s="1" t="s">
        <v>136</v>
      </c>
      <c r="AB37" s="1" t="s">
        <v>111</v>
      </c>
      <c r="AC37" s="1" t="s">
        <v>76</v>
      </c>
      <c r="AD37" s="1" t="s">
        <v>114</v>
      </c>
      <c r="AE37" s="1" t="s">
        <v>91</v>
      </c>
      <c r="AF37" s="1" t="s">
        <v>222</v>
      </c>
      <c r="AG37" s="1" t="s">
        <v>160</v>
      </c>
      <c r="AH37" s="1" t="s">
        <v>201</v>
      </c>
      <c r="AI37" s="1" t="s">
        <v>88</v>
      </c>
      <c r="AJ37" s="1" t="s">
        <v>82</v>
      </c>
      <c r="AK37" s="1" t="s">
        <v>105</v>
      </c>
      <c r="AL37" s="1" t="s">
        <v>145</v>
      </c>
      <c r="AM37" s="1" t="s">
        <v>130</v>
      </c>
      <c r="AN37" s="1" t="s">
        <v>124</v>
      </c>
      <c r="AO37" s="1" t="s">
        <v>99</v>
      </c>
      <c r="AP37" s="1" t="s">
        <v>169</v>
      </c>
      <c r="AQ37" s="1" t="s">
        <v>190</v>
      </c>
      <c r="AR37" s="1" t="s">
        <v>181</v>
      </c>
      <c r="AS37" s="1" t="s">
        <v>121</v>
      </c>
      <c r="AT37" s="1" t="s">
        <v>127</v>
      </c>
      <c r="AU37" s="1" t="s">
        <v>139</v>
      </c>
      <c r="AV37" s="1" t="s">
        <v>116</v>
      </c>
      <c r="AW37" s="1" t="s">
        <v>142</v>
      </c>
      <c r="AX37" s="1" t="s">
        <v>166</v>
      </c>
      <c r="AY37" s="1" t="s">
        <v>154</v>
      </c>
      <c r="AZ37" s="1" t="s">
        <v>213</v>
      </c>
      <c r="BA37" s="1" t="s">
        <v>225</v>
      </c>
      <c r="BB37" s="1" t="s">
        <v>151</v>
      </c>
      <c r="BC37" s="1" t="s">
        <v>133</v>
      </c>
      <c r="BD37" s="1" t="s">
        <v>148</v>
      </c>
      <c r="BE37" s="1" t="s">
        <v>157</v>
      </c>
      <c r="BF37" s="1" t="s">
        <v>237</v>
      </c>
      <c r="BG37" s="1" t="s">
        <v>187</v>
      </c>
      <c r="BH37" s="1" t="s">
        <v>198</v>
      </c>
      <c r="BI37" s="1" t="s">
        <v>207</v>
      </c>
      <c r="BJ37" s="1" t="s">
        <v>172</v>
      </c>
      <c r="BK37" s="1" t="s">
        <v>184</v>
      </c>
      <c r="BL37" s="1" t="s">
        <v>163</v>
      </c>
      <c r="BM37" s="1" t="s">
        <v>193</v>
      </c>
      <c r="BN37" s="1" t="s">
        <v>405</v>
      </c>
      <c r="BO37" s="1" t="s">
        <v>175</v>
      </c>
      <c r="BP37" s="1" t="s">
        <v>178</v>
      </c>
      <c r="BQ37" s="1" t="s">
        <v>291</v>
      </c>
      <c r="BR37" s="1" t="s">
        <v>196</v>
      </c>
      <c r="BS37" s="1" t="s">
        <v>393</v>
      </c>
      <c r="BT37" s="1" t="s">
        <v>282</v>
      </c>
      <c r="BU37" s="1" t="s">
        <v>387</v>
      </c>
      <c r="BV37" s="1" t="s">
        <v>204</v>
      </c>
      <c r="BW37" s="1" t="s">
        <v>267</v>
      </c>
      <c r="BX37" s="1" t="s">
        <v>261</v>
      </c>
      <c r="BY37" s="1" t="s">
        <v>210</v>
      </c>
      <c r="BZ37" s="1" t="s">
        <v>219</v>
      </c>
      <c r="CA37" s="1" t="s">
        <v>432</v>
      </c>
      <c r="CB37" s="1" t="s">
        <v>279</v>
      </c>
      <c r="CC37" s="1" t="s">
        <v>249</v>
      </c>
      <c r="CD37" s="1" t="s">
        <v>243</v>
      </c>
      <c r="CE37" s="1" t="s">
        <v>231</v>
      </c>
      <c r="CF37" s="1" t="s">
        <v>327</v>
      </c>
      <c r="CG37" s="1" t="s">
        <v>252</v>
      </c>
      <c r="CH37" s="1" t="s">
        <v>297</v>
      </c>
      <c r="CI37" s="1" t="s">
        <v>456</v>
      </c>
      <c r="CJ37" s="1" t="s">
        <v>216</v>
      </c>
      <c r="CK37" s="1" t="s">
        <v>270</v>
      </c>
      <c r="CL37" s="1" t="s">
        <v>402</v>
      </c>
      <c r="CM37" s="1" t="s">
        <v>256</v>
      </c>
      <c r="CN37" s="1" t="s">
        <v>234</v>
      </c>
      <c r="CO37" s="1" t="s">
        <v>315</v>
      </c>
      <c r="CP37" s="1" t="s">
        <v>330</v>
      </c>
      <c r="CQ37" s="1" t="s">
        <v>366</v>
      </c>
      <c r="CR37" s="1" t="s">
        <v>312</v>
      </c>
      <c r="CS37" s="1" t="s">
        <v>240</v>
      </c>
      <c r="CT37" s="1" t="s">
        <v>228</v>
      </c>
      <c r="CU37" s="1" t="s">
        <v>414</v>
      </c>
      <c r="CV37" s="1" t="s">
        <v>258</v>
      </c>
      <c r="CW37" s="1" t="s">
        <v>306</v>
      </c>
      <c r="CX37" s="1" t="s">
        <v>324</v>
      </c>
      <c r="CY37" s="1" t="s">
        <v>348</v>
      </c>
      <c r="CZ37" s="1" t="s">
        <v>276</v>
      </c>
      <c r="DA37" s="1" t="s">
        <v>351</v>
      </c>
      <c r="DB37" s="1" t="s">
        <v>273</v>
      </c>
      <c r="DC37" s="1" t="s">
        <v>246</v>
      </c>
      <c r="DD37" s="1" t="s">
        <v>461</v>
      </c>
      <c r="DE37" s="1" t="s">
        <v>285</v>
      </c>
      <c r="DF37" s="1" t="s">
        <v>264</v>
      </c>
      <c r="DG37" s="1" t="s">
        <v>360</v>
      </c>
      <c r="DH37" s="1" t="s">
        <v>342</v>
      </c>
      <c r="DI37" s="1" t="s">
        <v>318</v>
      </c>
      <c r="DJ37" s="1" t="s">
        <v>411</v>
      </c>
      <c r="DK37" s="1" t="s">
        <v>321</v>
      </c>
      <c r="DL37" s="1" t="s">
        <v>390</v>
      </c>
      <c r="DM37" s="1" t="s">
        <v>354</v>
      </c>
      <c r="DN37" s="1" t="s">
        <v>294</v>
      </c>
      <c r="DO37" s="1" t="s">
        <v>288</v>
      </c>
      <c r="DP37" s="1" t="s">
        <v>379</v>
      </c>
      <c r="DQ37" s="1" t="s">
        <v>367</v>
      </c>
      <c r="DR37" s="1" t="s">
        <v>300</v>
      </c>
      <c r="DS37" s="1" t="s">
        <v>339</v>
      </c>
      <c r="DT37" s="1" t="s">
        <v>485</v>
      </c>
      <c r="DU37" s="1" t="s">
        <v>309</v>
      </c>
      <c r="DV37" s="1" t="s">
        <v>363</v>
      </c>
      <c r="DW37" s="1" t="s">
        <v>441</v>
      </c>
      <c r="DX37" s="1" t="s">
        <v>345</v>
      </c>
      <c r="DY37" s="1" t="s">
        <v>333</v>
      </c>
      <c r="DZ37" s="1" t="s">
        <v>408</v>
      </c>
      <c r="EA37" s="1" t="s">
        <v>370</v>
      </c>
      <c r="EB37" s="1" t="s">
        <v>303</v>
      </c>
      <c r="EC37" s="1" t="s">
        <v>417</v>
      </c>
      <c r="ED37" s="1" t="s">
        <v>373</v>
      </c>
      <c r="EE37" s="1" t="s">
        <v>336</v>
      </c>
      <c r="EF37" s="1" t="s">
        <v>488</v>
      </c>
      <c r="EG37" s="1" t="s">
        <v>399</v>
      </c>
      <c r="EH37" s="1" t="s">
        <v>429</v>
      </c>
      <c r="EI37" s="1" t="s">
        <v>376</v>
      </c>
      <c r="EJ37" s="1" t="s">
        <v>396</v>
      </c>
      <c r="EK37" s="1" t="s">
        <v>357</v>
      </c>
      <c r="EL37" s="1" t="s">
        <v>420</v>
      </c>
      <c r="EM37" s="1" t="s">
        <v>467</v>
      </c>
      <c r="EN37" s="1" t="s">
        <v>384</v>
      </c>
      <c r="EO37" s="1" t="s">
        <v>438</v>
      </c>
      <c r="EP37" s="1" t="s">
        <v>483</v>
      </c>
      <c r="EQ37" s="1" t="s">
        <v>381</v>
      </c>
      <c r="ER37" s="1" t="s">
        <v>423</v>
      </c>
      <c r="ES37" s="1" t="s">
        <v>451</v>
      </c>
      <c r="ET37" s="1" t="s">
        <v>426</v>
      </c>
      <c r="EU37" s="1" t="s">
        <v>435</v>
      </c>
      <c r="EV37" s="1" t="s">
        <v>444</v>
      </c>
      <c r="EW37" s="1" t="s">
        <v>464</v>
      </c>
      <c r="EX37" s="1" t="s">
        <v>459</v>
      </c>
      <c r="EY37" s="1" t="s">
        <v>478</v>
      </c>
      <c r="EZ37" s="1" t="s">
        <v>448</v>
      </c>
      <c r="FA37" s="1" t="s">
        <v>470</v>
      </c>
      <c r="FB37" s="1" t="s">
        <v>490</v>
      </c>
      <c r="FC37" s="1" t="s">
        <v>446</v>
      </c>
      <c r="FD37" s="1" t="s">
        <v>512</v>
      </c>
      <c r="FE37" s="1" t="s">
        <v>453</v>
      </c>
      <c r="FF37" s="1" t="s">
        <v>473</v>
      </c>
      <c r="FG37" s="1" t="s">
        <v>496</v>
      </c>
      <c r="FH37" s="1" t="s">
        <v>498</v>
      </c>
      <c r="FI37" s="1" t="s">
        <v>476</v>
      </c>
      <c r="FJ37" s="1" t="s">
        <v>493</v>
      </c>
      <c r="FK37" s="1" t="s">
        <v>480</v>
      </c>
      <c r="FL37" s="1" t="s">
        <v>510</v>
      </c>
      <c r="FM37" s="1" t="s">
        <v>503</v>
      </c>
      <c r="FN37" s="1" t="s">
        <v>160</v>
      </c>
      <c r="FO37" s="1" t="s">
        <v>508</v>
      </c>
      <c r="FP37" s="1" t="s">
        <v>506</v>
      </c>
      <c r="FQ37" s="1" t="s">
        <v>500</v>
      </c>
      <c r="FR37" s="1" t="s">
        <v>514</v>
      </c>
      <c r="FS37" s="1" t="s">
        <v>517</v>
      </c>
      <c r="FT37" s="1" t="s">
        <v>520</v>
      </c>
    </row>
    <row r="38" spans="1:176">
      <c r="A38" s="2" t="s">
        <v>10</v>
      </c>
      <c r="B38" t="s">
        <v>524</v>
      </c>
      <c r="C38">
        <f>C2/$C$20/$D$20*1000</f>
        <v>225.91419221738417</v>
      </c>
      <c r="D38">
        <f>D2/$C$20/$D$20</f>
        <v>1.1314719659434</v>
      </c>
      <c r="E38">
        <f t="shared" ref="E38:AI38" si="0">E2/$C$20/$D$20</f>
        <v>43.491521516263902</v>
      </c>
      <c r="F38">
        <f t="shared" si="0"/>
        <v>2.1988978990572634</v>
      </c>
      <c r="G38">
        <f t="shared" si="0"/>
        <v>12.171739144656538</v>
      </c>
      <c r="H38">
        <f t="shared" si="0"/>
        <v>4.1504899057052089</v>
      </c>
      <c r="I38">
        <f t="shared" si="0"/>
        <v>1.0975485857135772</v>
      </c>
      <c r="J38">
        <f t="shared" si="0"/>
        <v>1.0226678735294412</v>
      </c>
      <c r="K38">
        <f t="shared" si="0"/>
        <v>2.1067415730337062</v>
      </c>
      <c r="L38">
        <f t="shared" si="0"/>
        <v>5.0896199160374814E-2</v>
      </c>
      <c r="M38">
        <f t="shared" si="0"/>
        <v>0.55242726028463507</v>
      </c>
      <c r="N38">
        <f t="shared" si="0"/>
        <v>5.1009777100764542E-2</v>
      </c>
      <c r="O38">
        <f t="shared" si="0"/>
        <v>0.12841464926659082</v>
      </c>
      <c r="P38">
        <f t="shared" si="0"/>
        <v>1.1366177254261192</v>
      </c>
      <c r="Q38">
        <f t="shared" si="0"/>
        <v>0.3113960707387205</v>
      </c>
      <c r="R38">
        <f t="shared" si="0"/>
        <v>0.43137045660486917</v>
      </c>
      <c r="S38">
        <f t="shared" si="0"/>
        <v>0.12193749749699961</v>
      </c>
      <c r="T38">
        <f t="shared" si="0"/>
        <v>0.44399092507854204</v>
      </c>
      <c r="U38">
        <f t="shared" si="0"/>
        <v>0.19728786155108</v>
      </c>
      <c r="V38">
        <f t="shared" si="0"/>
        <v>0.19615000708134231</v>
      </c>
      <c r="W38">
        <f t="shared" si="0"/>
        <v>0.49856429453929185</v>
      </c>
      <c r="X38">
        <f t="shared" si="0"/>
        <v>0.5841868536623297</v>
      </c>
      <c r="Y38">
        <f t="shared" si="0"/>
        <v>0.17881770516701259</v>
      </c>
      <c r="Z38">
        <f t="shared" si="0"/>
        <v>0.25864925474942668</v>
      </c>
      <c r="AA38">
        <f t="shared" si="0"/>
        <v>6.6260320173819765E-4</v>
      </c>
      <c r="AB38">
        <f t="shared" si="0"/>
        <v>0.11599878762427793</v>
      </c>
      <c r="AC38">
        <f t="shared" si="0"/>
        <v>0.34619289030522343</v>
      </c>
      <c r="AD38">
        <f t="shared" si="0"/>
        <v>0.23760777013567949</v>
      </c>
      <c r="AE38">
        <f t="shared" si="0"/>
        <v>0.39756886604280306</v>
      </c>
      <c r="AF38">
        <f t="shared" si="0"/>
        <v>0.55940257317302622</v>
      </c>
      <c r="AG38">
        <f t="shared" si="0"/>
        <v>3.3934111047188423E-2</v>
      </c>
      <c r="AH38">
        <f t="shared" si="0"/>
        <v>0.50653212603460107</v>
      </c>
      <c r="AI38">
        <f t="shared" si="0"/>
        <v>0.30035829410280246</v>
      </c>
      <c r="AJ38">
        <f t="shared" ref="AJ38:BO38" si="1">AJ2/$C$20/$D$20</f>
        <v>0.49446619239471212</v>
      </c>
      <c r="AK38">
        <f t="shared" si="1"/>
        <v>0.33835531242655614</v>
      </c>
      <c r="AL38">
        <f t="shared" si="1"/>
        <v>0.14298938298941574</v>
      </c>
      <c r="AM38">
        <f t="shared" si="1"/>
        <v>0.10160795417174355</v>
      </c>
      <c r="AN38">
        <f t="shared" si="1"/>
        <v>0.34573148516815727</v>
      </c>
      <c r="AO38">
        <f t="shared" si="1"/>
        <v>0.369121213891068</v>
      </c>
      <c r="AP38">
        <f t="shared" si="1"/>
        <v>4.2097384302877655E-2</v>
      </c>
      <c r="AQ38">
        <f t="shared" si="1"/>
        <v>5.2908380615958477E-2</v>
      </c>
      <c r="AR38">
        <f t="shared" si="1"/>
        <v>0.17243708967452306</v>
      </c>
      <c r="AS38">
        <f t="shared" si="1"/>
        <v>0.12452974282505214</v>
      </c>
      <c r="AT38">
        <f t="shared" si="1"/>
        <v>0.1774475867930064</v>
      </c>
      <c r="AU38">
        <f t="shared" si="1"/>
        <v>0.13254684558670679</v>
      </c>
      <c r="AV38">
        <f t="shared" si="1"/>
        <v>0.22408980863447703</v>
      </c>
      <c r="AW38">
        <f t="shared" si="1"/>
        <v>9.6316836907210546E-2</v>
      </c>
      <c r="AX38">
        <f t="shared" si="1"/>
        <v>5.4619574562402844E-2</v>
      </c>
      <c r="AY38">
        <f t="shared" si="1"/>
        <v>0.12603409310055116</v>
      </c>
      <c r="AZ38">
        <f t="shared" si="1"/>
        <v>2.2393774288864205E-2</v>
      </c>
      <c r="BA38">
        <f t="shared" si="1"/>
        <v>4.5517882468102379E-2</v>
      </c>
      <c r="BB38">
        <f t="shared" si="1"/>
        <v>6.6421210614247619E-2</v>
      </c>
      <c r="BC38">
        <f t="shared" si="1"/>
        <v>0.10570738188690693</v>
      </c>
      <c r="BD38">
        <f t="shared" si="1"/>
        <v>0.12117903924444588</v>
      </c>
      <c r="BE38">
        <f t="shared" si="1"/>
        <v>0.220957268152423</v>
      </c>
      <c r="BF38">
        <f t="shared" si="1"/>
        <v>4.1485960499828611E-2</v>
      </c>
      <c r="BG38">
        <f t="shared" si="1"/>
        <v>0.10328653325138952</v>
      </c>
      <c r="BH38">
        <f t="shared" si="1"/>
        <v>9.5917707962895268E-2</v>
      </c>
      <c r="BI38">
        <f t="shared" si="1"/>
        <v>2.1322508262155027E-2</v>
      </c>
      <c r="BJ38">
        <f t="shared" si="1"/>
        <v>0.10273727863112432</v>
      </c>
      <c r="BK38">
        <f t="shared" si="1"/>
        <v>7.6883573333004926E-2</v>
      </c>
      <c r="BL38">
        <f t="shared" si="1"/>
        <v>0.17973298187293898</v>
      </c>
      <c r="BM38">
        <f t="shared" si="1"/>
        <v>3.9939791885790867E-2</v>
      </c>
      <c r="BN38">
        <f t="shared" si="1"/>
        <v>1.6072182630711316E-3</v>
      </c>
      <c r="BO38">
        <f t="shared" si="1"/>
        <v>0.10565493624798848</v>
      </c>
      <c r="BP38">
        <f t="shared" ref="BP38:CU38" si="2">BP2/$C$20/$D$20</f>
        <v>0.16834818136096316</v>
      </c>
      <c r="BQ38">
        <f t="shared" si="2"/>
        <v>2.6074461895458471E-2</v>
      </c>
      <c r="BR38">
        <f t="shared" si="2"/>
        <v>4.99230472442065E-2</v>
      </c>
      <c r="BS38">
        <f t="shared" si="2"/>
        <v>2.0171633234979179E-3</v>
      </c>
      <c r="BT38">
        <f t="shared" si="2"/>
        <v>2.4190608460678446E-2</v>
      </c>
      <c r="BU38">
        <f t="shared" si="2"/>
        <v>3.8433233161232943E-3</v>
      </c>
      <c r="BV38">
        <f t="shared" si="2"/>
        <v>7.5977124677044663E-2</v>
      </c>
      <c r="BW38">
        <f t="shared" si="2"/>
        <v>4.3130526735254665E-2</v>
      </c>
      <c r="BX38">
        <f t="shared" si="2"/>
        <v>5.341492537934138E-2</v>
      </c>
      <c r="BY38">
        <f t="shared" si="2"/>
        <v>6.084757952456428E-2</v>
      </c>
      <c r="BZ38">
        <f t="shared" si="2"/>
        <v>6.2748058037098417E-2</v>
      </c>
      <c r="CA38">
        <f t="shared" si="2"/>
        <v>6.3758198750462161E-4</v>
      </c>
      <c r="CB38">
        <f t="shared" si="2"/>
        <v>2.2017528281076018E-2</v>
      </c>
      <c r="CC38">
        <f t="shared" si="2"/>
        <v>9.0830774126662572E-3</v>
      </c>
      <c r="CD38">
        <f t="shared" si="2"/>
        <v>4.1486984140146788E-2</v>
      </c>
      <c r="CE38">
        <f t="shared" si="2"/>
        <v>8.0474914380774643E-2</v>
      </c>
      <c r="CF38">
        <f t="shared" si="2"/>
        <v>2.4215917796659787E-2</v>
      </c>
      <c r="CG38">
        <f t="shared" si="2"/>
        <v>1.2006263739182415E-2</v>
      </c>
      <c r="CH38">
        <f t="shared" si="2"/>
        <v>9.8668888721334641E-2</v>
      </c>
      <c r="CI38">
        <f t="shared" si="2"/>
        <v>6.458237498060571E-4</v>
      </c>
      <c r="CJ38">
        <f t="shared" si="2"/>
        <v>5.9408279092466675E-2</v>
      </c>
      <c r="CK38">
        <f t="shared" si="2"/>
        <v>2.1899392663813244E-2</v>
      </c>
      <c r="CL38">
        <f t="shared" si="2"/>
        <v>8.5747136615501821E-3</v>
      </c>
      <c r="CM38">
        <f t="shared" si="2"/>
        <v>1.5138969364941291E-2</v>
      </c>
      <c r="CN38">
        <f t="shared" si="2"/>
        <v>5.0519587472652221E-2</v>
      </c>
      <c r="CO38">
        <f t="shared" si="2"/>
        <v>1.9939625340790655E-2</v>
      </c>
      <c r="CP38">
        <f t="shared" si="2"/>
        <v>1.4626866601222027E-3</v>
      </c>
      <c r="CQ38">
        <f t="shared" si="2"/>
        <v>7.1672878783220345E-3</v>
      </c>
      <c r="CR38">
        <f t="shared" si="2"/>
        <v>2.4157724842738752E-2</v>
      </c>
      <c r="CS38">
        <f t="shared" si="2"/>
        <v>3.2796230488603764E-2</v>
      </c>
      <c r="CT38">
        <f t="shared" si="2"/>
        <v>6.4403297967015855E-2</v>
      </c>
      <c r="CU38">
        <f t="shared" si="2"/>
        <v>3.5986536136740541E-3</v>
      </c>
      <c r="CV38">
        <f t="shared" ref="CV38:EA38" si="3">CV2/$C$20/$D$20</f>
        <v>3.8350468532714094E-2</v>
      </c>
      <c r="CW38">
        <f t="shared" si="3"/>
        <v>2.1205409108310352E-2</v>
      </c>
      <c r="CX38">
        <f t="shared" si="3"/>
        <v>1.9371623294556082E-2</v>
      </c>
      <c r="CY38">
        <f t="shared" si="3"/>
        <v>3.685909076480931E-2</v>
      </c>
      <c r="CZ38">
        <f t="shared" si="3"/>
        <v>3.1415882869993174E-2</v>
      </c>
      <c r="DA38">
        <f t="shared" si="3"/>
        <v>2.7812833613730971E-2</v>
      </c>
      <c r="DB38">
        <f t="shared" si="3"/>
        <v>3.8977390841649917E-2</v>
      </c>
      <c r="DC38">
        <f t="shared" si="3"/>
        <v>3.8683584292738299E-2</v>
      </c>
      <c r="DD38">
        <f t="shared" si="3"/>
        <v>2.360014398977559E-3</v>
      </c>
      <c r="DE38">
        <f t="shared" si="3"/>
        <v>1.9341782968377148E-2</v>
      </c>
      <c r="DF38">
        <f t="shared" si="3"/>
        <v>4.3218185912117769E-2</v>
      </c>
      <c r="DG38">
        <f t="shared" si="3"/>
        <v>1.3598998854936107E-2</v>
      </c>
      <c r="DH38">
        <f t="shared" si="3"/>
        <v>2.2413875145928765E-2</v>
      </c>
      <c r="DI38">
        <f t="shared" si="3"/>
        <v>2.1596378954393928E-2</v>
      </c>
      <c r="DJ38">
        <f t="shared" si="3"/>
        <v>3.7231625109814242E-3</v>
      </c>
      <c r="DK38">
        <f t="shared" si="3"/>
        <v>2.1130928602314795E-2</v>
      </c>
      <c r="DL38">
        <f t="shared" si="3"/>
        <v>1.0220979429451072E-3</v>
      </c>
      <c r="DM38">
        <f t="shared" si="3"/>
        <v>1.8368031514928617E-2</v>
      </c>
      <c r="DN38">
        <f t="shared" si="3"/>
        <v>2.6247506772162817E-2</v>
      </c>
      <c r="DO38">
        <f t="shared" si="3"/>
        <v>3.486067785939348E-2</v>
      </c>
      <c r="DP38">
        <f t="shared" si="3"/>
        <v>1.212241333612461E-3</v>
      </c>
      <c r="DQ38">
        <f t="shared" si="3"/>
        <v>1.0062518424290559E-2</v>
      </c>
      <c r="DR38">
        <f t="shared" si="3"/>
        <v>2.1873147373457184E-2</v>
      </c>
      <c r="DS38">
        <f t="shared" si="3"/>
        <v>2.9305648867659975E-2</v>
      </c>
      <c r="DT38">
        <f t="shared" si="3"/>
        <v>3.4880991613195911E-5</v>
      </c>
      <c r="DU38">
        <f t="shared" si="3"/>
        <v>1.3937153203450013E-2</v>
      </c>
      <c r="DV38">
        <f t="shared" si="3"/>
        <v>1.2127228665865767E-2</v>
      </c>
      <c r="DW38">
        <f t="shared" si="3"/>
        <v>1.0506192911283371E-2</v>
      </c>
      <c r="DX38">
        <f t="shared" si="3"/>
        <v>2.3346680792544122E-2</v>
      </c>
      <c r="DY38">
        <f t="shared" si="3"/>
        <v>1.3384969710638277E-2</v>
      </c>
      <c r="DZ38">
        <f t="shared" si="3"/>
        <v>3.2811780289837477E-3</v>
      </c>
      <c r="EA38">
        <f t="shared" si="3"/>
        <v>1.150488936623912E-2</v>
      </c>
      <c r="EB38">
        <f t="shared" ref="EB38:FG38" si="4">EB2/$C$20/$D$20</f>
        <v>3.3182220744467868E-2</v>
      </c>
      <c r="EC38">
        <f t="shared" si="4"/>
        <v>1.1590996358418332E-2</v>
      </c>
      <c r="ED38">
        <f t="shared" si="4"/>
        <v>9.25652092694936E-3</v>
      </c>
      <c r="EE38">
        <f t="shared" si="4"/>
        <v>1.9351394288718227E-2</v>
      </c>
      <c r="EF38">
        <f t="shared" si="4"/>
        <v>4.4621866189225146E-2</v>
      </c>
      <c r="EG38">
        <f t="shared" si="4"/>
        <v>1.8879903557993585E-2</v>
      </c>
      <c r="EH38">
        <f t="shared" si="4"/>
        <v>1.0321136901440186E-2</v>
      </c>
      <c r="EI38">
        <f t="shared" si="4"/>
        <v>1.2890431173753237E-2</v>
      </c>
      <c r="EJ38">
        <f t="shared" si="4"/>
        <v>5.6714978528778206E-3</v>
      </c>
      <c r="EK38">
        <f t="shared" si="4"/>
        <v>1.7990073163651636E-2</v>
      </c>
      <c r="EL38">
        <f t="shared" si="4"/>
        <v>7.0895170584492065E-3</v>
      </c>
      <c r="EM38">
        <f t="shared" si="4"/>
        <v>6.2559541429526039E-3</v>
      </c>
      <c r="EN38">
        <f t="shared" si="4"/>
        <v>2.0107461542618058E-2</v>
      </c>
      <c r="EO38">
        <f t="shared" si="4"/>
        <v>7.3238475567680506E-3</v>
      </c>
      <c r="EP38">
        <f t="shared" si="4"/>
        <v>2.9537941019107E-3</v>
      </c>
      <c r="EQ38">
        <f t="shared" si="4"/>
        <v>1.4755802028014743E-2</v>
      </c>
      <c r="ER38">
        <f t="shared" si="4"/>
        <v>7.0132755514217965E-3</v>
      </c>
      <c r="ES38">
        <f t="shared" si="4"/>
        <v>8.9973917983786587E-3</v>
      </c>
      <c r="ET38">
        <f t="shared" si="4"/>
        <v>6.5088337726791545E-3</v>
      </c>
      <c r="EU38">
        <f t="shared" si="4"/>
        <v>1.3265158667257342E-2</v>
      </c>
      <c r="EV38">
        <f t="shared" si="4"/>
        <v>5.8050637240308085E-3</v>
      </c>
      <c r="EW38">
        <f t="shared" si="4"/>
        <v>2.2112612659601948E-3</v>
      </c>
      <c r="EX38">
        <f t="shared" si="4"/>
        <v>5.3186856598907298E-3</v>
      </c>
      <c r="EY38">
        <f t="shared" si="4"/>
        <v>1.6255940222228819E-3</v>
      </c>
      <c r="EZ38">
        <f t="shared" si="4"/>
        <v>1.7799487072728626E-3</v>
      </c>
      <c r="FA38">
        <f t="shared" si="4"/>
        <v>5.0453732916113121E-3</v>
      </c>
      <c r="FB38">
        <f t="shared" si="4"/>
        <v>3.759396363214074E-4</v>
      </c>
      <c r="FC38">
        <f t="shared" si="4"/>
        <v>2.8770492319827768E-3</v>
      </c>
      <c r="FD38">
        <f t="shared" si="4"/>
        <v>3.3030415255064336E-4</v>
      </c>
      <c r="FE38">
        <f t="shared" si="4"/>
        <v>8.5305581258578508E-3</v>
      </c>
      <c r="FF38">
        <f t="shared" si="4"/>
        <v>2.5254320119415712E-3</v>
      </c>
      <c r="FG38">
        <f t="shared" si="4"/>
        <v>1.6034329461066816E-3</v>
      </c>
      <c r="FH38">
        <f t="shared" ref="FH38:FT38" si="5">FH2/$C$20/$D$20</f>
        <v>7.4169299571390679E-4</v>
      </c>
      <c r="FI38">
        <f t="shared" si="5"/>
        <v>3.4840983863788665E-3</v>
      </c>
      <c r="FJ38">
        <f t="shared" si="5"/>
        <v>1.2583100230901083E-3</v>
      </c>
      <c r="FK38">
        <f t="shared" si="5"/>
        <v>5.505322041505765E-3</v>
      </c>
      <c r="FL38">
        <f t="shared" si="5"/>
        <v>1.0038989498147197E-3</v>
      </c>
      <c r="FM38">
        <f t="shared" si="5"/>
        <v>1.1948742290825742E-3</v>
      </c>
      <c r="FN38">
        <f t="shared" si="5"/>
        <v>3.7823970081935021E-3</v>
      </c>
      <c r="FO38">
        <f t="shared" si="5"/>
        <v>9.4296568371901634E-4</v>
      </c>
      <c r="FP38">
        <f t="shared" si="5"/>
        <v>1.0297948986364314E-3</v>
      </c>
      <c r="FQ38">
        <f t="shared" si="5"/>
        <v>1.3071742329614413E-3</v>
      </c>
      <c r="FR38">
        <f t="shared" si="5"/>
        <v>2.0584164905896943E-3</v>
      </c>
      <c r="FS38">
        <f t="shared" si="5"/>
        <v>2.5900248193512515E-4</v>
      </c>
      <c r="FT38">
        <f t="shared" si="5"/>
        <v>1.3033438882364018E-4</v>
      </c>
    </row>
    <row r="39" spans="1:176">
      <c r="A39" s="2" t="s">
        <v>11</v>
      </c>
      <c r="B39" t="s">
        <v>524</v>
      </c>
      <c r="C39">
        <f>C3/$C$21/$D$21*1000</f>
        <v>18.871684829956639</v>
      </c>
      <c r="D39">
        <f t="shared" ref="D39:AI39" si="6">D3/$C$21/$D$21</f>
        <v>14.396070348930374</v>
      </c>
      <c r="E39">
        <f t="shared" si="6"/>
        <v>45.556476993303605</v>
      </c>
      <c r="F39">
        <f t="shared" si="6"/>
        <v>7.0522140728678044</v>
      </c>
      <c r="G39">
        <f t="shared" si="6"/>
        <v>5.4099410860321822</v>
      </c>
      <c r="H39">
        <f t="shared" si="6"/>
        <v>2.7720019767912896</v>
      </c>
      <c r="I39">
        <f t="shared" si="6"/>
        <v>2.8948036478885233</v>
      </c>
      <c r="J39">
        <f t="shared" si="6"/>
        <v>0.79168880391538299</v>
      </c>
      <c r="K39">
        <f t="shared" si="6"/>
        <v>2.4021138601969731</v>
      </c>
      <c r="L39">
        <f t="shared" si="6"/>
        <v>0.23950505693631513</v>
      </c>
      <c r="M39">
        <f t="shared" si="6"/>
        <v>0.38859269774667565</v>
      </c>
      <c r="N39">
        <f t="shared" si="6"/>
        <v>5.7977493141787344E-2</v>
      </c>
      <c r="O39">
        <f t="shared" si="6"/>
        <v>0.25239026253984581</v>
      </c>
      <c r="P39">
        <f t="shared" si="6"/>
        <v>0.9092008093026186</v>
      </c>
      <c r="Q39">
        <f t="shared" si="6"/>
        <v>0.73000091408842083</v>
      </c>
      <c r="R39">
        <f t="shared" si="6"/>
        <v>0.25737259779774607</v>
      </c>
      <c r="S39">
        <f t="shared" si="6"/>
        <v>0.10999829978884593</v>
      </c>
      <c r="T39">
        <f t="shared" si="6"/>
        <v>0.4708989808045565</v>
      </c>
      <c r="U39">
        <f t="shared" si="6"/>
        <v>0.26669338953825145</v>
      </c>
      <c r="V39">
        <f t="shared" si="6"/>
        <v>0.6664914139362591</v>
      </c>
      <c r="W39">
        <f t="shared" si="6"/>
        <v>0.45600697445644683</v>
      </c>
      <c r="X39">
        <f t="shared" si="6"/>
        <v>0.51207468383392829</v>
      </c>
      <c r="Y39">
        <f t="shared" si="6"/>
        <v>0.1505643555906756</v>
      </c>
      <c r="Z39">
        <f t="shared" si="6"/>
        <v>0.41857577126874695</v>
      </c>
      <c r="AA39">
        <f t="shared" si="6"/>
        <v>0.22501025561081844</v>
      </c>
      <c r="AB39">
        <f t="shared" si="6"/>
        <v>0.42056080673660656</v>
      </c>
      <c r="AC39">
        <f t="shared" si="6"/>
        <v>0.42110965082435625</v>
      </c>
      <c r="AD39">
        <f t="shared" si="6"/>
        <v>8.730112258492688E-2</v>
      </c>
      <c r="AE39">
        <f t="shared" si="6"/>
        <v>0.34770603474946482</v>
      </c>
      <c r="AF39">
        <f t="shared" si="6"/>
        <v>2.1469262174659807E-2</v>
      </c>
      <c r="AG39">
        <f t="shared" si="6"/>
        <v>1.0801943140218255E-2</v>
      </c>
      <c r="AH39">
        <f t="shared" si="6"/>
        <v>4.6462084897126298E-2</v>
      </c>
      <c r="AI39">
        <f t="shared" si="6"/>
        <v>0.30305331431570642</v>
      </c>
      <c r="AJ39">
        <f t="shared" ref="AJ39:BO39" si="7">AJ3/$C$21/$D$21</f>
        <v>0.29267875591112608</v>
      </c>
      <c r="AK39">
        <f t="shared" si="7"/>
        <v>0.20145722857671491</v>
      </c>
      <c r="AL39">
        <f t="shared" si="7"/>
        <v>0.18366105933971225</v>
      </c>
      <c r="AM39">
        <f t="shared" si="7"/>
        <v>0.117260933505362</v>
      </c>
      <c r="AN39">
        <f t="shared" si="7"/>
        <v>0.18059719197293608</v>
      </c>
      <c r="AO39">
        <f t="shared" si="7"/>
        <v>0.2295708458454094</v>
      </c>
      <c r="AP39">
        <f t="shared" si="7"/>
        <v>4.6918698298065713E-2</v>
      </c>
      <c r="AQ39">
        <f t="shared" si="7"/>
        <v>4.2240380893936023E-2</v>
      </c>
      <c r="AR39">
        <f t="shared" si="7"/>
        <v>7.6954711208518031E-2</v>
      </c>
      <c r="AS39">
        <f t="shared" si="7"/>
        <v>0.23056004313271181</v>
      </c>
      <c r="AT39">
        <f t="shared" si="7"/>
        <v>0.19767849008800145</v>
      </c>
      <c r="AU39">
        <f t="shared" si="7"/>
        <v>0.19614598863931809</v>
      </c>
      <c r="AV39">
        <f t="shared" si="7"/>
        <v>0.19171292367159504</v>
      </c>
      <c r="AW39">
        <f t="shared" si="7"/>
        <v>0.13487486381545208</v>
      </c>
      <c r="AX39">
        <f t="shared" si="7"/>
        <v>0.12304764906077924</v>
      </c>
      <c r="AY39">
        <f t="shared" si="7"/>
        <v>7.5115795392058288E-2</v>
      </c>
      <c r="AZ39">
        <f t="shared" si="7"/>
        <v>2.8288155706497353E-2</v>
      </c>
      <c r="BA39">
        <f t="shared" si="7"/>
        <v>8.2776223764692403E-2</v>
      </c>
      <c r="BB39">
        <f t="shared" si="7"/>
        <v>0.12038593257517402</v>
      </c>
      <c r="BC39">
        <f t="shared" si="7"/>
        <v>9.3956605401384202E-2</v>
      </c>
      <c r="BD39">
        <f t="shared" si="7"/>
        <v>0.14230431546131317</v>
      </c>
      <c r="BE39">
        <f t="shared" si="7"/>
        <v>0.11297887131661256</v>
      </c>
      <c r="BF39">
        <f t="shared" si="7"/>
        <v>5.529542112331539E-2</v>
      </c>
      <c r="BG39">
        <f t="shared" si="7"/>
        <v>7.2535472348736516E-2</v>
      </c>
      <c r="BH39">
        <f t="shared" si="7"/>
        <v>0.13897123671871456</v>
      </c>
      <c r="BI39">
        <f t="shared" si="7"/>
        <v>1.8233809403410458E-2</v>
      </c>
      <c r="BJ39">
        <f t="shared" si="7"/>
        <v>0.1204239924417236</v>
      </c>
      <c r="BK39">
        <f t="shared" si="7"/>
        <v>5.5325814291784847E-2</v>
      </c>
      <c r="BL39">
        <f t="shared" si="7"/>
        <v>0.14463127308381091</v>
      </c>
      <c r="BM39">
        <f t="shared" si="7"/>
        <v>2.8044207558684118E-2</v>
      </c>
      <c r="BN39">
        <f t="shared" si="7"/>
        <v>7.0491546142836597E-3</v>
      </c>
      <c r="BO39">
        <f t="shared" si="7"/>
        <v>0.13689642327462631</v>
      </c>
      <c r="BP39">
        <f t="shared" ref="BP39:CU39" si="8">BP3/$C$21/$D$21</f>
        <v>0.12293566423235613</v>
      </c>
      <c r="BQ39">
        <f t="shared" si="8"/>
        <v>3.3173652838468702E-2</v>
      </c>
      <c r="BR39">
        <f t="shared" si="8"/>
        <v>9.1233003667769388E-2</v>
      </c>
      <c r="BS39">
        <f t="shared" si="8"/>
        <v>1.6919748629962558E-3</v>
      </c>
      <c r="BT39">
        <f t="shared" si="8"/>
        <v>2.1749679907409201E-2</v>
      </c>
      <c r="BU39">
        <f t="shared" si="8"/>
        <v>4.5380417970576625E-3</v>
      </c>
      <c r="BV39">
        <f t="shared" si="8"/>
        <v>9.1942391422802736E-2</v>
      </c>
      <c r="BW39">
        <f t="shared" si="8"/>
        <v>9.4878040754614312E-2</v>
      </c>
      <c r="BX39">
        <f t="shared" si="8"/>
        <v>4.4906795130214361E-3</v>
      </c>
      <c r="BY39">
        <f t="shared" si="8"/>
        <v>6.3028020012304523E-2</v>
      </c>
      <c r="BZ39">
        <f t="shared" si="8"/>
        <v>5.2468662200562323E-2</v>
      </c>
      <c r="CA39">
        <f t="shared" si="8"/>
        <v>1.057207743635672E-3</v>
      </c>
      <c r="CB39">
        <f t="shared" si="8"/>
        <v>2.2444698848351905E-2</v>
      </c>
      <c r="CC39">
        <f t="shared" si="8"/>
        <v>7.8999273592289337E-2</v>
      </c>
      <c r="CD39">
        <f t="shared" si="8"/>
        <v>3.510918812336937E-2</v>
      </c>
      <c r="CE39">
        <f t="shared" si="8"/>
        <v>7.381471812788927E-2</v>
      </c>
      <c r="CF39">
        <f t="shared" si="8"/>
        <v>4.9514762028555301E-2</v>
      </c>
      <c r="CG39">
        <f t="shared" si="8"/>
        <v>1.2131692993564961E-2</v>
      </c>
      <c r="CH39">
        <f t="shared" si="8"/>
        <v>4.2311407047154741E-2</v>
      </c>
      <c r="CI39">
        <f t="shared" si="8"/>
        <v>1.0721789930894182E-3</v>
      </c>
      <c r="CJ39">
        <f t="shared" si="8"/>
        <v>6.4360644511001111E-2</v>
      </c>
      <c r="CK39">
        <f t="shared" si="8"/>
        <v>1.5416140243357039E-2</v>
      </c>
      <c r="CL39">
        <f t="shared" si="8"/>
        <v>2.026167526472332E-3</v>
      </c>
      <c r="CM39">
        <f t="shared" si="8"/>
        <v>1.2656131267217551E-2</v>
      </c>
      <c r="CN39">
        <f t="shared" si="8"/>
        <v>4.2678713894923184E-2</v>
      </c>
      <c r="CO39">
        <f t="shared" si="8"/>
        <v>8.4938795066275934E-3</v>
      </c>
      <c r="CP39">
        <f t="shared" si="8"/>
        <v>1.0655430938332086E-2</v>
      </c>
      <c r="CQ39">
        <f t="shared" si="8"/>
        <v>6.0313750091299065E-2</v>
      </c>
      <c r="CR39">
        <f t="shared" si="8"/>
        <v>3.141156836337991E-2</v>
      </c>
      <c r="CS39">
        <f t="shared" si="8"/>
        <v>4.6880812095777158E-2</v>
      </c>
      <c r="CT39">
        <f t="shared" si="8"/>
        <v>5.228732020804347E-2</v>
      </c>
      <c r="CU39">
        <f t="shared" si="8"/>
        <v>2.4214245599304732E-3</v>
      </c>
      <c r="CV39">
        <f t="shared" ref="CV39:EA39" si="9">CV3/$C$21/$D$21</f>
        <v>2.8911211101522647E-2</v>
      </c>
      <c r="CW39">
        <f t="shared" si="9"/>
        <v>1.5047721494685482E-2</v>
      </c>
      <c r="CX39">
        <f t="shared" si="9"/>
        <v>2.0567952290683637E-2</v>
      </c>
      <c r="CY39">
        <f t="shared" si="9"/>
        <v>2.6069602935394481E-2</v>
      </c>
      <c r="CZ39">
        <f t="shared" si="9"/>
        <v>2.175009250120534E-2</v>
      </c>
      <c r="DA39">
        <f t="shared" si="9"/>
        <v>3.9409766228117607E-2</v>
      </c>
      <c r="DB39">
        <f t="shared" si="9"/>
        <v>4.5502308919844588E-2</v>
      </c>
      <c r="DC39">
        <f t="shared" si="9"/>
        <v>2.990530082652176E-2</v>
      </c>
      <c r="DD39">
        <f t="shared" si="9"/>
        <v>2.0626691817252438E-3</v>
      </c>
      <c r="DE39">
        <f t="shared" si="9"/>
        <v>4.7495358675185985E-2</v>
      </c>
      <c r="DF39">
        <f t="shared" si="9"/>
        <v>3.5851266878415076E-2</v>
      </c>
      <c r="DG39">
        <f t="shared" si="9"/>
        <v>1.1365631262757078E-2</v>
      </c>
      <c r="DH39">
        <f t="shared" si="9"/>
        <v>2.2739303547817741E-2</v>
      </c>
      <c r="DI39">
        <f t="shared" si="9"/>
        <v>2.0408526763267671E-2</v>
      </c>
      <c r="DJ39">
        <f t="shared" si="9"/>
        <v>3.6639668407980885E-3</v>
      </c>
      <c r="DK39">
        <f t="shared" si="9"/>
        <v>2.0560237009563633E-2</v>
      </c>
      <c r="DL39">
        <f t="shared" si="9"/>
        <v>8.5083817136018432E-4</v>
      </c>
      <c r="DM39">
        <f t="shared" si="9"/>
        <v>3.5815725974140594E-2</v>
      </c>
      <c r="DN39">
        <f t="shared" si="9"/>
        <v>2.5124300599896066E-2</v>
      </c>
      <c r="DO39">
        <f t="shared" si="9"/>
        <v>2.9928286884934808E-2</v>
      </c>
      <c r="DP39">
        <f t="shared" si="9"/>
        <v>5.9064418879120062E-3</v>
      </c>
      <c r="DQ39">
        <f t="shared" si="9"/>
        <v>5.8035491841797703E-3</v>
      </c>
      <c r="DR39">
        <f t="shared" si="9"/>
        <v>2.1655598662573501E-2</v>
      </c>
      <c r="DS39">
        <f t="shared" si="9"/>
        <v>3.6304598352943918E-2</v>
      </c>
      <c r="DT39">
        <f t="shared" si="9"/>
        <v>2.6296226278454199E-5</v>
      </c>
      <c r="DU39">
        <f t="shared" si="9"/>
        <v>2.7152731740693579E-2</v>
      </c>
      <c r="DV39">
        <f t="shared" si="9"/>
        <v>1.6832663334671125E-2</v>
      </c>
      <c r="DW39">
        <f t="shared" si="9"/>
        <v>7.0218095682334659E-3</v>
      </c>
      <c r="DX39">
        <f t="shared" si="9"/>
        <v>1.555441926941795E-2</v>
      </c>
      <c r="DY39">
        <f t="shared" si="9"/>
        <v>3.618786492054972E-2</v>
      </c>
      <c r="DZ39">
        <f t="shared" si="9"/>
        <v>3.3581684988425774E-3</v>
      </c>
      <c r="EA39">
        <f t="shared" si="9"/>
        <v>9.2699262958050189E-3</v>
      </c>
      <c r="EB39">
        <f t="shared" ref="EB39:FG39" si="10">EB3/$C$21/$D$21</f>
        <v>2.7514459686926215E-2</v>
      </c>
      <c r="EC39">
        <f t="shared" si="10"/>
        <v>6.1705942234617582E-4</v>
      </c>
      <c r="ED39">
        <f t="shared" si="10"/>
        <v>9.5286178963103364E-3</v>
      </c>
      <c r="EE39">
        <f t="shared" si="10"/>
        <v>2.5958110556125159E-2</v>
      </c>
      <c r="EF39">
        <f t="shared" si="10"/>
        <v>7.8835844090085507E-4</v>
      </c>
      <c r="EG39">
        <f t="shared" si="10"/>
        <v>1.5329583760689791E-2</v>
      </c>
      <c r="EH39">
        <f t="shared" si="10"/>
        <v>1.8424625054111861E-2</v>
      </c>
      <c r="EI39">
        <f t="shared" si="10"/>
        <v>1.7270101493198801E-2</v>
      </c>
      <c r="EJ39">
        <f t="shared" si="10"/>
        <v>8.4616462191643461E-3</v>
      </c>
      <c r="EK39">
        <f t="shared" si="10"/>
        <v>1.7976968104822803E-2</v>
      </c>
      <c r="EL39">
        <f t="shared" si="10"/>
        <v>1.0821888021949347E-2</v>
      </c>
      <c r="EM39">
        <f t="shared" si="10"/>
        <v>2.4013047219863435E-4</v>
      </c>
      <c r="EN39">
        <f t="shared" si="10"/>
        <v>1.9963432323190311E-2</v>
      </c>
      <c r="EO39">
        <f t="shared" si="10"/>
        <v>3.7952683484743276E-3</v>
      </c>
      <c r="EP39">
        <f t="shared" si="10"/>
        <v>3.9960790677850402E-4</v>
      </c>
      <c r="EQ39">
        <f t="shared" si="10"/>
        <v>1.0531461531479144E-2</v>
      </c>
      <c r="ER39">
        <f t="shared" si="10"/>
        <v>6.7279823427541892E-3</v>
      </c>
      <c r="ES39">
        <f t="shared" si="10"/>
        <v>2.7371365101553783E-3</v>
      </c>
      <c r="ET39">
        <f t="shared" si="10"/>
        <v>5.8629977140766598E-3</v>
      </c>
      <c r="EU39">
        <f t="shared" si="10"/>
        <v>8.4692628812293204E-3</v>
      </c>
      <c r="EV39">
        <f t="shared" si="10"/>
        <v>4.8140308978002694E-3</v>
      </c>
      <c r="EW39">
        <f t="shared" si="10"/>
        <v>9.0560375423082834E-4</v>
      </c>
      <c r="EX39">
        <f t="shared" si="10"/>
        <v>1.2277242318916637E-2</v>
      </c>
      <c r="EY39">
        <f t="shared" si="10"/>
        <v>3.7044573414338352E-4</v>
      </c>
      <c r="EZ39">
        <f t="shared" si="10"/>
        <v>6.0781327381409017E-3</v>
      </c>
      <c r="FA39">
        <f t="shared" si="10"/>
        <v>2.6218892068818373E-3</v>
      </c>
      <c r="FB39">
        <f t="shared" si="10"/>
        <v>2.3754081416983968E-3</v>
      </c>
      <c r="FC39">
        <f t="shared" si="10"/>
        <v>9.7171543557333043E-3</v>
      </c>
      <c r="FD39">
        <f t="shared" si="10"/>
        <v>2.7630807032031214E-4</v>
      </c>
      <c r="FE39">
        <f t="shared" si="10"/>
        <v>8.2458090987112976E-3</v>
      </c>
      <c r="FF39">
        <f t="shared" si="10"/>
        <v>4.7475990450412302E-3</v>
      </c>
      <c r="FG39">
        <f t="shared" si="10"/>
        <v>1.1592015629856638E-3</v>
      </c>
      <c r="FH39">
        <f t="shared" ref="FH39:FT39" si="11">FH3/$C$21/$D$21</f>
        <v>1.7297602400295534E-3</v>
      </c>
      <c r="FI39">
        <f t="shared" si="11"/>
        <v>1.2307281853262272E-3</v>
      </c>
      <c r="FJ39">
        <f t="shared" si="11"/>
        <v>3.7510963510929149E-3</v>
      </c>
      <c r="FK39">
        <f t="shared" si="11"/>
        <v>3.1841412727737898E-3</v>
      </c>
      <c r="FL39">
        <f t="shared" si="11"/>
        <v>9.6771936492301056E-4</v>
      </c>
      <c r="FM39">
        <f t="shared" si="11"/>
        <v>8.8921818108096142E-4</v>
      </c>
      <c r="FN39">
        <f t="shared" si="11"/>
        <v>3.79050910277599E-3</v>
      </c>
      <c r="FO39">
        <f t="shared" si="11"/>
        <v>1.034793217433752E-3</v>
      </c>
      <c r="FP39">
        <f t="shared" si="11"/>
        <v>5.8898470499796655E-4</v>
      </c>
      <c r="FQ39">
        <f t="shared" si="11"/>
        <v>1.9629065123469127E-3</v>
      </c>
      <c r="FR39">
        <f t="shared" si="11"/>
        <v>5.0755591173342631E-4</v>
      </c>
      <c r="FS39">
        <f t="shared" si="11"/>
        <v>1.0380426391392139E-4</v>
      </c>
      <c r="FT39">
        <f t="shared" si="11"/>
        <v>1.1054811634770965E-4</v>
      </c>
    </row>
    <row r="40" spans="1:176">
      <c r="A40" s="2" t="s">
        <v>12</v>
      </c>
      <c r="B40" t="s">
        <v>524</v>
      </c>
      <c r="C40">
        <f>C4/$C$22/$D$22*1000</f>
        <v>225.29101735632003</v>
      </c>
      <c r="D40">
        <f t="shared" ref="D40:AI40" si="12">D4/$C$22/$D$22</f>
        <v>1.4456732035867588</v>
      </c>
      <c r="E40">
        <f t="shared" si="12"/>
        <v>30.527387284772526</v>
      </c>
      <c r="F40">
        <f t="shared" si="12"/>
        <v>6.1504610294517326</v>
      </c>
      <c r="G40">
        <f t="shared" si="12"/>
        <v>3.6585719275386377</v>
      </c>
      <c r="H40">
        <f t="shared" si="12"/>
        <v>4.0017401364227156</v>
      </c>
      <c r="I40">
        <f t="shared" si="12"/>
        <v>2.9264837335324194</v>
      </c>
      <c r="J40">
        <f t="shared" si="12"/>
        <v>1.3918522201093391</v>
      </c>
      <c r="K40">
        <f t="shared" si="12"/>
        <v>1.8935807612194659</v>
      </c>
      <c r="L40">
        <f t="shared" si="12"/>
        <v>5.3286332889122386E-2</v>
      </c>
      <c r="M40">
        <f t="shared" si="12"/>
        <v>0.5868875265998561</v>
      </c>
      <c r="N40">
        <f t="shared" si="12"/>
        <v>4.0111075080953761E-2</v>
      </c>
      <c r="O40">
        <f t="shared" si="12"/>
        <v>9.7091594046628191E-2</v>
      </c>
      <c r="P40">
        <f t="shared" si="12"/>
        <v>0.49933701142509002</v>
      </c>
      <c r="Q40">
        <f t="shared" si="12"/>
        <v>0.82711777120303598</v>
      </c>
      <c r="R40">
        <f t="shared" si="12"/>
        <v>0.39029095335246433</v>
      </c>
      <c r="S40">
        <f t="shared" si="12"/>
        <v>0.10461234178339075</v>
      </c>
      <c r="T40">
        <f t="shared" si="12"/>
        <v>0.45645832575590722</v>
      </c>
      <c r="U40">
        <f t="shared" si="12"/>
        <v>0.10676137301785114</v>
      </c>
      <c r="V40">
        <f t="shared" si="12"/>
        <v>0.53439606893069314</v>
      </c>
      <c r="W40">
        <f t="shared" si="12"/>
        <v>0.36115359098721522</v>
      </c>
      <c r="X40">
        <f t="shared" si="12"/>
        <v>0.34299879829756974</v>
      </c>
      <c r="Y40">
        <f t="shared" si="12"/>
        <v>0.11135325020112256</v>
      </c>
      <c r="Z40">
        <f t="shared" si="12"/>
        <v>0.16306316352345424</v>
      </c>
      <c r="AA40">
        <f t="shared" si="12"/>
        <v>5.1266437833368581E-2</v>
      </c>
      <c r="AB40">
        <f t="shared" si="12"/>
        <v>0.34915718574613042</v>
      </c>
      <c r="AC40">
        <f t="shared" si="12"/>
        <v>0.31307095105864957</v>
      </c>
      <c r="AD40">
        <f t="shared" si="12"/>
        <v>0.13363219694099421</v>
      </c>
      <c r="AE40">
        <f t="shared" si="12"/>
        <v>0.17666064703128853</v>
      </c>
      <c r="AF40">
        <f t="shared" si="12"/>
        <v>7.1780313867210715E-3</v>
      </c>
      <c r="AG40">
        <f t="shared" si="12"/>
        <v>3.0473036951835949E-2</v>
      </c>
      <c r="AH40">
        <f t="shared" si="12"/>
        <v>2.3479682909052928E-2</v>
      </c>
      <c r="AI40">
        <f t="shared" si="12"/>
        <v>0.29225628472108084</v>
      </c>
      <c r="AJ40">
        <f t="shared" ref="AJ40:BO40" si="13">AJ4/$C$22/$D$22</f>
        <v>0.24527153431255069</v>
      </c>
      <c r="AK40">
        <f t="shared" si="13"/>
        <v>8.6574416822482361E-2</v>
      </c>
      <c r="AL40">
        <f t="shared" si="13"/>
        <v>0.14687746909079508</v>
      </c>
      <c r="AM40">
        <f t="shared" si="13"/>
        <v>0.10346666433799949</v>
      </c>
      <c r="AN40">
        <f t="shared" si="13"/>
        <v>8.177692446586915E-2</v>
      </c>
      <c r="AO40">
        <f t="shared" si="13"/>
        <v>0.1233437447904096</v>
      </c>
      <c r="AP40">
        <f t="shared" si="13"/>
        <v>3.5787659349279244E-2</v>
      </c>
      <c r="AQ40">
        <f t="shared" si="13"/>
        <v>3.4453595338987883E-2</v>
      </c>
      <c r="AR40">
        <f t="shared" si="13"/>
        <v>7.4914413472080416E-2</v>
      </c>
      <c r="AS40">
        <f t="shared" si="13"/>
        <v>0.20300587481214419</v>
      </c>
      <c r="AT40">
        <f t="shared" si="13"/>
        <v>0.10614521805533747</v>
      </c>
      <c r="AU40">
        <f t="shared" si="13"/>
        <v>0.18824102253688668</v>
      </c>
      <c r="AV40">
        <f t="shared" si="13"/>
        <v>0.12282742533889747</v>
      </c>
      <c r="AW40">
        <f t="shared" si="13"/>
        <v>6.721338851019093E-2</v>
      </c>
      <c r="AX40">
        <f t="shared" si="13"/>
        <v>0.14230903363380548</v>
      </c>
      <c r="AY40">
        <f t="shared" si="13"/>
        <v>0.16829974092708086</v>
      </c>
      <c r="AZ40">
        <f t="shared" si="13"/>
        <v>1.2587638023555624E-2</v>
      </c>
      <c r="BA40">
        <f t="shared" si="13"/>
        <v>3.1029533365517548E-2</v>
      </c>
      <c r="BB40">
        <f t="shared" si="13"/>
        <v>0.1171202360845542</v>
      </c>
      <c r="BC40">
        <f t="shared" si="13"/>
        <v>0.10321807410496525</v>
      </c>
      <c r="BD40">
        <f t="shared" si="13"/>
        <v>0.10917072219668504</v>
      </c>
      <c r="BE40">
        <f t="shared" si="13"/>
        <v>6.9642022431671155E-2</v>
      </c>
      <c r="BF40">
        <f t="shared" si="13"/>
        <v>2.052726872078656E-2</v>
      </c>
      <c r="BG40">
        <f t="shared" si="13"/>
        <v>4.4610270583753941E-2</v>
      </c>
      <c r="BH40">
        <f t="shared" si="13"/>
        <v>0.10728843517286848</v>
      </c>
      <c r="BI40">
        <f t="shared" si="13"/>
        <v>4.2126238758955055E-2</v>
      </c>
      <c r="BJ40">
        <f t="shared" si="13"/>
        <v>0.10193120871036332</v>
      </c>
      <c r="BK40">
        <f t="shared" si="13"/>
        <v>5.7221632465357379E-2</v>
      </c>
      <c r="BL40">
        <f t="shared" si="13"/>
        <v>0.105216353199851</v>
      </c>
      <c r="BM40">
        <f t="shared" si="13"/>
        <v>2.0817197459029244E-2</v>
      </c>
      <c r="BN40">
        <f t="shared" si="13"/>
        <v>0.11385747858793137</v>
      </c>
      <c r="BO40">
        <f t="shared" si="13"/>
        <v>9.590080146236446E-2</v>
      </c>
      <c r="BP40">
        <f t="shared" ref="BP40:CU40" si="14">BP4/$C$22/$D$22</f>
        <v>3.164418836111095E-2</v>
      </c>
      <c r="BQ40">
        <f t="shared" si="14"/>
        <v>9.5603947969823393E-3</v>
      </c>
      <c r="BR40">
        <f t="shared" si="14"/>
        <v>6.1652271158427085E-2</v>
      </c>
      <c r="BS40">
        <f t="shared" si="14"/>
        <v>9.304643042140115E-2</v>
      </c>
      <c r="BT40">
        <f t="shared" si="14"/>
        <v>3.6846122288955674E-2</v>
      </c>
      <c r="BU40">
        <f t="shared" si="14"/>
        <v>2.3202881259364377E-3</v>
      </c>
      <c r="BV40">
        <f t="shared" si="14"/>
        <v>4.7050849609928412E-2</v>
      </c>
      <c r="BW40">
        <f t="shared" si="14"/>
        <v>8.1353314450361341E-2</v>
      </c>
      <c r="BX40">
        <f t="shared" si="14"/>
        <v>1.7808075164106117E-2</v>
      </c>
      <c r="BY40">
        <f t="shared" si="14"/>
        <v>6.8031311503479908E-2</v>
      </c>
      <c r="BZ40">
        <f t="shared" si="14"/>
        <v>6.1250791911439437E-2</v>
      </c>
      <c r="CA40">
        <f t="shared" si="14"/>
        <v>2.7506198526813679E-3</v>
      </c>
      <c r="CB40">
        <f t="shared" si="14"/>
        <v>1.3146978875652259E-2</v>
      </c>
      <c r="CC40">
        <f t="shared" si="14"/>
        <v>5.3512177384341518E-2</v>
      </c>
      <c r="CD40">
        <f t="shared" si="14"/>
        <v>4.2297486011256047E-2</v>
      </c>
      <c r="CE40">
        <f t="shared" si="14"/>
        <v>2.8806161091035787E-2</v>
      </c>
      <c r="CF40">
        <f t="shared" si="14"/>
        <v>5.884523215007615E-2</v>
      </c>
      <c r="CG40">
        <f t="shared" si="14"/>
        <v>9.4394787563053615E-3</v>
      </c>
      <c r="CH40">
        <f t="shared" si="14"/>
        <v>1.9467924148648643E-2</v>
      </c>
      <c r="CI40">
        <f t="shared" si="14"/>
        <v>1.8342907048190976E-4</v>
      </c>
      <c r="CJ40">
        <f t="shared" si="14"/>
        <v>2.7167037486257917E-2</v>
      </c>
      <c r="CK40">
        <f t="shared" si="14"/>
        <v>1.6706745596367596E-2</v>
      </c>
      <c r="CL40">
        <f t="shared" si="14"/>
        <v>1.4210792808320111E-3</v>
      </c>
      <c r="CM40">
        <f t="shared" si="14"/>
        <v>3.917167687104408E-2</v>
      </c>
      <c r="CN40">
        <f t="shared" si="14"/>
        <v>3.2851384121223848E-2</v>
      </c>
      <c r="CO40">
        <f t="shared" si="14"/>
        <v>1.4915823350944959E-2</v>
      </c>
      <c r="CP40">
        <f t="shared" si="14"/>
        <v>1.3039504740264029E-2</v>
      </c>
      <c r="CQ40">
        <f t="shared" si="14"/>
        <v>3.1066249646045485E-2</v>
      </c>
      <c r="CR40">
        <f t="shared" si="14"/>
        <v>1.5111955195064487E-2</v>
      </c>
      <c r="CS40">
        <f t="shared" si="14"/>
        <v>4.0089025528477089E-2</v>
      </c>
      <c r="CT40">
        <f t="shared" si="14"/>
        <v>4.4597361578226538E-2</v>
      </c>
      <c r="CU40">
        <f t="shared" si="14"/>
        <v>4.5199708346060153E-3</v>
      </c>
      <c r="CV40">
        <f t="shared" ref="CV40:EA40" si="15">CV4/$C$22/$D$22</f>
        <v>1.5309389484212801E-2</v>
      </c>
      <c r="CW40">
        <f t="shared" si="15"/>
        <v>1.3737825470269492E-2</v>
      </c>
      <c r="CX40">
        <f t="shared" si="15"/>
        <v>1.1570339060156485E-2</v>
      </c>
      <c r="CY40">
        <f t="shared" si="15"/>
        <v>1.5335877600745717E-2</v>
      </c>
      <c r="CZ40">
        <f t="shared" si="15"/>
        <v>3.02451544749123E-2</v>
      </c>
      <c r="DA40">
        <f t="shared" si="15"/>
        <v>4.1038267103606085E-2</v>
      </c>
      <c r="DB40">
        <f t="shared" si="15"/>
        <v>2.8445018126817146E-2</v>
      </c>
      <c r="DC40">
        <f t="shared" si="15"/>
        <v>2.7626784636187549E-2</v>
      </c>
      <c r="DD40">
        <f t="shared" si="15"/>
        <v>1.7383383990061667E-3</v>
      </c>
      <c r="DE40">
        <f t="shared" si="15"/>
        <v>3.3638094149330805E-2</v>
      </c>
      <c r="DF40">
        <f t="shared" si="15"/>
        <v>2.750706753756223E-2</v>
      </c>
      <c r="DG40">
        <f t="shared" si="15"/>
        <v>5.7963097193094188E-3</v>
      </c>
      <c r="DH40">
        <f t="shared" si="15"/>
        <v>1.7006499269339465E-2</v>
      </c>
      <c r="DI40">
        <f t="shared" si="15"/>
        <v>1.6890884821500113E-2</v>
      </c>
      <c r="DJ40">
        <f t="shared" si="15"/>
        <v>5.8463912289882869E-3</v>
      </c>
      <c r="DK40">
        <f t="shared" si="15"/>
        <v>2.3627862375115275E-2</v>
      </c>
      <c r="DL40">
        <f t="shared" si="15"/>
        <v>5.702284536043393E-4</v>
      </c>
      <c r="DM40">
        <f t="shared" si="15"/>
        <v>3.5213014690579907E-2</v>
      </c>
      <c r="DN40">
        <f t="shared" si="15"/>
        <v>2.2933557337183184E-2</v>
      </c>
      <c r="DO40">
        <f t="shared" si="15"/>
        <v>2.3704202823731101E-2</v>
      </c>
      <c r="DP40">
        <f t="shared" si="15"/>
        <v>7.6793643035574354E-4</v>
      </c>
      <c r="DQ40">
        <f t="shared" si="15"/>
        <v>9.5729010548635651E-3</v>
      </c>
      <c r="DR40">
        <f t="shared" si="15"/>
        <v>2.9495162812084828E-2</v>
      </c>
      <c r="DS40">
        <f t="shared" si="15"/>
        <v>3.3170786192226513E-2</v>
      </c>
      <c r="DT40">
        <f t="shared" si="15"/>
        <v>1.7379567826914605E-5</v>
      </c>
      <c r="DU40">
        <f t="shared" si="15"/>
        <v>3.050592973269162E-2</v>
      </c>
      <c r="DV40">
        <f t="shared" si="15"/>
        <v>1.425436435364486E-2</v>
      </c>
      <c r="DW40">
        <f t="shared" si="15"/>
        <v>6.5208499039301968E-3</v>
      </c>
      <c r="DX40">
        <f t="shared" si="15"/>
        <v>8.706494160854476E-3</v>
      </c>
      <c r="DY40">
        <f t="shared" si="15"/>
        <v>1.9311187845185498E-2</v>
      </c>
      <c r="DZ40">
        <f t="shared" si="15"/>
        <v>1.6554211918843914E-3</v>
      </c>
      <c r="EA40">
        <f t="shared" si="15"/>
        <v>1.4714402125264392E-2</v>
      </c>
      <c r="EB40">
        <f t="shared" ref="EB40:FG40" si="16">EB4/$C$22/$D$22</f>
        <v>2.3324774680353239E-2</v>
      </c>
      <c r="EC40">
        <f t="shared" si="16"/>
        <v>9.079806247821719E-3</v>
      </c>
      <c r="ED40">
        <f t="shared" si="16"/>
        <v>9.1258326846313555E-3</v>
      </c>
      <c r="EE40">
        <f t="shared" si="16"/>
        <v>1.8480306408712319E-2</v>
      </c>
      <c r="EF40">
        <f t="shared" si="16"/>
        <v>3.205431011203062E-4</v>
      </c>
      <c r="EG40">
        <f t="shared" si="16"/>
        <v>9.7438154641258379E-3</v>
      </c>
      <c r="EH40">
        <f t="shared" si="16"/>
        <v>5.6048599476596064E-3</v>
      </c>
      <c r="EI40">
        <f t="shared" si="16"/>
        <v>6.9648240359717443E-3</v>
      </c>
      <c r="EJ40">
        <f t="shared" si="16"/>
        <v>8.8650112772143633E-3</v>
      </c>
      <c r="EK40">
        <f t="shared" si="16"/>
        <v>1.497404014649417E-2</v>
      </c>
      <c r="EL40">
        <f t="shared" si="16"/>
        <v>7.9769945546260389E-3</v>
      </c>
      <c r="EM40">
        <f t="shared" si="16"/>
        <v>1.8028586733462183E-3</v>
      </c>
      <c r="EN40">
        <f t="shared" si="16"/>
        <v>9.1565232015410059E-3</v>
      </c>
      <c r="EO40">
        <f t="shared" si="16"/>
        <v>2.7852225080386463E-3</v>
      </c>
      <c r="EP40">
        <f t="shared" si="16"/>
        <v>1.7359634723390369E-3</v>
      </c>
      <c r="EQ40">
        <f t="shared" si="16"/>
        <v>5.6650736885406E-3</v>
      </c>
      <c r="ER40">
        <f t="shared" si="16"/>
        <v>7.751900748463463E-3</v>
      </c>
      <c r="ES40">
        <f t="shared" si="16"/>
        <v>7.8064119669508233E-3</v>
      </c>
      <c r="ET40">
        <f t="shared" si="16"/>
        <v>5.0553059266762717E-3</v>
      </c>
      <c r="EU40">
        <f t="shared" si="16"/>
        <v>1.3029012778258908E-2</v>
      </c>
      <c r="EV40">
        <f t="shared" si="16"/>
        <v>4.2272685565475079E-3</v>
      </c>
      <c r="EW40">
        <f t="shared" si="16"/>
        <v>1.6343384136008055E-3</v>
      </c>
      <c r="EX40">
        <f t="shared" si="16"/>
        <v>7.0913688466938433E-3</v>
      </c>
      <c r="EY40">
        <f t="shared" si="16"/>
        <v>7.9479736813429039E-4</v>
      </c>
      <c r="EZ40">
        <f t="shared" si="16"/>
        <v>5.7327398887936651E-3</v>
      </c>
      <c r="FA40">
        <f t="shared" si="16"/>
        <v>3.1811909889879748E-3</v>
      </c>
      <c r="FB40">
        <f t="shared" si="16"/>
        <v>1.9368718384468956E-3</v>
      </c>
      <c r="FC40">
        <f t="shared" si="16"/>
        <v>5.7066476366235668E-3</v>
      </c>
      <c r="FD40">
        <f t="shared" si="16"/>
        <v>1.3712028289291622E-4</v>
      </c>
      <c r="FE40">
        <f t="shared" si="16"/>
        <v>7.0290799408193631E-3</v>
      </c>
      <c r="FF40">
        <f t="shared" si="16"/>
        <v>2.0414493824260378E-3</v>
      </c>
      <c r="FG40">
        <f t="shared" si="16"/>
        <v>1.0909375577372485E-3</v>
      </c>
      <c r="FH40">
        <f t="shared" ref="FH40:FT40" si="17">FH4/$C$22/$D$22</f>
        <v>2.5285074230249911E-3</v>
      </c>
      <c r="FI40">
        <f t="shared" si="17"/>
        <v>1.4393548462271995E-3</v>
      </c>
      <c r="FJ40">
        <f t="shared" si="17"/>
        <v>2.9286721707776687E-3</v>
      </c>
      <c r="FK40">
        <f t="shared" si="17"/>
        <v>1.1268259559184908E-3</v>
      </c>
      <c r="FL40">
        <f t="shared" si="17"/>
        <v>7.226036214307306E-4</v>
      </c>
      <c r="FM40">
        <f t="shared" si="17"/>
        <v>3.0813370736612242E-4</v>
      </c>
      <c r="FN40">
        <f t="shared" si="17"/>
        <v>2.4629366051439469E-3</v>
      </c>
      <c r="FO40">
        <f t="shared" si="17"/>
        <v>7.0185990810436004E-4</v>
      </c>
      <c r="FP40">
        <f t="shared" si="17"/>
        <v>5.5371240148884557E-4</v>
      </c>
      <c r="FQ40">
        <f t="shared" si="17"/>
        <v>9.9318582715086749E-4</v>
      </c>
      <c r="FR40">
        <f t="shared" si="17"/>
        <v>4.1690833964769909E-4</v>
      </c>
      <c r="FS40">
        <f t="shared" si="17"/>
        <v>4.8172350098801606E-5</v>
      </c>
      <c r="FT40">
        <f t="shared" si="17"/>
        <v>9.3685818776320732E-5</v>
      </c>
    </row>
    <row r="41" spans="1:176">
      <c r="A41" s="2" t="s">
        <v>13</v>
      </c>
      <c r="B41" t="s">
        <v>525</v>
      </c>
      <c r="C41">
        <f>C5/$C$23/$D$23*1000</f>
        <v>172483.07244722886</v>
      </c>
      <c r="D41">
        <f t="shared" ref="D41:AI41" si="18">D5/$C$23/$D$23</f>
        <v>143.56712301195108</v>
      </c>
      <c r="E41">
        <f t="shared" si="18"/>
        <v>55.896364614797491</v>
      </c>
      <c r="F41">
        <f t="shared" si="18"/>
        <v>16.817492978828003</v>
      </c>
      <c r="G41">
        <f t="shared" si="18"/>
        <v>10.890521658618967</v>
      </c>
      <c r="H41">
        <f t="shared" si="18"/>
        <v>10.999050859819643</v>
      </c>
      <c r="I41">
        <f t="shared" si="18"/>
        <v>6.805986494401937</v>
      </c>
      <c r="J41">
        <f t="shared" si="18"/>
        <v>1.8399028382709364</v>
      </c>
      <c r="K41">
        <f t="shared" si="18"/>
        <v>1.8559762435040834</v>
      </c>
      <c r="L41">
        <f t="shared" si="18"/>
        <v>3.3783721458082363</v>
      </c>
      <c r="M41">
        <f t="shared" si="18"/>
        <v>2.1288234609640817E-2</v>
      </c>
      <c r="N41">
        <f t="shared" si="18"/>
        <v>0.43481023072502817</v>
      </c>
      <c r="O41">
        <f t="shared" si="18"/>
        <v>4.7845040319717785E-2</v>
      </c>
      <c r="P41">
        <f t="shared" si="18"/>
        <v>0.81346773071125589</v>
      </c>
      <c r="Q41">
        <f t="shared" si="18"/>
        <v>1.5146709452499314</v>
      </c>
      <c r="R41">
        <f t="shared" si="18"/>
        <v>0.46341246767960215</v>
      </c>
      <c r="S41">
        <f t="shared" si="18"/>
        <v>1.0803917197311312</v>
      </c>
      <c r="T41">
        <f t="shared" si="18"/>
        <v>0.78115177096250199</v>
      </c>
      <c r="U41">
        <f t="shared" si="18"/>
        <v>0.21132450092291905</v>
      </c>
      <c r="V41">
        <f t="shared" si="18"/>
        <v>0.66207922731140489</v>
      </c>
      <c r="W41">
        <f t="shared" si="18"/>
        <v>0.65823790187533493</v>
      </c>
      <c r="X41">
        <f t="shared" si="18"/>
        <v>0.85974488234978153</v>
      </c>
      <c r="Y41">
        <f t="shared" si="18"/>
        <v>9.029530189726645E-2</v>
      </c>
      <c r="Z41">
        <f t="shared" si="18"/>
        <v>0.6784167634377315</v>
      </c>
      <c r="AA41">
        <f t="shared" si="18"/>
        <v>0.14697788627489411</v>
      </c>
      <c r="AB41">
        <f t="shared" si="18"/>
        <v>0.33409507373493402</v>
      </c>
      <c r="AC41">
        <f t="shared" si="18"/>
        <v>0.50262345317220603</v>
      </c>
      <c r="AD41">
        <f t="shared" si="18"/>
        <v>5.3884428502763024E-2</v>
      </c>
      <c r="AE41">
        <f t="shared" si="18"/>
        <v>0.61991012414324098</v>
      </c>
      <c r="AF41">
        <f t="shared" si="18"/>
        <v>1.8482302406488047E-2</v>
      </c>
      <c r="AG41">
        <f t="shared" si="18"/>
        <v>4.9596519302636671E-2</v>
      </c>
      <c r="AH41">
        <f t="shared" si="18"/>
        <v>4.0241002178265706E-2</v>
      </c>
      <c r="AI41">
        <f t="shared" si="18"/>
        <v>0.42032247643339044</v>
      </c>
      <c r="AJ41">
        <f t="shared" ref="AJ41:BO41" si="19">AJ5/$C$23/$D$23</f>
        <v>0.29176707612746866</v>
      </c>
      <c r="AK41">
        <f t="shared" si="19"/>
        <v>0.28438397062224896</v>
      </c>
      <c r="AL41">
        <f t="shared" si="19"/>
        <v>2.2465878233076712E-2</v>
      </c>
      <c r="AM41">
        <f t="shared" si="19"/>
        <v>0.10803411386886937</v>
      </c>
      <c r="AN41">
        <f t="shared" si="19"/>
        <v>0.4917525104700104</v>
      </c>
      <c r="AO41">
        <f t="shared" si="19"/>
        <v>0.44401416468390187</v>
      </c>
      <c r="AP41">
        <f t="shared" si="19"/>
        <v>0.23060335802872389</v>
      </c>
      <c r="AQ41">
        <f t="shared" si="19"/>
        <v>0.11512414817358718</v>
      </c>
      <c r="AR41">
        <f t="shared" si="19"/>
        <v>0.3312032677744442</v>
      </c>
      <c r="AS41">
        <f t="shared" si="19"/>
        <v>0.17276363478341208</v>
      </c>
      <c r="AT41">
        <f t="shared" si="19"/>
        <v>0.17624122066576112</v>
      </c>
      <c r="AU41">
        <f t="shared" si="19"/>
        <v>0.12256113748539327</v>
      </c>
      <c r="AV41">
        <f t="shared" si="19"/>
        <v>0.32048012398182657</v>
      </c>
      <c r="AW41">
        <f t="shared" si="19"/>
        <v>0.25660833942211825</v>
      </c>
      <c r="AX41">
        <f t="shared" si="19"/>
        <v>0.33075822758867901</v>
      </c>
      <c r="AY41">
        <f t="shared" si="19"/>
        <v>0.24967906852065472</v>
      </c>
      <c r="AZ41">
        <f t="shared" si="19"/>
        <v>2.6807862893402347E-2</v>
      </c>
      <c r="BA41">
        <f t="shared" si="19"/>
        <v>3.07781574789955E-2</v>
      </c>
      <c r="BB41">
        <f t="shared" si="19"/>
        <v>0.17860347181038974</v>
      </c>
      <c r="BC41">
        <f t="shared" si="19"/>
        <v>0.15938884402815406</v>
      </c>
      <c r="BD41">
        <f t="shared" si="19"/>
        <v>0.18129413545204601</v>
      </c>
      <c r="BE41">
        <f t="shared" si="19"/>
        <v>0.20110431581708615</v>
      </c>
      <c r="BF41">
        <f t="shared" si="19"/>
        <v>2.5875940481208275E-2</v>
      </c>
      <c r="BG41">
        <f t="shared" si="19"/>
        <v>0.24929959967409307</v>
      </c>
      <c r="BH41">
        <f t="shared" si="19"/>
        <v>0.16683808298615285</v>
      </c>
      <c r="BI41">
        <f t="shared" si="19"/>
        <v>0.22719535312810521</v>
      </c>
      <c r="BJ41">
        <f t="shared" si="19"/>
        <v>0.22599012971488122</v>
      </c>
      <c r="BK41">
        <f t="shared" si="19"/>
        <v>0.22404413332364456</v>
      </c>
      <c r="BL41">
        <f t="shared" si="19"/>
        <v>0.14197654228151946</v>
      </c>
      <c r="BM41">
        <f t="shared" si="19"/>
        <v>7.9514692910499216E-2</v>
      </c>
      <c r="BN41">
        <f t="shared" si="19"/>
        <v>1.5647023550224739E-3</v>
      </c>
      <c r="BO41">
        <f t="shared" si="19"/>
        <v>0.13979461993270442</v>
      </c>
      <c r="BP41">
        <f t="shared" ref="BP41:CU41" si="20">BP5/$C$23/$D$23</f>
        <v>8.5720540462263559E-2</v>
      </c>
      <c r="BQ41">
        <f t="shared" si="20"/>
        <v>0.18669108429539216</v>
      </c>
      <c r="BR41">
        <f t="shared" si="20"/>
        <v>0.11279935603794261</v>
      </c>
      <c r="BS41">
        <f t="shared" si="20"/>
        <v>3.0988842874668486E-3</v>
      </c>
      <c r="BT41">
        <f t="shared" si="20"/>
        <v>3.6837976485590208E-2</v>
      </c>
      <c r="BU41">
        <f t="shared" si="20"/>
        <v>8.688486421405385E-3</v>
      </c>
      <c r="BV41">
        <f t="shared" si="20"/>
        <v>0.15926381419091021</v>
      </c>
      <c r="BW41">
        <f t="shared" si="20"/>
        <v>5.8794215721258897E-2</v>
      </c>
      <c r="BX41">
        <f t="shared" si="20"/>
        <v>7.523870583573708E-2</v>
      </c>
      <c r="BY41">
        <f t="shared" si="20"/>
        <v>0.14437645530220133</v>
      </c>
      <c r="BZ41">
        <f t="shared" si="20"/>
        <v>9.5451295041382625E-2</v>
      </c>
      <c r="CA41">
        <f t="shared" si="20"/>
        <v>1.965932050740183E-2</v>
      </c>
      <c r="CB41">
        <f t="shared" si="20"/>
        <v>0.12797242208512818</v>
      </c>
      <c r="CC41">
        <f t="shared" si="20"/>
        <v>9.0434020335986923E-2</v>
      </c>
      <c r="CD41">
        <f t="shared" si="20"/>
        <v>2.7589992215711186E-2</v>
      </c>
      <c r="CE41">
        <f t="shared" si="20"/>
        <v>5.8762610585869721E-2</v>
      </c>
      <c r="CF41">
        <f t="shared" si="20"/>
        <v>3.7504983455189163E-2</v>
      </c>
      <c r="CG41">
        <f t="shared" si="20"/>
        <v>4.841769977896182E-2</v>
      </c>
      <c r="CH41">
        <f t="shared" si="20"/>
        <v>3.079137335442712E-2</v>
      </c>
      <c r="CI41">
        <f t="shared" si="20"/>
        <v>4.3342612204786671E-4</v>
      </c>
      <c r="CJ41">
        <f t="shared" si="20"/>
        <v>9.021318997520511E-2</v>
      </c>
      <c r="CK41">
        <f t="shared" si="20"/>
        <v>2.8908058808924348E-2</v>
      </c>
      <c r="CL41">
        <f t="shared" si="20"/>
        <v>4.2443261914223637E-3</v>
      </c>
      <c r="CM41">
        <f t="shared" si="20"/>
        <v>9.655618816077223E-2</v>
      </c>
      <c r="CN41">
        <f t="shared" si="20"/>
        <v>6.7693326312543087E-2</v>
      </c>
      <c r="CO41">
        <f t="shared" si="20"/>
        <v>2.5810520303649418E-2</v>
      </c>
      <c r="CP41">
        <f t="shared" si="20"/>
        <v>2.9195561361867118E-2</v>
      </c>
      <c r="CQ41">
        <f t="shared" si="20"/>
        <v>7.3830454428141963E-3</v>
      </c>
      <c r="CR41">
        <f t="shared" si="20"/>
        <v>4.03815419196044E-2</v>
      </c>
      <c r="CS41">
        <f t="shared" si="20"/>
        <v>8.7911022502893579E-2</v>
      </c>
      <c r="CT41">
        <f t="shared" si="20"/>
        <v>5.8632780261642758E-2</v>
      </c>
      <c r="CU41">
        <f t="shared" si="20"/>
        <v>1.0413696832488091E-2</v>
      </c>
      <c r="CV41">
        <f t="shared" ref="CV41:EA41" si="21">CV5/$C$23/$D$23</f>
        <v>4.8061293545469862E-2</v>
      </c>
      <c r="CW41">
        <f t="shared" si="21"/>
        <v>4.5069323788316809E-2</v>
      </c>
      <c r="CX41">
        <f t="shared" si="21"/>
        <v>9.3703368997445895E-3</v>
      </c>
      <c r="CY41">
        <f t="shared" si="21"/>
        <v>6.2668158788035059E-3</v>
      </c>
      <c r="CZ41">
        <f t="shared" si="21"/>
        <v>6.6050867828856497E-2</v>
      </c>
      <c r="DA41">
        <f t="shared" si="21"/>
        <v>2.3856497650178745E-2</v>
      </c>
      <c r="DB41">
        <f t="shared" si="21"/>
        <v>4.9795852421845616E-2</v>
      </c>
      <c r="DC41">
        <f t="shared" si="21"/>
        <v>7.6852305345299285E-2</v>
      </c>
      <c r="DD41">
        <f t="shared" si="21"/>
        <v>2.9678446900211789E-3</v>
      </c>
      <c r="DE41">
        <f t="shared" si="21"/>
        <v>6.4486790383925033E-2</v>
      </c>
      <c r="DF41">
        <f t="shared" si="21"/>
        <v>4.0948118582319629E-2</v>
      </c>
      <c r="DG41">
        <f t="shared" si="21"/>
        <v>3.7473102566385011E-4</v>
      </c>
      <c r="DH41">
        <f t="shared" si="21"/>
        <v>3.9872332051619289E-2</v>
      </c>
      <c r="DI41">
        <f t="shared" si="21"/>
        <v>5.4716076627104274E-2</v>
      </c>
      <c r="DJ41">
        <f t="shared" si="21"/>
        <v>1.3907090753632183E-2</v>
      </c>
      <c r="DK41">
        <f t="shared" si="21"/>
        <v>3.089369854976003E-2</v>
      </c>
      <c r="DL41">
        <f t="shared" si="21"/>
        <v>8.4586677154043595E-4</v>
      </c>
      <c r="DM41">
        <f t="shared" si="21"/>
        <v>1.4816890262952931E-2</v>
      </c>
      <c r="DN41">
        <f t="shared" si="21"/>
        <v>4.535356700891531E-2</v>
      </c>
      <c r="DO41">
        <f t="shared" si="21"/>
        <v>6.5782167693571772E-2</v>
      </c>
      <c r="DP41">
        <f t="shared" si="21"/>
        <v>1.8860339532893418E-3</v>
      </c>
      <c r="DQ41">
        <f t="shared" si="21"/>
        <v>1.4473271266518515E-2</v>
      </c>
      <c r="DR41">
        <f t="shared" si="21"/>
        <v>4.5168569479584267E-2</v>
      </c>
      <c r="DS41">
        <f t="shared" si="21"/>
        <v>3.2464883797343698E-2</v>
      </c>
      <c r="DT41">
        <f t="shared" si="21"/>
        <v>2.9658264670556226E-5</v>
      </c>
      <c r="DU41">
        <f t="shared" si="21"/>
        <v>4.570724244598226E-2</v>
      </c>
      <c r="DV41">
        <f t="shared" si="21"/>
        <v>4.4063743788741318E-2</v>
      </c>
      <c r="DW41">
        <f t="shared" si="21"/>
        <v>5.6675788377779916E-2</v>
      </c>
      <c r="DX41">
        <f t="shared" si="21"/>
        <v>1.9937556917380146E-2</v>
      </c>
      <c r="DY41">
        <f t="shared" si="21"/>
        <v>4.2658151954513196E-2</v>
      </c>
      <c r="DZ41">
        <f t="shared" si="21"/>
        <v>1.0039887593931478E-2</v>
      </c>
      <c r="EA41">
        <f t="shared" si="21"/>
        <v>4.8317346165294935E-2</v>
      </c>
      <c r="EB41">
        <f t="shared" ref="EB41:FG41" si="22">EB5/$C$23/$D$23</f>
        <v>5.0433594017011363E-2</v>
      </c>
      <c r="EC41">
        <f t="shared" si="22"/>
        <v>5.2615277961585556E-2</v>
      </c>
      <c r="ED41">
        <f t="shared" si="22"/>
        <v>2.9554035356860697E-2</v>
      </c>
      <c r="EE41">
        <f t="shared" si="22"/>
        <v>2.3239131212246224E-2</v>
      </c>
      <c r="EF41">
        <f t="shared" si="22"/>
        <v>7.7576309836821164E-4</v>
      </c>
      <c r="EG41">
        <f t="shared" si="22"/>
        <v>4.647103738275371E-2</v>
      </c>
      <c r="EH41">
        <f t="shared" si="22"/>
        <v>3.9450420040004514E-2</v>
      </c>
      <c r="EI41">
        <f t="shared" si="22"/>
        <v>1.7767258197805749E-2</v>
      </c>
      <c r="EJ41">
        <f t="shared" si="22"/>
        <v>7.6674393847691235E-3</v>
      </c>
      <c r="EK41">
        <f t="shared" si="22"/>
        <v>2.7025697917933231E-2</v>
      </c>
      <c r="EL41">
        <f t="shared" si="22"/>
        <v>1.0309277585106703E-2</v>
      </c>
      <c r="EM41">
        <f t="shared" si="22"/>
        <v>1.1360680837218383E-2</v>
      </c>
      <c r="EN41">
        <f t="shared" si="22"/>
        <v>2.1487058352725807E-2</v>
      </c>
      <c r="EO41">
        <f t="shared" si="22"/>
        <v>5.8301621069454098E-3</v>
      </c>
      <c r="EP41">
        <f t="shared" si="22"/>
        <v>2.7732223903611103E-3</v>
      </c>
      <c r="EQ41">
        <f t="shared" si="22"/>
        <v>1.6095222319377805E-2</v>
      </c>
      <c r="ER41">
        <f t="shared" si="22"/>
        <v>2.3288686115759061E-2</v>
      </c>
      <c r="ES41">
        <f t="shared" si="22"/>
        <v>2.2016942735142899E-2</v>
      </c>
      <c r="ET41">
        <f t="shared" si="22"/>
        <v>1.9337483006695251E-2</v>
      </c>
      <c r="EU41">
        <f t="shared" si="22"/>
        <v>1.9139018229731155E-2</v>
      </c>
      <c r="EV41">
        <f t="shared" si="22"/>
        <v>2.3288762440569662E-2</v>
      </c>
      <c r="EW41">
        <f t="shared" si="22"/>
        <v>1.3608103459677764E-2</v>
      </c>
      <c r="EX41">
        <f t="shared" si="22"/>
        <v>1.094413847393313E-2</v>
      </c>
      <c r="EY41">
        <f t="shared" si="22"/>
        <v>4.7168166584749599E-3</v>
      </c>
      <c r="EZ41">
        <f t="shared" si="22"/>
        <v>4.0312856618508613E-3</v>
      </c>
      <c r="FA41">
        <f t="shared" si="22"/>
        <v>1.6288664185189889E-2</v>
      </c>
      <c r="FB41">
        <f t="shared" si="22"/>
        <v>3.1546617252302266E-3</v>
      </c>
      <c r="FC41">
        <f t="shared" si="22"/>
        <v>9.2462850164944412E-3</v>
      </c>
      <c r="FD41">
        <f t="shared" si="22"/>
        <v>2.7908200652097917E-4</v>
      </c>
      <c r="FE41">
        <f t="shared" si="22"/>
        <v>4.9204182103021136E-3</v>
      </c>
      <c r="FF41">
        <f t="shared" si="22"/>
        <v>2.796348219669822E-3</v>
      </c>
      <c r="FG41">
        <f t="shared" si="22"/>
        <v>2.3209399301610473E-3</v>
      </c>
      <c r="FH41">
        <f t="shared" ref="FH41:FT41" si="23">FH5/$C$23/$D$23</f>
        <v>1.1316820326099193E-2</v>
      </c>
      <c r="FI41">
        <f t="shared" si="23"/>
        <v>9.0969883458991534E-3</v>
      </c>
      <c r="FJ41">
        <f t="shared" si="23"/>
        <v>2.0756160256089565E-3</v>
      </c>
      <c r="FK41">
        <f t="shared" si="23"/>
        <v>4.8490826548030445E-3</v>
      </c>
      <c r="FL41">
        <f t="shared" si="23"/>
        <v>7.2480645010069699E-4</v>
      </c>
      <c r="FM41">
        <f t="shared" si="23"/>
        <v>1.7671448982046196E-3</v>
      </c>
      <c r="FN41">
        <f t="shared" si="23"/>
        <v>3.4343374558037949E-3</v>
      </c>
      <c r="FO41">
        <f t="shared" si="23"/>
        <v>1.3939936420471772E-3</v>
      </c>
      <c r="FP41">
        <f t="shared" si="23"/>
        <v>1.1231021317088096E-3</v>
      </c>
      <c r="FQ41">
        <f t="shared" si="23"/>
        <v>2.4508381054271968E-3</v>
      </c>
      <c r="FR41">
        <f t="shared" si="23"/>
        <v>8.4551515156883466E-4</v>
      </c>
      <c r="FS41">
        <f t="shared" si="23"/>
        <v>1.1000717536207865E-4</v>
      </c>
      <c r="FT41">
        <f t="shared" si="23"/>
        <v>1.6839137709497528E-4</v>
      </c>
    </row>
    <row r="42" spans="1:176">
      <c r="A42" s="2" t="s">
        <v>14</v>
      </c>
      <c r="B42" t="s">
        <v>525</v>
      </c>
      <c r="C42">
        <f>C6/$C$24/$D$24*1000</f>
        <v>20.706313563637348</v>
      </c>
      <c r="D42">
        <f t="shared" ref="D42:AI42" si="24">D6/$C$24/$D$24</f>
        <v>0.51515794725999331</v>
      </c>
      <c r="E42">
        <f t="shared" si="24"/>
        <v>25.778267578670032</v>
      </c>
      <c r="F42">
        <f t="shared" si="24"/>
        <v>11.43116588529602</v>
      </c>
      <c r="G42">
        <f t="shared" si="24"/>
        <v>3.4837343409220685</v>
      </c>
      <c r="H42">
        <f t="shared" si="24"/>
        <v>4.0627214617518934</v>
      </c>
      <c r="I42">
        <f t="shared" si="24"/>
        <v>4.570627368815086</v>
      </c>
      <c r="J42">
        <f t="shared" si="24"/>
        <v>0.44282736814415063</v>
      </c>
      <c r="K42">
        <f t="shared" si="24"/>
        <v>2.2799817601459189</v>
      </c>
      <c r="L42">
        <f t="shared" si="24"/>
        <v>1.7766878730940495E-2</v>
      </c>
      <c r="M42">
        <f t="shared" si="24"/>
        <v>1.0109905235493664</v>
      </c>
      <c r="N42">
        <f t="shared" si="24"/>
        <v>5.3489152928140403E-2</v>
      </c>
      <c r="O42">
        <f t="shared" si="24"/>
        <v>8.1119873049689498E-2</v>
      </c>
      <c r="P42">
        <f t="shared" si="24"/>
        <v>0.34404413867438594</v>
      </c>
      <c r="Q42">
        <f t="shared" si="24"/>
        <v>0.7603751879827032</v>
      </c>
      <c r="R42">
        <f t="shared" si="24"/>
        <v>0.21527384533318306</v>
      </c>
      <c r="S42">
        <f t="shared" si="24"/>
        <v>9.3893150988975493E-2</v>
      </c>
      <c r="T42">
        <f t="shared" si="24"/>
        <v>0.29342992746396673</v>
      </c>
      <c r="U42">
        <f t="shared" si="24"/>
        <v>0.11334055383775173</v>
      </c>
      <c r="V42">
        <f t="shared" si="24"/>
        <v>0.40243113683946724</v>
      </c>
      <c r="W42">
        <f t="shared" si="24"/>
        <v>0.51268755218821005</v>
      </c>
      <c r="X42">
        <f t="shared" si="24"/>
        <v>0.34142613927168691</v>
      </c>
      <c r="Y42">
        <f t="shared" si="24"/>
        <v>0.20571684347063904</v>
      </c>
      <c r="Z42">
        <f t="shared" si="24"/>
        <v>0.11514215358340045</v>
      </c>
      <c r="AA42">
        <f t="shared" si="24"/>
        <v>5.7348453147610876E-2</v>
      </c>
      <c r="AB42">
        <f t="shared" si="24"/>
        <v>0.13855363509980057</v>
      </c>
      <c r="AC42">
        <f t="shared" si="24"/>
        <v>0.29474683030029131</v>
      </c>
      <c r="AD42">
        <f t="shared" si="24"/>
        <v>0.20394234044627532</v>
      </c>
      <c r="AE42">
        <f t="shared" si="24"/>
        <v>0.19031871381391757</v>
      </c>
      <c r="AF42">
        <f t="shared" si="24"/>
        <v>6.411360514358244E-3</v>
      </c>
      <c r="AG42">
        <f t="shared" si="24"/>
        <v>3.3433113288818733E-2</v>
      </c>
      <c r="AH42">
        <f t="shared" si="24"/>
        <v>1.3107289409567267E-2</v>
      </c>
      <c r="AI42">
        <f t="shared" si="24"/>
        <v>0.22566990134532072</v>
      </c>
      <c r="AJ42">
        <f t="shared" ref="AJ42:BO42" si="25">AJ6/$C$24/$D$24</f>
        <v>0.17565950435305269</v>
      </c>
      <c r="AK42">
        <f t="shared" si="25"/>
        <v>8.4716424292532233E-2</v>
      </c>
      <c r="AL42">
        <f t="shared" si="25"/>
        <v>0.11019766624748996</v>
      </c>
      <c r="AM42">
        <f t="shared" si="25"/>
        <v>5.6200251829742379E-2</v>
      </c>
      <c r="AN42">
        <f t="shared" si="25"/>
        <v>0.11499129439461296</v>
      </c>
      <c r="AO42">
        <f t="shared" si="25"/>
        <v>8.6229797421027848E-2</v>
      </c>
      <c r="AP42">
        <f t="shared" si="25"/>
        <v>9.7283612251837695E-2</v>
      </c>
      <c r="AQ42">
        <f t="shared" si="25"/>
        <v>0.24157567919868261</v>
      </c>
      <c r="AR42">
        <f t="shared" si="25"/>
        <v>4.5206807228359201E-2</v>
      </c>
      <c r="AS42">
        <f t="shared" si="25"/>
        <v>9.852490251660237E-2</v>
      </c>
      <c r="AT42">
        <f t="shared" si="25"/>
        <v>8.8165569820008879E-2</v>
      </c>
      <c r="AU42">
        <f t="shared" si="25"/>
        <v>5.7026461338438243E-2</v>
      </c>
      <c r="AV42">
        <f t="shared" si="25"/>
        <v>9.5835133587194934E-2</v>
      </c>
      <c r="AW42">
        <f t="shared" si="25"/>
        <v>0.10416330165508397</v>
      </c>
      <c r="AX42">
        <f t="shared" si="25"/>
        <v>7.6027241733977582E-2</v>
      </c>
      <c r="AY42">
        <f t="shared" si="25"/>
        <v>4.3029162265949737E-2</v>
      </c>
      <c r="AZ42">
        <f t="shared" si="25"/>
        <v>1.1680167946339928E-2</v>
      </c>
      <c r="BA42">
        <f t="shared" si="25"/>
        <v>1.1023283538962326E-2</v>
      </c>
      <c r="BB42">
        <f t="shared" si="25"/>
        <v>9.5796520988911463E-2</v>
      </c>
      <c r="BC42">
        <f t="shared" si="25"/>
        <v>0.15794327601368205</v>
      </c>
      <c r="BD42">
        <f t="shared" si="25"/>
        <v>5.9956261787833226E-2</v>
      </c>
      <c r="BE42">
        <f t="shared" si="25"/>
        <v>0.11724052070107503</v>
      </c>
      <c r="BF42">
        <f t="shared" si="25"/>
        <v>8.2097998778810511E-3</v>
      </c>
      <c r="BG42">
        <f t="shared" si="25"/>
        <v>3.4447188979939342E-2</v>
      </c>
      <c r="BH42">
        <f t="shared" si="25"/>
        <v>2.346679556066809E-2</v>
      </c>
      <c r="BI42">
        <f t="shared" si="25"/>
        <v>0.120603642780078</v>
      </c>
      <c r="BJ42">
        <f t="shared" si="25"/>
        <v>6.6525828730633257E-2</v>
      </c>
      <c r="BK42">
        <f t="shared" si="25"/>
        <v>6.3184025609895139E-2</v>
      </c>
      <c r="BL42">
        <f t="shared" si="25"/>
        <v>6.4135768883936684E-2</v>
      </c>
      <c r="BM42">
        <f t="shared" si="25"/>
        <v>4.6807822840653483E-2</v>
      </c>
      <c r="BN42">
        <f t="shared" si="25"/>
        <v>9.9917404792569274E-4</v>
      </c>
      <c r="BO42">
        <f t="shared" si="25"/>
        <v>7.4650789012974464E-2</v>
      </c>
      <c r="BP42">
        <f t="shared" ref="BP42:CU42" si="26">BP6/$C$24/$D$24</f>
        <v>4.0823914297599163E-2</v>
      </c>
      <c r="BQ42">
        <f t="shared" si="26"/>
        <v>3.1188408037889439E-2</v>
      </c>
      <c r="BR42">
        <f t="shared" si="26"/>
        <v>6.1397863633860968E-2</v>
      </c>
      <c r="BS42">
        <f t="shared" si="26"/>
        <v>2.0368085464648735E-3</v>
      </c>
      <c r="BT42">
        <f t="shared" si="26"/>
        <v>1.62233752859294E-2</v>
      </c>
      <c r="BU42">
        <f t="shared" si="26"/>
        <v>2.1790373707397761E-3</v>
      </c>
      <c r="BV42">
        <f t="shared" si="26"/>
        <v>5.4465557947842788E-2</v>
      </c>
      <c r="BW42">
        <f t="shared" si="26"/>
        <v>4.7196250322962654E-3</v>
      </c>
      <c r="BX42">
        <f t="shared" si="26"/>
        <v>4.0818836215337426E-3</v>
      </c>
      <c r="BY42">
        <f t="shared" si="26"/>
        <v>5.0442582912829499E-2</v>
      </c>
      <c r="BZ42">
        <f t="shared" si="26"/>
        <v>3.9959927293338762E-2</v>
      </c>
      <c r="CA42">
        <f t="shared" si="26"/>
        <v>2.6693115657199238E-3</v>
      </c>
      <c r="CB42">
        <f t="shared" si="26"/>
        <v>9.9337197530255279E-3</v>
      </c>
      <c r="CC42">
        <f t="shared" si="26"/>
        <v>5.2766682556787375E-2</v>
      </c>
      <c r="CD42">
        <f t="shared" si="26"/>
        <v>4.7130466942126817E-2</v>
      </c>
      <c r="CE42">
        <f t="shared" si="26"/>
        <v>1.7868204789840501E-2</v>
      </c>
      <c r="CF42">
        <f t="shared" si="26"/>
        <v>3.1101382558657648E-2</v>
      </c>
      <c r="CG42">
        <f t="shared" si="26"/>
        <v>1.842745830215348E-2</v>
      </c>
      <c r="CH42">
        <f t="shared" si="26"/>
        <v>1.318507264790909E-2</v>
      </c>
      <c r="CI42">
        <f t="shared" si="26"/>
        <v>8.0761294266581488E-5</v>
      </c>
      <c r="CJ42">
        <f t="shared" si="26"/>
        <v>2.3003187019151949E-2</v>
      </c>
      <c r="CK42">
        <f t="shared" si="26"/>
        <v>1.5355698848590846E-2</v>
      </c>
      <c r="CL42">
        <f t="shared" si="26"/>
        <v>1.486424070782024E-3</v>
      </c>
      <c r="CM42">
        <f t="shared" si="26"/>
        <v>1.7524694543263865E-2</v>
      </c>
      <c r="CN42">
        <f t="shared" si="26"/>
        <v>3.9347158372738875E-2</v>
      </c>
      <c r="CO42">
        <f t="shared" si="26"/>
        <v>6.4856343970634885E-3</v>
      </c>
      <c r="CP42">
        <f t="shared" si="26"/>
        <v>5.5380359843839886E-3</v>
      </c>
      <c r="CQ42">
        <f t="shared" si="26"/>
        <v>3.0406381103229145E-3</v>
      </c>
      <c r="CR42">
        <f t="shared" si="26"/>
        <v>8.7978355685018311E-3</v>
      </c>
      <c r="CS42">
        <f t="shared" si="26"/>
        <v>2.4984909970088811E-2</v>
      </c>
      <c r="CT42">
        <f t="shared" si="26"/>
        <v>4.8730731290359555E-2</v>
      </c>
      <c r="CU42">
        <f t="shared" si="26"/>
        <v>3.0261205019796776E-3</v>
      </c>
      <c r="CV42">
        <f t="shared" ref="CV42:EA42" si="27">CV6/$C$24/$D$24</f>
        <v>2.4423748026488071E-2</v>
      </c>
      <c r="CW42">
        <f t="shared" si="27"/>
        <v>1.6071329020917128E-2</v>
      </c>
      <c r="CX42">
        <f t="shared" si="27"/>
        <v>1.3659109815621533E-2</v>
      </c>
      <c r="CY42">
        <f t="shared" si="27"/>
        <v>5.8489146885101128E-3</v>
      </c>
      <c r="CZ42">
        <f t="shared" si="27"/>
        <v>1.8050133039634247E-2</v>
      </c>
      <c r="DA42">
        <f t="shared" si="27"/>
        <v>1.5320133011310128E-2</v>
      </c>
      <c r="DB42">
        <f t="shared" si="27"/>
        <v>2.9179105167785945E-2</v>
      </c>
      <c r="DC42">
        <f t="shared" si="27"/>
        <v>2.9220292133837436E-2</v>
      </c>
      <c r="DD42">
        <f t="shared" si="27"/>
        <v>1.8062907144482917E-3</v>
      </c>
      <c r="DE42">
        <f t="shared" si="27"/>
        <v>2.4748630084287314E-2</v>
      </c>
      <c r="DF42">
        <f t="shared" si="27"/>
        <v>3.4163211749765596E-2</v>
      </c>
      <c r="DG42">
        <f t="shared" si="27"/>
        <v>1.0859941951932612E-2</v>
      </c>
      <c r="DH42">
        <f t="shared" si="27"/>
        <v>1.2195432714469354E-2</v>
      </c>
      <c r="DI42">
        <f t="shared" si="27"/>
        <v>1.3335294750935577E-2</v>
      </c>
      <c r="DJ42">
        <f t="shared" si="27"/>
        <v>3.4983081045498739E-3</v>
      </c>
      <c r="DK42">
        <f t="shared" si="27"/>
        <v>1.5665061284004623E-2</v>
      </c>
      <c r="DL42">
        <f t="shared" si="27"/>
        <v>5.8309737651723393E-4</v>
      </c>
      <c r="DM42">
        <f t="shared" si="27"/>
        <v>4.8186702623412691E-3</v>
      </c>
      <c r="DN42">
        <f t="shared" si="27"/>
        <v>2.7638177598403514E-2</v>
      </c>
      <c r="DO42">
        <f t="shared" si="27"/>
        <v>1.9530023840050141E-2</v>
      </c>
      <c r="DP42">
        <f t="shared" si="27"/>
        <v>1.1726600272141535E-3</v>
      </c>
      <c r="DQ42">
        <f t="shared" si="27"/>
        <v>1.9570118259988604E-2</v>
      </c>
      <c r="DR42">
        <f t="shared" si="27"/>
        <v>3.1766036607640789E-2</v>
      </c>
      <c r="DS42">
        <f t="shared" si="27"/>
        <v>1.4678049182651193E-2</v>
      </c>
      <c r="DT42">
        <f t="shared" si="27"/>
        <v>1.6084774672044537E-5</v>
      </c>
      <c r="DU42">
        <f t="shared" si="27"/>
        <v>2.5603869492976349E-2</v>
      </c>
      <c r="DV42">
        <f t="shared" si="27"/>
        <v>1.5654047860091731E-2</v>
      </c>
      <c r="DW42">
        <f t="shared" si="27"/>
        <v>5.3029405851270032E-3</v>
      </c>
      <c r="DX42">
        <f t="shared" si="27"/>
        <v>1.678984802971176E-2</v>
      </c>
      <c r="DY42">
        <f t="shared" si="27"/>
        <v>1.1294390609939966E-2</v>
      </c>
      <c r="DZ42">
        <f t="shared" si="27"/>
        <v>8.1612403163646291E-3</v>
      </c>
      <c r="EA42">
        <f t="shared" si="27"/>
        <v>8.2494319896860482E-3</v>
      </c>
      <c r="EB42">
        <f t="shared" ref="EB42:FG42" si="28">EB6/$C$24/$D$24</f>
        <v>2.667064861596468E-2</v>
      </c>
      <c r="EC42">
        <f t="shared" si="28"/>
        <v>2.375182959460782E-2</v>
      </c>
      <c r="ED42">
        <f t="shared" si="28"/>
        <v>1.0693382584285885E-2</v>
      </c>
      <c r="EE42">
        <f t="shared" si="28"/>
        <v>1.3278855250940129E-2</v>
      </c>
      <c r="EF42">
        <f t="shared" si="28"/>
        <v>4.2807957697318965E-4</v>
      </c>
      <c r="EG42">
        <f t="shared" si="28"/>
        <v>6.8635036256043495E-3</v>
      </c>
      <c r="EH42">
        <f t="shared" si="28"/>
        <v>3.0216142013713772E-3</v>
      </c>
      <c r="EI42">
        <f t="shared" si="28"/>
        <v>8.6369331526874628E-3</v>
      </c>
      <c r="EJ42">
        <f t="shared" si="28"/>
        <v>6.0064102498583356E-3</v>
      </c>
      <c r="EK42">
        <f t="shared" si="28"/>
        <v>1.74929872111728E-2</v>
      </c>
      <c r="EL42">
        <f t="shared" si="28"/>
        <v>2.9272624391512587E-3</v>
      </c>
      <c r="EM42">
        <f t="shared" si="28"/>
        <v>6.6227563601461842E-3</v>
      </c>
      <c r="EN42">
        <f t="shared" si="28"/>
        <v>1.0393575630465007E-2</v>
      </c>
      <c r="EO42">
        <f t="shared" si="28"/>
        <v>3.0196250951785054E-3</v>
      </c>
      <c r="EP42">
        <f t="shared" si="28"/>
        <v>3.0653503633613819E-3</v>
      </c>
      <c r="EQ42">
        <f t="shared" si="28"/>
        <v>1.0000512751659644E-2</v>
      </c>
      <c r="ER42">
        <f t="shared" si="28"/>
        <v>7.6117834447636248E-3</v>
      </c>
      <c r="ES42">
        <f t="shared" si="28"/>
        <v>2.0881743989399687E-3</v>
      </c>
      <c r="ET42">
        <f t="shared" si="28"/>
        <v>6.9152092784163979E-3</v>
      </c>
      <c r="EU42">
        <f t="shared" si="28"/>
        <v>3.5890504310759882E-3</v>
      </c>
      <c r="EV42">
        <f t="shared" si="28"/>
        <v>6.5975612759644397E-3</v>
      </c>
      <c r="EW42">
        <f t="shared" si="28"/>
        <v>1.0183090576485084E-3</v>
      </c>
      <c r="EX42">
        <f t="shared" si="28"/>
        <v>8.8278476345687602E-3</v>
      </c>
      <c r="EY42">
        <f t="shared" si="28"/>
        <v>1.0119462817795176E-2</v>
      </c>
      <c r="EZ42">
        <f t="shared" si="28"/>
        <v>1.2899326677457352E-3</v>
      </c>
      <c r="FA42">
        <f t="shared" si="28"/>
        <v>2.0761095355785217E-3</v>
      </c>
      <c r="FB42">
        <f t="shared" si="28"/>
        <v>2.6289738575734152E-3</v>
      </c>
      <c r="FC42">
        <f t="shared" si="28"/>
        <v>5.3787241149504785E-3</v>
      </c>
      <c r="FD42">
        <f t="shared" si="28"/>
        <v>2.1092938451754717E-4</v>
      </c>
      <c r="FE42">
        <f t="shared" si="28"/>
        <v>5.6075617305861684E-3</v>
      </c>
      <c r="FF42">
        <f t="shared" si="28"/>
        <v>9.9538042792200894E-4</v>
      </c>
      <c r="FG42">
        <f t="shared" si="28"/>
        <v>1.2034331463811995E-3</v>
      </c>
      <c r="FH42">
        <f t="shared" ref="FH42:FT42" si="29">FH6/$C$24/$D$24</f>
        <v>3.7119227334408706E-4</v>
      </c>
      <c r="FI42">
        <f t="shared" si="29"/>
        <v>3.4605097194033417E-3</v>
      </c>
      <c r="FJ42">
        <f t="shared" si="29"/>
        <v>4.1552492682369472E-3</v>
      </c>
      <c r="FK42">
        <f t="shared" si="29"/>
        <v>3.4621687382474548E-3</v>
      </c>
      <c r="FL42">
        <f t="shared" si="29"/>
        <v>5.8076914335948647E-4</v>
      </c>
      <c r="FM42">
        <f t="shared" si="29"/>
        <v>8.0122198802800367E-4</v>
      </c>
      <c r="FN42">
        <f t="shared" si="29"/>
        <v>1.0140799315335952E-3</v>
      </c>
      <c r="FO42">
        <f t="shared" si="29"/>
        <v>8.6302176741819112E-4</v>
      </c>
      <c r="FP42">
        <f t="shared" si="29"/>
        <v>4.0533085799955072E-4</v>
      </c>
      <c r="FQ42">
        <f t="shared" si="29"/>
        <v>1.739702225185561E-3</v>
      </c>
      <c r="FR42">
        <f t="shared" si="29"/>
        <v>4.776619143390861E-4</v>
      </c>
      <c r="FS42">
        <f t="shared" si="29"/>
        <v>1.3855543929419599E-4</v>
      </c>
      <c r="FT42">
        <f t="shared" si="29"/>
        <v>8.2061455635031494E-5</v>
      </c>
    </row>
    <row r="43" spans="1:176">
      <c r="A43" s="2" t="s">
        <v>15</v>
      </c>
      <c r="B43" t="s">
        <v>525</v>
      </c>
      <c r="C43">
        <f>C7/$C$25/$D$25*1000</f>
        <v>100.90925895019269</v>
      </c>
      <c r="D43">
        <f t="shared" ref="D43:AI43" si="30">D7/$C$25/$D$25</f>
        <v>0.51195677537304951</v>
      </c>
      <c r="E43">
        <f t="shared" si="30"/>
        <v>45.706659906281217</v>
      </c>
      <c r="F43">
        <f t="shared" si="30"/>
        <v>4.1946604264035008</v>
      </c>
      <c r="G43">
        <f t="shared" si="30"/>
        <v>5.4423467420990956</v>
      </c>
      <c r="H43">
        <f t="shared" si="30"/>
        <v>6.8255952449418738</v>
      </c>
      <c r="I43">
        <f t="shared" si="30"/>
        <v>2.203846126091169</v>
      </c>
      <c r="J43">
        <f t="shared" si="30"/>
        <v>0.86133434643062778</v>
      </c>
      <c r="K43">
        <f t="shared" si="30"/>
        <v>2.3998080153587713</v>
      </c>
      <c r="L43">
        <f t="shared" si="30"/>
        <v>1.0978952777384478E-2</v>
      </c>
      <c r="M43">
        <f t="shared" si="30"/>
        <v>2.0237197973733432</v>
      </c>
      <c r="N43">
        <f t="shared" si="30"/>
        <v>1.5623705007317041</v>
      </c>
      <c r="O43">
        <f t="shared" si="30"/>
        <v>0.18655505081361928</v>
      </c>
      <c r="P43">
        <f t="shared" si="30"/>
        <v>0.5943108528010651</v>
      </c>
      <c r="Q43">
        <f t="shared" si="30"/>
        <v>0.42796314970169053</v>
      </c>
      <c r="R43">
        <f t="shared" si="30"/>
        <v>0.43596552779376019</v>
      </c>
      <c r="S43">
        <f t="shared" si="30"/>
        <v>8.0187015646161777E-2</v>
      </c>
      <c r="T43">
        <f t="shared" si="30"/>
        <v>0.4971855030217508</v>
      </c>
      <c r="U43">
        <f t="shared" si="30"/>
        <v>0.20812838089376856</v>
      </c>
      <c r="V43">
        <f t="shared" si="30"/>
        <v>0.22485634777019847</v>
      </c>
      <c r="W43">
        <f t="shared" si="30"/>
        <v>0.46068989682958433</v>
      </c>
      <c r="X43">
        <f t="shared" si="30"/>
        <v>0.41686858286794887</v>
      </c>
      <c r="Y43">
        <f t="shared" si="30"/>
        <v>8.8949229586611209E-2</v>
      </c>
      <c r="Z43">
        <f t="shared" si="30"/>
        <v>0.13740576046743441</v>
      </c>
      <c r="AA43">
        <f t="shared" si="30"/>
        <v>6.2005241534081393E-2</v>
      </c>
      <c r="AB43">
        <f t="shared" si="30"/>
        <v>8.979888259069678E-2</v>
      </c>
      <c r="AC43">
        <f t="shared" si="30"/>
        <v>0.37161964235624978</v>
      </c>
      <c r="AD43">
        <f t="shared" si="30"/>
        <v>0.46854839379477087</v>
      </c>
      <c r="AE43">
        <f t="shared" si="30"/>
        <v>0.28819907769943848</v>
      </c>
      <c r="AF43">
        <f t="shared" si="30"/>
        <v>9.929764815722027E-3</v>
      </c>
      <c r="AG43">
        <f t="shared" si="30"/>
        <v>4.8485779969857602E-3</v>
      </c>
      <c r="AH43">
        <f t="shared" si="30"/>
        <v>2.2834729247072076E-2</v>
      </c>
      <c r="AI43">
        <f t="shared" si="30"/>
        <v>0.40277302992903141</v>
      </c>
      <c r="AJ43">
        <f t="shared" ref="AJ43:BO43" si="31">AJ7/$C$25/$D$25</f>
        <v>0.31007209080631398</v>
      </c>
      <c r="AK43">
        <f t="shared" si="31"/>
        <v>0.13007302671202112</v>
      </c>
      <c r="AL43">
        <f t="shared" si="31"/>
        <v>0.21100131873349559</v>
      </c>
      <c r="AM43">
        <f t="shared" si="31"/>
        <v>0.22818191097321375</v>
      </c>
      <c r="AN43">
        <f t="shared" si="31"/>
        <v>0.21694467197126863</v>
      </c>
      <c r="AO43">
        <f t="shared" si="31"/>
        <v>0.16000755387705279</v>
      </c>
      <c r="AP43">
        <f t="shared" si="31"/>
        <v>0.13916010846418223</v>
      </c>
      <c r="AQ43">
        <f t="shared" si="31"/>
        <v>4.7866488681642658E-2</v>
      </c>
      <c r="AR43">
        <f t="shared" si="31"/>
        <v>8.2475089165214385E-2</v>
      </c>
      <c r="AS43">
        <f t="shared" si="31"/>
        <v>0.19172323382304082</v>
      </c>
      <c r="AT43">
        <f t="shared" si="31"/>
        <v>0.16956643114797973</v>
      </c>
      <c r="AU43">
        <f t="shared" si="31"/>
        <v>0.23291236210292174</v>
      </c>
      <c r="AV43">
        <f t="shared" si="31"/>
        <v>0.25948482285131869</v>
      </c>
      <c r="AW43">
        <f t="shared" si="31"/>
        <v>0.13275929986557855</v>
      </c>
      <c r="AX43">
        <f t="shared" si="31"/>
        <v>0.10259384825330292</v>
      </c>
      <c r="AY43">
        <f t="shared" si="31"/>
        <v>0.16025934087485827</v>
      </c>
      <c r="AZ43">
        <f t="shared" si="31"/>
        <v>3.8543472559643063E-2</v>
      </c>
      <c r="BA43">
        <f t="shared" si="31"/>
        <v>2.9245460314002478E-2</v>
      </c>
      <c r="BB43">
        <f t="shared" si="31"/>
        <v>7.8659801201640567E-2</v>
      </c>
      <c r="BC43">
        <f t="shared" si="31"/>
        <v>0.11733037418926925</v>
      </c>
      <c r="BD43">
        <f t="shared" si="31"/>
        <v>5.288900858782062E-2</v>
      </c>
      <c r="BE43">
        <f t="shared" si="31"/>
        <v>0.14466232394613401</v>
      </c>
      <c r="BF43">
        <f t="shared" si="31"/>
        <v>2.4263484188154404E-2</v>
      </c>
      <c r="BG43">
        <f t="shared" si="31"/>
        <v>4.6908149941528865E-2</v>
      </c>
      <c r="BH43">
        <f t="shared" si="31"/>
        <v>3.7715805098637929E-2</v>
      </c>
      <c r="BI43">
        <f t="shared" si="31"/>
        <v>2.0504033680283761E-2</v>
      </c>
      <c r="BJ43">
        <f t="shared" si="31"/>
        <v>0.13946403965688256</v>
      </c>
      <c r="BK43">
        <f t="shared" si="31"/>
        <v>5.5934559522147334E-2</v>
      </c>
      <c r="BL43">
        <f t="shared" si="31"/>
        <v>7.5579308075757468E-2</v>
      </c>
      <c r="BM43">
        <f t="shared" si="31"/>
        <v>0.14368806389326513</v>
      </c>
      <c r="BN43">
        <f t="shared" si="31"/>
        <v>1.0503129910032576E-3</v>
      </c>
      <c r="BO43">
        <f t="shared" si="31"/>
        <v>0.13240762591759378</v>
      </c>
      <c r="BP43">
        <f t="shared" ref="BP43:CU43" si="32">BP7/$C$25/$D$25</f>
        <v>8.0237404907315624E-2</v>
      </c>
      <c r="BQ43">
        <f t="shared" si="32"/>
        <v>1.4942251471498235E-2</v>
      </c>
      <c r="BR43">
        <f t="shared" si="32"/>
        <v>7.3211647197626975E-2</v>
      </c>
      <c r="BS43">
        <f t="shared" si="32"/>
        <v>6.4931923188297205E-3</v>
      </c>
      <c r="BT43">
        <f t="shared" si="32"/>
        <v>3.0407318805896227E-2</v>
      </c>
      <c r="BU43">
        <f t="shared" si="32"/>
        <v>3.6741128888857721E-3</v>
      </c>
      <c r="BV43">
        <f t="shared" si="32"/>
        <v>7.5375329475593791E-2</v>
      </c>
      <c r="BW43">
        <f t="shared" si="32"/>
        <v>2.3279816841902893E-2</v>
      </c>
      <c r="BX43">
        <f t="shared" si="32"/>
        <v>5.3887120531700928E-3</v>
      </c>
      <c r="BY43">
        <f t="shared" si="32"/>
        <v>6.8568471181587015E-2</v>
      </c>
      <c r="BZ43">
        <f t="shared" si="32"/>
        <v>7.8557004241522427E-2</v>
      </c>
      <c r="CA43">
        <f t="shared" si="32"/>
        <v>9.1000260313651082E-4</v>
      </c>
      <c r="CB43">
        <f t="shared" si="32"/>
        <v>2.6365375164237731E-2</v>
      </c>
      <c r="CC43">
        <f t="shared" si="32"/>
        <v>1.679812855946403E-2</v>
      </c>
      <c r="CD43">
        <f t="shared" si="32"/>
        <v>6.7621003052688922E-2</v>
      </c>
      <c r="CE43">
        <f t="shared" si="32"/>
        <v>4.1473745243016079E-2</v>
      </c>
      <c r="CF43">
        <f t="shared" si="32"/>
        <v>1.688038792961739E-2</v>
      </c>
      <c r="CG43">
        <f t="shared" si="32"/>
        <v>1.0033997356330404E-2</v>
      </c>
      <c r="CH43">
        <f t="shared" si="32"/>
        <v>1.5034208736048084E-2</v>
      </c>
      <c r="CI43">
        <f t="shared" si="32"/>
        <v>3.4680630614968136E-4</v>
      </c>
      <c r="CJ43">
        <f t="shared" si="32"/>
        <v>6.4994667683888036E-2</v>
      </c>
      <c r="CK43">
        <f t="shared" si="32"/>
        <v>3.72538565354864E-2</v>
      </c>
      <c r="CL43">
        <f t="shared" si="32"/>
        <v>2.4072449042914297E-3</v>
      </c>
      <c r="CM43">
        <f t="shared" si="32"/>
        <v>5.7478653042171667E-2</v>
      </c>
      <c r="CN43">
        <f t="shared" si="32"/>
        <v>6.8975991676601442E-2</v>
      </c>
      <c r="CO43">
        <f t="shared" si="32"/>
        <v>1.1823858836876344E-2</v>
      </c>
      <c r="CP43">
        <f t="shared" si="32"/>
        <v>1.4775407954989109E-2</v>
      </c>
      <c r="CQ43">
        <f t="shared" si="32"/>
        <v>3.9972628523916188E-3</v>
      </c>
      <c r="CR43">
        <f t="shared" si="32"/>
        <v>4.5153889555292127E-2</v>
      </c>
      <c r="CS43">
        <f t="shared" si="32"/>
        <v>6.6989245764387861E-2</v>
      </c>
      <c r="CT43">
        <f t="shared" si="32"/>
        <v>6.0556113147567057E-2</v>
      </c>
      <c r="CU43">
        <f t="shared" si="32"/>
        <v>5.6197719076445723E-3</v>
      </c>
      <c r="CV43">
        <f t="shared" ref="CV43:EA43" si="33">CV7/$C$25/$D$25</f>
        <v>6.492732088645134E-2</v>
      </c>
      <c r="CW43">
        <f t="shared" si="33"/>
        <v>2.2307317695330602E-2</v>
      </c>
      <c r="CX43">
        <f t="shared" si="33"/>
        <v>2.4944896989559054E-2</v>
      </c>
      <c r="CY43">
        <f t="shared" si="33"/>
        <v>7.6300011486035192E-3</v>
      </c>
      <c r="CZ43">
        <f t="shared" si="33"/>
        <v>3.289866312653901E-2</v>
      </c>
      <c r="DA43">
        <f t="shared" si="33"/>
        <v>3.0569687705031733E-2</v>
      </c>
      <c r="DB43">
        <f t="shared" si="33"/>
        <v>3.9943973343595451E-2</v>
      </c>
      <c r="DC43">
        <f t="shared" si="33"/>
        <v>4.7393116257617524E-2</v>
      </c>
      <c r="DD43">
        <f t="shared" si="33"/>
        <v>2.0501303243797443E-3</v>
      </c>
      <c r="DE43">
        <f t="shared" si="33"/>
        <v>2.0832195853419708E-2</v>
      </c>
      <c r="DF43">
        <f t="shared" si="33"/>
        <v>3.8031914408571656E-2</v>
      </c>
      <c r="DG43">
        <f t="shared" si="33"/>
        <v>2.7286643475707287E-4</v>
      </c>
      <c r="DH43">
        <f t="shared" si="33"/>
        <v>2.1236453454056788E-2</v>
      </c>
      <c r="DI43">
        <f t="shared" si="33"/>
        <v>2.4027499685423621E-2</v>
      </c>
      <c r="DJ43">
        <f t="shared" si="33"/>
        <v>1.3535122195864543E-2</v>
      </c>
      <c r="DK43">
        <f t="shared" si="33"/>
        <v>5.0299305516449483E-2</v>
      </c>
      <c r="DL43">
        <f t="shared" si="33"/>
        <v>1.3024527238012164E-3</v>
      </c>
      <c r="DM43">
        <f t="shared" si="33"/>
        <v>6.623897869129731E-3</v>
      </c>
      <c r="DN43">
        <f t="shared" si="33"/>
        <v>4.8478422920765478E-2</v>
      </c>
      <c r="DO43">
        <f t="shared" si="33"/>
        <v>2.2014629460306072E-2</v>
      </c>
      <c r="DP43">
        <f t="shared" si="33"/>
        <v>4.704659397917689E-2</v>
      </c>
      <c r="DQ43">
        <f t="shared" si="33"/>
        <v>2.563801065635056E-2</v>
      </c>
      <c r="DR43">
        <f t="shared" si="33"/>
        <v>4.3393882759342743E-2</v>
      </c>
      <c r="DS43">
        <f t="shared" si="33"/>
        <v>2.0667464546788205E-2</v>
      </c>
      <c r="DT43">
        <f t="shared" si="33"/>
        <v>3.1203364139801827E-5</v>
      </c>
      <c r="DU43">
        <f t="shared" si="33"/>
        <v>1.7574275459320211E-2</v>
      </c>
      <c r="DV43">
        <f t="shared" si="33"/>
        <v>4.1558335249434475E-2</v>
      </c>
      <c r="DW43">
        <f t="shared" si="33"/>
        <v>3.5789535061703129E-3</v>
      </c>
      <c r="DX43">
        <f t="shared" si="33"/>
        <v>2.5565489050966089E-2</v>
      </c>
      <c r="DY43">
        <f t="shared" si="33"/>
        <v>1.9247427980147915E-2</v>
      </c>
      <c r="DZ43">
        <f t="shared" si="33"/>
        <v>3.2171608384452245E-2</v>
      </c>
      <c r="EA43">
        <f t="shared" si="33"/>
        <v>3.8911740739867001E-2</v>
      </c>
      <c r="EB43">
        <f t="shared" ref="EB43:FG43" si="34">EB7/$C$25/$D$25</f>
        <v>3.2923346456433064E-2</v>
      </c>
      <c r="EC43">
        <f t="shared" si="34"/>
        <v>3.7133501354260799E-3</v>
      </c>
      <c r="ED43">
        <f t="shared" si="34"/>
        <v>1.6483118836391239E-2</v>
      </c>
      <c r="EE43">
        <f t="shared" si="34"/>
        <v>1.7310909902073408E-2</v>
      </c>
      <c r="EF43">
        <f t="shared" si="34"/>
        <v>1.755476298538483E-4</v>
      </c>
      <c r="EG43">
        <f t="shared" si="34"/>
        <v>1.1556425399318325E-2</v>
      </c>
      <c r="EH43">
        <f t="shared" si="34"/>
        <v>9.7823983506806454E-3</v>
      </c>
      <c r="EI43">
        <f t="shared" si="34"/>
        <v>1.6579235018001539E-2</v>
      </c>
      <c r="EJ43">
        <f t="shared" si="34"/>
        <v>2.6657763016635687E-2</v>
      </c>
      <c r="EK43">
        <f t="shared" si="34"/>
        <v>2.0796311098939844E-2</v>
      </c>
      <c r="EL43">
        <f t="shared" si="34"/>
        <v>9.3133739175363158E-3</v>
      </c>
      <c r="EM43">
        <f t="shared" si="34"/>
        <v>8.2012991705538287E-4</v>
      </c>
      <c r="EN43">
        <f t="shared" si="34"/>
        <v>8.8777538545957487E-3</v>
      </c>
      <c r="EO43">
        <f t="shared" si="34"/>
        <v>3.5927041364094072E-3</v>
      </c>
      <c r="EP43">
        <f t="shared" si="34"/>
        <v>2.5570444228077624E-3</v>
      </c>
      <c r="EQ43">
        <f t="shared" si="34"/>
        <v>1.8997507418720309E-2</v>
      </c>
      <c r="ER43">
        <f t="shared" si="34"/>
        <v>1.3832403021204821E-2</v>
      </c>
      <c r="ES43">
        <f t="shared" si="34"/>
        <v>3.238184654280486E-3</v>
      </c>
      <c r="ET43">
        <f t="shared" si="34"/>
        <v>1.1223572386451001E-2</v>
      </c>
      <c r="EU43">
        <f t="shared" si="34"/>
        <v>2.2479931844373519E-3</v>
      </c>
      <c r="EV43">
        <f t="shared" si="34"/>
        <v>5.9720722052047301E-3</v>
      </c>
      <c r="EW43">
        <f t="shared" si="34"/>
        <v>1.5983538686928577E-3</v>
      </c>
      <c r="EX43">
        <f t="shared" si="34"/>
        <v>4.0359478332868482E-3</v>
      </c>
      <c r="EY43">
        <f t="shared" si="34"/>
        <v>6.0136569778474107E-3</v>
      </c>
      <c r="EZ43">
        <f t="shared" si="34"/>
        <v>1.890181149479252E-3</v>
      </c>
      <c r="FA43">
        <f t="shared" si="34"/>
        <v>3.4238412785028726E-3</v>
      </c>
      <c r="FB43">
        <f t="shared" si="34"/>
        <v>6.0912082985422917E-4</v>
      </c>
      <c r="FC43">
        <f t="shared" si="34"/>
        <v>2.0322671520941653E-3</v>
      </c>
      <c r="FD43">
        <f t="shared" si="34"/>
        <v>4.5174857982559896E-4</v>
      </c>
      <c r="FE43">
        <f t="shared" si="34"/>
        <v>7.4779843441911929E-3</v>
      </c>
      <c r="FF43">
        <f t="shared" si="34"/>
        <v>1.423903067827079E-3</v>
      </c>
      <c r="FG43">
        <f t="shared" si="34"/>
        <v>1.4819340305343718E-3</v>
      </c>
      <c r="FH43">
        <f t="shared" ref="FH43:FT43" si="35">FH7/$C$25/$D$25</f>
        <v>1.1056499407086733E-3</v>
      </c>
      <c r="FI43">
        <f t="shared" si="35"/>
        <v>5.9422403405899691E-3</v>
      </c>
      <c r="FJ43">
        <f t="shared" si="35"/>
        <v>1.2701439813565547E-3</v>
      </c>
      <c r="FK43">
        <f t="shared" si="35"/>
        <v>4.7155184288610067E-3</v>
      </c>
      <c r="FL43">
        <f t="shared" si="35"/>
        <v>1.1107274786298492E-3</v>
      </c>
      <c r="FM43">
        <f t="shared" si="35"/>
        <v>2.4450237018104931E-3</v>
      </c>
      <c r="FN43">
        <f t="shared" si="35"/>
        <v>3.3327684002701506E-3</v>
      </c>
      <c r="FO43">
        <f t="shared" si="35"/>
        <v>1.0237190857223181E-3</v>
      </c>
      <c r="FP43">
        <f t="shared" si="35"/>
        <v>9.4892423309249547E-4</v>
      </c>
      <c r="FQ43">
        <f t="shared" si="35"/>
        <v>4.0773149225313658E-3</v>
      </c>
      <c r="FR43">
        <f t="shared" si="35"/>
        <v>6.349654419418872E-4</v>
      </c>
      <c r="FS43">
        <f t="shared" si="35"/>
        <v>4.7749107583012308E-4</v>
      </c>
      <c r="FT43">
        <f t="shared" si="35"/>
        <v>8.3159687950633493E-4</v>
      </c>
    </row>
    <row r="44" spans="1:176">
      <c r="A44" s="2" t="s">
        <v>16</v>
      </c>
      <c r="B44" t="s">
        <v>526</v>
      </c>
      <c r="C44">
        <f>C8/$C$26/$D$26*1000</f>
        <v>36.093085985433845</v>
      </c>
      <c r="D44">
        <f t="shared" ref="D44:AI44" si="36">D8/$C$26/$D$26</f>
        <v>1.4836516376022566</v>
      </c>
      <c r="E44">
        <f t="shared" si="36"/>
        <v>40.80445408326927</v>
      </c>
      <c r="F44">
        <f t="shared" si="36"/>
        <v>7.7672623234195628</v>
      </c>
      <c r="G44">
        <f t="shared" si="36"/>
        <v>6.7357289254576953</v>
      </c>
      <c r="H44">
        <f t="shared" si="36"/>
        <v>3.384774933446554</v>
      </c>
      <c r="I44">
        <f t="shared" si="36"/>
        <v>3.3931415650767613</v>
      </c>
      <c r="J44">
        <f t="shared" si="36"/>
        <v>0.53395909437520828</v>
      </c>
      <c r="K44">
        <f t="shared" si="36"/>
        <v>2.6560424966799467</v>
      </c>
      <c r="L44">
        <f t="shared" si="36"/>
        <v>8.0708080251574915E-2</v>
      </c>
      <c r="M44">
        <f t="shared" si="36"/>
        <v>0.50377124022522002</v>
      </c>
      <c r="N44">
        <f t="shared" si="36"/>
        <v>0.1493522291688498</v>
      </c>
      <c r="O44">
        <f t="shared" si="36"/>
        <v>0.14430710084721632</v>
      </c>
      <c r="P44">
        <f t="shared" si="36"/>
        <v>1.0859652937931599</v>
      </c>
      <c r="Q44">
        <f t="shared" si="36"/>
        <v>0.75236063901022998</v>
      </c>
      <c r="R44">
        <f t="shared" si="36"/>
        <v>0.49396753642989361</v>
      </c>
      <c r="S44">
        <f t="shared" si="36"/>
        <v>4.3148326621328184E-2</v>
      </c>
      <c r="T44">
        <f t="shared" si="36"/>
        <v>0.37191258893957896</v>
      </c>
      <c r="U44">
        <f t="shared" si="36"/>
        <v>0.11461011601804462</v>
      </c>
      <c r="V44">
        <f t="shared" si="36"/>
        <v>0.60698632010891185</v>
      </c>
      <c r="W44">
        <f t="shared" si="36"/>
        <v>0.36853701410785067</v>
      </c>
      <c r="X44">
        <f t="shared" si="36"/>
        <v>0.51350723796927567</v>
      </c>
      <c r="Y44">
        <f t="shared" si="36"/>
        <v>0.13044446700065757</v>
      </c>
      <c r="Z44">
        <f t="shared" si="36"/>
        <v>0.13617753216383041</v>
      </c>
      <c r="AA44">
        <f t="shared" si="36"/>
        <v>0.1504195100679889</v>
      </c>
      <c r="AB44">
        <f t="shared" si="36"/>
        <v>0.17462373024920469</v>
      </c>
      <c r="AC44">
        <f t="shared" si="36"/>
        <v>0.33075959863490068</v>
      </c>
      <c r="AD44">
        <f t="shared" si="36"/>
        <v>9.954363379954996E-2</v>
      </c>
      <c r="AE44">
        <f t="shared" si="36"/>
        <v>0.33311371757252251</v>
      </c>
      <c r="AF44">
        <f t="shared" si="36"/>
        <v>1.1574507049732943E-2</v>
      </c>
      <c r="AG44">
        <f t="shared" si="36"/>
        <v>1.1128886693687222E-2</v>
      </c>
      <c r="AH44">
        <f t="shared" si="36"/>
        <v>2.8081966860269092E-2</v>
      </c>
      <c r="AI44">
        <f t="shared" si="36"/>
        <v>0.19792148399039633</v>
      </c>
      <c r="AJ44">
        <f t="shared" ref="AJ44:BO44" si="37">AJ8/$C$26/$D$26</f>
        <v>0.27476573511182206</v>
      </c>
      <c r="AK44">
        <f t="shared" si="37"/>
        <v>0.17238237383351546</v>
      </c>
      <c r="AL44">
        <f t="shared" si="37"/>
        <v>0.1577594816435795</v>
      </c>
      <c r="AM44">
        <f t="shared" si="37"/>
        <v>5.5998482289368691E-2</v>
      </c>
      <c r="AN44">
        <f t="shared" si="37"/>
        <v>0.15224247748310996</v>
      </c>
      <c r="AO44">
        <f t="shared" si="37"/>
        <v>0.17227875477843171</v>
      </c>
      <c r="AP44">
        <f t="shared" si="37"/>
        <v>4.8007691077165904E-2</v>
      </c>
      <c r="AQ44">
        <f t="shared" si="37"/>
        <v>4.1026016075515481E-2</v>
      </c>
      <c r="AR44">
        <f t="shared" si="37"/>
        <v>4.3222310600310385E-2</v>
      </c>
      <c r="AS44">
        <f t="shared" si="37"/>
        <v>0.11703426899473712</v>
      </c>
      <c r="AT44">
        <f t="shared" si="37"/>
        <v>0.14865600465101453</v>
      </c>
      <c r="AU44">
        <f t="shared" si="37"/>
        <v>7.0004894347228938E-2</v>
      </c>
      <c r="AV44">
        <f t="shared" si="37"/>
        <v>0.16231019192743124</v>
      </c>
      <c r="AW44">
        <f t="shared" si="37"/>
        <v>0.17246225603227272</v>
      </c>
      <c r="AX44">
        <f t="shared" si="37"/>
        <v>0.14364134854098182</v>
      </c>
      <c r="AY44">
        <f t="shared" si="37"/>
        <v>0.13821072687710026</v>
      </c>
      <c r="AZ44">
        <f t="shared" si="37"/>
        <v>1.6675824050850892E-2</v>
      </c>
      <c r="BA44">
        <f t="shared" si="37"/>
        <v>4.1592757342010622E-2</v>
      </c>
      <c r="BB44">
        <f t="shared" si="37"/>
        <v>0.17530732215271805</v>
      </c>
      <c r="BC44">
        <f t="shared" si="37"/>
        <v>0.13242504722616713</v>
      </c>
      <c r="BD44">
        <f t="shared" si="37"/>
        <v>8.4939255408161302E-2</v>
      </c>
      <c r="BE44">
        <f t="shared" si="37"/>
        <v>9.1109045255306498E-2</v>
      </c>
      <c r="BF44">
        <f t="shared" si="37"/>
        <v>2.9672673912891176E-2</v>
      </c>
      <c r="BG44">
        <f t="shared" si="37"/>
        <v>5.0975432883143268E-2</v>
      </c>
      <c r="BH44">
        <f t="shared" si="37"/>
        <v>4.3745218814943705E-2</v>
      </c>
      <c r="BI44">
        <f t="shared" si="37"/>
        <v>8.0801999245338429E-2</v>
      </c>
      <c r="BJ44">
        <f t="shared" si="37"/>
        <v>8.5645930355077698E-2</v>
      </c>
      <c r="BK44">
        <f t="shared" si="37"/>
        <v>3.6576695829171862E-2</v>
      </c>
      <c r="BL44">
        <f t="shared" si="37"/>
        <v>6.9640680093352739E-2</v>
      </c>
      <c r="BM44">
        <f t="shared" si="37"/>
        <v>2.3465027200627514E-2</v>
      </c>
      <c r="BN44">
        <f t="shared" si="37"/>
        <v>7.8917350589955684E-4</v>
      </c>
      <c r="BO44">
        <f t="shared" si="37"/>
        <v>0.12956689307805586</v>
      </c>
      <c r="BP44">
        <f t="shared" ref="BP44:CU44" si="38">BP8/$C$26/$D$26</f>
        <v>8.970345251715979E-2</v>
      </c>
      <c r="BQ44">
        <f t="shared" si="38"/>
        <v>7.3505987722622582E-2</v>
      </c>
      <c r="BR44">
        <f t="shared" si="38"/>
        <v>8.5965979772278864E-2</v>
      </c>
      <c r="BS44">
        <f t="shared" si="38"/>
        <v>1.818709103534454E-3</v>
      </c>
      <c r="BT44">
        <f t="shared" si="38"/>
        <v>1.2980392904219892E-2</v>
      </c>
      <c r="BU44">
        <f t="shared" si="38"/>
        <v>3.7605986610171464E-3</v>
      </c>
      <c r="BV44">
        <f t="shared" si="38"/>
        <v>9.0492438713500573E-2</v>
      </c>
      <c r="BW44">
        <f t="shared" si="38"/>
        <v>3.9871866170160836E-2</v>
      </c>
      <c r="BX44">
        <f t="shared" si="38"/>
        <v>7.538970889155959E-2</v>
      </c>
      <c r="BY44">
        <f t="shared" si="38"/>
        <v>5.6965618719074872E-2</v>
      </c>
      <c r="BZ44">
        <f t="shared" si="38"/>
        <v>0.10671661228560168</v>
      </c>
      <c r="CA44">
        <f t="shared" si="38"/>
        <v>3.1083512303976721E-4</v>
      </c>
      <c r="CB44">
        <f t="shared" si="38"/>
        <v>1.9088857778423021E-2</v>
      </c>
      <c r="CC44">
        <f t="shared" si="38"/>
        <v>9.6627061428465458E-2</v>
      </c>
      <c r="CD44">
        <f t="shared" si="38"/>
        <v>2.1514315657329895E-2</v>
      </c>
      <c r="CE44">
        <f t="shared" si="38"/>
        <v>6.0252224288607915E-2</v>
      </c>
      <c r="CF44">
        <f t="shared" si="38"/>
        <v>2.4730156798513127E-2</v>
      </c>
      <c r="CG44">
        <f t="shared" si="38"/>
        <v>2.842053737973424E-2</v>
      </c>
      <c r="CH44">
        <f t="shared" si="38"/>
        <v>2.2884821733221487E-2</v>
      </c>
      <c r="CI44">
        <f t="shared" si="38"/>
        <v>3.8888429092590296E-3</v>
      </c>
      <c r="CJ44">
        <f t="shared" si="38"/>
        <v>3.248428266154145E-2</v>
      </c>
      <c r="CK44">
        <f t="shared" si="38"/>
        <v>2.498281428856429E-2</v>
      </c>
      <c r="CL44">
        <f t="shared" si="38"/>
        <v>3.8369085548583316E-3</v>
      </c>
      <c r="CM44">
        <f t="shared" si="38"/>
        <v>2.2278779586271818E-2</v>
      </c>
      <c r="CN44">
        <f t="shared" si="38"/>
        <v>5.2570084874024016E-2</v>
      </c>
      <c r="CO44">
        <f t="shared" si="38"/>
        <v>7.5144576014218841E-3</v>
      </c>
      <c r="CP44">
        <f t="shared" si="38"/>
        <v>1.7546236665809196E-2</v>
      </c>
      <c r="CQ44">
        <f t="shared" si="38"/>
        <v>3.0438995713769408E-2</v>
      </c>
      <c r="CR44">
        <f t="shared" si="38"/>
        <v>1.7650113935978356E-2</v>
      </c>
      <c r="CS44">
        <f t="shared" si="38"/>
        <v>2.4756883971170079E-2</v>
      </c>
      <c r="CT44">
        <f t="shared" si="38"/>
        <v>5.8171896866223094E-2</v>
      </c>
      <c r="CU44">
        <f t="shared" si="38"/>
        <v>2.1496951134001171E-3</v>
      </c>
      <c r="CV44">
        <f t="shared" ref="CV44:EA44" si="39">CV8/$C$26/$D$26</f>
        <v>2.0083116320626818E-2</v>
      </c>
      <c r="CW44">
        <f t="shared" si="39"/>
        <v>1.0886962194100782E-2</v>
      </c>
      <c r="CX44">
        <f t="shared" si="39"/>
        <v>1.4643526457289681E-2</v>
      </c>
      <c r="CY44">
        <f t="shared" si="39"/>
        <v>1.5347109830452852E-2</v>
      </c>
      <c r="CZ44">
        <f t="shared" si="39"/>
        <v>2.5058955063950238E-2</v>
      </c>
      <c r="DA44">
        <f t="shared" si="39"/>
        <v>3.6366652901894315E-2</v>
      </c>
      <c r="DB44">
        <f t="shared" si="39"/>
        <v>2.6593414736477184E-2</v>
      </c>
      <c r="DC44">
        <f t="shared" si="39"/>
        <v>3.8549938732837907E-2</v>
      </c>
      <c r="DD44">
        <f t="shared" si="39"/>
        <v>2.6693425450510944E-3</v>
      </c>
      <c r="DE44">
        <f t="shared" si="39"/>
        <v>3.5384648114601597E-2</v>
      </c>
      <c r="DF44">
        <f t="shared" si="39"/>
        <v>3.5913913726541458E-2</v>
      </c>
      <c r="DG44">
        <f t="shared" si="39"/>
        <v>1.6178597808784227E-2</v>
      </c>
      <c r="DH44">
        <f t="shared" si="39"/>
        <v>2.5080815960975285E-2</v>
      </c>
      <c r="DI44">
        <f t="shared" si="39"/>
        <v>8.3579878654904544E-3</v>
      </c>
      <c r="DJ44">
        <f t="shared" si="39"/>
        <v>3.0068255556199189E-3</v>
      </c>
      <c r="DK44">
        <f t="shared" si="39"/>
        <v>3.3908008286496351E-2</v>
      </c>
      <c r="DL44">
        <f t="shared" si="39"/>
        <v>8.0986155849673274E-4</v>
      </c>
      <c r="DM44">
        <f t="shared" si="39"/>
        <v>1.7861637225613156E-2</v>
      </c>
      <c r="DN44">
        <f t="shared" si="39"/>
        <v>2.8854289165134366E-2</v>
      </c>
      <c r="DO44">
        <f t="shared" si="39"/>
        <v>3.3004577000010256E-2</v>
      </c>
      <c r="DP44">
        <f t="shared" si="39"/>
        <v>9.6421486140604602E-4</v>
      </c>
      <c r="DQ44">
        <f t="shared" si="39"/>
        <v>6.5465745516891105E-3</v>
      </c>
      <c r="DR44">
        <f t="shared" si="39"/>
        <v>2.7973640315348169E-2</v>
      </c>
      <c r="DS44">
        <f t="shared" si="39"/>
        <v>1.1090070674353308E-2</v>
      </c>
      <c r="DT44">
        <f t="shared" si="39"/>
        <v>1.6093679067672083E-4</v>
      </c>
      <c r="DU44">
        <f t="shared" si="39"/>
        <v>2.1500695207648898E-2</v>
      </c>
      <c r="DV44">
        <f t="shared" si="39"/>
        <v>1.155226850479505E-2</v>
      </c>
      <c r="DW44">
        <f t="shared" si="39"/>
        <v>4.1500440583821406E-3</v>
      </c>
      <c r="DX44">
        <f t="shared" si="39"/>
        <v>8.8295709083557328E-3</v>
      </c>
      <c r="DY44">
        <f t="shared" si="39"/>
        <v>3.1210844048618628E-2</v>
      </c>
      <c r="DZ44">
        <f t="shared" si="39"/>
        <v>9.9012002886245815E-3</v>
      </c>
      <c r="EA44">
        <f t="shared" si="39"/>
        <v>1.342839479137921E-2</v>
      </c>
      <c r="EB44">
        <f t="shared" ref="EB44:FG44" si="40">EB8/$C$26/$D$26</f>
        <v>1.878658040932172E-2</v>
      </c>
      <c r="EC44">
        <f t="shared" si="40"/>
        <v>4.9000973255228187E-3</v>
      </c>
      <c r="ED44">
        <f t="shared" si="40"/>
        <v>7.978111059630269E-3</v>
      </c>
      <c r="EE44">
        <f t="shared" si="40"/>
        <v>1.5310924223772166E-2</v>
      </c>
      <c r="EF44">
        <f t="shared" si="40"/>
        <v>4.638944461365928E-4</v>
      </c>
      <c r="EG44">
        <f t="shared" si="40"/>
        <v>1.0619520547246521E-2</v>
      </c>
      <c r="EH44">
        <f t="shared" si="40"/>
        <v>6.8068401834740699E-3</v>
      </c>
      <c r="EI44">
        <f t="shared" si="40"/>
        <v>1.6288197377932506E-2</v>
      </c>
      <c r="EJ44">
        <f t="shared" si="40"/>
        <v>8.0833509306926024E-3</v>
      </c>
      <c r="EK44">
        <f t="shared" si="40"/>
        <v>2.6015308954322792E-2</v>
      </c>
      <c r="EL44">
        <f t="shared" si="40"/>
        <v>7.3605757665957247E-3</v>
      </c>
      <c r="EM44">
        <f t="shared" si="40"/>
        <v>1.1715697432583118E-3</v>
      </c>
      <c r="EN44">
        <f t="shared" si="40"/>
        <v>1.4917009126380458E-2</v>
      </c>
      <c r="EO44">
        <f t="shared" si="40"/>
        <v>5.7631654910363433E-3</v>
      </c>
      <c r="EP44">
        <f t="shared" si="40"/>
        <v>5.0715812523566802E-3</v>
      </c>
      <c r="EQ44">
        <f t="shared" si="40"/>
        <v>9.0690927113668794E-3</v>
      </c>
      <c r="ER44">
        <f t="shared" si="40"/>
        <v>4.7977231731924017E-3</v>
      </c>
      <c r="ES44">
        <f t="shared" si="40"/>
        <v>3.1272404318580193E-3</v>
      </c>
      <c r="ET44">
        <f t="shared" si="40"/>
        <v>4.9221658938460259E-3</v>
      </c>
      <c r="EU44">
        <f t="shared" si="40"/>
        <v>7.3070413334764914E-3</v>
      </c>
      <c r="EV44">
        <f t="shared" si="40"/>
        <v>5.6690501479348043E-3</v>
      </c>
      <c r="EW44">
        <f t="shared" si="40"/>
        <v>5.7138179938011312E-3</v>
      </c>
      <c r="EX44">
        <f t="shared" si="40"/>
        <v>8.1547202992191641E-3</v>
      </c>
      <c r="EY44">
        <f t="shared" si="40"/>
        <v>8.4624015763063148E-4</v>
      </c>
      <c r="EZ44">
        <f t="shared" si="40"/>
        <v>4.0188376815452299E-3</v>
      </c>
      <c r="FA44">
        <f t="shared" si="40"/>
        <v>2.4604170330091791E-3</v>
      </c>
      <c r="FB44">
        <f t="shared" si="40"/>
        <v>1.4881761636988758E-3</v>
      </c>
      <c r="FC44">
        <f t="shared" si="40"/>
        <v>3.6317952148856858E-3</v>
      </c>
      <c r="FD44">
        <f t="shared" si="40"/>
        <v>2.038707734612854E-4</v>
      </c>
      <c r="FE44">
        <f t="shared" si="40"/>
        <v>6.2097448337322054E-3</v>
      </c>
      <c r="FF44">
        <f t="shared" si="40"/>
        <v>2.842651676443945E-3</v>
      </c>
      <c r="FG44">
        <f t="shared" si="40"/>
        <v>1.9315314212243347E-3</v>
      </c>
      <c r="FH44">
        <f t="shared" ref="FH44:FT44" si="41">FH8/$C$26/$D$26</f>
        <v>5.9194844565623372E-4</v>
      </c>
      <c r="FI44">
        <f t="shared" si="41"/>
        <v>8.572148622783415E-3</v>
      </c>
      <c r="FJ44">
        <f t="shared" si="41"/>
        <v>8.229025774231952E-3</v>
      </c>
      <c r="FK44">
        <f t="shared" si="41"/>
        <v>2.0393976336417273E-3</v>
      </c>
      <c r="FL44">
        <f t="shared" si="41"/>
        <v>1.0858290282046408E-3</v>
      </c>
      <c r="FM44">
        <f t="shared" si="41"/>
        <v>1.3378326176496909E-3</v>
      </c>
      <c r="FN44">
        <f t="shared" si="41"/>
        <v>2.78831345317681E-3</v>
      </c>
      <c r="FO44">
        <f t="shared" si="41"/>
        <v>8.8678557244555771E-4</v>
      </c>
      <c r="FP44">
        <f t="shared" si="41"/>
        <v>1.3015745023844101E-3</v>
      </c>
      <c r="FQ44">
        <f t="shared" si="41"/>
        <v>2.6497186435697723E-3</v>
      </c>
      <c r="FR44">
        <f t="shared" si="41"/>
        <v>8.5771667029533824E-4</v>
      </c>
      <c r="FS44">
        <f t="shared" si="41"/>
        <v>2.372027038252055E-4</v>
      </c>
      <c r="FT44">
        <f t="shared" si="41"/>
        <v>1.1166135624154583E-4</v>
      </c>
    </row>
    <row r="45" spans="1:176">
      <c r="A45" s="2" t="s">
        <v>17</v>
      </c>
      <c r="B45" t="s">
        <v>526</v>
      </c>
      <c r="C45">
        <f>C9/$C$27/$D$27*1000</f>
        <v>39.91866478234509</v>
      </c>
      <c r="D45">
        <f t="shared" ref="D45:AI45" si="42">D9/$C$27/$D$27</f>
        <v>0.35160805259420524</v>
      </c>
      <c r="E45">
        <f t="shared" si="42"/>
        <v>30.774675108747733</v>
      </c>
      <c r="F45">
        <f t="shared" si="42"/>
        <v>0.94175501065910061</v>
      </c>
      <c r="G45">
        <f t="shared" si="42"/>
        <v>4.9572338782786316</v>
      </c>
      <c r="H45">
        <f t="shared" si="42"/>
        <v>0.96638221314549178</v>
      </c>
      <c r="I45">
        <f t="shared" si="42"/>
        <v>0.54001784480383208</v>
      </c>
      <c r="J45">
        <f t="shared" si="42"/>
        <v>0.23475779089836324</v>
      </c>
      <c r="K45">
        <f t="shared" si="42"/>
        <v>2.6452693765981858</v>
      </c>
      <c r="L45">
        <f t="shared" si="42"/>
        <v>9.1368671850111452E-3</v>
      </c>
      <c r="M45">
        <f t="shared" si="42"/>
        <v>6.0912807073100553E-2</v>
      </c>
      <c r="N45">
        <f t="shared" si="42"/>
        <v>9.3444416638293018E-2</v>
      </c>
      <c r="O45">
        <f t="shared" si="42"/>
        <v>7.2093824163790288E-2</v>
      </c>
      <c r="P45">
        <f t="shared" si="42"/>
        <v>1.0124548319504487</v>
      </c>
      <c r="Q45">
        <f t="shared" si="42"/>
        <v>6.5673183957433226E-2</v>
      </c>
      <c r="R45">
        <f t="shared" si="42"/>
        <v>0.17568411121399582</v>
      </c>
      <c r="S45">
        <f t="shared" si="42"/>
        <v>3.3710045557027953E-3</v>
      </c>
      <c r="T45">
        <f t="shared" si="42"/>
        <v>0.6803740104007735</v>
      </c>
      <c r="U45">
        <f t="shared" si="42"/>
        <v>0.65926246097611996</v>
      </c>
      <c r="V45">
        <f t="shared" si="42"/>
        <v>9.5060288880496627E-2</v>
      </c>
      <c r="W45">
        <f t="shared" si="42"/>
        <v>0.59207904695873681</v>
      </c>
      <c r="X45">
        <f t="shared" si="42"/>
        <v>0.34156128610351899</v>
      </c>
      <c r="Y45">
        <f t="shared" si="42"/>
        <v>3.5813160244903279E-3</v>
      </c>
      <c r="Z45">
        <f t="shared" si="42"/>
        <v>0.22998075305451979</v>
      </c>
      <c r="AA45">
        <f t="shared" si="42"/>
        <v>3.7916109182668263E-4</v>
      </c>
      <c r="AB45">
        <f t="shared" si="42"/>
        <v>4.0136986981995665E-2</v>
      </c>
      <c r="AC45">
        <f t="shared" si="42"/>
        <v>0.24491391324575651</v>
      </c>
      <c r="AD45">
        <f t="shared" si="42"/>
        <v>2.5199793565540834E-2</v>
      </c>
      <c r="AE45">
        <f t="shared" si="42"/>
        <v>0.20212371178541835</v>
      </c>
      <c r="AF45">
        <f t="shared" si="42"/>
        <v>8.6282229242545701E-3</v>
      </c>
      <c r="AG45">
        <f t="shared" si="42"/>
        <v>6.968178128716712E-3</v>
      </c>
      <c r="AH45">
        <f t="shared" si="42"/>
        <v>2.3870978011850605E-2</v>
      </c>
      <c r="AI45">
        <f t="shared" si="42"/>
        <v>0.22678275458794747</v>
      </c>
      <c r="AJ45">
        <f t="shared" ref="AJ45:BO45" si="43">AJ9/$C$27/$D$27</f>
        <v>0.19521639400757707</v>
      </c>
      <c r="AK45">
        <f t="shared" si="43"/>
        <v>6.311927018323682E-2</v>
      </c>
      <c r="AL45">
        <f t="shared" si="43"/>
        <v>0.14007467497192005</v>
      </c>
      <c r="AM45">
        <f t="shared" si="43"/>
        <v>7.0548755614537703E-2</v>
      </c>
      <c r="AN45">
        <f t="shared" si="43"/>
        <v>0.27425014142085935</v>
      </c>
      <c r="AO45">
        <f t="shared" si="43"/>
        <v>0.27194557896804716</v>
      </c>
      <c r="AP45">
        <f t="shared" si="43"/>
        <v>6.1186386376393771E-3</v>
      </c>
      <c r="AQ45">
        <f t="shared" si="43"/>
        <v>5.5419549527167121E-2</v>
      </c>
      <c r="AR45">
        <f t="shared" si="43"/>
        <v>4.6103139543153893E-3</v>
      </c>
      <c r="AS45">
        <f t="shared" si="43"/>
        <v>3.6014335341928792E-2</v>
      </c>
      <c r="AT45">
        <f t="shared" si="43"/>
        <v>0.15305962695029363</v>
      </c>
      <c r="AU45">
        <f t="shared" si="43"/>
        <v>0.10934837049325689</v>
      </c>
      <c r="AV45">
        <f t="shared" si="43"/>
        <v>0.18268477939647615</v>
      </c>
      <c r="AW45">
        <f t="shared" si="43"/>
        <v>0.1092684423796348</v>
      </c>
      <c r="AX45">
        <f t="shared" si="43"/>
        <v>1.5546672316566602E-2</v>
      </c>
      <c r="AY45">
        <f t="shared" si="43"/>
        <v>7.3824471009783066E-2</v>
      </c>
      <c r="AZ45">
        <f t="shared" si="43"/>
        <v>9.5205366507873403E-3</v>
      </c>
      <c r="BA45">
        <f t="shared" si="43"/>
        <v>3.7779965691460415E-2</v>
      </c>
      <c r="BB45">
        <f t="shared" si="43"/>
        <v>6.6945644660704889E-4</v>
      </c>
      <c r="BC45">
        <f t="shared" si="43"/>
        <v>9.1059582439705258E-2</v>
      </c>
      <c r="BD45">
        <f t="shared" si="43"/>
        <v>6.0952811142411988E-2</v>
      </c>
      <c r="BE45">
        <f t="shared" si="43"/>
        <v>0.10068572350486585</v>
      </c>
      <c r="BF45">
        <f t="shared" si="43"/>
        <v>1.8037006973243421E-2</v>
      </c>
      <c r="BG45">
        <f t="shared" si="43"/>
        <v>6.1873421758227673E-2</v>
      </c>
      <c r="BH45">
        <f t="shared" si="43"/>
        <v>0.11451848936835912</v>
      </c>
      <c r="BI45">
        <f t="shared" si="43"/>
        <v>8.8657040706082643E-3</v>
      </c>
      <c r="BJ45">
        <f t="shared" si="43"/>
        <v>4.2334740709963972E-2</v>
      </c>
      <c r="BK45">
        <f t="shared" si="43"/>
        <v>1.981601019714993E-2</v>
      </c>
      <c r="BL45">
        <f t="shared" si="43"/>
        <v>8.6581547235273268E-2</v>
      </c>
      <c r="BM45">
        <f t="shared" si="43"/>
        <v>7.3684343746228944E-3</v>
      </c>
      <c r="BN45">
        <f t="shared" si="43"/>
        <v>7.6254883462132858E-4</v>
      </c>
      <c r="BO45">
        <f t="shared" si="43"/>
        <v>5.0196695391115861E-3</v>
      </c>
      <c r="BP45">
        <f t="shared" ref="BP45:CU45" si="44">BP9/$C$27/$D$27</f>
        <v>7.3671623419611657E-2</v>
      </c>
      <c r="BQ45">
        <f t="shared" si="44"/>
        <v>1.1607914233144319E-2</v>
      </c>
      <c r="BR45">
        <f t="shared" si="44"/>
        <v>5.5840171852985822E-2</v>
      </c>
      <c r="BS45">
        <f t="shared" si="44"/>
        <v>5.0588012803693232E-3</v>
      </c>
      <c r="BT45">
        <f t="shared" si="44"/>
        <v>7.3099746155018787E-4</v>
      </c>
      <c r="BU45">
        <f t="shared" si="44"/>
        <v>4.1202941401452947E-3</v>
      </c>
      <c r="BV45">
        <f t="shared" si="44"/>
        <v>6.8633887527770443E-2</v>
      </c>
      <c r="BW45">
        <f t="shared" si="44"/>
        <v>1.5388363902334083E-2</v>
      </c>
      <c r="BX45">
        <f t="shared" si="44"/>
        <v>9.2638122702202508E-2</v>
      </c>
      <c r="BY45">
        <f t="shared" si="44"/>
        <v>4.2914910749612963E-2</v>
      </c>
      <c r="BZ45">
        <f t="shared" si="44"/>
        <v>4.5636838637910043E-2</v>
      </c>
      <c r="CA45">
        <f t="shared" si="44"/>
        <v>2.2973272652719722E-4</v>
      </c>
      <c r="CB45">
        <f t="shared" si="44"/>
        <v>9.0996557083011364E-3</v>
      </c>
      <c r="CC45">
        <f t="shared" si="44"/>
        <v>5.8926695238549496E-3</v>
      </c>
      <c r="CD45">
        <f t="shared" si="44"/>
        <v>6.5310349555818218E-3</v>
      </c>
      <c r="CE45">
        <f t="shared" si="44"/>
        <v>5.405661807864974E-2</v>
      </c>
      <c r="CF45">
        <f t="shared" si="44"/>
        <v>1.4067697657086193E-3</v>
      </c>
      <c r="CG45">
        <f t="shared" si="44"/>
        <v>5.9818379431390602E-3</v>
      </c>
      <c r="CH45">
        <f t="shared" si="44"/>
        <v>1.2525546497518043E-2</v>
      </c>
      <c r="CI45">
        <f t="shared" si="44"/>
        <v>6.7922524662114125E-2</v>
      </c>
      <c r="CJ45">
        <f t="shared" si="44"/>
        <v>4.7173448652460953E-2</v>
      </c>
      <c r="CK45">
        <f t="shared" si="44"/>
        <v>8.8358397684205961E-3</v>
      </c>
      <c r="CL45">
        <f t="shared" si="44"/>
        <v>1.8346393181792036E-3</v>
      </c>
      <c r="CM45">
        <f t="shared" si="44"/>
        <v>3.2718378439489182E-3</v>
      </c>
      <c r="CN45">
        <f t="shared" si="44"/>
        <v>5.0556480211405255E-2</v>
      </c>
      <c r="CO45">
        <f t="shared" si="44"/>
        <v>2.466929502110642E-4</v>
      </c>
      <c r="CP45">
        <f t="shared" si="44"/>
        <v>7.4351707681562613E-3</v>
      </c>
      <c r="CQ45">
        <f t="shared" si="44"/>
        <v>1.4541612940268737E-2</v>
      </c>
      <c r="CR45">
        <f t="shared" si="44"/>
        <v>5.5923342663017151E-3</v>
      </c>
      <c r="CS45">
        <f t="shared" si="44"/>
        <v>1.0574052573903509E-2</v>
      </c>
      <c r="CT45">
        <f t="shared" si="44"/>
        <v>4.8670624917310563E-2</v>
      </c>
      <c r="CU45">
        <f t="shared" si="44"/>
        <v>2.6749095145630383E-4</v>
      </c>
      <c r="CV45">
        <f t="shared" ref="CV45:EA45" si="45">CV9/$C$27/$D$27</f>
        <v>1.1670376946266598E-2</v>
      </c>
      <c r="CW45">
        <f t="shared" si="45"/>
        <v>5.9518231056996879E-3</v>
      </c>
      <c r="CX45">
        <f t="shared" si="45"/>
        <v>5.1270126145471146E-4</v>
      </c>
      <c r="CY45">
        <f t="shared" si="45"/>
        <v>4.1998107684385185E-3</v>
      </c>
      <c r="CZ45">
        <f t="shared" si="45"/>
        <v>9.117474340682755E-3</v>
      </c>
      <c r="DA45">
        <f t="shared" si="45"/>
        <v>2.0769079485937876E-2</v>
      </c>
      <c r="DB45">
        <f t="shared" si="45"/>
        <v>3.4958768836609019E-2</v>
      </c>
      <c r="DC45">
        <f t="shared" si="45"/>
        <v>3.1748844672320344E-2</v>
      </c>
      <c r="DD45">
        <f t="shared" si="45"/>
        <v>4.8377620130142032E-2</v>
      </c>
      <c r="DE45">
        <f t="shared" si="45"/>
        <v>6.3371846896154568E-3</v>
      </c>
      <c r="DF45">
        <f t="shared" si="45"/>
        <v>3.4032650336965876E-2</v>
      </c>
      <c r="DG45">
        <f t="shared" si="45"/>
        <v>1.0667471873019235E-2</v>
      </c>
      <c r="DH45">
        <f t="shared" si="45"/>
        <v>1.7511852666508801E-2</v>
      </c>
      <c r="DI45">
        <f t="shared" si="45"/>
        <v>2.977718404247362E-3</v>
      </c>
      <c r="DJ45">
        <f t="shared" si="45"/>
        <v>2.7914042044453085E-4</v>
      </c>
      <c r="DK45">
        <f t="shared" si="45"/>
        <v>1.7274422159524662E-2</v>
      </c>
      <c r="DL45">
        <f t="shared" si="45"/>
        <v>4.8562639372921624E-4</v>
      </c>
      <c r="DM45">
        <f t="shared" si="45"/>
        <v>3.2321457410863044E-3</v>
      </c>
      <c r="DN45">
        <f t="shared" si="45"/>
        <v>2.853604371661567E-2</v>
      </c>
      <c r="DO45">
        <f t="shared" si="45"/>
        <v>2.4943495873000099E-2</v>
      </c>
      <c r="DP45">
        <f t="shared" si="45"/>
        <v>4.2362756272056891E-4</v>
      </c>
      <c r="DQ45">
        <f t="shared" si="45"/>
        <v>5.517018445609929E-4</v>
      </c>
      <c r="DR45">
        <f t="shared" si="45"/>
        <v>3.5545624471341804E-2</v>
      </c>
      <c r="DS45">
        <f t="shared" si="45"/>
        <v>1.9400074314557422E-2</v>
      </c>
      <c r="DT45">
        <f t="shared" si="45"/>
        <v>3.9373581756366981E-2</v>
      </c>
      <c r="DU45">
        <f t="shared" si="45"/>
        <v>3.6564295061628396E-3</v>
      </c>
      <c r="DV45">
        <f t="shared" si="45"/>
        <v>6.7655332877011717E-3</v>
      </c>
      <c r="DW45">
        <f t="shared" si="45"/>
        <v>5.4546461009920494E-3</v>
      </c>
      <c r="DX45">
        <f t="shared" si="45"/>
        <v>3.1827088071129743E-3</v>
      </c>
      <c r="DY45">
        <f t="shared" si="45"/>
        <v>1.1887240335845697E-2</v>
      </c>
      <c r="DZ45">
        <f t="shared" si="45"/>
        <v>4.0151019628631426E-3</v>
      </c>
      <c r="EA45">
        <f t="shared" si="45"/>
        <v>8.9190105826226513E-3</v>
      </c>
      <c r="EB45">
        <f t="shared" ref="EB45:FG45" si="46">EB9/$C$27/$D$27</f>
        <v>2.7331131583913783E-2</v>
      </c>
      <c r="EC45">
        <f t="shared" si="46"/>
        <v>3.5794651421217088E-4</v>
      </c>
      <c r="ED45">
        <f t="shared" si="46"/>
        <v>9.2793504063112266E-4</v>
      </c>
      <c r="EE45">
        <f t="shared" si="46"/>
        <v>1.1802674898665584E-3</v>
      </c>
      <c r="EF45">
        <f t="shared" si="46"/>
        <v>1.8237840827614599E-4</v>
      </c>
      <c r="EG45">
        <f t="shared" si="46"/>
        <v>7.8748251444536819E-3</v>
      </c>
      <c r="EH45">
        <f t="shared" si="46"/>
        <v>4.240937398305231E-3</v>
      </c>
      <c r="EI45">
        <f t="shared" si="46"/>
        <v>3.8543546188166359E-3</v>
      </c>
      <c r="EJ45">
        <f t="shared" si="46"/>
        <v>2.2558079071645721E-3</v>
      </c>
      <c r="EK45">
        <f t="shared" si="46"/>
        <v>1.9771958169109028E-2</v>
      </c>
      <c r="EL45">
        <f t="shared" si="46"/>
        <v>6.4974718558866579E-3</v>
      </c>
      <c r="EM45">
        <f t="shared" si="46"/>
        <v>2.0391762718825941E-4</v>
      </c>
      <c r="EN45">
        <f t="shared" si="46"/>
        <v>1.6998393286724037E-2</v>
      </c>
      <c r="EO45">
        <f t="shared" si="46"/>
        <v>7.1739835740690264E-4</v>
      </c>
      <c r="EP45">
        <f t="shared" si="46"/>
        <v>1.7724971359115545E-2</v>
      </c>
      <c r="EQ45">
        <f t="shared" si="46"/>
        <v>7.627764404311687E-3</v>
      </c>
      <c r="ER45">
        <f t="shared" si="46"/>
        <v>6.8004532243941165E-4</v>
      </c>
      <c r="ES45">
        <f t="shared" si="46"/>
        <v>1.9839770595615658E-3</v>
      </c>
      <c r="ET45">
        <f t="shared" si="46"/>
        <v>2.6697964511245321E-3</v>
      </c>
      <c r="EU45">
        <f t="shared" si="46"/>
        <v>2.928084271475328E-3</v>
      </c>
      <c r="EV45">
        <f t="shared" si="46"/>
        <v>9.499100390849731E-3</v>
      </c>
      <c r="EW45">
        <f t="shared" si="46"/>
        <v>6.4377956721078098E-4</v>
      </c>
      <c r="EX45">
        <f t="shared" si="46"/>
        <v>4.2359091860624961E-4</v>
      </c>
      <c r="EY45">
        <f t="shared" si="46"/>
        <v>1.7495446903060028E-4</v>
      </c>
      <c r="EZ45">
        <f t="shared" si="46"/>
        <v>3.4388680214278771E-3</v>
      </c>
      <c r="FA45">
        <f t="shared" si="46"/>
        <v>2.2175261442362584E-3</v>
      </c>
      <c r="FB45">
        <f t="shared" si="46"/>
        <v>1.8492060512671445E-4</v>
      </c>
      <c r="FC45">
        <f t="shared" si="46"/>
        <v>3.9862292684262853E-4</v>
      </c>
      <c r="FD45">
        <f t="shared" si="46"/>
        <v>9.3923417709081761E-3</v>
      </c>
      <c r="FE45">
        <f t="shared" si="46"/>
        <v>2.5561972951023198E-3</v>
      </c>
      <c r="FF45">
        <f t="shared" si="46"/>
        <v>2.1805833229589606E-3</v>
      </c>
      <c r="FG45">
        <f t="shared" si="46"/>
        <v>4.0007448508425246E-3</v>
      </c>
      <c r="FH45">
        <f t="shared" ref="FH45:FT45" si="47">FH9/$C$27/$D$27</f>
        <v>1.4453690458262718E-3</v>
      </c>
      <c r="FI45">
        <f t="shared" si="47"/>
        <v>1.8025874677208376E-3</v>
      </c>
      <c r="FJ45">
        <f t="shared" si="47"/>
        <v>1.2268799522835463E-4</v>
      </c>
      <c r="FK45">
        <f t="shared" si="47"/>
        <v>6.4795976376638015E-4</v>
      </c>
      <c r="FL45">
        <f t="shared" si="47"/>
        <v>5.6330443960312575E-3</v>
      </c>
      <c r="FM45">
        <f t="shared" si="47"/>
        <v>5.4490243568422964E-3</v>
      </c>
      <c r="FN45">
        <f t="shared" si="47"/>
        <v>2.1238848311561326E-3</v>
      </c>
      <c r="FO45">
        <f t="shared" si="47"/>
        <v>1.8178168977704041E-3</v>
      </c>
      <c r="FP45">
        <f t="shared" si="47"/>
        <v>3.9335973444182895E-3</v>
      </c>
      <c r="FQ45">
        <f t="shared" si="47"/>
        <v>3.2926921810448942E-3</v>
      </c>
      <c r="FR45">
        <f t="shared" si="47"/>
        <v>5.1279236488529416E-4</v>
      </c>
      <c r="FS45">
        <f t="shared" si="47"/>
        <v>1.0998923756718425E-3</v>
      </c>
      <c r="FT45">
        <f t="shared" si="47"/>
        <v>9.1064127463230936E-5</v>
      </c>
    </row>
    <row r="46" spans="1:176">
      <c r="A46" s="2" t="s">
        <v>18</v>
      </c>
      <c r="B46" t="s">
        <v>526</v>
      </c>
      <c r="C46">
        <f>C10/$C$28/$D$28*1000</f>
        <v>48.751189713871355</v>
      </c>
      <c r="D46">
        <f t="shared" ref="D46:AI46" si="48">D10/$C$28/$D$28</f>
        <v>0.48163967942282132</v>
      </c>
      <c r="E46">
        <f t="shared" si="48"/>
        <v>40.612876299807183</v>
      </c>
      <c r="F46">
        <f t="shared" si="48"/>
        <v>5.3930973353285925</v>
      </c>
      <c r="G46">
        <f t="shared" si="48"/>
        <v>7.7646900671508616</v>
      </c>
      <c r="H46">
        <f t="shared" si="48"/>
        <v>2.9880375605460006</v>
      </c>
      <c r="I46">
        <f t="shared" si="48"/>
        <v>2.7466745757563205</v>
      </c>
      <c r="J46">
        <f t="shared" si="48"/>
        <v>0.69953504924288212</v>
      </c>
      <c r="K46">
        <f t="shared" si="48"/>
        <v>2.8360748723766305</v>
      </c>
      <c r="L46">
        <f t="shared" si="48"/>
        <v>9.3605069140166256E-3</v>
      </c>
      <c r="M46">
        <f t="shared" si="48"/>
        <v>0.35909530943119056</v>
      </c>
      <c r="N46">
        <f t="shared" si="48"/>
        <v>7.9051899994998093E-2</v>
      </c>
      <c r="O46">
        <f t="shared" si="48"/>
        <v>0.11351744702334142</v>
      </c>
      <c r="P46">
        <f t="shared" si="48"/>
        <v>1.1579757948195268</v>
      </c>
      <c r="Q46">
        <f t="shared" si="48"/>
        <v>0.71872285497428701</v>
      </c>
      <c r="R46">
        <f t="shared" si="48"/>
        <v>0.18196475977254462</v>
      </c>
      <c r="S46">
        <f t="shared" si="48"/>
        <v>0.17663317128889255</v>
      </c>
      <c r="T46">
        <f t="shared" si="48"/>
        <v>0.45143799609846114</v>
      </c>
      <c r="U46">
        <f t="shared" si="48"/>
        <v>8.4651397674292028E-2</v>
      </c>
      <c r="V46">
        <f t="shared" si="48"/>
        <v>0.69833531426729134</v>
      </c>
      <c r="W46">
        <f t="shared" si="48"/>
        <v>0.71717217130656286</v>
      </c>
      <c r="X46">
        <f t="shared" si="48"/>
        <v>0.71331915345801589</v>
      </c>
      <c r="Y46">
        <f t="shared" si="48"/>
        <v>0.15253817266030947</v>
      </c>
      <c r="Z46">
        <f t="shared" si="48"/>
        <v>0.50379117985613231</v>
      </c>
      <c r="AA46">
        <f t="shared" si="48"/>
        <v>0.23862350991887904</v>
      </c>
      <c r="AB46">
        <f t="shared" si="48"/>
        <v>0.31776194287816123</v>
      </c>
      <c r="AC46">
        <f t="shared" si="48"/>
        <v>0.50529001150777142</v>
      </c>
      <c r="AD46">
        <f t="shared" si="48"/>
        <v>0.13960341872204302</v>
      </c>
      <c r="AE46">
        <f t="shared" si="48"/>
        <v>0.39833390324515966</v>
      </c>
      <c r="AF46">
        <f t="shared" si="48"/>
        <v>1.7394454198707887E-2</v>
      </c>
      <c r="AG46">
        <f t="shared" si="48"/>
        <v>2.720346033161479E-2</v>
      </c>
      <c r="AH46">
        <f t="shared" si="48"/>
        <v>5.5552949047710527E-2</v>
      </c>
      <c r="AI46">
        <f t="shared" si="48"/>
        <v>0.33283672322218949</v>
      </c>
      <c r="AJ46">
        <f t="shared" ref="AJ46:BO46" si="49">AJ10/$C$28/$D$28</f>
        <v>0.36753450106710644</v>
      </c>
      <c r="AK46">
        <f t="shared" si="49"/>
        <v>0.26487775657478158</v>
      </c>
      <c r="AL46">
        <f t="shared" si="49"/>
        <v>9.6135493893786117E-2</v>
      </c>
      <c r="AM46">
        <f t="shared" si="49"/>
        <v>0.11698860617003104</v>
      </c>
      <c r="AN46">
        <f t="shared" si="49"/>
        <v>0.16604590493997534</v>
      </c>
      <c r="AO46">
        <f t="shared" si="49"/>
        <v>0.21871181313854146</v>
      </c>
      <c r="AP46">
        <f t="shared" si="49"/>
        <v>4.3154906590842389E-2</v>
      </c>
      <c r="AQ46">
        <f t="shared" si="49"/>
        <v>6.1381930644349394E-2</v>
      </c>
      <c r="AR46">
        <f t="shared" si="49"/>
        <v>6.9887385915016004E-2</v>
      </c>
      <c r="AS46">
        <f t="shared" si="49"/>
        <v>0.15391722824341</v>
      </c>
      <c r="AT46">
        <f t="shared" si="49"/>
        <v>0.1237952831031137</v>
      </c>
      <c r="AU46">
        <f t="shared" si="49"/>
        <v>0.19615137286167203</v>
      </c>
      <c r="AV46">
        <f t="shared" si="49"/>
        <v>0.2200628787436085</v>
      </c>
      <c r="AW46">
        <f t="shared" si="49"/>
        <v>0.26984368218845955</v>
      </c>
      <c r="AX46">
        <f t="shared" si="49"/>
        <v>0.13038035005617143</v>
      </c>
      <c r="AY46">
        <f t="shared" si="49"/>
        <v>7.7323513764784094E-2</v>
      </c>
      <c r="AZ46">
        <f t="shared" si="49"/>
        <v>1.6647665158448611E-2</v>
      </c>
      <c r="BA46">
        <f t="shared" si="49"/>
        <v>6.2634273545889907E-2</v>
      </c>
      <c r="BB46">
        <f t="shared" si="49"/>
        <v>0.11220998692209018</v>
      </c>
      <c r="BC46">
        <f t="shared" si="49"/>
        <v>0.16725101861873051</v>
      </c>
      <c r="BD46">
        <f t="shared" si="49"/>
        <v>0.18502527195387738</v>
      </c>
      <c r="BE46">
        <f t="shared" si="49"/>
        <v>0.14481982108043648</v>
      </c>
      <c r="BF46">
        <f t="shared" si="49"/>
        <v>3.6102710559456012E-2</v>
      </c>
      <c r="BG46">
        <f t="shared" si="49"/>
        <v>5.4823843490712905E-2</v>
      </c>
      <c r="BH46">
        <f t="shared" si="49"/>
        <v>0.10526295826612349</v>
      </c>
      <c r="BI46">
        <f t="shared" si="49"/>
        <v>6.3771526003835052E-2</v>
      </c>
      <c r="BJ46">
        <f t="shared" si="49"/>
        <v>0.10644122690775183</v>
      </c>
      <c r="BK46">
        <f t="shared" si="49"/>
        <v>3.8177108720916751E-2</v>
      </c>
      <c r="BL46">
        <f t="shared" si="49"/>
        <v>0.11942112024431133</v>
      </c>
      <c r="BM46">
        <f t="shared" si="49"/>
        <v>2.6405734254662097E-2</v>
      </c>
      <c r="BN46">
        <f t="shared" si="49"/>
        <v>1.480249446670812E-3</v>
      </c>
      <c r="BO46">
        <f t="shared" si="49"/>
        <v>9.4608711871152024E-2</v>
      </c>
      <c r="BP46">
        <f t="shared" ref="BP46:CU46" si="50">BP10/$C$28/$D$28</f>
        <v>0.12260951927959801</v>
      </c>
      <c r="BQ46">
        <f t="shared" si="50"/>
        <v>1.7253115254053212E-2</v>
      </c>
      <c r="BR46">
        <f t="shared" si="50"/>
        <v>6.7350879086533227E-2</v>
      </c>
      <c r="BS46">
        <f t="shared" si="50"/>
        <v>4.7718400607714168E-3</v>
      </c>
      <c r="BT46">
        <f t="shared" si="50"/>
        <v>1.7784862292947266E-2</v>
      </c>
      <c r="BU46">
        <f t="shared" si="50"/>
        <v>0.13601397636464466</v>
      </c>
      <c r="BV46">
        <f t="shared" si="50"/>
        <v>8.7269286762396481E-2</v>
      </c>
      <c r="BW46">
        <f t="shared" si="50"/>
        <v>3.0754290952498948E-2</v>
      </c>
      <c r="BX46">
        <f t="shared" si="50"/>
        <v>4.2948250686436505E-2</v>
      </c>
      <c r="BY46">
        <f t="shared" si="50"/>
        <v>7.4829010146727507E-2</v>
      </c>
      <c r="BZ46">
        <f t="shared" si="50"/>
        <v>7.7142392470537308E-2</v>
      </c>
      <c r="CA46">
        <f t="shared" si="50"/>
        <v>6.5428192898430728E-4</v>
      </c>
      <c r="CB46">
        <f t="shared" si="50"/>
        <v>2.2222478652372746E-2</v>
      </c>
      <c r="CC46">
        <f t="shared" si="50"/>
        <v>6.6264528442217779E-2</v>
      </c>
      <c r="CD46">
        <f t="shared" si="50"/>
        <v>1.1014725732163874E-2</v>
      </c>
      <c r="CE46">
        <f t="shared" si="50"/>
        <v>7.5893548918564868E-2</v>
      </c>
      <c r="CF46">
        <f t="shared" si="50"/>
        <v>1.3403446725433046E-2</v>
      </c>
      <c r="CG46">
        <f t="shared" si="50"/>
        <v>2.363721465699116E-2</v>
      </c>
      <c r="CH46">
        <f t="shared" si="50"/>
        <v>3.6395320316892327E-2</v>
      </c>
      <c r="CI46">
        <f t="shared" si="50"/>
        <v>3.4564672940711106E-4</v>
      </c>
      <c r="CJ46">
        <f t="shared" si="50"/>
        <v>8.3735592148508231E-2</v>
      </c>
      <c r="CK46">
        <f t="shared" si="50"/>
        <v>1.9469543147720113E-2</v>
      </c>
      <c r="CL46">
        <f t="shared" si="50"/>
        <v>7.6217751856007279E-2</v>
      </c>
      <c r="CM46">
        <f t="shared" si="50"/>
        <v>9.1136317703260066E-3</v>
      </c>
      <c r="CN46">
        <f t="shared" si="50"/>
        <v>6.1218334725724848E-2</v>
      </c>
      <c r="CO46">
        <f t="shared" si="50"/>
        <v>9.1364281822537818E-3</v>
      </c>
      <c r="CP46">
        <f t="shared" si="50"/>
        <v>8.9964845704745063E-4</v>
      </c>
      <c r="CQ46">
        <f t="shared" si="50"/>
        <v>9.1386900630360951E-3</v>
      </c>
      <c r="CR46">
        <f t="shared" si="50"/>
        <v>3.2629992238571465E-2</v>
      </c>
      <c r="CS46">
        <f t="shared" si="50"/>
        <v>3.7363689628395508E-2</v>
      </c>
      <c r="CT46">
        <f t="shared" si="50"/>
        <v>7.256571381040422E-2</v>
      </c>
      <c r="CU46">
        <f t="shared" si="50"/>
        <v>1.7795284172151243E-3</v>
      </c>
      <c r="CV46">
        <f t="shared" ref="CV46:EA46" si="51">CV10/$C$28/$D$28</f>
        <v>2.4273490970266959E-2</v>
      </c>
      <c r="CW46">
        <f t="shared" si="51"/>
        <v>1.3380053994439589E-2</v>
      </c>
      <c r="CX46">
        <f t="shared" si="51"/>
        <v>2.6326376890065183E-2</v>
      </c>
      <c r="CY46">
        <f t="shared" si="51"/>
        <v>5.7537856647584817E-2</v>
      </c>
      <c r="CZ46">
        <f t="shared" si="51"/>
        <v>2.7093841095931874E-2</v>
      </c>
      <c r="DA46">
        <f t="shared" si="51"/>
        <v>2.0697788516803817E-2</v>
      </c>
      <c r="DB46">
        <f t="shared" si="51"/>
        <v>6.301462997252967E-2</v>
      </c>
      <c r="DC46">
        <f t="shared" si="51"/>
        <v>4.7630483899411505E-2</v>
      </c>
      <c r="DD46">
        <f t="shared" si="51"/>
        <v>2.3393841590671097E-3</v>
      </c>
      <c r="DE46">
        <f t="shared" si="51"/>
        <v>3.3663555953746184E-2</v>
      </c>
      <c r="DF46">
        <f t="shared" si="51"/>
        <v>3.3272359886498674E-2</v>
      </c>
      <c r="DG46">
        <f t="shared" si="51"/>
        <v>1.7475641667080034E-2</v>
      </c>
      <c r="DH46">
        <f t="shared" si="51"/>
        <v>1.5949834030186249E-2</v>
      </c>
      <c r="DI46">
        <f t="shared" si="51"/>
        <v>1.2104065462462305E-2</v>
      </c>
      <c r="DJ46">
        <f t="shared" si="51"/>
        <v>2.4760384765316838E-3</v>
      </c>
      <c r="DK46">
        <f t="shared" si="51"/>
        <v>1.7051159587389335E-2</v>
      </c>
      <c r="DL46">
        <f t="shared" si="51"/>
        <v>1.052623068012867E-3</v>
      </c>
      <c r="DM46">
        <f t="shared" si="51"/>
        <v>2.1585996712004236E-2</v>
      </c>
      <c r="DN46">
        <f t="shared" si="51"/>
        <v>2.2185272275816105E-2</v>
      </c>
      <c r="DO46">
        <f t="shared" si="51"/>
        <v>2.6741780493763533E-2</v>
      </c>
      <c r="DP46">
        <f t="shared" si="51"/>
        <v>1.4008301271749297E-2</v>
      </c>
      <c r="DQ46">
        <f t="shared" si="51"/>
        <v>4.4866752475965091E-3</v>
      </c>
      <c r="DR46">
        <f t="shared" si="51"/>
        <v>2.1183983114861967E-2</v>
      </c>
      <c r="DS46">
        <f t="shared" si="51"/>
        <v>2.7382505563575871E-2</v>
      </c>
      <c r="DT46">
        <f t="shared" si="51"/>
        <v>7.9768095600723891E-4</v>
      </c>
      <c r="DU46">
        <f t="shared" si="51"/>
        <v>2.0611692868196523E-2</v>
      </c>
      <c r="DV46">
        <f t="shared" si="51"/>
        <v>1.5551530688576011E-2</v>
      </c>
      <c r="DW46">
        <f t="shared" si="51"/>
        <v>1.6555239774396296E-3</v>
      </c>
      <c r="DX46">
        <f t="shared" si="51"/>
        <v>1.8031935940556042E-2</v>
      </c>
      <c r="DY46">
        <f t="shared" si="51"/>
        <v>2.0648912414592643E-2</v>
      </c>
      <c r="DZ46">
        <f t="shared" si="51"/>
        <v>8.5118302514876672E-3</v>
      </c>
      <c r="EA46">
        <f t="shared" si="51"/>
        <v>1.2476362121645117E-2</v>
      </c>
      <c r="EB46">
        <f t="shared" ref="EB46:FG46" si="52">EB10/$C$28/$D$28</f>
        <v>3.3197113612234153E-2</v>
      </c>
      <c r="EC46">
        <f t="shared" si="52"/>
        <v>3.4759197929681261E-3</v>
      </c>
      <c r="ED46">
        <f t="shared" si="52"/>
        <v>4.3240983708271253E-3</v>
      </c>
      <c r="EE46">
        <f t="shared" si="52"/>
        <v>1.8019183160671429E-2</v>
      </c>
      <c r="EF46">
        <f t="shared" si="52"/>
        <v>3.2633807582538912E-4</v>
      </c>
      <c r="EG46">
        <f t="shared" si="52"/>
        <v>1.0496292448640449E-2</v>
      </c>
      <c r="EH46">
        <f t="shared" si="52"/>
        <v>3.3645834484381612E-3</v>
      </c>
      <c r="EI46">
        <f t="shared" si="52"/>
        <v>1.215459583904514E-2</v>
      </c>
      <c r="EJ46">
        <f t="shared" si="52"/>
        <v>9.5671578563409042E-3</v>
      </c>
      <c r="EK46">
        <f t="shared" si="52"/>
        <v>2.3602211462883792E-2</v>
      </c>
      <c r="EL46">
        <f t="shared" si="52"/>
        <v>6.8707386695419665E-3</v>
      </c>
      <c r="EM46">
        <f t="shared" si="52"/>
        <v>1.8880529294561669E-3</v>
      </c>
      <c r="EN46">
        <f t="shared" si="52"/>
        <v>8.7743837970336597E-3</v>
      </c>
      <c r="EO46">
        <f t="shared" si="52"/>
        <v>3.5537555684654037E-3</v>
      </c>
      <c r="EP46">
        <f t="shared" si="52"/>
        <v>1.4831062999708256E-3</v>
      </c>
      <c r="EQ46">
        <f t="shared" si="52"/>
        <v>1.5989052622452066E-2</v>
      </c>
      <c r="ER46">
        <f t="shared" si="52"/>
        <v>3.7619990291624132E-3</v>
      </c>
      <c r="ES46">
        <f t="shared" si="52"/>
        <v>6.8422404914677461E-3</v>
      </c>
      <c r="ET46">
        <f t="shared" si="52"/>
        <v>5.7927635297790958E-3</v>
      </c>
      <c r="EU46">
        <f t="shared" si="52"/>
        <v>7.7528585961288369E-3</v>
      </c>
      <c r="EV46">
        <f t="shared" si="52"/>
        <v>6.2444342288193498E-3</v>
      </c>
      <c r="EW46">
        <f t="shared" si="52"/>
        <v>3.8289536152550394E-4</v>
      </c>
      <c r="EX46">
        <f t="shared" si="52"/>
        <v>7.5895024879491565E-3</v>
      </c>
      <c r="EY46">
        <f t="shared" si="52"/>
        <v>8.1999747962493161E-4</v>
      </c>
      <c r="EZ46">
        <f t="shared" si="52"/>
        <v>4.9113966865316026E-3</v>
      </c>
      <c r="FA46">
        <f t="shared" si="52"/>
        <v>1.586581769010792E-3</v>
      </c>
      <c r="FB46">
        <f t="shared" si="52"/>
        <v>2.7376906130521521E-3</v>
      </c>
      <c r="FC46">
        <f t="shared" si="52"/>
        <v>6.1698021925216204E-3</v>
      </c>
      <c r="FD46">
        <f t="shared" si="52"/>
        <v>3.3398516390823987E-4</v>
      </c>
      <c r="FE46">
        <f t="shared" si="52"/>
        <v>4.3070514540969607E-3</v>
      </c>
      <c r="FF46">
        <f t="shared" si="52"/>
        <v>2.4645554817878728E-3</v>
      </c>
      <c r="FG46">
        <f t="shared" si="52"/>
        <v>1.9529897494404834E-3</v>
      </c>
      <c r="FH46">
        <f t="shared" ref="FH46:FT46" si="53">FH10/$C$28/$D$28</f>
        <v>1.2895944789727077E-3</v>
      </c>
      <c r="FI46">
        <f t="shared" si="53"/>
        <v>7.6527512108622081E-3</v>
      </c>
      <c r="FJ46">
        <f t="shared" si="53"/>
        <v>3.5367017418322742E-3</v>
      </c>
      <c r="FK46">
        <f t="shared" si="53"/>
        <v>3.9828692958030053E-3</v>
      </c>
      <c r="FL46">
        <f t="shared" si="53"/>
        <v>1.2143344637989811E-3</v>
      </c>
      <c r="FM46">
        <f t="shared" si="53"/>
        <v>1.4162314497361936E-3</v>
      </c>
      <c r="FN46">
        <f t="shared" si="53"/>
        <v>3.3422829128825229E-3</v>
      </c>
      <c r="FO46">
        <f t="shared" si="53"/>
        <v>1.2344047672051251E-3</v>
      </c>
      <c r="FP46">
        <f t="shared" si="53"/>
        <v>1.036689324791366E-3</v>
      </c>
      <c r="FQ46">
        <f t="shared" si="53"/>
        <v>7.0672524246038961E-4</v>
      </c>
      <c r="FR46">
        <f t="shared" si="53"/>
        <v>6.8611699780251104E-4</v>
      </c>
      <c r="FS46">
        <f t="shared" si="53"/>
        <v>1.0688993693980031E-4</v>
      </c>
      <c r="FT46">
        <f t="shared" si="53"/>
        <v>9.8748696653908305E-5</v>
      </c>
    </row>
    <row r="47" spans="1:176">
      <c r="A47" s="2" t="s">
        <v>19</v>
      </c>
      <c r="B47" t="s">
        <v>527</v>
      </c>
      <c r="C47">
        <f>C11/$C$29/$D$29*1000</f>
        <v>24.343441667230927</v>
      </c>
      <c r="D47">
        <f t="shared" ref="D47:AI47" si="54">D11/$C$29/$D$29</f>
        <v>0.57310279638940187</v>
      </c>
      <c r="E47">
        <f t="shared" si="54"/>
        <v>50.803091615858392</v>
      </c>
      <c r="F47">
        <f t="shared" si="54"/>
        <v>13.470957820329524</v>
      </c>
      <c r="G47">
        <f t="shared" si="54"/>
        <v>4.5068443110252021</v>
      </c>
      <c r="H47">
        <f t="shared" si="54"/>
        <v>10.644536282531957</v>
      </c>
      <c r="I47">
        <f t="shared" si="54"/>
        <v>4.9767537335394811</v>
      </c>
      <c r="J47">
        <f t="shared" si="54"/>
        <v>1.5113151063140429</v>
      </c>
      <c r="K47">
        <f t="shared" si="54"/>
        <v>1.5701051970482023</v>
      </c>
      <c r="L47">
        <f t="shared" si="54"/>
        <v>2.4778251056004032E-2</v>
      </c>
      <c r="M47">
        <f t="shared" si="54"/>
        <v>1.5793472270403328</v>
      </c>
      <c r="N47">
        <f t="shared" si="54"/>
        <v>0.46984849694525244</v>
      </c>
      <c r="O47">
        <f t="shared" si="54"/>
        <v>0.39287876697122992</v>
      </c>
      <c r="P47">
        <f t="shared" si="54"/>
        <v>1.8997620365596836E-3</v>
      </c>
      <c r="Q47">
        <f t="shared" si="54"/>
        <v>0.86655920662722397</v>
      </c>
      <c r="R47">
        <f t="shared" si="54"/>
        <v>0.86702143861565439</v>
      </c>
      <c r="S47">
        <f t="shared" si="54"/>
        <v>0.12324614897695095</v>
      </c>
      <c r="T47">
        <f t="shared" si="54"/>
        <v>0.24356187407097044</v>
      </c>
      <c r="U47">
        <f t="shared" si="54"/>
        <v>0.24541655235609602</v>
      </c>
      <c r="V47">
        <f t="shared" si="54"/>
        <v>0.4109134315858069</v>
      </c>
      <c r="W47">
        <f t="shared" si="54"/>
        <v>0.56283688760521933</v>
      </c>
      <c r="X47">
        <f t="shared" si="54"/>
        <v>0.3903757234014118</v>
      </c>
      <c r="Y47">
        <f t="shared" si="54"/>
        <v>0.84418842106654435</v>
      </c>
      <c r="Z47">
        <f t="shared" si="54"/>
        <v>0.20984353981140608</v>
      </c>
      <c r="AA47">
        <f t="shared" si="54"/>
        <v>0.57459035850773965</v>
      </c>
      <c r="AB47">
        <f t="shared" si="54"/>
        <v>0.21956546312159866</v>
      </c>
      <c r="AC47">
        <f t="shared" si="54"/>
        <v>0.39940362180236239</v>
      </c>
      <c r="AD47">
        <f t="shared" si="54"/>
        <v>1.7237310704617858E-3</v>
      </c>
      <c r="AE47">
        <f t="shared" si="54"/>
        <v>0.24998294576165114</v>
      </c>
      <c r="AF47">
        <f t="shared" si="54"/>
        <v>1.6488051703250985E-2</v>
      </c>
      <c r="AG47">
        <f t="shared" si="54"/>
        <v>0.58539603576356236</v>
      </c>
      <c r="AH47">
        <f t="shared" si="54"/>
        <v>7.4212297352950138E-2</v>
      </c>
      <c r="AI47">
        <f t="shared" si="54"/>
        <v>0.32471985453579605</v>
      </c>
      <c r="AJ47">
        <f t="shared" ref="AJ47:BO47" si="55">AJ11/$C$29/$D$29</f>
        <v>0.3315120723051822</v>
      </c>
      <c r="AK47">
        <f t="shared" si="55"/>
        <v>0.27193511311475566</v>
      </c>
      <c r="AL47">
        <f t="shared" si="55"/>
        <v>4.1146317480989271E-3</v>
      </c>
      <c r="AM47">
        <f t="shared" si="55"/>
        <v>0.11048411755252274</v>
      </c>
      <c r="AN47">
        <f t="shared" si="55"/>
        <v>8.1531261609133591E-3</v>
      </c>
      <c r="AO47">
        <f t="shared" si="55"/>
        <v>0.37966388723208244</v>
      </c>
      <c r="AP47">
        <f t="shared" si="55"/>
        <v>0.16429759697482002</v>
      </c>
      <c r="AQ47">
        <f t="shared" si="55"/>
        <v>2.3627999537250068E-2</v>
      </c>
      <c r="AR47">
        <f t="shared" si="55"/>
        <v>0.16984062287231705</v>
      </c>
      <c r="AS47">
        <f t="shared" si="55"/>
        <v>0.23551240883810509</v>
      </c>
      <c r="AT47">
        <f t="shared" si="55"/>
        <v>0.24859058878973339</v>
      </c>
      <c r="AU47">
        <f t="shared" si="55"/>
        <v>8.880948811600399E-2</v>
      </c>
      <c r="AV47">
        <f t="shared" si="55"/>
        <v>0.18155723147296621</v>
      </c>
      <c r="AW47">
        <f t="shared" si="55"/>
        <v>0.16385788282015834</v>
      </c>
      <c r="AX47">
        <f t="shared" si="55"/>
        <v>2.230973190497068E-3</v>
      </c>
      <c r="AY47">
        <f t="shared" si="55"/>
        <v>5.7559409343301747E-2</v>
      </c>
      <c r="AZ47">
        <f t="shared" si="55"/>
        <v>0.17240260306419214</v>
      </c>
      <c r="BA47">
        <f t="shared" si="55"/>
        <v>7.8357713685335187E-2</v>
      </c>
      <c r="BB47">
        <f t="shared" si="55"/>
        <v>0.30361289886314302</v>
      </c>
      <c r="BC47">
        <f t="shared" si="55"/>
        <v>0.23163101542339373</v>
      </c>
      <c r="BD47">
        <f t="shared" si="55"/>
        <v>0.27628102747842903</v>
      </c>
      <c r="BE47">
        <f t="shared" si="55"/>
        <v>0.15444418851339733</v>
      </c>
      <c r="BF47">
        <f t="shared" si="55"/>
        <v>9.6308537158940777E-2</v>
      </c>
      <c r="BG47">
        <f t="shared" si="55"/>
        <v>0.12814875660416064</v>
      </c>
      <c r="BH47">
        <f t="shared" si="55"/>
        <v>1.0350770917848698E-3</v>
      </c>
      <c r="BI47">
        <f t="shared" si="55"/>
        <v>0.15581394948742319</v>
      </c>
      <c r="BJ47">
        <f t="shared" si="55"/>
        <v>0.19825040288212406</v>
      </c>
      <c r="BK47">
        <f t="shared" si="55"/>
        <v>0.18347586980800168</v>
      </c>
      <c r="BL47">
        <f t="shared" si="55"/>
        <v>0.10806418394451003</v>
      </c>
      <c r="BM47">
        <f t="shared" si="55"/>
        <v>0.2270312225674882</v>
      </c>
      <c r="BN47">
        <f t="shared" si="55"/>
        <v>8.6516635452374717E-4</v>
      </c>
      <c r="BO47">
        <f t="shared" si="55"/>
        <v>6.3806447524901791E-2</v>
      </c>
      <c r="BP47">
        <f t="shared" ref="BP47:CU47" si="56">BP11/$C$29/$D$29</f>
        <v>0.20848502703936297</v>
      </c>
      <c r="BQ47">
        <f t="shared" si="56"/>
        <v>1.7805291109355071E-2</v>
      </c>
      <c r="BR47">
        <f t="shared" si="56"/>
        <v>9.1187410223033463E-2</v>
      </c>
      <c r="BS47">
        <f t="shared" si="56"/>
        <v>4.368038579011327E-3</v>
      </c>
      <c r="BT47">
        <f t="shared" si="56"/>
        <v>4.2361810628019102E-2</v>
      </c>
      <c r="BU47">
        <f t="shared" si="56"/>
        <v>1.2501553650587451E-2</v>
      </c>
      <c r="BV47">
        <f t="shared" si="56"/>
        <v>6.4430544046844493E-2</v>
      </c>
      <c r="BW47">
        <f t="shared" si="56"/>
        <v>8.634408976909886E-3</v>
      </c>
      <c r="BX47">
        <f t="shared" si="56"/>
        <v>5.5258660672097941E-2</v>
      </c>
      <c r="BY47">
        <f t="shared" si="56"/>
        <v>8.7003403522818684E-2</v>
      </c>
      <c r="BZ47">
        <f t="shared" si="56"/>
        <v>5.6473549113746128E-2</v>
      </c>
      <c r="CA47">
        <f t="shared" si="56"/>
        <v>3.4684073400064505E-4</v>
      </c>
      <c r="CB47">
        <f t="shared" si="56"/>
        <v>7.8982034640537838E-2</v>
      </c>
      <c r="CC47">
        <f t="shared" si="56"/>
        <v>2.3006019804714794E-2</v>
      </c>
      <c r="CD47">
        <f t="shared" si="56"/>
        <v>8.6049923086346458E-2</v>
      </c>
      <c r="CE47">
        <f t="shared" si="56"/>
        <v>4.5452859369293906E-2</v>
      </c>
      <c r="CF47">
        <f t="shared" si="56"/>
        <v>9.3092936085579885E-3</v>
      </c>
      <c r="CG47">
        <f t="shared" si="56"/>
        <v>0.11134606410237756</v>
      </c>
      <c r="CH47">
        <f t="shared" si="56"/>
        <v>3.2985033724270763E-4</v>
      </c>
      <c r="CI47">
        <f t="shared" si="56"/>
        <v>3.9825454528067046E-5</v>
      </c>
      <c r="CJ47">
        <f t="shared" si="56"/>
        <v>8.3302943067547153E-2</v>
      </c>
      <c r="CK47">
        <f t="shared" si="56"/>
        <v>7.5082928910765345E-2</v>
      </c>
      <c r="CL47">
        <f t="shared" si="56"/>
        <v>6.0829947150027493E-3</v>
      </c>
      <c r="CM47">
        <f t="shared" si="56"/>
        <v>9.3352311202118191E-2</v>
      </c>
      <c r="CN47">
        <f t="shared" si="56"/>
        <v>6.0445877243246744E-2</v>
      </c>
      <c r="CO47">
        <f t="shared" si="56"/>
        <v>8.5469442663564058E-2</v>
      </c>
      <c r="CP47">
        <f t="shared" si="56"/>
        <v>4.7670793711226768E-2</v>
      </c>
      <c r="CQ47">
        <f t="shared" si="56"/>
        <v>1.0324657953061152E-2</v>
      </c>
      <c r="CR47">
        <f t="shared" si="56"/>
        <v>3.0507196437163084E-2</v>
      </c>
      <c r="CS47">
        <f t="shared" si="56"/>
        <v>8.310956109975555E-2</v>
      </c>
      <c r="CT47">
        <f t="shared" si="56"/>
        <v>5.3294511857093038E-2</v>
      </c>
      <c r="CU47">
        <f t="shared" si="56"/>
        <v>2.5164603509934734E-2</v>
      </c>
      <c r="CV47">
        <f t="shared" ref="CV47:EA47" si="57">CV11/$C$29/$D$29</f>
        <v>5.2323014898134013E-2</v>
      </c>
      <c r="CW47">
        <f t="shared" si="57"/>
        <v>8.9895790175699639E-2</v>
      </c>
      <c r="CX47">
        <f t="shared" si="57"/>
        <v>4.5649192293275312E-2</v>
      </c>
      <c r="CY47">
        <f t="shared" si="57"/>
        <v>3.0581226087803635E-2</v>
      </c>
      <c r="CZ47">
        <f t="shared" si="57"/>
        <v>4.0906785190784084E-2</v>
      </c>
      <c r="DA47">
        <f t="shared" si="57"/>
        <v>1.1375888283650965E-3</v>
      </c>
      <c r="DB47">
        <f t="shared" si="57"/>
        <v>3.4834128333255027E-2</v>
      </c>
      <c r="DC47">
        <f t="shared" si="57"/>
        <v>5.696841108422495E-2</v>
      </c>
      <c r="DD47">
        <f t="shared" si="57"/>
        <v>1.6817226201331471E-4</v>
      </c>
      <c r="DE47">
        <f t="shared" si="57"/>
        <v>4.3454748011648017E-2</v>
      </c>
      <c r="DF47">
        <f t="shared" si="57"/>
        <v>3.4954604236120276E-2</v>
      </c>
      <c r="DG47">
        <f t="shared" si="57"/>
        <v>1.8064614960776697E-3</v>
      </c>
      <c r="DH47">
        <f t="shared" si="57"/>
        <v>1.3132538273577003E-3</v>
      </c>
      <c r="DI47">
        <f t="shared" si="57"/>
        <v>5.9510295705692925E-2</v>
      </c>
      <c r="DJ47">
        <f t="shared" si="57"/>
        <v>2.6269079492504573E-2</v>
      </c>
      <c r="DK47">
        <f t="shared" si="57"/>
        <v>2.0078947905553007E-2</v>
      </c>
      <c r="DL47">
        <f t="shared" si="57"/>
        <v>4.5068925551734959E-2</v>
      </c>
      <c r="DM47">
        <f t="shared" si="57"/>
        <v>1.6454246992874878E-2</v>
      </c>
      <c r="DN47">
        <f t="shared" si="57"/>
        <v>2.7856638230374531E-2</v>
      </c>
      <c r="DO47">
        <f t="shared" si="57"/>
        <v>3.4805772378471482E-2</v>
      </c>
      <c r="DP47">
        <f t="shared" si="57"/>
        <v>6.476592757930498E-2</v>
      </c>
      <c r="DQ47">
        <f t="shared" si="57"/>
        <v>2.912146264483776E-2</v>
      </c>
      <c r="DR47">
        <f t="shared" si="57"/>
        <v>2.694317265511029E-2</v>
      </c>
      <c r="DS47">
        <f t="shared" si="57"/>
        <v>2.4880042961793192E-2</v>
      </c>
      <c r="DT47">
        <f t="shared" si="57"/>
        <v>4.2655311291304742E-5</v>
      </c>
      <c r="DU47">
        <f t="shared" si="57"/>
        <v>5.2445491358556882E-2</v>
      </c>
      <c r="DV47">
        <f t="shared" si="57"/>
        <v>2.4328155359818353E-2</v>
      </c>
      <c r="DW47">
        <f t="shared" si="57"/>
        <v>1.9393350605549609E-3</v>
      </c>
      <c r="DX47">
        <f t="shared" si="57"/>
        <v>3.3823480296173283E-2</v>
      </c>
      <c r="DY47">
        <f t="shared" si="57"/>
        <v>4.0976890717142216E-2</v>
      </c>
      <c r="DZ47">
        <f t="shared" si="57"/>
        <v>4.4266407262369488E-2</v>
      </c>
      <c r="EA47">
        <f t="shared" si="57"/>
        <v>1.2830639067367337E-2</v>
      </c>
      <c r="EB47">
        <f t="shared" ref="EB47:FG47" si="58">EB11/$C$29/$D$29</f>
        <v>1.0611451834087911E-2</v>
      </c>
      <c r="EC47">
        <f t="shared" si="58"/>
        <v>4.5817750217438273E-2</v>
      </c>
      <c r="ED47">
        <f t="shared" si="58"/>
        <v>3.1405641201328674E-2</v>
      </c>
      <c r="EE47">
        <f t="shared" si="58"/>
        <v>5.2999399536905481E-2</v>
      </c>
      <c r="EF47">
        <f t="shared" si="58"/>
        <v>4.8438202448642601E-4</v>
      </c>
      <c r="EG47">
        <f t="shared" si="58"/>
        <v>1.5612405942778762E-3</v>
      </c>
      <c r="EH47">
        <f t="shared" si="58"/>
        <v>8.0022316820395009E-4</v>
      </c>
      <c r="EI47">
        <f t="shared" si="58"/>
        <v>2.580200269471648E-2</v>
      </c>
      <c r="EJ47">
        <f t="shared" si="58"/>
        <v>1.1044472567096529E-2</v>
      </c>
      <c r="EK47">
        <f t="shared" si="58"/>
        <v>1.8435436066297085E-2</v>
      </c>
      <c r="EL47">
        <f t="shared" si="58"/>
        <v>1.4556239360056478E-2</v>
      </c>
      <c r="EM47">
        <f t="shared" si="58"/>
        <v>3.4019851403900528E-2</v>
      </c>
      <c r="EN47">
        <f t="shared" si="58"/>
        <v>1.715610263632401E-2</v>
      </c>
      <c r="EO47">
        <f t="shared" si="58"/>
        <v>1.9917930001649615E-2</v>
      </c>
      <c r="EP47">
        <f t="shared" si="58"/>
        <v>2.0128410773643412E-4</v>
      </c>
      <c r="EQ47">
        <f t="shared" si="58"/>
        <v>2.7776416789575365E-2</v>
      </c>
      <c r="ER47">
        <f t="shared" si="58"/>
        <v>2.0412933949391327E-2</v>
      </c>
      <c r="ES47">
        <f t="shared" si="58"/>
        <v>1.682926019648006E-3</v>
      </c>
      <c r="ET47">
        <f t="shared" si="58"/>
        <v>2.5996240564349047E-2</v>
      </c>
      <c r="EU47">
        <f t="shared" si="58"/>
        <v>3.5053164278061244E-3</v>
      </c>
      <c r="EV47">
        <f t="shared" si="58"/>
        <v>4.9986233709050356E-3</v>
      </c>
      <c r="EW47">
        <f t="shared" si="58"/>
        <v>1.1269598416386244E-2</v>
      </c>
      <c r="EX47">
        <f t="shared" si="58"/>
        <v>2.7361308829239985E-3</v>
      </c>
      <c r="EY47">
        <f t="shared" si="58"/>
        <v>6.2580159539203737E-4</v>
      </c>
      <c r="EZ47">
        <f t="shared" si="58"/>
        <v>1.1464404815933305E-2</v>
      </c>
      <c r="FA47">
        <f t="shared" si="58"/>
        <v>6.9568330999652652E-3</v>
      </c>
      <c r="FB47">
        <f t="shared" si="58"/>
        <v>1.5424199142740914E-2</v>
      </c>
      <c r="FC47">
        <f t="shared" si="58"/>
        <v>1.0648298662048323E-2</v>
      </c>
      <c r="FD47">
        <f t="shared" si="58"/>
        <v>3.6243299800521111E-5</v>
      </c>
      <c r="FE47">
        <f t="shared" si="58"/>
        <v>1.0720887750507287E-2</v>
      </c>
      <c r="FF47">
        <f t="shared" si="58"/>
        <v>6.6569241042057003E-3</v>
      </c>
      <c r="FG47">
        <f t="shared" si="58"/>
        <v>2.5747407295319334E-3</v>
      </c>
      <c r="FH47">
        <f t="shared" ref="FH47:FT47" si="59">FH11/$C$29/$D$29</f>
        <v>4.1597598949134396E-4</v>
      </c>
      <c r="FI47">
        <f t="shared" si="59"/>
        <v>6.7910211456780039E-3</v>
      </c>
      <c r="FJ47">
        <f t="shared" si="59"/>
        <v>3.7724444737054826E-3</v>
      </c>
      <c r="FK47">
        <f t="shared" si="59"/>
        <v>4.9327623342636229E-4</v>
      </c>
      <c r="FL47">
        <f t="shared" si="59"/>
        <v>1.5847112977053268E-4</v>
      </c>
      <c r="FM47">
        <f t="shared" si="59"/>
        <v>1.7411936671271994E-3</v>
      </c>
      <c r="FN47">
        <f t="shared" si="59"/>
        <v>3.1008461075047174E-3</v>
      </c>
      <c r="FO47">
        <f t="shared" si="59"/>
        <v>1.6614401223666521E-3</v>
      </c>
      <c r="FP47">
        <f t="shared" si="59"/>
        <v>1.2014580806730445E-3</v>
      </c>
      <c r="FQ47">
        <f t="shared" si="59"/>
        <v>7.0467604726399838E-4</v>
      </c>
      <c r="FR47">
        <f t="shared" si="59"/>
        <v>2.231245429258556E-3</v>
      </c>
      <c r="FS47">
        <f t="shared" si="59"/>
        <v>1.0962096133587576E-4</v>
      </c>
      <c r="FT47">
        <f t="shared" si="59"/>
        <v>1.9013252928270927E-4</v>
      </c>
    </row>
    <row r="48" spans="1:176">
      <c r="A48" s="2" t="s">
        <v>20</v>
      </c>
      <c r="B48" t="s">
        <v>527</v>
      </c>
      <c r="C48">
        <f>C12/$C$30/$D$30*1000</f>
        <v>66.13916888645565</v>
      </c>
      <c r="D48">
        <f t="shared" ref="D48:AI48" si="60">D12/$C$30/$D$30</f>
        <v>1.4566738550976503</v>
      </c>
      <c r="E48">
        <f t="shared" si="60"/>
        <v>49.91577861229883</v>
      </c>
      <c r="F48">
        <f t="shared" si="60"/>
        <v>20.885513838673624</v>
      </c>
      <c r="G48">
        <f t="shared" si="60"/>
        <v>8.378056104012952</v>
      </c>
      <c r="H48">
        <f t="shared" si="60"/>
        <v>10.291469499660005</v>
      </c>
      <c r="I48">
        <f t="shared" si="60"/>
        <v>8.0357462538952529</v>
      </c>
      <c r="J48">
        <f t="shared" si="60"/>
        <v>2.2624156347258815</v>
      </c>
      <c r="K48">
        <f t="shared" si="60"/>
        <v>1.6216654504175787</v>
      </c>
      <c r="L48">
        <f t="shared" si="60"/>
        <v>3.9344053878711212E-2</v>
      </c>
      <c r="M48">
        <f t="shared" si="60"/>
        <v>1.5112045849042379</v>
      </c>
      <c r="N48">
        <f t="shared" si="60"/>
        <v>0.18401627381505284</v>
      </c>
      <c r="O48">
        <f t="shared" si="60"/>
        <v>1.9192667887580532</v>
      </c>
      <c r="P48">
        <f t="shared" si="60"/>
        <v>0.88550391272158435</v>
      </c>
      <c r="Q48">
        <f t="shared" si="60"/>
        <v>0.69050479116017627</v>
      </c>
      <c r="R48">
        <f t="shared" si="60"/>
        <v>0.65944381796068408</v>
      </c>
      <c r="S48">
        <f t="shared" si="60"/>
        <v>0.91751672763032066</v>
      </c>
      <c r="T48">
        <f t="shared" si="60"/>
        <v>0.35000056663555557</v>
      </c>
      <c r="U48">
        <f t="shared" si="60"/>
        <v>0.11676220786963293</v>
      </c>
      <c r="V48">
        <f t="shared" si="60"/>
        <v>0.27383358993199541</v>
      </c>
      <c r="W48">
        <f t="shared" si="60"/>
        <v>0.62179537677891583</v>
      </c>
      <c r="X48">
        <f t="shared" si="60"/>
        <v>0.67528301785066036</v>
      </c>
      <c r="Y48">
        <f t="shared" si="60"/>
        <v>0.49896755205674143</v>
      </c>
      <c r="Z48">
        <f t="shared" si="60"/>
        <v>0.54653129078398999</v>
      </c>
      <c r="AA48">
        <f t="shared" si="60"/>
        <v>0.36010637355426667</v>
      </c>
      <c r="AB48">
        <f t="shared" si="60"/>
        <v>0.17852182678885462</v>
      </c>
      <c r="AC48">
        <f t="shared" si="60"/>
        <v>0.40512722980065058</v>
      </c>
      <c r="AD48">
        <f t="shared" si="60"/>
        <v>0.62802593691706954</v>
      </c>
      <c r="AE48">
        <f t="shared" si="60"/>
        <v>0.51439971799468032</v>
      </c>
      <c r="AF48">
        <f t="shared" si="60"/>
        <v>0.12650557523799907</v>
      </c>
      <c r="AG48">
        <f t="shared" si="60"/>
        <v>0.38423551714653154</v>
      </c>
      <c r="AH48">
        <f t="shared" si="60"/>
        <v>0.1230059150248313</v>
      </c>
      <c r="AI48">
        <f t="shared" si="60"/>
        <v>0.31011538542136885</v>
      </c>
      <c r="AJ48">
        <f t="shared" ref="AJ48:BO48" si="61">AJ12/$C$30/$D$30</f>
        <v>0.39423656320383565</v>
      </c>
      <c r="AK48">
        <f t="shared" si="61"/>
        <v>0.44327554830111227</v>
      </c>
      <c r="AL48">
        <f t="shared" si="61"/>
        <v>0.55813856356198821</v>
      </c>
      <c r="AM48">
        <f t="shared" si="61"/>
        <v>0.15041985720929577</v>
      </c>
      <c r="AN48">
        <f t="shared" si="61"/>
        <v>0.18590288896526</v>
      </c>
      <c r="AO48">
        <f t="shared" si="61"/>
        <v>0.49528401947049078</v>
      </c>
      <c r="AP48">
        <f t="shared" si="61"/>
        <v>0.14745363798132438</v>
      </c>
      <c r="AQ48">
        <f t="shared" si="61"/>
        <v>3.7083765224370929E-2</v>
      </c>
      <c r="AR48">
        <f t="shared" si="61"/>
        <v>9.8421913868135466E-2</v>
      </c>
      <c r="AS48">
        <f t="shared" si="61"/>
        <v>0.23840533710719178</v>
      </c>
      <c r="AT48">
        <f t="shared" si="61"/>
        <v>0.39433546676908843</v>
      </c>
      <c r="AU48">
        <f t="shared" si="61"/>
        <v>0.24087480335130107</v>
      </c>
      <c r="AV48">
        <f t="shared" si="61"/>
        <v>0.38243922820126902</v>
      </c>
      <c r="AW48">
        <f t="shared" si="61"/>
        <v>0.23421948767751452</v>
      </c>
      <c r="AX48">
        <f t="shared" si="61"/>
        <v>7.1460659986513089E-2</v>
      </c>
      <c r="AY48">
        <f t="shared" si="61"/>
        <v>0.23489089871197755</v>
      </c>
      <c r="AZ48">
        <f t="shared" si="61"/>
        <v>5.1502803154199403E-2</v>
      </c>
      <c r="BA48">
        <f t="shared" si="61"/>
        <v>0.32992957354798702</v>
      </c>
      <c r="BB48">
        <f t="shared" si="61"/>
        <v>0.28357681479149671</v>
      </c>
      <c r="BC48">
        <f t="shared" si="61"/>
        <v>0.25656024624461998</v>
      </c>
      <c r="BD48">
        <f t="shared" si="61"/>
        <v>0.20047264477912147</v>
      </c>
      <c r="BE48">
        <f t="shared" si="61"/>
        <v>0.12366124499881262</v>
      </c>
      <c r="BF48">
        <f t="shared" si="61"/>
        <v>0.28303766173293288</v>
      </c>
      <c r="BG48">
        <f t="shared" si="61"/>
        <v>0.16220581184615862</v>
      </c>
      <c r="BH48">
        <f t="shared" si="61"/>
        <v>6.3169297107802183E-2</v>
      </c>
      <c r="BI48">
        <f t="shared" si="61"/>
        <v>0.11843180228110206</v>
      </c>
      <c r="BJ48">
        <f t="shared" si="61"/>
        <v>9.8990492573385588E-2</v>
      </c>
      <c r="BK48">
        <f t="shared" si="61"/>
        <v>0.19785170835296631</v>
      </c>
      <c r="BL48">
        <f t="shared" si="61"/>
        <v>0.21635495945611147</v>
      </c>
      <c r="BM48">
        <f t="shared" si="61"/>
        <v>0.12194195953015614</v>
      </c>
      <c r="BN48">
        <f t="shared" si="61"/>
        <v>7.9596165200018819E-4</v>
      </c>
      <c r="BO48">
        <f t="shared" si="61"/>
        <v>0.16570076025688571</v>
      </c>
      <c r="BP48">
        <f t="shared" ref="BP48:CU48" si="62">BP12/$C$30/$D$30</f>
        <v>0.22457618724864636</v>
      </c>
      <c r="BQ48">
        <f t="shared" si="62"/>
        <v>3.2180782983694617E-2</v>
      </c>
      <c r="BR48">
        <f t="shared" si="62"/>
        <v>0.13296248684366183</v>
      </c>
      <c r="BS48">
        <f t="shared" si="62"/>
        <v>1.3518121742653865E-2</v>
      </c>
      <c r="BT48">
        <f t="shared" si="62"/>
        <v>0.18401091547291057</v>
      </c>
      <c r="BU48">
        <f t="shared" si="62"/>
        <v>1.7716170893015196E-2</v>
      </c>
      <c r="BV48">
        <f t="shared" si="62"/>
        <v>8.3222106551029837E-2</v>
      </c>
      <c r="BW48">
        <f t="shared" si="62"/>
        <v>4.0013952251191703E-3</v>
      </c>
      <c r="BX48">
        <f t="shared" si="62"/>
        <v>5.726790507507544E-2</v>
      </c>
      <c r="BY48">
        <f t="shared" si="62"/>
        <v>7.189043359163326E-2</v>
      </c>
      <c r="BZ48">
        <f t="shared" si="62"/>
        <v>4.3865653496058539E-2</v>
      </c>
      <c r="CA48">
        <f t="shared" si="62"/>
        <v>1.1380676505823746E-3</v>
      </c>
      <c r="CB48">
        <f t="shared" si="62"/>
        <v>7.2394826479751179E-2</v>
      </c>
      <c r="CC48">
        <f t="shared" si="62"/>
        <v>2.8491579001325325E-2</v>
      </c>
      <c r="CD48">
        <f t="shared" si="62"/>
        <v>9.167091935957751E-2</v>
      </c>
      <c r="CE48">
        <f t="shared" si="62"/>
        <v>9.954663765953442E-2</v>
      </c>
      <c r="CF48">
        <f t="shared" si="62"/>
        <v>2.6081273694771208E-3</v>
      </c>
      <c r="CG48">
        <f t="shared" si="62"/>
        <v>8.253623053895133E-2</v>
      </c>
      <c r="CH48">
        <f t="shared" si="62"/>
        <v>5.1766721478387789E-2</v>
      </c>
      <c r="CI48">
        <f t="shared" si="62"/>
        <v>4.4972021686016578E-5</v>
      </c>
      <c r="CJ48">
        <f t="shared" si="62"/>
        <v>0.10601847585275054</v>
      </c>
      <c r="CK48">
        <f t="shared" si="62"/>
        <v>8.5463679806735082E-2</v>
      </c>
      <c r="CL48">
        <f t="shared" si="62"/>
        <v>0.10900997116532266</v>
      </c>
      <c r="CM48">
        <f t="shared" si="62"/>
        <v>7.8241118659599609E-2</v>
      </c>
      <c r="CN48">
        <f t="shared" si="62"/>
        <v>6.5338254247216968E-2</v>
      </c>
      <c r="CO48">
        <f t="shared" si="62"/>
        <v>0.10289537404205068</v>
      </c>
      <c r="CP48">
        <f t="shared" si="62"/>
        <v>7.4961973758171929E-2</v>
      </c>
      <c r="CQ48">
        <f t="shared" si="62"/>
        <v>3.4358876802775482E-2</v>
      </c>
      <c r="CR48">
        <f t="shared" si="62"/>
        <v>0.10052651744891555</v>
      </c>
      <c r="CS48">
        <f t="shared" si="62"/>
        <v>6.7961364042388617E-2</v>
      </c>
      <c r="CT48">
        <f t="shared" si="62"/>
        <v>7.453680002600771E-2</v>
      </c>
      <c r="CU48">
        <f t="shared" si="62"/>
        <v>3.8530071638328799E-2</v>
      </c>
      <c r="CV48">
        <f t="shared" ref="CV48:EA48" si="63">CV12/$C$30/$D$30</f>
        <v>7.7594249631161669E-2</v>
      </c>
      <c r="CW48">
        <f t="shared" si="63"/>
        <v>4.0556995564127292E-2</v>
      </c>
      <c r="CX48">
        <f t="shared" si="63"/>
        <v>9.3845604658037624E-2</v>
      </c>
      <c r="CY48">
        <f t="shared" si="63"/>
        <v>5.4382058137281468E-2</v>
      </c>
      <c r="CZ48">
        <f t="shared" si="63"/>
        <v>4.7316620528476676E-2</v>
      </c>
      <c r="DA48">
        <f t="shared" si="63"/>
        <v>1.5462333709111988E-2</v>
      </c>
      <c r="DB48">
        <f t="shared" si="63"/>
        <v>4.0172520683160087E-2</v>
      </c>
      <c r="DC48">
        <f t="shared" si="63"/>
        <v>7.2873729557281733E-2</v>
      </c>
      <c r="DD48">
        <f t="shared" si="63"/>
        <v>1.8993736466623172E-4</v>
      </c>
      <c r="DE48">
        <f t="shared" si="63"/>
        <v>2.482874442085516E-2</v>
      </c>
      <c r="DF48">
        <f t="shared" si="63"/>
        <v>8.011974149146503E-2</v>
      </c>
      <c r="DG48">
        <f t="shared" si="63"/>
        <v>2.1603268382145172E-2</v>
      </c>
      <c r="DH48">
        <f t="shared" si="63"/>
        <v>3.3285714725291252E-2</v>
      </c>
      <c r="DI48">
        <f t="shared" si="63"/>
        <v>3.6670724153886849E-2</v>
      </c>
      <c r="DJ48">
        <f t="shared" si="63"/>
        <v>3.6696185578983999E-2</v>
      </c>
      <c r="DK48">
        <f t="shared" si="63"/>
        <v>4.278228133117553E-2</v>
      </c>
      <c r="DL48">
        <f t="shared" si="63"/>
        <v>2.0934489217250281E-2</v>
      </c>
      <c r="DM48">
        <f t="shared" si="63"/>
        <v>6.6524110901584332E-2</v>
      </c>
      <c r="DN48">
        <f t="shared" si="63"/>
        <v>3.5294947450676732E-2</v>
      </c>
      <c r="DO48">
        <f t="shared" si="63"/>
        <v>6.7376145119036779E-2</v>
      </c>
      <c r="DP48">
        <f t="shared" si="63"/>
        <v>4.503994402775046E-2</v>
      </c>
      <c r="DQ48">
        <f t="shared" si="63"/>
        <v>4.0014747153135417E-2</v>
      </c>
      <c r="DR48">
        <f t="shared" si="63"/>
        <v>3.0408928498080069E-2</v>
      </c>
      <c r="DS48">
        <f t="shared" si="63"/>
        <v>2.3386866667339305E-2</v>
      </c>
      <c r="DT48">
        <f t="shared" si="63"/>
        <v>4.0632299356340945E-5</v>
      </c>
      <c r="DU48">
        <f t="shared" si="63"/>
        <v>3.4259585993277539E-2</v>
      </c>
      <c r="DV48">
        <f t="shared" si="63"/>
        <v>3.6096534466327421E-2</v>
      </c>
      <c r="DW48">
        <f t="shared" si="63"/>
        <v>1.7728828695406061E-3</v>
      </c>
      <c r="DX48">
        <f t="shared" si="63"/>
        <v>4.3296790736081794E-2</v>
      </c>
      <c r="DY48">
        <f t="shared" si="63"/>
        <v>2.3647093474621697E-2</v>
      </c>
      <c r="DZ48">
        <f t="shared" si="63"/>
        <v>7.6752876602553498E-3</v>
      </c>
      <c r="EA48">
        <f t="shared" si="63"/>
        <v>3.1680093391222429E-2</v>
      </c>
      <c r="EB48">
        <f t="shared" ref="EB48:FG48" si="64">EB12/$C$30/$D$30</f>
        <v>4.7597239917007893E-2</v>
      </c>
      <c r="EC48">
        <f t="shared" si="64"/>
        <v>3.7321176053944048E-3</v>
      </c>
      <c r="ED48">
        <f t="shared" si="64"/>
        <v>9.3025599657433882E-3</v>
      </c>
      <c r="EE48">
        <f t="shared" si="64"/>
        <v>4.209325506097409E-2</v>
      </c>
      <c r="EF48">
        <f t="shared" si="64"/>
        <v>4.2205598708345752E-4</v>
      </c>
      <c r="EG48">
        <f t="shared" si="64"/>
        <v>1.9739094416177629E-2</v>
      </c>
      <c r="EH48">
        <f t="shared" si="64"/>
        <v>1.1148455174791377E-2</v>
      </c>
      <c r="EI48">
        <f t="shared" si="64"/>
        <v>4.2721769957330402E-2</v>
      </c>
      <c r="EJ48">
        <f t="shared" si="64"/>
        <v>3.6877849242625181E-2</v>
      </c>
      <c r="EK48">
        <f t="shared" si="64"/>
        <v>2.3278853940757859E-2</v>
      </c>
      <c r="EL48">
        <f t="shared" si="64"/>
        <v>3.1122647173049411E-2</v>
      </c>
      <c r="EM48">
        <f t="shared" si="64"/>
        <v>1.9492633096686034E-3</v>
      </c>
      <c r="EN48">
        <f t="shared" si="64"/>
        <v>2.7741892649038574E-2</v>
      </c>
      <c r="EO48">
        <f t="shared" si="64"/>
        <v>1.3741091294854818E-2</v>
      </c>
      <c r="EP48">
        <f t="shared" si="64"/>
        <v>9.9727535555316194E-4</v>
      </c>
      <c r="EQ48">
        <f t="shared" si="64"/>
        <v>2.9277555727420582E-2</v>
      </c>
      <c r="ER48">
        <f t="shared" si="64"/>
        <v>1.2999015449439764E-2</v>
      </c>
      <c r="ES48">
        <f t="shared" si="64"/>
        <v>1.4144062166329595E-2</v>
      </c>
      <c r="ET48">
        <f t="shared" si="64"/>
        <v>1.2437460360710764E-2</v>
      </c>
      <c r="EU48">
        <f t="shared" si="64"/>
        <v>1.6714253775323831E-2</v>
      </c>
      <c r="EV48">
        <f t="shared" si="64"/>
        <v>9.3623721698861632E-3</v>
      </c>
      <c r="EW48">
        <f t="shared" si="64"/>
        <v>5.4241496303101084E-3</v>
      </c>
      <c r="EX48">
        <f t="shared" si="64"/>
        <v>1.1104457937050145E-3</v>
      </c>
      <c r="EY48">
        <f t="shared" si="64"/>
        <v>1.4384794221864838E-2</v>
      </c>
      <c r="EZ48">
        <f t="shared" si="64"/>
        <v>1.8834449647808567E-2</v>
      </c>
      <c r="FA48">
        <f t="shared" si="64"/>
        <v>7.4784803590509374E-3</v>
      </c>
      <c r="FB48">
        <f t="shared" si="64"/>
        <v>7.45367800453534E-3</v>
      </c>
      <c r="FC48">
        <f t="shared" si="64"/>
        <v>9.8469188539195337E-3</v>
      </c>
      <c r="FD48">
        <f t="shared" si="64"/>
        <v>3.9045668815958179E-5</v>
      </c>
      <c r="FE48">
        <f t="shared" si="64"/>
        <v>1.0588802685678963E-2</v>
      </c>
      <c r="FF48">
        <f t="shared" si="64"/>
        <v>1.4550750841388526E-2</v>
      </c>
      <c r="FG48">
        <f t="shared" si="64"/>
        <v>2.6639675782790489E-3</v>
      </c>
      <c r="FH48">
        <f t="shared" ref="FH48:FT48" si="65">FH12/$C$30/$D$30</f>
        <v>1.4757098101107684E-3</v>
      </c>
      <c r="FI48">
        <f t="shared" si="65"/>
        <v>2.7512325982646307E-3</v>
      </c>
      <c r="FJ48">
        <f t="shared" si="65"/>
        <v>2.5296622711345009E-3</v>
      </c>
      <c r="FK48">
        <f t="shared" si="65"/>
        <v>9.5059782725117493E-3</v>
      </c>
      <c r="FL48">
        <f t="shared" si="65"/>
        <v>1.5152059913009497E-4</v>
      </c>
      <c r="FM48">
        <f t="shared" si="65"/>
        <v>6.2392314794990503E-3</v>
      </c>
      <c r="FN48">
        <f t="shared" si="65"/>
        <v>3.8709168161493259E-3</v>
      </c>
      <c r="FO48">
        <f t="shared" si="65"/>
        <v>1.53461029477645E-3</v>
      </c>
      <c r="FP48">
        <f t="shared" si="65"/>
        <v>5.3180681175659487E-3</v>
      </c>
      <c r="FQ48">
        <f t="shared" si="65"/>
        <v>9.1066772444304482E-4</v>
      </c>
      <c r="FR48">
        <f t="shared" si="65"/>
        <v>1.0172510496417777E-3</v>
      </c>
      <c r="FS48">
        <f t="shared" si="65"/>
        <v>1.0161963909844842E-4</v>
      </c>
      <c r="FT48">
        <f t="shared" si="65"/>
        <v>2.1637103917087475E-4</v>
      </c>
    </row>
    <row r="49" spans="1:176">
      <c r="A49" s="2" t="s">
        <v>21</v>
      </c>
      <c r="B49" t="s">
        <v>527</v>
      </c>
      <c r="C49">
        <f>C13/$C$31/$D$31*1000</f>
        <v>142.71661515167705</v>
      </c>
      <c r="D49">
        <f t="shared" ref="D49:AI49" si="66">D13/$C$31/$D$31</f>
        <v>1.9486410283627429</v>
      </c>
      <c r="E49">
        <f t="shared" si="66"/>
        <v>51.431763649850701</v>
      </c>
      <c r="F49">
        <f t="shared" si="66"/>
        <v>7.3437747076578423</v>
      </c>
      <c r="G49">
        <f t="shared" si="66"/>
        <v>9.1143399394747835</v>
      </c>
      <c r="H49">
        <f t="shared" si="66"/>
        <v>10.696332670242729</v>
      </c>
      <c r="I49">
        <f t="shared" si="66"/>
        <v>3.5449928374744353</v>
      </c>
      <c r="J49">
        <f t="shared" si="66"/>
        <v>2.3207436256010672</v>
      </c>
      <c r="K49">
        <f t="shared" si="66"/>
        <v>1.5217225899718481</v>
      </c>
      <c r="L49">
        <f t="shared" si="66"/>
        <v>4.6704849345564077E-2</v>
      </c>
      <c r="M49">
        <f t="shared" si="66"/>
        <v>2.3926125929523345</v>
      </c>
      <c r="N49">
        <f t="shared" si="66"/>
        <v>0.42299018225760304</v>
      </c>
      <c r="O49">
        <f t="shared" si="66"/>
        <v>0.65303536984894994</v>
      </c>
      <c r="P49">
        <f t="shared" si="66"/>
        <v>0.65299475237298155</v>
      </c>
      <c r="Q49">
        <f t="shared" si="66"/>
        <v>0.58195418253102438</v>
      </c>
      <c r="R49">
        <f t="shared" si="66"/>
        <v>1.6010290674182286</v>
      </c>
      <c r="S49">
        <f t="shared" si="66"/>
        <v>0.16717380870905882</v>
      </c>
      <c r="T49">
        <f t="shared" si="66"/>
        <v>0.48427037932536193</v>
      </c>
      <c r="U49">
        <f t="shared" si="66"/>
        <v>1.7194063317941086E-2</v>
      </c>
      <c r="V49">
        <f t="shared" si="66"/>
        <v>0.16945755500671009</v>
      </c>
      <c r="W49">
        <f t="shared" si="66"/>
        <v>0.65089968575252688</v>
      </c>
      <c r="X49">
        <f t="shared" si="66"/>
        <v>0.79772494462102428</v>
      </c>
      <c r="Y49">
        <f t="shared" si="66"/>
        <v>0.87401493011085452</v>
      </c>
      <c r="Z49">
        <f t="shared" si="66"/>
        <v>0.22265290926657214</v>
      </c>
      <c r="AA49">
        <f t="shared" si="66"/>
        <v>0.41061937603227383</v>
      </c>
      <c r="AB49">
        <f t="shared" si="66"/>
        <v>0.11722632636312282</v>
      </c>
      <c r="AC49">
        <f t="shared" si="66"/>
        <v>0.36369581937294898</v>
      </c>
      <c r="AD49">
        <f t="shared" si="66"/>
        <v>0.63341321341994705</v>
      </c>
      <c r="AE49">
        <f t="shared" si="66"/>
        <v>0.30506635268837312</v>
      </c>
      <c r="AF49">
        <f t="shared" si="66"/>
        <v>0.19572005990938335</v>
      </c>
      <c r="AG49">
        <f t="shared" si="66"/>
        <v>0.68743069538794521</v>
      </c>
      <c r="AH49">
        <f t="shared" si="66"/>
        <v>0.2230504600348783</v>
      </c>
      <c r="AI49">
        <f t="shared" si="66"/>
        <v>0.34701621093311114</v>
      </c>
      <c r="AJ49">
        <f t="shared" ref="AJ49:BO49" si="67">AJ13/$C$31/$D$31</f>
        <v>0.39231364034682792</v>
      </c>
      <c r="AK49">
        <f t="shared" si="67"/>
        <v>0.32933381245388632</v>
      </c>
      <c r="AL49">
        <f t="shared" si="67"/>
        <v>4.9079648675185829E-3</v>
      </c>
      <c r="AM49">
        <f t="shared" si="67"/>
        <v>0.5097838293728516</v>
      </c>
      <c r="AN49">
        <f t="shared" si="67"/>
        <v>0.23864442834609847</v>
      </c>
      <c r="AO49">
        <f t="shared" si="67"/>
        <v>0.44611328686150792</v>
      </c>
      <c r="AP49">
        <f t="shared" si="67"/>
        <v>0.52909772439041558</v>
      </c>
      <c r="AQ49">
        <f t="shared" si="67"/>
        <v>3.679239981617536E-2</v>
      </c>
      <c r="AR49">
        <f t="shared" si="67"/>
        <v>7.0699464368588497E-2</v>
      </c>
      <c r="AS49">
        <f t="shared" si="67"/>
        <v>0.36543127931975661</v>
      </c>
      <c r="AT49">
        <f t="shared" si="67"/>
        <v>0.40073718296466099</v>
      </c>
      <c r="AU49">
        <f t="shared" si="67"/>
        <v>0.21047241471275382</v>
      </c>
      <c r="AV49">
        <f t="shared" si="67"/>
        <v>0.18360699133787298</v>
      </c>
      <c r="AW49">
        <f t="shared" si="67"/>
        <v>0.19415542466902097</v>
      </c>
      <c r="AX49">
        <f t="shared" si="67"/>
        <v>0.20400354075478502</v>
      </c>
      <c r="AY49">
        <f t="shared" si="67"/>
        <v>0.24314853337760017</v>
      </c>
      <c r="AZ49">
        <f t="shared" si="67"/>
        <v>6.7774098987798931E-2</v>
      </c>
      <c r="BA49">
        <f t="shared" si="67"/>
        <v>7.4568384078739725E-2</v>
      </c>
      <c r="BB49">
        <f t="shared" si="67"/>
        <v>0.14339471288938599</v>
      </c>
      <c r="BC49">
        <f t="shared" si="67"/>
        <v>0.25173814121692167</v>
      </c>
      <c r="BD49">
        <f t="shared" si="67"/>
        <v>0.17017932220697013</v>
      </c>
      <c r="BE49">
        <f t="shared" si="67"/>
        <v>0.1133445665525827</v>
      </c>
      <c r="BF49">
        <f t="shared" si="67"/>
        <v>4.3042935626194351E-2</v>
      </c>
      <c r="BG49">
        <f t="shared" si="67"/>
        <v>0.30300694037297704</v>
      </c>
      <c r="BH49">
        <f t="shared" si="67"/>
        <v>0.11340540879506159</v>
      </c>
      <c r="BI49">
        <f t="shared" si="67"/>
        <v>7.3310329321251269E-2</v>
      </c>
      <c r="BJ49">
        <f t="shared" si="67"/>
        <v>7.8118551093860539E-2</v>
      </c>
      <c r="BK49">
        <f t="shared" si="67"/>
        <v>0.18817940349874998</v>
      </c>
      <c r="BL49">
        <f t="shared" si="67"/>
        <v>0.12033321665589784</v>
      </c>
      <c r="BM49">
        <f t="shared" si="67"/>
        <v>0.20838933116697217</v>
      </c>
      <c r="BN49">
        <f t="shared" si="67"/>
        <v>1.352162119101876E-3</v>
      </c>
      <c r="BO49">
        <f t="shared" si="67"/>
        <v>0.18046664376977892</v>
      </c>
      <c r="BP49">
        <f t="shared" ref="BP49:CU49" si="68">BP13/$C$31/$D$31</f>
        <v>0.15642082341234359</v>
      </c>
      <c r="BQ49">
        <f t="shared" si="68"/>
        <v>2.0264934861377822E-2</v>
      </c>
      <c r="BR49">
        <f t="shared" si="68"/>
        <v>0.13553144968500605</v>
      </c>
      <c r="BS49">
        <f t="shared" si="68"/>
        <v>1.163425785943892E-2</v>
      </c>
      <c r="BT49">
        <f t="shared" si="68"/>
        <v>2.8866326961036002E-2</v>
      </c>
      <c r="BU49">
        <f t="shared" si="68"/>
        <v>8.512043466176478E-3</v>
      </c>
      <c r="BV49">
        <f t="shared" si="68"/>
        <v>7.5034622316441577E-2</v>
      </c>
      <c r="BW49">
        <f t="shared" si="68"/>
        <v>5.924111230491428E-2</v>
      </c>
      <c r="BX49">
        <f t="shared" si="68"/>
        <v>1.2501886095220509E-2</v>
      </c>
      <c r="BY49">
        <f t="shared" si="68"/>
        <v>0.13516713168921579</v>
      </c>
      <c r="BZ49">
        <f t="shared" si="68"/>
        <v>4.6843537707122435E-2</v>
      </c>
      <c r="CA49">
        <f t="shared" si="68"/>
        <v>3.8832047247020821E-3</v>
      </c>
      <c r="CB49">
        <f t="shared" si="68"/>
        <v>3.2515802769173673E-2</v>
      </c>
      <c r="CC49">
        <f t="shared" si="68"/>
        <v>1.4482559909935713E-2</v>
      </c>
      <c r="CD49">
        <f t="shared" si="68"/>
        <v>0.13733056443685271</v>
      </c>
      <c r="CE49">
        <f t="shared" si="68"/>
        <v>6.6101062736275043E-2</v>
      </c>
      <c r="CF49">
        <f t="shared" si="68"/>
        <v>1.9680331101996452E-2</v>
      </c>
      <c r="CG49">
        <f t="shared" si="68"/>
        <v>0.1306700953730057</v>
      </c>
      <c r="CH49">
        <f t="shared" si="68"/>
        <v>5.7892190908076048E-2</v>
      </c>
      <c r="CI49">
        <f t="shared" si="68"/>
        <v>7.5862121492114643E-4</v>
      </c>
      <c r="CJ49">
        <f t="shared" si="68"/>
        <v>0.10887996086865219</v>
      </c>
      <c r="CK49">
        <f t="shared" si="68"/>
        <v>0.12093544017415075</v>
      </c>
      <c r="CL49">
        <f t="shared" si="68"/>
        <v>1.0904289798762304E-2</v>
      </c>
      <c r="CM49">
        <f t="shared" si="68"/>
        <v>6.9545387071605191E-3</v>
      </c>
      <c r="CN49">
        <f t="shared" si="68"/>
        <v>8.0205758978590197E-2</v>
      </c>
      <c r="CO49">
        <f t="shared" si="68"/>
        <v>7.3351707073100389E-2</v>
      </c>
      <c r="CP49">
        <f t="shared" si="68"/>
        <v>0.10930664911131317</v>
      </c>
      <c r="CQ49">
        <f t="shared" si="68"/>
        <v>4.8595885946402335E-3</v>
      </c>
      <c r="CR49">
        <f t="shared" si="68"/>
        <v>2.102253295836173E-2</v>
      </c>
      <c r="CS49">
        <f t="shared" si="68"/>
        <v>4.7211162305861205E-2</v>
      </c>
      <c r="CT49">
        <f t="shared" si="68"/>
        <v>5.9970093537774063E-2</v>
      </c>
      <c r="CU49">
        <f t="shared" si="68"/>
        <v>0.10463687984611687</v>
      </c>
      <c r="CV49">
        <f t="shared" ref="CV49:EA49" si="69">CV13/$C$31/$D$31</f>
        <v>9.3173334624868986E-2</v>
      </c>
      <c r="CW49">
        <f t="shared" si="69"/>
        <v>5.4802441667375461E-2</v>
      </c>
      <c r="CX49">
        <f t="shared" si="69"/>
        <v>7.8127010936763219E-2</v>
      </c>
      <c r="CY49">
        <f t="shared" si="69"/>
        <v>3.5203710527944632E-2</v>
      </c>
      <c r="CZ49">
        <f t="shared" si="69"/>
        <v>9.3784593165650812E-2</v>
      </c>
      <c r="DA49">
        <f t="shared" si="69"/>
        <v>5.4856794118717089E-3</v>
      </c>
      <c r="DB49">
        <f t="shared" si="69"/>
        <v>3.1108360137079828E-2</v>
      </c>
      <c r="DC49">
        <f t="shared" si="69"/>
        <v>6.9744402331275851E-2</v>
      </c>
      <c r="DD49">
        <f t="shared" si="69"/>
        <v>4.0585773176296212E-3</v>
      </c>
      <c r="DE49">
        <f t="shared" si="69"/>
        <v>5.1670293319925613E-2</v>
      </c>
      <c r="DF49">
        <f t="shared" si="69"/>
        <v>3.5479177177712332E-2</v>
      </c>
      <c r="DG49">
        <f t="shared" si="69"/>
        <v>5.7281298913563081E-2</v>
      </c>
      <c r="DH49">
        <f t="shared" si="69"/>
        <v>2.5164192563027137E-2</v>
      </c>
      <c r="DI49">
        <f t="shared" si="69"/>
        <v>3.3112475092066933E-2</v>
      </c>
      <c r="DJ49">
        <f t="shared" si="69"/>
        <v>8.0908701981802084E-2</v>
      </c>
      <c r="DK49">
        <f t="shared" si="69"/>
        <v>3.9920411210115837E-2</v>
      </c>
      <c r="DL49">
        <f t="shared" si="69"/>
        <v>7.8361601273806772E-2</v>
      </c>
      <c r="DM49">
        <f t="shared" si="69"/>
        <v>2.3785768324500356E-2</v>
      </c>
      <c r="DN49">
        <f t="shared" si="69"/>
        <v>3.5897168808509926E-2</v>
      </c>
      <c r="DO49">
        <f t="shared" si="69"/>
        <v>6.102165470082254E-2</v>
      </c>
      <c r="DP49">
        <f t="shared" si="69"/>
        <v>4.9065960893827594E-2</v>
      </c>
      <c r="DQ49">
        <f t="shared" si="69"/>
        <v>7.4023925815233385E-2</v>
      </c>
      <c r="DR49">
        <f t="shared" si="69"/>
        <v>2.7414777899827172E-2</v>
      </c>
      <c r="DS49">
        <f t="shared" si="69"/>
        <v>1.7971605978937572E-2</v>
      </c>
      <c r="DT49">
        <f t="shared" si="69"/>
        <v>5.6272946337131374E-4</v>
      </c>
      <c r="DU49">
        <f t="shared" si="69"/>
        <v>4.6088313490841804E-2</v>
      </c>
      <c r="DV49">
        <f t="shared" si="69"/>
        <v>3.5146384007006627E-2</v>
      </c>
      <c r="DW49">
        <f t="shared" si="69"/>
        <v>9.0092026066093314E-3</v>
      </c>
      <c r="DX49">
        <f t="shared" si="69"/>
        <v>6.5566491783572017E-2</v>
      </c>
      <c r="DY49">
        <f t="shared" si="69"/>
        <v>2.5698324376465371E-2</v>
      </c>
      <c r="DZ49">
        <f t="shared" si="69"/>
        <v>2.6123566975432957E-2</v>
      </c>
      <c r="EA49">
        <f t="shared" si="69"/>
        <v>1.2950942614021368E-2</v>
      </c>
      <c r="EB49">
        <f t="shared" ref="EB49:FG49" si="70">EB13/$C$31/$D$31</f>
        <v>3.7383800075679145E-2</v>
      </c>
      <c r="EC49">
        <f t="shared" si="70"/>
        <v>2.8688157980351361E-2</v>
      </c>
      <c r="ED49">
        <f t="shared" si="70"/>
        <v>1.5828982755235914E-2</v>
      </c>
      <c r="EE49">
        <f t="shared" si="70"/>
        <v>3.4254811285636122E-2</v>
      </c>
      <c r="EF49">
        <f t="shared" si="70"/>
        <v>1.0311414578804605E-3</v>
      </c>
      <c r="EG49">
        <f t="shared" si="70"/>
        <v>3.0901239879737172E-2</v>
      </c>
      <c r="EH49">
        <f t="shared" si="70"/>
        <v>1.5747055384205115E-2</v>
      </c>
      <c r="EI49">
        <f t="shared" si="70"/>
        <v>3.4074078892592993E-2</v>
      </c>
      <c r="EJ49">
        <f t="shared" si="70"/>
        <v>3.1393352237307923E-2</v>
      </c>
      <c r="EK49">
        <f t="shared" si="70"/>
        <v>2.6131592585863894E-2</v>
      </c>
      <c r="EL49">
        <f t="shared" si="70"/>
        <v>1.7866487216078458E-2</v>
      </c>
      <c r="EM49">
        <f t="shared" si="70"/>
        <v>6.4553929444668527E-3</v>
      </c>
      <c r="EN49">
        <f t="shared" si="70"/>
        <v>2.7228933745486156E-2</v>
      </c>
      <c r="EO49">
        <f t="shared" si="70"/>
        <v>3.5728473636560239E-2</v>
      </c>
      <c r="EP49">
        <f t="shared" si="70"/>
        <v>3.6170283260212126E-3</v>
      </c>
      <c r="EQ49">
        <f t="shared" si="70"/>
        <v>2.6961946644058512E-2</v>
      </c>
      <c r="ER49">
        <f t="shared" si="70"/>
        <v>1.1775871884986968E-2</v>
      </c>
      <c r="ES49">
        <f t="shared" si="70"/>
        <v>1.7426460433663086E-2</v>
      </c>
      <c r="ET49">
        <f t="shared" si="70"/>
        <v>1.8801036861624338E-2</v>
      </c>
      <c r="EU49">
        <f t="shared" si="70"/>
        <v>1.8647392348908755E-2</v>
      </c>
      <c r="EV49">
        <f t="shared" si="70"/>
        <v>1.0227473946415964E-2</v>
      </c>
      <c r="EW49">
        <f t="shared" si="70"/>
        <v>1.1674355681413878E-2</v>
      </c>
      <c r="EX49">
        <f t="shared" si="70"/>
        <v>6.290801096713242E-3</v>
      </c>
      <c r="EY49">
        <f t="shared" si="70"/>
        <v>1.3814752915268345E-2</v>
      </c>
      <c r="EZ49">
        <f t="shared" si="70"/>
        <v>1.6033326207653392E-2</v>
      </c>
      <c r="FA49">
        <f t="shared" si="70"/>
        <v>9.7673141459923025E-3</v>
      </c>
      <c r="FB49">
        <f t="shared" si="70"/>
        <v>8.6757116730025951E-4</v>
      </c>
      <c r="FC49">
        <f t="shared" si="70"/>
        <v>1.1027529898962305E-2</v>
      </c>
      <c r="FD49">
        <f t="shared" si="70"/>
        <v>2.9081922201799768E-4</v>
      </c>
      <c r="FE49">
        <f t="shared" si="70"/>
        <v>8.3181174164601388E-3</v>
      </c>
      <c r="FF49">
        <f t="shared" si="70"/>
        <v>1.2061639220830716E-2</v>
      </c>
      <c r="FG49">
        <f t="shared" si="70"/>
        <v>1.5448629924657332E-2</v>
      </c>
      <c r="FH49">
        <f t="shared" ref="FH49:FT49" si="71">FH13/$C$31/$D$31</f>
        <v>3.505201584160296E-3</v>
      </c>
      <c r="FI49">
        <f t="shared" si="71"/>
        <v>4.5962085882506661E-3</v>
      </c>
      <c r="FJ49">
        <f t="shared" si="71"/>
        <v>5.1803538829133453E-3</v>
      </c>
      <c r="FK49">
        <f t="shared" si="71"/>
        <v>1.0535351140365867E-2</v>
      </c>
      <c r="FL49">
        <f t="shared" si="71"/>
        <v>1.1392085031527107E-3</v>
      </c>
      <c r="FM49">
        <f t="shared" si="71"/>
        <v>2.1083619373783212E-3</v>
      </c>
      <c r="FN49">
        <f t="shared" si="71"/>
        <v>3.400183787546951E-3</v>
      </c>
      <c r="FO49">
        <f t="shared" si="71"/>
        <v>2.5598835447457413E-3</v>
      </c>
      <c r="FP49">
        <f t="shared" si="71"/>
        <v>1.216899184605964E-3</v>
      </c>
      <c r="FQ49">
        <f t="shared" si="71"/>
        <v>5.1635601852032271E-3</v>
      </c>
      <c r="FR49">
        <f t="shared" si="71"/>
        <v>2.0256745006189229E-3</v>
      </c>
      <c r="FS49">
        <f t="shared" si="71"/>
        <v>3.390815464470433E-4</v>
      </c>
      <c r="FT49">
        <f t="shared" si="71"/>
        <v>2.4962211574706343E-4</v>
      </c>
    </row>
    <row r="50" spans="1:176">
      <c r="A50" s="2" t="s">
        <v>22</v>
      </c>
      <c r="B50" t="s">
        <v>528</v>
      </c>
      <c r="C50">
        <f>C14/$C$32/$D$32*1000</f>
        <v>134.95440541478064</v>
      </c>
      <c r="D50">
        <f t="shared" ref="D50:AI50" si="72">D14/$C$32/$D$32</f>
        <v>86.380956538821493</v>
      </c>
      <c r="E50">
        <f t="shared" si="72"/>
        <v>55.142085342001501</v>
      </c>
      <c r="F50">
        <f t="shared" si="72"/>
        <v>11.293898868397021</v>
      </c>
      <c r="G50">
        <f t="shared" si="72"/>
        <v>6.6627593838389521</v>
      </c>
      <c r="H50">
        <f t="shared" si="72"/>
        <v>11.966205870336394</v>
      </c>
      <c r="I50">
        <f t="shared" si="72"/>
        <v>4.8469744526408691</v>
      </c>
      <c r="J50">
        <f t="shared" si="72"/>
        <v>4.6867210136371042</v>
      </c>
      <c r="K50">
        <f t="shared" si="72"/>
        <v>1.6761649346295675</v>
      </c>
      <c r="L50">
        <f t="shared" si="72"/>
        <v>1.3414891689514601</v>
      </c>
      <c r="M50">
        <f t="shared" si="72"/>
        <v>0.86396659367236861</v>
      </c>
      <c r="N50">
        <f t="shared" si="72"/>
        <v>0.13957034954558348</v>
      </c>
      <c r="O50">
        <f t="shared" si="72"/>
        <v>0.14241901190792522</v>
      </c>
      <c r="P50">
        <f t="shared" si="72"/>
        <v>0.41474198167943099</v>
      </c>
      <c r="Q50">
        <f t="shared" si="72"/>
        <v>0.79258753414659555</v>
      </c>
      <c r="R50">
        <f t="shared" si="72"/>
        <v>0.41974529052914844</v>
      </c>
      <c r="S50">
        <f t="shared" si="72"/>
        <v>0.1017129202392332</v>
      </c>
      <c r="T50">
        <f t="shared" si="72"/>
        <v>0.25148979525701609</v>
      </c>
      <c r="U50">
        <f t="shared" si="72"/>
        <v>0.18399037218846434</v>
      </c>
      <c r="V50">
        <f t="shared" si="72"/>
        <v>0.38933401243042365</v>
      </c>
      <c r="W50">
        <f t="shared" si="72"/>
        <v>0.51661555811556248</v>
      </c>
      <c r="X50">
        <f t="shared" si="72"/>
        <v>0.68291505740962455</v>
      </c>
      <c r="Y50">
        <f t="shared" si="72"/>
        <v>4.6088990998238391E-2</v>
      </c>
      <c r="Z50">
        <f t="shared" si="72"/>
        <v>0.12070048785642773</v>
      </c>
      <c r="AA50">
        <f t="shared" si="72"/>
        <v>1.2156731348568154E-3</v>
      </c>
      <c r="AB50">
        <f t="shared" si="72"/>
        <v>0.13925516485655959</v>
      </c>
      <c r="AC50">
        <f t="shared" si="72"/>
        <v>0.34671364550249706</v>
      </c>
      <c r="AD50">
        <f t="shared" si="72"/>
        <v>0.15169438663795184</v>
      </c>
      <c r="AE50">
        <f t="shared" si="72"/>
        <v>0.24887053806092965</v>
      </c>
      <c r="AF50">
        <f t="shared" si="72"/>
        <v>7.1675141989922739E-2</v>
      </c>
      <c r="AG50">
        <f t="shared" si="72"/>
        <v>7.3365034020153722E-2</v>
      </c>
      <c r="AH50">
        <f t="shared" si="72"/>
        <v>4.4546749191253093E-2</v>
      </c>
      <c r="AI50">
        <f t="shared" si="72"/>
        <v>0.2688079244734064</v>
      </c>
      <c r="AJ50">
        <f t="shared" ref="AJ50:BO50" si="73">AJ14/$C$32/$D$32</f>
        <v>0.30596198219102444</v>
      </c>
      <c r="AK50">
        <f t="shared" si="73"/>
        <v>0.48027576693357876</v>
      </c>
      <c r="AL50">
        <f t="shared" si="73"/>
        <v>0.16275319635424049</v>
      </c>
      <c r="AM50">
        <f t="shared" si="73"/>
        <v>0.43927858140283726</v>
      </c>
      <c r="AN50">
        <f t="shared" si="73"/>
        <v>6.056215966285701E-2</v>
      </c>
      <c r="AO50">
        <f t="shared" si="73"/>
        <v>0.26248548093902302</v>
      </c>
      <c r="AP50">
        <f t="shared" si="73"/>
        <v>0.13253063553330155</v>
      </c>
      <c r="AQ50">
        <f t="shared" si="73"/>
        <v>3.7344158280233887E-2</v>
      </c>
      <c r="AR50">
        <f t="shared" si="73"/>
        <v>0.34884454531082626</v>
      </c>
      <c r="AS50">
        <f t="shared" si="73"/>
        <v>0.28314999436651928</v>
      </c>
      <c r="AT50">
        <f t="shared" si="73"/>
        <v>0.16887473485946333</v>
      </c>
      <c r="AU50">
        <f t="shared" si="73"/>
        <v>0.23306695294524499</v>
      </c>
      <c r="AV50">
        <f t="shared" si="73"/>
        <v>0.20768770747311052</v>
      </c>
      <c r="AW50">
        <f t="shared" si="73"/>
        <v>0.11340493367660687</v>
      </c>
      <c r="AX50">
        <f t="shared" si="73"/>
        <v>0.12591993827784542</v>
      </c>
      <c r="AY50">
        <f t="shared" si="73"/>
        <v>4.7339133814929518E-2</v>
      </c>
      <c r="AZ50">
        <f t="shared" si="73"/>
        <v>0.2720652133552352</v>
      </c>
      <c r="BA50">
        <f t="shared" si="73"/>
        <v>4.9042405880739125E-2</v>
      </c>
      <c r="BB50">
        <f t="shared" si="73"/>
        <v>0.19253150062854743</v>
      </c>
      <c r="BC50">
        <f t="shared" si="73"/>
        <v>0.19904986108934111</v>
      </c>
      <c r="BD50">
        <f t="shared" si="73"/>
        <v>0.22807895621836211</v>
      </c>
      <c r="BE50">
        <f t="shared" si="73"/>
        <v>9.48845644687277E-2</v>
      </c>
      <c r="BF50">
        <f t="shared" si="73"/>
        <v>4.3834740512082949E-2</v>
      </c>
      <c r="BG50">
        <f t="shared" si="73"/>
        <v>0.1256131712207415</v>
      </c>
      <c r="BH50">
        <f t="shared" si="73"/>
        <v>6.3645377246370968E-2</v>
      </c>
      <c r="BI50">
        <f t="shared" si="73"/>
        <v>8.7503639816498183E-2</v>
      </c>
      <c r="BJ50">
        <f t="shared" si="73"/>
        <v>0.13621826282475355</v>
      </c>
      <c r="BK50">
        <f t="shared" si="73"/>
        <v>0.19216124605215495</v>
      </c>
      <c r="BL50">
        <f t="shared" si="73"/>
        <v>9.6202864124404833E-2</v>
      </c>
      <c r="BM50">
        <f t="shared" si="73"/>
        <v>0.13139961796902169</v>
      </c>
      <c r="BN50">
        <f t="shared" si="73"/>
        <v>2.0567890954288418E-3</v>
      </c>
      <c r="BO50">
        <f t="shared" si="73"/>
        <v>8.9716088370888486E-2</v>
      </c>
      <c r="BP50">
        <f t="shared" ref="BP50:CU50" si="74">BP14/$C$32/$D$32</f>
        <v>0.12892092741254751</v>
      </c>
      <c r="BQ50">
        <f t="shared" si="74"/>
        <v>1.657562234755474E-2</v>
      </c>
      <c r="BR50">
        <f t="shared" si="74"/>
        <v>8.0942803942205377E-2</v>
      </c>
      <c r="BS50">
        <f t="shared" si="74"/>
        <v>8.6287119245826195E-3</v>
      </c>
      <c r="BT50">
        <f t="shared" si="74"/>
        <v>3.4342407856797617E-2</v>
      </c>
      <c r="BU50">
        <f t="shared" si="74"/>
        <v>4.6857337847423302E-3</v>
      </c>
      <c r="BV50">
        <f t="shared" si="74"/>
        <v>5.6397773131630378E-2</v>
      </c>
      <c r="BW50">
        <f t="shared" si="74"/>
        <v>3.7473142636692547E-2</v>
      </c>
      <c r="BX50">
        <f t="shared" si="74"/>
        <v>2.945975075700134E-2</v>
      </c>
      <c r="BY50">
        <f t="shared" si="74"/>
        <v>6.4276698509235564E-2</v>
      </c>
      <c r="BZ50">
        <f t="shared" si="74"/>
        <v>4.3432710399851346E-2</v>
      </c>
      <c r="CA50">
        <f t="shared" si="74"/>
        <v>0.11652876258782213</v>
      </c>
      <c r="CB50">
        <f t="shared" si="74"/>
        <v>5.7978722271840505E-2</v>
      </c>
      <c r="CC50">
        <f t="shared" si="74"/>
        <v>3.3349956998546662E-2</v>
      </c>
      <c r="CD50">
        <f t="shared" si="74"/>
        <v>5.1408507761101091E-2</v>
      </c>
      <c r="CE50">
        <f t="shared" si="74"/>
        <v>6.3961777192818661E-2</v>
      </c>
      <c r="CF50">
        <f t="shared" si="74"/>
        <v>1.8329932046013752E-2</v>
      </c>
      <c r="CG50">
        <f t="shared" si="74"/>
        <v>7.2557538621855905E-2</v>
      </c>
      <c r="CH50">
        <f t="shared" si="74"/>
        <v>3.8114837502988934E-2</v>
      </c>
      <c r="CI50">
        <f t="shared" si="74"/>
        <v>5.7803998828182955E-4</v>
      </c>
      <c r="CJ50">
        <f t="shared" si="74"/>
        <v>9.531537303402958E-2</v>
      </c>
      <c r="CK50">
        <f t="shared" si="74"/>
        <v>4.4147008873261701E-2</v>
      </c>
      <c r="CL50">
        <f t="shared" si="74"/>
        <v>5.5823897315813564E-3</v>
      </c>
      <c r="CM50">
        <f t="shared" si="74"/>
        <v>7.6045644071344745E-2</v>
      </c>
      <c r="CN50">
        <f t="shared" si="74"/>
        <v>4.1704339101673829E-2</v>
      </c>
      <c r="CO50">
        <f t="shared" si="74"/>
        <v>4.9427474919440259E-2</v>
      </c>
      <c r="CP50">
        <f t="shared" si="74"/>
        <v>3.2586317260703393E-2</v>
      </c>
      <c r="CQ50">
        <f t="shared" si="74"/>
        <v>7.2369606334953592E-3</v>
      </c>
      <c r="CR50">
        <f t="shared" si="74"/>
        <v>3.2184033854108569E-2</v>
      </c>
      <c r="CS50">
        <f t="shared" si="74"/>
        <v>6.9216486583847103E-2</v>
      </c>
      <c r="CT50">
        <f t="shared" si="74"/>
        <v>6.447331497291213E-2</v>
      </c>
      <c r="CU50">
        <f t="shared" si="74"/>
        <v>1.1942498332237225E-2</v>
      </c>
      <c r="CV50">
        <f t="shared" ref="CV50:EA50" si="75">CV14/$C$32/$D$32</f>
        <v>4.2514495480254141E-2</v>
      </c>
      <c r="CW50">
        <f t="shared" si="75"/>
        <v>5.2265802707112646E-2</v>
      </c>
      <c r="CX50">
        <f t="shared" si="75"/>
        <v>3.692513647678821E-2</v>
      </c>
      <c r="CY50">
        <f t="shared" si="75"/>
        <v>2.1299494577013404E-2</v>
      </c>
      <c r="CZ50">
        <f t="shared" si="75"/>
        <v>5.0629610692434837E-2</v>
      </c>
      <c r="DA50">
        <f t="shared" si="75"/>
        <v>5.5867683659210068E-3</v>
      </c>
      <c r="DB50">
        <f t="shared" si="75"/>
        <v>2.4029100331140071E-2</v>
      </c>
      <c r="DC50">
        <f t="shared" si="75"/>
        <v>5.1375813875872096E-2</v>
      </c>
      <c r="DD50">
        <f t="shared" si="75"/>
        <v>2.303909403403314E-3</v>
      </c>
      <c r="DE50">
        <f t="shared" si="75"/>
        <v>4.1320096163826363E-2</v>
      </c>
      <c r="DF50">
        <f t="shared" si="75"/>
        <v>2.9607453500690394E-2</v>
      </c>
      <c r="DG50">
        <f t="shared" si="75"/>
        <v>4.3509859811331666E-2</v>
      </c>
      <c r="DH50">
        <f t="shared" si="75"/>
        <v>6.2390269483117926E-2</v>
      </c>
      <c r="DI50">
        <f t="shared" si="75"/>
        <v>6.1878658735025897E-2</v>
      </c>
      <c r="DJ50">
        <f t="shared" si="75"/>
        <v>1.0963208484309954E-2</v>
      </c>
      <c r="DK50">
        <f t="shared" si="75"/>
        <v>1.8546468394083648E-2</v>
      </c>
      <c r="DL50">
        <f t="shared" si="75"/>
        <v>3.5483499203204649E-2</v>
      </c>
      <c r="DM50">
        <f t="shared" si="75"/>
        <v>3.0266993354617008E-2</v>
      </c>
      <c r="DN50">
        <f t="shared" si="75"/>
        <v>4.1679971348897331E-2</v>
      </c>
      <c r="DO50">
        <f t="shared" si="75"/>
        <v>2.7311595615862626E-2</v>
      </c>
      <c r="DP50">
        <f t="shared" si="75"/>
        <v>4.3972313748574784E-2</v>
      </c>
      <c r="DQ50">
        <f t="shared" si="75"/>
        <v>1.7304766707699315E-2</v>
      </c>
      <c r="DR50">
        <f t="shared" si="75"/>
        <v>2.3378264028650769E-2</v>
      </c>
      <c r="DS50">
        <f t="shared" si="75"/>
        <v>2.0206005659000832E-2</v>
      </c>
      <c r="DT50">
        <f t="shared" si="75"/>
        <v>3.184118244715904E-5</v>
      </c>
      <c r="DU50">
        <f t="shared" si="75"/>
        <v>3.4221458913014577E-2</v>
      </c>
      <c r="DV50">
        <f t="shared" si="75"/>
        <v>1.2283017266352161E-2</v>
      </c>
      <c r="DW50">
        <f t="shared" si="75"/>
        <v>1.4898310939822133E-3</v>
      </c>
      <c r="DX50">
        <f t="shared" si="75"/>
        <v>2.6452137111405257E-2</v>
      </c>
      <c r="DY50">
        <f t="shared" si="75"/>
        <v>2.7919577098224322E-2</v>
      </c>
      <c r="DZ50">
        <f t="shared" si="75"/>
        <v>1.7997841999143348E-2</v>
      </c>
      <c r="EA50">
        <f t="shared" si="75"/>
        <v>1.9112537717798712E-2</v>
      </c>
      <c r="EB50">
        <f t="shared" ref="EB50:FG50" si="76">EB14/$C$32/$D$32</f>
        <v>2.8619419079130182E-2</v>
      </c>
      <c r="EC50">
        <f t="shared" si="76"/>
        <v>2.7636822662263538E-3</v>
      </c>
      <c r="ED50">
        <f t="shared" si="76"/>
        <v>4.6567512513063021E-2</v>
      </c>
      <c r="EE50">
        <f t="shared" si="76"/>
        <v>3.3968373895996683E-2</v>
      </c>
      <c r="EF50">
        <f t="shared" si="76"/>
        <v>5.9498292855021033E-4</v>
      </c>
      <c r="EG50">
        <f t="shared" si="76"/>
        <v>1.5410362770262495E-2</v>
      </c>
      <c r="EH50">
        <f t="shared" si="76"/>
        <v>8.2748199431629185E-3</v>
      </c>
      <c r="EI50">
        <f t="shared" si="76"/>
        <v>1.9310781320087643E-2</v>
      </c>
      <c r="EJ50">
        <f t="shared" si="76"/>
        <v>3.2537045797387046E-2</v>
      </c>
      <c r="EK50">
        <f t="shared" si="76"/>
        <v>1.3487171473903301E-2</v>
      </c>
      <c r="EL50">
        <f t="shared" si="76"/>
        <v>3.0487883329715717E-2</v>
      </c>
      <c r="EM50">
        <f t="shared" si="76"/>
        <v>3.1881378869614115E-4</v>
      </c>
      <c r="EN50">
        <f t="shared" si="76"/>
        <v>8.3423231510124807E-3</v>
      </c>
      <c r="EO50">
        <f t="shared" si="76"/>
        <v>1.5147499152685371E-2</v>
      </c>
      <c r="EP50">
        <f t="shared" si="76"/>
        <v>2.006331411133835E-3</v>
      </c>
      <c r="EQ50">
        <f t="shared" si="76"/>
        <v>1.9296824958859371E-2</v>
      </c>
      <c r="ER50">
        <f t="shared" si="76"/>
        <v>2.4187019790151115E-2</v>
      </c>
      <c r="ES50">
        <f t="shared" si="76"/>
        <v>1.2354289919685169E-2</v>
      </c>
      <c r="ET50">
        <f t="shared" si="76"/>
        <v>1.6844209970281472E-2</v>
      </c>
      <c r="EU50">
        <f t="shared" si="76"/>
        <v>9.204486213878588E-3</v>
      </c>
      <c r="EV50">
        <f t="shared" si="76"/>
        <v>4.7144516300493822E-3</v>
      </c>
      <c r="EW50">
        <f t="shared" si="76"/>
        <v>1.7251482748556882E-2</v>
      </c>
      <c r="EX50">
        <f t="shared" si="76"/>
        <v>4.9764076287720262E-3</v>
      </c>
      <c r="EY50">
        <f t="shared" si="76"/>
        <v>3.4218365069561291E-3</v>
      </c>
      <c r="EZ50">
        <f t="shared" si="76"/>
        <v>7.4094955409871469E-3</v>
      </c>
      <c r="FA50">
        <f t="shared" si="76"/>
        <v>4.937472586813217E-3</v>
      </c>
      <c r="FB50">
        <f t="shared" si="76"/>
        <v>4.1377414747368786E-3</v>
      </c>
      <c r="FC50">
        <f t="shared" si="76"/>
        <v>9.0207186432043375E-3</v>
      </c>
      <c r="FD50">
        <f t="shared" si="76"/>
        <v>3.5665917047817504E-4</v>
      </c>
      <c r="FE50">
        <f t="shared" si="76"/>
        <v>4.6754681467358009E-3</v>
      </c>
      <c r="FF50">
        <f t="shared" si="76"/>
        <v>7.2457347673056281E-3</v>
      </c>
      <c r="FG50">
        <f t="shared" si="76"/>
        <v>1.5014508209218035E-3</v>
      </c>
      <c r="FH50">
        <f t="shared" ref="FH50:FT50" si="77">FH14/$C$32/$D$32</f>
        <v>2.8687330831740558E-3</v>
      </c>
      <c r="FI50">
        <f t="shared" si="77"/>
        <v>4.0022715753007271E-3</v>
      </c>
      <c r="FJ50">
        <f t="shared" si="77"/>
        <v>2.8555080310309947E-3</v>
      </c>
      <c r="FK50">
        <f t="shared" si="77"/>
        <v>5.9289941162711359E-3</v>
      </c>
      <c r="FL50">
        <f t="shared" si="77"/>
        <v>9.6729979978028954E-4</v>
      </c>
      <c r="FM50">
        <f t="shared" si="77"/>
        <v>1.2913706345197889E-3</v>
      </c>
      <c r="FN50">
        <f t="shared" si="77"/>
        <v>4.2646576130692844E-3</v>
      </c>
      <c r="FO50">
        <f t="shared" si="77"/>
        <v>1.0499725140812406E-3</v>
      </c>
      <c r="FP50">
        <f t="shared" si="77"/>
        <v>5.7095185732451259E-4</v>
      </c>
      <c r="FQ50">
        <f t="shared" si="77"/>
        <v>1.637500002795361E-3</v>
      </c>
      <c r="FR50">
        <f t="shared" si="77"/>
        <v>7.9434842433447614E-4</v>
      </c>
      <c r="FS50">
        <f t="shared" si="77"/>
        <v>1.5335312099349068E-4</v>
      </c>
      <c r="FT50">
        <f t="shared" si="77"/>
        <v>2.0298622566560829E-4</v>
      </c>
    </row>
    <row r="51" spans="1:176">
      <c r="A51" s="2" t="s">
        <v>23</v>
      </c>
      <c r="B51" t="s">
        <v>528</v>
      </c>
      <c r="C51">
        <f>C15/$C$33/$D$33*1000</f>
        <v>210.26021789486461</v>
      </c>
      <c r="D51">
        <f t="shared" ref="D51:AI51" si="78">D15/$C$33/$D$33</f>
        <v>4.2630439400117703</v>
      </c>
      <c r="E51">
        <f t="shared" si="78"/>
        <v>55.433595686480885</v>
      </c>
      <c r="F51">
        <f t="shared" si="78"/>
        <v>8.3362604761473111</v>
      </c>
      <c r="G51">
        <f t="shared" si="78"/>
        <v>6.7864798532841597</v>
      </c>
      <c r="H51">
        <f t="shared" si="78"/>
        <v>9.4355993220294607</v>
      </c>
      <c r="I51">
        <f t="shared" si="78"/>
        <v>3.9153341041890473</v>
      </c>
      <c r="J51">
        <f t="shared" si="78"/>
        <v>1.6433315356085738</v>
      </c>
      <c r="K51">
        <f t="shared" si="78"/>
        <v>1.8268176835951773</v>
      </c>
      <c r="L51">
        <f t="shared" si="78"/>
        <v>0.19570737992731327</v>
      </c>
      <c r="M51">
        <f t="shared" si="78"/>
        <v>0.91574112358111537</v>
      </c>
      <c r="N51">
        <f t="shared" si="78"/>
        <v>0.99370515729028985</v>
      </c>
      <c r="O51">
        <f t="shared" si="78"/>
        <v>0.15930717532639771</v>
      </c>
      <c r="P51">
        <f t="shared" si="78"/>
        <v>0.60638097634662891</v>
      </c>
      <c r="Q51">
        <f t="shared" si="78"/>
        <v>0.57725997270033902</v>
      </c>
      <c r="R51">
        <f t="shared" si="78"/>
        <v>0.36877721075806302</v>
      </c>
      <c r="S51">
        <f t="shared" si="78"/>
        <v>0.41881732145610062</v>
      </c>
      <c r="T51">
        <f t="shared" si="78"/>
        <v>0.70559742349689791</v>
      </c>
      <c r="U51">
        <f t="shared" si="78"/>
        <v>0.1028865385172425</v>
      </c>
      <c r="V51">
        <f t="shared" si="78"/>
        <v>0.32264422744506521</v>
      </c>
      <c r="W51">
        <f t="shared" si="78"/>
        <v>0.61283126796872944</v>
      </c>
      <c r="X51">
        <f t="shared" si="78"/>
        <v>0.50723695444761741</v>
      </c>
      <c r="Y51">
        <f t="shared" si="78"/>
        <v>0.10433990780035861</v>
      </c>
      <c r="Z51">
        <f t="shared" si="78"/>
        <v>0.23497594525766033</v>
      </c>
      <c r="AA51">
        <f t="shared" si="78"/>
        <v>0.19649962086612929</v>
      </c>
      <c r="AB51">
        <f t="shared" si="78"/>
        <v>0.1386650616207645</v>
      </c>
      <c r="AC51">
        <f t="shared" si="78"/>
        <v>0.394535861988211</v>
      </c>
      <c r="AD51">
        <f t="shared" si="78"/>
        <v>0.24250290179870229</v>
      </c>
      <c r="AE51">
        <f t="shared" si="78"/>
        <v>0.28205611323714769</v>
      </c>
      <c r="AF51">
        <f t="shared" si="78"/>
        <v>1.6539122856344828E-2</v>
      </c>
      <c r="AG51">
        <f t="shared" si="78"/>
        <v>0.17616432159894788</v>
      </c>
      <c r="AH51">
        <f t="shared" si="78"/>
        <v>5.2142292671328604E-2</v>
      </c>
      <c r="AI51">
        <f t="shared" si="78"/>
        <v>0.41827248363987224</v>
      </c>
      <c r="AJ51">
        <f t="shared" ref="AJ51:BO51" si="79">AJ15/$C$33/$D$33</f>
        <v>0.4907168084465201</v>
      </c>
      <c r="AK51">
        <f t="shared" si="79"/>
        <v>0.24889805724701208</v>
      </c>
      <c r="AL51">
        <f t="shared" si="79"/>
        <v>0.13574019601175913</v>
      </c>
      <c r="AM51">
        <f t="shared" si="79"/>
        <v>0.2563269845145752</v>
      </c>
      <c r="AN51">
        <f t="shared" si="79"/>
        <v>6.466679861704612E-2</v>
      </c>
      <c r="AO51">
        <f t="shared" si="79"/>
        <v>0.19524085855530418</v>
      </c>
      <c r="AP51">
        <f t="shared" si="79"/>
        <v>0.14170733558796608</v>
      </c>
      <c r="AQ51">
        <f t="shared" si="79"/>
        <v>0.403375241652705</v>
      </c>
      <c r="AR51">
        <f t="shared" si="79"/>
        <v>5.6901473133856489E-2</v>
      </c>
      <c r="AS51">
        <f t="shared" si="79"/>
        <v>0.32995855503514865</v>
      </c>
      <c r="AT51">
        <f t="shared" si="79"/>
        <v>0.17205278288492598</v>
      </c>
      <c r="AU51">
        <f t="shared" si="79"/>
        <v>0.10179688860882391</v>
      </c>
      <c r="AV51">
        <f t="shared" si="79"/>
        <v>0.22935019650336225</v>
      </c>
      <c r="AW51">
        <f t="shared" si="79"/>
        <v>0.18745887205128856</v>
      </c>
      <c r="AX51">
        <f t="shared" si="79"/>
        <v>0.12229706664223379</v>
      </c>
      <c r="AY51">
        <f t="shared" si="79"/>
        <v>0.28275052961664726</v>
      </c>
      <c r="AZ51">
        <f t="shared" si="79"/>
        <v>0.19592309867890212</v>
      </c>
      <c r="BA51">
        <f t="shared" si="79"/>
        <v>5.4913571901365976E-2</v>
      </c>
      <c r="BB51">
        <f t="shared" si="79"/>
        <v>0.18315775471629028</v>
      </c>
      <c r="BC51">
        <f t="shared" si="79"/>
        <v>0.22627688476331756</v>
      </c>
      <c r="BD51">
        <f t="shared" si="79"/>
        <v>0.18259136908598159</v>
      </c>
      <c r="BE51">
        <f t="shared" si="79"/>
        <v>0.19233304380406302</v>
      </c>
      <c r="BF51">
        <f t="shared" si="79"/>
        <v>4.9450929487945924E-2</v>
      </c>
      <c r="BG51">
        <f t="shared" si="79"/>
        <v>6.7396345767507818E-2</v>
      </c>
      <c r="BH51">
        <f t="shared" si="79"/>
        <v>6.5873681375652637E-2</v>
      </c>
      <c r="BI51">
        <f t="shared" si="79"/>
        <v>6.0307565528163701E-2</v>
      </c>
      <c r="BJ51">
        <f t="shared" si="79"/>
        <v>0.1265518702682952</v>
      </c>
      <c r="BK51">
        <f t="shared" si="79"/>
        <v>0.13956917564918084</v>
      </c>
      <c r="BL51">
        <f t="shared" si="79"/>
        <v>0.14824861038832671</v>
      </c>
      <c r="BM51">
        <f t="shared" si="79"/>
        <v>0.12618095354486675</v>
      </c>
      <c r="BN51">
        <f t="shared" si="79"/>
        <v>3.145940062957518E-3</v>
      </c>
      <c r="BO51">
        <f t="shared" si="79"/>
        <v>0.11978684769965507</v>
      </c>
      <c r="BP51">
        <f t="shared" ref="BP51:CU51" si="80">BP15/$C$33/$D$33</f>
        <v>0.10132044220332551</v>
      </c>
      <c r="BQ51">
        <f t="shared" si="80"/>
        <v>1.7770051819985845E-2</v>
      </c>
      <c r="BR51">
        <f t="shared" si="80"/>
        <v>7.3475674793956516E-2</v>
      </c>
      <c r="BS51">
        <f t="shared" si="80"/>
        <v>1.1695845374568536E-2</v>
      </c>
      <c r="BT51">
        <f t="shared" si="80"/>
        <v>3.595584756278998E-2</v>
      </c>
      <c r="BU51">
        <f t="shared" si="80"/>
        <v>1.8990178443547119E-2</v>
      </c>
      <c r="BV51">
        <f t="shared" si="80"/>
        <v>6.1647692509308932E-2</v>
      </c>
      <c r="BW51">
        <f t="shared" si="80"/>
        <v>7.039670762225848E-3</v>
      </c>
      <c r="BX51">
        <f t="shared" si="80"/>
        <v>4.6398819569280762E-2</v>
      </c>
      <c r="BY51">
        <f t="shared" si="80"/>
        <v>5.8347646612191537E-2</v>
      </c>
      <c r="BZ51">
        <f t="shared" si="80"/>
        <v>0.11235991072256252</v>
      </c>
      <c r="CA51">
        <f t="shared" si="80"/>
        <v>2.1670320114570625E-3</v>
      </c>
      <c r="CB51">
        <f t="shared" si="80"/>
        <v>2.5363409475672061E-2</v>
      </c>
      <c r="CC51">
        <f t="shared" si="80"/>
        <v>2.3215938441868731E-2</v>
      </c>
      <c r="CD51">
        <f t="shared" si="80"/>
        <v>4.8168291565214273E-2</v>
      </c>
      <c r="CE51">
        <f t="shared" si="80"/>
        <v>5.3331871029912534E-2</v>
      </c>
      <c r="CF51">
        <f t="shared" si="80"/>
        <v>1.7078981248344616E-2</v>
      </c>
      <c r="CG51">
        <f t="shared" si="80"/>
        <v>6.645297200610252E-2</v>
      </c>
      <c r="CH51">
        <f t="shared" si="80"/>
        <v>3.8318982069047686E-2</v>
      </c>
      <c r="CI51">
        <f t="shared" si="80"/>
        <v>5.8082857897742148E-4</v>
      </c>
      <c r="CJ51">
        <f t="shared" si="80"/>
        <v>7.85982917822282E-2</v>
      </c>
      <c r="CK51">
        <f t="shared" si="80"/>
        <v>4.36239174635073E-2</v>
      </c>
      <c r="CL51">
        <f t="shared" si="80"/>
        <v>4.4191722257301645E-3</v>
      </c>
      <c r="CM51">
        <f t="shared" si="80"/>
        <v>4.5216546773371308E-2</v>
      </c>
      <c r="CN51">
        <f t="shared" si="80"/>
        <v>7.0662671187835494E-2</v>
      </c>
      <c r="CO51">
        <f t="shared" si="80"/>
        <v>3.2497782755045099E-2</v>
      </c>
      <c r="CP51">
        <f t="shared" si="80"/>
        <v>2.5901371024803034E-2</v>
      </c>
      <c r="CQ51">
        <f t="shared" si="80"/>
        <v>9.3573612015241826E-3</v>
      </c>
      <c r="CR51">
        <f t="shared" si="80"/>
        <v>2.8318387602826459E-2</v>
      </c>
      <c r="CS51">
        <f t="shared" si="80"/>
        <v>5.1471093472759993E-2</v>
      </c>
      <c r="CT51">
        <f t="shared" si="80"/>
        <v>5.8416298837276649E-2</v>
      </c>
      <c r="CU51">
        <f t="shared" si="80"/>
        <v>1.4260416135930997E-2</v>
      </c>
      <c r="CV51">
        <f t="shared" ref="CV51:EA51" si="81">CV15/$C$33/$D$33</f>
        <v>5.2730564708731047E-2</v>
      </c>
      <c r="CW51">
        <f t="shared" si="81"/>
        <v>5.8194836289644489E-2</v>
      </c>
      <c r="CX51">
        <f t="shared" si="81"/>
        <v>3.2778362659605417E-2</v>
      </c>
      <c r="CY51">
        <f t="shared" si="81"/>
        <v>3.9301147999892476E-2</v>
      </c>
      <c r="CZ51">
        <f t="shared" si="81"/>
        <v>3.8758388759195059E-2</v>
      </c>
      <c r="DA51">
        <f t="shared" si="81"/>
        <v>8.2846540035893621E-3</v>
      </c>
      <c r="DB51">
        <f t="shared" si="81"/>
        <v>2.7230808414662466E-2</v>
      </c>
      <c r="DC51">
        <f t="shared" si="81"/>
        <v>4.17004042868186E-2</v>
      </c>
      <c r="DD51">
        <f t="shared" si="81"/>
        <v>2.9709456240778745E-3</v>
      </c>
      <c r="DE51">
        <f t="shared" si="81"/>
        <v>3.7497130119310731E-2</v>
      </c>
      <c r="DF51">
        <f t="shared" si="81"/>
        <v>3.7600313151800888E-2</v>
      </c>
      <c r="DG51">
        <f t="shared" si="81"/>
        <v>6.4977872928116701E-2</v>
      </c>
      <c r="DH51">
        <f t="shared" si="81"/>
        <v>1.8241488174847442E-2</v>
      </c>
      <c r="DI51">
        <f t="shared" si="81"/>
        <v>4.5698742849000926E-2</v>
      </c>
      <c r="DJ51">
        <f t="shared" si="81"/>
        <v>1.5168507551468138E-2</v>
      </c>
      <c r="DK51">
        <f t="shared" si="81"/>
        <v>3.6110978980270034E-2</v>
      </c>
      <c r="DL51">
        <f t="shared" si="81"/>
        <v>4.4836014096701245E-2</v>
      </c>
      <c r="DM51">
        <f t="shared" si="81"/>
        <v>1.7967037341144989E-2</v>
      </c>
      <c r="DN51">
        <f t="shared" si="81"/>
        <v>3.1027147557671535E-2</v>
      </c>
      <c r="DO51">
        <f t="shared" si="81"/>
        <v>3.6486603794347143E-2</v>
      </c>
      <c r="DP51">
        <f t="shared" si="81"/>
        <v>4.6602301801791359E-3</v>
      </c>
      <c r="DQ51">
        <f t="shared" si="81"/>
        <v>2.0706017524549265E-2</v>
      </c>
      <c r="DR51">
        <f t="shared" si="81"/>
        <v>3.7499834473385146E-2</v>
      </c>
      <c r="DS51">
        <f t="shared" si="81"/>
        <v>1.8836546815853995E-2</v>
      </c>
      <c r="DT51">
        <f t="shared" si="81"/>
        <v>1.5438908171570918E-4</v>
      </c>
      <c r="DU51">
        <f t="shared" si="81"/>
        <v>3.0428922885251678E-2</v>
      </c>
      <c r="DV51">
        <f t="shared" si="81"/>
        <v>1.0711270065317174E-2</v>
      </c>
      <c r="DW51">
        <f t="shared" si="81"/>
        <v>2.0843284284255345E-3</v>
      </c>
      <c r="DX51">
        <f t="shared" si="81"/>
        <v>3.7161961720341273E-2</v>
      </c>
      <c r="DY51">
        <f t="shared" si="81"/>
        <v>2.5346055167945029E-2</v>
      </c>
      <c r="DZ51">
        <f t="shared" si="81"/>
        <v>1.8503677002727658E-2</v>
      </c>
      <c r="EA51">
        <f t="shared" si="81"/>
        <v>1.565499263207424E-2</v>
      </c>
      <c r="EB51">
        <f t="shared" ref="EB51:FG51" si="82">EB15/$C$33/$D$33</f>
        <v>4.6037277962773418E-2</v>
      </c>
      <c r="EC51">
        <f t="shared" si="82"/>
        <v>8.6662413519789702E-3</v>
      </c>
      <c r="ED51">
        <f t="shared" si="82"/>
        <v>3.9352204607492475E-2</v>
      </c>
      <c r="EE51">
        <f t="shared" si="82"/>
        <v>3.1518976262986213E-2</v>
      </c>
      <c r="EF51">
        <f t="shared" si="82"/>
        <v>3.1394968240890819E-4</v>
      </c>
      <c r="EG51">
        <f t="shared" si="82"/>
        <v>1.2089012983721021E-2</v>
      </c>
      <c r="EH51">
        <f t="shared" si="82"/>
        <v>7.9592751379629813E-3</v>
      </c>
      <c r="EI51">
        <f t="shared" si="82"/>
        <v>1.6630601842718782E-2</v>
      </c>
      <c r="EJ51">
        <f t="shared" si="82"/>
        <v>1.343959888676032E-2</v>
      </c>
      <c r="EK51">
        <f t="shared" si="82"/>
        <v>2.48217093242976E-2</v>
      </c>
      <c r="EL51">
        <f t="shared" si="82"/>
        <v>1.5362416892904152E-2</v>
      </c>
      <c r="EM51">
        <f t="shared" si="82"/>
        <v>5.4944713843204937E-3</v>
      </c>
      <c r="EN51">
        <f t="shared" si="82"/>
        <v>2.2038558632342192E-2</v>
      </c>
      <c r="EO51">
        <f t="shared" si="82"/>
        <v>1.2921860324103017E-2</v>
      </c>
      <c r="EP51">
        <f t="shared" si="82"/>
        <v>8.9664279014982351E-4</v>
      </c>
      <c r="EQ51">
        <f t="shared" si="82"/>
        <v>2.4983065534404107E-2</v>
      </c>
      <c r="ER51">
        <f t="shared" si="82"/>
        <v>1.9201574732931829E-2</v>
      </c>
      <c r="ES51">
        <f t="shared" si="82"/>
        <v>1.3174597221380874E-3</v>
      </c>
      <c r="ET51">
        <f t="shared" si="82"/>
        <v>9.9372063701315162E-3</v>
      </c>
      <c r="EU51">
        <f t="shared" si="82"/>
        <v>1.1104799616455255E-2</v>
      </c>
      <c r="EV51">
        <f t="shared" si="82"/>
        <v>5.4235605790734671E-3</v>
      </c>
      <c r="EW51">
        <f t="shared" si="82"/>
        <v>9.9865310977002176E-3</v>
      </c>
      <c r="EX51">
        <f t="shared" si="82"/>
        <v>4.7800327193918257E-3</v>
      </c>
      <c r="EY51">
        <f t="shared" si="82"/>
        <v>9.2187017986300485E-3</v>
      </c>
      <c r="EZ51">
        <f t="shared" si="82"/>
        <v>5.1441691857133393E-3</v>
      </c>
      <c r="FA51">
        <f t="shared" si="82"/>
        <v>4.6232380646945145E-3</v>
      </c>
      <c r="FB51">
        <f t="shared" si="82"/>
        <v>2.6867292472490126E-3</v>
      </c>
      <c r="FC51">
        <f t="shared" si="82"/>
        <v>8.6880906003959403E-3</v>
      </c>
      <c r="FD51">
        <f t="shared" si="82"/>
        <v>4.5817954936273089E-4</v>
      </c>
      <c r="FE51">
        <f t="shared" si="82"/>
        <v>4.6726206919113708E-3</v>
      </c>
      <c r="FF51">
        <f t="shared" si="82"/>
        <v>7.136621897945449E-3</v>
      </c>
      <c r="FG51">
        <f t="shared" si="82"/>
        <v>1.9343977316121663E-3</v>
      </c>
      <c r="FH51">
        <f t="shared" ref="FH51:FT51" si="83">FH15/$C$33/$D$33</f>
        <v>2.7183319751689738E-3</v>
      </c>
      <c r="FI51">
        <f t="shared" si="83"/>
        <v>3.684348533408655E-3</v>
      </c>
      <c r="FJ51">
        <f t="shared" si="83"/>
        <v>6.3184471027925165E-4</v>
      </c>
      <c r="FK51">
        <f t="shared" si="83"/>
        <v>7.6579671366802469E-3</v>
      </c>
      <c r="FL51">
        <f t="shared" si="83"/>
        <v>1.8251047773645674E-4</v>
      </c>
      <c r="FM51">
        <f t="shared" si="83"/>
        <v>1.2599828161757511E-3</v>
      </c>
      <c r="FN51">
        <f t="shared" si="83"/>
        <v>6.6619711153998252E-3</v>
      </c>
      <c r="FO51">
        <f t="shared" si="83"/>
        <v>1.2889613344028513E-3</v>
      </c>
      <c r="FP51">
        <f t="shared" si="83"/>
        <v>1.0027842556762467E-3</v>
      </c>
      <c r="FQ51">
        <f t="shared" si="83"/>
        <v>2.5549545728820017E-3</v>
      </c>
      <c r="FR51">
        <f t="shared" si="83"/>
        <v>6.9036534347520593E-4</v>
      </c>
      <c r="FS51">
        <f t="shared" si="83"/>
        <v>9.4303623400056723E-5</v>
      </c>
      <c r="FT51">
        <f t="shared" si="83"/>
        <v>1.7935819016695818E-4</v>
      </c>
    </row>
    <row r="52" spans="1:176">
      <c r="A52" s="2" t="s">
        <v>24</v>
      </c>
      <c r="B52" t="s">
        <v>528</v>
      </c>
      <c r="C52">
        <f>C16/$C$34/$D$34*1000</f>
        <v>248.84933844562806</v>
      </c>
      <c r="D52">
        <f t="shared" ref="D52:AI52" si="84">D16/$C$34/$D$34</f>
        <v>19.857143362776466</v>
      </c>
      <c r="E52">
        <f t="shared" si="84"/>
        <v>52.146434043062882</v>
      </c>
      <c r="F52">
        <f t="shared" si="84"/>
        <v>11.210948366168553</v>
      </c>
      <c r="G52">
        <f t="shared" si="84"/>
        <v>4.4953903086461402</v>
      </c>
      <c r="H52">
        <f t="shared" si="84"/>
        <v>7.4923491563304863</v>
      </c>
      <c r="I52">
        <f t="shared" si="84"/>
        <v>4.7121241090444306</v>
      </c>
      <c r="J52">
        <f t="shared" si="84"/>
        <v>1.5624479435475782</v>
      </c>
      <c r="K52">
        <f t="shared" si="84"/>
        <v>1.6985138004246285</v>
      </c>
      <c r="L52">
        <f t="shared" si="84"/>
        <v>0.39414551664655917</v>
      </c>
      <c r="M52">
        <f t="shared" si="84"/>
        <v>0.98290204406725545</v>
      </c>
      <c r="N52">
        <f t="shared" si="84"/>
        <v>0.10458672953705749</v>
      </c>
      <c r="O52">
        <f t="shared" si="84"/>
        <v>0.13498037785167116</v>
      </c>
      <c r="P52">
        <f t="shared" si="84"/>
        <v>0.34937839334956389</v>
      </c>
      <c r="Q52">
        <f t="shared" si="84"/>
        <v>0.59780639368138322</v>
      </c>
      <c r="R52">
        <f t="shared" si="84"/>
        <v>0.50756600776931282</v>
      </c>
      <c r="S52">
        <f t="shared" si="84"/>
        <v>0.62686141174651078</v>
      </c>
      <c r="T52">
        <f t="shared" si="84"/>
        <v>0.58256989470095166</v>
      </c>
      <c r="U52">
        <f t="shared" si="84"/>
        <v>0.12984797721871785</v>
      </c>
      <c r="V52">
        <f t="shared" si="84"/>
        <v>0.30438591451984326</v>
      </c>
      <c r="W52">
        <f t="shared" si="84"/>
        <v>0.44498470290735598</v>
      </c>
      <c r="X52">
        <f t="shared" si="84"/>
        <v>0.35918700474467941</v>
      </c>
      <c r="Y52">
        <f t="shared" si="84"/>
        <v>9.1984174981229433E-2</v>
      </c>
      <c r="Z52">
        <f t="shared" si="84"/>
        <v>0.16960027021747984</v>
      </c>
      <c r="AA52">
        <f t="shared" si="84"/>
        <v>0.17843255477043177</v>
      </c>
      <c r="AB52">
        <f t="shared" si="84"/>
        <v>0.12393452518385917</v>
      </c>
      <c r="AC52">
        <f t="shared" si="84"/>
        <v>0.27721060370416017</v>
      </c>
      <c r="AD52">
        <f t="shared" si="84"/>
        <v>0.11660730677398887</v>
      </c>
      <c r="AE52">
        <f t="shared" si="84"/>
        <v>0.16677320144066626</v>
      </c>
      <c r="AF52">
        <f t="shared" si="84"/>
        <v>1.2430783752347494E-2</v>
      </c>
      <c r="AG52">
        <f t="shared" si="84"/>
        <v>9.7110810409555562E-2</v>
      </c>
      <c r="AH52">
        <f t="shared" si="84"/>
        <v>3.7352499059347809E-2</v>
      </c>
      <c r="AI52">
        <f t="shared" si="84"/>
        <v>0.2161053951257412</v>
      </c>
      <c r="AJ52">
        <f t="shared" ref="AJ52:BO52" si="85">AJ16/$C$34/$D$34</f>
        <v>0.30911270289612502</v>
      </c>
      <c r="AK52">
        <f t="shared" si="85"/>
        <v>0.20525121115157297</v>
      </c>
      <c r="AL52">
        <f t="shared" si="85"/>
        <v>0.13762895186358523</v>
      </c>
      <c r="AM52">
        <f t="shared" si="85"/>
        <v>0.21046974822091033</v>
      </c>
      <c r="AN52">
        <f t="shared" si="85"/>
        <v>0.16539865343601437</v>
      </c>
      <c r="AO52">
        <f t="shared" si="85"/>
        <v>0.1441089204936683</v>
      </c>
      <c r="AP52">
        <f t="shared" si="85"/>
        <v>0.13476181858068159</v>
      </c>
      <c r="AQ52">
        <f t="shared" si="85"/>
        <v>4.873932799492349E-2</v>
      </c>
      <c r="AR52">
        <f t="shared" si="85"/>
        <v>7.2045270447874621E-2</v>
      </c>
      <c r="AS52">
        <f t="shared" si="85"/>
        <v>0.1649603428803734</v>
      </c>
      <c r="AT52">
        <f t="shared" si="85"/>
        <v>0.132248555938934</v>
      </c>
      <c r="AU52">
        <f t="shared" si="85"/>
        <v>0.15171378748726136</v>
      </c>
      <c r="AV52">
        <f t="shared" si="85"/>
        <v>0.13224791991687662</v>
      </c>
      <c r="AW52">
        <f t="shared" si="85"/>
        <v>0.15648253815902483</v>
      </c>
      <c r="AX52">
        <f t="shared" si="85"/>
        <v>9.4572822926832764E-2</v>
      </c>
      <c r="AY52">
        <f t="shared" si="85"/>
        <v>0.16924663770679932</v>
      </c>
      <c r="AZ52">
        <f t="shared" si="85"/>
        <v>0.17215315351087454</v>
      </c>
      <c r="BA52">
        <f t="shared" si="85"/>
        <v>4.5099431528878131E-2</v>
      </c>
      <c r="BB52">
        <f t="shared" si="85"/>
        <v>0.19412698594026512</v>
      </c>
      <c r="BC52">
        <f t="shared" si="85"/>
        <v>0.20027992317971544</v>
      </c>
      <c r="BD52">
        <f t="shared" si="85"/>
        <v>0.2320136913494634</v>
      </c>
      <c r="BE52">
        <f t="shared" si="85"/>
        <v>8.986155034258296E-2</v>
      </c>
      <c r="BF52">
        <f t="shared" si="85"/>
        <v>4.4936460251261606E-2</v>
      </c>
      <c r="BG52">
        <f t="shared" si="85"/>
        <v>5.9090383900202631E-2</v>
      </c>
      <c r="BH52">
        <f t="shared" si="85"/>
        <v>4.9522039714622601E-2</v>
      </c>
      <c r="BI52">
        <f t="shared" si="85"/>
        <v>6.9177518393991472E-2</v>
      </c>
      <c r="BJ52">
        <f t="shared" si="85"/>
        <v>8.5653828994570733E-2</v>
      </c>
      <c r="BK52">
        <f t="shared" si="85"/>
        <v>0.15414361018955802</v>
      </c>
      <c r="BL52">
        <f t="shared" si="85"/>
        <v>8.5705505962361678E-2</v>
      </c>
      <c r="BM52">
        <f t="shared" si="85"/>
        <v>0.13296945986340458</v>
      </c>
      <c r="BN52">
        <f t="shared" si="85"/>
        <v>8.3032108512944101E-4</v>
      </c>
      <c r="BO52">
        <f t="shared" si="85"/>
        <v>0.12596977184602651</v>
      </c>
      <c r="BP52">
        <f t="shared" ref="BP52:CU52" si="86">BP16/$C$34/$D$34</f>
        <v>0.10196959927764954</v>
      </c>
      <c r="BQ52">
        <f t="shared" si="86"/>
        <v>1.5370419600199662E-2</v>
      </c>
      <c r="BR52">
        <f t="shared" si="86"/>
        <v>8.035188942865179E-2</v>
      </c>
      <c r="BS52">
        <f t="shared" si="86"/>
        <v>7.8995641954998242E-3</v>
      </c>
      <c r="BT52">
        <f t="shared" si="86"/>
        <v>3.3030773926479844E-2</v>
      </c>
      <c r="BU52">
        <f t="shared" si="86"/>
        <v>4.1044654772366823E-3</v>
      </c>
      <c r="BV52">
        <f t="shared" si="86"/>
        <v>7.4018668657936604E-2</v>
      </c>
      <c r="BW52">
        <f t="shared" si="86"/>
        <v>3.7718820741421959E-2</v>
      </c>
      <c r="BX52">
        <f t="shared" si="86"/>
        <v>3.8853070835244453E-2</v>
      </c>
      <c r="BY52">
        <f t="shared" si="86"/>
        <v>5.9526435792671577E-2</v>
      </c>
      <c r="BZ52">
        <f t="shared" si="86"/>
        <v>3.2676960991075095E-2</v>
      </c>
      <c r="CA52">
        <f t="shared" si="86"/>
        <v>1.4595078615684258E-3</v>
      </c>
      <c r="CB52">
        <f t="shared" si="86"/>
        <v>5.3477945604533311E-2</v>
      </c>
      <c r="CC52">
        <f t="shared" si="86"/>
        <v>1.7749005357440558E-2</v>
      </c>
      <c r="CD52">
        <f t="shared" si="86"/>
        <v>3.2920689201855806E-2</v>
      </c>
      <c r="CE52">
        <f t="shared" si="86"/>
        <v>4.8307873565465426E-2</v>
      </c>
      <c r="CF52">
        <f t="shared" si="86"/>
        <v>1.0237067794081865E-2</v>
      </c>
      <c r="CG52">
        <f t="shared" si="86"/>
        <v>7.6028477806486652E-2</v>
      </c>
      <c r="CH52">
        <f t="shared" si="86"/>
        <v>3.2777014437872704E-2</v>
      </c>
      <c r="CI52">
        <f t="shared" si="86"/>
        <v>3.5363885074536926E-4</v>
      </c>
      <c r="CJ52">
        <f t="shared" si="86"/>
        <v>6.8220602549946788E-2</v>
      </c>
      <c r="CK52">
        <f t="shared" si="86"/>
        <v>5.3210935282172599E-2</v>
      </c>
      <c r="CL52">
        <f t="shared" si="86"/>
        <v>1.1979951768235379E-3</v>
      </c>
      <c r="CM52">
        <f t="shared" si="86"/>
        <v>6.6428602114288846E-2</v>
      </c>
      <c r="CN52">
        <f t="shared" si="86"/>
        <v>3.2572918800239298E-2</v>
      </c>
      <c r="CO52">
        <f t="shared" si="86"/>
        <v>3.7811364352572326E-2</v>
      </c>
      <c r="CP52">
        <f t="shared" si="86"/>
        <v>3.877476738693289E-2</v>
      </c>
      <c r="CQ52">
        <f t="shared" si="86"/>
        <v>1.3056993879560067E-2</v>
      </c>
      <c r="CR52">
        <f t="shared" si="86"/>
        <v>1.8011026379591538E-2</v>
      </c>
      <c r="CS52">
        <f t="shared" si="86"/>
        <v>5.3342473378687152E-2</v>
      </c>
      <c r="CT52">
        <f t="shared" si="86"/>
        <v>5.8130357186426139E-2</v>
      </c>
      <c r="CU52">
        <f t="shared" si="86"/>
        <v>1.16525927341128E-2</v>
      </c>
      <c r="CV52">
        <f t="shared" ref="CV52:EA52" si="87">CV16/$C$34/$D$34</f>
        <v>4.6818003894052565E-2</v>
      </c>
      <c r="CW52">
        <f t="shared" si="87"/>
        <v>4.0108854278137596E-2</v>
      </c>
      <c r="CX52">
        <f t="shared" si="87"/>
        <v>2.164974121874038E-2</v>
      </c>
      <c r="CY52">
        <f t="shared" si="87"/>
        <v>7.5054078622428192E-3</v>
      </c>
      <c r="CZ52">
        <f t="shared" si="87"/>
        <v>4.3267047711051276E-2</v>
      </c>
      <c r="DA52">
        <f t="shared" si="87"/>
        <v>8.5648925433435205E-3</v>
      </c>
      <c r="DB52">
        <f t="shared" si="87"/>
        <v>2.2732848828913851E-2</v>
      </c>
      <c r="DC52">
        <f t="shared" si="87"/>
        <v>4.4786840354480204E-2</v>
      </c>
      <c r="DD52">
        <f t="shared" si="87"/>
        <v>2.2314825505813712E-3</v>
      </c>
      <c r="DE52">
        <f t="shared" si="87"/>
        <v>3.0925457289680398E-2</v>
      </c>
      <c r="DF52">
        <f t="shared" si="87"/>
        <v>4.9714713090029165E-2</v>
      </c>
      <c r="DG52">
        <f t="shared" si="87"/>
        <v>4.9827438017206911E-2</v>
      </c>
      <c r="DH52">
        <f t="shared" si="87"/>
        <v>2.0549730326409877E-2</v>
      </c>
      <c r="DI52">
        <f t="shared" si="87"/>
        <v>3.4875021753358895E-2</v>
      </c>
      <c r="DJ52">
        <f t="shared" si="87"/>
        <v>1.3711869586791136E-2</v>
      </c>
      <c r="DK52">
        <f t="shared" si="87"/>
        <v>2.0527884095348198E-2</v>
      </c>
      <c r="DL52">
        <f t="shared" si="87"/>
        <v>3.5920786702597185E-2</v>
      </c>
      <c r="DM52">
        <f t="shared" si="87"/>
        <v>2.6219076395156856E-2</v>
      </c>
      <c r="DN52">
        <f t="shared" si="87"/>
        <v>4.5687720527698907E-2</v>
      </c>
      <c r="DO52">
        <f t="shared" si="87"/>
        <v>2.1225899874509388E-2</v>
      </c>
      <c r="DP52">
        <f t="shared" si="87"/>
        <v>1.1238164815320032E-3</v>
      </c>
      <c r="DQ52">
        <f t="shared" si="87"/>
        <v>1.2557221076815908E-2</v>
      </c>
      <c r="DR52">
        <f t="shared" si="87"/>
        <v>4.0592358115687566E-2</v>
      </c>
      <c r="DS52">
        <f t="shared" si="87"/>
        <v>1.5858009727072513E-2</v>
      </c>
      <c r="DT52">
        <f t="shared" si="87"/>
        <v>2.7902471839928184E-5</v>
      </c>
      <c r="DU52">
        <f t="shared" si="87"/>
        <v>3.1524670403806319E-2</v>
      </c>
      <c r="DV52">
        <f t="shared" si="87"/>
        <v>1.4274018932578359E-2</v>
      </c>
      <c r="DW52">
        <f t="shared" si="87"/>
        <v>1.0755724290906418E-3</v>
      </c>
      <c r="DX52">
        <f t="shared" si="87"/>
        <v>2.5860917210735603E-2</v>
      </c>
      <c r="DY52">
        <f t="shared" si="87"/>
        <v>2.2214705245905172E-2</v>
      </c>
      <c r="DZ52">
        <f t="shared" si="87"/>
        <v>1.5653621401373052E-2</v>
      </c>
      <c r="EA52">
        <f t="shared" si="87"/>
        <v>7.5736991337667352E-3</v>
      </c>
      <c r="EB52">
        <f t="shared" ref="EB52:FG52" si="88">EB16/$C$34/$D$34</f>
        <v>2.9452088365017396E-2</v>
      </c>
      <c r="EC52">
        <f t="shared" si="88"/>
        <v>1.6911873570642543E-3</v>
      </c>
      <c r="ED52">
        <f t="shared" si="88"/>
        <v>2.7183397444963921E-2</v>
      </c>
      <c r="EE52">
        <f t="shared" si="88"/>
        <v>3.1375025216539232E-2</v>
      </c>
      <c r="EF52">
        <f t="shared" si="88"/>
        <v>2.5179489568671491E-4</v>
      </c>
      <c r="EG52">
        <f t="shared" si="88"/>
        <v>1.2970851125433143E-2</v>
      </c>
      <c r="EH52">
        <f t="shared" si="88"/>
        <v>8.3825000310925046E-3</v>
      </c>
      <c r="EI52">
        <f t="shared" si="88"/>
        <v>1.658443471236502E-2</v>
      </c>
      <c r="EJ52">
        <f t="shared" si="88"/>
        <v>2.4166226180071575E-2</v>
      </c>
      <c r="EK52">
        <f t="shared" si="88"/>
        <v>1.6396163842691488E-2</v>
      </c>
      <c r="EL52">
        <f t="shared" si="88"/>
        <v>7.7475218585420277E-3</v>
      </c>
      <c r="EM52">
        <f t="shared" si="88"/>
        <v>1.9255004728371513E-3</v>
      </c>
      <c r="EN52">
        <f t="shared" si="88"/>
        <v>8.0605031807743123E-3</v>
      </c>
      <c r="EO52">
        <f t="shared" si="88"/>
        <v>1.5150225726085348E-2</v>
      </c>
      <c r="EP52">
        <f t="shared" si="88"/>
        <v>2.8689311918099064E-3</v>
      </c>
      <c r="EQ52">
        <f t="shared" si="88"/>
        <v>2.0128682768221336E-2</v>
      </c>
      <c r="ER52">
        <f t="shared" si="88"/>
        <v>1.7253981548140604E-2</v>
      </c>
      <c r="ES52">
        <f t="shared" si="88"/>
        <v>1.1474349965034368E-3</v>
      </c>
      <c r="ET52">
        <f t="shared" si="88"/>
        <v>1.6015916851067843E-2</v>
      </c>
      <c r="EU52">
        <f t="shared" si="88"/>
        <v>3.9584662420021916E-3</v>
      </c>
      <c r="EV52">
        <f t="shared" si="88"/>
        <v>4.5561610986433101E-3</v>
      </c>
      <c r="EW52">
        <f t="shared" si="88"/>
        <v>7.9191882934960857E-3</v>
      </c>
      <c r="EX52">
        <f t="shared" si="88"/>
        <v>2.8577965420803512E-3</v>
      </c>
      <c r="EY52">
        <f t="shared" si="88"/>
        <v>3.2918929242719518E-3</v>
      </c>
      <c r="EZ52">
        <f t="shared" si="88"/>
        <v>1.4337862378690192E-2</v>
      </c>
      <c r="FA52">
        <f t="shared" si="88"/>
        <v>4.6240976715082004E-3</v>
      </c>
      <c r="FB52">
        <f t="shared" si="88"/>
        <v>2.5543595787243705E-3</v>
      </c>
      <c r="FC52">
        <f t="shared" si="88"/>
        <v>9.0840168867174723E-3</v>
      </c>
      <c r="FD52">
        <f t="shared" si="88"/>
        <v>2.3272866667062663E-4</v>
      </c>
      <c r="FE52">
        <f t="shared" si="88"/>
        <v>2.8323738568298857E-3</v>
      </c>
      <c r="FF52">
        <f t="shared" si="88"/>
        <v>6.0101670690453106E-3</v>
      </c>
      <c r="FG52">
        <f t="shared" si="88"/>
        <v>1.3691358414220757E-3</v>
      </c>
      <c r="FH52">
        <f t="shared" ref="FH52:FT52" si="89">FH16/$C$34/$D$34</f>
        <v>3.096955363599004E-3</v>
      </c>
      <c r="FI52">
        <f t="shared" si="89"/>
        <v>4.9334632592343795E-3</v>
      </c>
      <c r="FJ52">
        <f t="shared" si="89"/>
        <v>1.1769503181937868E-3</v>
      </c>
      <c r="FK52">
        <f t="shared" si="89"/>
        <v>7.0740387879096034E-3</v>
      </c>
      <c r="FL52">
        <f t="shared" si="89"/>
        <v>7.6702724590944698E-4</v>
      </c>
      <c r="FM52">
        <f t="shared" si="89"/>
        <v>1.1009204598087974E-3</v>
      </c>
      <c r="FN52">
        <f t="shared" si="89"/>
        <v>3.4648831027680651E-3</v>
      </c>
      <c r="FO52">
        <f t="shared" si="89"/>
        <v>1.1210124650886792E-3</v>
      </c>
      <c r="FP52">
        <f t="shared" si="89"/>
        <v>7.1761606071878723E-4</v>
      </c>
      <c r="FQ52">
        <f t="shared" si="89"/>
        <v>1.273354898900425E-3</v>
      </c>
      <c r="FR52">
        <f t="shared" si="89"/>
        <v>9.7438126247242505E-4</v>
      </c>
      <c r="FS52">
        <f t="shared" si="89"/>
        <v>8.4793618793080631E-5</v>
      </c>
      <c r="FT52">
        <f t="shared" si="89"/>
        <v>1.7031729401244535E-4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K192"/>
  <sheetViews>
    <sheetView zoomScale="108" zoomScaleNormal="88" workbookViewId="0">
      <pane ySplit="1" topLeftCell="A2" activePane="bottomLeft" state="frozen"/>
      <selection activeCell="E1" sqref="E1"/>
      <selection pane="bottomLeft" activeCell="C16" sqref="A1:AC175"/>
    </sheetView>
  </sheetViews>
  <sheetFormatPr baseColWidth="10" defaultColWidth="10" defaultRowHeight="15"/>
  <cols>
    <col min="1" max="1" width="22.83203125" style="8" customWidth="1"/>
    <col min="2" max="2" width="33.6640625" style="8" customWidth="1"/>
    <col min="3" max="3" width="16.6640625" style="8" customWidth="1"/>
    <col min="4" max="4" width="29.5" style="8" customWidth="1"/>
    <col min="5" max="5" width="26.6640625" style="8" customWidth="1"/>
    <col min="6" max="6" width="10.1640625" style="8" customWidth="1"/>
    <col min="7" max="7" width="12.5" style="8" customWidth="1"/>
    <col min="8" max="8" width="13" style="8" customWidth="1"/>
    <col min="9" max="9" width="16" style="8" customWidth="1"/>
    <col min="10" max="10" width="12.83203125" style="8" customWidth="1"/>
    <col min="11" max="11" width="16" style="8" customWidth="1"/>
    <col min="12" max="15" width="13" style="8" customWidth="1"/>
    <col min="16" max="23" width="12.83203125" style="8"/>
    <col min="24" max="26" width="10" style="8"/>
    <col min="29" max="29" width="14.33203125" customWidth="1"/>
    <col min="30" max="41" width="12.83203125" style="8"/>
    <col min="42" max="64" width="10" style="8"/>
    <col min="65" max="89" width="12.83203125" style="8"/>
    <col min="90" max="16384" width="10" style="8"/>
  </cols>
  <sheetData>
    <row r="1" spans="1:89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6" t="s">
        <v>5</v>
      </c>
      <c r="H1" s="2" t="s">
        <v>6</v>
      </c>
      <c r="I1" s="16" t="s">
        <v>7</v>
      </c>
      <c r="J1" s="16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37" t="s">
        <v>534</v>
      </c>
      <c r="Y1" s="38" t="s">
        <v>535</v>
      </c>
      <c r="Z1" s="38" t="s">
        <v>536</v>
      </c>
      <c r="AA1" s="32" t="s">
        <v>531</v>
      </c>
      <c r="AB1" s="32" t="s">
        <v>532</v>
      </c>
      <c r="AC1" s="32" t="s">
        <v>533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</row>
    <row r="2" spans="1:89">
      <c r="A2" s="10" t="s">
        <v>28</v>
      </c>
      <c r="B2" s="11" t="s">
        <v>29</v>
      </c>
      <c r="C2" s="1" t="s">
        <v>30</v>
      </c>
      <c r="D2" s="1">
        <v>-2.54</v>
      </c>
      <c r="E2" s="1">
        <v>150.01606000000001</v>
      </c>
      <c r="F2" s="1">
        <v>4.7869999999999999</v>
      </c>
      <c r="G2" s="17">
        <f>AVERAGE(L2:W2)</f>
        <v>7675715145.3019257</v>
      </c>
      <c r="H2" s="17">
        <v>47588057769.442902</v>
      </c>
      <c r="I2" s="17" t="e">
        <f>G2/#REF!</f>
        <v>#REF!</v>
      </c>
      <c r="J2" s="17" t="e">
        <f>H2/#REF!</f>
        <v>#REF!</v>
      </c>
      <c r="K2" s="1">
        <v>98.7</v>
      </c>
      <c r="L2" s="17">
        <v>381380343.47985601</v>
      </c>
      <c r="M2" s="17">
        <v>6797551463.7753801</v>
      </c>
      <c r="N2" s="17">
        <v>837227473.77092099</v>
      </c>
      <c r="O2" s="17">
        <v>43870216918.7528</v>
      </c>
      <c r="P2" s="17">
        <v>289585044.505436</v>
      </c>
      <c r="Q2" s="17">
        <v>214368409.14748499</v>
      </c>
      <c r="R2" s="17">
        <v>172338541.687518</v>
      </c>
      <c r="S2" s="17">
        <v>407355644.62323397</v>
      </c>
      <c r="T2" s="17">
        <v>508090345.71841902</v>
      </c>
      <c r="U2" s="17">
        <v>29596104993.5341</v>
      </c>
      <c r="V2" s="17">
        <v>1435705093.4418499</v>
      </c>
      <c r="W2" s="17">
        <v>7598657471.1861095</v>
      </c>
      <c r="X2" s="34">
        <f>AVERAGE(L2:N2)</f>
        <v>2672053093.6753855</v>
      </c>
      <c r="Y2" s="34">
        <f>AVERAGE(O2:Q2)</f>
        <v>14791390124.135241</v>
      </c>
      <c r="Z2" s="40">
        <f>Y2/X2</f>
        <v>5.5355899024408286</v>
      </c>
      <c r="AA2" s="33">
        <f>AVERAGE(R2:T2)</f>
        <v>362594844.00972366</v>
      </c>
      <c r="AB2" s="33">
        <f>AVERAGE(U2:W2)</f>
        <v>12876822519.387352</v>
      </c>
      <c r="AC2" s="39">
        <f>AB2/AA2</f>
        <v>35.51297745160997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</row>
    <row r="3" spans="1:89">
      <c r="A3" s="1" t="s">
        <v>431</v>
      </c>
      <c r="B3" s="1" t="s">
        <v>432</v>
      </c>
      <c r="C3" s="1" t="s">
        <v>433</v>
      </c>
      <c r="D3" s="1">
        <v>0.44</v>
      </c>
      <c r="E3" s="1">
        <v>133.07395</v>
      </c>
      <c r="F3" s="1">
        <v>8.423</v>
      </c>
      <c r="G3" s="17">
        <f>AVERAGE(L3:W3)</f>
        <v>4403730.7256507166</v>
      </c>
      <c r="H3" s="17">
        <v>39925437.625431098</v>
      </c>
      <c r="I3" s="17" t="e">
        <f>G3/#REF!</f>
        <v>#REF!</v>
      </c>
      <c r="J3" s="17" t="e">
        <f>H3/#REF!</f>
        <v>#REF!</v>
      </c>
      <c r="K3" s="1">
        <v>75.3</v>
      </c>
      <c r="L3" s="17">
        <v>214906.99258141901</v>
      </c>
      <c r="M3" s="17">
        <v>499193.45148235402</v>
      </c>
      <c r="N3" s="17">
        <v>1592956.48895685</v>
      </c>
      <c r="O3" s="17">
        <v>6007354.8667769097</v>
      </c>
      <c r="P3" s="17">
        <v>1500496.52280286</v>
      </c>
      <c r="Q3" s="17">
        <v>381039.61064349097</v>
      </c>
      <c r="R3" s="17">
        <v>104298.96114986901</v>
      </c>
      <c r="S3" s="17">
        <v>318258.11921142403</v>
      </c>
      <c r="T3" s="17">
        <v>1012510.15571966</v>
      </c>
      <c r="U3" s="17">
        <v>39925437.625431098</v>
      </c>
      <c r="V3" s="17">
        <v>729811.59478545096</v>
      </c>
      <c r="W3" s="17">
        <v>558504.31826721295</v>
      </c>
      <c r="X3" s="34">
        <f>AVERAGE(L3:N3)</f>
        <v>769018.97767354094</v>
      </c>
      <c r="Y3" s="34">
        <f>AVERAGE(O3:Q3)</f>
        <v>2629630.3334077536</v>
      </c>
      <c r="Z3" s="40">
        <f>Y3/X3</f>
        <v>3.4194609102664661</v>
      </c>
      <c r="AA3" s="33">
        <f>AVERAGE(R3:T3)</f>
        <v>478355.74536031764</v>
      </c>
      <c r="AB3" s="33">
        <f>AVERAGE(U3:W3)</f>
        <v>13737917.846161254</v>
      </c>
      <c r="AC3" s="39">
        <f>AB3/AA3</f>
        <v>28.71904012737064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</row>
    <row r="4" spans="1:89" s="6" customFormat="1">
      <c r="A4" s="23" t="s">
        <v>78</v>
      </c>
      <c r="B4" s="23" t="s">
        <v>79</v>
      </c>
      <c r="C4" s="23" t="s">
        <v>80</v>
      </c>
      <c r="D4" s="23">
        <v>-3.11</v>
      </c>
      <c r="E4" s="23">
        <v>88.015770000000003</v>
      </c>
      <c r="F4" s="23">
        <v>4.8600000000000003</v>
      </c>
      <c r="G4" s="24">
        <f>AVERAGE(L4:W4)</f>
        <v>159585065.84097278</v>
      </c>
      <c r="H4" s="24">
        <v>1189229318.7486801</v>
      </c>
      <c r="I4" s="24" t="e">
        <f>G4/#REF!</f>
        <v>#REF!</v>
      </c>
      <c r="J4" s="24" t="e">
        <f>H4/#REF!</f>
        <v>#REF!</v>
      </c>
      <c r="K4" s="23">
        <v>50</v>
      </c>
      <c r="L4" s="24">
        <v>17155360.894353699</v>
      </c>
      <c r="M4" s="24">
        <v>113089746.778017</v>
      </c>
      <c r="N4" s="24">
        <v>30859520.5061494</v>
      </c>
      <c r="O4" s="24">
        <v>1032338851.3994401</v>
      </c>
      <c r="P4" s="24">
        <v>9987271.6618025191</v>
      </c>
      <c r="Q4" s="24">
        <v>4597147.1698529804</v>
      </c>
      <c r="R4" s="24">
        <v>7451102.4539783699</v>
      </c>
      <c r="S4" s="24">
        <v>11002478.264964299</v>
      </c>
      <c r="T4" s="24">
        <v>12177862.779915201</v>
      </c>
      <c r="U4" s="24">
        <v>459625082.689758</v>
      </c>
      <c r="V4" s="24">
        <v>65910200.818860702</v>
      </c>
      <c r="W4" s="24">
        <v>150826164.67458099</v>
      </c>
      <c r="X4" s="34">
        <f>AVERAGE(L4:N4)</f>
        <v>53701542.726173371</v>
      </c>
      <c r="Y4" s="34">
        <f>AVERAGE(O4:Q4)</f>
        <v>348974423.41036516</v>
      </c>
      <c r="Z4" s="40">
        <f>Y4/X4</f>
        <v>6.4984059245709522</v>
      </c>
      <c r="AA4" s="33">
        <f>AVERAGE(R4:T4)</f>
        <v>10210481.166285956</v>
      </c>
      <c r="AB4" s="33">
        <f>AVERAGE(U4:W4)</f>
        <v>225453816.06106654</v>
      </c>
      <c r="AC4" s="39">
        <f>AB4/AA4</f>
        <v>22.080626014520622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</row>
    <row r="5" spans="1:89" s="31" customFormat="1">
      <c r="A5" s="1" t="s">
        <v>189</v>
      </c>
      <c r="B5" s="1" t="s">
        <v>190</v>
      </c>
      <c r="C5" s="1" t="s">
        <v>191</v>
      </c>
      <c r="D5" s="1">
        <v>-0.56000000000000005</v>
      </c>
      <c r="E5" s="1">
        <v>278.08589999999998</v>
      </c>
      <c r="F5" s="1">
        <v>1.014</v>
      </c>
      <c r="G5" s="17">
        <f>AVERAGE(L5:W5)</f>
        <v>36926094.987676382</v>
      </c>
      <c r="H5" s="17">
        <v>135848444.7166</v>
      </c>
      <c r="I5" s="17" t="e">
        <f>G5/#REF!</f>
        <v>#REF!</v>
      </c>
      <c r="J5" s="17" t="e">
        <f>H5/#REF!</f>
        <v>#REF!</v>
      </c>
      <c r="K5" s="1">
        <v>88.9</v>
      </c>
      <c r="L5" s="17">
        <v>17833598.1620658</v>
      </c>
      <c r="M5" s="17">
        <v>19945106.964369498</v>
      </c>
      <c r="N5" s="17">
        <v>19952985.582370799</v>
      </c>
      <c r="O5" s="17">
        <v>35178815.643895604</v>
      </c>
      <c r="P5" s="17">
        <v>135796611.86295399</v>
      </c>
      <c r="Q5" s="17">
        <v>20042830.808680799</v>
      </c>
      <c r="R5" s="17">
        <v>7105208.7145571103</v>
      </c>
      <c r="S5" s="17">
        <v>10370393.5065256</v>
      </c>
      <c r="T5" s="17">
        <v>9593282.1234486196</v>
      </c>
      <c r="U5" s="17">
        <v>12794968.632469799</v>
      </c>
      <c r="V5" s="17">
        <v>135848444.7166</v>
      </c>
      <c r="W5" s="17">
        <v>18650893.134179</v>
      </c>
      <c r="X5" s="34">
        <f>AVERAGE(L5:N5)</f>
        <v>19243896.902935367</v>
      </c>
      <c r="Y5" s="34">
        <f>AVERAGE(O5:Q5)</f>
        <v>63672752.771843463</v>
      </c>
      <c r="Z5" s="40">
        <f>Y5/X5</f>
        <v>3.3087244799223146</v>
      </c>
      <c r="AA5" s="33">
        <f>AVERAGE(R5:T5)</f>
        <v>9022961.4481771085</v>
      </c>
      <c r="AB5" s="33">
        <f>AVERAGE(U5:W5)</f>
        <v>55764768.827749602</v>
      </c>
      <c r="AC5" s="39">
        <f>AB5/AA5</f>
        <v>6.1803177535481604</v>
      </c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</row>
    <row r="6" spans="1:89" s="6" customFormat="1" ht="18" customHeight="1">
      <c r="A6" s="1" t="s">
        <v>511</v>
      </c>
      <c r="B6" s="1" t="s">
        <v>512</v>
      </c>
      <c r="C6" s="1" t="s">
        <v>343</v>
      </c>
      <c r="D6" s="1">
        <v>-0.45</v>
      </c>
      <c r="E6" s="1">
        <v>166.02653000000001</v>
      </c>
      <c r="F6" s="1">
        <v>15.491</v>
      </c>
      <c r="G6" s="17">
        <f>AVERAGE(L6:W6)</f>
        <v>98118.9540705416</v>
      </c>
      <c r="H6" s="17">
        <v>4540143.9699534196</v>
      </c>
      <c r="I6" s="17" t="e">
        <f>G6/#REF!</f>
        <v>#REF!</v>
      </c>
      <c r="J6" s="17" t="e">
        <f>H6/#REF!</f>
        <v>#REF!</v>
      </c>
      <c r="K6" s="1">
        <v>56</v>
      </c>
      <c r="L6" s="17">
        <v>111334.186744569</v>
      </c>
      <c r="M6" s="17">
        <v>130467.431898757</v>
      </c>
      <c r="N6" s="17">
        <v>79409.971606560794</v>
      </c>
      <c r="O6" s="17">
        <v>85279.887953016601</v>
      </c>
      <c r="P6" s="17">
        <v>118569.45142339201</v>
      </c>
      <c r="Q6" s="17">
        <v>189157.81380426901</v>
      </c>
      <c r="R6" s="17">
        <v>10898.773261823901</v>
      </c>
      <c r="S6" s="17">
        <v>10919.0355374393</v>
      </c>
      <c r="T6" s="17">
        <v>75828.455270100094</v>
      </c>
      <c r="U6" s="17">
        <v>122199.645377102</v>
      </c>
      <c r="V6" s="17">
        <v>154305.40289696099</v>
      </c>
      <c r="W6" s="17">
        <v>89057.393072508596</v>
      </c>
      <c r="X6" s="34">
        <f>AVERAGE(L6:N6)</f>
        <v>107070.5300832956</v>
      </c>
      <c r="Y6" s="34">
        <f>AVERAGE(O6:Q6)</f>
        <v>131002.3843935592</v>
      </c>
      <c r="Z6" s="40">
        <f>Y6/X6</f>
        <v>1.2235148578385275</v>
      </c>
      <c r="AA6" s="33">
        <f>AVERAGE(R6:T6)</f>
        <v>32548.754689787766</v>
      </c>
      <c r="AB6" s="33">
        <f>AVERAGE(U6:W6)</f>
        <v>121854.14711552385</v>
      </c>
      <c r="AC6" s="39">
        <f>AB6/AA6</f>
        <v>3.7437422192301515</v>
      </c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</row>
    <row r="7" spans="1:89" s="25" customFormat="1">
      <c r="A7" s="12" t="s">
        <v>31</v>
      </c>
      <c r="B7" s="12" t="s">
        <v>32</v>
      </c>
      <c r="C7" s="12" t="s">
        <v>33</v>
      </c>
      <c r="D7" s="12">
        <v>-2.5499999999999998</v>
      </c>
      <c r="E7" s="12">
        <v>104.01069</v>
      </c>
      <c r="F7" s="12">
        <v>3.7080000000000002</v>
      </c>
      <c r="G7" s="18">
        <f>AVERAGE(L7:W7)</f>
        <v>4437572827.2659864</v>
      </c>
      <c r="H7" s="18">
        <v>52706146395.6688</v>
      </c>
      <c r="I7" s="18" t="e">
        <f>G7/#REF!</f>
        <v>#REF!</v>
      </c>
      <c r="J7" s="18" t="e">
        <f>H7/#REF!</f>
        <v>#REF!</v>
      </c>
      <c r="K7" s="12">
        <v>86.5</v>
      </c>
      <c r="L7" s="18">
        <v>76147916.005150199</v>
      </c>
      <c r="M7" s="18">
        <v>8910851.7623568494</v>
      </c>
      <c r="N7" s="18">
        <v>130471968.946053</v>
      </c>
      <c r="O7" s="18">
        <v>52706146395.6688</v>
      </c>
      <c r="P7" s="18">
        <v>11639612.213617301</v>
      </c>
      <c r="Q7" s="18">
        <v>42253093.132016703</v>
      </c>
      <c r="R7" s="18">
        <v>7320350.3158884998</v>
      </c>
      <c r="S7" s="18">
        <v>18495673.332985699</v>
      </c>
      <c r="T7" s="18">
        <v>37212053.567969799</v>
      </c>
      <c r="U7" s="18">
        <v>46238487.185549602</v>
      </c>
      <c r="V7" s="18">
        <v>70811295.878647894</v>
      </c>
      <c r="W7" s="18">
        <v>95226229.182806298</v>
      </c>
      <c r="X7" s="34">
        <f>AVERAGE(L7:N7)</f>
        <v>71843578.90452002</v>
      </c>
      <c r="Y7" s="34">
        <f>AVERAGE(O7:Q7)</f>
        <v>17586679700.338146</v>
      </c>
      <c r="Z7" s="40">
        <f>Y7/X7</f>
        <v>244.79125300412457</v>
      </c>
      <c r="AA7" s="33">
        <f>AVERAGE(R7:T7)</f>
        <v>21009359.072281335</v>
      </c>
      <c r="AB7" s="33">
        <f>AVERAGE(U7:W7)</f>
        <v>70758670.749001265</v>
      </c>
      <c r="AC7" s="39">
        <f>AB7/AA7</f>
        <v>3.3679595129751774</v>
      </c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</row>
    <row r="8" spans="1:89" s="31" customFormat="1">
      <c r="A8" s="1" t="s">
        <v>212</v>
      </c>
      <c r="B8" s="1" t="s">
        <v>213</v>
      </c>
      <c r="C8" s="1" t="s">
        <v>214</v>
      </c>
      <c r="D8" s="1">
        <v>-1.91</v>
      </c>
      <c r="E8" s="1">
        <v>169.00416999999999</v>
      </c>
      <c r="F8" s="1">
        <v>9.9220000000000006</v>
      </c>
      <c r="G8" s="17">
        <f>AVERAGE(L8:W8)</f>
        <v>30673759.372116596</v>
      </c>
      <c r="H8" s="17">
        <v>93215807.536595404</v>
      </c>
      <c r="I8" s="17" t="e">
        <f>G8/#REF!</f>
        <v>#REF!</v>
      </c>
      <c r="J8" s="17" t="e">
        <f>H8/#REF!</f>
        <v>#REF!</v>
      </c>
      <c r="K8" s="1">
        <v>87.6</v>
      </c>
      <c r="L8" s="17">
        <v>7548172.2810308002</v>
      </c>
      <c r="M8" s="17">
        <v>13357130.7703768</v>
      </c>
      <c r="N8" s="17">
        <v>7289833.1082414696</v>
      </c>
      <c r="O8" s="17">
        <v>8191755.4352875398</v>
      </c>
      <c r="P8" s="17">
        <v>6565757.1091779396</v>
      </c>
      <c r="Q8" s="17">
        <v>16139063.477790199</v>
      </c>
      <c r="R8" s="17">
        <v>51843427.361375101</v>
      </c>
      <c r="S8" s="17">
        <v>14402645.7984145</v>
      </c>
      <c r="T8" s="17">
        <v>17671477.139326099</v>
      </c>
      <c r="U8" s="17">
        <v>93215807.536595404</v>
      </c>
      <c r="V8" s="17">
        <v>65982850.436074398</v>
      </c>
      <c r="W8" s="17">
        <v>65877192.0117089</v>
      </c>
      <c r="X8" s="34">
        <f>AVERAGE(L8:N8)</f>
        <v>9398378.7198830228</v>
      </c>
      <c r="Y8" s="34">
        <f>AVERAGE(O8:Q8)</f>
        <v>10298858.674085226</v>
      </c>
      <c r="Z8" s="40">
        <f>Y8/X8</f>
        <v>1.0958122651832667</v>
      </c>
      <c r="AA8" s="33">
        <f>AVERAGE(R8:T8)</f>
        <v>27972516.766371902</v>
      </c>
      <c r="AB8" s="33">
        <f>AVERAGE(U8:W8)</f>
        <v>75025283.328126237</v>
      </c>
      <c r="AC8" s="39">
        <f>AB8/AA8</f>
        <v>2.6821070107756766</v>
      </c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</row>
    <row r="9" spans="1:89">
      <c r="A9" s="1" t="s">
        <v>359</v>
      </c>
      <c r="B9" s="1" t="s">
        <v>360</v>
      </c>
      <c r="C9" s="1" t="s">
        <v>361</v>
      </c>
      <c r="D9" s="1">
        <v>-2.86</v>
      </c>
      <c r="E9" s="1">
        <v>204.04167000000001</v>
      </c>
      <c r="F9" s="1">
        <v>1.647</v>
      </c>
      <c r="G9" s="17">
        <f>AVERAGE(L9:W9)</f>
        <v>8084891.7448730953</v>
      </c>
      <c r="H9" s="17">
        <v>21883204.685818199</v>
      </c>
      <c r="I9" s="17" t="e">
        <f>G9/#REF!</f>
        <v>#REF!</v>
      </c>
      <c r="J9" s="17" t="e">
        <f>H9/#REF!</f>
        <v>#REF!</v>
      </c>
      <c r="K9" s="1">
        <v>82.7</v>
      </c>
      <c r="L9" s="17">
        <v>4583755.5064418996</v>
      </c>
      <c r="M9" s="17">
        <v>5366635.5855663</v>
      </c>
      <c r="N9" s="17">
        <v>3356795.8038173802</v>
      </c>
      <c r="O9" s="17">
        <v>114507.632647144</v>
      </c>
      <c r="P9" s="17">
        <v>6104684.5733502395</v>
      </c>
      <c r="Q9" s="17">
        <v>114255.629268695</v>
      </c>
      <c r="R9" s="17">
        <v>543223.55746654805</v>
      </c>
      <c r="S9" s="17">
        <v>6041306.5608207397</v>
      </c>
      <c r="T9" s="17">
        <v>14935575.380266801</v>
      </c>
      <c r="U9" s="17">
        <v>14907479.9681269</v>
      </c>
      <c r="V9" s="17">
        <v>21883204.685818199</v>
      </c>
      <c r="W9" s="17">
        <v>19067276.0548863</v>
      </c>
      <c r="X9" s="34">
        <f>AVERAGE(L9:N9)</f>
        <v>4435728.9652751936</v>
      </c>
      <c r="Y9" s="34">
        <f>AVERAGE(O9:Q9)</f>
        <v>2111149.278422026</v>
      </c>
      <c r="Z9" s="40">
        <f>Y9/X9</f>
        <v>0.4759419015338891</v>
      </c>
      <c r="AA9" s="33">
        <f>AVERAGE(R9:T9)</f>
        <v>7173368.4995180294</v>
      </c>
      <c r="AB9" s="33">
        <f>AVERAGE(U9:W9)</f>
        <v>18619320.236277133</v>
      </c>
      <c r="AC9" s="39">
        <f>AB9/AA9</f>
        <v>2.5956174198395279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</row>
    <row r="10" spans="1:89" s="6" customFormat="1">
      <c r="A10" s="1" t="s">
        <v>404</v>
      </c>
      <c r="B10" s="1" t="s">
        <v>405</v>
      </c>
      <c r="C10" s="1" t="s">
        <v>406</v>
      </c>
      <c r="D10" s="1">
        <v>-0.93</v>
      </c>
      <c r="E10" s="1">
        <v>136.03704999999999</v>
      </c>
      <c r="F10" s="1">
        <v>8.548</v>
      </c>
      <c r="G10" s="17">
        <f>AVERAGE(L10:W10)</f>
        <v>6183742.8516564891</v>
      </c>
      <c r="H10" s="17">
        <v>65937868.206726998</v>
      </c>
      <c r="I10" s="17" t="e">
        <f>G10/#REF!</f>
        <v>#REF!</v>
      </c>
      <c r="J10" s="17" t="e">
        <f>H10/#REF!</f>
        <v>#REF!</v>
      </c>
      <c r="K10" s="1">
        <v>98.5</v>
      </c>
      <c r="L10" s="17">
        <v>541738.08248628594</v>
      </c>
      <c r="M10" s="17">
        <v>3328477.1542022298</v>
      </c>
      <c r="N10" s="17">
        <v>65937868.206726998</v>
      </c>
      <c r="O10" s="17">
        <v>478130.57953668898</v>
      </c>
      <c r="P10" s="17">
        <v>561664.36464040296</v>
      </c>
      <c r="Q10" s="17">
        <v>439790.88825270702</v>
      </c>
      <c r="R10" s="17">
        <v>260165.38183914201</v>
      </c>
      <c r="S10" s="17">
        <v>222588.927995948</v>
      </c>
      <c r="T10" s="17">
        <v>352563.91945060302</v>
      </c>
      <c r="U10" s="17">
        <v>704703.310277774</v>
      </c>
      <c r="V10" s="17">
        <v>1059487.59515681</v>
      </c>
      <c r="W10" s="17">
        <v>317735.80931230198</v>
      </c>
      <c r="X10" s="34">
        <f>AVERAGE(L10:N10)</f>
        <v>23269361.147805169</v>
      </c>
      <c r="Y10" s="34">
        <f>AVERAGE(O10:Q10)</f>
        <v>493195.27747659967</v>
      </c>
      <c r="Z10" s="40">
        <f>Y10/X10</f>
        <v>2.119505019256273E-2</v>
      </c>
      <c r="AA10" s="33">
        <f>AVERAGE(R10:T10)</f>
        <v>278439.4097618977</v>
      </c>
      <c r="AB10" s="33">
        <f>AVERAGE(U10:W10)</f>
        <v>693975.57158229535</v>
      </c>
      <c r="AC10" s="39">
        <f>AB10/AA10</f>
        <v>2.4923755303738639</v>
      </c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</row>
    <row r="11" spans="1:89" s="31" customFormat="1" ht="82" customHeight="1">
      <c r="A11" s="1" t="s">
        <v>372</v>
      </c>
      <c r="B11" s="1" t="s">
        <v>373</v>
      </c>
      <c r="C11" s="1" t="s">
        <v>374</v>
      </c>
      <c r="D11" s="1">
        <v>-0.52</v>
      </c>
      <c r="E11" s="1">
        <v>607.08124999999995</v>
      </c>
      <c r="F11" s="1">
        <v>15.27</v>
      </c>
      <c r="G11" s="17">
        <f>AVERAGE(L11:W11)</f>
        <v>7552596.1657959232</v>
      </c>
      <c r="H11" s="17">
        <v>15955102.199000601</v>
      </c>
      <c r="I11" s="17" t="e">
        <f>G11/#REF!</f>
        <v>#REF!</v>
      </c>
      <c r="J11" s="17" t="e">
        <f>H11/#REF!</f>
        <v>#REF!</v>
      </c>
      <c r="K11" s="1">
        <v>90.9</v>
      </c>
      <c r="L11" s="17">
        <v>3120055.32333712</v>
      </c>
      <c r="M11" s="17">
        <v>4499232.7044048598</v>
      </c>
      <c r="N11" s="17">
        <v>5285010.3506476805</v>
      </c>
      <c r="O11" s="17">
        <v>9030911.2192910593</v>
      </c>
      <c r="P11" s="17">
        <v>6011056.7798758</v>
      </c>
      <c r="Q11" s="17">
        <v>6901871.6671371199</v>
      </c>
      <c r="R11" s="17">
        <v>9444034.1933367401</v>
      </c>
      <c r="S11" s="17">
        <v>2601440.4653659798</v>
      </c>
      <c r="T11" s="17">
        <v>4127262.6427434399</v>
      </c>
      <c r="U11" s="17">
        <v>15955102.199000601</v>
      </c>
      <c r="V11" s="17">
        <v>13253009.2084828</v>
      </c>
      <c r="W11" s="17">
        <v>10402167.2359279</v>
      </c>
      <c r="X11" s="34">
        <f>AVERAGE(L11:N11)</f>
        <v>4301432.7927965531</v>
      </c>
      <c r="Y11" s="34">
        <f>AVERAGE(O11:Q11)</f>
        <v>7314613.2221013261</v>
      </c>
      <c r="Z11" s="40">
        <f>Y11/X11</f>
        <v>1.7005062207064661</v>
      </c>
      <c r="AA11" s="33">
        <f>AVERAGE(R11:T11)</f>
        <v>5390912.4338153871</v>
      </c>
      <c r="AB11" s="33">
        <f>AVERAGE(U11:W11)</f>
        <v>13203426.214470433</v>
      </c>
      <c r="AC11" s="39">
        <f>AB11/AA11</f>
        <v>2.4492006458219882</v>
      </c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</row>
    <row r="12" spans="1:89">
      <c r="A12" s="9" t="s">
        <v>455</v>
      </c>
      <c r="B12" s="9" t="s">
        <v>456</v>
      </c>
      <c r="C12" s="9" t="s">
        <v>457</v>
      </c>
      <c r="D12" s="9">
        <v>0.44</v>
      </c>
      <c r="E12" s="9">
        <v>103.09992</v>
      </c>
      <c r="F12" s="9">
        <v>12.872999999999999</v>
      </c>
      <c r="G12" s="19">
        <f>AVERAGE(L12:W12)</f>
        <v>158714.67202913514</v>
      </c>
      <c r="H12" s="19">
        <v>32832923.704275701</v>
      </c>
      <c r="I12" s="19" t="e">
        <f>G12/#REF!</f>
        <v>#REF!</v>
      </c>
      <c r="J12" s="19" t="e">
        <f>H12/#REF!</f>
        <v>#REF!</v>
      </c>
      <c r="K12" s="9">
        <v>76.3</v>
      </c>
      <c r="L12" s="19">
        <v>217685.00762024501</v>
      </c>
      <c r="M12" s="19">
        <v>506262.59161380801</v>
      </c>
      <c r="N12" s="19">
        <v>106228.611635535</v>
      </c>
      <c r="O12" s="19">
        <v>132443.26133714401</v>
      </c>
      <c r="P12" s="19">
        <v>45398.237800457297</v>
      </c>
      <c r="Q12" s="19">
        <v>145216.00202956601</v>
      </c>
      <c r="R12" s="19">
        <v>11975.968008968101</v>
      </c>
      <c r="S12" s="19">
        <v>12576.3271028773</v>
      </c>
      <c r="T12" s="19">
        <v>197803.55116635701</v>
      </c>
      <c r="U12" s="19">
        <v>198049.811777225</v>
      </c>
      <c r="V12" s="19">
        <v>195611.06124844999</v>
      </c>
      <c r="W12" s="19">
        <v>135325.63300898901</v>
      </c>
      <c r="X12" s="34">
        <f>AVERAGE(L12:N12)</f>
        <v>276725.40362319601</v>
      </c>
      <c r="Y12" s="34">
        <f>AVERAGE(O12:Q12)</f>
        <v>107685.83372238911</v>
      </c>
      <c r="Z12" s="40">
        <f>Y12/X12</f>
        <v>0.38914328902387241</v>
      </c>
      <c r="AA12" s="33">
        <f>AVERAGE(R12:T12)</f>
        <v>74118.615426067467</v>
      </c>
      <c r="AB12" s="33">
        <f>AVERAGE(U12:W12)</f>
        <v>176328.83534488801</v>
      </c>
      <c r="AC12" s="39">
        <f>AB12/AA12</f>
        <v>2.379008759557498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</row>
    <row r="13" spans="1:89" ht="16" customHeight="1">
      <c r="A13" s="1" t="s">
        <v>460</v>
      </c>
      <c r="B13" s="1" t="s">
        <v>461</v>
      </c>
      <c r="C13" s="1" t="s">
        <v>462</v>
      </c>
      <c r="D13" s="1">
        <v>2.2599999999999998</v>
      </c>
      <c r="E13" s="1">
        <v>108.06899</v>
      </c>
      <c r="F13" s="1">
        <v>11.680999999999999</v>
      </c>
      <c r="G13" s="17">
        <f>AVERAGE(L13:W13)</f>
        <v>780217.63275183656</v>
      </c>
      <c r="H13" s="17">
        <v>23385154.168354299</v>
      </c>
      <c r="I13" s="17" t="e">
        <f>G13/#REF!</f>
        <v>#REF!</v>
      </c>
      <c r="J13" s="17" t="e">
        <f>H13/#REF!</f>
        <v>#REF!</v>
      </c>
      <c r="K13" s="1">
        <v>80.7</v>
      </c>
      <c r="L13" s="17">
        <v>795479.80788813601</v>
      </c>
      <c r="M13" s="17">
        <v>973953.27861554699</v>
      </c>
      <c r="N13" s="17">
        <v>1006717.60585177</v>
      </c>
      <c r="O13" s="17">
        <v>906892.80108760996</v>
      </c>
      <c r="P13" s="17">
        <v>1015367.7716036</v>
      </c>
      <c r="Q13" s="17">
        <v>858438.05048202199</v>
      </c>
      <c r="R13" s="17">
        <v>50571.315600374903</v>
      </c>
      <c r="S13" s="17">
        <v>53115.566913545197</v>
      </c>
      <c r="T13" s="17">
        <v>1058236.95715366</v>
      </c>
      <c r="U13" s="17">
        <v>789372.41876999103</v>
      </c>
      <c r="V13" s="17">
        <v>1000553.0848025</v>
      </c>
      <c r="W13" s="17">
        <v>853912.93425328401</v>
      </c>
      <c r="X13" s="34">
        <f>AVERAGE(L13:N13)</f>
        <v>925383.56411848438</v>
      </c>
      <c r="Y13" s="34">
        <f>AVERAGE(O13:Q13)</f>
        <v>926899.54105774406</v>
      </c>
      <c r="Z13" s="40">
        <f>Y13/X13</f>
        <v>1.0016382146798812</v>
      </c>
      <c r="AA13" s="33">
        <f>AVERAGE(R13:T13)</f>
        <v>387307.94655586005</v>
      </c>
      <c r="AB13" s="33">
        <f>AVERAGE(U13:W13)</f>
        <v>881279.47927525826</v>
      </c>
      <c r="AC13" s="39">
        <f>AB13/AA13</f>
        <v>2.2753973604519224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</row>
    <row r="14" spans="1:89">
      <c r="A14" s="1" t="s">
        <v>341</v>
      </c>
      <c r="B14" s="1" t="s">
        <v>342</v>
      </c>
      <c r="C14" s="1" t="s">
        <v>343</v>
      </c>
      <c r="D14" s="1">
        <v>0.05</v>
      </c>
      <c r="E14" s="1">
        <v>166.02662000000001</v>
      </c>
      <c r="F14" s="1">
        <v>1.155</v>
      </c>
      <c r="G14" s="17">
        <f>AVERAGE(L14:W14)</f>
        <v>8976695.4240571372</v>
      </c>
      <c r="H14" s="17">
        <v>21376343.122194801</v>
      </c>
      <c r="I14" s="17" t="e">
        <f>G14/#REF!</f>
        <v>#REF!</v>
      </c>
      <c r="J14" s="17" t="e">
        <f>H14/#REF!</f>
        <v>#REF!</v>
      </c>
      <c r="K14" s="1">
        <v>87.1</v>
      </c>
      <c r="L14" s="17">
        <v>7554947.5896573197</v>
      </c>
      <c r="M14" s="17">
        <v>10737067.989403499</v>
      </c>
      <c r="N14" s="17">
        <v>9848912.1785133891</v>
      </c>
      <c r="O14" s="17">
        <v>12183902.689304899</v>
      </c>
      <c r="P14" s="17">
        <v>6855402.2007551398</v>
      </c>
      <c r="Q14" s="17">
        <v>8892205.2834705301</v>
      </c>
      <c r="R14" s="17">
        <v>394910.39111698698</v>
      </c>
      <c r="S14" s="17">
        <v>9308277.0252350904</v>
      </c>
      <c r="T14" s="17">
        <v>6561333.3153597396</v>
      </c>
      <c r="U14" s="17">
        <v>21376343.122194801</v>
      </c>
      <c r="V14" s="17">
        <v>6143356.2152107302</v>
      </c>
      <c r="W14" s="17">
        <v>7863687.0884635104</v>
      </c>
      <c r="X14" s="34">
        <f>AVERAGE(L14:N14)</f>
        <v>9380309.2525247354</v>
      </c>
      <c r="Y14" s="34">
        <f>AVERAGE(O14:Q14)</f>
        <v>9310503.3911768552</v>
      </c>
      <c r="Z14" s="40">
        <f>Y14/X14</f>
        <v>0.99255825586676771</v>
      </c>
      <c r="AA14" s="33">
        <f>AVERAGE(R14:T14)</f>
        <v>5421506.9105706057</v>
      </c>
      <c r="AB14" s="33">
        <f>AVERAGE(U14:W14)</f>
        <v>11794462.141956346</v>
      </c>
      <c r="AC14" s="39">
        <f>AB14/AA14</f>
        <v>2.1754951780952347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</row>
    <row r="15" spans="1:89">
      <c r="A15" s="20" t="s">
        <v>497</v>
      </c>
      <c r="B15" s="20" t="s">
        <v>498</v>
      </c>
      <c r="C15" s="20" t="s">
        <v>199</v>
      </c>
      <c r="D15" s="20">
        <v>-1.98</v>
      </c>
      <c r="E15" s="20">
        <v>88.015749999999997</v>
      </c>
      <c r="F15" s="20">
        <v>8.5280000000000005</v>
      </c>
      <c r="G15" s="21">
        <f>AVERAGE(L15:W15)</f>
        <v>933000.54373152682</v>
      </c>
      <c r="H15" s="21">
        <v>3458113.1955621499</v>
      </c>
      <c r="I15" s="21" t="e">
        <f>G15/#REF!</f>
        <v>#REF!</v>
      </c>
      <c r="J15" s="21" t="e">
        <f>H15/#REF!</f>
        <v>#REF!</v>
      </c>
      <c r="K15" s="20">
        <v>68.7</v>
      </c>
      <c r="L15" s="21">
        <v>249999.23813943</v>
      </c>
      <c r="M15" s="21">
        <v>816759.98842746497</v>
      </c>
      <c r="N15" s="21">
        <v>1464325.32396537</v>
      </c>
      <c r="O15" s="21">
        <v>3458113.1955621499</v>
      </c>
      <c r="P15" s="21">
        <v>208657.81372129699</v>
      </c>
      <c r="Q15" s="21">
        <v>462961.77776145597</v>
      </c>
      <c r="R15" s="21">
        <v>125088.720309176</v>
      </c>
      <c r="S15" s="21">
        <v>412679.007638401</v>
      </c>
      <c r="T15" s="21">
        <v>913949.29019077704</v>
      </c>
      <c r="U15" s="21">
        <v>982894.01889045699</v>
      </c>
      <c r="V15" s="21">
        <v>915478.02868885396</v>
      </c>
      <c r="W15" s="21">
        <v>1185100.1214834901</v>
      </c>
      <c r="X15" s="34">
        <f>AVERAGE(L15:N15)</f>
        <v>843694.85017742158</v>
      </c>
      <c r="Y15" s="34">
        <f>AVERAGE(O15:Q15)</f>
        <v>1376577.5956816343</v>
      </c>
      <c r="Z15" s="40">
        <f>Y15/X15</f>
        <v>1.6316060189204096</v>
      </c>
      <c r="AA15" s="33">
        <f>AVERAGE(R15:T15)</f>
        <v>483905.67271278473</v>
      </c>
      <c r="AB15" s="33">
        <f>AVERAGE(U15:W15)</f>
        <v>1027824.0563542669</v>
      </c>
      <c r="AC15" s="39">
        <f>AB15/AA15</f>
        <v>2.1240173742792994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</row>
    <row r="16" spans="1:89" s="6" customFormat="1">
      <c r="A16" s="1" t="s">
        <v>326</v>
      </c>
      <c r="B16" s="1" t="s">
        <v>327</v>
      </c>
      <c r="C16" s="1" t="s">
        <v>328</v>
      </c>
      <c r="D16" s="1">
        <v>-0.33</v>
      </c>
      <c r="E16" s="1">
        <v>422.08240000000001</v>
      </c>
      <c r="F16" s="1">
        <v>16.628</v>
      </c>
      <c r="G16" s="17">
        <f>AVERAGE(L16:W16)</f>
        <v>10520210.981362462</v>
      </c>
      <c r="H16" s="17">
        <v>34078825.653155297</v>
      </c>
      <c r="I16" s="17" t="e">
        <f>G16/#REF!</f>
        <v>#REF!</v>
      </c>
      <c r="J16" s="17" t="e">
        <f>H16/#REF!</f>
        <v>#REF!</v>
      </c>
      <c r="K16" s="1">
        <v>78.400000000000006</v>
      </c>
      <c r="L16" s="17">
        <v>8162354.28269732</v>
      </c>
      <c r="M16" s="17">
        <v>23379931.811093401</v>
      </c>
      <c r="N16" s="17">
        <v>34078825.653155297</v>
      </c>
      <c r="O16" s="17">
        <v>11460505.199205101</v>
      </c>
      <c r="P16" s="17">
        <v>17482978.376501702</v>
      </c>
      <c r="Q16" s="17">
        <v>7068217.6315133097</v>
      </c>
      <c r="R16" s="17">
        <v>2799410.6724785902</v>
      </c>
      <c r="S16" s="17">
        <v>729357.09124924894</v>
      </c>
      <c r="T16" s="17">
        <v>5131466.5389488703</v>
      </c>
      <c r="U16" s="17">
        <v>6280256.8424252104</v>
      </c>
      <c r="V16" s="17">
        <v>5751847.9082292803</v>
      </c>
      <c r="W16" s="17">
        <v>3917379.7688522302</v>
      </c>
      <c r="X16" s="34">
        <f>AVERAGE(L16:N16)</f>
        <v>21873703.915648673</v>
      </c>
      <c r="Y16" s="34">
        <f>AVERAGE(O16:Q16)</f>
        <v>12003900.402406706</v>
      </c>
      <c r="Z16" s="40">
        <f>Y16/X16</f>
        <v>0.54878224779384488</v>
      </c>
      <c r="AA16" s="33">
        <f>AVERAGE(R16:T16)</f>
        <v>2886744.767558903</v>
      </c>
      <c r="AB16" s="33">
        <f>AVERAGE(U16:W16)</f>
        <v>5316494.8398355739</v>
      </c>
      <c r="AC16" s="39">
        <f>AB16/AA16</f>
        <v>1.8416920330408437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</row>
    <row r="17" spans="1:89">
      <c r="A17" s="12" t="s">
        <v>67</v>
      </c>
      <c r="B17" s="12" t="s">
        <v>68</v>
      </c>
      <c r="C17" s="12" t="s">
        <v>69</v>
      </c>
      <c r="D17" s="12">
        <v>-0.7</v>
      </c>
      <c r="E17" s="12">
        <v>287.28201999999999</v>
      </c>
      <c r="F17" s="12">
        <v>1.214</v>
      </c>
      <c r="G17" s="18">
        <f>AVERAGE(L17:W17)</f>
        <v>174357718.88919771</v>
      </c>
      <c r="H17" s="18">
        <v>328884535.50550598</v>
      </c>
      <c r="I17" s="18" t="e">
        <f>G17/#REF!</f>
        <v>#REF!</v>
      </c>
      <c r="J17" s="18" t="e">
        <f>H17/#REF!</f>
        <v>#REF!</v>
      </c>
      <c r="K17" s="12">
        <v>77.400000000000006</v>
      </c>
      <c r="L17" s="18">
        <v>149654093.610008</v>
      </c>
      <c r="M17" s="18">
        <v>222349570.31146899</v>
      </c>
      <c r="N17" s="18">
        <v>264347052.98968899</v>
      </c>
      <c r="O17" s="18">
        <v>238698783.67445001</v>
      </c>
      <c r="P17" s="18">
        <v>164945370.74664399</v>
      </c>
      <c r="Q17" s="18">
        <v>208183328.08722401</v>
      </c>
      <c r="R17" s="18">
        <v>73241831.051107705</v>
      </c>
      <c r="S17" s="18">
        <v>97876889.834592506</v>
      </c>
      <c r="T17" s="18">
        <v>126269077.20369001</v>
      </c>
      <c r="U17" s="18">
        <v>86166195.460962996</v>
      </c>
      <c r="V17" s="18">
        <v>237630629.449047</v>
      </c>
      <c r="W17" s="18">
        <v>222929804.251488</v>
      </c>
      <c r="X17" s="34">
        <f>AVERAGE(L17:N17)</f>
        <v>212116905.63705531</v>
      </c>
      <c r="Y17" s="34">
        <f>AVERAGE(O17:Q17)</f>
        <v>203942494.16943932</v>
      </c>
      <c r="Z17" s="40">
        <f>Y17/X17</f>
        <v>0.96146270641151588</v>
      </c>
      <c r="AA17" s="33">
        <f>AVERAGE(R17:T17)</f>
        <v>99129266.029796734</v>
      </c>
      <c r="AB17" s="33">
        <f>AVERAGE(U17:W17)</f>
        <v>182242209.72049931</v>
      </c>
      <c r="AC17" s="39">
        <f>AB17/AA17</f>
        <v>1.8384299311337593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</row>
    <row r="18" spans="1:89" ht="16" customHeight="1">
      <c r="A18" s="1" t="s">
        <v>509</v>
      </c>
      <c r="B18" s="1" t="s">
        <v>510</v>
      </c>
      <c r="C18" s="1" t="s">
        <v>149</v>
      </c>
      <c r="D18" s="1">
        <v>3.04</v>
      </c>
      <c r="E18" s="1">
        <v>175.09621999999999</v>
      </c>
      <c r="F18" s="1">
        <v>10.75</v>
      </c>
      <c r="G18" s="17">
        <f>AVERAGE(L18:W18)</f>
        <v>275024.87167727127</v>
      </c>
      <c r="H18" s="17">
        <v>2722945.2644426399</v>
      </c>
      <c r="I18" s="17" t="e">
        <f>G18/#REF!</f>
        <v>#REF!</v>
      </c>
      <c r="J18" s="17" t="e">
        <f>H18/#REF!</f>
        <v>#REF!</v>
      </c>
      <c r="K18" s="1">
        <v>57.8</v>
      </c>
      <c r="L18" s="17">
        <v>338379.86076851399</v>
      </c>
      <c r="M18" s="17">
        <v>456938.73578805802</v>
      </c>
      <c r="N18" s="17">
        <v>418478.81181389198</v>
      </c>
      <c r="O18" s="17">
        <v>221481.18261993601</v>
      </c>
      <c r="P18" s="17">
        <v>326466.977985417</v>
      </c>
      <c r="Q18" s="17">
        <v>465087.86296807398</v>
      </c>
      <c r="R18" s="17">
        <v>47654.074585374103</v>
      </c>
      <c r="S18" s="17">
        <v>42372.402797193601</v>
      </c>
      <c r="T18" s="17">
        <v>297038.20959704998</v>
      </c>
      <c r="U18" s="17">
        <v>331419.18753418501</v>
      </c>
      <c r="V18" s="17">
        <v>61465.756905150003</v>
      </c>
      <c r="W18" s="17">
        <v>293515.39676441101</v>
      </c>
      <c r="X18" s="34">
        <f>AVERAGE(L18:N18)</f>
        <v>404599.13612348802</v>
      </c>
      <c r="Y18" s="34">
        <f>AVERAGE(O18:Q18)</f>
        <v>337678.67452447565</v>
      </c>
      <c r="Z18" s="40">
        <f>Y18/X18</f>
        <v>0.83460058209667676</v>
      </c>
      <c r="AA18" s="33">
        <f>AVERAGE(R18:T18)</f>
        <v>129021.56232653924</v>
      </c>
      <c r="AB18" s="33">
        <f>AVERAGE(U18:W18)</f>
        <v>228800.113734582</v>
      </c>
      <c r="AC18" s="39">
        <f>AB18/AA18</f>
        <v>1.7733478777408875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</row>
    <row r="19" spans="1:89">
      <c r="A19" s="9" t="s">
        <v>159</v>
      </c>
      <c r="B19" s="9" t="s">
        <v>160</v>
      </c>
      <c r="C19" s="9" t="s">
        <v>161</v>
      </c>
      <c r="D19" s="9">
        <v>1.54</v>
      </c>
      <c r="E19" s="9">
        <v>117.07916</v>
      </c>
      <c r="F19" s="9">
        <v>8.5739999999999998</v>
      </c>
      <c r="G19" s="19">
        <f>AVERAGE(L19:W19)</f>
        <v>1286522.0500417417</v>
      </c>
      <c r="H19" s="19">
        <v>2243614.1867952701</v>
      </c>
      <c r="I19" s="19" t="e">
        <f>G19/#REF!</f>
        <v>#REF!</v>
      </c>
      <c r="J19" s="19" t="e">
        <f>H19/#REF!</f>
        <v>#REF!</v>
      </c>
      <c r="K19" s="9">
        <v>80.5</v>
      </c>
      <c r="L19" s="19">
        <v>1274916.1389599801</v>
      </c>
      <c r="M19" s="19">
        <v>1789806.5288312</v>
      </c>
      <c r="N19" s="19">
        <v>1426351.5342655701</v>
      </c>
      <c r="O19" s="19">
        <v>1049440.3314453</v>
      </c>
      <c r="P19" s="19">
        <v>570043.388958956</v>
      </c>
      <c r="Q19" s="19">
        <v>1395508.94604789</v>
      </c>
      <c r="R19" s="19">
        <v>932459.76032836898</v>
      </c>
      <c r="S19" s="19">
        <v>1082493.3868396501</v>
      </c>
      <c r="T19" s="19">
        <v>886566.85914718302</v>
      </c>
      <c r="U19" s="19">
        <v>1461169.90984174</v>
      </c>
      <c r="V19" s="19">
        <v>2243614.1867952701</v>
      </c>
      <c r="W19" s="19">
        <v>1325893.62903979</v>
      </c>
      <c r="X19" s="34">
        <f>AVERAGE(L19:N19)</f>
        <v>1497024.734018917</v>
      </c>
      <c r="Y19" s="34">
        <f>AVERAGE(O19:Q19)</f>
        <v>1004997.5554840487</v>
      </c>
      <c r="Z19" s="40">
        <f>Y19/X19</f>
        <v>0.67132996045164151</v>
      </c>
      <c r="AA19" s="33">
        <f>AVERAGE(R19:T19)</f>
        <v>967173.33543840062</v>
      </c>
      <c r="AB19" s="33">
        <f>AVERAGE(U19:W19)</f>
        <v>1676892.5752256</v>
      </c>
      <c r="AC19" s="39">
        <f>AB19/AA19</f>
        <v>1.7338076989741427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</row>
    <row r="20" spans="1:89" s="25" customFormat="1">
      <c r="A20" s="12" t="s">
        <v>180</v>
      </c>
      <c r="B20" s="12" t="s">
        <v>181</v>
      </c>
      <c r="C20" s="12" t="s">
        <v>182</v>
      </c>
      <c r="D20" s="12">
        <v>-1.1299999999999999</v>
      </c>
      <c r="E20" s="12">
        <v>145.11010999999999</v>
      </c>
      <c r="F20" s="12">
        <v>2.718</v>
      </c>
      <c r="G20" s="18">
        <f>AVERAGE(L20:W20)</f>
        <v>46856879.898583956</v>
      </c>
      <c r="H20" s="18">
        <v>119522174.830292</v>
      </c>
      <c r="I20" s="18" t="e">
        <f>G20/#REF!</f>
        <v>#REF!</v>
      </c>
      <c r="J20" s="18" t="e">
        <f>H20/#REF!</f>
        <v>#REF!</v>
      </c>
      <c r="K20" s="12">
        <v>59.7</v>
      </c>
      <c r="L20" s="18">
        <v>58122621.212186597</v>
      </c>
      <c r="M20" s="18">
        <v>36336555.541960098</v>
      </c>
      <c r="N20" s="18">
        <v>43384912.291829802</v>
      </c>
      <c r="O20" s="18">
        <v>101206731.01637</v>
      </c>
      <c r="P20" s="18">
        <v>25412041.787964702</v>
      </c>
      <c r="Q20" s="18">
        <v>34534270.2921765</v>
      </c>
      <c r="R20" s="18">
        <v>51073010.722542197</v>
      </c>
      <c r="S20" s="18">
        <v>27523472.072009601</v>
      </c>
      <c r="T20" s="18">
        <v>18434239.436765201</v>
      </c>
      <c r="U20" s="18">
        <v>119522174.830292</v>
      </c>
      <c r="V20" s="18">
        <v>19163240.152386699</v>
      </c>
      <c r="W20" s="18">
        <v>27569289.426524099</v>
      </c>
      <c r="X20" s="34">
        <f>AVERAGE(L20:N20)</f>
        <v>45948029.681992166</v>
      </c>
      <c r="Y20" s="34">
        <f>AVERAGE(O20:Q20)</f>
        <v>53717681.032170393</v>
      </c>
      <c r="Z20" s="40">
        <f>Y20/X20</f>
        <v>1.1690965075967836</v>
      </c>
      <c r="AA20" s="33">
        <f>AVERAGE(R20:T20)</f>
        <v>32343574.07710566</v>
      </c>
      <c r="AB20" s="33">
        <f>AVERAGE(U20:W20)</f>
        <v>55418234.803067602</v>
      </c>
      <c r="AC20" s="39">
        <f>AB20/AA20</f>
        <v>1.7134233424838259</v>
      </c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</row>
    <row r="21" spans="1:89">
      <c r="A21" s="1" t="s">
        <v>422</v>
      </c>
      <c r="B21" s="1" t="s">
        <v>423</v>
      </c>
      <c r="C21" s="1" t="s">
        <v>424</v>
      </c>
      <c r="D21" s="1">
        <v>-1.1299999999999999</v>
      </c>
      <c r="E21" s="1">
        <v>541.06048999999996</v>
      </c>
      <c r="F21" s="1">
        <v>13.484999999999999</v>
      </c>
      <c r="G21" s="17">
        <f>AVERAGE(L21:W21)</f>
        <v>5118122.8752659801</v>
      </c>
      <c r="H21" s="17">
        <v>8287029.9875445897</v>
      </c>
      <c r="I21" s="17" t="e">
        <f>G21/#REF!</f>
        <v>#REF!</v>
      </c>
      <c r="J21" s="17" t="e">
        <f>H21/#REF!</f>
        <v>#REF!</v>
      </c>
      <c r="K21" s="1">
        <v>92.1</v>
      </c>
      <c r="L21" s="17">
        <v>2363934.3432517</v>
      </c>
      <c r="M21" s="17">
        <v>3176825.6971348901</v>
      </c>
      <c r="N21" s="17">
        <v>4489330.1366151301</v>
      </c>
      <c r="O21" s="17">
        <v>7116390.5093093496</v>
      </c>
      <c r="P21" s="17">
        <v>4278801.59733837</v>
      </c>
      <c r="Q21" s="17">
        <v>5791954.2683693497</v>
      </c>
      <c r="R21" s="17">
        <v>6138401.85489415</v>
      </c>
      <c r="S21" s="17">
        <v>3635146.1237141099</v>
      </c>
      <c r="T21" s="17">
        <v>3070451.01180383</v>
      </c>
      <c r="U21" s="17">
        <v>8287029.9875445897</v>
      </c>
      <c r="V21" s="17">
        <v>6466693.5255887704</v>
      </c>
      <c r="W21" s="17">
        <v>6602515.4476275202</v>
      </c>
      <c r="X21" s="34">
        <f>AVERAGE(L21:N21)</f>
        <v>3343363.3923339066</v>
      </c>
      <c r="Y21" s="34">
        <f>AVERAGE(O21:Q21)</f>
        <v>5729048.7916723564</v>
      </c>
      <c r="Z21" s="40">
        <f>Y21/X21</f>
        <v>1.713558509615992</v>
      </c>
      <c r="AA21" s="33">
        <f>AVERAGE(R21:T21)</f>
        <v>4281332.9968040297</v>
      </c>
      <c r="AB21" s="33">
        <f>AVERAGE(U21:W21)</f>
        <v>7118746.3202536264</v>
      </c>
      <c r="AC21" s="39">
        <f>AB21/AA21</f>
        <v>1.6627406290442011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</row>
    <row r="22" spans="1:89" s="7" customFormat="1">
      <c r="A22" s="23" t="s">
        <v>165</v>
      </c>
      <c r="B22" s="23" t="s">
        <v>166</v>
      </c>
      <c r="C22" s="23" t="s">
        <v>167</v>
      </c>
      <c r="D22" s="23">
        <v>-3.03</v>
      </c>
      <c r="E22" s="23">
        <v>147.05270999999999</v>
      </c>
      <c r="F22" s="23">
        <v>8.7970000000000006</v>
      </c>
      <c r="G22" s="24">
        <f>AVERAGE(L22:W22)</f>
        <v>45004928.06976568</v>
      </c>
      <c r="H22" s="24">
        <v>101070738.812323</v>
      </c>
      <c r="I22" s="24" t="e">
        <f>G22/#REF!</f>
        <v>#REF!</v>
      </c>
      <c r="J22" s="24" t="e">
        <f>H22/#REF!</f>
        <v>#REF!</v>
      </c>
      <c r="K22" s="23">
        <v>71.099999999999994</v>
      </c>
      <c r="L22" s="24">
        <v>18410382.8767551</v>
      </c>
      <c r="M22" s="24">
        <v>58100766.856100097</v>
      </c>
      <c r="N22" s="24">
        <v>82414913.984992996</v>
      </c>
      <c r="O22" s="24">
        <v>101070738.812323</v>
      </c>
      <c r="P22" s="24">
        <v>42737091.213014103</v>
      </c>
      <c r="Q22" s="24">
        <v>42958470.512189999</v>
      </c>
      <c r="R22" s="24">
        <v>670879.06151651801</v>
      </c>
      <c r="S22" s="24">
        <v>19983816.632760499</v>
      </c>
      <c r="T22" s="24">
        <v>53192059.512864403</v>
      </c>
      <c r="U22" s="24">
        <v>43143070.687988602</v>
      </c>
      <c r="V22" s="24">
        <v>41187124.496485397</v>
      </c>
      <c r="W22" s="24">
        <v>36189822.190197401</v>
      </c>
      <c r="X22" s="34">
        <f>AVERAGE(L22:N22)</f>
        <v>52975354.572616063</v>
      </c>
      <c r="Y22" s="34">
        <f>AVERAGE(O22:Q22)</f>
        <v>62255433.512509026</v>
      </c>
      <c r="Z22" s="40">
        <f>Y22/X22</f>
        <v>1.1751772879060636</v>
      </c>
      <c r="AA22" s="33">
        <f>AVERAGE(R22:T22)</f>
        <v>24615585.069047142</v>
      </c>
      <c r="AB22" s="33">
        <f>AVERAGE(U22:W22)</f>
        <v>40173339.124890469</v>
      </c>
      <c r="AC22" s="39">
        <f>AB22/AA22</f>
        <v>1.6320286116378528</v>
      </c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</row>
    <row r="23" spans="1:89">
      <c r="A23" s="12" t="s">
        <v>49</v>
      </c>
      <c r="B23" s="12" t="s">
        <v>50</v>
      </c>
      <c r="C23" s="12" t="s">
        <v>51</v>
      </c>
      <c r="D23" s="12">
        <v>-0.63</v>
      </c>
      <c r="E23" s="12">
        <v>103.09965</v>
      </c>
      <c r="F23" s="12">
        <v>2.7389999999999999</v>
      </c>
      <c r="G23" s="18">
        <f>AVERAGE(L23:W23)</f>
        <v>595481081.03322649</v>
      </c>
      <c r="H23" s="18">
        <v>1605778550.6538999</v>
      </c>
      <c r="I23" s="18" t="e">
        <f>G23/#REF!</f>
        <v>#REF!</v>
      </c>
      <c r="J23" s="18" t="e">
        <f>H23/#REF!</f>
        <v>#REF!</v>
      </c>
      <c r="K23" s="12">
        <v>94.2</v>
      </c>
      <c r="L23" s="18">
        <v>344706220.40315098</v>
      </c>
      <c r="M23" s="18">
        <v>373820442.486893</v>
      </c>
      <c r="N23" s="18">
        <v>806058323.01065898</v>
      </c>
      <c r="O23" s="18">
        <v>562224379.30762005</v>
      </c>
      <c r="P23" s="18">
        <v>248925953.281528</v>
      </c>
      <c r="Q23" s="18">
        <v>360661060.60199702</v>
      </c>
      <c r="R23" s="18">
        <v>454469674.71348202</v>
      </c>
      <c r="S23" s="18">
        <v>632679563.83253896</v>
      </c>
      <c r="T23" s="18">
        <v>605112698.48720598</v>
      </c>
      <c r="U23" s="18">
        <v>1605778550.6538999</v>
      </c>
      <c r="V23" s="18">
        <v>553440097.98790205</v>
      </c>
      <c r="W23" s="18">
        <v>597896007.63184202</v>
      </c>
      <c r="X23" s="34">
        <f>AVERAGE(L23:N23)</f>
        <v>508194995.30023432</v>
      </c>
      <c r="Y23" s="34">
        <f>AVERAGE(O23:Q23)</f>
        <v>390603797.73038167</v>
      </c>
      <c r="Z23" s="40">
        <f>Y23/X23</f>
        <v>0.76861008341811499</v>
      </c>
      <c r="AA23" s="33">
        <f>AVERAGE(R23:T23)</f>
        <v>564087312.34440899</v>
      </c>
      <c r="AB23" s="33">
        <f>AVERAGE(U23:W23)</f>
        <v>919038218.75788128</v>
      </c>
      <c r="AC23" s="39">
        <f>AB23/AA23</f>
        <v>1.6292481653917321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</row>
    <row r="24" spans="1:89">
      <c r="A24" s="1" t="s">
        <v>482</v>
      </c>
      <c r="B24" s="1" t="s">
        <v>483</v>
      </c>
      <c r="C24" s="1" t="s">
        <v>343</v>
      </c>
      <c r="D24" s="1">
        <v>-0.45</v>
      </c>
      <c r="E24" s="1">
        <v>166.02653000000001</v>
      </c>
      <c r="F24" s="1">
        <v>11.379</v>
      </c>
      <c r="G24" s="17">
        <f>AVERAGE(L24:W24)</f>
        <v>766720.02324249782</v>
      </c>
      <c r="H24" s="17">
        <v>8568035.9378472902</v>
      </c>
      <c r="I24" s="17" t="e">
        <f>G24/#REF!</f>
        <v>#REF!</v>
      </c>
      <c r="J24" s="17" t="e">
        <f>H24/#REF!</f>
        <v>#REF!</v>
      </c>
      <c r="K24" s="1">
        <v>55.2</v>
      </c>
      <c r="L24" s="17">
        <v>995622.55456873402</v>
      </c>
      <c r="M24" s="17">
        <v>188687.27686234601</v>
      </c>
      <c r="N24" s="17">
        <v>1005342.2231933801</v>
      </c>
      <c r="O24" s="17">
        <v>847421.50763135694</v>
      </c>
      <c r="P24" s="17">
        <v>1723121.2798329601</v>
      </c>
      <c r="Q24" s="17">
        <v>1070694.9715380301</v>
      </c>
      <c r="R24" s="17">
        <v>60528.424936528201</v>
      </c>
      <c r="S24" s="17">
        <v>278885.86309595697</v>
      </c>
      <c r="T24" s="17">
        <v>943107.0915024</v>
      </c>
      <c r="U24" s="17">
        <v>687415.34563878004</v>
      </c>
      <c r="V24" s="17">
        <v>301970.76054826198</v>
      </c>
      <c r="W24" s="17">
        <v>1097842.9795612399</v>
      </c>
      <c r="X24" s="34">
        <f>AVERAGE(L24:N24)</f>
        <v>729884.01820815343</v>
      </c>
      <c r="Y24" s="34">
        <f>AVERAGE(O24:Q24)</f>
        <v>1213745.9196674491</v>
      </c>
      <c r="Z24" s="40">
        <f>Y24/X24</f>
        <v>1.6629298482889983</v>
      </c>
      <c r="AA24" s="33">
        <f>AVERAGE(R24:T24)</f>
        <v>427507.12651162845</v>
      </c>
      <c r="AB24" s="33">
        <f>AVERAGE(U24:W24)</f>
        <v>695743.02858276071</v>
      </c>
      <c r="AC24" s="39">
        <f>AB24/AA24</f>
        <v>1.6274419429212394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</row>
    <row r="25" spans="1:89">
      <c r="A25" s="20" t="s">
        <v>458</v>
      </c>
      <c r="B25" s="20" t="s">
        <v>459</v>
      </c>
      <c r="C25" s="20" t="s">
        <v>337</v>
      </c>
      <c r="D25" s="20">
        <v>-0.4</v>
      </c>
      <c r="E25" s="20">
        <v>260.02960999999999</v>
      </c>
      <c r="F25" s="20">
        <v>16.637</v>
      </c>
      <c r="G25" s="21">
        <f>AVERAGE(L25:W25)</f>
        <v>2406267.4396535638</v>
      </c>
      <c r="H25" s="21">
        <v>5797081.04179121</v>
      </c>
      <c r="I25" s="21" t="e">
        <f>G25/#REF!</f>
        <v>#REF!</v>
      </c>
      <c r="J25" s="21" t="e">
        <f>H25/#REF!</f>
        <v>#REF!</v>
      </c>
      <c r="K25" s="20">
        <v>79</v>
      </c>
      <c r="L25" s="21">
        <v>1792746.28526853</v>
      </c>
      <c r="M25" s="21">
        <v>5797081.04179121</v>
      </c>
      <c r="N25" s="21">
        <v>4106798.6944526602</v>
      </c>
      <c r="O25" s="21">
        <v>3344231.7347290399</v>
      </c>
      <c r="P25" s="21">
        <v>4962386.12592657</v>
      </c>
      <c r="Q25" s="21">
        <v>1689946.80418773</v>
      </c>
      <c r="R25" s="21">
        <v>822785.73617168097</v>
      </c>
      <c r="S25" s="21">
        <v>310533.72759514599</v>
      </c>
      <c r="T25" s="21">
        <v>1640268.91436253</v>
      </c>
      <c r="U25" s="21">
        <v>1705031.8562467999</v>
      </c>
      <c r="V25" s="21">
        <v>1609816.22958139</v>
      </c>
      <c r="W25" s="21">
        <v>1093582.1255294799</v>
      </c>
      <c r="X25" s="34">
        <f>AVERAGE(L25:N25)</f>
        <v>3898875.3405041336</v>
      </c>
      <c r="Y25" s="34">
        <f>AVERAGE(O25:Q25)</f>
        <v>3332188.2216144465</v>
      </c>
      <c r="Z25" s="40">
        <f>Y25/X25</f>
        <v>0.85465369641276778</v>
      </c>
      <c r="AA25" s="33">
        <f>AVERAGE(R25:T25)</f>
        <v>924529.45937645237</v>
      </c>
      <c r="AB25" s="33">
        <f>AVERAGE(U25:W25)</f>
        <v>1469476.7371192232</v>
      </c>
      <c r="AC25" s="39">
        <f>AB25/AA25</f>
        <v>1.5894320318471082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</row>
    <row r="26" spans="1:89">
      <c r="A26" s="1" t="s">
        <v>218</v>
      </c>
      <c r="B26" s="1" t="s">
        <v>219</v>
      </c>
      <c r="C26" s="1" t="s">
        <v>220</v>
      </c>
      <c r="D26" s="1">
        <v>-0.94</v>
      </c>
      <c r="E26" s="1">
        <v>110.07306</v>
      </c>
      <c r="F26" s="1">
        <v>0.95299999999999996</v>
      </c>
      <c r="G26" s="17">
        <f>AVERAGE(L26:W26)</f>
        <v>22717466.814943429</v>
      </c>
      <c r="H26" s="17">
        <v>41225565.8376351</v>
      </c>
      <c r="I26" s="17" t="e">
        <f>G26/#REF!</f>
        <v>#REF!</v>
      </c>
      <c r="J26" s="17" t="e">
        <f>H26/#REF!</f>
        <v>#REF!</v>
      </c>
      <c r="K26" s="1">
        <v>66.5</v>
      </c>
      <c r="L26" s="17">
        <v>21150215.5132314</v>
      </c>
      <c r="M26" s="17">
        <v>24774707.465240199</v>
      </c>
      <c r="N26" s="17">
        <v>35471948.744193003</v>
      </c>
      <c r="O26" s="17">
        <v>29167325.5742037</v>
      </c>
      <c r="P26" s="17">
        <v>22462620.222056601</v>
      </c>
      <c r="Q26" s="17">
        <v>32893675.475583699</v>
      </c>
      <c r="R26" s="17">
        <v>16982239.764833599</v>
      </c>
      <c r="S26" s="17">
        <v>12266933.668215301</v>
      </c>
      <c r="T26" s="17">
        <v>12214024.5031601</v>
      </c>
      <c r="U26" s="17">
        <v>14881046.803065401</v>
      </c>
      <c r="V26" s="17">
        <v>37840495.756797001</v>
      </c>
      <c r="W26" s="17">
        <v>12504368.288741199</v>
      </c>
      <c r="X26" s="34">
        <f>AVERAGE(L26:N26)</f>
        <v>27132290.574221533</v>
      </c>
      <c r="Y26" s="34">
        <f>AVERAGE(O26:Q26)</f>
        <v>28174540.423948001</v>
      </c>
      <c r="Z26" s="40">
        <f>Y26/X26</f>
        <v>1.0384136328952895</v>
      </c>
      <c r="AA26" s="33">
        <f>AVERAGE(R26:T26)</f>
        <v>13821065.978736334</v>
      </c>
      <c r="AB26" s="33">
        <f>AVERAGE(U26:W26)</f>
        <v>21741970.282867867</v>
      </c>
      <c r="AC26" s="39">
        <f>AB26/AA26</f>
        <v>1.5731037183613636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</row>
    <row r="27" spans="1:89">
      <c r="A27" s="1" t="s">
        <v>463</v>
      </c>
      <c r="B27" s="1" t="s">
        <v>464</v>
      </c>
      <c r="C27" s="1" t="s">
        <v>465</v>
      </c>
      <c r="D27" s="1">
        <v>-0.34</v>
      </c>
      <c r="E27" s="1">
        <v>192.06332</v>
      </c>
      <c r="F27" s="1">
        <v>3.64</v>
      </c>
      <c r="G27" s="17">
        <f>AVERAGE(L27:W27)</f>
        <v>2314461.8356094644</v>
      </c>
      <c r="H27" s="17">
        <v>5910755.2773042899</v>
      </c>
      <c r="I27" s="17" t="e">
        <f>G27/#REF!</f>
        <v>#REF!</v>
      </c>
      <c r="J27" s="17" t="e">
        <f>H27/#REF!</f>
        <v>#REF!</v>
      </c>
      <c r="K27" s="1">
        <v>68.400000000000006</v>
      </c>
      <c r="L27" s="17">
        <v>745340.23512676801</v>
      </c>
      <c r="M27" s="17">
        <v>427608.92215490103</v>
      </c>
      <c r="N27" s="17">
        <v>946488.47188351501</v>
      </c>
      <c r="O27" s="17">
        <v>4158267.1443461198</v>
      </c>
      <c r="P27" s="17">
        <v>572420.70193785895</v>
      </c>
      <c r="Q27" s="17">
        <v>669268.56439539394</v>
      </c>
      <c r="R27" s="17">
        <v>3388896.6669154498</v>
      </c>
      <c r="S27" s="17">
        <v>1516851.53231485</v>
      </c>
      <c r="T27" s="17">
        <v>3043981.5891555701</v>
      </c>
      <c r="U27" s="17">
        <v>5910755.2773042899</v>
      </c>
      <c r="V27" s="17">
        <v>3363257.2791975602</v>
      </c>
      <c r="W27" s="17">
        <v>3030405.6425812999</v>
      </c>
      <c r="X27" s="34">
        <f>AVERAGE(L27:N27)</f>
        <v>706479.20972172811</v>
      </c>
      <c r="Y27" s="34">
        <f>AVERAGE(O27:Q27)</f>
        <v>1799985.4702264576</v>
      </c>
      <c r="Z27" s="40">
        <f>Y27/X27</f>
        <v>2.5478251100063449</v>
      </c>
      <c r="AA27" s="33">
        <f>AVERAGE(R27:T27)</f>
        <v>2649909.9294619565</v>
      </c>
      <c r="AB27" s="33">
        <f>AVERAGE(U27:W27)</f>
        <v>4101472.7330277166</v>
      </c>
      <c r="AC27" s="39">
        <f>AB27/AA27</f>
        <v>1.5477781668830113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</row>
    <row r="28" spans="1:89">
      <c r="A28" s="1" t="s">
        <v>266</v>
      </c>
      <c r="B28" s="1" t="s">
        <v>267</v>
      </c>
      <c r="C28" s="1" t="s">
        <v>268</v>
      </c>
      <c r="D28" s="1">
        <v>0.03</v>
      </c>
      <c r="E28" s="1">
        <v>197.17796999999999</v>
      </c>
      <c r="F28" s="1">
        <v>0.95899999999999996</v>
      </c>
      <c r="G28" s="17">
        <f>AVERAGE(L28:W28)</f>
        <v>15468647.031511508</v>
      </c>
      <c r="H28" s="17">
        <v>47113849.638480797</v>
      </c>
      <c r="I28" s="17" t="e">
        <f>G28/#REF!</f>
        <v>#REF!</v>
      </c>
      <c r="J28" s="17" t="e">
        <f>H28/#REF!</f>
        <v>#REF!</v>
      </c>
      <c r="K28" s="1">
        <v>83</v>
      </c>
      <c r="L28" s="17">
        <v>14537819.403279301</v>
      </c>
      <c r="M28" s="17">
        <v>44799611.920456298</v>
      </c>
      <c r="N28" s="17">
        <v>47113849.638480797</v>
      </c>
      <c r="O28" s="17">
        <v>17965916.8697339</v>
      </c>
      <c r="P28" s="17">
        <v>2653036.4760862598</v>
      </c>
      <c r="Q28" s="17">
        <v>9747809.8575941995</v>
      </c>
      <c r="R28" s="17">
        <v>2596465.1730702701</v>
      </c>
      <c r="S28" s="17">
        <v>1118981.3873686099</v>
      </c>
      <c r="T28" s="17">
        <v>15446578.817565801</v>
      </c>
      <c r="U28" s="17">
        <v>12839161.643397599</v>
      </c>
      <c r="V28" s="17">
        <v>2370815.6218191399</v>
      </c>
      <c r="W28" s="17">
        <v>14433717.569285899</v>
      </c>
      <c r="X28" s="34">
        <f>AVERAGE(L28:N28)</f>
        <v>35483760.3207388</v>
      </c>
      <c r="Y28" s="34">
        <f>AVERAGE(O28:Q28)</f>
        <v>10122254.401138119</v>
      </c>
      <c r="Z28" s="40">
        <f>Y28/X28</f>
        <v>0.28526442264412655</v>
      </c>
      <c r="AA28" s="33">
        <f>AVERAGE(R28:T28)</f>
        <v>6387341.7926682271</v>
      </c>
      <c r="AB28" s="33">
        <f>AVERAGE(U28:W28)</f>
        <v>9881231.6115008797</v>
      </c>
      <c r="AC28" s="39">
        <f>AB28/AA28</f>
        <v>1.5470021696417042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</row>
    <row r="29" spans="1:89" s="6" customFormat="1">
      <c r="A29" s="1" t="s">
        <v>293</v>
      </c>
      <c r="B29" s="1" t="s">
        <v>294</v>
      </c>
      <c r="C29" s="1" t="s">
        <v>295</v>
      </c>
      <c r="D29" s="1">
        <v>-1.34</v>
      </c>
      <c r="E29" s="1">
        <v>171.99249</v>
      </c>
      <c r="F29" s="1">
        <v>1.0309999999999999</v>
      </c>
      <c r="G29" s="17">
        <f>AVERAGE(L29:W29)</f>
        <v>12792138.382365363</v>
      </c>
      <c r="H29" s="17">
        <v>20299062.146273799</v>
      </c>
      <c r="I29" s="17" t="e">
        <f>G29/#REF!</f>
        <v>#REF!</v>
      </c>
      <c r="J29" s="17" t="e">
        <f>H29/#REF!</f>
        <v>#REF!</v>
      </c>
      <c r="K29" s="1">
        <v>79.3</v>
      </c>
      <c r="L29" s="17">
        <v>8847133.1588944104</v>
      </c>
      <c r="M29" s="17">
        <v>11863218.376940301</v>
      </c>
      <c r="N29" s="17">
        <v>13281427.798726</v>
      </c>
      <c r="O29" s="17">
        <v>13858819.352078799</v>
      </c>
      <c r="P29" s="17">
        <v>15536211.626846001</v>
      </c>
      <c r="Q29" s="17">
        <v>20299062.146273799</v>
      </c>
      <c r="R29" s="17">
        <v>8376808.5571817104</v>
      </c>
      <c r="S29" s="17">
        <v>9870154.5444774702</v>
      </c>
      <c r="T29" s="17">
        <v>9359858.8168662097</v>
      </c>
      <c r="U29" s="17">
        <v>14280518.040050499</v>
      </c>
      <c r="V29" s="17">
        <v>10449302.050449399</v>
      </c>
      <c r="W29" s="17">
        <v>17483146.119599801</v>
      </c>
      <c r="X29" s="34">
        <f>AVERAGE(L29:N29)</f>
        <v>11330593.111520236</v>
      </c>
      <c r="Y29" s="34">
        <f>AVERAGE(O29:Q29)</f>
        <v>16564697.708399534</v>
      </c>
      <c r="Z29" s="40">
        <f>Y29/X29</f>
        <v>1.4619444494531879</v>
      </c>
      <c r="AA29" s="33">
        <f>AVERAGE(R29:T29)</f>
        <v>9202273.9728417974</v>
      </c>
      <c r="AB29" s="33">
        <f>AVERAGE(U29:W29)</f>
        <v>14070988.7366999</v>
      </c>
      <c r="AC29" s="39">
        <f>AB29/AA29</f>
        <v>1.5290773539482623</v>
      </c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</row>
    <row r="30" spans="1:89">
      <c r="A30" s="1" t="s">
        <v>129</v>
      </c>
      <c r="B30" s="1" t="s">
        <v>130</v>
      </c>
      <c r="C30" s="1" t="s">
        <v>131</v>
      </c>
      <c r="D30" s="1">
        <v>-0.92</v>
      </c>
      <c r="E30" s="1">
        <v>229.08829</v>
      </c>
      <c r="F30" s="1">
        <v>8.7460000000000004</v>
      </c>
      <c r="G30" s="17">
        <f>AVERAGE(L30:W30)</f>
        <v>69605715.148130253</v>
      </c>
      <c r="H30" s="17">
        <v>150506958.21788201</v>
      </c>
      <c r="I30" s="17" t="e">
        <f>G30/#REF!</f>
        <v>#REF!</v>
      </c>
      <c r="J30" s="17" t="e">
        <f>H30/#REF!</f>
        <v>#REF!</v>
      </c>
      <c r="K30" s="1">
        <v>90</v>
      </c>
      <c r="L30" s="17">
        <v>34248552.000132799</v>
      </c>
      <c r="M30" s="17">
        <v>55368389.4891681</v>
      </c>
      <c r="N30" s="17">
        <v>59920273.6747749</v>
      </c>
      <c r="O30" s="17">
        <v>33012293.5573349</v>
      </c>
      <c r="P30" s="17">
        <v>31591772.026218999</v>
      </c>
      <c r="Q30" s="17">
        <v>95545162.4132092</v>
      </c>
      <c r="R30" s="17">
        <v>33223833.1737203</v>
      </c>
      <c r="S30" s="17">
        <v>42064582.7363462</v>
      </c>
      <c r="T30" s="17">
        <v>132921476.217371</v>
      </c>
      <c r="U30" s="17">
        <v>150506958.21788201</v>
      </c>
      <c r="V30" s="17">
        <v>86325630.801063195</v>
      </c>
      <c r="W30" s="17">
        <v>80539657.470341399</v>
      </c>
      <c r="X30" s="34">
        <f>AVERAGE(L30:N30)</f>
        <v>49845738.388025261</v>
      </c>
      <c r="Y30" s="34">
        <f>AVERAGE(O30:Q30)</f>
        <v>53383075.998921037</v>
      </c>
      <c r="Z30" s="40">
        <f>Y30/X30</f>
        <v>1.0709656978769035</v>
      </c>
      <c r="AA30" s="33">
        <f>AVERAGE(R30:T30)</f>
        <v>69403297.375812501</v>
      </c>
      <c r="AB30" s="33">
        <f>AVERAGE(U30:W30)</f>
        <v>105790748.82976221</v>
      </c>
      <c r="AC30" s="39">
        <f>AB30/AA30</f>
        <v>1.524289952059698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</row>
    <row r="31" spans="1:89">
      <c r="A31" s="1" t="s">
        <v>299</v>
      </c>
      <c r="B31" s="1" t="s">
        <v>300</v>
      </c>
      <c r="C31" s="1" t="s">
        <v>301</v>
      </c>
      <c r="D31" s="1">
        <v>-0.39</v>
      </c>
      <c r="E31" s="1">
        <v>88.052400000000006</v>
      </c>
      <c r="F31" s="1">
        <v>1.347</v>
      </c>
      <c r="G31" s="17">
        <f>AVERAGE(L31:W31)</f>
        <v>12036241.337689599</v>
      </c>
      <c r="H31" s="17">
        <v>19289210.7747963</v>
      </c>
      <c r="I31" s="17" t="e">
        <f>G31/#REF!</f>
        <v>#REF!</v>
      </c>
      <c r="J31" s="17" t="e">
        <f>H31/#REF!</f>
        <v>#REF!</v>
      </c>
      <c r="K31" s="1">
        <v>63.7</v>
      </c>
      <c r="L31" s="17">
        <v>7372686.8268620502</v>
      </c>
      <c r="M31" s="17">
        <v>10225363.0900495</v>
      </c>
      <c r="N31" s="17">
        <v>17081426.5550173</v>
      </c>
      <c r="O31" s="17">
        <v>13802289.1272549</v>
      </c>
      <c r="P31" s="17">
        <v>17856599.4637415</v>
      </c>
      <c r="Q31" s="17">
        <v>18170044.936067998</v>
      </c>
      <c r="R31" s="17">
        <v>8102119.0492704203</v>
      </c>
      <c r="S31" s="17">
        <v>8503790.0744136292</v>
      </c>
      <c r="T31" s="17">
        <v>7148152.8809953397</v>
      </c>
      <c r="U31" s="17">
        <v>8009931.6386656603</v>
      </c>
      <c r="V31" s="17">
        <v>12629169.2307813</v>
      </c>
      <c r="W31" s="17">
        <v>15533323.179155599</v>
      </c>
      <c r="X31" s="34">
        <f>AVERAGE(L31:N31)</f>
        <v>11559825.49064295</v>
      </c>
      <c r="Y31" s="34">
        <f>AVERAGE(O31:Q31)</f>
        <v>16609644.509021467</v>
      </c>
      <c r="Z31" s="40">
        <f>Y31/X31</f>
        <v>1.436842149776921</v>
      </c>
      <c r="AA31" s="33">
        <f>AVERAGE(R31:T31)</f>
        <v>7918020.6682264628</v>
      </c>
      <c r="AB31" s="33">
        <f>AVERAGE(U31:W31)</f>
        <v>12057474.68286752</v>
      </c>
      <c r="AC31" s="39">
        <f>AB31/AA31</f>
        <v>1.5227889883202645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</row>
    <row r="32" spans="1:89">
      <c r="A32" s="1" t="s">
        <v>73</v>
      </c>
      <c r="B32" s="1" t="s">
        <v>74</v>
      </c>
      <c r="C32" s="1" t="s">
        <v>60</v>
      </c>
      <c r="D32" s="1">
        <v>-1.07</v>
      </c>
      <c r="E32" s="1">
        <v>364.09795000000003</v>
      </c>
      <c r="F32" s="1">
        <v>10.189</v>
      </c>
      <c r="G32" s="17">
        <f>AVERAGE(L32:W32)</f>
        <v>151320651.15826562</v>
      </c>
      <c r="H32" s="17">
        <v>314704608.72905898</v>
      </c>
      <c r="I32" s="17" t="e">
        <f>G32/#REF!</f>
        <v>#REF!</v>
      </c>
      <c r="J32" s="17" t="e">
        <f>H32/#REF!</f>
        <v>#REF!</v>
      </c>
      <c r="K32" s="1">
        <v>80.7</v>
      </c>
      <c r="L32" s="17">
        <v>66115431.337165497</v>
      </c>
      <c r="M32" s="17">
        <v>314704608.72905898</v>
      </c>
      <c r="N32" s="17">
        <v>309482855.23582703</v>
      </c>
      <c r="O32" s="17">
        <v>202313445.51728401</v>
      </c>
      <c r="P32" s="17">
        <v>226218074.07198</v>
      </c>
      <c r="Q32" s="17">
        <v>94152670.453648105</v>
      </c>
      <c r="R32" s="17">
        <v>123566351.456423</v>
      </c>
      <c r="S32" s="17">
        <v>76576962.067301303</v>
      </c>
      <c r="T32" s="17">
        <v>44184509.334845901</v>
      </c>
      <c r="U32" s="17">
        <v>133394798.705038</v>
      </c>
      <c r="V32" s="17">
        <v>108659907.622536</v>
      </c>
      <c r="W32" s="17">
        <v>116478199.36808001</v>
      </c>
      <c r="X32" s="34">
        <f>AVERAGE(L32:N32)</f>
        <v>230100965.10068384</v>
      </c>
      <c r="Y32" s="34">
        <f>AVERAGE(O32:Q32)</f>
        <v>174228063.34763739</v>
      </c>
      <c r="Z32" s="40">
        <f>Y32/X32</f>
        <v>0.75718093260235353</v>
      </c>
      <c r="AA32" s="33">
        <f>AVERAGE(R32:T32)</f>
        <v>81442607.619523406</v>
      </c>
      <c r="AB32" s="33">
        <f>AVERAGE(U32:W32)</f>
        <v>119510968.56521802</v>
      </c>
      <c r="AC32" s="39">
        <f>AB32/AA32</f>
        <v>1.4674256149009757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</row>
    <row r="33" spans="1:89">
      <c r="A33" s="1" t="s">
        <v>248</v>
      </c>
      <c r="B33" s="1" t="s">
        <v>249</v>
      </c>
      <c r="C33" s="1" t="s">
        <v>250</v>
      </c>
      <c r="D33" s="1">
        <v>-1.75</v>
      </c>
      <c r="E33" s="1">
        <v>125.01443999999999</v>
      </c>
      <c r="F33" s="1">
        <v>8.2750000000000004</v>
      </c>
      <c r="G33" s="17">
        <f>AVERAGE(L33:W33)</f>
        <v>15031876.424900347</v>
      </c>
      <c r="H33" s="17">
        <v>37327883.609681197</v>
      </c>
      <c r="I33" s="17" t="e">
        <f>G33/#REF!</f>
        <v>#REF!</v>
      </c>
      <c r="J33" s="17" t="e">
        <f>H33/#REF!</f>
        <v>#REF!</v>
      </c>
      <c r="K33" s="1">
        <v>96.3</v>
      </c>
      <c r="L33" s="17">
        <v>3061593.4709513299</v>
      </c>
      <c r="M33" s="17">
        <v>37301959.133893602</v>
      </c>
      <c r="N33" s="17">
        <v>30990313.0087207</v>
      </c>
      <c r="O33" s="17">
        <v>27634182.574267998</v>
      </c>
      <c r="P33" s="17">
        <v>29661664.345633499</v>
      </c>
      <c r="Q33" s="17">
        <v>7033773.68787295</v>
      </c>
      <c r="R33" s="17">
        <v>6918172.3211916704</v>
      </c>
      <c r="S33" s="17">
        <v>7967607.4982760204</v>
      </c>
      <c r="T33" s="17">
        <v>3776195.1865036702</v>
      </c>
      <c r="U33" s="17">
        <v>11426463.2901494</v>
      </c>
      <c r="V33" s="17">
        <v>7818648.2567504002</v>
      </c>
      <c r="W33" s="17">
        <v>6791944.3245929396</v>
      </c>
      <c r="X33" s="34">
        <f>AVERAGE(L33:N33)</f>
        <v>23784621.87118854</v>
      </c>
      <c r="Y33" s="34">
        <f>AVERAGE(O33:Q33)</f>
        <v>21443206.86925815</v>
      </c>
      <c r="Z33" s="40">
        <f>Y33/X33</f>
        <v>0.90155761085415198</v>
      </c>
      <c r="AA33" s="33">
        <f>AVERAGE(R33:T33)</f>
        <v>6220658.3353237873</v>
      </c>
      <c r="AB33" s="33">
        <f>AVERAGE(U33:W33)</f>
        <v>8679018.6238309126</v>
      </c>
      <c r="AC33" s="39">
        <f>AB33/AA33</f>
        <v>1.3951929451819294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</row>
    <row r="34" spans="1:89" s="7" customFormat="1">
      <c r="A34" s="9" t="s">
        <v>84</v>
      </c>
      <c r="B34" s="9" t="s">
        <v>85</v>
      </c>
      <c r="C34" s="9" t="s">
        <v>86</v>
      </c>
      <c r="D34" s="9">
        <v>-0.44</v>
      </c>
      <c r="E34" s="9">
        <v>191.15206000000001</v>
      </c>
      <c r="F34" s="9">
        <v>2.444</v>
      </c>
      <c r="G34" s="19">
        <f>AVERAGE(L34:W34)</f>
        <v>134206243.32163049</v>
      </c>
      <c r="H34" s="19">
        <v>654201477.25706995</v>
      </c>
      <c r="I34" s="19" t="e">
        <f>G34/#REF!</f>
        <v>#REF!</v>
      </c>
      <c r="J34" s="19" t="e">
        <f>H34/#REF!</f>
        <v>#REF!</v>
      </c>
      <c r="K34" s="9">
        <v>91.6</v>
      </c>
      <c r="L34" s="19">
        <v>17193644.117642801</v>
      </c>
      <c r="M34" s="19">
        <v>27375872.986148998</v>
      </c>
      <c r="N34" s="19">
        <v>23229381.2854416</v>
      </c>
      <c r="O34" s="19">
        <v>132866207.38936201</v>
      </c>
      <c r="P34" s="19">
        <v>30067785.644460201</v>
      </c>
      <c r="Q34" s="19">
        <v>654201477.25706995</v>
      </c>
      <c r="R34" s="19">
        <v>141288797.20663401</v>
      </c>
      <c r="S34" s="19">
        <v>51459746.8601311</v>
      </c>
      <c r="T34" s="19">
        <v>110290825.662917</v>
      </c>
      <c r="U34" s="19">
        <v>47820015.946210302</v>
      </c>
      <c r="V34" s="19">
        <v>334659359.78533798</v>
      </c>
      <c r="W34" s="19">
        <v>40021805.718209997</v>
      </c>
      <c r="X34" s="34">
        <f>AVERAGE(L34:N34)</f>
        <v>22599632.796411138</v>
      </c>
      <c r="Y34" s="34">
        <f>AVERAGE(O34:Q34)</f>
        <v>272378490.09696406</v>
      </c>
      <c r="Z34" s="40">
        <f>Y34/X34</f>
        <v>12.052341405308951</v>
      </c>
      <c r="AA34" s="33">
        <f>AVERAGE(R34:T34)</f>
        <v>101013123.24322738</v>
      </c>
      <c r="AB34" s="33">
        <f>AVERAGE(U34:W34)</f>
        <v>140833727.14991942</v>
      </c>
      <c r="AC34" s="39">
        <f>AB34/AA34</f>
        <v>1.3942121838051562</v>
      </c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</row>
    <row r="35" spans="1:89" s="7" customFormat="1">
      <c r="A35" s="1" t="s">
        <v>302</v>
      </c>
      <c r="B35" s="1" t="s">
        <v>303</v>
      </c>
      <c r="C35" s="1" t="s">
        <v>304</v>
      </c>
      <c r="D35" s="1">
        <v>-1.49</v>
      </c>
      <c r="E35" s="1">
        <v>139.02673999999999</v>
      </c>
      <c r="F35" s="1">
        <v>0.995</v>
      </c>
      <c r="G35" s="17">
        <f>AVERAGE(L35:W35)</f>
        <v>12058580.795027835</v>
      </c>
      <c r="H35" s="17">
        <v>16086950.1778586</v>
      </c>
      <c r="I35" s="17" t="e">
        <f>G35/#REF!</f>
        <v>#REF!</v>
      </c>
      <c r="J35" s="17" t="e">
        <f>H35/#REF!</f>
        <v>#REF!</v>
      </c>
      <c r="K35" s="1">
        <v>73.099999999999994</v>
      </c>
      <c r="L35" s="17">
        <v>11184587.0917341</v>
      </c>
      <c r="M35" s="17">
        <v>12991806.1795072</v>
      </c>
      <c r="N35" s="17">
        <v>13507992.078332899</v>
      </c>
      <c r="O35" s="17">
        <v>15411137.7528574</v>
      </c>
      <c r="P35" s="17">
        <v>14992335.860335801</v>
      </c>
      <c r="Q35" s="17">
        <v>13785783.767651601</v>
      </c>
      <c r="R35" s="17">
        <v>3190984.4896856402</v>
      </c>
      <c r="S35" s="17">
        <v>13310463.6160163</v>
      </c>
      <c r="T35" s="17">
        <v>9747484.3381898906</v>
      </c>
      <c r="U35" s="17">
        <v>9805672.0585076995</v>
      </c>
      <c r="V35" s="17">
        <v>15504403.752209401</v>
      </c>
      <c r="W35" s="17">
        <v>11270318.555306099</v>
      </c>
      <c r="X35" s="34">
        <f>AVERAGE(L35:N35)</f>
        <v>12561461.7831914</v>
      </c>
      <c r="Y35" s="34">
        <f>AVERAGE(O35:Q35)</f>
        <v>14729752.460281601</v>
      </c>
      <c r="Z35" s="40">
        <f>Y35/X35</f>
        <v>1.1726145184783836</v>
      </c>
      <c r="AA35" s="33">
        <f>AVERAGE(R35:T35)</f>
        <v>8749644.147963943</v>
      </c>
      <c r="AB35" s="33">
        <f>AVERAGE(U35:W35)</f>
        <v>12193464.788674399</v>
      </c>
      <c r="AC35" s="39">
        <f>AB35/AA35</f>
        <v>1.3935955088541332</v>
      </c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</row>
    <row r="36" spans="1:89">
      <c r="A36" s="1" t="s">
        <v>46</v>
      </c>
      <c r="B36" s="5" t="s">
        <v>47</v>
      </c>
      <c r="C36" s="1" t="s">
        <v>48</v>
      </c>
      <c r="D36" s="1">
        <v>-1.03</v>
      </c>
      <c r="E36" s="1">
        <v>418.17356999999998</v>
      </c>
      <c r="F36" s="1">
        <v>0.94899999999999995</v>
      </c>
      <c r="G36" s="17">
        <f>AVERAGE(L36:W36)</f>
        <v>746375896.97739947</v>
      </c>
      <c r="H36" s="17">
        <v>1281643082.4665501</v>
      </c>
      <c r="I36" s="17" t="e">
        <f>G36/#REF!</f>
        <v>#REF!</v>
      </c>
      <c r="J36" s="17" t="e">
        <f>H36/#REF!</f>
        <v>#REF!</v>
      </c>
      <c r="K36" s="1">
        <v>78.900000000000006</v>
      </c>
      <c r="L36" s="17">
        <v>710110235.98536003</v>
      </c>
      <c r="M36" s="17">
        <v>1134232619.7892101</v>
      </c>
      <c r="N36" s="17">
        <v>1096622551.4616101</v>
      </c>
      <c r="O36" s="17">
        <v>567135975.77488697</v>
      </c>
      <c r="P36" s="17">
        <v>1281643082.4665501</v>
      </c>
      <c r="Q36" s="17">
        <v>1004856369.2452</v>
      </c>
      <c r="R36" s="17">
        <v>472148524.94180602</v>
      </c>
      <c r="S36" s="17">
        <v>453495181.921691</v>
      </c>
      <c r="T36" s="17">
        <v>396775263.15657401</v>
      </c>
      <c r="U36" s="17">
        <v>574292707.32238305</v>
      </c>
      <c r="V36" s="17">
        <v>615234440.46884406</v>
      </c>
      <c r="W36" s="17">
        <v>649963811.19467902</v>
      </c>
      <c r="X36" s="34">
        <f>AVERAGE(L36:N36)</f>
        <v>980321802.41206014</v>
      </c>
      <c r="Y36" s="34">
        <f>AVERAGE(O36:Q36)</f>
        <v>951211809.16221237</v>
      </c>
      <c r="Z36" s="40">
        <f>Y36/X36</f>
        <v>0.97030567597474293</v>
      </c>
      <c r="AA36" s="33">
        <f>AVERAGE(R36:T36)</f>
        <v>440806323.3400237</v>
      </c>
      <c r="AB36" s="33">
        <f>AVERAGE(U36:W36)</f>
        <v>613163652.99530208</v>
      </c>
      <c r="AC36" s="39">
        <f>AB36/AA36</f>
        <v>1.3910046669687348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</row>
    <row r="37" spans="1:89">
      <c r="A37" s="1" t="s">
        <v>317</v>
      </c>
      <c r="B37" s="1" t="s">
        <v>318</v>
      </c>
      <c r="C37" s="1" t="s">
        <v>319</v>
      </c>
      <c r="D37" s="1">
        <v>-0.14000000000000001</v>
      </c>
      <c r="E37" s="1">
        <v>663.10902999999996</v>
      </c>
      <c r="F37" s="1">
        <v>13.497</v>
      </c>
      <c r="G37" s="17">
        <f>AVERAGE(L37:W37)</f>
        <v>12307973.345694944</v>
      </c>
      <c r="H37" s="17">
        <v>21201053.497918099</v>
      </c>
      <c r="I37" s="17" t="e">
        <f>G37/#REF!</f>
        <v>#REF!</v>
      </c>
      <c r="J37" s="17" t="e">
        <f>H37/#REF!</f>
        <v>#REF!</v>
      </c>
      <c r="K37" s="1">
        <v>62.5</v>
      </c>
      <c r="L37" s="17">
        <v>7279397.6973883798</v>
      </c>
      <c r="M37" s="17">
        <v>9636519.3841565698</v>
      </c>
      <c r="N37" s="17">
        <v>9781956.8030828908</v>
      </c>
      <c r="O37" s="17">
        <v>16719748.227972399</v>
      </c>
      <c r="P37" s="17">
        <v>7496151.3153049303</v>
      </c>
      <c r="Q37" s="17">
        <v>10060882.346176101</v>
      </c>
      <c r="R37" s="17">
        <v>17895424.0703854</v>
      </c>
      <c r="S37" s="17">
        <v>10254887.478231</v>
      </c>
      <c r="T37" s="17">
        <v>8633775.3707549404</v>
      </c>
      <c r="U37" s="17">
        <v>21201053.497918099</v>
      </c>
      <c r="V37" s="17">
        <v>15390392.122493301</v>
      </c>
      <c r="W37" s="17">
        <v>13345491.834475299</v>
      </c>
      <c r="X37" s="34">
        <f>AVERAGE(L37:N37)</f>
        <v>8899291.2948759478</v>
      </c>
      <c r="Y37" s="34">
        <f>AVERAGE(O37:Q37)</f>
        <v>11425593.963151144</v>
      </c>
      <c r="Z37" s="40">
        <f>Y37/X37</f>
        <v>1.2838768374432012</v>
      </c>
      <c r="AA37" s="33">
        <f>AVERAGE(R37:T37)</f>
        <v>12261362.306457115</v>
      </c>
      <c r="AB37" s="33">
        <f>AVERAGE(U37:W37)</f>
        <v>16645645.818295566</v>
      </c>
      <c r="AC37" s="39">
        <f>AB37/AA37</f>
        <v>1.3575690369682321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</row>
    <row r="38" spans="1:89">
      <c r="A38" s="9" t="s">
        <v>25</v>
      </c>
      <c r="B38" s="9" t="s">
        <v>26</v>
      </c>
      <c r="C38" s="4" t="s">
        <v>27</v>
      </c>
      <c r="D38" s="1">
        <v>-2.69</v>
      </c>
      <c r="E38" s="1">
        <v>97.97663</v>
      </c>
      <c r="F38" s="1">
        <v>8.6750000000000007</v>
      </c>
      <c r="G38" s="17">
        <f>AVERAGE(L38:W38)</f>
        <v>17060164715.517847</v>
      </c>
      <c r="H38" s="17">
        <v>21510904668.0429</v>
      </c>
      <c r="I38" s="17" t="e">
        <f>G38/#REF!</f>
        <v>#REF!</v>
      </c>
      <c r="J38" s="17" t="e">
        <f>H38/#REF!</f>
        <v>#REF!</v>
      </c>
      <c r="K38" s="1">
        <v>84.9</v>
      </c>
      <c r="L38" s="17">
        <v>14659498346.920601</v>
      </c>
      <c r="M38" s="17">
        <v>21510904668.0429</v>
      </c>
      <c r="N38" s="17">
        <v>17679214966.318501</v>
      </c>
      <c r="O38" s="17">
        <v>17080412208.4186</v>
      </c>
      <c r="P38" s="17">
        <v>14490702907.228399</v>
      </c>
      <c r="Q38" s="17">
        <v>19138459422.507</v>
      </c>
      <c r="R38" s="17">
        <v>15277068577.319401</v>
      </c>
      <c r="S38" s="17">
        <v>13958837870.4858</v>
      </c>
      <c r="T38" s="17">
        <v>13410362500.5355</v>
      </c>
      <c r="U38" s="17">
        <v>18892948315.6492</v>
      </c>
      <c r="V38" s="17">
        <v>18668889365.155602</v>
      </c>
      <c r="W38" s="17">
        <v>19954677437.632702</v>
      </c>
      <c r="X38" s="34">
        <f>AVERAGE(L38:N38)</f>
        <v>17949872660.427334</v>
      </c>
      <c r="Y38" s="34">
        <f>AVERAGE(O38:Q38)</f>
        <v>16903191512.718</v>
      </c>
      <c r="Z38" s="40">
        <f>Y38/X38</f>
        <v>0.94168865888297537</v>
      </c>
      <c r="AA38" s="33">
        <f>AVERAGE(R38:T38)</f>
        <v>14215422982.780233</v>
      </c>
      <c r="AB38" s="33">
        <f>AVERAGE(U38:W38)</f>
        <v>19172171706.145832</v>
      </c>
      <c r="AC38" s="39">
        <f>AB38/AA38</f>
        <v>1.34868809245915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</row>
    <row r="39" spans="1:89">
      <c r="A39" s="12" t="s">
        <v>117</v>
      </c>
      <c r="B39" s="12" t="s">
        <v>118</v>
      </c>
      <c r="C39" s="9" t="s">
        <v>119</v>
      </c>
      <c r="D39" s="9">
        <v>0.09</v>
      </c>
      <c r="E39" s="9">
        <v>113.08407</v>
      </c>
      <c r="F39" s="9">
        <v>1.1970000000000001</v>
      </c>
      <c r="G39" s="19">
        <f>AVERAGE(L39:W39)</f>
        <v>60666917.173835047</v>
      </c>
      <c r="H39" s="19">
        <v>318679468.85071301</v>
      </c>
      <c r="I39" s="19" t="e">
        <f>G39/#REF!</f>
        <v>#REF!</v>
      </c>
      <c r="J39" s="19" t="e">
        <f>H39/#REF!</f>
        <v>#REF!</v>
      </c>
      <c r="K39" s="9">
        <v>91</v>
      </c>
      <c r="L39" s="19">
        <v>66498963.003490798</v>
      </c>
      <c r="M39" s="19">
        <v>125927561.931486</v>
      </c>
      <c r="N39" s="19">
        <v>61828326.350856602</v>
      </c>
      <c r="O39" s="19">
        <v>64575032.927029498</v>
      </c>
      <c r="P39" s="19">
        <v>63711973.195691399</v>
      </c>
      <c r="Q39" s="19">
        <v>87148275.121719703</v>
      </c>
      <c r="R39" s="19">
        <v>73799553.946497098</v>
      </c>
      <c r="S39" s="19">
        <v>32652295.012995798</v>
      </c>
      <c r="T39" s="19">
        <v>4483194.9283430697</v>
      </c>
      <c r="U39" s="19">
        <v>63039338.660737403</v>
      </c>
      <c r="V39" s="19">
        <v>34650059.786950797</v>
      </c>
      <c r="W39" s="19">
        <v>49688431.220222399</v>
      </c>
      <c r="X39" s="34">
        <f>AVERAGE(L39:N39)</f>
        <v>84751617.095277801</v>
      </c>
      <c r="Y39" s="34">
        <f>AVERAGE(O39:Q39)</f>
        <v>71811760.414813533</v>
      </c>
      <c r="Z39" s="40">
        <f>Y39/X39</f>
        <v>0.8473202385517048</v>
      </c>
      <c r="AA39" s="33">
        <f>AVERAGE(R39:T39)</f>
        <v>36978347.962611988</v>
      </c>
      <c r="AB39" s="33">
        <f>AVERAGE(U39:W39)</f>
        <v>49125943.222636856</v>
      </c>
      <c r="AC39" s="39">
        <f>AB39/AA39</f>
        <v>1.3285056236775921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</row>
    <row r="40" spans="1:89">
      <c r="A40" s="20" t="s">
        <v>197</v>
      </c>
      <c r="B40" s="20" t="s">
        <v>198</v>
      </c>
      <c r="C40" s="20" t="s">
        <v>199</v>
      </c>
      <c r="D40" s="20">
        <v>-0.6</v>
      </c>
      <c r="E40" s="20">
        <v>134.02144000000001</v>
      </c>
      <c r="F40" s="20">
        <v>2.1720000000000002</v>
      </c>
      <c r="G40" s="21">
        <f>AVERAGE(L40:W40)</f>
        <v>29211356.233975571</v>
      </c>
      <c r="H40" s="21">
        <v>70168937.242844507</v>
      </c>
      <c r="I40" s="21" t="e">
        <f>G40/#REF!</f>
        <v>#REF!</v>
      </c>
      <c r="J40" s="21" t="e">
        <f>H40/#REF!</f>
        <v>#REF!</v>
      </c>
      <c r="K40" s="20">
        <v>96.2</v>
      </c>
      <c r="L40" s="21">
        <v>32330565.413690001</v>
      </c>
      <c r="M40" s="21">
        <v>65619583.030876301</v>
      </c>
      <c r="N40" s="21">
        <v>62133561.943154097</v>
      </c>
      <c r="O40" s="21">
        <v>50981190.800223298</v>
      </c>
      <c r="P40" s="21">
        <v>13191358.248437099</v>
      </c>
      <c r="Q40" s="21">
        <v>15792499.538306201</v>
      </c>
      <c r="R40" s="21">
        <v>311259.47675738903</v>
      </c>
      <c r="S40" s="21">
        <v>17665155.212125599</v>
      </c>
      <c r="T40" s="21">
        <v>29569424.2922896</v>
      </c>
      <c r="U40" s="21">
        <v>21806371.945998602</v>
      </c>
      <c r="V40" s="21">
        <v>22184894.457017701</v>
      </c>
      <c r="W40" s="21">
        <v>18950410.448830899</v>
      </c>
      <c r="X40" s="34">
        <f>AVERAGE(L40:N40)</f>
        <v>53361236.795906805</v>
      </c>
      <c r="Y40" s="34">
        <f>AVERAGE(O40:Q40)</f>
        <v>26655016.195655536</v>
      </c>
      <c r="Z40" s="40">
        <f>Y40/X40</f>
        <v>0.49952020972835043</v>
      </c>
      <c r="AA40" s="33">
        <f>AVERAGE(R40:T40)</f>
        <v>15848612.993724197</v>
      </c>
      <c r="AB40" s="33">
        <f>AVERAGE(U40:W40)</f>
        <v>20980558.950615734</v>
      </c>
      <c r="AC40" s="39">
        <f>AB40/AA40</f>
        <v>1.3238104153924199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</row>
    <row r="41" spans="1:89">
      <c r="A41" s="1" t="s">
        <v>479</v>
      </c>
      <c r="B41" s="1" t="s">
        <v>480</v>
      </c>
      <c r="C41" s="1" t="s">
        <v>481</v>
      </c>
      <c r="D41" s="1">
        <v>0.53</v>
      </c>
      <c r="E41" s="1">
        <v>190.05906999999999</v>
      </c>
      <c r="F41" s="1">
        <v>8.8829999999999991</v>
      </c>
      <c r="G41" s="17">
        <f>AVERAGE(L41:W41)</f>
        <v>1857104.9130084801</v>
      </c>
      <c r="H41" s="17">
        <v>2746996.5608139602</v>
      </c>
      <c r="I41" s="17" t="e">
        <f>G41/#REF!</f>
        <v>#REF!</v>
      </c>
      <c r="J41" s="17" t="e">
        <f>H41/#REF!</f>
        <v>#REF!</v>
      </c>
      <c r="K41" s="1">
        <v>77.599999999999994</v>
      </c>
      <c r="L41" s="17">
        <v>1855655.00017145</v>
      </c>
      <c r="M41" s="17">
        <v>1503491.1364696999</v>
      </c>
      <c r="N41" s="17">
        <v>652574.62482704502</v>
      </c>
      <c r="O41" s="17">
        <v>1481748.0733765401</v>
      </c>
      <c r="P41" s="17">
        <v>1946184.2595718</v>
      </c>
      <c r="Q41" s="17">
        <v>1974499.0837634599</v>
      </c>
      <c r="R41" s="17">
        <v>148333.78453810501</v>
      </c>
      <c r="S41" s="17">
        <v>2658325.9481333201</v>
      </c>
      <c r="T41" s="17">
        <v>2746996.5608139602</v>
      </c>
      <c r="U41" s="17">
        <v>2031409.9241578099</v>
      </c>
      <c r="V41" s="17">
        <v>2579045.0622265399</v>
      </c>
      <c r="W41" s="17">
        <v>2706995.4980520299</v>
      </c>
      <c r="X41" s="34">
        <f>AVERAGE(L41:N41)</f>
        <v>1337240.2538227316</v>
      </c>
      <c r="Y41" s="34">
        <f>AVERAGE(O41:Q41)</f>
        <v>1800810.4722372666</v>
      </c>
      <c r="Z41" s="40">
        <f>Y41/X41</f>
        <v>1.3466618785138569</v>
      </c>
      <c r="AA41" s="33">
        <f>AVERAGE(R41:T41)</f>
        <v>1851218.7644951285</v>
      </c>
      <c r="AB41" s="33">
        <f>AVERAGE(U41:W41)</f>
        <v>2439150.1614787932</v>
      </c>
      <c r="AC41" s="39">
        <f>AB41/AA41</f>
        <v>1.3175915284890749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</row>
    <row r="42" spans="1:89">
      <c r="A42" s="1" t="s">
        <v>350</v>
      </c>
      <c r="B42" s="1" t="s">
        <v>351</v>
      </c>
      <c r="C42" s="1" t="s">
        <v>352</v>
      </c>
      <c r="D42" s="1">
        <v>-1.1399999999999999</v>
      </c>
      <c r="E42" s="1">
        <v>148.03700000000001</v>
      </c>
      <c r="F42" s="1">
        <v>2.0960000000000001</v>
      </c>
      <c r="G42" s="17">
        <f>AVERAGE(L42:W42)</f>
        <v>7877488.1946256133</v>
      </c>
      <c r="H42" s="17">
        <v>23766342.635281801</v>
      </c>
      <c r="I42" s="17" t="e">
        <f>G42/#REF!</f>
        <v>#REF!</v>
      </c>
      <c r="J42" s="17" t="e">
        <f>H42/#REF!</f>
        <v>#REF!</v>
      </c>
      <c r="K42" s="1">
        <v>73.900000000000006</v>
      </c>
      <c r="L42" s="17">
        <v>9374751.0817987099</v>
      </c>
      <c r="M42" s="17">
        <v>18608544.388704699</v>
      </c>
      <c r="N42" s="17">
        <v>23766342.635281801</v>
      </c>
      <c r="O42" s="17">
        <v>7289898.30595084</v>
      </c>
      <c r="P42" s="17">
        <v>8611885.7789267693</v>
      </c>
      <c r="Q42" s="17">
        <v>12800251.186612301</v>
      </c>
      <c r="R42" s="17">
        <v>342085.92412318999</v>
      </c>
      <c r="S42" s="17">
        <v>4324007.6654170696</v>
      </c>
      <c r="T42" s="17">
        <v>1430340.7904842</v>
      </c>
      <c r="U42" s="17">
        <v>1914155.5009065301</v>
      </c>
      <c r="V42" s="17">
        <v>2790100.2470839699</v>
      </c>
      <c r="W42" s="17">
        <v>3277494.8302172902</v>
      </c>
      <c r="X42" s="34">
        <f>AVERAGE(L42:N42)</f>
        <v>17249879.368595067</v>
      </c>
      <c r="Y42" s="34">
        <f>AVERAGE(O42:Q42)</f>
        <v>9567345.0904966369</v>
      </c>
      <c r="Z42" s="40">
        <f>Y42/X42</f>
        <v>0.55463257951327105</v>
      </c>
      <c r="AA42" s="33">
        <f>AVERAGE(R42:T42)</f>
        <v>2032144.7933414867</v>
      </c>
      <c r="AB42" s="33">
        <f>AVERAGE(U42:W42)</f>
        <v>2660583.5260692635</v>
      </c>
      <c r="AC42" s="39">
        <f>AB42/AA42</f>
        <v>1.3092489938644702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</row>
    <row r="43" spans="1:89">
      <c r="A43" s="1" t="s">
        <v>296</v>
      </c>
      <c r="B43" s="1" t="s">
        <v>297</v>
      </c>
      <c r="C43" s="1" t="s">
        <v>298</v>
      </c>
      <c r="D43" s="1">
        <v>0.67</v>
      </c>
      <c r="E43" s="1">
        <v>132.05358000000001</v>
      </c>
      <c r="F43" s="1">
        <v>9.4049999999999994</v>
      </c>
      <c r="G43" s="17">
        <f>AVERAGE(L43:W43)</f>
        <v>12983669.807178112</v>
      </c>
      <c r="H43" s="17">
        <v>33257893.968184002</v>
      </c>
      <c r="I43" s="17" t="e">
        <f>G43/#REF!</f>
        <v>#REF!</v>
      </c>
      <c r="J43" s="17" t="e">
        <f>H43/#REF!</f>
        <v>#REF!</v>
      </c>
      <c r="K43" s="1">
        <v>87.5</v>
      </c>
      <c r="L43" s="17">
        <v>33257893.968184002</v>
      </c>
      <c r="M43" s="17">
        <v>19978644.167236399</v>
      </c>
      <c r="N43" s="17">
        <v>11274388.2324847</v>
      </c>
      <c r="O43" s="17">
        <v>9409008.1346310396</v>
      </c>
      <c r="P43" s="17">
        <v>7411707.1664336901</v>
      </c>
      <c r="Q43" s="17">
        <v>6295178.7427550601</v>
      </c>
      <c r="R43" s="17">
        <v>99189.755230088893</v>
      </c>
      <c r="S43" s="17">
        <v>14476449.978191201</v>
      </c>
      <c r="T43" s="17">
        <v>15094859.886838799</v>
      </c>
      <c r="U43" s="17">
        <v>13059021.082302799</v>
      </c>
      <c r="V43" s="17">
        <v>12905041.211441699</v>
      </c>
      <c r="W43" s="17">
        <v>12542655.3604079</v>
      </c>
      <c r="X43" s="34">
        <f>AVERAGE(L43:N43)</f>
        <v>21503642.122635033</v>
      </c>
      <c r="Y43" s="34">
        <f>AVERAGE(O43:Q43)</f>
        <v>7705298.014606596</v>
      </c>
      <c r="Z43" s="40">
        <f>Y43/X43</f>
        <v>0.35832525349256494</v>
      </c>
      <c r="AA43" s="33">
        <f>AVERAGE(R43:T43)</f>
        <v>9890166.5400866959</v>
      </c>
      <c r="AB43" s="33">
        <f>AVERAGE(U43:W43)</f>
        <v>12835572.55138413</v>
      </c>
      <c r="AC43" s="39">
        <f>AB43/AA43</f>
        <v>1.2978115686282079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</row>
    <row r="44" spans="1:89">
      <c r="A44" s="23" t="s">
        <v>255</v>
      </c>
      <c r="B44" s="23" t="s">
        <v>256</v>
      </c>
      <c r="C44" s="23" t="s">
        <v>122</v>
      </c>
      <c r="D44" s="23">
        <v>-0.64</v>
      </c>
      <c r="E44" s="23">
        <v>172.01356000000001</v>
      </c>
      <c r="F44" s="23">
        <v>9.5399999999999991</v>
      </c>
      <c r="G44" s="24">
        <f>AVERAGE(L44:W44)</f>
        <v>17971356.592245005</v>
      </c>
      <c r="H44" s="24">
        <v>29504950.928830501</v>
      </c>
      <c r="I44" s="24" t="e">
        <f>G44/#REF!</f>
        <v>#REF!</v>
      </c>
      <c r="J44" s="24" t="e">
        <f>H44/#REF!</f>
        <v>#REF!</v>
      </c>
      <c r="K44" s="23">
        <v>74.5</v>
      </c>
      <c r="L44" s="24">
        <v>5102826.6807461902</v>
      </c>
      <c r="M44" s="24">
        <v>5975985.2192997998</v>
      </c>
      <c r="N44" s="24">
        <v>22685351.010690499</v>
      </c>
      <c r="O44" s="24">
        <v>29504950.928830501</v>
      </c>
      <c r="P44" s="24">
        <v>9851132.9898867104</v>
      </c>
      <c r="Q44" s="24">
        <v>24067671.345128998</v>
      </c>
      <c r="R44" s="24">
        <v>28072103.778047301</v>
      </c>
      <c r="S44" s="24">
        <v>21879957.010340899</v>
      </c>
      <c r="T44" s="24">
        <v>1813332.4325015401</v>
      </c>
      <c r="U44" s="24">
        <v>26054988.9283172</v>
      </c>
      <c r="V44" s="24">
        <v>15227998.4499061</v>
      </c>
      <c r="W44" s="24">
        <v>25419980.333244301</v>
      </c>
      <c r="X44" s="34">
        <f>AVERAGE(L44:N44)</f>
        <v>11254720.970245495</v>
      </c>
      <c r="Y44" s="34">
        <f>AVERAGE(O44:Q44)</f>
        <v>21141251.754615404</v>
      </c>
      <c r="Z44" s="40">
        <f>Y44/X44</f>
        <v>1.8784341087182241</v>
      </c>
      <c r="AA44" s="33">
        <f>AVERAGE(R44:T44)</f>
        <v>17255131.073629912</v>
      </c>
      <c r="AB44" s="33">
        <f>AVERAGE(U44:W44)</f>
        <v>22234322.570489202</v>
      </c>
      <c r="AC44" s="39">
        <f>AB44/AA44</f>
        <v>1.2885629483550385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</row>
    <row r="45" spans="1:89">
      <c r="A45" s="1" t="s">
        <v>147</v>
      </c>
      <c r="B45" s="1" t="s">
        <v>148</v>
      </c>
      <c r="C45" s="1" t="s">
        <v>149</v>
      </c>
      <c r="D45" s="1">
        <v>0.01</v>
      </c>
      <c r="E45" s="1">
        <v>175.09568999999999</v>
      </c>
      <c r="F45" s="1">
        <v>9.548</v>
      </c>
      <c r="G45" s="17">
        <f>AVERAGE(L45:W45)</f>
        <v>57870592.183561556</v>
      </c>
      <c r="H45" s="17">
        <v>88783796.187668905</v>
      </c>
      <c r="I45" s="17" t="e">
        <f>G45/#REF!</f>
        <v>#REF!</v>
      </c>
      <c r="J45" s="17" t="e">
        <f>H45/#REF!</f>
        <v>#REF!</v>
      </c>
      <c r="K45" s="1">
        <v>82.4</v>
      </c>
      <c r="L45" s="17">
        <v>40845292.681266099</v>
      </c>
      <c r="M45" s="17">
        <v>67193399.616686001</v>
      </c>
      <c r="N45" s="17">
        <v>63223643.993476301</v>
      </c>
      <c r="O45" s="17">
        <v>55398568.150710501</v>
      </c>
      <c r="P45" s="17">
        <v>33703132.855769902</v>
      </c>
      <c r="Q45" s="17">
        <v>22145878.6712946</v>
      </c>
      <c r="R45" s="17">
        <v>83080853.333002597</v>
      </c>
      <c r="S45" s="17">
        <v>56061734.860923402</v>
      </c>
      <c r="T45" s="17">
        <v>44372703.538380899</v>
      </c>
      <c r="U45" s="17">
        <v>78145102.873694196</v>
      </c>
      <c r="V45" s="17">
        <v>61492999.439865202</v>
      </c>
      <c r="W45" s="17">
        <v>88783796.187668905</v>
      </c>
      <c r="X45" s="34">
        <f>AVERAGE(L45:N45)</f>
        <v>57087445.430476129</v>
      </c>
      <c r="Y45" s="34">
        <f>AVERAGE(O45:Q45)</f>
        <v>37082526.559258334</v>
      </c>
      <c r="Z45" s="40">
        <f>Y45/X45</f>
        <v>0.64957411002773358</v>
      </c>
      <c r="AA45" s="33">
        <f>AVERAGE(R45:T45)</f>
        <v>61171763.910768963</v>
      </c>
      <c r="AB45" s="33">
        <f>AVERAGE(U45:W45)</f>
        <v>76140632.833742782</v>
      </c>
      <c r="AC45" s="39">
        <f>AB45/AA45</f>
        <v>1.2447022607490745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</row>
    <row r="46" spans="1:89" s="7" customFormat="1">
      <c r="A46" s="1" t="s">
        <v>81</v>
      </c>
      <c r="B46" s="1" t="s">
        <v>82</v>
      </c>
      <c r="C46" s="1" t="s">
        <v>83</v>
      </c>
      <c r="D46" s="1">
        <v>-0.28000000000000003</v>
      </c>
      <c r="E46" s="1">
        <v>129.07893999999999</v>
      </c>
      <c r="F46" s="1">
        <v>4.0389999999999997</v>
      </c>
      <c r="G46" s="17">
        <f>AVERAGE(L46:W46)</f>
        <v>122104244.27288122</v>
      </c>
      <c r="H46" s="17">
        <v>166667572.835035</v>
      </c>
      <c r="I46" s="17" t="e">
        <f>G46/#REF!</f>
        <v>#REF!</v>
      </c>
      <c r="J46" s="17" t="e">
        <f>H46/#REF!</f>
        <v>#REF!</v>
      </c>
      <c r="K46" s="1">
        <v>68.900000000000006</v>
      </c>
      <c r="L46" s="17">
        <v>166667572.835035</v>
      </c>
      <c r="M46" s="17">
        <v>138197359.240291</v>
      </c>
      <c r="N46" s="17">
        <v>142043213.19018701</v>
      </c>
      <c r="O46" s="17">
        <v>89156100.999508098</v>
      </c>
      <c r="P46" s="17">
        <v>98743241.090307802</v>
      </c>
      <c r="Q46" s="17">
        <v>129834517.335471</v>
      </c>
      <c r="R46" s="17">
        <v>99689457.899735793</v>
      </c>
      <c r="S46" s="17">
        <v>110247389.129656</v>
      </c>
      <c r="T46" s="17">
        <v>102292197.61494499</v>
      </c>
      <c r="U46" s="17">
        <v>104829621.154817</v>
      </c>
      <c r="V46" s="17">
        <v>165263279.29949799</v>
      </c>
      <c r="W46" s="17">
        <v>118286981.48512299</v>
      </c>
      <c r="X46" s="34">
        <f>AVERAGE(L46:N46)</f>
        <v>148969381.75517097</v>
      </c>
      <c r="Y46" s="34">
        <f>AVERAGE(O46:Q46)</f>
        <v>105911286.47509563</v>
      </c>
      <c r="Z46" s="40">
        <f>Y46/X46</f>
        <v>0.71096009949990457</v>
      </c>
      <c r="AA46" s="33">
        <f>AVERAGE(R46:T46)</f>
        <v>104076348.21477894</v>
      </c>
      <c r="AB46" s="33">
        <f>AVERAGE(U46:W46)</f>
        <v>129459960.64647932</v>
      </c>
      <c r="AC46" s="39">
        <f>AB46/AA46</f>
        <v>1.2438941495076004</v>
      </c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</row>
    <row r="47" spans="1:89">
      <c r="A47" s="1" t="s">
        <v>101</v>
      </c>
      <c r="B47" s="1" t="s">
        <v>102</v>
      </c>
      <c r="C47" s="1" t="s">
        <v>103</v>
      </c>
      <c r="D47" s="1">
        <v>-1.21</v>
      </c>
      <c r="E47" s="1">
        <v>292.09030999999999</v>
      </c>
      <c r="F47" s="1">
        <v>9.3889999999999993</v>
      </c>
      <c r="G47" s="17">
        <f>AVERAGE(L47:W47)</f>
        <v>110260618.5531498</v>
      </c>
      <c r="H47" s="17">
        <v>330138391.76733798</v>
      </c>
      <c r="I47" s="17" t="e">
        <f>G47/#REF!</f>
        <v>#REF!</v>
      </c>
      <c r="J47" s="17" t="e">
        <f>H47/#REF!</f>
        <v>#REF!</v>
      </c>
      <c r="K47" s="1">
        <v>94.6</v>
      </c>
      <c r="L47" s="17">
        <v>41100942.911745198</v>
      </c>
      <c r="M47" s="17">
        <v>51939111.550536998</v>
      </c>
      <c r="N47" s="17">
        <v>60583765.6942586</v>
      </c>
      <c r="O47" s="17">
        <v>330138391.76733798</v>
      </c>
      <c r="P47" s="17">
        <v>52780030.770204999</v>
      </c>
      <c r="Q47" s="17">
        <v>33576199.798951</v>
      </c>
      <c r="R47" s="17">
        <v>37061521.4532272</v>
      </c>
      <c r="S47" s="17">
        <v>256581537.95270401</v>
      </c>
      <c r="T47" s="17">
        <v>43589043.351620801</v>
      </c>
      <c r="U47" s="17">
        <v>34849188.839977801</v>
      </c>
      <c r="V47" s="17">
        <v>141049018.04848301</v>
      </c>
      <c r="W47" s="17">
        <v>239878670.49875</v>
      </c>
      <c r="X47" s="34">
        <f>AVERAGE(L47:N47)</f>
        <v>51207940.052180268</v>
      </c>
      <c r="Y47" s="34">
        <f>AVERAGE(O47:Q47)</f>
        <v>138831540.77883133</v>
      </c>
      <c r="Z47" s="40">
        <f>Y47/X47</f>
        <v>2.7111330906371878</v>
      </c>
      <c r="AA47" s="33">
        <f>AVERAGE(R47:T47)</f>
        <v>112410700.91918401</v>
      </c>
      <c r="AB47" s="33">
        <f>AVERAGE(U47:W47)</f>
        <v>138592292.46240363</v>
      </c>
      <c r="AC47" s="39">
        <f>AB47/AA47</f>
        <v>1.2329101351484542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</row>
    <row r="48" spans="1:89" s="7" customFormat="1">
      <c r="A48" s="1" t="s">
        <v>392</v>
      </c>
      <c r="B48" s="1" t="s">
        <v>393</v>
      </c>
      <c r="C48" s="1" t="s">
        <v>394</v>
      </c>
      <c r="D48" s="1">
        <v>-2.5499999999999998</v>
      </c>
      <c r="E48" s="1">
        <v>72.020949999999999</v>
      </c>
      <c r="F48" s="1">
        <v>3.6589999999999998</v>
      </c>
      <c r="G48" s="17">
        <f>AVERAGE(L48:W48)</f>
        <v>6518398.501396996</v>
      </c>
      <c r="H48" s="17">
        <v>53885641.438076504</v>
      </c>
      <c r="I48" s="17" t="e">
        <f>G48/#REF!</f>
        <v>#REF!</v>
      </c>
      <c r="J48" s="17" t="e">
        <f>H48/#REF!</f>
        <v>#REF!</v>
      </c>
      <c r="K48" s="1">
        <v>55.6</v>
      </c>
      <c r="L48" s="17">
        <v>679916.48430208396</v>
      </c>
      <c r="M48" s="17">
        <v>798918.44981751498</v>
      </c>
      <c r="N48" s="17">
        <v>53885641.438076504</v>
      </c>
      <c r="O48" s="17">
        <v>946934.946143404</v>
      </c>
      <c r="P48" s="17">
        <v>1144948.4506921601</v>
      </c>
      <c r="Q48" s="17">
        <v>2718853.1818177998</v>
      </c>
      <c r="R48" s="17">
        <v>1313518.9768471201</v>
      </c>
      <c r="S48" s="17">
        <v>3780313.0586187202</v>
      </c>
      <c r="T48" s="17">
        <v>3033526.4484019498</v>
      </c>
      <c r="U48" s="17">
        <v>2956395.4175957199</v>
      </c>
      <c r="V48" s="17">
        <v>3938919.0007574698</v>
      </c>
      <c r="W48" s="17">
        <v>3022896.16369351</v>
      </c>
      <c r="X48" s="34">
        <f>AVERAGE(L48:N48)</f>
        <v>18454825.457398701</v>
      </c>
      <c r="Y48" s="34">
        <f>AVERAGE(O48:Q48)</f>
        <v>1603578.8595511212</v>
      </c>
      <c r="Z48" s="40">
        <f>Y48/X48</f>
        <v>8.6892117362628987E-2</v>
      </c>
      <c r="AA48" s="33">
        <f>AVERAGE(R48:T48)</f>
        <v>2709119.494622597</v>
      </c>
      <c r="AB48" s="33">
        <f>AVERAGE(U48:W48)</f>
        <v>3306070.1940155663</v>
      </c>
      <c r="AC48" s="39">
        <f>AB48/AA48</f>
        <v>1.2203486042523677</v>
      </c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</row>
    <row r="49" spans="1:89">
      <c r="A49" s="1" t="s">
        <v>227</v>
      </c>
      <c r="B49" s="1" t="s">
        <v>228</v>
      </c>
      <c r="C49" s="1" t="s">
        <v>229</v>
      </c>
      <c r="D49" s="1">
        <v>-0.9</v>
      </c>
      <c r="E49" s="1">
        <v>427.97480000000002</v>
      </c>
      <c r="F49" s="1">
        <v>0.92500000000000004</v>
      </c>
      <c r="G49" s="17">
        <f>AVERAGE(L49:W49)</f>
        <v>21617122.810871836</v>
      </c>
      <c r="H49" s="17">
        <v>27392940.4846767</v>
      </c>
      <c r="I49" s="17" t="e">
        <f>G49/#REF!</f>
        <v>#REF!</v>
      </c>
      <c r="J49" s="17" t="e">
        <f>H49/#REF!</f>
        <v>#REF!</v>
      </c>
      <c r="K49" s="1">
        <v>80.3</v>
      </c>
      <c r="L49" s="17">
        <v>21708140.050484199</v>
      </c>
      <c r="M49" s="17">
        <v>24689081.2146862</v>
      </c>
      <c r="N49" s="17">
        <v>25827508.096816</v>
      </c>
      <c r="O49" s="17">
        <v>17916586.5740286</v>
      </c>
      <c r="P49" s="17">
        <v>27392940.4846767</v>
      </c>
      <c r="Q49" s="17">
        <v>25356276.670310501</v>
      </c>
      <c r="R49" s="17">
        <v>16026267.034926301</v>
      </c>
      <c r="S49" s="17">
        <v>20844052.4393925</v>
      </c>
      <c r="T49" s="17">
        <v>15636654.014195099</v>
      </c>
      <c r="U49" s="17">
        <v>22090042.477845602</v>
      </c>
      <c r="V49" s="17">
        <v>19673402.141960502</v>
      </c>
      <c r="W49" s="17">
        <v>22244522.531139798</v>
      </c>
      <c r="X49" s="34">
        <f>AVERAGE(L49:N49)</f>
        <v>24074909.787328798</v>
      </c>
      <c r="Y49" s="34">
        <f>AVERAGE(O49:Q49)</f>
        <v>23555267.909671932</v>
      </c>
      <c r="Z49" s="40">
        <f>Y49/X49</f>
        <v>0.97841562513640801</v>
      </c>
      <c r="AA49" s="33">
        <f>AVERAGE(R49:T49)</f>
        <v>17502324.496171299</v>
      </c>
      <c r="AB49" s="33">
        <f>AVERAGE(U49:W49)</f>
        <v>21335989.050315302</v>
      </c>
      <c r="AC49" s="39">
        <f>AB49/AA49</f>
        <v>1.2190374515672264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</row>
    <row r="50" spans="1:89" s="25" customFormat="1">
      <c r="A50" s="9" t="s">
        <v>153</v>
      </c>
      <c r="B50" s="9" t="s">
        <v>154</v>
      </c>
      <c r="C50" s="9" t="s">
        <v>155</v>
      </c>
      <c r="D50" s="9">
        <v>-0.85</v>
      </c>
      <c r="E50" s="9">
        <v>192.02683999999999</v>
      </c>
      <c r="F50" s="9">
        <v>3.62</v>
      </c>
      <c r="G50" s="19">
        <f>AVERAGE(L50:W50)</f>
        <v>55467293.154517733</v>
      </c>
      <c r="H50" s="19">
        <v>97466817.938584194</v>
      </c>
      <c r="I50" s="19" t="e">
        <f>G50/#REF!</f>
        <v>#REF!</v>
      </c>
      <c r="J50" s="19" t="e">
        <f>H50/#REF!</f>
        <v>#REF!</v>
      </c>
      <c r="K50" s="9">
        <v>86.7</v>
      </c>
      <c r="L50" s="19">
        <v>42481764.607206203</v>
      </c>
      <c r="M50" s="19">
        <v>35468254.359973699</v>
      </c>
      <c r="N50" s="19">
        <v>97466817.938584194</v>
      </c>
      <c r="O50" s="19">
        <v>76295147.985667005</v>
      </c>
      <c r="P50" s="19">
        <v>24187925.152066</v>
      </c>
      <c r="Q50" s="19">
        <v>67104376.007788204</v>
      </c>
      <c r="R50" s="19">
        <v>17308770.309819698</v>
      </c>
      <c r="S50" s="19">
        <v>65686723.988420904</v>
      </c>
      <c r="T50" s="19">
        <v>63398758.717787802</v>
      </c>
      <c r="U50" s="19">
        <v>16219477.426832501</v>
      </c>
      <c r="V50" s="19">
        <v>95224534.6884415</v>
      </c>
      <c r="W50" s="19">
        <v>64764966.6716251</v>
      </c>
      <c r="X50" s="34">
        <f>AVERAGE(L50:N50)</f>
        <v>58472278.968588032</v>
      </c>
      <c r="Y50" s="34">
        <f>AVERAGE(O50:Q50)</f>
        <v>55862483.048507072</v>
      </c>
      <c r="Z50" s="40">
        <f>Y50/X50</f>
        <v>0.95536695394610882</v>
      </c>
      <c r="AA50" s="33">
        <f>AVERAGE(R50:T50)</f>
        <v>48798084.338676132</v>
      </c>
      <c r="AB50" s="33">
        <f>AVERAGE(U50:W50)</f>
        <v>58736326.262299694</v>
      </c>
      <c r="AC50" s="39">
        <f>AB50/AA50</f>
        <v>1.2036604931998685</v>
      </c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</row>
    <row r="51" spans="1:89">
      <c r="A51" s="1" t="s">
        <v>156</v>
      </c>
      <c r="B51" s="1" t="s">
        <v>157</v>
      </c>
      <c r="C51" s="1" t="s">
        <v>158</v>
      </c>
      <c r="D51" s="1">
        <v>-2.02</v>
      </c>
      <c r="E51" s="1">
        <v>99.104600000000005</v>
      </c>
      <c r="F51" s="1">
        <v>2.0819999999999999</v>
      </c>
      <c r="G51" s="17">
        <f>AVERAGE(L51:W51)</f>
        <v>49861135.46878428</v>
      </c>
      <c r="H51" s="17">
        <v>80274134.259138703</v>
      </c>
      <c r="I51" s="17" t="e">
        <f>G51/#REF!</f>
        <v>#REF!</v>
      </c>
      <c r="J51" s="17" t="e">
        <f>H51/#REF!</f>
        <v>#REF!</v>
      </c>
      <c r="K51" s="1">
        <v>65.2</v>
      </c>
      <c r="L51" s="17">
        <v>74477107.130162105</v>
      </c>
      <c r="M51" s="17">
        <v>53346480.913174398</v>
      </c>
      <c r="N51" s="17">
        <v>40331531.610398799</v>
      </c>
      <c r="O51" s="17">
        <v>61452021.696210504</v>
      </c>
      <c r="P51" s="17">
        <v>65904256.326898202</v>
      </c>
      <c r="Q51" s="17">
        <v>60573536.1648724</v>
      </c>
      <c r="R51" s="17">
        <v>46443127.460201703</v>
      </c>
      <c r="S51" s="17">
        <v>34581595.5954163</v>
      </c>
      <c r="T51" s="17">
        <v>29553560.233406801</v>
      </c>
      <c r="U51" s="17">
        <v>32509636.901510201</v>
      </c>
      <c r="V51" s="17">
        <v>64773794.150924303</v>
      </c>
      <c r="W51" s="17">
        <v>34386977.442235701</v>
      </c>
      <c r="X51" s="34">
        <f>AVERAGE(L51:N51)</f>
        <v>56051706.551245101</v>
      </c>
      <c r="Y51" s="34">
        <f>AVERAGE(O51:Q51)</f>
        <v>62643271.395993702</v>
      </c>
      <c r="Z51" s="40">
        <f>Y51/X51</f>
        <v>1.1175979332354899</v>
      </c>
      <c r="AA51" s="33">
        <f>AVERAGE(R51:T51)</f>
        <v>36859427.763008267</v>
      </c>
      <c r="AB51" s="33">
        <f>AVERAGE(U51:W51)</f>
        <v>43890136.164890073</v>
      </c>
      <c r="AC51" s="39">
        <f>AB51/AA51</f>
        <v>1.1907438294236827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</row>
    <row r="52" spans="1:89">
      <c r="A52" s="1" t="s">
        <v>428</v>
      </c>
      <c r="B52" s="1" t="s">
        <v>429</v>
      </c>
      <c r="C52" s="1" t="s">
        <v>430</v>
      </c>
      <c r="D52" s="1">
        <v>-0.87</v>
      </c>
      <c r="E52" s="1">
        <v>130.0265</v>
      </c>
      <c r="F52" s="1">
        <v>1.5</v>
      </c>
      <c r="G52" s="17">
        <f>AVERAGE(L52:W52)</f>
        <v>4121813.1327570775</v>
      </c>
      <c r="H52" s="17">
        <v>12054977.827666299</v>
      </c>
      <c r="I52" s="17" t="e">
        <f>G52/#REF!</f>
        <v>#REF!</v>
      </c>
      <c r="J52" s="17" t="e">
        <f>H52/#REF!</f>
        <v>#REF!</v>
      </c>
      <c r="K52" s="1">
        <v>85.6</v>
      </c>
      <c r="L52" s="17">
        <v>3478900.8080212399</v>
      </c>
      <c r="M52" s="17">
        <v>8699758.6126269605</v>
      </c>
      <c r="N52" s="17">
        <v>3245922.1926342198</v>
      </c>
      <c r="O52" s="17">
        <v>12054977.827666299</v>
      </c>
      <c r="P52" s="17">
        <v>1698535.92987624</v>
      </c>
      <c r="Q52" s="17">
        <v>4096121.5339993001</v>
      </c>
      <c r="R52" s="17">
        <v>240636.225650398</v>
      </c>
      <c r="S52" s="17">
        <v>3117641.00686487</v>
      </c>
      <c r="T52" s="17">
        <v>4105900.8292206</v>
      </c>
      <c r="U52" s="17">
        <v>2835143.8749161698</v>
      </c>
      <c r="V52" s="17">
        <v>2680519.3698395202</v>
      </c>
      <c r="W52" s="17">
        <v>3207699.3817691202</v>
      </c>
      <c r="X52" s="34">
        <f>AVERAGE(L52:N52)</f>
        <v>5141527.2044274732</v>
      </c>
      <c r="Y52" s="34">
        <f>AVERAGE(O52:Q52)</f>
        <v>5949878.4305139473</v>
      </c>
      <c r="Z52" s="40">
        <f>Y52/X52</f>
        <v>1.1572200620450643</v>
      </c>
      <c r="AA52" s="33">
        <f>AVERAGE(R52:T52)</f>
        <v>2488059.3539119563</v>
      </c>
      <c r="AB52" s="33">
        <f>AVERAGE(U52:W52)</f>
        <v>2907787.5421749367</v>
      </c>
      <c r="AC52" s="39">
        <f>AB52/AA52</f>
        <v>1.1686970158501424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</row>
    <row r="53" spans="1:89">
      <c r="A53" s="9" t="s">
        <v>120</v>
      </c>
      <c r="B53" s="9" t="s">
        <v>121</v>
      </c>
      <c r="C53" s="9" t="s">
        <v>122</v>
      </c>
      <c r="D53" s="9">
        <v>-1.4</v>
      </c>
      <c r="E53" s="9">
        <v>172.01343</v>
      </c>
      <c r="F53" s="9">
        <v>9.83</v>
      </c>
      <c r="G53" s="19">
        <f>AVERAGE(L53:W53)</f>
        <v>80074731.385474235</v>
      </c>
      <c r="H53" s="19">
        <v>117566055.25228401</v>
      </c>
      <c r="I53" s="19" t="e">
        <f>G53/#REF!</f>
        <v>#REF!</v>
      </c>
      <c r="J53" s="19" t="e">
        <f>H53/#REF!</f>
        <v>#REF!</v>
      </c>
      <c r="K53" s="9">
        <v>93.5</v>
      </c>
      <c r="L53" s="19">
        <v>41974699.790708102</v>
      </c>
      <c r="M53" s="19">
        <v>108866080.86083201</v>
      </c>
      <c r="N53" s="19">
        <v>117566055.25228401</v>
      </c>
      <c r="O53" s="19">
        <v>52791878.632196002</v>
      </c>
      <c r="P53" s="19">
        <v>55383671.0312161</v>
      </c>
      <c r="Q53" s="19">
        <v>80279052.076825202</v>
      </c>
      <c r="R53" s="19">
        <v>70821265.127618805</v>
      </c>
      <c r="S53" s="19">
        <v>66669528.967696898</v>
      </c>
      <c r="T53" s="19">
        <v>95282867.569457799</v>
      </c>
      <c r="U53" s="19">
        <v>97013708.784573093</v>
      </c>
      <c r="V53" s="19">
        <v>111123221.98756599</v>
      </c>
      <c r="W53" s="19">
        <v>63124746.544716902</v>
      </c>
      <c r="X53" s="34">
        <f>AVERAGE(L53:N53)</f>
        <v>89468945.301274702</v>
      </c>
      <c r="Y53" s="34">
        <f>AVERAGE(O53:Q53)</f>
        <v>62818200.580079101</v>
      </c>
      <c r="Z53" s="40">
        <f>Y53/X53</f>
        <v>0.70212295862600382</v>
      </c>
      <c r="AA53" s="33">
        <f>AVERAGE(R53:T53)</f>
        <v>77591220.554924503</v>
      </c>
      <c r="AB53" s="33">
        <f>AVERAGE(U53:W53)</f>
        <v>90420559.105618656</v>
      </c>
      <c r="AC53" s="39">
        <f>AB53/AA53</f>
        <v>1.1653452344084811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</row>
    <row r="54" spans="1:89" s="25" customFormat="1">
      <c r="A54" s="1" t="s">
        <v>138</v>
      </c>
      <c r="B54" s="1" t="s">
        <v>139</v>
      </c>
      <c r="C54" s="1" t="s">
        <v>140</v>
      </c>
      <c r="D54" s="1">
        <v>-0.68</v>
      </c>
      <c r="E54" s="1">
        <v>196.14619999999999</v>
      </c>
      <c r="F54" s="1">
        <v>1.026</v>
      </c>
      <c r="G54" s="17">
        <f>AVERAGE(L54:W54)</f>
        <v>61206671.003948443</v>
      </c>
      <c r="H54" s="17">
        <v>109015339.95898999</v>
      </c>
      <c r="I54" s="17" t="e">
        <f>G54/#REF!</f>
        <v>#REF!</v>
      </c>
      <c r="J54" s="17" t="e">
        <f>H54/#REF!</f>
        <v>#REF!</v>
      </c>
      <c r="K54" s="1">
        <v>55.6</v>
      </c>
      <c r="L54" s="17">
        <v>44676989.8137789</v>
      </c>
      <c r="M54" s="17">
        <v>92616416.832662299</v>
      </c>
      <c r="N54" s="17">
        <v>109015339.95898999</v>
      </c>
      <c r="O54" s="17">
        <v>37451357.765563801</v>
      </c>
      <c r="P54" s="17">
        <v>32056208.0668917</v>
      </c>
      <c r="Q54" s="17">
        <v>97525914.171961695</v>
      </c>
      <c r="R54" s="17">
        <v>26706025.108151302</v>
      </c>
      <c r="S54" s="17">
        <v>67360109.779746294</v>
      </c>
      <c r="T54" s="17">
        <v>54878759.298958302</v>
      </c>
      <c r="U54" s="17">
        <v>79854105.421841294</v>
      </c>
      <c r="V54" s="17">
        <v>34283088.217903197</v>
      </c>
      <c r="W54" s="17">
        <v>58055737.610932499</v>
      </c>
      <c r="X54" s="34">
        <f>AVERAGE(L54:N54)</f>
        <v>82102915.535143733</v>
      </c>
      <c r="Y54" s="34">
        <f>AVERAGE(O54:Q54)</f>
        <v>55677826.668139063</v>
      </c>
      <c r="Z54" s="40">
        <f>Y54/X54</f>
        <v>0.67814676622910486</v>
      </c>
      <c r="AA54" s="33">
        <f>AVERAGE(R54:T54)</f>
        <v>49648298.062285304</v>
      </c>
      <c r="AB54" s="33">
        <f>AVERAGE(U54:W54)</f>
        <v>57397643.750225663</v>
      </c>
      <c r="AC54" s="39">
        <f>AB54/AA54</f>
        <v>1.1560848204347018</v>
      </c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</row>
    <row r="55" spans="1:89" s="6" customFormat="1">
      <c r="A55" s="23" t="s">
        <v>284</v>
      </c>
      <c r="B55" s="23" t="s">
        <v>285</v>
      </c>
      <c r="C55" s="23" t="s">
        <v>286</v>
      </c>
      <c r="D55" s="23">
        <v>-2.21</v>
      </c>
      <c r="E55" s="23">
        <v>146.06881999999999</v>
      </c>
      <c r="F55" s="23">
        <v>9.1300000000000008</v>
      </c>
      <c r="G55" s="24">
        <f>AVERAGE(L55:W55)</f>
        <v>13572468.928765982</v>
      </c>
      <c r="H55" s="24">
        <v>22426407.8362909</v>
      </c>
      <c r="I55" s="24" t="e">
        <f>G55/#REF!</f>
        <v>#REF!</v>
      </c>
      <c r="J55" s="24" t="e">
        <f>H55/#REF!</f>
        <v>#REF!</v>
      </c>
      <c r="K55" s="23">
        <v>77.3</v>
      </c>
      <c r="L55" s="24">
        <v>6519450.8163019801</v>
      </c>
      <c r="M55" s="24">
        <v>22426407.8362909</v>
      </c>
      <c r="N55" s="24">
        <v>19480707.339141399</v>
      </c>
      <c r="O55" s="24">
        <v>19705413.2115013</v>
      </c>
      <c r="P55" s="24">
        <v>13911914.166374899</v>
      </c>
      <c r="Q55" s="24">
        <v>8722933.0657697208</v>
      </c>
      <c r="R55" s="24">
        <v>13067337.9172234</v>
      </c>
      <c r="S55" s="24">
        <v>6943303.8516813098</v>
      </c>
      <c r="T55" s="24">
        <v>13472556.932844199</v>
      </c>
      <c r="U55" s="24">
        <v>14157216.5140117</v>
      </c>
      <c r="V55" s="24">
        <v>12628258.4602207</v>
      </c>
      <c r="W55" s="24">
        <v>11834127.0338303</v>
      </c>
      <c r="X55" s="34">
        <f>AVERAGE(L55:N55)</f>
        <v>16142188.663911426</v>
      </c>
      <c r="Y55" s="34">
        <f>AVERAGE(O55:Q55)</f>
        <v>14113420.147881975</v>
      </c>
      <c r="Z55" s="40">
        <f>Y55/X55</f>
        <v>0.87431886974750184</v>
      </c>
      <c r="AA55" s="33">
        <f>AVERAGE(R55:T55)</f>
        <v>11161066.233916303</v>
      </c>
      <c r="AB55" s="33">
        <f>AVERAGE(U55:W55)</f>
        <v>12873200.669354232</v>
      </c>
      <c r="AC55" s="39">
        <f>AB55/AA55</f>
        <v>1.1534024079379699</v>
      </c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</row>
    <row r="56" spans="1:89" s="7" customFormat="1">
      <c r="A56" s="1" t="s">
        <v>87</v>
      </c>
      <c r="B56" s="1" t="s">
        <v>88</v>
      </c>
      <c r="C56" s="1" t="s">
        <v>89</v>
      </c>
      <c r="D56" s="1">
        <v>-0.89</v>
      </c>
      <c r="E56" s="1">
        <v>117.05775</v>
      </c>
      <c r="F56" s="1">
        <v>0.96</v>
      </c>
      <c r="G56" s="17">
        <f>AVERAGE(L56:W56)</f>
        <v>119003997.20891863</v>
      </c>
      <c r="H56" s="17">
        <v>169253321.11270699</v>
      </c>
      <c r="I56" s="17" t="e">
        <f>G56/#REF!</f>
        <v>#REF!</v>
      </c>
      <c r="J56" s="17" t="e">
        <f>H56/#REF!</f>
        <v>#REF!</v>
      </c>
      <c r="K56" s="1">
        <v>61</v>
      </c>
      <c r="L56" s="17">
        <v>101240466.24207801</v>
      </c>
      <c r="M56" s="17">
        <v>143096029.01334599</v>
      </c>
      <c r="N56" s="17">
        <v>169253321.11270699</v>
      </c>
      <c r="O56" s="17">
        <v>128439142.821196</v>
      </c>
      <c r="P56" s="17">
        <v>126855518.336089</v>
      </c>
      <c r="Q56" s="17">
        <v>168650592.83663899</v>
      </c>
      <c r="R56" s="17">
        <v>97646960.6155231</v>
      </c>
      <c r="S56" s="17">
        <v>86723086.498614907</v>
      </c>
      <c r="T56" s="17">
        <v>90481306.724328503</v>
      </c>
      <c r="U56" s="17">
        <v>92099785.352961093</v>
      </c>
      <c r="V56" s="17">
        <v>140865527.93229699</v>
      </c>
      <c r="W56" s="17">
        <v>82696229.021244094</v>
      </c>
      <c r="X56" s="34">
        <f>AVERAGE(L56:N56)</f>
        <v>137863272.12271032</v>
      </c>
      <c r="Y56" s="34">
        <f>AVERAGE(O56:Q56)</f>
        <v>141315084.66464135</v>
      </c>
      <c r="Z56" s="40">
        <f>Y56/X56</f>
        <v>1.0250379414965476</v>
      </c>
      <c r="AA56" s="33">
        <f>AVERAGE(R56:T56)</f>
        <v>91617117.946155503</v>
      </c>
      <c r="AB56" s="33">
        <f>AVERAGE(U56:W56)</f>
        <v>105220514.10216738</v>
      </c>
      <c r="AC56" s="39">
        <f>AB56/AA56</f>
        <v>1.1484809439651524</v>
      </c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</row>
    <row r="57" spans="1:89">
      <c r="A57" s="14" t="s">
        <v>58</v>
      </c>
      <c r="B57" s="14" t="s">
        <v>59</v>
      </c>
      <c r="C57" s="1" t="s">
        <v>60</v>
      </c>
      <c r="D57" s="1">
        <v>-1.38</v>
      </c>
      <c r="E57" s="1">
        <v>342.11574000000002</v>
      </c>
      <c r="F57" s="1">
        <v>10.188000000000001</v>
      </c>
      <c r="G57" s="17">
        <f>AVERAGE(L57:W57)</f>
        <v>274856534.79421151</v>
      </c>
      <c r="H57" s="17">
        <v>479005711.925264</v>
      </c>
      <c r="I57" s="17" t="e">
        <f>G57/#REF!</f>
        <v>#REF!</v>
      </c>
      <c r="J57" s="17" t="e">
        <f>H57/#REF!</f>
        <v>#REF!</v>
      </c>
      <c r="K57" s="1">
        <v>95.5</v>
      </c>
      <c r="L57" s="17">
        <v>104960921.69423801</v>
      </c>
      <c r="M57" s="17">
        <v>344692590.536542</v>
      </c>
      <c r="N57" s="17">
        <v>479005711.925264</v>
      </c>
      <c r="O57" s="17">
        <v>462842338.37516803</v>
      </c>
      <c r="P57" s="17">
        <v>427428682.45352298</v>
      </c>
      <c r="Q57" s="17">
        <v>179198291.70821801</v>
      </c>
      <c r="R57" s="17">
        <v>260584228.33895299</v>
      </c>
      <c r="S57" s="17">
        <v>193098148.45247501</v>
      </c>
      <c r="T57" s="17">
        <v>151739236.46825001</v>
      </c>
      <c r="U57" s="17">
        <v>271558741.84637702</v>
      </c>
      <c r="V57" s="17">
        <v>194409228.40774</v>
      </c>
      <c r="W57" s="17">
        <v>228760297.32379001</v>
      </c>
      <c r="X57" s="34">
        <f>AVERAGE(L57:N57)</f>
        <v>309553074.71868134</v>
      </c>
      <c r="Y57" s="34">
        <f>AVERAGE(O57:Q57)</f>
        <v>356489770.84563631</v>
      </c>
      <c r="Z57" s="40">
        <f>Y57/X57</f>
        <v>1.151627297417771</v>
      </c>
      <c r="AA57" s="33">
        <f>AVERAGE(R57:T57)</f>
        <v>201807204.41989267</v>
      </c>
      <c r="AB57" s="33">
        <f>AVERAGE(U57:W57)</f>
        <v>231576089.19263569</v>
      </c>
      <c r="AC57" s="39">
        <f>AB57/AA57</f>
        <v>1.1475115066298824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</row>
    <row r="58" spans="1:89">
      <c r="A58" s="14" t="s">
        <v>55</v>
      </c>
      <c r="B58" s="14" t="s">
        <v>56</v>
      </c>
      <c r="C58" s="1" t="s">
        <v>57</v>
      </c>
      <c r="D58" s="1">
        <v>-0.28000000000000003</v>
      </c>
      <c r="E58" s="1">
        <v>138.04289</v>
      </c>
      <c r="F58" s="1">
        <v>2.0470000000000002</v>
      </c>
      <c r="G58" s="17">
        <f>AVERAGE(L58:W58)</f>
        <v>224241592.81972018</v>
      </c>
      <c r="H58" s="17">
        <v>489408372.50703698</v>
      </c>
      <c r="I58" s="17" t="e">
        <f>G58/#REF!</f>
        <v>#REF!</v>
      </c>
      <c r="J58" s="17" t="e">
        <f>H58/#REF!</f>
        <v>#REF!</v>
      </c>
      <c r="K58" s="1">
        <v>95</v>
      </c>
      <c r="L58" s="17">
        <v>383114802.28931302</v>
      </c>
      <c r="M58" s="17">
        <v>429307383.35826302</v>
      </c>
      <c r="N58" s="17">
        <v>289179230.54707903</v>
      </c>
      <c r="O58" s="17">
        <v>248573664.039626</v>
      </c>
      <c r="P58" s="17">
        <v>193397069.26732999</v>
      </c>
      <c r="Q58" s="17">
        <v>248852008.96348199</v>
      </c>
      <c r="R58" s="17">
        <v>571280.093199105</v>
      </c>
      <c r="S58" s="17">
        <v>247629224.56579399</v>
      </c>
      <c r="T58" s="17">
        <v>170262416.04091901</v>
      </c>
      <c r="U58" s="17">
        <v>142100154.09466201</v>
      </c>
      <c r="V58" s="17">
        <v>204216580.58366001</v>
      </c>
      <c r="W58" s="17">
        <v>133695299.993315</v>
      </c>
      <c r="X58" s="34">
        <f>AVERAGE(L58:N58)</f>
        <v>367200472.06488508</v>
      </c>
      <c r="Y58" s="34">
        <f>AVERAGE(O58:Q58)</f>
        <v>230274247.42347932</v>
      </c>
      <c r="Z58" s="40">
        <f>Y58/X58</f>
        <v>0.62710771075149763</v>
      </c>
      <c r="AA58" s="33">
        <f>AVERAGE(R58:T58)</f>
        <v>139487640.23330402</v>
      </c>
      <c r="AB58" s="33">
        <f>AVERAGE(U58:W58)</f>
        <v>160004011.55721232</v>
      </c>
      <c r="AC58" s="39">
        <f>AB58/AA58</f>
        <v>1.1470837938730132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</row>
    <row r="59" spans="1:89">
      <c r="A59" s="28" t="s">
        <v>40</v>
      </c>
      <c r="B59" s="28" t="s">
        <v>41</v>
      </c>
      <c r="C59" s="23" t="s">
        <v>42</v>
      </c>
      <c r="D59" s="23">
        <v>-1.38</v>
      </c>
      <c r="E59" s="23">
        <v>257.10246999999998</v>
      </c>
      <c r="F59" s="23">
        <v>9.6539999999999999</v>
      </c>
      <c r="G59" s="24">
        <f>AVERAGE(L59:W59)</f>
        <v>2711731825.7273173</v>
      </c>
      <c r="H59" s="24">
        <v>4099897703.1882701</v>
      </c>
      <c r="I59" s="24" t="e">
        <f>G59/#REF!</f>
        <v>#REF!</v>
      </c>
      <c r="J59" s="24" t="e">
        <f>H59/#REF!</f>
        <v>#REF!</v>
      </c>
      <c r="K59" s="23">
        <v>88.6</v>
      </c>
      <c r="L59" s="24">
        <v>1398987613.91558</v>
      </c>
      <c r="M59" s="24">
        <v>1308886775.2251501</v>
      </c>
      <c r="N59" s="24">
        <v>2317513236.5963001</v>
      </c>
      <c r="O59" s="24">
        <v>3361011469.7395902</v>
      </c>
      <c r="P59" s="24">
        <v>2283772154.8743701</v>
      </c>
      <c r="Q59" s="24">
        <v>2858038147.9991899</v>
      </c>
      <c r="R59" s="24">
        <v>3200933360.3477702</v>
      </c>
      <c r="S59" s="24">
        <v>2877986844.81319</v>
      </c>
      <c r="T59" s="24">
        <v>2788971024.03161</v>
      </c>
      <c r="U59" s="24">
        <v>4099897703.1882701</v>
      </c>
      <c r="V59" s="24">
        <v>3177714843.4169698</v>
      </c>
      <c r="W59" s="24">
        <v>2867068734.5798202</v>
      </c>
      <c r="X59" s="34">
        <f>AVERAGE(L59:N59)</f>
        <v>1675129208.57901</v>
      </c>
      <c r="Y59" s="34">
        <f>AVERAGE(O59:Q59)</f>
        <v>2834273924.2043834</v>
      </c>
      <c r="Z59" s="40">
        <f>Y59/X59</f>
        <v>1.6919733174545148</v>
      </c>
      <c r="AA59" s="33">
        <f>AVERAGE(R59:T59)</f>
        <v>2955963743.0641899</v>
      </c>
      <c r="AB59" s="33">
        <f>AVERAGE(U59:W59)</f>
        <v>3381560427.061687</v>
      </c>
      <c r="AC59" s="39">
        <f>AB59/AA59</f>
        <v>1.1439789933134694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</row>
    <row r="60" spans="1:89" s="22" customFormat="1">
      <c r="A60" s="1" t="s">
        <v>395</v>
      </c>
      <c r="B60" s="1" t="s">
        <v>396</v>
      </c>
      <c r="C60" s="1" t="s">
        <v>397</v>
      </c>
      <c r="D60" s="1">
        <v>-0.4</v>
      </c>
      <c r="E60" s="1">
        <v>214.02414999999999</v>
      </c>
      <c r="F60" s="1">
        <v>9.4420000000000002</v>
      </c>
      <c r="G60" s="17">
        <f>AVERAGE(L60:W60)</f>
        <v>6221990.5529515157</v>
      </c>
      <c r="H60" s="17">
        <v>11162235.806221699</v>
      </c>
      <c r="I60" s="17" t="e">
        <f>G60/#REF!</f>
        <v>#REF!</v>
      </c>
      <c r="J60" s="17" t="e">
        <f>H60/#REF!</f>
        <v>#REF!</v>
      </c>
      <c r="K60" s="1">
        <v>73.400000000000006</v>
      </c>
      <c r="L60" s="17">
        <v>1911667.15948843</v>
      </c>
      <c r="M60" s="17">
        <v>3995428.9086468401</v>
      </c>
      <c r="N60" s="17">
        <v>5133961.7959014699</v>
      </c>
      <c r="O60" s="17">
        <v>2342961.41041434</v>
      </c>
      <c r="P60" s="17">
        <v>3376375.3209562702</v>
      </c>
      <c r="Q60" s="17">
        <v>11162235.806221699</v>
      </c>
      <c r="R60" s="17">
        <v>3321198.7586044399</v>
      </c>
      <c r="S60" s="17">
        <v>10312809.554435899</v>
      </c>
      <c r="T60" s="17">
        <v>8185529.7919677403</v>
      </c>
      <c r="U60" s="17">
        <v>11147941.191946801</v>
      </c>
      <c r="V60" s="17">
        <v>4526179.1450087503</v>
      </c>
      <c r="W60" s="17">
        <v>9247597.7918255106</v>
      </c>
      <c r="X60" s="34">
        <f>AVERAGE(L60:N60)</f>
        <v>3680352.6213455796</v>
      </c>
      <c r="Y60" s="34">
        <f>AVERAGE(O60:Q60)</f>
        <v>5627190.8458641032</v>
      </c>
      <c r="Z60" s="40">
        <f>Y60/X60</f>
        <v>1.5289814386879963</v>
      </c>
      <c r="AA60" s="33">
        <f>AVERAGE(R60:T60)</f>
        <v>7273179.3683360266</v>
      </c>
      <c r="AB60" s="33">
        <f>AVERAGE(U60:W60)</f>
        <v>8307239.3762603542</v>
      </c>
      <c r="AC60" s="39">
        <f>AB60/AA60</f>
        <v>1.1421744130807683</v>
      </c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</row>
    <row r="61" spans="1:89" s="22" customFormat="1">
      <c r="A61" s="1" t="s">
        <v>171</v>
      </c>
      <c r="B61" s="1" t="s">
        <v>172</v>
      </c>
      <c r="C61" s="1" t="s">
        <v>173</v>
      </c>
      <c r="D61" s="1">
        <v>-0.96</v>
      </c>
      <c r="E61" s="1">
        <v>347.06274999999999</v>
      </c>
      <c r="F61" s="1">
        <v>10.443</v>
      </c>
      <c r="G61" s="17">
        <f>AVERAGE(L61:W61)</f>
        <v>45425610.280281819</v>
      </c>
      <c r="H61" s="17">
        <v>69056451.115647301</v>
      </c>
      <c r="I61" s="17" t="e">
        <f>G61/#REF!</f>
        <v>#REF!</v>
      </c>
      <c r="J61" s="17" t="e">
        <f>H61/#REF!</f>
        <v>#REF!</v>
      </c>
      <c r="K61" s="1">
        <v>87.6</v>
      </c>
      <c r="L61" s="17">
        <v>34629208.492898598</v>
      </c>
      <c r="M61" s="17">
        <v>56861925.946113102</v>
      </c>
      <c r="N61" s="17">
        <v>59031050.831725903</v>
      </c>
      <c r="O61" s="17">
        <v>69056451.115647301</v>
      </c>
      <c r="P61" s="17">
        <v>37396074.691629902</v>
      </c>
      <c r="Q61" s="17">
        <v>58396891.5984025</v>
      </c>
      <c r="R61" s="17">
        <v>59616155.316146001</v>
      </c>
      <c r="S61" s="17">
        <v>27682473.858295299</v>
      </c>
      <c r="T61" s="17">
        <v>20368698.520963799</v>
      </c>
      <c r="U61" s="17">
        <v>46671513.839816898</v>
      </c>
      <c r="V61" s="17">
        <v>42620054.422493704</v>
      </c>
      <c r="W61" s="17">
        <v>32776824.7292489</v>
      </c>
      <c r="X61" s="34">
        <f>AVERAGE(L61:N61)</f>
        <v>50174061.756912529</v>
      </c>
      <c r="Y61" s="34">
        <f>AVERAGE(O61:Q61)</f>
        <v>54949805.801893234</v>
      </c>
      <c r="Z61" s="40">
        <f>Y61/X61</f>
        <v>1.0951835246689541</v>
      </c>
      <c r="AA61" s="33">
        <f>AVERAGE(R61:T61)</f>
        <v>35889109.231801704</v>
      </c>
      <c r="AB61" s="33">
        <f>AVERAGE(U61:W61)</f>
        <v>40689464.330519833</v>
      </c>
      <c r="AC61" s="39">
        <f>AB61/AA61</f>
        <v>1.1337552032209395</v>
      </c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</row>
    <row r="62" spans="1:89">
      <c r="A62" s="1" t="s">
        <v>260</v>
      </c>
      <c r="B62" s="1" t="s">
        <v>261</v>
      </c>
      <c r="C62" s="1" t="s">
        <v>262</v>
      </c>
      <c r="D62" s="1">
        <v>0.13</v>
      </c>
      <c r="E62" s="1">
        <v>152.12012999999999</v>
      </c>
      <c r="F62" s="1">
        <v>8.1430000000000007</v>
      </c>
      <c r="G62" s="17">
        <f>AVERAGE(L62:W62)</f>
        <v>11204893.591004038</v>
      </c>
      <c r="H62" s="17">
        <v>44780143.699300401</v>
      </c>
      <c r="I62" s="17" t="e">
        <f>G62/#REF!</f>
        <v>#REF!</v>
      </c>
      <c r="J62" s="17" t="e">
        <f>H62/#REF!</f>
        <v>#REF!</v>
      </c>
      <c r="K62" s="1">
        <v>55.2</v>
      </c>
      <c r="L62" s="17">
        <v>18004337.006386898</v>
      </c>
      <c r="M62" s="17">
        <v>2120413.7210508301</v>
      </c>
      <c r="N62" s="17">
        <v>10313125.916269699</v>
      </c>
      <c r="O62" s="17">
        <v>22990906.806882601</v>
      </c>
      <c r="P62" s="17">
        <v>2294543.7539980202</v>
      </c>
      <c r="Q62" s="17">
        <v>2256381.1746610999</v>
      </c>
      <c r="R62" s="17">
        <v>16616908.966125701</v>
      </c>
      <c r="S62" s="17">
        <v>16014843.890031699</v>
      </c>
      <c r="T62" s="17">
        <v>3259752.5843895101</v>
      </c>
      <c r="U62" s="17">
        <v>10093589.043502999</v>
      </c>
      <c r="V62" s="17">
        <v>15626163.4931968</v>
      </c>
      <c r="W62" s="17">
        <v>14867756.7355526</v>
      </c>
      <c r="X62" s="34">
        <f>AVERAGE(L62:N62)</f>
        <v>10145958.881235808</v>
      </c>
      <c r="Y62" s="34">
        <f>AVERAGE(O62:Q62)</f>
        <v>9180610.5785139073</v>
      </c>
      <c r="Z62" s="40">
        <f>Y62/X62</f>
        <v>0.90485391139252103</v>
      </c>
      <c r="AA62" s="33">
        <f>AVERAGE(R62:T62)</f>
        <v>11963835.146848969</v>
      </c>
      <c r="AB62" s="33">
        <f>AVERAGE(U62:W62)</f>
        <v>13529169.757417468</v>
      </c>
      <c r="AC62" s="39">
        <f>AB62/AA62</f>
        <v>1.1308388649086976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</row>
    <row r="63" spans="1:89">
      <c r="A63" s="1" t="s">
        <v>475</v>
      </c>
      <c r="B63" s="1" t="s">
        <v>476</v>
      </c>
      <c r="C63" s="1" t="s">
        <v>253</v>
      </c>
      <c r="D63" s="1">
        <v>-0.32</v>
      </c>
      <c r="E63" s="1">
        <v>143.09458000000001</v>
      </c>
      <c r="F63" s="1">
        <v>9.0129999999999999</v>
      </c>
      <c r="G63" s="17">
        <f>AVERAGE(L63:W63)</f>
        <v>1526012.6044468449</v>
      </c>
      <c r="H63" s="17">
        <v>3311496.4001366701</v>
      </c>
      <c r="I63" s="17" t="e">
        <f>G63/#REF!</f>
        <v>#REF!</v>
      </c>
      <c r="J63" s="17" t="e">
        <f>H63/#REF!</f>
        <v>#REF!</v>
      </c>
      <c r="K63" s="1">
        <v>64.599999999999994</v>
      </c>
      <c r="L63" s="17">
        <v>1174369.9175143801</v>
      </c>
      <c r="M63" s="17">
        <v>581126.51403481804</v>
      </c>
      <c r="N63" s="17">
        <v>833568.34641253797</v>
      </c>
      <c r="O63" s="17">
        <v>2779792.7803341202</v>
      </c>
      <c r="P63" s="17">
        <v>1945251.67753873</v>
      </c>
      <c r="Q63" s="17">
        <v>2488156.5590299601</v>
      </c>
      <c r="R63" s="17">
        <v>2042137.44582749</v>
      </c>
      <c r="S63" s="17">
        <v>769376.15421086398</v>
      </c>
      <c r="T63" s="17">
        <v>1198419.3992673799</v>
      </c>
      <c r="U63" s="17">
        <v>1371270.4107647</v>
      </c>
      <c r="V63" s="17">
        <v>1240812.44056218</v>
      </c>
      <c r="W63" s="17">
        <v>1887869.6078649799</v>
      </c>
      <c r="X63" s="34">
        <f>AVERAGE(L63:N63)</f>
        <v>863021.59265391203</v>
      </c>
      <c r="Y63" s="34">
        <f>AVERAGE(O63:Q63)</f>
        <v>2404400.3389676032</v>
      </c>
      <c r="Z63" s="40">
        <f>Y63/X63</f>
        <v>2.7860257025247028</v>
      </c>
      <c r="AA63" s="33">
        <f>AVERAGE(R63:T63)</f>
        <v>1336644.3331019112</v>
      </c>
      <c r="AB63" s="33">
        <f>AVERAGE(U63:W63)</f>
        <v>1499984.1530639532</v>
      </c>
      <c r="AC63" s="39">
        <f>AB63/AA63</f>
        <v>1.1222014083454677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</row>
    <row r="64" spans="1:89">
      <c r="A64" s="12" t="s">
        <v>104</v>
      </c>
      <c r="B64" s="12" t="s">
        <v>105</v>
      </c>
      <c r="C64" s="12" t="s">
        <v>106</v>
      </c>
      <c r="D64" s="12">
        <v>-0.57999999999999996</v>
      </c>
      <c r="E64" s="12">
        <v>155.06939</v>
      </c>
      <c r="F64" s="12">
        <v>11.432</v>
      </c>
      <c r="G64" s="18">
        <f>AVERAGE(L64:W64)</f>
        <v>88901811.445253924</v>
      </c>
      <c r="H64" s="18">
        <v>164553538.112629</v>
      </c>
      <c r="I64" s="18" t="e">
        <f>G64/#REF!</f>
        <v>#REF!</v>
      </c>
      <c r="J64" s="18" t="e">
        <f>H64/#REF!</f>
        <v>#REF!</v>
      </c>
      <c r="K64" s="12">
        <v>93.5</v>
      </c>
      <c r="L64" s="18">
        <v>114047956.25128999</v>
      </c>
      <c r="M64" s="18">
        <v>95124283.627964303</v>
      </c>
      <c r="N64" s="18">
        <v>50137527.699653298</v>
      </c>
      <c r="O64" s="18">
        <v>86900024.306928098</v>
      </c>
      <c r="P64" s="18">
        <v>47621529.726130903</v>
      </c>
      <c r="Q64" s="18">
        <v>54464652.389718398</v>
      </c>
      <c r="R64" s="18">
        <v>81773987.359824896</v>
      </c>
      <c r="S64" s="18">
        <v>123961033.619164</v>
      </c>
      <c r="T64" s="18">
        <v>85870782.864021197</v>
      </c>
      <c r="U64" s="18">
        <v>164553538.112629</v>
      </c>
      <c r="V64" s="18">
        <v>83823721.633122504</v>
      </c>
      <c r="W64" s="18">
        <v>78542699.752600595</v>
      </c>
      <c r="X64" s="34">
        <f>AVERAGE(L64:N64)</f>
        <v>86436589.192969188</v>
      </c>
      <c r="Y64" s="34">
        <f>AVERAGE(O64:Q64)</f>
        <v>62995402.140925802</v>
      </c>
      <c r="Z64" s="40">
        <f>Y64/X64</f>
        <v>0.72880481204885272</v>
      </c>
      <c r="AA64" s="33">
        <f>AVERAGE(R64:T64)</f>
        <v>97201934.614336684</v>
      </c>
      <c r="AB64" s="33">
        <f>AVERAGE(U64:W64)</f>
        <v>108973319.83278404</v>
      </c>
      <c r="AC64" s="39">
        <f>AB64/AA64</f>
        <v>1.1211023758441856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</row>
    <row r="65" spans="1:89">
      <c r="A65" s="1" t="s">
        <v>203</v>
      </c>
      <c r="B65" s="1" t="s">
        <v>204</v>
      </c>
      <c r="C65" s="1" t="s">
        <v>205</v>
      </c>
      <c r="D65" s="1">
        <v>-0.63</v>
      </c>
      <c r="E65" s="1">
        <v>70.07826</v>
      </c>
      <c r="F65" s="1">
        <v>1.9119999999999999</v>
      </c>
      <c r="G65" s="17">
        <f>AVERAGE(L65:W65)</f>
        <v>28144805.181950029</v>
      </c>
      <c r="H65" s="17">
        <v>48666699.7936676</v>
      </c>
      <c r="I65" s="17" t="e">
        <f>G65/#REF!</f>
        <v>#REF!</v>
      </c>
      <c r="J65" s="17" t="e">
        <f>H65/#REF!</f>
        <v>#REF!</v>
      </c>
      <c r="K65" s="1">
        <v>64.400000000000006</v>
      </c>
      <c r="L65" s="17">
        <v>25609279.573960401</v>
      </c>
      <c r="M65" s="17">
        <v>43413453.967006899</v>
      </c>
      <c r="N65" s="17">
        <v>27248387.713047799</v>
      </c>
      <c r="O65" s="17">
        <v>48666699.7936676</v>
      </c>
      <c r="P65" s="17">
        <v>30616650.8858677</v>
      </c>
      <c r="Q65" s="17">
        <v>31561433.0074577</v>
      </c>
      <c r="R65" s="17">
        <v>19374998.815434001</v>
      </c>
      <c r="S65" s="17">
        <v>23272879.335591301</v>
      </c>
      <c r="T65" s="17">
        <v>19564592.2664597</v>
      </c>
      <c r="U65" s="17">
        <v>19323175.869846899</v>
      </c>
      <c r="V65" s="17">
        <v>20761668.7465594</v>
      </c>
      <c r="W65" s="17">
        <v>28324442.208500899</v>
      </c>
      <c r="X65" s="34">
        <f>AVERAGE(L65:N65)</f>
        <v>32090373.751338366</v>
      </c>
      <c r="Y65" s="34">
        <f>AVERAGE(O65:Q65)</f>
        <v>36948261.22899767</v>
      </c>
      <c r="Z65" s="40">
        <f>Y65/X65</f>
        <v>1.15138145523957</v>
      </c>
      <c r="AA65" s="33">
        <f>AVERAGE(R65:T65)</f>
        <v>20737490.139161665</v>
      </c>
      <c r="AB65" s="33">
        <f>AVERAGE(U65:W65)</f>
        <v>22803095.6083024</v>
      </c>
      <c r="AC65" s="39">
        <f>AB65/AA65</f>
        <v>1.0996073032599034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</row>
    <row r="66" spans="1:89">
      <c r="A66" s="1" t="s">
        <v>239</v>
      </c>
      <c r="B66" s="1" t="s">
        <v>240</v>
      </c>
      <c r="C66" s="1" t="s">
        <v>241</v>
      </c>
      <c r="D66" s="1">
        <v>-1.5</v>
      </c>
      <c r="E66" s="1">
        <v>324.03537999999998</v>
      </c>
      <c r="F66" s="1">
        <v>10.342000000000001</v>
      </c>
      <c r="G66" s="17">
        <f>AVERAGE(L66:W66)</f>
        <v>20261192.105929766</v>
      </c>
      <c r="H66" s="17">
        <v>28049981.434541401</v>
      </c>
      <c r="I66" s="17" t="e">
        <f>G66/#REF!</f>
        <v>#REF!</v>
      </c>
      <c r="J66" s="17" t="e">
        <f>H66/#REF!</f>
        <v>#REF!</v>
      </c>
      <c r="K66" s="1">
        <v>90.8</v>
      </c>
      <c r="L66" s="17">
        <v>11054483.0318968</v>
      </c>
      <c r="M66" s="17">
        <v>22136230.593531799</v>
      </c>
      <c r="N66" s="17">
        <v>23216611.808168299</v>
      </c>
      <c r="O66" s="17">
        <v>26863222.901180901</v>
      </c>
      <c r="P66" s="17">
        <v>14044733.8610132</v>
      </c>
      <c r="Q66" s="17">
        <v>28049981.434541401</v>
      </c>
      <c r="R66" s="17">
        <v>24991992.100645099</v>
      </c>
      <c r="S66" s="17">
        <v>19005246.206677899</v>
      </c>
      <c r="T66" s="17">
        <v>12309879.2587303</v>
      </c>
      <c r="U66" s="17">
        <v>23715162.3031452</v>
      </c>
      <c r="V66" s="17">
        <v>17334400.513746299</v>
      </c>
      <c r="W66" s="17">
        <v>20412361.257879999</v>
      </c>
      <c r="X66" s="34">
        <f>AVERAGE(L66:N66)</f>
        <v>18802441.811198965</v>
      </c>
      <c r="Y66" s="34">
        <f>AVERAGE(O66:Q66)</f>
        <v>22985979.398911834</v>
      </c>
      <c r="Z66" s="40">
        <f>Y66/X66</f>
        <v>1.2224996960352832</v>
      </c>
      <c r="AA66" s="33">
        <f>AVERAGE(R66:T66)</f>
        <v>18769039.18868443</v>
      </c>
      <c r="AB66" s="33">
        <f>AVERAGE(U66:W66)</f>
        <v>20487308.024923831</v>
      </c>
      <c r="AC66" s="39">
        <f>AB66/AA66</f>
        <v>1.0915480445730712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</row>
    <row r="67" spans="1:89">
      <c r="A67" s="1" t="s">
        <v>75</v>
      </c>
      <c r="B67" s="1" t="s">
        <v>76</v>
      </c>
      <c r="C67" s="1" t="s">
        <v>77</v>
      </c>
      <c r="D67" s="1">
        <v>-1.04</v>
      </c>
      <c r="E67" s="1">
        <v>326.07044999999999</v>
      </c>
      <c r="F67" s="1">
        <v>0.89100000000000001</v>
      </c>
      <c r="G67" s="17">
        <f>AVERAGE(L67:W67)</f>
        <v>138140690.3435927</v>
      </c>
      <c r="H67" s="17">
        <v>198839992.719522</v>
      </c>
      <c r="I67" s="17" t="e">
        <f>G67/#REF!</f>
        <v>#REF!</v>
      </c>
      <c r="J67" s="17" t="e">
        <f>H67/#REF!</f>
        <v>#REF!</v>
      </c>
      <c r="K67" s="1">
        <v>92.3</v>
      </c>
      <c r="L67" s="17">
        <v>116689734.601427</v>
      </c>
      <c r="M67" s="17">
        <v>198839992.719522</v>
      </c>
      <c r="N67" s="17">
        <v>181307643.259615</v>
      </c>
      <c r="O67" s="17">
        <v>153588087.97249299</v>
      </c>
      <c r="P67" s="17">
        <v>165685639.56806999</v>
      </c>
      <c r="Q67" s="17">
        <v>155605932.71144399</v>
      </c>
      <c r="R67" s="17">
        <v>120105220.494096</v>
      </c>
      <c r="S67" s="17">
        <v>113292940.126811</v>
      </c>
      <c r="T67" s="17">
        <v>94830362.243171602</v>
      </c>
      <c r="U67" s="17">
        <v>118792079.48306499</v>
      </c>
      <c r="V67" s="17">
        <v>132871524.331598</v>
      </c>
      <c r="W67" s="17">
        <v>106079126.6118</v>
      </c>
      <c r="X67" s="34">
        <f>AVERAGE(L67:N67)</f>
        <v>165612456.86018801</v>
      </c>
      <c r="Y67" s="34">
        <f>AVERAGE(O67:Q67)</f>
        <v>158293220.08400235</v>
      </c>
      <c r="Z67" s="40">
        <f>Y67/X67</f>
        <v>0.95580503474829404</v>
      </c>
      <c r="AA67" s="33">
        <f>AVERAGE(R67:T67)</f>
        <v>109409507.62135954</v>
      </c>
      <c r="AB67" s="33">
        <f>AVERAGE(U67:W67)</f>
        <v>119247576.80882101</v>
      </c>
      <c r="AC67" s="39">
        <f>AB67/AA67</f>
        <v>1.0899196916369343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</row>
    <row r="68" spans="1:89">
      <c r="A68" s="14" t="s">
        <v>61</v>
      </c>
      <c r="B68" s="14" t="s">
        <v>62</v>
      </c>
      <c r="C68" s="1" t="s">
        <v>63</v>
      </c>
      <c r="D68" s="1">
        <v>-0.51</v>
      </c>
      <c r="E68" s="1">
        <v>414.20402999999999</v>
      </c>
      <c r="F68" s="1">
        <v>0.98699999999999999</v>
      </c>
      <c r="G68" s="17">
        <f>AVERAGE(L68:W68)</f>
        <v>195106941.43454728</v>
      </c>
      <c r="H68" s="17">
        <v>288196364.64402002</v>
      </c>
      <c r="I68" s="17" t="e">
        <f>G68/#REF!</f>
        <v>#REF!</v>
      </c>
      <c r="J68" s="17" t="e">
        <f>H68/#REF!</f>
        <v>#REF!</v>
      </c>
      <c r="K68" s="1">
        <v>85.7</v>
      </c>
      <c r="L68" s="17">
        <v>168048902.33374</v>
      </c>
      <c r="M68" s="17">
        <v>215317847.272017</v>
      </c>
      <c r="N68" s="17">
        <v>209153567.95390499</v>
      </c>
      <c r="O68" s="17">
        <v>201139640.70319799</v>
      </c>
      <c r="P68" s="17">
        <v>288196364.64402002</v>
      </c>
      <c r="Q68" s="17">
        <v>192901754.68762001</v>
      </c>
      <c r="R68" s="17">
        <v>169251465.93058699</v>
      </c>
      <c r="S68" s="17">
        <v>173883711.611301</v>
      </c>
      <c r="T68" s="17">
        <v>169716146.55978</v>
      </c>
      <c r="U68" s="17">
        <v>177004387.44747901</v>
      </c>
      <c r="V68" s="17">
        <v>206388905.49195299</v>
      </c>
      <c r="W68" s="17">
        <v>170280602.57896701</v>
      </c>
      <c r="X68" s="34">
        <f>AVERAGE(L68:N68)</f>
        <v>197506772.51988733</v>
      </c>
      <c r="Y68" s="34">
        <f>AVERAGE(O68:Q68)</f>
        <v>227412586.67827937</v>
      </c>
      <c r="Z68" s="40">
        <f>Y68/X68</f>
        <v>1.1514166515752302</v>
      </c>
      <c r="AA68" s="33">
        <f>AVERAGE(R68:T68)</f>
        <v>170950441.36722267</v>
      </c>
      <c r="AB68" s="33">
        <f>AVERAGE(U68:W68)</f>
        <v>184557965.17279968</v>
      </c>
      <c r="AC68" s="39">
        <f>AB68/AA68</f>
        <v>1.0795992317817207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</row>
    <row r="69" spans="1:89">
      <c r="A69" s="9" t="s">
        <v>183</v>
      </c>
      <c r="B69" s="9" t="s">
        <v>184</v>
      </c>
      <c r="C69" s="9" t="s">
        <v>185</v>
      </c>
      <c r="D69" s="9">
        <v>-1.04</v>
      </c>
      <c r="E69" s="9">
        <v>159.12576000000001</v>
      </c>
      <c r="F69" s="9">
        <v>2.4180000000000001</v>
      </c>
      <c r="G69" s="19">
        <f>AVERAGE(L69:W69)</f>
        <v>45331185.193115234</v>
      </c>
      <c r="H69" s="19">
        <v>68461807.4255348</v>
      </c>
      <c r="I69" s="19" t="e">
        <f>G69/#REF!</f>
        <v>#REF!</v>
      </c>
      <c r="J69" s="19" t="e">
        <f>H69/#REF!</f>
        <v>#REF!</v>
      </c>
      <c r="K69" s="9">
        <v>78.2</v>
      </c>
      <c r="L69" s="19">
        <v>25914812.2872422</v>
      </c>
      <c r="M69" s="19">
        <v>26123800.510021102</v>
      </c>
      <c r="N69" s="19">
        <v>33138556.262341499</v>
      </c>
      <c r="O69" s="19">
        <v>68461807.4255348</v>
      </c>
      <c r="P69" s="19">
        <v>35517551.394853599</v>
      </c>
      <c r="Q69" s="19">
        <v>23421122.8719276</v>
      </c>
      <c r="R69" s="19">
        <v>55173284.857042201</v>
      </c>
      <c r="S69" s="19">
        <v>55328795.745103702</v>
      </c>
      <c r="T69" s="19">
        <v>49066060.28977</v>
      </c>
      <c r="U69" s="19">
        <v>65838868.215032503</v>
      </c>
      <c r="V69" s="19">
        <v>47004013.842385098</v>
      </c>
      <c r="W69" s="19">
        <v>58985548.616128497</v>
      </c>
      <c r="X69" s="34">
        <f>AVERAGE(L69:N69)</f>
        <v>28392389.68653493</v>
      </c>
      <c r="Y69" s="34">
        <f>AVERAGE(O69:Q69)</f>
        <v>42466827.230772004</v>
      </c>
      <c r="Z69" s="40">
        <f>Y69/X69</f>
        <v>1.4957116220094664</v>
      </c>
      <c r="AA69" s="33">
        <f>AVERAGE(R69:T69)</f>
        <v>53189380.297305308</v>
      </c>
      <c r="AB69" s="33">
        <f>AVERAGE(U69:W69)</f>
        <v>57276143.557848699</v>
      </c>
      <c r="AC69" s="39">
        <f>AB69/AA69</f>
        <v>1.0768341958056322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</row>
    <row r="70" spans="1:89">
      <c r="A70" s="1" t="s">
        <v>446</v>
      </c>
      <c r="B70" s="1" t="s">
        <v>446</v>
      </c>
      <c r="C70" s="1" t="s">
        <v>346</v>
      </c>
      <c r="D70" s="1">
        <v>-0.9</v>
      </c>
      <c r="E70" s="1">
        <v>275.11149</v>
      </c>
      <c r="F70" s="1">
        <v>10.461</v>
      </c>
      <c r="G70" s="17">
        <f>AVERAGE(L70:W70)</f>
        <v>2823889.2385588042</v>
      </c>
      <c r="H70" s="17">
        <v>4588256.0458211396</v>
      </c>
      <c r="I70" s="17" t="e">
        <f>G70/#REF!</f>
        <v>#REF!</v>
      </c>
      <c r="J70" s="17" t="e">
        <f>H70/#REF!</f>
        <v>#REF!</v>
      </c>
      <c r="K70" s="1">
        <v>77.2</v>
      </c>
      <c r="L70" s="17">
        <v>969754.49443608697</v>
      </c>
      <c r="M70" s="17">
        <v>4588256.0458211396</v>
      </c>
      <c r="N70" s="17">
        <v>3304870.1273962702</v>
      </c>
      <c r="O70" s="17">
        <v>2825413.79151589</v>
      </c>
      <c r="P70" s="17">
        <v>3023534.9575696201</v>
      </c>
      <c r="Q70" s="17">
        <v>850958.31779873697</v>
      </c>
      <c r="R70" s="17">
        <v>3202064.7507426701</v>
      </c>
      <c r="S70" s="17">
        <v>2753669.2329953099</v>
      </c>
      <c r="T70" s="17">
        <v>2875327.6756630801</v>
      </c>
      <c r="U70" s="17">
        <v>3090705.94699215</v>
      </c>
      <c r="V70" s="17">
        <v>2925969.3549483502</v>
      </c>
      <c r="W70" s="17">
        <v>3476146.1668263399</v>
      </c>
      <c r="X70" s="34">
        <f>AVERAGE(L70:N70)</f>
        <v>2954293.5558844991</v>
      </c>
      <c r="Y70" s="34">
        <f>AVERAGE(O70:Q70)</f>
        <v>2233302.3556280825</v>
      </c>
      <c r="Z70" s="40">
        <f>Y70/X70</f>
        <v>0.75595140204658651</v>
      </c>
      <c r="AA70" s="33">
        <f>AVERAGE(R70:T70)</f>
        <v>2943687.2198003531</v>
      </c>
      <c r="AB70" s="33">
        <f>AVERAGE(U70:W70)</f>
        <v>3164273.8229222801</v>
      </c>
      <c r="AC70" s="39">
        <f>AB70/AA70</f>
        <v>1.0749354760377319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</row>
    <row r="71" spans="1:89">
      <c r="A71" s="1" t="s">
        <v>132</v>
      </c>
      <c r="B71" s="1" t="s">
        <v>133</v>
      </c>
      <c r="C71" s="1" t="s">
        <v>134</v>
      </c>
      <c r="D71" s="1">
        <v>-2.52</v>
      </c>
      <c r="E71" s="1">
        <v>122.03646999999999</v>
      </c>
      <c r="F71" s="1">
        <v>1.0289999999999999</v>
      </c>
      <c r="G71" s="17">
        <f>AVERAGE(L71:W71)</f>
        <v>62872777.516868241</v>
      </c>
      <c r="H71" s="17">
        <v>88784441.4650428</v>
      </c>
      <c r="I71" s="17" t="e">
        <f>G71/#REF!</f>
        <v>#REF!</v>
      </c>
      <c r="J71" s="17" t="e">
        <f>H71/#REF!</f>
        <v>#REF!</v>
      </c>
      <c r="K71" s="1">
        <v>94.6</v>
      </c>
      <c r="L71" s="17">
        <v>35630328.303159699</v>
      </c>
      <c r="M71" s="17">
        <v>44364527.617427103</v>
      </c>
      <c r="N71" s="17">
        <v>59776308.515642799</v>
      </c>
      <c r="O71" s="17">
        <v>48704905.519088097</v>
      </c>
      <c r="P71" s="17">
        <v>88784441.4650428</v>
      </c>
      <c r="Q71" s="17">
        <v>49129002.4266311</v>
      </c>
      <c r="R71" s="17">
        <v>69654085.897258893</v>
      </c>
      <c r="S71" s="17">
        <v>71746509.438563898</v>
      </c>
      <c r="T71" s="17">
        <v>65638420.488808498</v>
      </c>
      <c r="U71" s="17">
        <v>68199066.365986899</v>
      </c>
      <c r="V71" s="17">
        <v>76205378.258886203</v>
      </c>
      <c r="W71" s="17">
        <v>76640355.905922994</v>
      </c>
      <c r="X71" s="34">
        <f>AVERAGE(L71:N71)</f>
        <v>46590388.14540986</v>
      </c>
      <c r="Y71" s="34">
        <f>AVERAGE(O71:Q71)</f>
        <v>62206116.470253997</v>
      </c>
      <c r="Z71" s="40">
        <f>Y71/X71</f>
        <v>1.3351705994830312</v>
      </c>
      <c r="AA71" s="33">
        <f>AVERAGE(R71:T71)</f>
        <v>69013005.274877086</v>
      </c>
      <c r="AB71" s="33">
        <f>AVERAGE(U71:W71)</f>
        <v>73681600.176932037</v>
      </c>
      <c r="AC71" s="39">
        <f>AB71/AA71</f>
        <v>1.0676480452265491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</row>
    <row r="72" spans="1:89" s="6" customFormat="1">
      <c r="A72" s="1" t="s">
        <v>519</v>
      </c>
      <c r="B72" s="1" t="s">
        <v>520</v>
      </c>
      <c r="C72" s="1" t="s">
        <v>521</v>
      </c>
      <c r="D72" s="1">
        <v>1.54</v>
      </c>
      <c r="E72" s="1">
        <v>136.06356</v>
      </c>
      <c r="F72" s="1">
        <v>9.9610000000000003</v>
      </c>
      <c r="G72" s="17">
        <f>AVERAGE(L72:W72)</f>
        <v>81173.00486244011</v>
      </c>
      <c r="H72" s="17">
        <v>348209.27993752301</v>
      </c>
      <c r="I72" s="17" t="e">
        <f>G72/#REF!</f>
        <v>#REF!</v>
      </c>
      <c r="J72" s="17" t="e">
        <f>H72/#REF!</f>
        <v>#REF!</v>
      </c>
      <c r="K72" s="1">
        <v>78.3</v>
      </c>
      <c r="L72" s="17">
        <v>43931.246617632503</v>
      </c>
      <c r="M72" s="17">
        <v>52198.724504900601</v>
      </c>
      <c r="N72" s="17">
        <v>54255.928094714902</v>
      </c>
      <c r="O72" s="17">
        <v>51455.835329298301</v>
      </c>
      <c r="P72" s="17">
        <v>46129.095763047997</v>
      </c>
      <c r="Q72" s="17">
        <v>348209.27993752301</v>
      </c>
      <c r="R72" s="17">
        <v>57175.018217285702</v>
      </c>
      <c r="S72" s="17">
        <v>60507.685938622199</v>
      </c>
      <c r="T72" s="17">
        <v>65086.686179163698</v>
      </c>
      <c r="U72" s="17">
        <v>69547.755521098006</v>
      </c>
      <c r="V72" s="17">
        <v>60404.131600975903</v>
      </c>
      <c r="W72" s="17">
        <v>65174.670645018399</v>
      </c>
      <c r="X72" s="34">
        <f>AVERAGE(L72:N72)</f>
        <v>50128.633072416007</v>
      </c>
      <c r="Y72" s="34">
        <f>AVERAGE(O72:Q72)</f>
        <v>148598.07034328976</v>
      </c>
      <c r="Z72" s="40">
        <f>Y72/X72</f>
        <v>2.9643351760385017</v>
      </c>
      <c r="AA72" s="33">
        <f>AVERAGE(R72:T72)</f>
        <v>60923.130111690531</v>
      </c>
      <c r="AB72" s="33">
        <f>AVERAGE(U72:W72)</f>
        <v>65042.1859223641</v>
      </c>
      <c r="AC72" s="39">
        <f>AB72/AA72</f>
        <v>1.0676107055419197</v>
      </c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</row>
    <row r="73" spans="1:89">
      <c r="A73" s="1" t="s">
        <v>174</v>
      </c>
      <c r="B73" s="1" t="s">
        <v>175</v>
      </c>
      <c r="C73" s="1" t="s">
        <v>176</v>
      </c>
      <c r="D73" s="1">
        <v>-0.25</v>
      </c>
      <c r="E73" s="1">
        <v>137.08403000000001</v>
      </c>
      <c r="F73" s="1">
        <v>1.893</v>
      </c>
      <c r="G73" s="17">
        <f>AVERAGE(L73:W73)</f>
        <v>43981611.452455789</v>
      </c>
      <c r="H73" s="17">
        <v>64639895.461832799</v>
      </c>
      <c r="I73" s="17" t="e">
        <f>G73/#REF!</f>
        <v>#REF!</v>
      </c>
      <c r="J73" s="17" t="e">
        <f>H73/#REF!</f>
        <v>#REF!</v>
      </c>
      <c r="K73" s="1">
        <v>74.900000000000006</v>
      </c>
      <c r="L73" s="17">
        <v>35612650.679332703</v>
      </c>
      <c r="M73" s="17">
        <v>64639895.461832799</v>
      </c>
      <c r="N73" s="17">
        <v>55538682.976026803</v>
      </c>
      <c r="O73" s="17">
        <v>42717442.349331103</v>
      </c>
      <c r="P73" s="17">
        <v>41963347.694950603</v>
      </c>
      <c r="Q73" s="17">
        <v>55442204.288178802</v>
      </c>
      <c r="R73" s="17">
        <v>19187325.8793718</v>
      </c>
      <c r="S73" s="17">
        <v>46337853.715702698</v>
      </c>
      <c r="T73" s="17">
        <v>47055028.652799599</v>
      </c>
      <c r="U73" s="17">
        <v>30738797.964579999</v>
      </c>
      <c r="V73" s="17">
        <v>40341734.636041097</v>
      </c>
      <c r="W73" s="17">
        <v>48204373.1313214</v>
      </c>
      <c r="X73" s="34">
        <f>AVERAGE(L73:N73)</f>
        <v>51930409.705730766</v>
      </c>
      <c r="Y73" s="34">
        <f>AVERAGE(O73:Q73)</f>
        <v>46707664.777486838</v>
      </c>
      <c r="Z73" s="40">
        <f>Y73/X73</f>
        <v>0.8994280045576537</v>
      </c>
      <c r="AA73" s="33">
        <f>AVERAGE(R73:T73)</f>
        <v>37526736.082624696</v>
      </c>
      <c r="AB73" s="33">
        <f>AVERAGE(U73:W73)</f>
        <v>39761635.243980832</v>
      </c>
      <c r="AC73" s="39">
        <f>AB73/AA73</f>
        <v>1.0595548506119858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</row>
    <row r="74" spans="1:89">
      <c r="A74" s="14" t="s">
        <v>64</v>
      </c>
      <c r="B74" s="14" t="s">
        <v>65</v>
      </c>
      <c r="C74" s="1" t="s">
        <v>66</v>
      </c>
      <c r="D74" s="1">
        <v>-3.08</v>
      </c>
      <c r="E74" s="1">
        <v>90.031419999999997</v>
      </c>
      <c r="F74" s="1">
        <v>1.276</v>
      </c>
      <c r="G74" s="17">
        <f>AVERAGE(L74:W74)</f>
        <v>193585266.20045543</v>
      </c>
      <c r="H74" s="17">
        <v>267865912.88649699</v>
      </c>
      <c r="I74" s="17" t="e">
        <f>G74/#REF!</f>
        <v>#REF!</v>
      </c>
      <c r="J74" s="17" t="e">
        <f>H74/#REF!</f>
        <v>#REF!</v>
      </c>
      <c r="K74" s="1">
        <v>73.099999999999994</v>
      </c>
      <c r="L74" s="17">
        <v>196909326.622504</v>
      </c>
      <c r="M74" s="17">
        <v>241791956.57488999</v>
      </c>
      <c r="N74" s="17">
        <v>198639648.77585301</v>
      </c>
      <c r="O74" s="17">
        <v>262714705.791888</v>
      </c>
      <c r="P74" s="17">
        <v>191925416.78176099</v>
      </c>
      <c r="Q74" s="17">
        <v>174552734.19880399</v>
      </c>
      <c r="R74" s="17">
        <v>117390428.567194</v>
      </c>
      <c r="S74" s="17">
        <v>188841412.974518</v>
      </c>
      <c r="T74" s="17">
        <v>207999491.44109499</v>
      </c>
      <c r="U74" s="17">
        <v>233982425.64814699</v>
      </c>
      <c r="V74" s="17">
        <v>170826923.04606301</v>
      </c>
      <c r="W74" s="17">
        <v>137448723.982748</v>
      </c>
      <c r="X74" s="34">
        <f>AVERAGE(L74:N74)</f>
        <v>212446977.32441568</v>
      </c>
      <c r="Y74" s="34">
        <f>AVERAGE(O74:Q74)</f>
        <v>209730952.25748432</v>
      </c>
      <c r="Z74" s="40">
        <f>Y74/X74</f>
        <v>0.98721551560235243</v>
      </c>
      <c r="AA74" s="33">
        <f>AVERAGE(R74:T74)</f>
        <v>171410444.32760233</v>
      </c>
      <c r="AB74" s="33">
        <f>AVERAGE(U74:W74)</f>
        <v>180752690.89231932</v>
      </c>
      <c r="AC74" s="39">
        <f>AB74/AA74</f>
        <v>1.0545022014344818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</row>
    <row r="75" spans="1:89">
      <c r="A75" s="1" t="s">
        <v>499</v>
      </c>
      <c r="B75" s="1" t="s">
        <v>500</v>
      </c>
      <c r="C75" s="1" t="s">
        <v>501</v>
      </c>
      <c r="D75" s="1">
        <v>4.33</v>
      </c>
      <c r="E75" s="1">
        <v>114.03219</v>
      </c>
      <c r="F75" s="1">
        <v>1.1259999999999999</v>
      </c>
      <c r="G75" s="17">
        <f>AVERAGE(L75:W75)</f>
        <v>758203.13586385502</v>
      </c>
      <c r="H75" s="17">
        <v>1707268.1827473701</v>
      </c>
      <c r="I75" s="17" t="e">
        <f>G75/#REF!</f>
        <v>#REF!</v>
      </c>
      <c r="J75" s="17" t="e">
        <f>H75/#REF!</f>
        <v>#REF!</v>
      </c>
      <c r="K75" s="1">
        <v>83.1</v>
      </c>
      <c r="L75" s="17">
        <v>440603.54384404601</v>
      </c>
      <c r="M75" s="17">
        <v>926847.23767339496</v>
      </c>
      <c r="N75" s="17">
        <v>575180.10224411101</v>
      </c>
      <c r="O75" s="17">
        <v>748909.61845690804</v>
      </c>
      <c r="P75" s="17">
        <v>977936.47363128001</v>
      </c>
      <c r="Q75" s="17">
        <v>1707268.1827473701</v>
      </c>
      <c r="R75" s="17">
        <v>211904.11757315201</v>
      </c>
      <c r="S75" s="17">
        <v>254666.22925225901</v>
      </c>
      <c r="T75" s="17">
        <v>1346351.1449525901</v>
      </c>
      <c r="U75" s="17">
        <v>561045.21125397901</v>
      </c>
      <c r="V75" s="17">
        <v>860455.89616632205</v>
      </c>
      <c r="W75" s="17">
        <v>487269.87257084798</v>
      </c>
      <c r="X75" s="34">
        <f>AVERAGE(L75:N75)</f>
        <v>647543.62792051735</v>
      </c>
      <c r="Y75" s="34">
        <f>AVERAGE(O75:Q75)</f>
        <v>1144704.7582785194</v>
      </c>
      <c r="Z75" s="40">
        <f>Y75/X75</f>
        <v>1.7677646863031535</v>
      </c>
      <c r="AA75" s="33">
        <f>AVERAGE(R75:T75)</f>
        <v>604307.16392600036</v>
      </c>
      <c r="AB75" s="33">
        <f>AVERAGE(U75:W75)</f>
        <v>636256.99333038309</v>
      </c>
      <c r="AC75" s="39">
        <f>AB75/AA75</f>
        <v>1.0528701814435135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</row>
    <row r="76" spans="1:89">
      <c r="A76" s="1" t="s">
        <v>419</v>
      </c>
      <c r="B76" s="1" t="s">
        <v>420</v>
      </c>
      <c r="C76" s="1" t="s">
        <v>421</v>
      </c>
      <c r="D76" s="1">
        <v>-0.55000000000000004</v>
      </c>
      <c r="E76" s="1">
        <v>202.14286000000001</v>
      </c>
      <c r="F76" s="1">
        <v>9.891</v>
      </c>
      <c r="G76" s="17">
        <f>AVERAGE(L76:W76)</f>
        <v>4761509.5758913821</v>
      </c>
      <c r="H76" s="17">
        <v>10445850.9399738</v>
      </c>
      <c r="I76" s="17" t="e">
        <f>G76/#REF!</f>
        <v>#REF!</v>
      </c>
      <c r="J76" s="17" t="e">
        <f>H76/#REF!</f>
        <v>#REF!</v>
      </c>
      <c r="K76" s="1">
        <v>83.1</v>
      </c>
      <c r="L76" s="17">
        <v>2389632.7370367302</v>
      </c>
      <c r="M76" s="17">
        <v>5109890.3368363101</v>
      </c>
      <c r="N76" s="17">
        <v>4619687.8953585401</v>
      </c>
      <c r="O76" s="17">
        <v>3150235.4748490602</v>
      </c>
      <c r="P76" s="17">
        <v>1645498.10059106</v>
      </c>
      <c r="Q76" s="17">
        <v>3899729.9118527099</v>
      </c>
      <c r="R76" s="17">
        <v>4377227.0517104296</v>
      </c>
      <c r="S76" s="17">
        <v>8703379.9344940707</v>
      </c>
      <c r="T76" s="17">
        <v>4658523.3166409396</v>
      </c>
      <c r="U76" s="17">
        <v>10445850.9399738</v>
      </c>
      <c r="V76" s="17">
        <v>5173744.5100457296</v>
      </c>
      <c r="W76" s="17">
        <v>2964714.7013071999</v>
      </c>
      <c r="X76" s="34">
        <f>AVERAGE(L76:N76)</f>
        <v>4039736.98974386</v>
      </c>
      <c r="Y76" s="34">
        <f>AVERAGE(O76:Q76)</f>
        <v>2898487.82909761</v>
      </c>
      <c r="Z76" s="40">
        <f>Y76/X76</f>
        <v>0.71749419243290613</v>
      </c>
      <c r="AA76" s="33">
        <f>AVERAGE(R76:T76)</f>
        <v>5913043.4342818139</v>
      </c>
      <c r="AB76" s="33">
        <f>AVERAGE(U76:W76)</f>
        <v>6194770.0504422439</v>
      </c>
      <c r="AC76" s="39">
        <f>AB76/AA76</f>
        <v>1.0476449427932619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</row>
    <row r="77" spans="1:89">
      <c r="A77" s="23" t="s">
        <v>332</v>
      </c>
      <c r="B77" s="23" t="s">
        <v>333</v>
      </c>
      <c r="C77" s="23" t="s">
        <v>334</v>
      </c>
      <c r="D77" s="23">
        <v>-2.72</v>
      </c>
      <c r="E77" s="23">
        <v>118.02629</v>
      </c>
      <c r="F77" s="23">
        <v>1.212</v>
      </c>
      <c r="G77" s="24">
        <f>AVERAGE(L77:W77)</f>
        <v>9372024.6960151866</v>
      </c>
      <c r="H77" s="24">
        <v>17087223.679749899</v>
      </c>
      <c r="I77" s="24" t="e">
        <f>G77/#REF!</f>
        <v>#REF!</v>
      </c>
      <c r="J77" s="24" t="e">
        <f>H77/#REF!</f>
        <v>#REF!</v>
      </c>
      <c r="K77" s="23">
        <v>96</v>
      </c>
      <c r="L77" s="24">
        <v>4511613.6319422098</v>
      </c>
      <c r="M77" s="24">
        <v>17087223.679749899</v>
      </c>
      <c r="N77" s="24">
        <v>11183618.106102699</v>
      </c>
      <c r="O77" s="24">
        <v>13035173.654917</v>
      </c>
      <c r="P77" s="24">
        <v>6348900.6135638095</v>
      </c>
      <c r="Q77" s="24">
        <v>8059353.2789532105</v>
      </c>
      <c r="R77" s="24">
        <v>12322217.9922549</v>
      </c>
      <c r="S77" s="24">
        <v>6612857.7595529398</v>
      </c>
      <c r="T77" s="24">
        <v>6700603.30598344</v>
      </c>
      <c r="U77" s="24">
        <v>9565890.0790564306</v>
      </c>
      <c r="V77" s="24">
        <v>8536027.5463584196</v>
      </c>
      <c r="W77" s="24">
        <v>8500816.7037472799</v>
      </c>
      <c r="X77" s="34">
        <f>AVERAGE(L77:N77)</f>
        <v>10927485.139264936</v>
      </c>
      <c r="Y77" s="34">
        <f>AVERAGE(O77:Q77)</f>
        <v>9147809.1824780051</v>
      </c>
      <c r="Z77" s="40">
        <f>Y77/X77</f>
        <v>0.8371376456608346</v>
      </c>
      <c r="AA77" s="33">
        <f>AVERAGE(R77:T77)</f>
        <v>8545226.3525970932</v>
      </c>
      <c r="AB77" s="33">
        <f>AVERAGE(U77:W77)</f>
        <v>8867578.1097207088</v>
      </c>
      <c r="AC77" s="39">
        <f>AB77/AA77</f>
        <v>1.0377230214651536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</row>
    <row r="78" spans="1:89">
      <c r="A78" s="13" t="s">
        <v>37</v>
      </c>
      <c r="B78" s="13" t="s">
        <v>38</v>
      </c>
      <c r="C78" s="12" t="s">
        <v>39</v>
      </c>
      <c r="D78" s="12">
        <v>-0.7</v>
      </c>
      <c r="E78" s="12">
        <v>149.10508999999999</v>
      </c>
      <c r="F78" s="12">
        <v>4.55</v>
      </c>
      <c r="G78" s="18">
        <f>AVERAGE(L78:W78)</f>
        <v>2392013050.0729218</v>
      </c>
      <c r="H78" s="18">
        <v>4102675272.0875902</v>
      </c>
      <c r="I78" s="18" t="e">
        <f>G78/#REF!</f>
        <v>#REF!</v>
      </c>
      <c r="J78" s="18" t="e">
        <f>H78/#REF!</f>
        <v>#REF!</v>
      </c>
      <c r="K78" s="12">
        <v>98.2</v>
      </c>
      <c r="L78" s="18">
        <v>4102675272.0875902</v>
      </c>
      <c r="M78" s="18">
        <v>2554471606.2761502</v>
      </c>
      <c r="N78" s="18">
        <v>2118775477.6825399</v>
      </c>
      <c r="O78" s="18">
        <v>3327847890.9284701</v>
      </c>
      <c r="P78" s="18">
        <v>1958306902.81846</v>
      </c>
      <c r="Q78" s="18">
        <v>2278839287.3258901</v>
      </c>
      <c r="R78" s="18">
        <v>1355259442.2293301</v>
      </c>
      <c r="S78" s="18">
        <v>2342904990.7063999</v>
      </c>
      <c r="T78" s="18">
        <v>2376480872.2794099</v>
      </c>
      <c r="U78" s="18">
        <v>2282814802.8452301</v>
      </c>
      <c r="V78" s="18">
        <v>2285546156.4568501</v>
      </c>
      <c r="W78" s="18">
        <v>1720233899.23874</v>
      </c>
      <c r="X78" s="34">
        <f>AVERAGE(L78:N78)</f>
        <v>2925307452.0154266</v>
      </c>
      <c r="Y78" s="34">
        <f>AVERAGE(O78:Q78)</f>
        <v>2521664693.6909404</v>
      </c>
      <c r="Z78" s="40">
        <f>Y78/X78</f>
        <v>0.86201697943018207</v>
      </c>
      <c r="AA78" s="33">
        <f>AVERAGE(R78:T78)</f>
        <v>2024881768.4050465</v>
      </c>
      <c r="AB78" s="33">
        <f>AVERAGE(U78:W78)</f>
        <v>2096198286.1802733</v>
      </c>
      <c r="AC78" s="39">
        <f>AB78/AA78</f>
        <v>1.0352200898284551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</row>
    <row r="79" spans="1:89">
      <c r="A79" s="1" t="s">
        <v>338</v>
      </c>
      <c r="B79" s="1" t="s">
        <v>339</v>
      </c>
      <c r="C79" s="1" t="s">
        <v>340</v>
      </c>
      <c r="D79" s="1">
        <v>-1.27</v>
      </c>
      <c r="E79" s="1">
        <v>272.23480000000001</v>
      </c>
      <c r="F79" s="1">
        <v>0.97</v>
      </c>
      <c r="G79" s="17">
        <f>AVERAGE(L79:W79)</f>
        <v>9258208.3942528889</v>
      </c>
      <c r="H79" s="17">
        <v>19210076.978539299</v>
      </c>
      <c r="I79" s="17" t="e">
        <f>G79/#REF!</f>
        <v>#REF!</v>
      </c>
      <c r="J79" s="17" t="e">
        <f>H79/#REF!</f>
        <v>#REF!</v>
      </c>
      <c r="K79" s="1">
        <v>67</v>
      </c>
      <c r="L79" s="17">
        <v>9877927.8386534099</v>
      </c>
      <c r="M79" s="17">
        <v>17142342.993216</v>
      </c>
      <c r="N79" s="17">
        <v>19210076.978539299</v>
      </c>
      <c r="O79" s="17">
        <v>9920387.5131844208</v>
      </c>
      <c r="P79" s="17">
        <v>8250952.0593027603</v>
      </c>
      <c r="Q79" s="17">
        <v>8653956.1719418205</v>
      </c>
      <c r="R79" s="17">
        <v>7481712.4400224397</v>
      </c>
      <c r="S79" s="17">
        <v>6540085.9043721799</v>
      </c>
      <c r="T79" s="17">
        <v>4685932.0737107098</v>
      </c>
      <c r="U79" s="17">
        <v>6923042.8666875204</v>
      </c>
      <c r="V79" s="17">
        <v>6343759.66725381</v>
      </c>
      <c r="W79" s="17">
        <v>6068324.2241502898</v>
      </c>
      <c r="X79" s="34">
        <f>AVERAGE(L79:N79)</f>
        <v>15410115.936802903</v>
      </c>
      <c r="Y79" s="34">
        <f>AVERAGE(O79:Q79)</f>
        <v>8941765.2481430005</v>
      </c>
      <c r="Z79" s="40">
        <f>Y79/X79</f>
        <v>0.58025295103640373</v>
      </c>
      <c r="AA79" s="33">
        <f>AVERAGE(R79:T79)</f>
        <v>6235910.1393684437</v>
      </c>
      <c r="AB79" s="33">
        <f>AVERAGE(U79:W79)</f>
        <v>6445042.252697207</v>
      </c>
      <c r="AC79" s="39">
        <f>AB79/AA79</f>
        <v>1.0335367426173245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</row>
    <row r="80" spans="1:89" s="25" customFormat="1">
      <c r="A80" s="1" t="s">
        <v>389</v>
      </c>
      <c r="B80" s="1" t="s">
        <v>390</v>
      </c>
      <c r="C80" s="1" t="s">
        <v>391</v>
      </c>
      <c r="D80" s="1">
        <v>-0.28000000000000003</v>
      </c>
      <c r="E80" s="1">
        <v>114.11566999999999</v>
      </c>
      <c r="F80" s="1">
        <v>4.0229999999999997</v>
      </c>
      <c r="G80" s="17">
        <f>AVERAGE(L80:W80)</f>
        <v>6920849.0187203251</v>
      </c>
      <c r="H80" s="17">
        <v>20432071.634922899</v>
      </c>
      <c r="I80" s="17" t="e">
        <f>G80/#REF!</f>
        <v>#REF!</v>
      </c>
      <c r="J80" s="17" t="e">
        <f>H80/#REF!</f>
        <v>#REF!</v>
      </c>
      <c r="K80" s="1">
        <v>78.900000000000006</v>
      </c>
      <c r="L80" s="17">
        <v>344514.11637533997</v>
      </c>
      <c r="M80" s="17">
        <v>401749.65229974099</v>
      </c>
      <c r="N80" s="17">
        <v>330234.334079783</v>
      </c>
      <c r="O80" s="17">
        <v>258473.93172847101</v>
      </c>
      <c r="P80" s="17">
        <v>327775.74456116598</v>
      </c>
      <c r="Q80" s="17">
        <v>545367.75724400999</v>
      </c>
      <c r="R80" s="17">
        <v>13552739.497944901</v>
      </c>
      <c r="S80" s="17">
        <v>5854283.9360424001</v>
      </c>
      <c r="T80" s="17">
        <v>20432071.634922899</v>
      </c>
      <c r="U80" s="17">
        <v>12157463.983210901</v>
      </c>
      <c r="V80" s="17">
        <v>15099842.9089818</v>
      </c>
      <c r="W80" s="17">
        <v>13745670.7272525</v>
      </c>
      <c r="X80" s="34">
        <f>AVERAGE(L80:N80)</f>
        <v>358832.70091828797</v>
      </c>
      <c r="Y80" s="34">
        <f>AVERAGE(O80:Q80)</f>
        <v>377205.81117788237</v>
      </c>
      <c r="Z80" s="40">
        <f>Y80/X80</f>
        <v>1.0512024411726573</v>
      </c>
      <c r="AA80" s="33">
        <f>AVERAGE(R80:T80)</f>
        <v>13279698.356303399</v>
      </c>
      <c r="AB80" s="33">
        <f>AVERAGE(U80:W80)</f>
        <v>13667659.206481732</v>
      </c>
      <c r="AC80" s="39">
        <f>AB80/AA80</f>
        <v>1.0292145830250867</v>
      </c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</row>
    <row r="81" spans="1:89">
      <c r="A81" s="1" t="s">
        <v>215</v>
      </c>
      <c r="B81" s="1" t="s">
        <v>216</v>
      </c>
      <c r="C81" s="1" t="s">
        <v>217</v>
      </c>
      <c r="D81" s="1">
        <v>0.01</v>
      </c>
      <c r="E81" s="1">
        <v>119.05824</v>
      </c>
      <c r="F81" s="1">
        <v>8.7899999999999991</v>
      </c>
      <c r="G81" s="17">
        <f>AVERAGE(L81:W81)</f>
        <v>25181703.841203675</v>
      </c>
      <c r="H81" s="17">
        <v>32657241.837154299</v>
      </c>
      <c r="I81" s="17" t="e">
        <f>G81/#REF!</f>
        <v>#REF!</v>
      </c>
      <c r="J81" s="17" t="e">
        <f>H81/#REF!</f>
        <v>#REF!</v>
      </c>
      <c r="K81" s="1">
        <v>63.3</v>
      </c>
      <c r="L81" s="17">
        <v>20024490.723409999</v>
      </c>
      <c r="M81" s="17">
        <v>30389876.035705</v>
      </c>
      <c r="N81" s="17">
        <v>15733147.7875004</v>
      </c>
      <c r="O81" s="17">
        <v>27566702.808521502</v>
      </c>
      <c r="P81" s="17">
        <v>12930750.6020985</v>
      </c>
      <c r="Q81" s="17">
        <v>27214804.422330499</v>
      </c>
      <c r="R81" s="17">
        <v>25050144.262051102</v>
      </c>
      <c r="S81" s="17">
        <v>29647833.9484406</v>
      </c>
      <c r="T81" s="17">
        <v>28389455.089140899</v>
      </c>
      <c r="U81" s="17">
        <v>32657241.837154299</v>
      </c>
      <c r="V81" s="17">
        <v>26470280.2587726</v>
      </c>
      <c r="W81" s="17">
        <v>26105718.319318701</v>
      </c>
      <c r="X81" s="34">
        <f>AVERAGE(L81:N81)</f>
        <v>22049171.515538465</v>
      </c>
      <c r="Y81" s="34">
        <f>AVERAGE(O81:Q81)</f>
        <v>22570752.610983502</v>
      </c>
      <c r="Z81" s="40">
        <f>Y81/X81</f>
        <v>1.0236553602514031</v>
      </c>
      <c r="AA81" s="33">
        <f>AVERAGE(R81:T81)</f>
        <v>27695811.099877536</v>
      </c>
      <c r="AB81" s="33">
        <f>AVERAGE(U81:W81)</f>
        <v>28411080.138415199</v>
      </c>
      <c r="AC81" s="39">
        <f>AB81/AA81</f>
        <v>1.0258258924412156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</row>
    <row r="82" spans="1:89">
      <c r="A82" s="29" t="s">
        <v>43</v>
      </c>
      <c r="B82" s="29" t="s">
        <v>44</v>
      </c>
      <c r="C82" s="14" t="s">
        <v>45</v>
      </c>
      <c r="D82" s="14">
        <v>-0.17</v>
      </c>
      <c r="E82" s="14">
        <v>129.04257000000001</v>
      </c>
      <c r="F82" s="14">
        <v>8.6890000000000001</v>
      </c>
      <c r="G82" s="30">
        <f>AVERAGE(L82:W82)</f>
        <v>1537829854.2839301</v>
      </c>
      <c r="H82" s="30">
        <v>2569280619.7709398</v>
      </c>
      <c r="I82" s="30" t="e">
        <f>G82/#REF!</f>
        <v>#REF!</v>
      </c>
      <c r="J82" s="30" t="e">
        <f>H82/#REF!</f>
        <v>#REF!</v>
      </c>
      <c r="K82" s="14">
        <v>83.6</v>
      </c>
      <c r="L82" s="30">
        <v>369945936.97800303</v>
      </c>
      <c r="M82" s="30">
        <v>1366871395.9507</v>
      </c>
      <c r="N82" s="30">
        <v>1694803899.7874401</v>
      </c>
      <c r="O82" s="30">
        <v>2079724783.7212701</v>
      </c>
      <c r="P82" s="30">
        <v>2569280619.7709398</v>
      </c>
      <c r="Q82" s="30">
        <v>922802491.89350104</v>
      </c>
      <c r="R82" s="30">
        <v>1496566560.4488499</v>
      </c>
      <c r="S82" s="30">
        <v>2247178792.8566899</v>
      </c>
      <c r="T82" s="30">
        <v>924324495.96684396</v>
      </c>
      <c r="U82" s="30">
        <v>1660685069.36325</v>
      </c>
      <c r="V82" s="30">
        <v>1318603606.9558499</v>
      </c>
      <c r="W82" s="30">
        <v>1803170597.71382</v>
      </c>
      <c r="X82" s="34">
        <f>AVERAGE(L82:N82)</f>
        <v>1143873744.2387145</v>
      </c>
      <c r="Y82" s="34">
        <f>AVERAGE(O82:Q82)</f>
        <v>1857269298.4619038</v>
      </c>
      <c r="Z82" s="40">
        <f>Y82/X82</f>
        <v>1.6236663423881432</v>
      </c>
      <c r="AA82" s="33">
        <f>AVERAGE(R82:T82)</f>
        <v>1556023283.0907946</v>
      </c>
      <c r="AB82" s="33">
        <f>AVERAGE(U82:W82)</f>
        <v>1594153091.3443067</v>
      </c>
      <c r="AC82" s="39">
        <f>AB82/AA82</f>
        <v>1.024504651484246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</row>
    <row r="83" spans="1:89">
      <c r="A83" s="1" t="s">
        <v>356</v>
      </c>
      <c r="B83" s="1" t="s">
        <v>357</v>
      </c>
      <c r="C83" s="1" t="s">
        <v>358</v>
      </c>
      <c r="D83" s="1">
        <v>0.16</v>
      </c>
      <c r="E83" s="1">
        <v>132.05753999999999</v>
      </c>
      <c r="F83" s="1">
        <v>1.0149999999999999</v>
      </c>
      <c r="G83" s="17">
        <f>AVERAGE(L83:W83)</f>
        <v>7345460.7838101806</v>
      </c>
      <c r="H83" s="17">
        <v>10654954.570931099</v>
      </c>
      <c r="I83" s="17" t="e">
        <f>G83/#REF!</f>
        <v>#REF!</v>
      </c>
      <c r="J83" s="17" t="e">
        <f>H83/#REF!</f>
        <v>#REF!</v>
      </c>
      <c r="K83" s="1">
        <v>84</v>
      </c>
      <c r="L83" s="17">
        <v>6063835.8606265401</v>
      </c>
      <c r="M83" s="17">
        <v>8488383.4889193196</v>
      </c>
      <c r="N83" s="17">
        <v>8671861.5056914594</v>
      </c>
      <c r="O83" s="17">
        <v>8258319.9075579504</v>
      </c>
      <c r="P83" s="17">
        <v>9833309.3899139706</v>
      </c>
      <c r="Q83" s="17">
        <v>8707907.2704281304</v>
      </c>
      <c r="R83" s="17">
        <v>5543745.7068005102</v>
      </c>
      <c r="S83" s="17">
        <v>6509880.38258697</v>
      </c>
      <c r="T83" s="17">
        <v>6813574.0333251804</v>
      </c>
      <c r="U83" s="17">
        <v>4621015.5455739303</v>
      </c>
      <c r="V83" s="17">
        <v>8359438.7030241899</v>
      </c>
      <c r="W83" s="17">
        <v>6274257.6112740003</v>
      </c>
      <c r="X83" s="34">
        <f>AVERAGE(L83:N83)</f>
        <v>7741360.2850791067</v>
      </c>
      <c r="Y83" s="34">
        <f>AVERAGE(O83:Q83)</f>
        <v>8933178.8559666853</v>
      </c>
      <c r="Z83" s="40">
        <f>Y83/X83</f>
        <v>1.1539546703677801</v>
      </c>
      <c r="AA83" s="33">
        <f>AVERAGE(R83:T83)</f>
        <v>6289066.7075708872</v>
      </c>
      <c r="AB83" s="33">
        <f>AVERAGE(U83:W83)</f>
        <v>6418237.2866240405</v>
      </c>
      <c r="AC83" s="39">
        <f>AB83/AA83</f>
        <v>1.0205389106300391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</row>
    <row r="84" spans="1:89">
      <c r="A84" s="1" t="s">
        <v>398</v>
      </c>
      <c r="B84" s="1" t="s">
        <v>399</v>
      </c>
      <c r="C84" s="1" t="s">
        <v>400</v>
      </c>
      <c r="D84" s="1">
        <v>-2.04</v>
      </c>
      <c r="E84" s="1">
        <v>174.01607999999999</v>
      </c>
      <c r="F84" s="1">
        <v>1.4610000000000001</v>
      </c>
      <c r="G84" s="17">
        <f>AVERAGE(L84:W84)</f>
        <v>5875324.1182840178</v>
      </c>
      <c r="H84" s="17">
        <v>14200287.974365599</v>
      </c>
      <c r="I84" s="17" t="e">
        <f>G84/#REF!</f>
        <v>#REF!</v>
      </c>
      <c r="J84" s="17" t="e">
        <f>H84/#REF!</f>
        <v>#REF!</v>
      </c>
      <c r="K84" s="1">
        <v>62</v>
      </c>
      <c r="L84" s="17">
        <v>6363767.1286098296</v>
      </c>
      <c r="M84" s="17">
        <v>7238338.7970375204</v>
      </c>
      <c r="N84" s="17">
        <v>5642900.4741046503</v>
      </c>
      <c r="O84" s="17">
        <v>14200287.974365599</v>
      </c>
      <c r="P84" s="17">
        <v>3858172.0683050202</v>
      </c>
      <c r="Q84" s="17">
        <v>4838948.6133439504</v>
      </c>
      <c r="R84" s="17">
        <v>469482.83787187398</v>
      </c>
      <c r="S84" s="17">
        <v>5519994.4050906897</v>
      </c>
      <c r="T84" s="17">
        <v>8057215.9905794403</v>
      </c>
      <c r="U84" s="17">
        <v>5279945.1732415399</v>
      </c>
      <c r="V84" s="17">
        <v>4071329.7258120701</v>
      </c>
      <c r="W84" s="17">
        <v>4963506.2310460303</v>
      </c>
      <c r="X84" s="34">
        <f>AVERAGE(L84:N84)</f>
        <v>6415002.1332506659</v>
      </c>
      <c r="Y84" s="34">
        <f>AVERAGE(O84:Q84)</f>
        <v>7632469.5520048561</v>
      </c>
      <c r="Z84" s="40">
        <f>Y84/X84</f>
        <v>1.1897844137017091</v>
      </c>
      <c r="AA84" s="33">
        <f>AVERAGE(R84:T84)</f>
        <v>4682231.0778473346</v>
      </c>
      <c r="AB84" s="33">
        <f>AVERAGE(U84:W84)</f>
        <v>4771593.7100332137</v>
      </c>
      <c r="AC84" s="39">
        <f>AB84/AA84</f>
        <v>1.0190854809812087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</row>
    <row r="85" spans="1:89">
      <c r="A85" s="1" t="s">
        <v>305</v>
      </c>
      <c r="B85" s="1" t="s">
        <v>306</v>
      </c>
      <c r="C85" s="1" t="s">
        <v>307</v>
      </c>
      <c r="D85" s="1">
        <v>-1.76</v>
      </c>
      <c r="E85" s="1">
        <v>301.05574000000001</v>
      </c>
      <c r="F85" s="1">
        <v>11.031000000000001</v>
      </c>
      <c r="G85" s="17">
        <f>AVERAGE(L85:W85)</f>
        <v>13322808.915589867</v>
      </c>
      <c r="H85" s="17">
        <v>27032688.516495399</v>
      </c>
      <c r="I85" s="17" t="e">
        <f>G85/#REF!</f>
        <v>#REF!</v>
      </c>
      <c r="J85" s="17" t="e">
        <f>H85/#REF!</f>
        <v>#REF!</v>
      </c>
      <c r="K85" s="1">
        <v>93.9</v>
      </c>
      <c r="L85" s="17">
        <v>7147615.1886937898</v>
      </c>
      <c r="M85" s="17">
        <v>7105248.7792464504</v>
      </c>
      <c r="N85" s="17">
        <v>7955936.9884172399</v>
      </c>
      <c r="O85" s="17">
        <v>13771962.337159701</v>
      </c>
      <c r="P85" s="17">
        <v>9034154.5821770504</v>
      </c>
      <c r="Q85" s="17">
        <v>9340601.4662293606</v>
      </c>
      <c r="R85" s="17">
        <v>27032688.516495399</v>
      </c>
      <c r="S85" s="17">
        <v>11341674.7435885</v>
      </c>
      <c r="T85" s="17">
        <v>14289235.999708701</v>
      </c>
      <c r="U85" s="17">
        <v>17907467.646481201</v>
      </c>
      <c r="V85" s="17">
        <v>19598818.132948101</v>
      </c>
      <c r="W85" s="17">
        <v>15348302.605932901</v>
      </c>
      <c r="X85" s="34">
        <f>AVERAGE(L85:N85)</f>
        <v>7402933.6521191597</v>
      </c>
      <c r="Y85" s="34">
        <f>AVERAGE(O85:Q85)</f>
        <v>10715572.795188705</v>
      </c>
      <c r="Z85" s="40">
        <f>Y85/X85</f>
        <v>1.4474765408874455</v>
      </c>
      <c r="AA85" s="33">
        <f>AVERAGE(R85:T85)</f>
        <v>17554533.086597532</v>
      </c>
      <c r="AB85" s="33">
        <f>AVERAGE(U85:W85)</f>
        <v>17618196.128454067</v>
      </c>
      <c r="AC85" s="39">
        <f>AB85/AA85</f>
        <v>1.0036265870212828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</row>
    <row r="86" spans="1:89">
      <c r="A86" s="12" t="s">
        <v>230</v>
      </c>
      <c r="B86" s="12" t="s">
        <v>231</v>
      </c>
      <c r="C86" s="12" t="s">
        <v>232</v>
      </c>
      <c r="D86" s="12">
        <v>-0.03</v>
      </c>
      <c r="E86" s="12">
        <v>105.04259</v>
      </c>
      <c r="F86" s="12">
        <v>9.1950000000000003</v>
      </c>
      <c r="G86" s="18">
        <f>AVERAGE(L86:W86)</f>
        <v>20094271.204378251</v>
      </c>
      <c r="H86" s="18">
        <v>34853910.344754703</v>
      </c>
      <c r="I86" s="18" t="e">
        <f>G86/#REF!</f>
        <v>#REF!</v>
      </c>
      <c r="J86" s="18" t="e">
        <f>H86/#REF!</f>
        <v>#REF!</v>
      </c>
      <c r="K86" s="12">
        <v>86.6</v>
      </c>
      <c r="L86" s="18">
        <v>27125330.023056999</v>
      </c>
      <c r="M86" s="18">
        <v>34853910.344754703</v>
      </c>
      <c r="N86" s="18">
        <v>16682407.489777301</v>
      </c>
      <c r="O86" s="18">
        <v>17956259.198003899</v>
      </c>
      <c r="P86" s="18">
        <v>10044229.9431067</v>
      </c>
      <c r="Q86" s="18">
        <v>17366037.948526099</v>
      </c>
      <c r="R86" s="18">
        <v>13668192.7720163</v>
      </c>
      <c r="S86" s="18">
        <v>27837998.6103044</v>
      </c>
      <c r="T86" s="18">
        <v>17235248.221293699</v>
      </c>
      <c r="U86" s="18">
        <v>21914777.854085598</v>
      </c>
      <c r="V86" s="18">
        <v>17961071.937770799</v>
      </c>
      <c r="W86" s="18">
        <v>18485790.109842502</v>
      </c>
      <c r="X86" s="34">
        <f>AVERAGE(L86:N86)</f>
        <v>26220549.285863001</v>
      </c>
      <c r="Y86" s="34">
        <f>AVERAGE(O86:Q86)</f>
        <v>15122175.696545566</v>
      </c>
      <c r="Z86" s="40">
        <f>Y86/X86</f>
        <v>0.57672993542888118</v>
      </c>
      <c r="AA86" s="33">
        <f>AVERAGE(R86:T86)</f>
        <v>19580479.867871467</v>
      </c>
      <c r="AB86" s="33">
        <f>AVERAGE(U86:W86)</f>
        <v>19453879.967232965</v>
      </c>
      <c r="AC86" s="39">
        <f>AB86/AA86</f>
        <v>0.99353438212481027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</row>
    <row r="87" spans="1:89">
      <c r="A87" s="1" t="s">
        <v>263</v>
      </c>
      <c r="B87" s="1" t="s">
        <v>264</v>
      </c>
      <c r="C87" s="1" t="s">
        <v>265</v>
      </c>
      <c r="D87" s="1">
        <v>-2.09</v>
      </c>
      <c r="E87" s="1">
        <v>138.03139999999999</v>
      </c>
      <c r="F87" s="1">
        <v>1.0429999999999999</v>
      </c>
      <c r="G87" s="17">
        <f>AVERAGE(L87:W87)</f>
        <v>14922175.981918519</v>
      </c>
      <c r="H87" s="17">
        <v>22405309.759688601</v>
      </c>
      <c r="I87" s="17" t="e">
        <f>G87/#REF!</f>
        <v>#REF!</v>
      </c>
      <c r="J87" s="17" t="e">
        <f>H87/#REF!</f>
        <v>#REF!</v>
      </c>
      <c r="K87" s="1">
        <v>86.1</v>
      </c>
      <c r="L87" s="17">
        <v>14567366.3014681</v>
      </c>
      <c r="M87" s="17">
        <v>16928288.466281299</v>
      </c>
      <c r="N87" s="17">
        <v>15930068.1566083</v>
      </c>
      <c r="O87" s="17">
        <v>12512633.860272</v>
      </c>
      <c r="P87" s="17">
        <v>19204120.304508399</v>
      </c>
      <c r="Q87" s="17">
        <v>15924861.982064901</v>
      </c>
      <c r="R87" s="17">
        <v>10511247.8202326</v>
      </c>
      <c r="S87" s="17">
        <v>22405309.759688601</v>
      </c>
      <c r="T87" s="17">
        <v>9250871.3178306408</v>
      </c>
      <c r="U87" s="17">
        <v>10144195.4049652</v>
      </c>
      <c r="V87" s="17">
        <v>12663008.373050001</v>
      </c>
      <c r="W87" s="17">
        <v>19024140.036052201</v>
      </c>
      <c r="X87" s="34">
        <f>AVERAGE(L87:N87)</f>
        <v>15808574.308119232</v>
      </c>
      <c r="Y87" s="34">
        <f>AVERAGE(O87:Q87)</f>
        <v>15880538.715615101</v>
      </c>
      <c r="Z87" s="40">
        <f>Y87/X87</f>
        <v>1.0045522389364934</v>
      </c>
      <c r="AA87" s="33">
        <f>AVERAGE(R87:T87)</f>
        <v>14055809.632583946</v>
      </c>
      <c r="AB87" s="33">
        <f>AVERAGE(U87:W87)</f>
        <v>13943781.2713558</v>
      </c>
      <c r="AC87" s="39">
        <f>AB87/AA87</f>
        <v>0.99202974683376166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</row>
    <row r="88" spans="1:89">
      <c r="A88" s="1" t="s">
        <v>141</v>
      </c>
      <c r="B88" s="1" t="s">
        <v>142</v>
      </c>
      <c r="C88" s="1" t="s">
        <v>143</v>
      </c>
      <c r="D88" s="1">
        <v>-0.85</v>
      </c>
      <c r="E88" s="1">
        <v>122.04791</v>
      </c>
      <c r="F88" s="1">
        <v>1.38</v>
      </c>
      <c r="G88" s="17">
        <f>AVERAGE(L88:W88)</f>
        <v>54574651.812937386</v>
      </c>
      <c r="H88" s="17">
        <v>101331814.68022899</v>
      </c>
      <c r="I88" s="17" t="e">
        <f>G88/#REF!</f>
        <v>#REF!</v>
      </c>
      <c r="J88" s="17" t="e">
        <f>H88/#REF!</f>
        <v>#REF!</v>
      </c>
      <c r="K88" s="1">
        <v>79.900000000000006</v>
      </c>
      <c r="L88" s="17">
        <v>32465098.0742043</v>
      </c>
      <c r="M88" s="17">
        <v>63685353.414749801</v>
      </c>
      <c r="N88" s="17">
        <v>38925045.664784998</v>
      </c>
      <c r="O88" s="17">
        <v>78412545.1387095</v>
      </c>
      <c r="P88" s="17">
        <v>58553176.760752201</v>
      </c>
      <c r="Q88" s="17">
        <v>55589458.486959897</v>
      </c>
      <c r="R88" s="17">
        <v>49273932.6123318</v>
      </c>
      <c r="S88" s="17">
        <v>65498965.367097601</v>
      </c>
      <c r="T88" s="17">
        <v>50624253.214084402</v>
      </c>
      <c r="U88" s="17">
        <v>38855141.901203804</v>
      </c>
      <c r="V88" s="17">
        <v>63132273.840498097</v>
      </c>
      <c r="W88" s="17">
        <v>59880577.279872298</v>
      </c>
      <c r="X88" s="34">
        <f>AVERAGE(L88:N88)</f>
        <v>45025165.717913032</v>
      </c>
      <c r="Y88" s="34">
        <f>AVERAGE(O88:Q88)</f>
        <v>64185060.128807195</v>
      </c>
      <c r="Z88" s="40">
        <f>Y88/X88</f>
        <v>1.4255374545633599</v>
      </c>
      <c r="AA88" s="33">
        <f>AVERAGE(R88:T88)</f>
        <v>55132383.731171273</v>
      </c>
      <c r="AB88" s="33">
        <f>AVERAGE(U88:W88)</f>
        <v>53955997.673858069</v>
      </c>
      <c r="AC88" s="39">
        <f>AB88/AA88</f>
        <v>0.97866252141301691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</row>
    <row r="89" spans="1:89">
      <c r="A89" s="1" t="s">
        <v>144</v>
      </c>
      <c r="B89" s="1" t="s">
        <v>145</v>
      </c>
      <c r="C89" s="1" t="s">
        <v>146</v>
      </c>
      <c r="D89" s="1">
        <v>-3.43</v>
      </c>
      <c r="E89" s="1">
        <v>95.987790000000004</v>
      </c>
      <c r="F89" s="1">
        <v>3.68</v>
      </c>
      <c r="G89" s="17">
        <f>AVERAGE(L89:W89)</f>
        <v>57490237.252148211</v>
      </c>
      <c r="H89" s="17">
        <v>156082223.58987701</v>
      </c>
      <c r="I89" s="17" t="e">
        <f>G89/#REF!</f>
        <v>#REF!</v>
      </c>
      <c r="J89" s="17" t="e">
        <f>H89/#REF!</f>
        <v>#REF!</v>
      </c>
      <c r="K89" s="1">
        <v>91.5</v>
      </c>
      <c r="L89" s="17">
        <v>48196810.561724499</v>
      </c>
      <c r="M89" s="17">
        <v>86721269.936414093</v>
      </c>
      <c r="N89" s="17">
        <v>85060615.425160393</v>
      </c>
      <c r="O89" s="17">
        <v>6864962.7482840801</v>
      </c>
      <c r="P89" s="17">
        <v>61945266.018713303</v>
      </c>
      <c r="Q89" s="17">
        <v>88351242.137505606</v>
      </c>
      <c r="R89" s="17">
        <v>1237316.65508524</v>
      </c>
      <c r="S89" s="17">
        <v>156082223.58987701</v>
      </c>
      <c r="T89" s="17">
        <v>1279707.00093828</v>
      </c>
      <c r="U89" s="17">
        <v>55762993.145006098</v>
      </c>
      <c r="V89" s="17">
        <v>45714492.635123901</v>
      </c>
      <c r="W89" s="17">
        <v>52665947.171946101</v>
      </c>
      <c r="X89" s="34">
        <f>AVERAGE(L89:N89)</f>
        <v>73326231.974433005</v>
      </c>
      <c r="Y89" s="34">
        <f>AVERAGE(O89:Q89)</f>
        <v>52387156.968167663</v>
      </c>
      <c r="Z89" s="40">
        <f>Y89/X89</f>
        <v>0.7144395062661032</v>
      </c>
      <c r="AA89" s="33">
        <f>AVERAGE(R89:T89)</f>
        <v>52866415.748633504</v>
      </c>
      <c r="AB89" s="33">
        <f>AVERAGE(U89:W89)</f>
        <v>51381144.317358702</v>
      </c>
      <c r="AC89" s="39">
        <f>AB89/AA89</f>
        <v>0.97190519897666428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</row>
    <row r="90" spans="1:89" s="27" customFormat="1">
      <c r="A90" s="1" t="s">
        <v>150</v>
      </c>
      <c r="B90" s="1" t="s">
        <v>151</v>
      </c>
      <c r="C90" s="1" t="s">
        <v>152</v>
      </c>
      <c r="D90" s="1">
        <v>-2.79</v>
      </c>
      <c r="E90" s="1">
        <v>174.09996000000001</v>
      </c>
      <c r="F90" s="1">
        <v>8.7739999999999991</v>
      </c>
      <c r="G90" s="17">
        <f>AVERAGE(L90:W90)</f>
        <v>58195700.378422923</v>
      </c>
      <c r="H90" s="17">
        <v>91299858.519694999</v>
      </c>
      <c r="I90" s="17" t="e">
        <f>G90/#REF!</f>
        <v>#REF!</v>
      </c>
      <c r="J90" s="17" t="e">
        <f>H90/#REF!</f>
        <v>#REF!</v>
      </c>
      <c r="K90" s="1">
        <v>76.2</v>
      </c>
      <c r="L90" s="17">
        <v>22388309.106084201</v>
      </c>
      <c r="M90" s="17">
        <v>56843954.798758</v>
      </c>
      <c r="N90" s="17">
        <v>67827417.110066503</v>
      </c>
      <c r="O90" s="17">
        <v>54576374.356348298</v>
      </c>
      <c r="P90" s="17">
        <v>53849969.590082303</v>
      </c>
      <c r="Q90" s="17">
        <v>32936718.9938371</v>
      </c>
      <c r="R90" s="17">
        <v>91299858.519694999</v>
      </c>
      <c r="S90" s="17">
        <v>79301633.502476603</v>
      </c>
      <c r="T90" s="17">
        <v>37388861.358100802</v>
      </c>
      <c r="U90" s="17">
        <v>65965725.959567003</v>
      </c>
      <c r="V90" s="17">
        <v>61683746.414498597</v>
      </c>
      <c r="W90" s="17">
        <v>74285834.831560805</v>
      </c>
      <c r="X90" s="34">
        <f>AVERAGE(L90:N90)</f>
        <v>49019893.671636231</v>
      </c>
      <c r="Y90" s="34">
        <f>AVERAGE(O90:Q90)</f>
        <v>47121020.980089225</v>
      </c>
      <c r="Z90" s="40">
        <f>Y90/X90</f>
        <v>0.96126322296276767</v>
      </c>
      <c r="AA90" s="33">
        <f>AVERAGE(R90:T90)</f>
        <v>69330117.793424144</v>
      </c>
      <c r="AB90" s="33">
        <f>AVERAGE(U90:W90)</f>
        <v>67311769.068542138</v>
      </c>
      <c r="AC90" s="39">
        <f>AB90/AA90</f>
        <v>0.97088785092078056</v>
      </c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</row>
    <row r="91" spans="1:89">
      <c r="A91" s="1" t="s">
        <v>110</v>
      </c>
      <c r="B91" s="1" t="s">
        <v>111</v>
      </c>
      <c r="C91" s="1" t="s">
        <v>112</v>
      </c>
      <c r="D91" s="1">
        <v>-0.72</v>
      </c>
      <c r="E91" s="1">
        <v>145.08501999999999</v>
      </c>
      <c r="F91" s="1">
        <v>3.786</v>
      </c>
      <c r="G91" s="17">
        <f>AVERAGE(L91:W91)</f>
        <v>78817860.552147791</v>
      </c>
      <c r="H91" s="17">
        <v>202206133.340462</v>
      </c>
      <c r="I91" s="17" t="e">
        <f>G91/#REF!</f>
        <v>#REF!</v>
      </c>
      <c r="J91" s="17" t="e">
        <f>H91/#REF!</f>
        <v>#REF!</v>
      </c>
      <c r="K91" s="1">
        <v>87.7</v>
      </c>
      <c r="L91" s="17">
        <v>39099207.756780602</v>
      </c>
      <c r="M91" s="17">
        <v>198580838.94758001</v>
      </c>
      <c r="N91" s="17">
        <v>202206133.340462</v>
      </c>
      <c r="O91" s="17">
        <v>102090388.44511899</v>
      </c>
      <c r="P91" s="17">
        <v>77884968.678385004</v>
      </c>
      <c r="Q91" s="17">
        <v>37600915.800288901</v>
      </c>
      <c r="R91" s="17">
        <v>66025836.826680303</v>
      </c>
      <c r="S91" s="17">
        <v>49923236.815434001</v>
      </c>
      <c r="T91" s="17">
        <v>30565693.6409592</v>
      </c>
      <c r="U91" s="17">
        <v>47712026.4133031</v>
      </c>
      <c r="V91" s="17">
        <v>46699526.923198901</v>
      </c>
      <c r="W91" s="17">
        <v>47425553.037582502</v>
      </c>
      <c r="X91" s="34">
        <f>AVERAGE(L91:N91)</f>
        <v>146628726.68160751</v>
      </c>
      <c r="Y91" s="34">
        <f>AVERAGE(O91:Q91)</f>
        <v>72525424.307930961</v>
      </c>
      <c r="Z91" s="40">
        <f>Y91/X91</f>
        <v>0.49461947838784748</v>
      </c>
      <c r="AA91" s="33">
        <f>AVERAGE(R91:T91)</f>
        <v>48838255.761024505</v>
      </c>
      <c r="AB91" s="33">
        <f>AVERAGE(U91:W91)</f>
        <v>47279035.458028167</v>
      </c>
      <c r="AC91" s="39">
        <f>AB91/AA91</f>
        <v>0.96807379217992717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</row>
    <row r="92" spans="1:89">
      <c r="A92" s="20" t="s">
        <v>381</v>
      </c>
      <c r="B92" s="20" t="s">
        <v>381</v>
      </c>
      <c r="C92" s="20" t="s">
        <v>382</v>
      </c>
      <c r="D92" s="20">
        <v>-0.73</v>
      </c>
      <c r="E92" s="20">
        <v>262.07990999999998</v>
      </c>
      <c r="F92" s="20">
        <v>8.9260000000000002</v>
      </c>
      <c r="G92" s="21">
        <f>AVERAGE(L92:W92)</f>
        <v>6501651.7842560299</v>
      </c>
      <c r="H92" s="21">
        <v>8413780.1397929005</v>
      </c>
      <c r="I92" s="21" t="e">
        <f>G92/#REF!</f>
        <v>#REF!</v>
      </c>
      <c r="J92" s="21" t="e">
        <f>H92/#REF!</f>
        <v>#REF!</v>
      </c>
      <c r="K92" s="20">
        <v>69.3</v>
      </c>
      <c r="L92" s="21">
        <v>4973674.1299399799</v>
      </c>
      <c r="M92" s="21">
        <v>4972756.4546334101</v>
      </c>
      <c r="N92" s="21">
        <v>3280793.5577802402</v>
      </c>
      <c r="O92" s="21">
        <v>4918263.1767851003</v>
      </c>
      <c r="P92" s="21">
        <v>5621574.7920995699</v>
      </c>
      <c r="Q92" s="21">
        <v>7954705.6294959998</v>
      </c>
      <c r="R92" s="21">
        <v>8352685.0557671301</v>
      </c>
      <c r="S92" s="21">
        <v>8187404.1636702297</v>
      </c>
      <c r="T92" s="21">
        <v>7030081.2680369904</v>
      </c>
      <c r="U92" s="21">
        <v>6611536.6211253004</v>
      </c>
      <c r="V92" s="21">
        <v>8413780.1397929005</v>
      </c>
      <c r="W92" s="21">
        <v>7702566.4219455104</v>
      </c>
      <c r="X92" s="34">
        <f>AVERAGE(L92:N92)</f>
        <v>4409074.7141178763</v>
      </c>
      <c r="Y92" s="34">
        <f>AVERAGE(O92:Q92)</f>
        <v>6164847.8661268903</v>
      </c>
      <c r="Z92" s="40">
        <f>Y92/X92</f>
        <v>1.3982180538667264</v>
      </c>
      <c r="AA92" s="33">
        <f>AVERAGE(R92:T92)</f>
        <v>7856723.495824784</v>
      </c>
      <c r="AB92" s="33">
        <f>AVERAGE(U92:W92)</f>
        <v>7575961.0609545708</v>
      </c>
      <c r="AC92" s="39">
        <f>AB92/AA92</f>
        <v>0.96426469188849318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</row>
    <row r="93" spans="1:89">
      <c r="A93" s="1" t="s">
        <v>115</v>
      </c>
      <c r="B93" s="1" t="s">
        <v>116</v>
      </c>
      <c r="C93" s="1" t="s">
        <v>57</v>
      </c>
      <c r="D93" s="1">
        <v>-1.1499999999999999</v>
      </c>
      <c r="E93" s="1">
        <v>138.04276999999999</v>
      </c>
      <c r="F93" s="1">
        <v>1.4810000000000001</v>
      </c>
      <c r="G93" s="17">
        <f>AVERAGE(L93:W93)</f>
        <v>75505599.462871924</v>
      </c>
      <c r="H93" s="17">
        <v>108652431.901153</v>
      </c>
      <c r="I93" s="17" t="e">
        <f>G93/#REF!</f>
        <v>#REF!</v>
      </c>
      <c r="J93" s="17" t="e">
        <f>H93/#REF!</f>
        <v>#REF!</v>
      </c>
      <c r="K93" s="1">
        <v>85.1</v>
      </c>
      <c r="L93" s="17">
        <v>75532978.951090693</v>
      </c>
      <c r="M93" s="17">
        <v>90523207.607507601</v>
      </c>
      <c r="N93" s="17">
        <v>71132600.902566403</v>
      </c>
      <c r="O93" s="17">
        <v>97930029.259283498</v>
      </c>
      <c r="P93" s="17">
        <v>53871674.838058896</v>
      </c>
      <c r="Q93" s="17">
        <v>108652431.901153</v>
      </c>
      <c r="R93" s="17">
        <v>54596328.445785902</v>
      </c>
      <c r="S93" s="17">
        <v>106948290.303938</v>
      </c>
      <c r="T93" s="17">
        <v>47873845.591540501</v>
      </c>
      <c r="U93" s="17">
        <v>71158591.459659204</v>
      </c>
      <c r="V93" s="17">
        <v>77240406.135916397</v>
      </c>
      <c r="W93" s="17">
        <v>50606808.157963</v>
      </c>
      <c r="X93" s="34">
        <f>AVERAGE(L93:N93)</f>
        <v>79062929.153721556</v>
      </c>
      <c r="Y93" s="34">
        <f>AVERAGE(O93:Q93)</f>
        <v>86818045.3328318</v>
      </c>
      <c r="Z93" s="40">
        <f>Y93/X93</f>
        <v>1.0980878935566885</v>
      </c>
      <c r="AA93" s="33">
        <f>AVERAGE(R93:T93)</f>
        <v>69806154.780421481</v>
      </c>
      <c r="AB93" s="33">
        <f>AVERAGE(U93:W93)</f>
        <v>66335268.584512867</v>
      </c>
      <c r="AC93" s="39">
        <f>AB93/AA93</f>
        <v>0.95027822107052817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</row>
    <row r="94" spans="1:89">
      <c r="A94" s="1" t="s">
        <v>425</v>
      </c>
      <c r="B94" s="1" t="s">
        <v>426</v>
      </c>
      <c r="C94" s="1" t="s">
        <v>427</v>
      </c>
      <c r="D94" s="1">
        <v>-0.32</v>
      </c>
      <c r="E94" s="1">
        <v>188.07964999999999</v>
      </c>
      <c r="F94" s="1">
        <v>8.9619999999999997</v>
      </c>
      <c r="G94" s="17">
        <f>AVERAGE(L94:W94)</f>
        <v>4485838.9149977043</v>
      </c>
      <c r="H94" s="17">
        <v>7817365.7787803197</v>
      </c>
      <c r="I94" s="17" t="e">
        <f>G94/#REF!</f>
        <v>#REF!</v>
      </c>
      <c r="J94" s="17" t="e">
        <f>H94/#REF!</f>
        <v>#REF!</v>
      </c>
      <c r="K94" s="1">
        <v>63.8</v>
      </c>
      <c r="L94" s="17">
        <v>2193904.3428335702</v>
      </c>
      <c r="M94" s="17">
        <v>2768396.3559121299</v>
      </c>
      <c r="N94" s="17">
        <v>2927660.9676581998</v>
      </c>
      <c r="O94" s="17">
        <v>5909010.0600246601</v>
      </c>
      <c r="P94" s="17">
        <v>3887237.2974263001</v>
      </c>
      <c r="Q94" s="17">
        <v>4699575.1851940397</v>
      </c>
      <c r="R94" s="17">
        <v>7817365.7787803197</v>
      </c>
      <c r="S94" s="17">
        <v>3478108.4763642</v>
      </c>
      <c r="T94" s="17">
        <v>4902198.5988428099</v>
      </c>
      <c r="U94" s="17">
        <v>5771214.2443055399</v>
      </c>
      <c r="V94" s="17">
        <v>3346645.7303607399</v>
      </c>
      <c r="W94" s="17">
        <v>6128749.9422699399</v>
      </c>
      <c r="X94" s="34">
        <f>AVERAGE(L94:N94)</f>
        <v>2629987.222134633</v>
      </c>
      <c r="Y94" s="34">
        <f>AVERAGE(O94:Q94)</f>
        <v>4831940.847548333</v>
      </c>
      <c r="Z94" s="40">
        <f>Y94/X94</f>
        <v>1.8372487922684586</v>
      </c>
      <c r="AA94" s="33">
        <f>AVERAGE(R94:T94)</f>
        <v>5399224.2846624432</v>
      </c>
      <c r="AB94" s="33">
        <f>AVERAGE(U94:W94)</f>
        <v>5082203.3056454062</v>
      </c>
      <c r="AC94" s="39">
        <f>AB94/AA94</f>
        <v>0.94128397667835406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  <row r="95" spans="1:89">
      <c r="A95" s="1" t="s">
        <v>275</v>
      </c>
      <c r="B95" s="1" t="s">
        <v>276</v>
      </c>
      <c r="C95" s="1" t="s">
        <v>277</v>
      </c>
      <c r="D95" s="1">
        <v>-1.63</v>
      </c>
      <c r="E95" s="1">
        <v>146.10529</v>
      </c>
      <c r="F95" s="1">
        <v>11.702999999999999</v>
      </c>
      <c r="G95" s="17">
        <f>AVERAGE(L95:W95)</f>
        <v>14951966.1569119</v>
      </c>
      <c r="H95" s="17">
        <v>24453475.869095001</v>
      </c>
      <c r="I95" s="17" t="e">
        <f>G95/#REF!</f>
        <v>#REF!</v>
      </c>
      <c r="J95" s="17" t="e">
        <f>H95/#REF!</f>
        <v>#REF!</v>
      </c>
      <c r="K95" s="1">
        <v>58.1</v>
      </c>
      <c r="L95" s="17">
        <v>10589215.252621001</v>
      </c>
      <c r="M95" s="17">
        <v>10269981.289012199</v>
      </c>
      <c r="N95" s="17">
        <v>17515766.503811002</v>
      </c>
      <c r="O95" s="17">
        <v>20183352.835471898</v>
      </c>
      <c r="P95" s="17">
        <v>10146497.0256462</v>
      </c>
      <c r="Q95" s="17">
        <v>13775448.273687299</v>
      </c>
      <c r="R95" s="17">
        <v>12301136.461588999</v>
      </c>
      <c r="S95" s="17">
        <v>13231989.020272801</v>
      </c>
      <c r="T95" s="17">
        <v>24453475.869095001</v>
      </c>
      <c r="U95" s="17">
        <v>17346870.5820782</v>
      </c>
      <c r="V95" s="17">
        <v>13053024.303339001</v>
      </c>
      <c r="W95" s="17">
        <v>16556836.4663192</v>
      </c>
      <c r="X95" s="34">
        <f>AVERAGE(L95:N95)</f>
        <v>12791654.348481402</v>
      </c>
      <c r="Y95" s="34">
        <f>AVERAGE(O95:Q95)</f>
        <v>14701766.044935131</v>
      </c>
      <c r="Z95" s="40">
        <f>Y95/X95</f>
        <v>1.1493248366799791</v>
      </c>
      <c r="AA95" s="33">
        <f>AVERAGE(R95:T95)</f>
        <v>16662200.450318933</v>
      </c>
      <c r="AB95" s="33">
        <f>AVERAGE(U95:W95)</f>
        <v>15652243.783912132</v>
      </c>
      <c r="AC95" s="39">
        <f>AB95/AA95</f>
        <v>0.93938635719704899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</row>
    <row r="96" spans="1:89">
      <c r="A96" s="1" t="s">
        <v>335</v>
      </c>
      <c r="B96" s="1" t="s">
        <v>336</v>
      </c>
      <c r="C96" s="1" t="s">
        <v>337</v>
      </c>
      <c r="D96" s="1">
        <v>-1.98</v>
      </c>
      <c r="E96" s="1">
        <v>260.0292</v>
      </c>
      <c r="F96" s="1">
        <v>11.372</v>
      </c>
      <c r="G96" s="17">
        <f>AVERAGE(L96:W96)</f>
        <v>10183008.200770637</v>
      </c>
      <c r="H96" s="17">
        <v>15937523.397283001</v>
      </c>
      <c r="I96" s="17" t="e">
        <f>G96/#REF!</f>
        <v>#REF!</v>
      </c>
      <c r="J96" s="17" t="e">
        <f>H96/#REF!</f>
        <v>#REF!</v>
      </c>
      <c r="K96" s="1">
        <v>93.4</v>
      </c>
      <c r="L96" s="17">
        <v>6522690.4623235399</v>
      </c>
      <c r="M96" s="17">
        <v>12256927.628916601</v>
      </c>
      <c r="N96" s="17">
        <v>10702432.7563738</v>
      </c>
      <c r="O96" s="17">
        <v>7101247.8755302001</v>
      </c>
      <c r="P96" s="17">
        <v>7464425.05502888</v>
      </c>
      <c r="Q96" s="17">
        <v>7248487.3628225299</v>
      </c>
      <c r="R96" s="17">
        <v>15937523.397283001</v>
      </c>
      <c r="S96" s="17">
        <v>11771286.338151401</v>
      </c>
      <c r="T96" s="17">
        <v>8931629.0970540792</v>
      </c>
      <c r="U96" s="17">
        <v>11638347.1608551</v>
      </c>
      <c r="V96" s="17">
        <v>10614939.7936342</v>
      </c>
      <c r="W96" s="17">
        <v>12006161.481274299</v>
      </c>
      <c r="X96" s="34">
        <f>AVERAGE(L96:N96)</f>
        <v>9827350.28253798</v>
      </c>
      <c r="Y96" s="34">
        <f>AVERAGE(O96:Q96)</f>
        <v>7271386.7644605367</v>
      </c>
      <c r="Z96" s="40">
        <f>Y96/X96</f>
        <v>0.73991325793901097</v>
      </c>
      <c r="AA96" s="33">
        <f>AVERAGE(R96:T96)</f>
        <v>12213479.610829493</v>
      </c>
      <c r="AB96" s="33">
        <f>AVERAGE(U96:W96)</f>
        <v>11419816.145254532</v>
      </c>
      <c r="AC96" s="39">
        <f>AB96/AA96</f>
        <v>0.93501741593188292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</row>
    <row r="97" spans="1:89">
      <c r="A97" s="1" t="s">
        <v>278</v>
      </c>
      <c r="B97" s="1" t="s">
        <v>279</v>
      </c>
      <c r="C97" s="1" t="s">
        <v>280</v>
      </c>
      <c r="D97" s="1">
        <v>0.03</v>
      </c>
      <c r="E97" s="1">
        <v>137.04768000000001</v>
      </c>
      <c r="F97" s="1">
        <v>13.5</v>
      </c>
      <c r="G97" s="17">
        <f>AVERAGE(L97:W97)</f>
        <v>15225565.022240454</v>
      </c>
      <c r="H97" s="17">
        <v>39104899.497257598</v>
      </c>
      <c r="I97" s="17" t="e">
        <f>G97/#REF!</f>
        <v>#REF!</v>
      </c>
      <c r="J97" s="17" t="e">
        <f>H97/#REF!</f>
        <v>#REF!</v>
      </c>
      <c r="K97" s="1">
        <v>61.6</v>
      </c>
      <c r="L97" s="17">
        <v>7421352.67258956</v>
      </c>
      <c r="M97" s="17">
        <v>10597961.2361333</v>
      </c>
      <c r="N97" s="17">
        <v>7613762.1451883297</v>
      </c>
      <c r="O97" s="17">
        <v>39104899.497257598</v>
      </c>
      <c r="P97" s="17">
        <v>5584028.5335491803</v>
      </c>
      <c r="Q97" s="17">
        <v>11039806.097723501</v>
      </c>
      <c r="R97" s="17">
        <v>23750797.858984299</v>
      </c>
      <c r="S97" s="17">
        <v>20245054.241101399</v>
      </c>
      <c r="T97" s="17">
        <v>8478198.5136494692</v>
      </c>
      <c r="U97" s="17">
        <v>19864845.453258701</v>
      </c>
      <c r="V97" s="17">
        <v>8541872.1185344197</v>
      </c>
      <c r="W97" s="17">
        <v>20464201.898915701</v>
      </c>
      <c r="X97" s="34">
        <f>AVERAGE(L97:N97)</f>
        <v>8544358.6846370623</v>
      </c>
      <c r="Y97" s="34">
        <f>AVERAGE(O97:Q97)</f>
        <v>18576244.709510092</v>
      </c>
      <c r="Z97" s="40">
        <f>Y97/X97</f>
        <v>2.1740946740579341</v>
      </c>
      <c r="AA97" s="33">
        <f>AVERAGE(R97:T97)</f>
        <v>17491350.204578388</v>
      </c>
      <c r="AB97" s="33">
        <f>AVERAGE(U97:W97)</f>
        <v>16290306.490236273</v>
      </c>
      <c r="AC97" s="39">
        <f>AB97/AA97</f>
        <v>0.931334991278847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</row>
    <row r="98" spans="1:89">
      <c r="A98" s="1" t="s">
        <v>162</v>
      </c>
      <c r="B98" s="1" t="s">
        <v>163</v>
      </c>
      <c r="C98" s="1" t="s">
        <v>164</v>
      </c>
      <c r="D98" s="1">
        <v>-7.0000000000000007E-2</v>
      </c>
      <c r="E98" s="1">
        <v>113.05889999999999</v>
      </c>
      <c r="F98" s="1">
        <v>3.3620000000000001</v>
      </c>
      <c r="G98" s="17">
        <f>AVERAGE(L98:W98)</f>
        <v>45079266.132581055</v>
      </c>
      <c r="H98" s="17">
        <v>68292144.886024594</v>
      </c>
      <c r="I98" s="17" t="e">
        <f>G98/#REF!</f>
        <v>#REF!</v>
      </c>
      <c r="J98" s="17" t="e">
        <f>H98/#REF!</f>
        <v>#REF!</v>
      </c>
      <c r="K98" s="1">
        <v>70</v>
      </c>
      <c r="L98" s="17">
        <v>60581815.921711601</v>
      </c>
      <c r="M98" s="17">
        <v>68292144.886024594</v>
      </c>
      <c r="N98" s="17">
        <v>60933564.632965602</v>
      </c>
      <c r="O98" s="17">
        <v>43384178.609933197</v>
      </c>
      <c r="P98" s="17">
        <v>36052553.562318899</v>
      </c>
      <c r="Q98" s="17">
        <v>31646843.6712493</v>
      </c>
      <c r="R98" s="17">
        <v>32496131.561351702</v>
      </c>
      <c r="S98" s="17">
        <v>60503189.281700797</v>
      </c>
      <c r="T98" s="17">
        <v>31375786.900820199</v>
      </c>
      <c r="U98" s="17">
        <v>32961316.722916499</v>
      </c>
      <c r="V98" s="17">
        <v>49927068.082157597</v>
      </c>
      <c r="W98" s="17">
        <v>32796599.7578227</v>
      </c>
      <c r="X98" s="34">
        <f>AVERAGE(L98:N98)</f>
        <v>63269175.146900594</v>
      </c>
      <c r="Y98" s="34">
        <f>AVERAGE(O98:Q98)</f>
        <v>37027858.614500463</v>
      </c>
      <c r="Z98" s="40">
        <f>Y98/X98</f>
        <v>0.58524326464708731</v>
      </c>
      <c r="AA98" s="33">
        <f>AVERAGE(R98:T98)</f>
        <v>41458369.247957565</v>
      </c>
      <c r="AB98" s="33">
        <f>AVERAGE(U98:W98)</f>
        <v>38561661.520965599</v>
      </c>
      <c r="AC98" s="39">
        <f>AB98/AA98</f>
        <v>0.93012972339391586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</row>
    <row r="99" spans="1:89" s="22" customFormat="1">
      <c r="A99" s="29" t="s">
        <v>34</v>
      </c>
      <c r="B99" s="29" t="s">
        <v>35</v>
      </c>
      <c r="C99" s="14" t="s">
        <v>36</v>
      </c>
      <c r="D99" s="14">
        <v>-0.79</v>
      </c>
      <c r="E99" s="14">
        <v>188.11593999999999</v>
      </c>
      <c r="F99" s="14">
        <v>8.6769999999999996</v>
      </c>
      <c r="G99" s="30">
        <f>AVERAGE(L99:W99)</f>
        <v>3643959135.3707824</v>
      </c>
      <c r="H99" s="30">
        <v>6425785915.2696104</v>
      </c>
      <c r="I99" s="30" t="e">
        <f>G99/#REF!</f>
        <v>#REF!</v>
      </c>
      <c r="J99" s="30" t="e">
        <f>H99/#REF!</f>
        <v>#REF!</v>
      </c>
      <c r="K99" s="14">
        <v>55.6</v>
      </c>
      <c r="L99" s="30">
        <v>741172968.71811604</v>
      </c>
      <c r="M99" s="30">
        <v>3329921772.5371599</v>
      </c>
      <c r="N99" s="30">
        <v>3561894166.2878699</v>
      </c>
      <c r="O99" s="30">
        <v>5138969490.5941</v>
      </c>
      <c r="P99" s="30">
        <v>6425785915.2696104</v>
      </c>
      <c r="Q99" s="30">
        <v>1756403520.33002</v>
      </c>
      <c r="R99" s="30">
        <v>4050870525.3502898</v>
      </c>
      <c r="S99" s="30">
        <v>5840588078.9766998</v>
      </c>
      <c r="T99" s="30">
        <v>1914822163.6424799</v>
      </c>
      <c r="U99" s="30">
        <v>3869549841.6391401</v>
      </c>
      <c r="V99" s="30">
        <v>2807480240.4756899</v>
      </c>
      <c r="W99" s="30">
        <v>4290050940.6282101</v>
      </c>
      <c r="X99" s="34">
        <f>AVERAGE(L99:N99)</f>
        <v>2544329635.8477154</v>
      </c>
      <c r="Y99" s="34">
        <f>AVERAGE(O99:Q99)</f>
        <v>4440386308.7312431</v>
      </c>
      <c r="Z99" s="40">
        <f>Y99/X99</f>
        <v>1.7452087363875721</v>
      </c>
      <c r="AA99" s="33">
        <f>AVERAGE(R99:T99)</f>
        <v>3935426922.6564903</v>
      </c>
      <c r="AB99" s="33">
        <f>AVERAGE(U99:W99)</f>
        <v>3655693674.2476802</v>
      </c>
      <c r="AC99" s="39">
        <f>AB99/AA99</f>
        <v>0.9289192115858208</v>
      </c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</row>
    <row r="100" spans="1:89">
      <c r="A100" s="1" t="s">
        <v>320</v>
      </c>
      <c r="B100" s="1" t="s">
        <v>321</v>
      </c>
      <c r="C100" s="1" t="s">
        <v>322</v>
      </c>
      <c r="D100" s="1">
        <v>0.19</v>
      </c>
      <c r="E100" s="1">
        <v>164.08376000000001</v>
      </c>
      <c r="F100" s="1">
        <v>1.0509999999999999</v>
      </c>
      <c r="G100" s="17">
        <f>AVERAGE(L100:W100)</f>
        <v>10383647.91566509</v>
      </c>
      <c r="H100" s="17">
        <v>21061508.7512566</v>
      </c>
      <c r="I100" s="17" t="e">
        <f>G100/#REF!</f>
        <v>#REF!</v>
      </c>
      <c r="J100" s="17" t="e">
        <f>H100/#REF!</f>
        <v>#REF!</v>
      </c>
      <c r="K100" s="1">
        <v>70.599999999999994</v>
      </c>
      <c r="L100" s="17">
        <v>7122510.3678815002</v>
      </c>
      <c r="M100" s="17">
        <v>9708154.0859733392</v>
      </c>
      <c r="N100" s="17">
        <v>13683518.154618399</v>
      </c>
      <c r="O100" s="17">
        <v>9440275.9376024399</v>
      </c>
      <c r="P100" s="17">
        <v>8805779.84526252</v>
      </c>
      <c r="Q100" s="17">
        <v>21061508.7512566</v>
      </c>
      <c r="R100" s="17">
        <v>6037968.4455621699</v>
      </c>
      <c r="S100" s="17">
        <v>11963971.0214647</v>
      </c>
      <c r="T100" s="17">
        <v>10408882.517480001</v>
      </c>
      <c r="U100" s="17">
        <v>6354447.1819303399</v>
      </c>
      <c r="V100" s="17">
        <v>12161431.4045757</v>
      </c>
      <c r="W100" s="17">
        <v>7855327.2743733702</v>
      </c>
      <c r="X100" s="34">
        <f>AVERAGE(L100:N100)</f>
        <v>10171394.202824414</v>
      </c>
      <c r="Y100" s="34">
        <f>AVERAGE(O100:Q100)</f>
        <v>13102521.511373853</v>
      </c>
      <c r="Z100" s="40">
        <f>Y100/X100</f>
        <v>1.2881736023696257</v>
      </c>
      <c r="AA100" s="33">
        <f>AVERAGE(R100:T100)</f>
        <v>9470273.9948356245</v>
      </c>
      <c r="AB100" s="33">
        <f>AVERAGE(U100:W100)</f>
        <v>8790401.9536264706</v>
      </c>
      <c r="AC100" s="39">
        <f>AB100/AA100</f>
        <v>0.92820988689662998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</row>
    <row r="101" spans="1:89">
      <c r="A101" s="1" t="s">
        <v>369</v>
      </c>
      <c r="B101" s="1" t="s">
        <v>370</v>
      </c>
      <c r="C101" s="1" t="s">
        <v>371</v>
      </c>
      <c r="D101" s="1">
        <v>-0.03</v>
      </c>
      <c r="E101" s="1">
        <v>234.16163</v>
      </c>
      <c r="F101" s="1">
        <v>0.95</v>
      </c>
      <c r="G101" s="17">
        <f>AVERAGE(L101:W101)</f>
        <v>6940396.9093007892</v>
      </c>
      <c r="H101" s="17">
        <v>16293266.074047901</v>
      </c>
      <c r="I101" s="17" t="e">
        <f>G101/#REF!</f>
        <v>#REF!</v>
      </c>
      <c r="J101" s="17" t="e">
        <f>H101/#REF!</f>
        <v>#REF!</v>
      </c>
      <c r="K101" s="1">
        <v>57.4</v>
      </c>
      <c r="L101" s="17">
        <v>3877903.1122840098</v>
      </c>
      <c r="M101" s="17">
        <v>4377083.4355377499</v>
      </c>
      <c r="N101" s="17">
        <v>8521498.2810914796</v>
      </c>
      <c r="O101" s="17">
        <v>14764469.8364089</v>
      </c>
      <c r="P101" s="17">
        <v>4637242.1168767298</v>
      </c>
      <c r="Q101" s="17">
        <v>16293266.074047901</v>
      </c>
      <c r="R101" s="17">
        <v>3858319.3795595202</v>
      </c>
      <c r="S101" s="17">
        <v>8859268.5452163592</v>
      </c>
      <c r="T101" s="17">
        <v>3376839.9691688102</v>
      </c>
      <c r="U101" s="17">
        <v>6548395.5683522997</v>
      </c>
      <c r="V101" s="17">
        <v>5272277.9722513398</v>
      </c>
      <c r="W101" s="17">
        <v>2898198.62081439</v>
      </c>
      <c r="X101" s="34">
        <f>AVERAGE(L101:N101)</f>
        <v>5592161.6096377466</v>
      </c>
      <c r="Y101" s="34">
        <f>AVERAGE(O101:Q101)</f>
        <v>11898326.009111175</v>
      </c>
      <c r="Z101" s="40">
        <f>Y101/X101</f>
        <v>2.1276792123827648</v>
      </c>
      <c r="AA101" s="33">
        <f>AVERAGE(R101:T101)</f>
        <v>5364809.297981563</v>
      </c>
      <c r="AB101" s="33">
        <f>AVERAGE(U101:W101)</f>
        <v>4906290.7204726767</v>
      </c>
      <c r="AC101" s="39">
        <f>AB101/AA101</f>
        <v>0.914532175881555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</row>
    <row r="102" spans="1:89">
      <c r="A102" s="1" t="s">
        <v>308</v>
      </c>
      <c r="B102" s="1" t="s">
        <v>309</v>
      </c>
      <c r="C102" s="1" t="s">
        <v>310</v>
      </c>
      <c r="D102" s="1">
        <v>-0.77</v>
      </c>
      <c r="E102" s="1">
        <v>276.09554000000003</v>
      </c>
      <c r="F102" s="1">
        <v>9.4269999999999996</v>
      </c>
      <c r="G102" s="17">
        <f>AVERAGE(L102:W102)</f>
        <v>11859071.257452829</v>
      </c>
      <c r="H102" s="17">
        <v>17666788.332085099</v>
      </c>
      <c r="I102" s="17" t="e">
        <f>G102/#REF!</f>
        <v>#REF!</v>
      </c>
      <c r="J102" s="17" t="e">
        <f>H102/#REF!</f>
        <v>#REF!</v>
      </c>
      <c r="K102" s="1">
        <v>72</v>
      </c>
      <c r="L102" s="17">
        <v>4697735.7246596003</v>
      </c>
      <c r="M102" s="17">
        <v>12821005.1017961</v>
      </c>
      <c r="N102" s="17">
        <v>17666788.332085099</v>
      </c>
      <c r="O102" s="17">
        <v>13966892.9682205</v>
      </c>
      <c r="P102" s="17">
        <v>14392668.7457137</v>
      </c>
      <c r="Q102" s="17">
        <v>7358764.7499908097</v>
      </c>
      <c r="R102" s="17">
        <v>15770956.895973301</v>
      </c>
      <c r="S102" s="17">
        <v>9580617.9866399392</v>
      </c>
      <c r="T102" s="17">
        <v>12017106.6883549</v>
      </c>
      <c r="U102" s="17">
        <v>11725059.916028</v>
      </c>
      <c r="V102" s="17">
        <v>10247832.344459601</v>
      </c>
      <c r="W102" s="17">
        <v>12063425.6355124</v>
      </c>
      <c r="X102" s="34">
        <f>AVERAGE(L102:N102)</f>
        <v>11728509.719513601</v>
      </c>
      <c r="Y102" s="34">
        <f>AVERAGE(O102:Q102)</f>
        <v>11906108.821308335</v>
      </c>
      <c r="Z102" s="40">
        <f>Y102/X102</f>
        <v>1.0151425122238036</v>
      </c>
      <c r="AA102" s="33">
        <f>AVERAGE(R102:T102)</f>
        <v>12456227.190322714</v>
      </c>
      <c r="AB102" s="33">
        <f>AVERAGE(U102:W102)</f>
        <v>11345439.298666665</v>
      </c>
      <c r="AC102" s="39">
        <f>AB102/AA102</f>
        <v>0.91082469236599795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</row>
    <row r="103" spans="1:89">
      <c r="A103" s="1" t="s">
        <v>123</v>
      </c>
      <c r="B103" s="1" t="s">
        <v>124</v>
      </c>
      <c r="C103" s="1" t="s">
        <v>125</v>
      </c>
      <c r="D103" s="1">
        <v>-0.38</v>
      </c>
      <c r="E103" s="1">
        <v>99.068380000000005</v>
      </c>
      <c r="F103" s="1">
        <v>1.198</v>
      </c>
      <c r="G103" s="17">
        <f>AVERAGE(L103:W103)</f>
        <v>64783189.622573681</v>
      </c>
      <c r="H103" s="17">
        <v>150266222.87934801</v>
      </c>
      <c r="I103" s="17" t="e">
        <f>G103/#REF!</f>
        <v>#REF!</v>
      </c>
      <c r="J103" s="17" t="e">
        <f>H103/#REF!</f>
        <v>#REF!</v>
      </c>
      <c r="K103" s="1">
        <v>57.8</v>
      </c>
      <c r="L103" s="17">
        <v>116534210.774983</v>
      </c>
      <c r="M103" s="17">
        <v>85274569.857917294</v>
      </c>
      <c r="N103" s="17">
        <v>47359173.368814699</v>
      </c>
      <c r="O103" s="17">
        <v>150266222.87934801</v>
      </c>
      <c r="P103" s="17">
        <v>64639901.766274698</v>
      </c>
      <c r="Q103" s="17">
        <v>90839864.692905098</v>
      </c>
      <c r="R103" s="17">
        <v>2451737.9458247302</v>
      </c>
      <c r="S103" s="17">
        <v>51987334.643751398</v>
      </c>
      <c r="T103" s="17">
        <v>62224354.479501501</v>
      </c>
      <c r="U103" s="17">
        <v>20749990.597887699</v>
      </c>
      <c r="V103" s="17">
        <v>21778441.286911801</v>
      </c>
      <c r="W103" s="17">
        <v>63292473.176764302</v>
      </c>
      <c r="X103" s="34">
        <f>AVERAGE(L103:N103)</f>
        <v>83055984.66723834</v>
      </c>
      <c r="Y103" s="34">
        <f>AVERAGE(O103:Q103)</f>
        <v>101915329.77950926</v>
      </c>
      <c r="Z103" s="40">
        <f>Y103/X103</f>
        <v>1.2270678649808366</v>
      </c>
      <c r="AA103" s="33">
        <f>AVERAGE(R103:T103)</f>
        <v>38887809.023025878</v>
      </c>
      <c r="AB103" s="33">
        <f>AVERAGE(U103:W103)</f>
        <v>35273635.020521261</v>
      </c>
      <c r="AC103" s="39">
        <f>AB103/AA103</f>
        <v>0.90706151636455978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</row>
    <row r="104" spans="1:89">
      <c r="A104" s="1" t="s">
        <v>290</v>
      </c>
      <c r="B104" s="1" t="s">
        <v>291</v>
      </c>
      <c r="C104" s="1" t="s">
        <v>292</v>
      </c>
      <c r="D104" s="1">
        <v>-2.38</v>
      </c>
      <c r="E104" s="1">
        <v>174.08878999999999</v>
      </c>
      <c r="F104" s="1">
        <v>1.1240000000000001</v>
      </c>
      <c r="G104" s="17">
        <f>AVERAGE(L104:W104)</f>
        <v>12334058.788448893</v>
      </c>
      <c r="H104" s="17">
        <v>57047729.264270604</v>
      </c>
      <c r="I104" s="17" t="e">
        <f>G104/#REF!</f>
        <v>#REF!</v>
      </c>
      <c r="J104" s="17" t="e">
        <f>H104/#REF!</f>
        <v>#REF!</v>
      </c>
      <c r="K104" s="1">
        <v>79.8</v>
      </c>
      <c r="L104" s="17">
        <v>8788805.6735466793</v>
      </c>
      <c r="M104" s="17">
        <v>15663969.885203</v>
      </c>
      <c r="N104" s="17">
        <v>5536676.7290639803</v>
      </c>
      <c r="O104" s="17">
        <v>57047729.264270604</v>
      </c>
      <c r="P104" s="17">
        <v>17531897.892177399</v>
      </c>
      <c r="Q104" s="17">
        <v>6256674.0613847598</v>
      </c>
      <c r="R104" s="17">
        <v>5354253.9374088598</v>
      </c>
      <c r="S104" s="17">
        <v>8999285.2902028207</v>
      </c>
      <c r="T104" s="17">
        <v>5283896.6283748001</v>
      </c>
      <c r="U104" s="17">
        <v>5679189.93940436</v>
      </c>
      <c r="V104" s="17">
        <v>5984586.1942039598</v>
      </c>
      <c r="W104" s="17">
        <v>5881739.9661454698</v>
      </c>
      <c r="X104" s="34">
        <f>AVERAGE(L104:N104)</f>
        <v>9996484.0959378872</v>
      </c>
      <c r="Y104" s="34">
        <f>AVERAGE(O104:Q104)</f>
        <v>26945433.73927759</v>
      </c>
      <c r="Z104" s="40">
        <f>Y104/X104</f>
        <v>2.6954910827324756</v>
      </c>
      <c r="AA104" s="33">
        <f>AVERAGE(R104:T104)</f>
        <v>6545811.9519954929</v>
      </c>
      <c r="AB104" s="33">
        <f>AVERAGE(U104:W104)</f>
        <v>5848505.3665845962</v>
      </c>
      <c r="AC104" s="39">
        <f>AB104/AA104</f>
        <v>0.89347286623497901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</row>
    <row r="105" spans="1:89">
      <c r="A105" s="1" t="s">
        <v>353</v>
      </c>
      <c r="B105" s="1" t="s">
        <v>354</v>
      </c>
      <c r="C105" s="1" t="s">
        <v>355</v>
      </c>
      <c r="D105" s="1">
        <v>-1.69</v>
      </c>
      <c r="E105" s="1">
        <v>230.01876999999999</v>
      </c>
      <c r="F105" s="1">
        <v>10.69</v>
      </c>
      <c r="G105" s="17">
        <f>AVERAGE(L105:W105)</f>
        <v>9142744.3737940136</v>
      </c>
      <c r="H105" s="17">
        <v>20392785.3543308</v>
      </c>
      <c r="I105" s="17" t="e">
        <f>G105/#REF!</f>
        <v>#REF!</v>
      </c>
      <c r="J105" s="17" t="e">
        <f>H105/#REF!</f>
        <v>#REF!</v>
      </c>
      <c r="K105" s="1">
        <v>95.3</v>
      </c>
      <c r="L105" s="17">
        <v>6191232.64125372</v>
      </c>
      <c r="M105" s="17">
        <v>16911506.725152001</v>
      </c>
      <c r="N105" s="17">
        <v>20392785.3543308</v>
      </c>
      <c r="O105" s="17">
        <v>4527639.5894831102</v>
      </c>
      <c r="P105" s="17">
        <v>2708712.63813168</v>
      </c>
      <c r="Q105" s="17">
        <v>2773582.6867924002</v>
      </c>
      <c r="R105" s="17">
        <v>4947979.5757121602</v>
      </c>
      <c r="S105" s="17">
        <v>18603321.522157598</v>
      </c>
      <c r="T105" s="17">
        <v>6201921.788195</v>
      </c>
      <c r="U105" s="17">
        <v>10370168.947588099</v>
      </c>
      <c r="V105" s="17">
        <v>6050926.8465739898</v>
      </c>
      <c r="W105" s="17">
        <v>10033154.1701576</v>
      </c>
      <c r="X105" s="34">
        <f>AVERAGE(L105:N105)</f>
        <v>14498508.240245506</v>
      </c>
      <c r="Y105" s="34">
        <f>AVERAGE(O105:Q105)</f>
        <v>3336644.9714690633</v>
      </c>
      <c r="Z105" s="40">
        <f>Y105/X105</f>
        <v>0.23013712281150955</v>
      </c>
      <c r="AA105" s="33">
        <f>AVERAGE(R105:T105)</f>
        <v>9917740.9620215856</v>
      </c>
      <c r="AB105" s="33">
        <f>AVERAGE(U105:W105)</f>
        <v>8818083.3214398976</v>
      </c>
      <c r="AC105" s="39">
        <f>AB105/AA105</f>
        <v>0.88912216554226897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</row>
    <row r="106" spans="1:89" s="25" customFormat="1">
      <c r="A106" s="1" t="s">
        <v>192</v>
      </c>
      <c r="B106" s="1" t="s">
        <v>193</v>
      </c>
      <c r="C106" s="1" t="s">
        <v>194</v>
      </c>
      <c r="D106" s="1">
        <v>-0.56000000000000005</v>
      </c>
      <c r="E106" s="1">
        <v>94.053049999999999</v>
      </c>
      <c r="F106" s="1">
        <v>9.5020000000000007</v>
      </c>
      <c r="G106" s="17">
        <f>AVERAGE(L106:W106)</f>
        <v>37053423.797184847</v>
      </c>
      <c r="H106" s="17">
        <v>68270875.768385604</v>
      </c>
      <c r="I106" s="17" t="e">
        <f>G106/#REF!</f>
        <v>#REF!</v>
      </c>
      <c r="J106" s="17" t="e">
        <f>H106/#REF!</f>
        <v>#REF!</v>
      </c>
      <c r="K106" s="1">
        <v>89.2</v>
      </c>
      <c r="L106" s="17">
        <v>13462332.2595682</v>
      </c>
      <c r="M106" s="17">
        <v>13241943.0803294</v>
      </c>
      <c r="N106" s="17">
        <v>12055787.986090001</v>
      </c>
      <c r="O106" s="17">
        <v>24297532.422665</v>
      </c>
      <c r="P106" s="17">
        <v>26312018.542290401</v>
      </c>
      <c r="Q106" s="17">
        <v>60165590.440397397</v>
      </c>
      <c r="R106" s="17">
        <v>68270875.768385604</v>
      </c>
      <c r="S106" s="17">
        <v>34100801.189774297</v>
      </c>
      <c r="T106" s="17">
        <v>54335614.295065098</v>
      </c>
      <c r="U106" s="17">
        <v>45020535.142762303</v>
      </c>
      <c r="V106" s="17">
        <v>42495137.335885502</v>
      </c>
      <c r="W106" s="17">
        <v>50882917.103004999</v>
      </c>
      <c r="X106" s="34">
        <f>AVERAGE(L106:N106)</f>
        <v>12920021.108662533</v>
      </c>
      <c r="Y106" s="34">
        <f>AVERAGE(O106:Q106)</f>
        <v>36925047.135117598</v>
      </c>
      <c r="Z106" s="40">
        <f>Y106/X106</f>
        <v>2.8579711151060216</v>
      </c>
      <c r="AA106" s="33">
        <f>AVERAGE(R106:T106)</f>
        <v>52235763.751075</v>
      </c>
      <c r="AB106" s="33">
        <f>AVERAGE(U106:W106)</f>
        <v>46132863.193884261</v>
      </c>
      <c r="AC106" s="39">
        <f>AB106/AA106</f>
        <v>0.88316624245653641</v>
      </c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</row>
    <row r="107" spans="1:89">
      <c r="A107" s="1" t="s">
        <v>233</v>
      </c>
      <c r="B107" s="1" t="s">
        <v>234</v>
      </c>
      <c r="C107" s="1" t="s">
        <v>235</v>
      </c>
      <c r="D107" s="1">
        <v>-1.35</v>
      </c>
      <c r="E107" s="1">
        <v>134.07298</v>
      </c>
      <c r="F107" s="1">
        <v>0.97899999999999998</v>
      </c>
      <c r="G107" s="17">
        <f>AVERAGE(L107:W107)</f>
        <v>19650284.9607375</v>
      </c>
      <c r="H107" s="17">
        <v>28881878.932667401</v>
      </c>
      <c r="I107" s="17" t="e">
        <f>G107/#REF!</f>
        <v>#REF!</v>
      </c>
      <c r="J107" s="17" t="e">
        <f>H107/#REF!</f>
        <v>#REF!</v>
      </c>
      <c r="K107" s="1">
        <v>83.3</v>
      </c>
      <c r="L107" s="17">
        <v>17028418.027764499</v>
      </c>
      <c r="M107" s="17">
        <v>20152079.496474601</v>
      </c>
      <c r="N107" s="17">
        <v>19025102.8167721</v>
      </c>
      <c r="O107" s="17">
        <v>20685243.577918399</v>
      </c>
      <c r="P107" s="17">
        <v>22118165.2522997</v>
      </c>
      <c r="Q107" s="17">
        <v>28881878.932667401</v>
      </c>
      <c r="R107" s="17">
        <v>18176764.100180399</v>
      </c>
      <c r="S107" s="17">
        <v>18271699.312985599</v>
      </c>
      <c r="T107" s="17">
        <v>20912918.908558499</v>
      </c>
      <c r="U107" s="17">
        <v>14288866.9933213</v>
      </c>
      <c r="V107" s="17">
        <v>23797727.2503323</v>
      </c>
      <c r="W107" s="17">
        <v>12464554.859575201</v>
      </c>
      <c r="X107" s="34">
        <f>AVERAGE(L107:N107)</f>
        <v>18735200.113670398</v>
      </c>
      <c r="Y107" s="34">
        <f>AVERAGE(O107:Q107)</f>
        <v>23895095.920961831</v>
      </c>
      <c r="Z107" s="40">
        <f>Y107/X107</f>
        <v>1.2754118331261615</v>
      </c>
      <c r="AA107" s="33">
        <f>AVERAGE(R107:T107)</f>
        <v>19120460.773908168</v>
      </c>
      <c r="AB107" s="33">
        <f>AVERAGE(U107:W107)</f>
        <v>16850383.034409598</v>
      </c>
      <c r="AC107" s="39">
        <f>AB107/AA107</f>
        <v>0.88127494591572164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</row>
    <row r="108" spans="1:89">
      <c r="A108" s="1" t="s">
        <v>245</v>
      </c>
      <c r="B108" s="1" t="s">
        <v>246</v>
      </c>
      <c r="C108" s="1" t="s">
        <v>247</v>
      </c>
      <c r="D108" s="1">
        <v>0.43</v>
      </c>
      <c r="E108" s="1">
        <v>72.057550000000006</v>
      </c>
      <c r="F108" s="1">
        <v>3.7290000000000001</v>
      </c>
      <c r="G108" s="17">
        <f>AVERAGE(L108:W108)</f>
        <v>17282767.5085265</v>
      </c>
      <c r="H108" s="17">
        <v>23483979.029961102</v>
      </c>
      <c r="I108" s="17" t="e">
        <f>G108/#REF!</f>
        <v>#REF!</v>
      </c>
      <c r="J108" s="17" t="e">
        <f>H108/#REF!</f>
        <v>#REF!</v>
      </c>
      <c r="K108" s="1">
        <v>84.8</v>
      </c>
      <c r="L108" s="17">
        <v>13038907.819775799</v>
      </c>
      <c r="M108" s="17">
        <v>14120716.034363501</v>
      </c>
      <c r="N108" s="17">
        <v>15999399.4852935</v>
      </c>
      <c r="O108" s="17">
        <v>23483979.029961102</v>
      </c>
      <c r="P108" s="17">
        <v>16425563.5442398</v>
      </c>
      <c r="Q108" s="17">
        <v>19844618.579926498</v>
      </c>
      <c r="R108" s="17">
        <v>17131050.3985737</v>
      </c>
      <c r="S108" s="17">
        <v>20378978.435029101</v>
      </c>
      <c r="T108" s="17">
        <v>18185215.735807601</v>
      </c>
      <c r="U108" s="17">
        <v>17602536.977177601</v>
      </c>
      <c r="V108" s="17">
        <v>14043834.329562301</v>
      </c>
      <c r="W108" s="17">
        <v>17138409.732607499</v>
      </c>
      <c r="X108" s="34">
        <f>AVERAGE(L108:N108)</f>
        <v>14386341.113144265</v>
      </c>
      <c r="Y108" s="34">
        <f>AVERAGE(O108:Q108)</f>
        <v>19918053.718042467</v>
      </c>
      <c r="Z108" s="40">
        <f>Y108/X108</f>
        <v>1.3845114307656783</v>
      </c>
      <c r="AA108" s="33">
        <f>AVERAGE(R108:T108)</f>
        <v>18565081.523136798</v>
      </c>
      <c r="AB108" s="33">
        <f>AVERAGE(U108:W108)</f>
        <v>16261593.679782467</v>
      </c>
      <c r="AC108" s="39">
        <f>AB108/AA108</f>
        <v>0.8759236343517478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</row>
    <row r="109" spans="1:89">
      <c r="A109" s="1" t="s">
        <v>386</v>
      </c>
      <c r="B109" s="1" t="s">
        <v>387</v>
      </c>
      <c r="C109" s="1" t="s">
        <v>388</v>
      </c>
      <c r="D109" s="1">
        <v>-1.41</v>
      </c>
      <c r="E109" s="1">
        <v>238.07389000000001</v>
      </c>
      <c r="F109" s="1">
        <v>1.1040000000000001</v>
      </c>
      <c r="G109" s="17">
        <f>AVERAGE(L109:W109)</f>
        <v>2558744.8522255952</v>
      </c>
      <c r="H109" s="17">
        <v>51076026.442884997</v>
      </c>
      <c r="I109" s="17" t="e">
        <f>G109/#REF!</f>
        <v>#REF!</v>
      </c>
      <c r="J109" s="17" t="e">
        <f>H109/#REF!</f>
        <v>#REF!</v>
      </c>
      <c r="K109" s="1">
        <v>68.5</v>
      </c>
      <c r="L109" s="17">
        <v>1295452.30507334</v>
      </c>
      <c r="M109" s="17">
        <v>2142777.2935657501</v>
      </c>
      <c r="N109" s="17">
        <v>1343740.03839786</v>
      </c>
      <c r="O109" s="17">
        <v>2654965.6774201901</v>
      </c>
      <c r="P109" s="17">
        <v>1224899.34852198</v>
      </c>
      <c r="Q109" s="17">
        <v>1538437.9559090701</v>
      </c>
      <c r="R109" s="17">
        <v>3759359.6446292801</v>
      </c>
      <c r="S109" s="17">
        <v>4954288.2843159102</v>
      </c>
      <c r="T109" s="17">
        <v>2219437.5693370299</v>
      </c>
      <c r="U109" s="17">
        <v>1605440.3032994701</v>
      </c>
      <c r="V109" s="17">
        <v>6395499.6243118597</v>
      </c>
      <c r="W109" s="17">
        <v>1570640.1819253999</v>
      </c>
      <c r="X109" s="34">
        <f>AVERAGE(L109:N109)</f>
        <v>1593989.8790123167</v>
      </c>
      <c r="Y109" s="34">
        <f>AVERAGE(O109:Q109)</f>
        <v>1806100.9939504135</v>
      </c>
      <c r="Z109" s="40">
        <f>Y109/X109</f>
        <v>1.1330692984509583</v>
      </c>
      <c r="AA109" s="33">
        <f>AVERAGE(R109:T109)</f>
        <v>3644361.8327607401</v>
      </c>
      <c r="AB109" s="33">
        <f>AVERAGE(U109:W109)</f>
        <v>3190526.7031789101</v>
      </c>
      <c r="AC109" s="39">
        <f>AB109/AA109</f>
        <v>0.87546924525931802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</row>
    <row r="110" spans="1:89" s="25" customFormat="1">
      <c r="A110" s="1" t="s">
        <v>272</v>
      </c>
      <c r="B110" s="1" t="s">
        <v>273</v>
      </c>
      <c r="C110" s="1" t="s">
        <v>274</v>
      </c>
      <c r="D110" s="1">
        <v>-0.7</v>
      </c>
      <c r="E110" s="1">
        <v>120.05743</v>
      </c>
      <c r="F110" s="1">
        <v>1.002</v>
      </c>
      <c r="G110" s="17">
        <f>AVERAGE(L110:W110)</f>
        <v>12946989.40023764</v>
      </c>
      <c r="H110" s="17">
        <v>23663280.736215301</v>
      </c>
      <c r="I110" s="17" t="e">
        <f>G110/#REF!</f>
        <v>#REF!</v>
      </c>
      <c r="J110" s="17" t="e">
        <f>H110/#REF!</f>
        <v>#REF!</v>
      </c>
      <c r="K110" s="1">
        <v>74.400000000000006</v>
      </c>
      <c r="L110" s="17">
        <v>13137939.9177095</v>
      </c>
      <c r="M110" s="17">
        <v>21485327.530802902</v>
      </c>
      <c r="N110" s="17">
        <v>16473260.0760653</v>
      </c>
      <c r="O110" s="17">
        <v>15216261.227291699</v>
      </c>
      <c r="P110" s="17">
        <v>16402411.1703698</v>
      </c>
      <c r="Q110" s="17">
        <v>16725486.276564401</v>
      </c>
      <c r="R110" s="17">
        <v>10475019.343353599</v>
      </c>
      <c r="S110" s="17">
        <v>11234157.187458999</v>
      </c>
      <c r="T110" s="17">
        <v>8111220.70546884</v>
      </c>
      <c r="U110" s="17">
        <v>8232923.1441304097</v>
      </c>
      <c r="V110" s="17">
        <v>9170773.4871159103</v>
      </c>
      <c r="W110" s="17">
        <v>8699092.7365202792</v>
      </c>
      <c r="X110" s="34">
        <f>AVERAGE(L110:N110)</f>
        <v>17032175.841525901</v>
      </c>
      <c r="Y110" s="34">
        <f>AVERAGE(O110:Q110)</f>
        <v>16114719.558075299</v>
      </c>
      <c r="Z110" s="40">
        <f>Y110/X110</f>
        <v>0.94613393544154445</v>
      </c>
      <c r="AA110" s="33">
        <f>AVERAGE(R110:T110)</f>
        <v>9940132.4120938126</v>
      </c>
      <c r="AB110" s="33">
        <f>AVERAGE(U110:W110)</f>
        <v>8700929.7892555334</v>
      </c>
      <c r="AC110" s="39">
        <f>AB110/AA110</f>
        <v>0.87533338878558753</v>
      </c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</row>
    <row r="111" spans="1:89" s="22" customFormat="1">
      <c r="A111" s="1" t="s">
        <v>251</v>
      </c>
      <c r="B111" s="1" t="s">
        <v>252</v>
      </c>
      <c r="C111" s="1" t="s">
        <v>253</v>
      </c>
      <c r="D111" s="1">
        <v>-0.94</v>
      </c>
      <c r="E111" s="1">
        <v>143.09449000000001</v>
      </c>
      <c r="F111" s="1">
        <v>3.7309999999999999</v>
      </c>
      <c r="G111" s="17">
        <f>AVERAGE(L111:W111)</f>
        <v>17630471.183126513</v>
      </c>
      <c r="H111" s="17">
        <v>34071033.590477303</v>
      </c>
      <c r="I111" s="17" t="e">
        <f>G111/#REF!</f>
        <v>#REF!</v>
      </c>
      <c r="J111" s="17" t="e">
        <f>H111/#REF!</f>
        <v>#REF!</v>
      </c>
      <c r="K111" s="1" t="s">
        <v>254</v>
      </c>
      <c r="L111" s="17">
        <v>4046899.1955459402</v>
      </c>
      <c r="M111" s="17">
        <v>5728355.4100309201</v>
      </c>
      <c r="N111" s="17">
        <v>5466651.06142125</v>
      </c>
      <c r="O111" s="17">
        <v>14795135.1775245</v>
      </c>
      <c r="P111" s="17">
        <v>10358602.368329599</v>
      </c>
      <c r="Q111" s="17">
        <v>4201471.9877459602</v>
      </c>
      <c r="R111" s="17">
        <v>33483030.323604099</v>
      </c>
      <c r="S111" s="17">
        <v>23081075.615043901</v>
      </c>
      <c r="T111" s="17">
        <v>34071033.590477303</v>
      </c>
      <c r="U111" s="17">
        <v>24859883.6730843</v>
      </c>
      <c r="V111" s="17">
        <v>22379987.568987299</v>
      </c>
      <c r="W111" s="17">
        <v>29093528.225723099</v>
      </c>
      <c r="X111" s="34">
        <f>AVERAGE(L111:N111)</f>
        <v>5080635.2223327039</v>
      </c>
      <c r="Y111" s="34">
        <f>AVERAGE(O111:Q111)</f>
        <v>9785069.8445333522</v>
      </c>
      <c r="Z111" s="40">
        <f>Y111/X111</f>
        <v>1.9259540227414067</v>
      </c>
      <c r="AA111" s="33">
        <f>AVERAGE(R111:T111)</f>
        <v>30211713.176375102</v>
      </c>
      <c r="AB111" s="33">
        <f>AVERAGE(U111:W111)</f>
        <v>25444466.489264902</v>
      </c>
      <c r="AC111" s="39">
        <f>AB111/AA111</f>
        <v>0.84220535064399848</v>
      </c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</row>
    <row r="112" spans="1:89">
      <c r="A112" s="20" t="s">
        <v>195</v>
      </c>
      <c r="B112" s="20" t="s">
        <v>196</v>
      </c>
      <c r="C112" s="20" t="s">
        <v>155</v>
      </c>
      <c r="D112" s="20">
        <v>-1.43</v>
      </c>
      <c r="E112" s="20">
        <v>192.02672999999999</v>
      </c>
      <c r="F112" s="20">
        <v>8.5419999999999998</v>
      </c>
      <c r="G112" s="21">
        <f>AVERAGE(L112:W112)</f>
        <v>31534660.118448734</v>
      </c>
      <c r="H112" s="21">
        <v>54471466.664724499</v>
      </c>
      <c r="I112" s="21" t="e">
        <f>G112/#REF!</f>
        <v>#REF!</v>
      </c>
      <c r="J112" s="21" t="e">
        <f>H112/#REF!</f>
        <v>#REF!</v>
      </c>
      <c r="K112" s="20">
        <v>93.4</v>
      </c>
      <c r="L112" s="21">
        <v>16827344.802733701</v>
      </c>
      <c r="M112" s="21">
        <v>43078494.519342802</v>
      </c>
      <c r="N112" s="21">
        <v>35704455.962901197</v>
      </c>
      <c r="O112" s="21">
        <v>34468422.253389001</v>
      </c>
      <c r="P112" s="21">
        <v>34513498.563921101</v>
      </c>
      <c r="Q112" s="21">
        <v>30655448.068611301</v>
      </c>
      <c r="R112" s="21">
        <v>27421093.383430701</v>
      </c>
      <c r="S112" s="21">
        <v>37182667.451168902</v>
      </c>
      <c r="T112" s="21">
        <v>35338587.314889699</v>
      </c>
      <c r="U112" s="21">
        <v>27732868.677692</v>
      </c>
      <c r="V112" s="21">
        <v>24745088.72772</v>
      </c>
      <c r="W112" s="21">
        <v>30747951.695584401</v>
      </c>
      <c r="X112" s="34">
        <f>AVERAGE(L112:N112)</f>
        <v>31870098.428325903</v>
      </c>
      <c r="Y112" s="34">
        <f>AVERAGE(O112:Q112)</f>
        <v>33212456.29530713</v>
      </c>
      <c r="Z112" s="40">
        <f>Y112/X112</f>
        <v>1.0421196649266746</v>
      </c>
      <c r="AA112" s="33">
        <f>AVERAGE(R112:T112)</f>
        <v>33314116.049829766</v>
      </c>
      <c r="AB112" s="33">
        <f>AVERAGE(U112:W112)</f>
        <v>27741969.700332135</v>
      </c>
      <c r="AC112" s="39">
        <f>AB112/AA112</f>
        <v>0.83273918055748308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</row>
    <row r="113" spans="1:89">
      <c r="A113" s="1" t="s">
        <v>407</v>
      </c>
      <c r="B113" s="1" t="s">
        <v>408</v>
      </c>
      <c r="C113" s="1" t="s">
        <v>409</v>
      </c>
      <c r="D113" s="1">
        <v>-0.53</v>
      </c>
      <c r="E113" s="1">
        <v>169.08503999999999</v>
      </c>
      <c r="F113" s="1">
        <v>10.295999999999999</v>
      </c>
      <c r="G113" s="17">
        <f>AVERAGE(L113:W113)</f>
        <v>5452870.5195551766</v>
      </c>
      <c r="H113" s="17">
        <v>16460651.333241001</v>
      </c>
      <c r="I113" s="17" t="e">
        <f>G113/#REF!</f>
        <v>#REF!</v>
      </c>
      <c r="J113" s="17" t="e">
        <f>H113/#REF!</f>
        <v>#REF!</v>
      </c>
      <c r="K113" s="1">
        <v>71.5</v>
      </c>
      <c r="L113" s="17">
        <v>1105972.4335892</v>
      </c>
      <c r="M113" s="17">
        <v>1585663.4929967399</v>
      </c>
      <c r="N113" s="17">
        <v>958698.06472831999</v>
      </c>
      <c r="O113" s="17">
        <v>3067917.2037807298</v>
      </c>
      <c r="P113" s="17">
        <v>4587667.0500848303</v>
      </c>
      <c r="Q113" s="17">
        <v>13471013.259011099</v>
      </c>
      <c r="R113" s="17">
        <v>13311413.1032071</v>
      </c>
      <c r="S113" s="17">
        <v>2146377.3387368699</v>
      </c>
      <c r="T113" s="17">
        <v>6811481.42872582</v>
      </c>
      <c r="U113" s="17">
        <v>6166475.1446031099</v>
      </c>
      <c r="V113" s="17">
        <v>6231655.9937089402</v>
      </c>
      <c r="W113" s="17">
        <v>5990111.7214893699</v>
      </c>
      <c r="X113" s="34">
        <f>AVERAGE(L113:N113)</f>
        <v>1216777.9971047533</v>
      </c>
      <c r="Y113" s="34">
        <f>AVERAGE(O113:Q113)</f>
        <v>7042199.1709588869</v>
      </c>
      <c r="Z113" s="40">
        <f>Y113/X113</f>
        <v>5.7875793182613071</v>
      </c>
      <c r="AA113" s="33">
        <f>AVERAGE(R113:T113)</f>
        <v>7423090.6235565962</v>
      </c>
      <c r="AB113" s="33">
        <f>AVERAGE(U113:W113)</f>
        <v>6129414.2866004733</v>
      </c>
      <c r="AC113" s="39">
        <f>AB113/AA113</f>
        <v>0.82572268040878516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</row>
    <row r="114" spans="1:89">
      <c r="A114" s="1" t="s">
        <v>90</v>
      </c>
      <c r="B114" s="1" t="s">
        <v>91</v>
      </c>
      <c r="C114" s="1" t="s">
        <v>45</v>
      </c>
      <c r="D114" s="1">
        <v>-2.25</v>
      </c>
      <c r="E114" s="1">
        <v>129.04230000000001</v>
      </c>
      <c r="F114" s="1">
        <v>1.764</v>
      </c>
      <c r="G114" s="17">
        <f>AVERAGE(L114:W114)</f>
        <v>113352298.48638117</v>
      </c>
      <c r="H114" s="17">
        <v>189427711.90052399</v>
      </c>
      <c r="I114" s="17" t="e">
        <f>G114/#REF!</f>
        <v>#REF!</v>
      </c>
      <c r="J114" s="17" t="e">
        <f>H114/#REF!</f>
        <v>#REF!</v>
      </c>
      <c r="K114" s="1">
        <v>83.8</v>
      </c>
      <c r="L114" s="17">
        <v>134006811.703796</v>
      </c>
      <c r="M114" s="17">
        <v>164180196.96954101</v>
      </c>
      <c r="N114" s="17">
        <v>102308839.135833</v>
      </c>
      <c r="O114" s="17">
        <v>189427711.90052399</v>
      </c>
      <c r="P114" s="17">
        <v>106983602.80212399</v>
      </c>
      <c r="Q114" s="17">
        <v>120675769.471325</v>
      </c>
      <c r="R114" s="17">
        <v>75172720.480045393</v>
      </c>
      <c r="S114" s="17">
        <v>143850751.48045799</v>
      </c>
      <c r="T114" s="17">
        <v>79543264.433226794</v>
      </c>
      <c r="U114" s="17">
        <v>85268777.626215994</v>
      </c>
      <c r="V114" s="17">
        <v>94990669.603528902</v>
      </c>
      <c r="W114" s="17">
        <v>63818466.229956001</v>
      </c>
      <c r="X114" s="34">
        <f>AVERAGE(L114:N114)</f>
        <v>133498615.93639</v>
      </c>
      <c r="Y114" s="34">
        <f>AVERAGE(O114:Q114)</f>
        <v>139029028.057991</v>
      </c>
      <c r="Z114" s="40">
        <f>Y114/X114</f>
        <v>1.0414267375194073</v>
      </c>
      <c r="AA114" s="33">
        <f>AVERAGE(R114:T114)</f>
        <v>99522245.464576721</v>
      </c>
      <c r="AB114" s="33">
        <f>AVERAGE(U114:W114)</f>
        <v>81359304.486566976</v>
      </c>
      <c r="AC114" s="39">
        <f>AB114/AA114</f>
        <v>0.81749868189545083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</row>
    <row r="115" spans="1:89">
      <c r="A115" s="1" t="s">
        <v>257</v>
      </c>
      <c r="B115" s="1" t="s">
        <v>258</v>
      </c>
      <c r="C115" s="1" t="s">
        <v>259</v>
      </c>
      <c r="D115" s="1">
        <v>-0.09</v>
      </c>
      <c r="E115" s="1">
        <v>189.06370999999999</v>
      </c>
      <c r="F115" s="1">
        <v>8.952</v>
      </c>
      <c r="G115" s="17">
        <f>AVERAGE(L115:W115)</f>
        <v>16917842.031915471</v>
      </c>
      <c r="H115" s="17">
        <v>27186604.725554999</v>
      </c>
      <c r="I115" s="17" t="e">
        <f>G115/#REF!</f>
        <v>#REF!</v>
      </c>
      <c r="J115" s="17" t="e">
        <f>H115/#REF!</f>
        <v>#REF!</v>
      </c>
      <c r="K115" s="1">
        <v>75.2</v>
      </c>
      <c r="L115" s="17">
        <v>12926625.9367062</v>
      </c>
      <c r="M115" s="17">
        <v>13651325.714539601</v>
      </c>
      <c r="N115" s="17">
        <v>8866071.1501341593</v>
      </c>
      <c r="O115" s="17">
        <v>14686227.104098899</v>
      </c>
      <c r="P115" s="17">
        <v>13729288.6518755</v>
      </c>
      <c r="Q115" s="17">
        <v>27186604.725554999</v>
      </c>
      <c r="R115" s="17">
        <v>15734126.828639301</v>
      </c>
      <c r="S115" s="17">
        <v>21699061.507106598</v>
      </c>
      <c r="T115" s="17">
        <v>24294095.7889321</v>
      </c>
      <c r="U115" s="17">
        <v>14566445.225866901</v>
      </c>
      <c r="V115" s="17">
        <v>17758564.396167401</v>
      </c>
      <c r="W115" s="17">
        <v>17915667.353363998</v>
      </c>
      <c r="X115" s="34">
        <f>AVERAGE(L115:N115)</f>
        <v>11814674.267126655</v>
      </c>
      <c r="Y115" s="34">
        <f>AVERAGE(O115:Q115)</f>
        <v>18534040.160509799</v>
      </c>
      <c r="Z115" s="40">
        <f>Y115/X115</f>
        <v>1.5687305245544703</v>
      </c>
      <c r="AA115" s="33">
        <f>AVERAGE(R115:T115)</f>
        <v>20575761.374892667</v>
      </c>
      <c r="AB115" s="33">
        <f>AVERAGE(U115:W115)</f>
        <v>16746892.325132767</v>
      </c>
      <c r="AC115" s="39">
        <f>AB115/AA115</f>
        <v>0.81391361515146488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</row>
    <row r="116" spans="1:89">
      <c r="A116" s="1" t="s">
        <v>437</v>
      </c>
      <c r="B116" s="1" t="s">
        <v>438</v>
      </c>
      <c r="C116" s="1" t="s">
        <v>439</v>
      </c>
      <c r="D116" s="1">
        <v>-1.37</v>
      </c>
      <c r="E116" s="1">
        <v>334.05614000000003</v>
      </c>
      <c r="F116" s="1">
        <v>10.574</v>
      </c>
      <c r="G116" s="17">
        <f>AVERAGE(L116:W116)</f>
        <v>3778686.562252806</v>
      </c>
      <c r="H116" s="17">
        <v>9315873.0919484906</v>
      </c>
      <c r="I116" s="17" t="e">
        <f>G116/#REF!</f>
        <v>#REF!</v>
      </c>
      <c r="J116" s="17" t="e">
        <f>H116/#REF!</f>
        <v>#REF!</v>
      </c>
      <c r="K116" s="1">
        <v>84.6</v>
      </c>
      <c r="L116" s="17">
        <v>2468617.5008016299</v>
      </c>
      <c r="M116" s="17">
        <v>1792053.7544128399</v>
      </c>
      <c r="N116" s="17">
        <v>1612995.79912644</v>
      </c>
      <c r="O116" s="17">
        <v>1781539.33113152</v>
      </c>
      <c r="P116" s="17">
        <v>1697417.79628546</v>
      </c>
      <c r="Q116" s="17">
        <v>1504350.18600638</v>
      </c>
      <c r="R116" s="17">
        <v>5989548.5269731898</v>
      </c>
      <c r="S116" s="17">
        <v>3842666.0042354199</v>
      </c>
      <c r="T116" s="17">
        <v>9315873.0919484906</v>
      </c>
      <c r="U116" s="17">
        <v>5189882.0443238104</v>
      </c>
      <c r="V116" s="17">
        <v>4351815.4973574197</v>
      </c>
      <c r="W116" s="17">
        <v>5797479.2144310698</v>
      </c>
      <c r="X116" s="34">
        <f>AVERAGE(L116:N116)</f>
        <v>1957889.0181136364</v>
      </c>
      <c r="Y116" s="34">
        <f>AVERAGE(O116:Q116)</f>
        <v>1661102.4378077865</v>
      </c>
      <c r="Z116" s="40">
        <f>Y116/X116</f>
        <v>0.84841501353749138</v>
      </c>
      <c r="AA116" s="33">
        <f>AVERAGE(R116:T116)</f>
        <v>6382695.8743856996</v>
      </c>
      <c r="AB116" s="33">
        <f>AVERAGE(U116:W116)</f>
        <v>5113058.9187041</v>
      </c>
      <c r="AC116" s="39">
        <f>AB116/AA116</f>
        <v>0.80108139559386493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</row>
    <row r="117" spans="1:89">
      <c r="A117" s="23" t="s">
        <v>344</v>
      </c>
      <c r="B117" s="23" t="s">
        <v>345</v>
      </c>
      <c r="C117" s="23" t="s">
        <v>346</v>
      </c>
      <c r="D117" s="23">
        <v>-0.63</v>
      </c>
      <c r="E117" s="23">
        <v>275.11156</v>
      </c>
      <c r="F117" s="23">
        <v>8.8260000000000005</v>
      </c>
      <c r="G117" s="24">
        <f>AVERAGE(L117:W117)</f>
        <v>9778395.4501750413</v>
      </c>
      <c r="H117" s="24">
        <v>17095863.7291186</v>
      </c>
      <c r="I117" s="24" t="e">
        <f>G117/#REF!</f>
        <v>#REF!</v>
      </c>
      <c r="J117" s="24" t="e">
        <f>H117/#REF!</f>
        <v>#REF!</v>
      </c>
      <c r="K117" s="23">
        <v>60.2</v>
      </c>
      <c r="L117" s="24">
        <v>7869364.3393551297</v>
      </c>
      <c r="M117" s="24">
        <v>7344501.8612918798</v>
      </c>
      <c r="N117" s="24">
        <v>5042160.3538119504</v>
      </c>
      <c r="O117" s="24">
        <v>6092376.3633728102</v>
      </c>
      <c r="P117" s="24">
        <v>9438054.7068795506</v>
      </c>
      <c r="Q117" s="24">
        <v>10704874.8655384</v>
      </c>
      <c r="R117" s="24">
        <v>10171105.961727601</v>
      </c>
      <c r="S117" s="24">
        <v>12107852.446649101</v>
      </c>
      <c r="T117" s="24">
        <v>17095863.7291186</v>
      </c>
      <c r="U117" s="24">
        <v>9063111.3456200995</v>
      </c>
      <c r="V117" s="24">
        <v>12515380.6704694</v>
      </c>
      <c r="W117" s="24">
        <v>9896098.7582659703</v>
      </c>
      <c r="X117" s="34">
        <f>AVERAGE(L117:N117)</f>
        <v>6752008.8514863206</v>
      </c>
      <c r="Y117" s="34">
        <f>AVERAGE(O117:Q117)</f>
        <v>8745101.9785969201</v>
      </c>
      <c r="Z117" s="40">
        <f>Y117/X117</f>
        <v>1.2951852064992273</v>
      </c>
      <c r="AA117" s="33">
        <f>AVERAGE(R117:T117)</f>
        <v>13124940.712498434</v>
      </c>
      <c r="AB117" s="33">
        <f>AVERAGE(U117:W117)</f>
        <v>10491530.25811849</v>
      </c>
      <c r="AC117" s="39">
        <f>AB117/AA117</f>
        <v>0.799358297148555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</row>
    <row r="118" spans="1:89">
      <c r="A118" s="1" t="s">
        <v>434</v>
      </c>
      <c r="B118" s="1" t="s">
        <v>435</v>
      </c>
      <c r="C118" s="1" t="s">
        <v>436</v>
      </c>
      <c r="D118" s="1">
        <v>-0.5</v>
      </c>
      <c r="E118" s="1">
        <v>150.05275</v>
      </c>
      <c r="F118" s="1">
        <v>3.5990000000000002</v>
      </c>
      <c r="G118" s="17">
        <f>AVERAGE(L118:W118)</f>
        <v>3651791.466190448</v>
      </c>
      <c r="H118" s="17">
        <v>7545444.8674894599</v>
      </c>
      <c r="I118" s="17" t="e">
        <f>G118/#REF!</f>
        <v>#REF!</v>
      </c>
      <c r="J118" s="17" t="e">
        <f>H118/#REF!</f>
        <v>#REF!</v>
      </c>
      <c r="K118" s="1">
        <v>68.2</v>
      </c>
      <c r="L118" s="17">
        <v>4471229.44368775</v>
      </c>
      <c r="M118" s="17">
        <v>3999025.3520590998</v>
      </c>
      <c r="N118" s="17">
        <v>7545444.8674894599</v>
      </c>
      <c r="O118" s="17">
        <v>5848364.6097747302</v>
      </c>
      <c r="P118" s="17">
        <v>2017508.0950286801</v>
      </c>
      <c r="Q118" s="17">
        <v>941287.90925967705</v>
      </c>
      <c r="R118" s="17">
        <v>1054088.5947988699</v>
      </c>
      <c r="S118" s="17">
        <v>4674104.3626316302</v>
      </c>
      <c r="T118" s="17">
        <v>4862137.1958203204</v>
      </c>
      <c r="U118" s="17">
        <v>3153668.9487231802</v>
      </c>
      <c r="V118" s="17">
        <v>3739867.00473744</v>
      </c>
      <c r="W118" s="17">
        <v>1514771.2102745399</v>
      </c>
      <c r="X118" s="34">
        <f>AVERAGE(L118:N118)</f>
        <v>5338566.5544121033</v>
      </c>
      <c r="Y118" s="34">
        <f>AVERAGE(O118:Q118)</f>
        <v>2935720.204687696</v>
      </c>
      <c r="Z118" s="40">
        <f>Y118/X118</f>
        <v>0.54990795277459736</v>
      </c>
      <c r="AA118" s="33">
        <f>AVERAGE(R118:T118)</f>
        <v>3530110.0510836071</v>
      </c>
      <c r="AB118" s="33">
        <f>AVERAGE(U118:W118)</f>
        <v>2802769.0545783867</v>
      </c>
      <c r="AC118" s="39">
        <f>AB118/AA118</f>
        <v>0.79396081539102303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</row>
    <row r="119" spans="1:89">
      <c r="A119" s="1" t="s">
        <v>209</v>
      </c>
      <c r="B119" s="1" t="s">
        <v>210</v>
      </c>
      <c r="C119" s="1" t="s">
        <v>211</v>
      </c>
      <c r="D119" s="1">
        <v>2.65</v>
      </c>
      <c r="E119" s="1">
        <v>215.1891</v>
      </c>
      <c r="F119" s="1">
        <v>1.081</v>
      </c>
      <c r="G119" s="17">
        <f>AVERAGE(L119:W119)</f>
        <v>28067933.781743091</v>
      </c>
      <c r="H119" s="17">
        <v>44117526.904407904</v>
      </c>
      <c r="I119" s="17" t="e">
        <f>G119/#REF!</f>
        <v>#REF!</v>
      </c>
      <c r="J119" s="17" t="e">
        <f>H119/#REF!</f>
        <v>#REF!</v>
      </c>
      <c r="K119" s="1">
        <v>69.599999999999994</v>
      </c>
      <c r="L119" s="17">
        <v>20509629.4715949</v>
      </c>
      <c r="M119" s="17">
        <v>29760636.014489699</v>
      </c>
      <c r="N119" s="17">
        <v>39398726.438359201</v>
      </c>
      <c r="O119" s="17">
        <v>44117526.904407904</v>
      </c>
      <c r="P119" s="17">
        <v>28355221.336435501</v>
      </c>
      <c r="Q119" s="17">
        <v>28711240.463926401</v>
      </c>
      <c r="R119" s="17">
        <v>26162914.889679499</v>
      </c>
      <c r="S119" s="17">
        <v>20104001.877620298</v>
      </c>
      <c r="T119" s="17">
        <v>35243594.725829802</v>
      </c>
      <c r="U119" s="17">
        <v>22022677.149472401</v>
      </c>
      <c r="V119" s="17">
        <v>19650281.4914071</v>
      </c>
      <c r="W119" s="17">
        <v>22778754.6176944</v>
      </c>
      <c r="X119" s="34">
        <f>AVERAGE(L119:N119)</f>
        <v>29889663.974814598</v>
      </c>
      <c r="Y119" s="34">
        <f>AVERAGE(O119:Q119)</f>
        <v>33727996.234923266</v>
      </c>
      <c r="Z119" s="40">
        <f>Y119/X119</f>
        <v>1.1284167083090293</v>
      </c>
      <c r="AA119" s="33">
        <f>AVERAGE(R119:T119)</f>
        <v>27170170.49770987</v>
      </c>
      <c r="AB119" s="33">
        <f>AVERAGE(U119:W119)</f>
        <v>21483904.419524632</v>
      </c>
      <c r="AC119" s="39">
        <f>AB119/AA119</f>
        <v>0.79071658462119243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</row>
    <row r="120" spans="1:89">
      <c r="A120" s="1" t="s">
        <v>472</v>
      </c>
      <c r="B120" s="1" t="s">
        <v>473</v>
      </c>
      <c r="C120" s="1" t="s">
        <v>474</v>
      </c>
      <c r="D120" s="1">
        <v>-0.33</v>
      </c>
      <c r="E120" s="1">
        <v>188.12726000000001</v>
      </c>
      <c r="F120" s="1">
        <v>10.41</v>
      </c>
      <c r="G120" s="17">
        <f>AVERAGE(L120:W120)</f>
        <v>1890602.709352222</v>
      </c>
      <c r="H120" s="17">
        <v>4069085.5183561598</v>
      </c>
      <c r="I120" s="17" t="e">
        <f>G120/#REF!</f>
        <v>#REF!</v>
      </c>
      <c r="J120" s="17" t="e">
        <f>H120/#REF!</f>
        <v>#REF!</v>
      </c>
      <c r="K120" s="1">
        <v>65.5</v>
      </c>
      <c r="L120" s="17">
        <v>851236.40455929795</v>
      </c>
      <c r="M120" s="17">
        <v>2241726.2527781702</v>
      </c>
      <c r="N120" s="17">
        <v>1182257.1692131299</v>
      </c>
      <c r="O120" s="17">
        <v>854488.13351975603</v>
      </c>
      <c r="P120" s="17">
        <v>559531.86212647206</v>
      </c>
      <c r="Q120" s="17">
        <v>596221.88847465499</v>
      </c>
      <c r="R120" s="17">
        <v>2001812.93734918</v>
      </c>
      <c r="S120" s="17">
        <v>4069085.5183561598</v>
      </c>
      <c r="T120" s="17">
        <v>3144962.2339070998</v>
      </c>
      <c r="U120" s="17">
        <v>2482555.5946709299</v>
      </c>
      <c r="V120" s="17">
        <v>2403466.7606125199</v>
      </c>
      <c r="W120" s="17">
        <v>2299887.7566592898</v>
      </c>
      <c r="X120" s="34">
        <f>AVERAGE(L120:N120)</f>
        <v>1425073.275516866</v>
      </c>
      <c r="Y120" s="34">
        <f>AVERAGE(O120:Q120)</f>
        <v>670080.62804029428</v>
      </c>
      <c r="Z120" s="40">
        <f>Y120/X120</f>
        <v>0.47020784092471302</v>
      </c>
      <c r="AA120" s="33">
        <f>AVERAGE(R120:T120)</f>
        <v>3071953.5632041469</v>
      </c>
      <c r="AB120" s="33">
        <f>AVERAGE(U120:W120)</f>
        <v>2395303.3706475799</v>
      </c>
      <c r="AC120" s="39">
        <f>AB120/AA120</f>
        <v>0.77973293585505932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</row>
    <row r="121" spans="1:89">
      <c r="A121" s="1" t="s">
        <v>516</v>
      </c>
      <c r="B121" s="1" t="s">
        <v>517</v>
      </c>
      <c r="C121" s="1" t="s">
        <v>518</v>
      </c>
      <c r="D121" s="1">
        <v>-3.26</v>
      </c>
      <c r="E121" s="1">
        <v>108.03267</v>
      </c>
      <c r="F121" s="1">
        <v>10.760999999999999</v>
      </c>
      <c r="G121" s="17">
        <f>AVERAGE(L121:W121)</f>
        <v>61849.582665625348</v>
      </c>
      <c r="H121" s="17">
        <v>531674.61947260494</v>
      </c>
      <c r="I121" s="17" t="e">
        <f>G121/#REF!</f>
        <v>#REF!</v>
      </c>
      <c r="J121" s="17" t="e">
        <f>H121/#REF!</f>
        <v>#REF!</v>
      </c>
      <c r="K121" s="1">
        <v>63.2</v>
      </c>
      <c r="L121" s="17">
        <v>87300.842173490004</v>
      </c>
      <c r="M121" s="17">
        <v>49014.405251682401</v>
      </c>
      <c r="N121" s="17">
        <v>27897.8782194794</v>
      </c>
      <c r="O121" s="17">
        <v>33615.207608164797</v>
      </c>
      <c r="P121" s="17">
        <v>77885.982867755607</v>
      </c>
      <c r="Q121" s="17">
        <v>199936.80566731101</v>
      </c>
      <c r="R121" s="17">
        <v>32964.272263247301</v>
      </c>
      <c r="S121" s="17">
        <v>28417.708910244601</v>
      </c>
      <c r="T121" s="17">
        <v>88412.415449226304</v>
      </c>
      <c r="U121" s="17">
        <v>52542.310850305497</v>
      </c>
      <c r="V121" s="17">
        <v>31759.511361055698</v>
      </c>
      <c r="W121" s="17">
        <v>32447.651365541598</v>
      </c>
      <c r="X121" s="34">
        <f>AVERAGE(L121:N121)</f>
        <v>54737.708548217277</v>
      </c>
      <c r="Y121" s="34">
        <f>AVERAGE(O121:Q121)</f>
        <v>103812.66538107714</v>
      </c>
      <c r="Z121" s="40">
        <f>Y121/X121</f>
        <v>1.8965475196980666</v>
      </c>
      <c r="AA121" s="33">
        <f>AVERAGE(R121:T121)</f>
        <v>49931.465540906065</v>
      </c>
      <c r="AB121" s="33">
        <f>AVERAGE(U121:W121)</f>
        <v>38916.491192300928</v>
      </c>
      <c r="AC121" s="39">
        <f>AB121/AA121</f>
        <v>0.77939813644001332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</row>
    <row r="122" spans="1:89">
      <c r="A122" s="1" t="s">
        <v>206</v>
      </c>
      <c r="B122" s="1" t="s">
        <v>207</v>
      </c>
      <c r="C122" s="1" t="s">
        <v>208</v>
      </c>
      <c r="D122" s="1">
        <v>-1.52</v>
      </c>
      <c r="E122" s="1">
        <v>189.09981999999999</v>
      </c>
      <c r="F122" s="1">
        <v>7.3</v>
      </c>
      <c r="G122" s="17">
        <f>AVERAGE(L122:W122)</f>
        <v>30154200.492421586</v>
      </c>
      <c r="H122" s="17">
        <v>69424734.685481697</v>
      </c>
      <c r="I122" s="17" t="e">
        <f>G122/#REF!</f>
        <v>#REF!</v>
      </c>
      <c r="J122" s="17" t="e">
        <f>H122/#REF!</f>
        <v>#REF!</v>
      </c>
      <c r="K122" s="1">
        <v>61.3</v>
      </c>
      <c r="L122" s="17">
        <v>7187085.2921154397</v>
      </c>
      <c r="M122" s="17">
        <v>8609659.0803033393</v>
      </c>
      <c r="N122" s="17">
        <v>24396415.710083399</v>
      </c>
      <c r="O122" s="17">
        <v>69424734.685481697</v>
      </c>
      <c r="P122" s="17">
        <v>67794763.621030599</v>
      </c>
      <c r="Q122" s="17">
        <v>8585523.8031493109</v>
      </c>
      <c r="R122" s="17">
        <v>46855030.194251001</v>
      </c>
      <c r="S122" s="17">
        <v>33119193.423620299</v>
      </c>
      <c r="T122" s="17">
        <v>19114998.6207885</v>
      </c>
      <c r="U122" s="17">
        <v>29980762.138951</v>
      </c>
      <c r="V122" s="17">
        <v>20310341.676099099</v>
      </c>
      <c r="W122" s="17">
        <v>26471897.663185298</v>
      </c>
      <c r="X122" s="34">
        <f>AVERAGE(L122:N122)</f>
        <v>13397720.027500726</v>
      </c>
      <c r="Y122" s="34">
        <f>AVERAGE(O122:Q122)</f>
        <v>48601674.036553867</v>
      </c>
      <c r="Z122" s="40">
        <f>Y122/X122</f>
        <v>3.6276078270625165</v>
      </c>
      <c r="AA122" s="33">
        <f>AVERAGE(R122:T122)</f>
        <v>33029740.746219933</v>
      </c>
      <c r="AB122" s="33">
        <f>AVERAGE(U122:W122)</f>
        <v>25587667.159411799</v>
      </c>
      <c r="AC122" s="39">
        <f>AB122/AA122</f>
        <v>0.77468567967310376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</row>
    <row r="123" spans="1:89" s="22" customFormat="1">
      <c r="A123" s="1" t="s">
        <v>507</v>
      </c>
      <c r="B123" s="1" t="s">
        <v>508</v>
      </c>
      <c r="C123" s="1" t="s">
        <v>462</v>
      </c>
      <c r="D123" s="1">
        <v>0.44</v>
      </c>
      <c r="E123" s="1">
        <v>108.0688</v>
      </c>
      <c r="F123" s="1">
        <v>17.690999999999999</v>
      </c>
      <c r="G123" s="17">
        <f>AVERAGE(L123:W123)</f>
        <v>447642.70437762508</v>
      </c>
      <c r="H123" s="17">
        <v>2185696.8394955001</v>
      </c>
      <c r="I123" s="17" t="e">
        <f>G123/#REF!</f>
        <v>#REF!</v>
      </c>
      <c r="J123" s="17" t="e">
        <f>H123/#REF!</f>
        <v>#REF!</v>
      </c>
      <c r="K123" s="1">
        <v>67.400000000000006</v>
      </c>
      <c r="L123" s="17">
        <v>317841.34929637797</v>
      </c>
      <c r="M123" s="17">
        <v>488609.73719778098</v>
      </c>
      <c r="N123" s="17">
        <v>406465.58042675903</v>
      </c>
      <c r="O123" s="17">
        <v>425966.62924617599</v>
      </c>
      <c r="P123" s="17">
        <v>485129.26619149401</v>
      </c>
      <c r="Q123" s="17">
        <v>428655.39119059697</v>
      </c>
      <c r="R123" s="17">
        <v>499613.97779544198</v>
      </c>
      <c r="S123" s="17">
        <v>429150.39882568998</v>
      </c>
      <c r="T123" s="17">
        <v>667466.24766572297</v>
      </c>
      <c r="U123" s="17">
        <v>359744.76333921502</v>
      </c>
      <c r="V123" s="17">
        <v>434095.53809259302</v>
      </c>
      <c r="W123" s="17">
        <v>428973.57326365297</v>
      </c>
      <c r="X123" s="34">
        <f>AVERAGE(L123:N123)</f>
        <v>404305.55564030603</v>
      </c>
      <c r="Y123" s="34">
        <f>AVERAGE(O123:Q123)</f>
        <v>446583.76220942225</v>
      </c>
      <c r="Z123" s="40">
        <f>Y123/X123</f>
        <v>1.1045699372153308</v>
      </c>
      <c r="AA123" s="33">
        <f>AVERAGE(R123:T123)</f>
        <v>532076.87476228504</v>
      </c>
      <c r="AB123" s="33">
        <f>AVERAGE(U123:W123)</f>
        <v>407604.624898487</v>
      </c>
      <c r="AC123" s="39">
        <f>AB123/AA123</f>
        <v>0.76606340969167608</v>
      </c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</row>
    <row r="124" spans="1:89">
      <c r="A124" s="1" t="s">
        <v>443</v>
      </c>
      <c r="B124" s="1" t="s">
        <v>444</v>
      </c>
      <c r="C124" s="1" t="s">
        <v>445</v>
      </c>
      <c r="D124" s="1">
        <v>-0.48</v>
      </c>
      <c r="E124" s="1">
        <v>162.04284999999999</v>
      </c>
      <c r="F124" s="1">
        <v>0.92900000000000005</v>
      </c>
      <c r="G124" s="17">
        <f>AVERAGE(L124:W124)</f>
        <v>2664748.8536493187</v>
      </c>
      <c r="H124" s="17">
        <v>7116413.8321003001</v>
      </c>
      <c r="I124" s="17" t="e">
        <f>G124/#REF!</f>
        <v>#REF!</v>
      </c>
      <c r="J124" s="17" t="e">
        <f>H124/#REF!</f>
        <v>#REF!</v>
      </c>
      <c r="K124" s="1">
        <v>59.3</v>
      </c>
      <c r="L124" s="17">
        <v>1956687.62782592</v>
      </c>
      <c r="M124" s="17">
        <v>2273094.1140776998</v>
      </c>
      <c r="N124" s="17">
        <v>2448122.6917457501</v>
      </c>
      <c r="O124" s="17">
        <v>7116413.8321003001</v>
      </c>
      <c r="P124" s="17">
        <v>3708678.25273648</v>
      </c>
      <c r="Q124" s="17">
        <v>2500647.8662398499</v>
      </c>
      <c r="R124" s="17">
        <v>1503143.0096209</v>
      </c>
      <c r="S124" s="17">
        <v>2618166.81690284</v>
      </c>
      <c r="T124" s="17">
        <v>2666720.3952011201</v>
      </c>
      <c r="U124" s="17">
        <v>1615279.69845034</v>
      </c>
      <c r="V124" s="17">
        <v>1826543.11274697</v>
      </c>
      <c r="W124" s="17">
        <v>1743488.8261436599</v>
      </c>
      <c r="X124" s="34">
        <f>AVERAGE(L124:N124)</f>
        <v>2225968.1445497903</v>
      </c>
      <c r="Y124" s="34">
        <f>AVERAGE(O124:Q124)</f>
        <v>4441913.3170255432</v>
      </c>
      <c r="Z124" s="40">
        <f>Y124/X124</f>
        <v>1.9954972526904402</v>
      </c>
      <c r="AA124" s="33">
        <f>AVERAGE(R124:T124)</f>
        <v>2262676.7405749536</v>
      </c>
      <c r="AB124" s="33">
        <f>AVERAGE(U124:W124)</f>
        <v>1728437.2124469897</v>
      </c>
      <c r="AC124" s="39">
        <f>AB124/AA124</f>
        <v>0.76389047602433402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</row>
    <row r="125" spans="1:89">
      <c r="A125" s="1" t="s">
        <v>487</v>
      </c>
      <c r="B125" s="1" t="s">
        <v>488</v>
      </c>
      <c r="C125" s="1" t="s">
        <v>60</v>
      </c>
      <c r="D125" s="1">
        <v>-0.7</v>
      </c>
      <c r="E125" s="1">
        <v>342.11597</v>
      </c>
      <c r="F125" s="1">
        <v>12.441000000000001</v>
      </c>
      <c r="G125" s="17">
        <f>AVERAGE(L125:W125)</f>
        <v>1424005.2028112703</v>
      </c>
      <c r="H125" s="17">
        <v>15040498.718648899</v>
      </c>
      <c r="I125" s="17" t="e">
        <f>G125/#REF!</f>
        <v>#REF!</v>
      </c>
      <c r="J125" s="17" t="e">
        <f>H125/#REF!</f>
        <v>#REF!</v>
      </c>
      <c r="K125" s="1">
        <v>86.8</v>
      </c>
      <c r="L125" s="17">
        <v>15040498.718648899</v>
      </c>
      <c r="M125" s="17">
        <v>372247.90821638698</v>
      </c>
      <c r="N125" s="17">
        <v>185634.962396635</v>
      </c>
      <c r="O125" s="17">
        <v>237052.151558015</v>
      </c>
      <c r="P125" s="17">
        <v>240635.79725207199</v>
      </c>
      <c r="Q125" s="17">
        <v>73505.944157023099</v>
      </c>
      <c r="R125" s="17">
        <v>145659.19455559301</v>
      </c>
      <c r="S125" s="17">
        <v>118027.029924246</v>
      </c>
      <c r="T125" s="17">
        <v>268860.71482302301</v>
      </c>
      <c r="U125" s="17">
        <v>203854.85329533799</v>
      </c>
      <c r="V125" s="17">
        <v>105731.764547019</v>
      </c>
      <c r="W125" s="17">
        <v>96353.394360993407</v>
      </c>
      <c r="X125" s="34">
        <f>AVERAGE(L125:N125)</f>
        <v>5199460.5297539737</v>
      </c>
      <c r="Y125" s="34">
        <f>AVERAGE(O125:Q125)</f>
        <v>183731.29765570335</v>
      </c>
      <c r="Z125" s="40">
        <f>Y125/X125</f>
        <v>3.5336607827734984E-2</v>
      </c>
      <c r="AA125" s="33">
        <f>AVERAGE(R125:T125)</f>
        <v>177515.64643428734</v>
      </c>
      <c r="AB125" s="33">
        <f>AVERAGE(U125:W125)</f>
        <v>135313.33740111682</v>
      </c>
      <c r="AC125" s="39">
        <f>AB125/AA125</f>
        <v>0.76226146888526269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</row>
    <row r="126" spans="1:89">
      <c r="A126" s="1" t="s">
        <v>365</v>
      </c>
      <c r="B126" s="1" t="s">
        <v>366</v>
      </c>
      <c r="C126" s="1" t="s">
        <v>355</v>
      </c>
      <c r="D126" s="1">
        <v>-1.73</v>
      </c>
      <c r="E126" s="1">
        <v>230.01875999999999</v>
      </c>
      <c r="F126" s="1">
        <v>10.164</v>
      </c>
      <c r="G126" s="17">
        <f>AVERAGE(L126:W126)</f>
        <v>6594398.5252367714</v>
      </c>
      <c r="H126" s="17">
        <v>28479009.221384801</v>
      </c>
      <c r="I126" s="17" t="e">
        <f>G126/#REF!</f>
        <v>#REF!</v>
      </c>
      <c r="J126" s="17" t="e">
        <f>H126/#REF!</f>
        <v>#REF!</v>
      </c>
      <c r="K126" s="1">
        <v>94.9</v>
      </c>
      <c r="L126" s="17">
        <v>2415846.60966333</v>
      </c>
      <c r="M126" s="17">
        <v>28479009.221384801</v>
      </c>
      <c r="N126" s="17">
        <v>17991284.3692233</v>
      </c>
      <c r="O126" s="17">
        <v>2256058.33913873</v>
      </c>
      <c r="P126" s="17">
        <v>1709229.8142464601</v>
      </c>
      <c r="Q126" s="17">
        <v>1673748.4878232901</v>
      </c>
      <c r="R126" s="17">
        <v>3104742.3014910598</v>
      </c>
      <c r="S126" s="17">
        <v>9608384.4434666708</v>
      </c>
      <c r="T126" s="17">
        <v>1267093.32974201</v>
      </c>
      <c r="U126" s="17">
        <v>2479549.37436635</v>
      </c>
      <c r="V126" s="17">
        <v>3151365.8614005102</v>
      </c>
      <c r="W126" s="17">
        <v>4996470.1508947499</v>
      </c>
      <c r="X126" s="34">
        <f>AVERAGE(L126:N126)</f>
        <v>16295380.066757143</v>
      </c>
      <c r="Y126" s="34">
        <f>AVERAGE(O126:Q126)</f>
        <v>1879678.8804028267</v>
      </c>
      <c r="Z126" s="40">
        <f>Y126/X126</f>
        <v>0.11535041666425469</v>
      </c>
      <c r="AA126" s="33">
        <f>AVERAGE(R126:T126)</f>
        <v>4660073.358233247</v>
      </c>
      <c r="AB126" s="33">
        <f>AVERAGE(U126:W126)</f>
        <v>3542461.79555387</v>
      </c>
      <c r="AC126" s="39">
        <f>AB126/AA126</f>
        <v>0.76017296794162659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</row>
    <row r="127" spans="1:89">
      <c r="A127" s="1" t="s">
        <v>447</v>
      </c>
      <c r="B127" s="1" t="s">
        <v>448</v>
      </c>
      <c r="C127" s="1" t="s">
        <v>449</v>
      </c>
      <c r="D127" s="1">
        <v>-0.6</v>
      </c>
      <c r="E127" s="1">
        <v>172.08468999999999</v>
      </c>
      <c r="F127" s="1">
        <v>9.2219999999999995</v>
      </c>
      <c r="G127" s="17">
        <f>AVERAGE(L127:W127)</f>
        <v>2682592.0423588925</v>
      </c>
      <c r="H127" s="17">
        <v>5486615.2242675396</v>
      </c>
      <c r="I127" s="17" t="e">
        <f>G127/#REF!</f>
        <v>#REF!</v>
      </c>
      <c r="J127" s="17" t="e">
        <f>H127/#REF!</f>
        <v>#REF!</v>
      </c>
      <c r="K127" s="1">
        <v>62.4</v>
      </c>
      <c r="L127" s="17">
        <v>599959.58343541296</v>
      </c>
      <c r="M127" s="17">
        <v>2869979.0352330799</v>
      </c>
      <c r="N127" s="17">
        <v>3319980.8386657098</v>
      </c>
      <c r="O127" s="17">
        <v>1231851.50427604</v>
      </c>
      <c r="P127" s="17">
        <v>725108.11681148596</v>
      </c>
      <c r="Q127" s="17">
        <v>791463.54830283602</v>
      </c>
      <c r="R127" s="17">
        <v>3447477.1711824802</v>
      </c>
      <c r="S127" s="17">
        <v>5267012.4822776997</v>
      </c>
      <c r="T127" s="17">
        <v>4180543.3311169799</v>
      </c>
      <c r="U127" s="17">
        <v>2538663.8070119498</v>
      </c>
      <c r="V127" s="17">
        <v>1732449.86572549</v>
      </c>
      <c r="W127" s="17">
        <v>5486615.2242675396</v>
      </c>
      <c r="X127" s="34">
        <f>AVERAGE(L127:N127)</f>
        <v>2263306.4857780677</v>
      </c>
      <c r="Y127" s="34">
        <f>AVERAGE(O127:Q127)</f>
        <v>916141.05646345392</v>
      </c>
      <c r="Z127" s="40">
        <f>Y127/X127</f>
        <v>0.40477993688446828</v>
      </c>
      <c r="AA127" s="33">
        <f>AVERAGE(R127:T127)</f>
        <v>4298344.3281923868</v>
      </c>
      <c r="AB127" s="33">
        <f>AVERAGE(U127:W127)</f>
        <v>3252576.2990016602</v>
      </c>
      <c r="AC127" s="39">
        <f>AB127/AA127</f>
        <v>0.75670445424028865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</row>
    <row r="128" spans="1:89">
      <c r="A128" s="1" t="s">
        <v>469</v>
      </c>
      <c r="B128" s="1" t="s">
        <v>470</v>
      </c>
      <c r="C128" s="1" t="s">
        <v>471</v>
      </c>
      <c r="D128" s="1">
        <v>-1.95</v>
      </c>
      <c r="E128" s="1">
        <v>116.04712000000001</v>
      </c>
      <c r="F128" s="1">
        <v>1.1459999999999999</v>
      </c>
      <c r="G128" s="17">
        <f>AVERAGE(L128:W128)</f>
        <v>2008938.6667159807</v>
      </c>
      <c r="H128" s="17">
        <v>4977373.76168996</v>
      </c>
      <c r="I128" s="17" t="e">
        <f>G128/#REF!</f>
        <v>#REF!</v>
      </c>
      <c r="J128" s="17" t="e">
        <f>H128/#REF!</f>
        <v>#REF!</v>
      </c>
      <c r="K128" s="1">
        <v>72.599999999999994</v>
      </c>
      <c r="L128" s="17">
        <v>1700622.07182875</v>
      </c>
      <c r="M128" s="17">
        <v>1238006.37146933</v>
      </c>
      <c r="N128" s="17">
        <v>1842311.5879061001</v>
      </c>
      <c r="O128" s="17">
        <v>4977373.76168996</v>
      </c>
      <c r="P128" s="17">
        <v>1167040.6628809001</v>
      </c>
      <c r="Q128" s="17">
        <v>1433643.3139523</v>
      </c>
      <c r="R128" s="17">
        <v>2091998.9899976701</v>
      </c>
      <c r="S128" s="17">
        <v>2091340.6091572701</v>
      </c>
      <c r="T128" s="17">
        <v>2546737.9311762201</v>
      </c>
      <c r="U128" s="17">
        <v>1691691.81422929</v>
      </c>
      <c r="V128" s="17">
        <v>1557011.03039952</v>
      </c>
      <c r="W128" s="17">
        <v>1769485.85590446</v>
      </c>
      <c r="X128" s="34">
        <f>AVERAGE(L128:N128)</f>
        <v>1593646.67706806</v>
      </c>
      <c r="Y128" s="34">
        <f>AVERAGE(O128:Q128)</f>
        <v>2526019.2461743867</v>
      </c>
      <c r="Z128" s="40">
        <f>Y128/X128</f>
        <v>1.5850560118016095</v>
      </c>
      <c r="AA128" s="33">
        <f>AVERAGE(R128:T128)</f>
        <v>2243359.1767770532</v>
      </c>
      <c r="AB128" s="33">
        <f>AVERAGE(U128:W128)</f>
        <v>1672729.5668444233</v>
      </c>
      <c r="AC128" s="39">
        <f>AB128/AA128</f>
        <v>0.74563609080538262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</row>
    <row r="129" spans="1:89">
      <c r="A129" s="23" t="s">
        <v>477</v>
      </c>
      <c r="B129" s="23" t="s">
        <v>478</v>
      </c>
      <c r="C129" s="23" t="s">
        <v>60</v>
      </c>
      <c r="D129" s="23">
        <v>-0.65</v>
      </c>
      <c r="E129" s="23">
        <v>342.11599000000001</v>
      </c>
      <c r="F129" s="23">
        <v>9.6059999999999999</v>
      </c>
      <c r="G129" s="24">
        <f>AVERAGE(L129:W129)</f>
        <v>2015055.4876062879</v>
      </c>
      <c r="H129" s="24">
        <v>5688440.0329038603</v>
      </c>
      <c r="I129" s="24" t="e">
        <f>G129/#REF!</f>
        <v>#REF!</v>
      </c>
      <c r="J129" s="24" t="e">
        <f>H129/#REF!</f>
        <v>#REF!</v>
      </c>
      <c r="K129" s="23">
        <v>85</v>
      </c>
      <c r="L129" s="24">
        <v>547931.91984853498</v>
      </c>
      <c r="M129" s="24">
        <v>174917.451869968</v>
      </c>
      <c r="N129" s="24">
        <v>460288.11423764803</v>
      </c>
      <c r="O129" s="24">
        <v>1441331.1741021499</v>
      </c>
      <c r="P129" s="24">
        <v>5688440.0329038603</v>
      </c>
      <c r="Q129" s="24">
        <v>2518060.3939863099</v>
      </c>
      <c r="R129" s="24">
        <v>188185.67107864199</v>
      </c>
      <c r="S129" s="24">
        <v>4022676.1141583798</v>
      </c>
      <c r="T129" s="24">
        <v>3602070.6136064199</v>
      </c>
      <c r="U129" s="24">
        <v>1172399.9894012201</v>
      </c>
      <c r="V129" s="24">
        <v>3104668.2402194901</v>
      </c>
      <c r="W129" s="24">
        <v>1259696.1358628301</v>
      </c>
      <c r="X129" s="34">
        <f>AVERAGE(L129:N129)</f>
        <v>394379.16198538366</v>
      </c>
      <c r="Y129" s="34">
        <f>AVERAGE(O129:Q129)</f>
        <v>3215943.8669974399</v>
      </c>
      <c r="Z129" s="40">
        <f>Y129/X129</f>
        <v>8.1544467278842383</v>
      </c>
      <c r="AA129" s="33">
        <f>AVERAGE(R129:T129)</f>
        <v>2604310.7996144802</v>
      </c>
      <c r="AB129" s="33">
        <f>AVERAGE(U129:W129)</f>
        <v>1845588.1218278466</v>
      </c>
      <c r="AC129" s="39">
        <f>AB129/AA129</f>
        <v>0.70866661617386517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</row>
    <row r="130" spans="1:89">
      <c r="A130" s="23" t="s">
        <v>177</v>
      </c>
      <c r="B130" s="23" t="s">
        <v>178</v>
      </c>
      <c r="C130" s="23" t="s">
        <v>179</v>
      </c>
      <c r="D130" s="23">
        <v>-0.75</v>
      </c>
      <c r="E130" s="23">
        <v>133.03740999999999</v>
      </c>
      <c r="F130" s="23">
        <v>8.9450000000000003</v>
      </c>
      <c r="G130" s="24">
        <f>AVERAGE(L130:W130)</f>
        <v>41621109.674777634</v>
      </c>
      <c r="H130" s="24">
        <v>62802237.579507999</v>
      </c>
      <c r="I130" s="24" t="e">
        <f>G130/#REF!</f>
        <v>#REF!</v>
      </c>
      <c r="J130" s="24" t="e">
        <f>H130/#REF!</f>
        <v>#REF!</v>
      </c>
      <c r="K130" s="23">
        <v>89.7</v>
      </c>
      <c r="L130" s="24">
        <v>56744390.638190098</v>
      </c>
      <c r="M130" s="24">
        <v>58047889.743393801</v>
      </c>
      <c r="N130" s="24">
        <v>18325983.919030402</v>
      </c>
      <c r="O130" s="24">
        <v>26193871.031038102</v>
      </c>
      <c r="P130" s="24">
        <v>22948292.075536899</v>
      </c>
      <c r="Q130" s="24">
        <v>33597298.974255003</v>
      </c>
      <c r="R130" s="24">
        <v>62693823.429250002</v>
      </c>
      <c r="S130" s="24">
        <v>62802237.579507999</v>
      </c>
      <c r="T130" s="24">
        <v>40785300.672804497</v>
      </c>
      <c r="U130" s="24">
        <v>44171278.675882101</v>
      </c>
      <c r="V130" s="24">
        <v>34122630.915386103</v>
      </c>
      <c r="W130" s="24">
        <v>39020318.443056598</v>
      </c>
      <c r="X130" s="34">
        <f>AVERAGE(L130:N130)</f>
        <v>44372754.76687143</v>
      </c>
      <c r="Y130" s="34">
        <f>AVERAGE(O130:Q130)</f>
        <v>27579820.693610001</v>
      </c>
      <c r="Z130" s="40">
        <f>Y130/X130</f>
        <v>0.62154853442187041</v>
      </c>
      <c r="AA130" s="33">
        <f>AVERAGE(R130:T130)</f>
        <v>55427120.560520835</v>
      </c>
      <c r="AB130" s="33">
        <f>AVERAGE(U130:W130)</f>
        <v>39104742.678108267</v>
      </c>
      <c r="AC130" s="39">
        <f>AB130/AA130</f>
        <v>0.7055164021268221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</row>
    <row r="131" spans="1:89">
      <c r="A131" s="20" t="s">
        <v>347</v>
      </c>
      <c r="B131" s="20" t="s">
        <v>348</v>
      </c>
      <c r="C131" s="20" t="s">
        <v>349</v>
      </c>
      <c r="D131" s="20">
        <v>-3.76</v>
      </c>
      <c r="E131" s="20">
        <v>180.06271000000001</v>
      </c>
      <c r="F131" s="20">
        <v>5.1369999999999996</v>
      </c>
      <c r="G131" s="21">
        <f>AVERAGE(L131:W131)</f>
        <v>8250096.6843607873</v>
      </c>
      <c r="H131" s="21">
        <v>25105288.526378602</v>
      </c>
      <c r="I131" s="21" t="e">
        <f>G131/#REF!</f>
        <v>#REF!</v>
      </c>
      <c r="J131" s="21" t="e">
        <f>H131/#REF!</f>
        <v>#REF!</v>
      </c>
      <c r="K131" s="20">
        <v>77.2</v>
      </c>
      <c r="L131" s="21">
        <v>12423933.7070251</v>
      </c>
      <c r="M131" s="21">
        <v>12309572.2164695</v>
      </c>
      <c r="N131" s="21">
        <v>8881411.1168948207</v>
      </c>
      <c r="O131" s="21">
        <v>1914968.8746643499</v>
      </c>
      <c r="P131" s="21">
        <v>3287842.5527343801</v>
      </c>
      <c r="Q131" s="21">
        <v>3194861.9233094002</v>
      </c>
      <c r="R131" s="21">
        <v>9196123.1740481202</v>
      </c>
      <c r="S131" s="21">
        <v>15207823.131393701</v>
      </c>
      <c r="T131" s="21">
        <v>9179045.9055165201</v>
      </c>
      <c r="U131" s="21">
        <v>7297697.3521610796</v>
      </c>
      <c r="V131" s="21">
        <v>13235814.398244699</v>
      </c>
      <c r="W131" s="21">
        <v>2872065.85986778</v>
      </c>
      <c r="X131" s="34">
        <f>AVERAGE(L131:N131)</f>
        <v>11204972.346796473</v>
      </c>
      <c r="Y131" s="34">
        <f>AVERAGE(O131:Q131)</f>
        <v>2799224.4502360434</v>
      </c>
      <c r="Z131" s="40">
        <f>Y131/X131</f>
        <v>0.24981984458322629</v>
      </c>
      <c r="AA131" s="33">
        <f>AVERAGE(R131:T131)</f>
        <v>11194330.736986114</v>
      </c>
      <c r="AB131" s="33">
        <f>AVERAGE(U131:W131)</f>
        <v>7801859.2034245208</v>
      </c>
      <c r="AC131" s="39">
        <f>AB131/AA131</f>
        <v>0.69694735547227904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</row>
    <row r="132" spans="1:89">
      <c r="A132" s="1" t="s">
        <v>92</v>
      </c>
      <c r="B132" s="1" t="s">
        <v>93</v>
      </c>
      <c r="C132" s="1" t="s">
        <v>94</v>
      </c>
      <c r="D132" s="1">
        <v>-1.1100000000000001</v>
      </c>
      <c r="E132" s="1">
        <v>205.13113999999999</v>
      </c>
      <c r="F132" s="1">
        <v>1.4</v>
      </c>
      <c r="G132" s="17">
        <f>AVERAGE(L132:W132)</f>
        <v>97350702.536751866</v>
      </c>
      <c r="H132" s="17">
        <v>207305753.21798399</v>
      </c>
      <c r="I132" s="17" t="e">
        <f>G132/#REF!</f>
        <v>#REF!</v>
      </c>
      <c r="J132" s="17" t="e">
        <f>H132/#REF!</f>
        <v>#REF!</v>
      </c>
      <c r="K132" s="1">
        <v>89.6</v>
      </c>
      <c r="L132" s="17">
        <v>87181781.419478506</v>
      </c>
      <c r="M132" s="17">
        <v>197643542.836687</v>
      </c>
      <c r="N132" s="17">
        <v>94434177.878599107</v>
      </c>
      <c r="O132" s="17">
        <v>207305753.21798399</v>
      </c>
      <c r="P132" s="17">
        <v>64724704.039308503</v>
      </c>
      <c r="Q132" s="17">
        <v>57535041.425403297</v>
      </c>
      <c r="R132" s="17">
        <v>63102343.700783797</v>
      </c>
      <c r="S132" s="17">
        <v>152836275.24787</v>
      </c>
      <c r="T132" s="17">
        <v>58054711.975101396</v>
      </c>
      <c r="U132" s="17">
        <v>41354766.773903102</v>
      </c>
      <c r="V132" s="17">
        <v>79135042.047397897</v>
      </c>
      <c r="W132" s="17">
        <v>64900289.878505602</v>
      </c>
      <c r="X132" s="34">
        <f>AVERAGE(L132:N132)</f>
        <v>126419834.04492153</v>
      </c>
      <c r="Y132" s="34">
        <f>AVERAGE(O132:Q132)</f>
        <v>109855166.22756527</v>
      </c>
      <c r="Z132" s="40">
        <f>Y132/X132</f>
        <v>0.86897097324562034</v>
      </c>
      <c r="AA132" s="33">
        <f>AVERAGE(R132:T132)</f>
        <v>91331110.307918385</v>
      </c>
      <c r="AB132" s="33">
        <f>AVERAGE(U132:W132)</f>
        <v>61796699.5666022</v>
      </c>
      <c r="AC132" s="39">
        <f>AB132/AA132</f>
        <v>0.67662266842325292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</row>
    <row r="133" spans="1:89">
      <c r="A133" s="1" t="s">
        <v>383</v>
      </c>
      <c r="B133" s="1" t="s">
        <v>384</v>
      </c>
      <c r="C133" s="1" t="s">
        <v>385</v>
      </c>
      <c r="D133" s="1">
        <v>-0.18</v>
      </c>
      <c r="E133" s="1">
        <v>165.07894999999999</v>
      </c>
      <c r="F133" s="1">
        <v>2.738</v>
      </c>
      <c r="G133" s="17">
        <f>AVERAGE(L133:W133)</f>
        <v>5917830.2490629219</v>
      </c>
      <c r="H133" s="17">
        <v>9426354.2287125401</v>
      </c>
      <c r="I133" s="17" t="e">
        <f>G133/#REF!</f>
        <v>#REF!</v>
      </c>
      <c r="J133" s="17" t="e">
        <f>H133/#REF!</f>
        <v>#REF!</v>
      </c>
      <c r="K133" s="1">
        <v>62</v>
      </c>
      <c r="L133" s="17">
        <v>6777534.7692664601</v>
      </c>
      <c r="M133" s="17">
        <v>9426354.2287125401</v>
      </c>
      <c r="N133" s="17">
        <v>5302784.0382813998</v>
      </c>
      <c r="O133" s="17">
        <v>6565861.9543522596</v>
      </c>
      <c r="P133" s="17">
        <v>5842526.6998740602</v>
      </c>
      <c r="Q133" s="17">
        <v>3717325.4894925398</v>
      </c>
      <c r="R133" s="17">
        <v>5159035.5657181703</v>
      </c>
      <c r="S133" s="17">
        <v>7757959.3562212298</v>
      </c>
      <c r="T133" s="17">
        <v>7099695.71558904</v>
      </c>
      <c r="U133" s="17">
        <v>2858272.0284695299</v>
      </c>
      <c r="V133" s="17">
        <v>7422131.0701487102</v>
      </c>
      <c r="W133" s="17">
        <v>3084482.07262911</v>
      </c>
      <c r="X133" s="34">
        <f>AVERAGE(L133:N133)</f>
        <v>7168891.0120868003</v>
      </c>
      <c r="Y133" s="34">
        <f>AVERAGE(O133:Q133)</f>
        <v>5375238.0479062861</v>
      </c>
      <c r="Z133" s="40">
        <f>Y133/X133</f>
        <v>0.74980049757258094</v>
      </c>
      <c r="AA133" s="33">
        <f>AVERAGE(R133:T133)</f>
        <v>6672230.2125094794</v>
      </c>
      <c r="AB133" s="33">
        <f>AVERAGE(U133:W133)</f>
        <v>4454961.7237491161</v>
      </c>
      <c r="AC133" s="39">
        <f>AB133/AA133</f>
        <v>0.66768705243363735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</row>
    <row r="134" spans="1:89">
      <c r="A134" s="1" t="s">
        <v>287</v>
      </c>
      <c r="B134" s="1" t="s">
        <v>288</v>
      </c>
      <c r="C134" s="1" t="s">
        <v>289</v>
      </c>
      <c r="D134" s="1">
        <v>-1.23</v>
      </c>
      <c r="E134" s="1">
        <v>188.10462999999999</v>
      </c>
      <c r="F134" s="1">
        <v>1.0820000000000001</v>
      </c>
      <c r="G134" s="17">
        <f>AVERAGE(L134:W134)</f>
        <v>12907848.806794254</v>
      </c>
      <c r="H134" s="17">
        <v>20101245.365643598</v>
      </c>
      <c r="I134" s="17" t="e">
        <f>G134/#REF!</f>
        <v>#REF!</v>
      </c>
      <c r="J134" s="17" t="e">
        <f>H134/#REF!</f>
        <v>#REF!</v>
      </c>
      <c r="K134" s="1">
        <v>93.6</v>
      </c>
      <c r="L134" s="17">
        <v>11750337.344744399</v>
      </c>
      <c r="M134" s="17">
        <v>14131569.6153217</v>
      </c>
      <c r="N134" s="17">
        <v>13727728.9214657</v>
      </c>
      <c r="O134" s="17">
        <v>20101245.365643598</v>
      </c>
      <c r="P134" s="17">
        <v>10978386.0522661</v>
      </c>
      <c r="Q134" s="17">
        <v>9218045.9804216493</v>
      </c>
      <c r="R134" s="17">
        <v>10466492.384618901</v>
      </c>
      <c r="S134" s="17">
        <v>18841591.019943099</v>
      </c>
      <c r="T134" s="17">
        <v>15910838.980590001</v>
      </c>
      <c r="U134" s="17">
        <v>9357581.6218791306</v>
      </c>
      <c r="V134" s="17">
        <v>12287934.0788109</v>
      </c>
      <c r="W134" s="17">
        <v>8122434.3158258498</v>
      </c>
      <c r="X134" s="34">
        <f>AVERAGE(L134:N134)</f>
        <v>13203211.960510598</v>
      </c>
      <c r="Y134" s="34">
        <f>AVERAGE(O134:Q134)</f>
        <v>13432559.132777115</v>
      </c>
      <c r="Z134" s="40">
        <f>Y134/X134</f>
        <v>1.0173705589937108</v>
      </c>
      <c r="AA134" s="33">
        <f>AVERAGE(R134:T134)</f>
        <v>15072974.128384</v>
      </c>
      <c r="AB134" s="33">
        <f>AVERAGE(U134:W134)</f>
        <v>9922650.0055052936</v>
      </c>
      <c r="AC134" s="39">
        <f>AB134/AA134</f>
        <v>0.65830737324891297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</row>
    <row r="135" spans="1:89">
      <c r="A135" s="1" t="s">
        <v>375</v>
      </c>
      <c r="B135" s="1" t="s">
        <v>376</v>
      </c>
      <c r="C135" s="1" t="s">
        <v>377</v>
      </c>
      <c r="D135" s="1">
        <v>-0.84</v>
      </c>
      <c r="E135" s="1">
        <v>187.06317000000001</v>
      </c>
      <c r="F135" s="1">
        <v>5.19</v>
      </c>
      <c r="G135" s="17">
        <f>AVERAGE(L135:W135)</f>
        <v>6742783.4035628987</v>
      </c>
      <c r="H135" s="17">
        <v>11947049.148655999</v>
      </c>
      <c r="I135" s="17" t="e">
        <f>G135/#REF!</f>
        <v>#REF!</v>
      </c>
      <c r="J135" s="17" t="e">
        <f>H135/#REF!</f>
        <v>#REF!</v>
      </c>
      <c r="K135" s="1">
        <v>81.3</v>
      </c>
      <c r="L135" s="17">
        <v>4344921.6742638899</v>
      </c>
      <c r="M135" s="17">
        <v>8154614.4773712698</v>
      </c>
      <c r="N135" s="17">
        <v>4033513.2576493602</v>
      </c>
      <c r="O135" s="17">
        <v>5429191.9684449099</v>
      </c>
      <c r="P135" s="17">
        <v>4855067.6248214599</v>
      </c>
      <c r="Q135" s="17">
        <v>6942117.7854351299</v>
      </c>
      <c r="R135" s="17">
        <v>7758956.23793728</v>
      </c>
      <c r="S135" s="17">
        <v>11947049.148655999</v>
      </c>
      <c r="T135" s="17">
        <v>8884504.7767060902</v>
      </c>
      <c r="U135" s="17">
        <v>6616318.3918857798</v>
      </c>
      <c r="V135" s="17">
        <v>5600842.9912005197</v>
      </c>
      <c r="W135" s="17">
        <v>6346302.5083830804</v>
      </c>
      <c r="X135" s="34">
        <f>AVERAGE(L135:N135)</f>
        <v>5511016.4697615067</v>
      </c>
      <c r="Y135" s="34">
        <f>AVERAGE(O135:Q135)</f>
        <v>5742125.7929004999</v>
      </c>
      <c r="Z135" s="40">
        <f>Y135/X135</f>
        <v>1.0419358795980871</v>
      </c>
      <c r="AA135" s="33">
        <f>AVERAGE(R135:T135)</f>
        <v>9530170.0544331223</v>
      </c>
      <c r="AB135" s="33">
        <f>AVERAGE(U135:W135)</f>
        <v>6187821.2971564606</v>
      </c>
      <c r="AC135" s="39">
        <f>AB135/AA135</f>
        <v>0.64928760576293065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</row>
    <row r="136" spans="1:89" ht="80">
      <c r="A136" s="15" t="s">
        <v>52</v>
      </c>
      <c r="B136" s="14" t="s">
        <v>53</v>
      </c>
      <c r="C136" s="14" t="s">
        <v>54</v>
      </c>
      <c r="D136" s="14">
        <v>-1.57</v>
      </c>
      <c r="E136" s="14">
        <v>202.13141999999999</v>
      </c>
      <c r="F136" s="14">
        <v>3.7690000000000001</v>
      </c>
      <c r="G136" s="30">
        <f>AVERAGE(L136:W136)</f>
        <v>386140761.79580444</v>
      </c>
      <c r="H136" s="30">
        <v>847379338.24018598</v>
      </c>
      <c r="I136" s="30" t="e">
        <f>G136/#REF!</f>
        <v>#REF!</v>
      </c>
      <c r="J136" s="30" t="e">
        <f>H136/#REF!</f>
        <v>#REF!</v>
      </c>
      <c r="K136" s="14">
        <v>58.4</v>
      </c>
      <c r="L136" s="30">
        <v>186204258.36120901</v>
      </c>
      <c r="M136" s="30">
        <v>183486104.01008499</v>
      </c>
      <c r="N136" s="30">
        <v>339882042.54169399</v>
      </c>
      <c r="O136" s="30">
        <v>6505106.8137967801</v>
      </c>
      <c r="P136" s="30">
        <v>568306744.20103896</v>
      </c>
      <c r="Q136" s="30">
        <v>847379338.24018598</v>
      </c>
      <c r="R136" s="30">
        <v>474927708.67831999</v>
      </c>
      <c r="S136" s="30">
        <v>422605043.46045601</v>
      </c>
      <c r="T136" s="30">
        <v>623851875.14233994</v>
      </c>
      <c r="U136" s="30">
        <v>296014851.44172603</v>
      </c>
      <c r="V136" s="30">
        <v>308402684.53717601</v>
      </c>
      <c r="W136" s="30">
        <v>376123384.12162501</v>
      </c>
      <c r="X136" s="34">
        <f>AVERAGE(L136:N136)</f>
        <v>236524134.97099599</v>
      </c>
      <c r="Y136" s="34">
        <f>AVERAGE(O136:Q136)</f>
        <v>474063729.75167388</v>
      </c>
      <c r="Z136" s="40">
        <f>Y136/X136</f>
        <v>2.0042932608539354</v>
      </c>
      <c r="AA136" s="33">
        <f>AVERAGE(R136:T136)</f>
        <v>507128209.09370536</v>
      </c>
      <c r="AB136" s="33">
        <f>AVERAGE(U136:W136)</f>
        <v>326846973.36684233</v>
      </c>
      <c r="AC136" s="39">
        <f>AB136/AA136</f>
        <v>0.64450560530039203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</row>
    <row r="137" spans="1:89">
      <c r="A137" s="1" t="s">
        <v>269</v>
      </c>
      <c r="B137" s="1" t="s">
        <v>270</v>
      </c>
      <c r="C137" s="1" t="s">
        <v>271</v>
      </c>
      <c r="D137" s="1">
        <v>-2.41</v>
      </c>
      <c r="E137" s="1">
        <v>244.06895</v>
      </c>
      <c r="F137" s="1">
        <v>2.6280000000000001</v>
      </c>
      <c r="G137" s="17">
        <f>AVERAGE(L137:W137)</f>
        <v>15465900.197564086</v>
      </c>
      <c r="H137" s="17">
        <v>31532811.181400999</v>
      </c>
      <c r="I137" s="17" t="e">
        <f>G137/#REF!</f>
        <v>#REF!</v>
      </c>
      <c r="J137" s="17" t="e">
        <f>H137/#REF!</f>
        <v>#REF!</v>
      </c>
      <c r="K137" s="1">
        <v>84.5</v>
      </c>
      <c r="L137" s="17">
        <v>7381533.2129431898</v>
      </c>
      <c r="M137" s="17">
        <v>7279209.1270090397</v>
      </c>
      <c r="N137" s="17">
        <v>9675316.9221628197</v>
      </c>
      <c r="O137" s="17">
        <v>8833518.3156244196</v>
      </c>
      <c r="P137" s="17">
        <v>8631878.3552358206</v>
      </c>
      <c r="Q137" s="17">
        <v>15599070.7502633</v>
      </c>
      <c r="R137" s="17">
        <v>22578292.3336442</v>
      </c>
      <c r="S137" s="17">
        <v>23899730.373902</v>
      </c>
      <c r="T137" s="17">
        <v>31532811.181400999</v>
      </c>
      <c r="U137" s="17">
        <v>15125781.909770001</v>
      </c>
      <c r="V137" s="17">
        <v>14691633.813671499</v>
      </c>
      <c r="W137" s="17">
        <v>20362026.075141702</v>
      </c>
      <c r="X137" s="34">
        <f>AVERAGE(L137:N137)</f>
        <v>8112019.7540383497</v>
      </c>
      <c r="Y137" s="34">
        <f>AVERAGE(O137:Q137)</f>
        <v>11021489.140374513</v>
      </c>
      <c r="Z137" s="40">
        <f>Y137/X137</f>
        <v>1.3586615262971671</v>
      </c>
      <c r="AA137" s="33">
        <f>AVERAGE(R137:T137)</f>
        <v>26003611.296315733</v>
      </c>
      <c r="AB137" s="33">
        <f>AVERAGE(U137:W137)</f>
        <v>16726480.599527733</v>
      </c>
      <c r="AC137" s="39">
        <f>AB137/AA137</f>
        <v>0.64323683387382391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</row>
    <row r="138" spans="1:89">
      <c r="A138" s="20" t="s">
        <v>311</v>
      </c>
      <c r="B138" s="20" t="s">
        <v>312</v>
      </c>
      <c r="C138" s="20" t="s">
        <v>313</v>
      </c>
      <c r="D138" s="20">
        <v>-2.11</v>
      </c>
      <c r="E138" s="20">
        <v>196.05788999999999</v>
      </c>
      <c r="F138" s="20">
        <v>8.4939999999999998</v>
      </c>
      <c r="G138" s="21">
        <f>AVERAGE(L138:W138)</f>
        <v>11511833.592793688</v>
      </c>
      <c r="H138" s="21">
        <v>28112019.841522198</v>
      </c>
      <c r="I138" s="21" t="e">
        <f>G138/#REF!</f>
        <v>#REF!</v>
      </c>
      <c r="J138" s="21" t="e">
        <f>H138/#REF!</f>
        <v>#REF!</v>
      </c>
      <c r="K138" s="20">
        <v>74.2</v>
      </c>
      <c r="L138" s="21">
        <v>8142739.4363533296</v>
      </c>
      <c r="M138" s="21">
        <v>14831947.005860399</v>
      </c>
      <c r="N138" s="21">
        <v>8751731.7470593192</v>
      </c>
      <c r="O138" s="21">
        <v>12339503.406913601</v>
      </c>
      <c r="P138" s="21">
        <v>4945515.4835654898</v>
      </c>
      <c r="Q138" s="21">
        <v>18907001.4040462</v>
      </c>
      <c r="R138" s="21">
        <v>9173861.6144929994</v>
      </c>
      <c r="S138" s="21">
        <v>28112019.841522198</v>
      </c>
      <c r="T138" s="21">
        <v>5481433.41088604</v>
      </c>
      <c r="U138" s="21">
        <v>11026991.170600999</v>
      </c>
      <c r="V138" s="21">
        <v>9537047.6803779397</v>
      </c>
      <c r="W138" s="21">
        <v>6892210.9118457502</v>
      </c>
      <c r="X138" s="34">
        <f>AVERAGE(L138:N138)</f>
        <v>10575472.729757683</v>
      </c>
      <c r="Y138" s="34">
        <f>AVERAGE(O138:Q138)</f>
        <v>12064006.764841765</v>
      </c>
      <c r="Z138" s="40">
        <f>Y138/X138</f>
        <v>1.140753427588687</v>
      </c>
      <c r="AA138" s="33">
        <f>AVERAGE(R138:T138)</f>
        <v>14255771.622300414</v>
      </c>
      <c r="AB138" s="33">
        <f>AVERAGE(U138:W138)</f>
        <v>9152083.2542748973</v>
      </c>
      <c r="AC138" s="39">
        <f>AB138/AA138</f>
        <v>0.64199143313703355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</row>
    <row r="139" spans="1:89">
      <c r="A139" s="1" t="s">
        <v>168</v>
      </c>
      <c r="B139" s="1" t="s">
        <v>169</v>
      </c>
      <c r="C139" s="1" t="s">
        <v>170</v>
      </c>
      <c r="D139" s="1">
        <v>-0.79</v>
      </c>
      <c r="E139" s="1">
        <v>188.15233000000001</v>
      </c>
      <c r="F139" s="1">
        <v>10.353</v>
      </c>
      <c r="G139" s="17">
        <f>AVERAGE(L139:W139)</f>
        <v>51149210.682453901</v>
      </c>
      <c r="H139" s="17">
        <v>137957397.894997</v>
      </c>
      <c r="I139" s="17" t="e">
        <f>G139/#REF!</f>
        <v>#REF!</v>
      </c>
      <c r="J139" s="17" t="e">
        <f>H139/#REF!</f>
        <v>#REF!</v>
      </c>
      <c r="K139" s="1">
        <v>86.6</v>
      </c>
      <c r="L139" s="17">
        <v>14189582.568798801</v>
      </c>
      <c r="M139" s="17">
        <v>22154119.739915598</v>
      </c>
      <c r="N139" s="17">
        <v>20725577.229233898</v>
      </c>
      <c r="O139" s="17">
        <v>70466128.502629295</v>
      </c>
      <c r="P139" s="17">
        <v>54685906.203015499</v>
      </c>
      <c r="Q139" s="17">
        <v>58269628.420330502</v>
      </c>
      <c r="R139" s="17">
        <v>49406159.6694168</v>
      </c>
      <c r="S139" s="17">
        <v>41235086.0432631</v>
      </c>
      <c r="T139" s="17">
        <v>137957397.894997</v>
      </c>
      <c r="U139" s="17">
        <v>45408047.806701303</v>
      </c>
      <c r="V139" s="17">
        <v>47724101.919802099</v>
      </c>
      <c r="W139" s="17">
        <v>51568792.191342898</v>
      </c>
      <c r="X139" s="34">
        <f>AVERAGE(L139:N139)</f>
        <v>19023093.1793161</v>
      </c>
      <c r="Y139" s="34">
        <f>AVERAGE(O139:Q139)</f>
        <v>61140554.375325091</v>
      </c>
      <c r="Z139" s="40">
        <f>Y139/X139</f>
        <v>3.2140174996253243</v>
      </c>
      <c r="AA139" s="33">
        <f>AVERAGE(R139:T139)</f>
        <v>76199547.869225636</v>
      </c>
      <c r="AB139" s="33">
        <f>AVERAGE(U139:W139)</f>
        <v>48233647.305948764</v>
      </c>
      <c r="AC139" s="39">
        <f>AB139/AA139</f>
        <v>0.63299125329100103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</row>
    <row r="140" spans="1:89">
      <c r="A140" s="9" t="s">
        <v>513</v>
      </c>
      <c r="B140" s="9" t="s">
        <v>514</v>
      </c>
      <c r="C140" s="9" t="s">
        <v>515</v>
      </c>
      <c r="D140" s="9">
        <v>0.1</v>
      </c>
      <c r="E140" s="9">
        <v>114.04294</v>
      </c>
      <c r="F140" s="9">
        <v>4.6529999999999996</v>
      </c>
      <c r="G140" s="19">
        <f>AVERAGE(L140:W140)</f>
        <v>360733.83877610421</v>
      </c>
      <c r="H140" s="19">
        <v>715717.23240802402</v>
      </c>
      <c r="I140" s="19" t="e">
        <f>G140/#REF!</f>
        <v>#REF!</v>
      </c>
      <c r="J140" s="19" t="e">
        <f>H140/#REF!</f>
        <v>#REF!</v>
      </c>
      <c r="K140" s="9">
        <v>62.8</v>
      </c>
      <c r="L140" s="19">
        <v>693821.51024055295</v>
      </c>
      <c r="M140" s="19">
        <v>239658.27806667701</v>
      </c>
      <c r="N140" s="19">
        <v>241442.61312395899</v>
      </c>
      <c r="O140" s="19">
        <v>258366.486206798</v>
      </c>
      <c r="P140" s="19">
        <v>268507.449915406</v>
      </c>
      <c r="Q140" s="19">
        <v>265875.04687974398</v>
      </c>
      <c r="R140" s="19">
        <v>670960.92681440397</v>
      </c>
      <c r="S140" s="19">
        <v>284472.02207985602</v>
      </c>
      <c r="T140" s="19">
        <v>528176.11984553898</v>
      </c>
      <c r="U140" s="19">
        <v>272162.06337661698</v>
      </c>
      <c r="V140" s="19">
        <v>232500.77970351599</v>
      </c>
      <c r="W140" s="19">
        <v>372862.76906018198</v>
      </c>
      <c r="X140" s="34">
        <f>AVERAGE(L140:N140)</f>
        <v>391640.80047706299</v>
      </c>
      <c r="Y140" s="34">
        <f>AVERAGE(O140:Q140)</f>
        <v>264249.66100064927</v>
      </c>
      <c r="Z140" s="40">
        <f>Y140/X140</f>
        <v>0.67472454524340453</v>
      </c>
      <c r="AA140" s="33">
        <f>AVERAGE(R140:T140)</f>
        <v>494536.35624659964</v>
      </c>
      <c r="AB140" s="33">
        <f>AVERAGE(U140:W140)</f>
        <v>292508.53738010494</v>
      </c>
      <c r="AC140" s="39">
        <f>AB140/AA140</f>
        <v>0.59148035060590387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</row>
    <row r="141" spans="1:89">
      <c r="A141" s="1" t="s">
        <v>314</v>
      </c>
      <c r="B141" s="1" t="s">
        <v>315</v>
      </c>
      <c r="C141" s="1" t="s">
        <v>316</v>
      </c>
      <c r="D141" s="1">
        <v>-1.49</v>
      </c>
      <c r="E141" s="1">
        <v>276.13171999999997</v>
      </c>
      <c r="F141" s="1">
        <v>12.455</v>
      </c>
      <c r="G141" s="17">
        <f>AVERAGE(L141:W141)</f>
        <v>12650336.267349267</v>
      </c>
      <c r="H141" s="17">
        <v>28774465.3856223</v>
      </c>
      <c r="I141" s="17" t="e">
        <f>G141/#REF!</f>
        <v>#REF!</v>
      </c>
      <c r="J141" s="17" t="e">
        <f>H141/#REF!</f>
        <v>#REF!</v>
      </c>
      <c r="K141" s="1">
        <v>74.7</v>
      </c>
      <c r="L141" s="17">
        <v>6720962.9493469801</v>
      </c>
      <c r="M141" s="17">
        <v>4010648.85583155</v>
      </c>
      <c r="N141" s="17">
        <v>8638146.6242453791</v>
      </c>
      <c r="O141" s="17">
        <v>7886994.60399938</v>
      </c>
      <c r="P141" s="17">
        <v>3645760.94673299</v>
      </c>
      <c r="Q141" s="17">
        <v>4950929.3182001002</v>
      </c>
      <c r="R141" s="17">
        <v>25701635.378996301</v>
      </c>
      <c r="S141" s="17">
        <v>28774465.3856223</v>
      </c>
      <c r="T141" s="17">
        <v>19125787.4915636</v>
      </c>
      <c r="U141" s="17">
        <v>16934991.1820389</v>
      </c>
      <c r="V141" s="17">
        <v>10944581.5908846</v>
      </c>
      <c r="W141" s="17">
        <v>14469130.8807291</v>
      </c>
      <c r="X141" s="34">
        <f>AVERAGE(L141:N141)</f>
        <v>6456586.1431413032</v>
      </c>
      <c r="Y141" s="34">
        <f>AVERAGE(O141:Q141)</f>
        <v>5494561.6229774905</v>
      </c>
      <c r="Z141" s="40">
        <f>Y141/X141</f>
        <v>0.85100105553679462</v>
      </c>
      <c r="AA141" s="33">
        <f>AVERAGE(R141:T141)</f>
        <v>24533962.752060737</v>
      </c>
      <c r="AB141" s="33">
        <f>AVERAGE(U141:W141)</f>
        <v>14116234.551217534</v>
      </c>
      <c r="AC141" s="39">
        <f>AB141/AA141</f>
        <v>0.57537523366590404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</row>
    <row r="142" spans="1:89">
      <c r="A142" s="1" t="s">
        <v>126</v>
      </c>
      <c r="B142" s="1" t="s">
        <v>127</v>
      </c>
      <c r="C142" s="1" t="s">
        <v>128</v>
      </c>
      <c r="D142" s="1">
        <v>-0.95</v>
      </c>
      <c r="E142" s="1">
        <v>135.05437000000001</v>
      </c>
      <c r="F142" s="1">
        <v>2.887</v>
      </c>
      <c r="G142" s="17">
        <f>AVERAGE(L142:W142)</f>
        <v>70414024.646629229</v>
      </c>
      <c r="H142" s="17">
        <v>112323384.752066</v>
      </c>
      <c r="I142" s="17" t="e">
        <f>G142/#REF!</f>
        <v>#REF!</v>
      </c>
      <c r="J142" s="17" t="e">
        <f>H142/#REF!</f>
        <v>#REF!</v>
      </c>
      <c r="K142" s="1">
        <v>90.2</v>
      </c>
      <c r="L142" s="17">
        <v>59811487.7237477</v>
      </c>
      <c r="M142" s="17">
        <v>93340034.959918097</v>
      </c>
      <c r="N142" s="17">
        <v>61471494.764411703</v>
      </c>
      <c r="O142" s="17">
        <v>53854534.509193301</v>
      </c>
      <c r="P142" s="17">
        <v>49560393.265735701</v>
      </c>
      <c r="Q142" s="17">
        <v>71001474.8091221</v>
      </c>
      <c r="R142" s="17">
        <v>74754022.8719365</v>
      </c>
      <c r="S142" s="17">
        <v>110275047.29448</v>
      </c>
      <c r="T142" s="17">
        <v>104488559.396604</v>
      </c>
      <c r="U142" s="17">
        <v>57860373.2109598</v>
      </c>
      <c r="V142" s="17">
        <v>57943821.411339</v>
      </c>
      <c r="W142" s="17">
        <v>50607051.542102903</v>
      </c>
      <c r="X142" s="34">
        <f>AVERAGE(L142:N142)</f>
        <v>71541005.816025838</v>
      </c>
      <c r="Y142" s="34">
        <f>AVERAGE(O142:Q142)</f>
        <v>58138800.861350365</v>
      </c>
      <c r="Z142" s="40">
        <f>Y142/X142</f>
        <v>0.81266401273221611</v>
      </c>
      <c r="AA142" s="33">
        <f>AVERAGE(R142:T142)</f>
        <v>96505876.521006823</v>
      </c>
      <c r="AB142" s="33">
        <f>AVERAGE(U142:W142)</f>
        <v>55470415.388133906</v>
      </c>
      <c r="AC142" s="39">
        <f>AB142/AA142</f>
        <v>0.57478795476314271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</row>
    <row r="143" spans="1:89">
      <c r="A143" s="1" t="s">
        <v>98</v>
      </c>
      <c r="B143" s="1" t="s">
        <v>99</v>
      </c>
      <c r="C143" s="1" t="s">
        <v>100</v>
      </c>
      <c r="D143" s="1">
        <v>-0.84</v>
      </c>
      <c r="E143" s="1">
        <v>162.11555999999999</v>
      </c>
      <c r="F143" s="1">
        <v>2.9609999999999999</v>
      </c>
      <c r="G143" s="17">
        <f>AVERAGE(L143:W143)</f>
        <v>94602095.509233341</v>
      </c>
      <c r="H143" s="17">
        <v>138505088.367542</v>
      </c>
      <c r="I143" s="17" t="e">
        <f>G143/#REF!</f>
        <v>#REF!</v>
      </c>
      <c r="J143" s="17" t="e">
        <f>H143/#REF!</f>
        <v>#REF!</v>
      </c>
      <c r="K143" s="1">
        <v>95.8</v>
      </c>
      <c r="L143" s="17">
        <v>124418085.09334201</v>
      </c>
      <c r="M143" s="17">
        <v>108399000.657326</v>
      </c>
      <c r="N143" s="17">
        <v>71431615.111985102</v>
      </c>
      <c r="O143" s="17">
        <v>135678679.84691799</v>
      </c>
      <c r="P143" s="17">
        <v>48472240.128833003</v>
      </c>
      <c r="Q143" s="17">
        <v>66998946.837280102</v>
      </c>
      <c r="R143" s="17">
        <v>114169257.363968</v>
      </c>
      <c r="S143" s="17">
        <v>138505088.367542</v>
      </c>
      <c r="T143" s="17">
        <v>116319963.939941</v>
      </c>
      <c r="U143" s="17">
        <v>89933570.597337201</v>
      </c>
      <c r="V143" s="17">
        <v>65753086.0624993</v>
      </c>
      <c r="W143" s="17">
        <v>55145612.103828199</v>
      </c>
      <c r="X143" s="34">
        <f>AVERAGE(L143:N143)</f>
        <v>101416233.62088436</v>
      </c>
      <c r="Y143" s="34">
        <f>AVERAGE(O143:Q143)</f>
        <v>83716622.271010354</v>
      </c>
      <c r="Z143" s="40">
        <f>Y143/X143</f>
        <v>0.8254755602930498</v>
      </c>
      <c r="AA143" s="33">
        <f>AVERAGE(R143:T143)</f>
        <v>122998103.22381699</v>
      </c>
      <c r="AB143" s="33">
        <f>AVERAGE(U143:W143)</f>
        <v>70277422.921221569</v>
      </c>
      <c r="AC143" s="39">
        <f>AB143/AA143</f>
        <v>0.57136997302583814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</row>
    <row r="144" spans="1:89">
      <c r="A144" s="1" t="s">
        <v>450</v>
      </c>
      <c r="B144" s="1" t="s">
        <v>451</v>
      </c>
      <c r="C144" s="1" t="s">
        <v>334</v>
      </c>
      <c r="D144" s="1">
        <v>-0.85</v>
      </c>
      <c r="E144" s="1">
        <v>118.02651</v>
      </c>
      <c r="F144" s="1">
        <v>3.4710000000000001</v>
      </c>
      <c r="G144" s="17">
        <f>AVERAGE(L144:W144)</f>
        <v>2685367.1262831311</v>
      </c>
      <c r="H144" s="17">
        <v>7887573.9713492198</v>
      </c>
      <c r="I144" s="17" t="e">
        <f>G144/#REF!</f>
        <v>#REF!</v>
      </c>
      <c r="J144" s="17" t="e">
        <f>H144/#REF!</f>
        <v>#REF!</v>
      </c>
      <c r="K144" s="1">
        <v>76.099999999999994</v>
      </c>
      <c r="L144" s="17">
        <v>3032711.7929319902</v>
      </c>
      <c r="M144" s="17">
        <v>1292423.96294223</v>
      </c>
      <c r="N144" s="17">
        <v>4520899.0206707502</v>
      </c>
      <c r="O144" s="17">
        <v>6727780.2425425304</v>
      </c>
      <c r="P144" s="17">
        <v>1173822.66830673</v>
      </c>
      <c r="Q144" s="17">
        <v>1355904.49478491</v>
      </c>
      <c r="R144" s="17">
        <v>506075.031951249</v>
      </c>
      <c r="S144" s="17">
        <v>3955355.9234919101</v>
      </c>
      <c r="T144" s="17">
        <v>4543790.3531301403</v>
      </c>
      <c r="U144" s="17">
        <v>4232864.2357558999</v>
      </c>
      <c r="V144" s="17">
        <v>443693.20609745203</v>
      </c>
      <c r="W144" s="17">
        <v>439084.58279177902</v>
      </c>
      <c r="X144" s="34">
        <f>AVERAGE(L144:N144)</f>
        <v>2948678.258848323</v>
      </c>
      <c r="Y144" s="34">
        <f>AVERAGE(O144:Q144)</f>
        <v>3085835.801878057</v>
      </c>
      <c r="Z144" s="40">
        <f>Y144/X144</f>
        <v>1.0465149232942437</v>
      </c>
      <c r="AA144" s="33">
        <f>AVERAGE(R144:T144)</f>
        <v>3001740.4361910992</v>
      </c>
      <c r="AB144" s="33">
        <f>AVERAGE(U144:W144)</f>
        <v>1705214.0082150437</v>
      </c>
      <c r="AC144" s="39">
        <f>AB144/AA144</f>
        <v>0.5680751032486957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</row>
    <row r="145" spans="1:89">
      <c r="A145" s="1" t="s">
        <v>329</v>
      </c>
      <c r="B145" s="1" t="s">
        <v>330</v>
      </c>
      <c r="C145" s="1" t="s">
        <v>331</v>
      </c>
      <c r="D145" s="1">
        <v>-2.13</v>
      </c>
      <c r="E145" s="1">
        <v>243.08500000000001</v>
      </c>
      <c r="F145" s="1">
        <v>7.0510000000000002</v>
      </c>
      <c r="G145" s="17">
        <f>AVERAGE(L145:W145)</f>
        <v>10818465.160027867</v>
      </c>
      <c r="H145" s="17">
        <v>28500710.150269199</v>
      </c>
      <c r="I145" s="17" t="e">
        <f>G145/#REF!</f>
        <v>#REF!</v>
      </c>
      <c r="J145" s="17" t="e">
        <f>H145/#REF!</f>
        <v>#REF!</v>
      </c>
      <c r="K145" s="1">
        <v>87.4</v>
      </c>
      <c r="L145" s="17">
        <v>493021.44253807701</v>
      </c>
      <c r="M145" s="17">
        <v>5031292.4580420898</v>
      </c>
      <c r="N145" s="17">
        <v>7551521.0393536501</v>
      </c>
      <c r="O145" s="17">
        <v>8921371.2940618601</v>
      </c>
      <c r="P145" s="17">
        <v>3113088.7246143199</v>
      </c>
      <c r="Q145" s="17">
        <v>6186812.7353293104</v>
      </c>
      <c r="R145" s="17">
        <v>14335150.9031849</v>
      </c>
      <c r="S145" s="17">
        <v>20962951.3398818</v>
      </c>
      <c r="T145" s="17">
        <v>28500710.150269199</v>
      </c>
      <c r="U145" s="17">
        <v>11164822.729960799</v>
      </c>
      <c r="V145" s="17">
        <v>8723046.4500758108</v>
      </c>
      <c r="W145" s="17">
        <v>14837792.6530226</v>
      </c>
      <c r="X145" s="34">
        <f>AVERAGE(L145:N145)</f>
        <v>4358611.6466446063</v>
      </c>
      <c r="Y145" s="34">
        <f>AVERAGE(O145:Q145)</f>
        <v>6073757.5846684976</v>
      </c>
      <c r="Z145" s="40">
        <f>Y145/X145</f>
        <v>1.393507400308138</v>
      </c>
      <c r="AA145" s="33">
        <f>AVERAGE(R145:T145)</f>
        <v>21266270.797778632</v>
      </c>
      <c r="AB145" s="33">
        <f>AVERAGE(U145:W145)</f>
        <v>11575220.611019738</v>
      </c>
      <c r="AC145" s="39">
        <f>AB145/AA145</f>
        <v>0.54429950230055513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</row>
    <row r="146" spans="1:89">
      <c r="A146" s="1" t="s">
        <v>186</v>
      </c>
      <c r="B146" s="1" t="s">
        <v>187</v>
      </c>
      <c r="C146" s="1" t="s">
        <v>188</v>
      </c>
      <c r="D146" s="1">
        <v>-0.77</v>
      </c>
      <c r="E146" s="1">
        <v>128.09486000000001</v>
      </c>
      <c r="F146" s="1">
        <v>4.8120000000000003</v>
      </c>
      <c r="G146" s="17">
        <f>AVERAGE(L146:W146)</f>
        <v>38444486.198538683</v>
      </c>
      <c r="H146" s="17">
        <v>79006291.486400604</v>
      </c>
      <c r="I146" s="17" t="e">
        <f>G146/#REF!</f>
        <v>#REF!</v>
      </c>
      <c r="J146" s="17" t="e">
        <f>H146/#REF!</f>
        <v>#REF!</v>
      </c>
      <c r="K146" s="1">
        <v>75.8</v>
      </c>
      <c r="L146" s="17">
        <v>34814343.363261901</v>
      </c>
      <c r="M146" s="17">
        <v>34249874.742827103</v>
      </c>
      <c r="N146" s="17">
        <v>25834984.042319998</v>
      </c>
      <c r="O146" s="17">
        <v>76179192.6035202</v>
      </c>
      <c r="P146" s="17">
        <v>19363752.043232001</v>
      </c>
      <c r="Q146" s="17">
        <v>19641551.714380499</v>
      </c>
      <c r="R146" s="17">
        <v>38535791.4345681</v>
      </c>
      <c r="S146" s="17">
        <v>45360499.0677872</v>
      </c>
      <c r="T146" s="17">
        <v>79006291.486400604</v>
      </c>
      <c r="U146" s="17">
        <v>43037965.229628399</v>
      </c>
      <c r="V146" s="17">
        <v>22697696.354851998</v>
      </c>
      <c r="W146" s="17">
        <v>22611892.299686201</v>
      </c>
      <c r="X146" s="34">
        <f>AVERAGE(L146:N146)</f>
        <v>31633067.382802997</v>
      </c>
      <c r="Y146" s="34">
        <f>AVERAGE(O146:Q146)</f>
        <v>38394832.12037757</v>
      </c>
      <c r="Z146" s="40">
        <f>Y146/X146</f>
        <v>1.2137562145253906</v>
      </c>
      <c r="AA146" s="33">
        <f>AVERAGE(R146:T146)</f>
        <v>54300860.662918635</v>
      </c>
      <c r="AB146" s="33">
        <f>AVERAGE(U146:W146)</f>
        <v>29449184.628055532</v>
      </c>
      <c r="AC146" s="39">
        <f>AB146/AA146</f>
        <v>0.54233366227592783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</row>
    <row r="147" spans="1:89">
      <c r="A147" s="14" t="s">
        <v>70</v>
      </c>
      <c r="B147" s="14" t="s">
        <v>71</v>
      </c>
      <c r="C147" s="1" t="s">
        <v>72</v>
      </c>
      <c r="D147" s="1">
        <v>-1.24</v>
      </c>
      <c r="E147" s="1">
        <v>267.09642000000002</v>
      </c>
      <c r="F147" s="1">
        <v>2.9769999999999999</v>
      </c>
      <c r="G147" s="17">
        <f>AVERAGE(L147:W147)</f>
        <v>188579133.55623475</v>
      </c>
      <c r="H147" s="17">
        <v>417453702.62128001</v>
      </c>
      <c r="I147" s="17" t="e">
        <f>G147/#REF!</f>
        <v>#REF!</v>
      </c>
      <c r="J147" s="17" t="e">
        <f>H147/#REF!</f>
        <v>#REF!</v>
      </c>
      <c r="K147" s="1">
        <v>91.8</v>
      </c>
      <c r="L147" s="17">
        <v>145400167.091066</v>
      </c>
      <c r="M147" s="17">
        <v>121526460.797389</v>
      </c>
      <c r="N147" s="17">
        <v>226027782.83516699</v>
      </c>
      <c r="O147" s="17">
        <v>141606274.84515601</v>
      </c>
      <c r="P147" s="17">
        <v>121011597.342599</v>
      </c>
      <c r="Q147" s="17">
        <v>182549076.664123</v>
      </c>
      <c r="R147" s="17">
        <v>260723226.765255</v>
      </c>
      <c r="S147" s="17">
        <v>184412015.50924599</v>
      </c>
      <c r="T147" s="17">
        <v>417453702.62128001</v>
      </c>
      <c r="U147" s="17">
        <v>143814402.928718</v>
      </c>
      <c r="V147" s="17">
        <v>124196542.958731</v>
      </c>
      <c r="W147" s="17">
        <v>194228352.31608701</v>
      </c>
      <c r="X147" s="34">
        <f>AVERAGE(L147:N147)</f>
        <v>164318136.90787399</v>
      </c>
      <c r="Y147" s="34">
        <f>AVERAGE(O147:Q147)</f>
        <v>148388982.95062602</v>
      </c>
      <c r="Z147" s="40">
        <f>Y147/X147</f>
        <v>0.90305906422138449</v>
      </c>
      <c r="AA147" s="33">
        <f>AVERAGE(R147:T147)</f>
        <v>287529648.2985937</v>
      </c>
      <c r="AB147" s="33">
        <f>AVERAGE(U147:W147)</f>
        <v>154079766.06784534</v>
      </c>
      <c r="AC147" s="39">
        <f>AB147/AA147</f>
        <v>0.53587435932115302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</row>
    <row r="148" spans="1:89">
      <c r="A148" s="1" t="s">
        <v>242</v>
      </c>
      <c r="B148" s="1" t="s">
        <v>243</v>
      </c>
      <c r="C148" s="1" t="s">
        <v>244</v>
      </c>
      <c r="D148" s="1">
        <v>-1.98</v>
      </c>
      <c r="E148" s="1">
        <v>260.13670999999999</v>
      </c>
      <c r="F148" s="1">
        <v>5.1790000000000003</v>
      </c>
      <c r="G148" s="17">
        <f>AVERAGE(L148:W148)</f>
        <v>21004073.715597924</v>
      </c>
      <c r="H148" s="17">
        <v>35807690.050051197</v>
      </c>
      <c r="I148" s="17" t="e">
        <f>G148/#REF!</f>
        <v>#REF!</v>
      </c>
      <c r="J148" s="17" t="e">
        <f>H148/#REF!</f>
        <v>#REF!</v>
      </c>
      <c r="K148" s="1">
        <v>58.9</v>
      </c>
      <c r="L148" s="17">
        <v>13983837.635888901</v>
      </c>
      <c r="M148" s="17">
        <v>16577892.948245199</v>
      </c>
      <c r="N148" s="17">
        <v>24495589.509582799</v>
      </c>
      <c r="O148" s="17">
        <v>8430752.9321263507</v>
      </c>
      <c r="P148" s="17">
        <v>26493386.037408199</v>
      </c>
      <c r="Q148" s="17">
        <v>28314513.1516219</v>
      </c>
      <c r="R148" s="17">
        <v>25876192.457012199</v>
      </c>
      <c r="S148" s="17">
        <v>25635571.2833343</v>
      </c>
      <c r="T148" s="17">
        <v>35807690.050051197</v>
      </c>
      <c r="U148" s="17">
        <v>17613738.655170701</v>
      </c>
      <c r="V148" s="17">
        <v>16222085.091241</v>
      </c>
      <c r="W148" s="17">
        <v>12597634.8354923</v>
      </c>
      <c r="X148" s="34">
        <f>AVERAGE(L148:N148)</f>
        <v>18352440.031238969</v>
      </c>
      <c r="Y148" s="34">
        <f>AVERAGE(O148:Q148)</f>
        <v>21079550.707052149</v>
      </c>
      <c r="Z148" s="40">
        <f>Y148/X148</f>
        <v>1.1485966264524594</v>
      </c>
      <c r="AA148" s="33">
        <f>AVERAGE(R148:T148)</f>
        <v>29106484.596799236</v>
      </c>
      <c r="AB148" s="33">
        <f>AVERAGE(U148:W148)</f>
        <v>15477819.527301334</v>
      </c>
      <c r="AC148" s="39">
        <f>AB148/AA148</f>
        <v>0.53176533482863086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</row>
    <row r="149" spans="1:89" s="7" customFormat="1">
      <c r="A149" s="1" t="s">
        <v>323</v>
      </c>
      <c r="B149" s="1" t="s">
        <v>324</v>
      </c>
      <c r="C149" s="1" t="s">
        <v>325</v>
      </c>
      <c r="D149" s="1">
        <v>-2.83</v>
      </c>
      <c r="E149" s="1">
        <v>268.08001000000002</v>
      </c>
      <c r="F149" s="1">
        <v>3.7759999999999998</v>
      </c>
      <c r="G149" s="17">
        <f>AVERAGE(L149:W149)</f>
        <v>11353788.81126737</v>
      </c>
      <c r="H149" s="17">
        <v>26243717.251291901</v>
      </c>
      <c r="I149" s="17" t="e">
        <f>G149/#REF!</f>
        <v>#REF!</v>
      </c>
      <c r="J149" s="17" t="e">
        <f>H149/#REF!</f>
        <v>#REF!</v>
      </c>
      <c r="K149" s="1">
        <v>78.2</v>
      </c>
      <c r="L149" s="17">
        <v>6529508.9655007403</v>
      </c>
      <c r="M149" s="17">
        <v>9711797.0954335295</v>
      </c>
      <c r="N149" s="17">
        <v>6700688.4529464003</v>
      </c>
      <c r="O149" s="17">
        <v>2863320.6807339098</v>
      </c>
      <c r="P149" s="17">
        <v>7678177.04239963</v>
      </c>
      <c r="Q149" s="17">
        <v>10445018.293005601</v>
      </c>
      <c r="R149" s="17">
        <v>13727232.319576301</v>
      </c>
      <c r="S149" s="17">
        <v>26243717.251291901</v>
      </c>
      <c r="T149" s="17">
        <v>20370904.347713102</v>
      </c>
      <c r="U149" s="17">
        <v>12651402.112877199</v>
      </c>
      <c r="V149" s="17">
        <v>11039075.103915</v>
      </c>
      <c r="W149" s="17">
        <v>8284624.0698151197</v>
      </c>
      <c r="X149" s="34">
        <f>AVERAGE(L149:N149)</f>
        <v>7647331.5046268897</v>
      </c>
      <c r="Y149" s="34">
        <f>AVERAGE(O149:Q149)</f>
        <v>6995505.3387130471</v>
      </c>
      <c r="Z149" s="40">
        <f>Y149/X149</f>
        <v>0.91476423305051358</v>
      </c>
      <c r="AA149" s="33">
        <f>AVERAGE(R149:T149)</f>
        <v>20113951.306193769</v>
      </c>
      <c r="AB149" s="33">
        <f>AVERAGE(U149:W149)</f>
        <v>10658367.095535772</v>
      </c>
      <c r="AC149" s="39">
        <f>AB149/AA149</f>
        <v>0.52989921936689277</v>
      </c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</row>
    <row r="150" spans="1:89" s="22" customFormat="1">
      <c r="A150" s="4" t="s">
        <v>113</v>
      </c>
      <c r="B150" s="1" t="s">
        <v>114</v>
      </c>
      <c r="C150" s="1" t="s">
        <v>36</v>
      </c>
      <c r="D150" s="1">
        <v>-1.1100000000000001</v>
      </c>
      <c r="E150" s="1">
        <v>188.11588</v>
      </c>
      <c r="F150" s="1">
        <v>4.7110000000000003</v>
      </c>
      <c r="G150" s="17">
        <f>AVERAGE(L150:W150)</f>
        <v>87130648.980149329</v>
      </c>
      <c r="H150" s="17">
        <v>196192293.213045</v>
      </c>
      <c r="I150" s="17" t="e">
        <f>G150/#REF!</f>
        <v>#REF!</v>
      </c>
      <c r="J150" s="17" t="e">
        <f>H150/#REF!</f>
        <v>#REF!</v>
      </c>
      <c r="K150" s="1">
        <v>82.5</v>
      </c>
      <c r="L150" s="17">
        <v>80089419.548518598</v>
      </c>
      <c r="M150" s="17">
        <v>41221934.8219909</v>
      </c>
      <c r="N150" s="17">
        <v>77389929.052975297</v>
      </c>
      <c r="O150" s="17">
        <v>16465619.128987201</v>
      </c>
      <c r="P150" s="17">
        <v>114641833.730406</v>
      </c>
      <c r="Q150" s="17">
        <v>196192293.213045</v>
      </c>
      <c r="R150" s="17">
        <v>518345.57572635502</v>
      </c>
      <c r="S150" s="17">
        <v>175626074.07120201</v>
      </c>
      <c r="T150" s="17">
        <v>165156708.65226501</v>
      </c>
      <c r="U150" s="17">
        <v>51973990.260791697</v>
      </c>
      <c r="V150" s="17">
        <v>81669965.448647097</v>
      </c>
      <c r="W150" s="17">
        <v>44621674.257236697</v>
      </c>
      <c r="X150" s="34">
        <f>AVERAGE(L150:N150)</f>
        <v>66233761.141161598</v>
      </c>
      <c r="Y150" s="34">
        <f>AVERAGE(O150:Q150)</f>
        <v>109099915.35747941</v>
      </c>
      <c r="Z150" s="40">
        <f>Y150/X150</f>
        <v>1.6471949271453683</v>
      </c>
      <c r="AA150" s="33">
        <f>AVERAGE(R150:T150)</f>
        <v>113767042.76639779</v>
      </c>
      <c r="AB150" s="33">
        <f>AVERAGE(U150:W150)</f>
        <v>59421876.655558497</v>
      </c>
      <c r="AC150" s="39">
        <f>AB150/AA150</f>
        <v>0.52231186827604992</v>
      </c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</row>
    <row r="151" spans="1:89">
      <c r="A151" s="1" t="s">
        <v>492</v>
      </c>
      <c r="B151" s="1" t="s">
        <v>493</v>
      </c>
      <c r="C151" s="1" t="s">
        <v>494</v>
      </c>
      <c r="D151" s="1">
        <v>-3.26</v>
      </c>
      <c r="E151" s="1">
        <v>131.05781999999999</v>
      </c>
      <c r="F151" s="1">
        <v>4.88</v>
      </c>
      <c r="G151" s="17">
        <f>AVERAGE(L151:W151)</f>
        <v>1018947.7111965674</v>
      </c>
      <c r="H151" s="17">
        <v>3178945.0261715902</v>
      </c>
      <c r="I151" s="17" t="e">
        <f>G151/#REF!</f>
        <v>#REF!</v>
      </c>
      <c r="J151" s="17" t="e">
        <f>H151/#REF!</f>
        <v>#REF!</v>
      </c>
      <c r="K151" s="1">
        <v>87.3</v>
      </c>
      <c r="L151" s="17">
        <v>424133.096757836</v>
      </c>
      <c r="M151" s="17">
        <v>1771196.5747672699</v>
      </c>
      <c r="N151" s="17">
        <v>1696071.2815040001</v>
      </c>
      <c r="O151" s="17">
        <v>634251.932985552</v>
      </c>
      <c r="P151" s="17">
        <v>2335784.6863736501</v>
      </c>
      <c r="Q151" s="17">
        <v>531839.32271089696</v>
      </c>
      <c r="R151" s="17">
        <v>1134417.04226792</v>
      </c>
      <c r="S151" s="17">
        <v>707414.498812426</v>
      </c>
      <c r="T151" s="17">
        <v>1350729.94820636</v>
      </c>
      <c r="U151" s="17">
        <v>978362.81146402506</v>
      </c>
      <c r="V151" s="17">
        <v>212792.239905861</v>
      </c>
      <c r="W151" s="17">
        <v>450379.09860301402</v>
      </c>
      <c r="X151" s="34">
        <f>AVERAGE(L151:N151)</f>
        <v>1297133.6510097019</v>
      </c>
      <c r="Y151" s="34">
        <f>AVERAGE(O151:Q151)</f>
        <v>1167291.9806900329</v>
      </c>
      <c r="Z151" s="40">
        <f>Y151/X151</f>
        <v>0.89990108558312487</v>
      </c>
      <c r="AA151" s="33">
        <f>AVERAGE(R151:T151)</f>
        <v>1064187.1630955685</v>
      </c>
      <c r="AB151" s="33">
        <f>AVERAGE(U151:W151)</f>
        <v>547178.0499909668</v>
      </c>
      <c r="AC151" s="39">
        <f>AB151/AA151</f>
        <v>0.5141746386033299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</row>
    <row r="152" spans="1:89">
      <c r="A152" s="1" t="s">
        <v>452</v>
      </c>
      <c r="B152" s="1" t="s">
        <v>453</v>
      </c>
      <c r="C152" s="1" t="s">
        <v>454</v>
      </c>
      <c r="D152" s="1">
        <v>-0.74</v>
      </c>
      <c r="E152" s="1">
        <v>257.10097999999999</v>
      </c>
      <c r="F152" s="1">
        <v>5.0659999999999998</v>
      </c>
      <c r="G152" s="17">
        <f>AVERAGE(L152:W152)</f>
        <v>2603320.4405278522</v>
      </c>
      <c r="H152" s="17">
        <v>4070725.546538</v>
      </c>
      <c r="I152" s="17" t="e">
        <f>G152/#REF!</f>
        <v>#REF!</v>
      </c>
      <c r="J152" s="17" t="e">
        <f>H152/#REF!</f>
        <v>#REF!</v>
      </c>
      <c r="K152" s="1">
        <v>56.7</v>
      </c>
      <c r="L152" s="17">
        <v>2875358.1936092698</v>
      </c>
      <c r="M152" s="17">
        <v>3893514.7127231099</v>
      </c>
      <c r="N152" s="17">
        <v>4070725.546538</v>
      </c>
      <c r="O152" s="17">
        <v>1503546.28335741</v>
      </c>
      <c r="P152" s="17">
        <v>3152171.1388822501</v>
      </c>
      <c r="Q152" s="17">
        <v>3131208.8922467502</v>
      </c>
      <c r="R152" s="17">
        <v>3223893.1168338102</v>
      </c>
      <c r="S152" s="17">
        <v>2961135.4173194999</v>
      </c>
      <c r="T152" s="17">
        <v>2168873.1235463298</v>
      </c>
      <c r="U152" s="17">
        <v>1601923.0593091201</v>
      </c>
      <c r="V152" s="17">
        <v>1573642.07864121</v>
      </c>
      <c r="W152" s="17">
        <v>1083853.72332747</v>
      </c>
      <c r="X152" s="34">
        <f>AVERAGE(L152:N152)</f>
        <v>3613199.4842901267</v>
      </c>
      <c r="Y152" s="34">
        <f>AVERAGE(O152:Q152)</f>
        <v>2595642.1048288033</v>
      </c>
      <c r="Z152" s="40">
        <f>Y152/X152</f>
        <v>0.71837774695652057</v>
      </c>
      <c r="AA152" s="33">
        <f>AVERAGE(R152:T152)</f>
        <v>2784633.8858998804</v>
      </c>
      <c r="AB152" s="33">
        <f>AVERAGE(U152:W152)</f>
        <v>1419806.2870926</v>
      </c>
      <c r="AC152" s="39">
        <f>AB152/AA152</f>
        <v>0.50987179832934348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</row>
    <row r="153" spans="1:89">
      <c r="A153" s="1" t="s">
        <v>281</v>
      </c>
      <c r="B153" s="1" t="s">
        <v>282</v>
      </c>
      <c r="C153" s="1" t="s">
        <v>283</v>
      </c>
      <c r="D153" s="1">
        <v>-2</v>
      </c>
      <c r="E153" s="1">
        <v>290.03969999999998</v>
      </c>
      <c r="F153" s="1">
        <v>12.069000000000001</v>
      </c>
      <c r="G153" s="17">
        <f>AVERAGE(L153:W153)</f>
        <v>15092479.151134191</v>
      </c>
      <c r="H153" s="17">
        <v>51458248.411518298</v>
      </c>
      <c r="I153" s="17" t="e">
        <f>G153/#REF!</f>
        <v>#REF!</v>
      </c>
      <c r="J153" s="17" t="e">
        <f>H153/#REF!</f>
        <v>#REF!</v>
      </c>
      <c r="K153" s="1">
        <v>92.2</v>
      </c>
      <c r="L153" s="17">
        <v>8153823.3746939898</v>
      </c>
      <c r="M153" s="17">
        <v>10269786.4700446</v>
      </c>
      <c r="N153" s="17">
        <v>21338561.028661601</v>
      </c>
      <c r="O153" s="17">
        <v>11256685.9693652</v>
      </c>
      <c r="P153" s="17">
        <v>9119624.1447736304</v>
      </c>
      <c r="Q153" s="17">
        <v>12732263.4886717</v>
      </c>
      <c r="R153" s="17">
        <v>12738679.191359499</v>
      </c>
      <c r="S153" s="17">
        <v>51458248.411518298</v>
      </c>
      <c r="T153" s="17">
        <v>7526631.0376194501</v>
      </c>
      <c r="U153" s="17">
        <v>11766499.8095241</v>
      </c>
      <c r="V153" s="17">
        <v>12109186.349314</v>
      </c>
      <c r="W153" s="17">
        <v>12639760.5380642</v>
      </c>
      <c r="X153" s="34">
        <f>AVERAGE(L153:N153)</f>
        <v>13254056.957800062</v>
      </c>
      <c r="Y153" s="34">
        <f>AVERAGE(O153:Q153)</f>
        <v>11036191.200936845</v>
      </c>
      <c r="Z153" s="40">
        <f>Y153/X153</f>
        <v>0.83266514064903008</v>
      </c>
      <c r="AA153" s="33">
        <f>AVERAGE(R153:T153)</f>
        <v>23907852.880165752</v>
      </c>
      <c r="AB153" s="33">
        <f>AVERAGE(U153:W153)</f>
        <v>12171815.565634102</v>
      </c>
      <c r="AC153" s="39">
        <f>AB153/AA153</f>
        <v>0.50911370530190891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</row>
    <row r="154" spans="1:89">
      <c r="A154" s="1" t="s">
        <v>362</v>
      </c>
      <c r="B154" s="1" t="s">
        <v>363</v>
      </c>
      <c r="C154" s="1" t="s">
        <v>364</v>
      </c>
      <c r="D154" s="1">
        <v>2.7</v>
      </c>
      <c r="E154" s="1">
        <v>278.22532999999999</v>
      </c>
      <c r="F154" s="1">
        <v>0.95399999999999996</v>
      </c>
      <c r="G154" s="17">
        <f>AVERAGE(L154:W154)</f>
        <v>8317389.854894354</v>
      </c>
      <c r="H154" s="17">
        <v>17401457.784688</v>
      </c>
      <c r="I154" s="17" t="e">
        <f>G154/#REF!</f>
        <v>#REF!</v>
      </c>
      <c r="J154" s="17" t="e">
        <f>H154/#REF!</f>
        <v>#REF!</v>
      </c>
      <c r="K154" s="1">
        <v>58.8</v>
      </c>
      <c r="L154" s="17">
        <v>4087672.3182357699</v>
      </c>
      <c r="M154" s="17">
        <v>7948064.4729089802</v>
      </c>
      <c r="N154" s="17">
        <v>8255078.2766142301</v>
      </c>
      <c r="O154" s="17">
        <v>13464684.3769622</v>
      </c>
      <c r="P154" s="17">
        <v>8799588.8840807397</v>
      </c>
      <c r="Q154" s="17">
        <v>17401457.784688</v>
      </c>
      <c r="R154" s="17">
        <v>7315753.5490538804</v>
      </c>
      <c r="S154" s="17">
        <v>10094316.593064601</v>
      </c>
      <c r="T154" s="17">
        <v>9164098.5389065202</v>
      </c>
      <c r="U154" s="17">
        <v>4208444.5833726404</v>
      </c>
      <c r="V154" s="17">
        <v>3607334.3851024499</v>
      </c>
      <c r="W154" s="17">
        <v>5462184.49574224</v>
      </c>
      <c r="X154" s="34">
        <f>AVERAGE(L154:N154)</f>
        <v>6763605.022586327</v>
      </c>
      <c r="Y154" s="34">
        <f>AVERAGE(O154:Q154)</f>
        <v>13221910.348576978</v>
      </c>
      <c r="Z154" s="40">
        <f>Y154/X154</f>
        <v>1.9548613948366056</v>
      </c>
      <c r="AA154" s="33">
        <f>AVERAGE(R154:T154)</f>
        <v>8858056.2270083334</v>
      </c>
      <c r="AB154" s="33">
        <f>AVERAGE(U154:W154)</f>
        <v>4425987.8214057768</v>
      </c>
      <c r="AC154" s="39">
        <f>AB154/AA154</f>
        <v>0.49965677660871921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</row>
    <row r="155" spans="1:89">
      <c r="A155" s="1" t="s">
        <v>489</v>
      </c>
      <c r="B155" s="4" t="s">
        <v>490</v>
      </c>
      <c r="C155" s="1" t="s">
        <v>491</v>
      </c>
      <c r="D155" s="1">
        <v>-3.34</v>
      </c>
      <c r="E155" s="1">
        <v>165.04541</v>
      </c>
      <c r="F155" s="1">
        <v>10.518000000000001</v>
      </c>
      <c r="G155" s="17">
        <f>AVERAGE(L155:W155)</f>
        <v>1276310.1906057743</v>
      </c>
      <c r="H155" s="17">
        <v>4638232.4492301</v>
      </c>
      <c r="I155" s="17" t="e">
        <f>G155/#REF!</f>
        <v>#REF!</v>
      </c>
      <c r="J155" s="17" t="e">
        <f>H155/#REF!</f>
        <v>#REF!</v>
      </c>
      <c r="K155" s="1">
        <v>70.2</v>
      </c>
      <c r="L155" s="17">
        <v>126716.34114099</v>
      </c>
      <c r="M155" s="17">
        <v>1121622.6858647999</v>
      </c>
      <c r="N155" s="17">
        <v>1121693.55584491</v>
      </c>
      <c r="O155" s="17">
        <v>963979.01753325795</v>
      </c>
      <c r="P155" s="17">
        <v>1477821.54113756</v>
      </c>
      <c r="Q155" s="17">
        <v>255053.29659774399</v>
      </c>
      <c r="R155" s="17">
        <v>4638232.4492301</v>
      </c>
      <c r="S155" s="17">
        <v>2084404.6851846401</v>
      </c>
      <c r="T155" s="17">
        <v>226211.25590242099</v>
      </c>
      <c r="U155" s="17">
        <v>1417685.51807338</v>
      </c>
      <c r="V155" s="17">
        <v>904834.88306807005</v>
      </c>
      <c r="W155" s="17">
        <v>977467.057691416</v>
      </c>
      <c r="X155" s="34">
        <f>AVERAGE(L155:N155)</f>
        <v>790010.8609502333</v>
      </c>
      <c r="Y155" s="34">
        <f>AVERAGE(O155:Q155)</f>
        <v>898951.28508952062</v>
      </c>
      <c r="Z155" s="40">
        <f>Y155/X155</f>
        <v>1.1378973752439969</v>
      </c>
      <c r="AA155" s="33">
        <f>AVERAGE(R155:T155)</f>
        <v>2316282.7967723869</v>
      </c>
      <c r="AB155" s="33">
        <f>AVERAGE(U155:W155)</f>
        <v>1099995.8196109552</v>
      </c>
      <c r="AC155" s="39">
        <f>AB155/AA155</f>
        <v>0.474897029474872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</row>
    <row r="156" spans="1:89">
      <c r="A156" s="1" t="s">
        <v>440</v>
      </c>
      <c r="B156" s="1" t="s">
        <v>441</v>
      </c>
      <c r="C156" s="1" t="s">
        <v>442</v>
      </c>
      <c r="D156" s="1">
        <v>0.31</v>
      </c>
      <c r="E156" s="1">
        <v>187.16852</v>
      </c>
      <c r="F156" s="1">
        <v>10.586</v>
      </c>
      <c r="G156" s="17">
        <f>AVERAGE(L156:W156)</f>
        <v>3123614.4346553753</v>
      </c>
      <c r="H156" s="17">
        <v>17318582.959745999</v>
      </c>
      <c r="I156" s="17" t="e">
        <f>G156/#REF!</f>
        <v>#REF!</v>
      </c>
      <c r="J156" s="17" t="e">
        <f>H156/#REF!</f>
        <v>#REF!</v>
      </c>
      <c r="K156" s="1">
        <v>64.5</v>
      </c>
      <c r="L156" s="17">
        <v>3541276.8338719201</v>
      </c>
      <c r="M156" s="17">
        <v>3315565.3419298399</v>
      </c>
      <c r="N156" s="17">
        <v>3776396.1304406901</v>
      </c>
      <c r="O156" s="17">
        <v>17318582.959745999</v>
      </c>
      <c r="P156" s="17">
        <v>2980934.8638053001</v>
      </c>
      <c r="Q156" s="17">
        <v>1498592.47193573</v>
      </c>
      <c r="R156" s="17">
        <v>583180.15247028205</v>
      </c>
      <c r="S156" s="17">
        <v>495782.801095712</v>
      </c>
      <c r="T156" s="17">
        <v>2349067.2732501398</v>
      </c>
      <c r="U156" s="17">
        <v>510450.44239945302</v>
      </c>
      <c r="V156" s="17">
        <v>701958.73727914796</v>
      </c>
      <c r="W156" s="17">
        <v>411585.20764029201</v>
      </c>
      <c r="X156" s="34">
        <f>AVERAGE(L156:N156)</f>
        <v>3544412.7687474829</v>
      </c>
      <c r="Y156" s="34">
        <f>AVERAGE(O156:Q156)</f>
        <v>7266036.7651623441</v>
      </c>
      <c r="Z156" s="40">
        <f>Y156/X156</f>
        <v>2.0499973449000977</v>
      </c>
      <c r="AA156" s="33">
        <f>AVERAGE(R156:T156)</f>
        <v>1142676.7422720445</v>
      </c>
      <c r="AB156" s="33">
        <f>AVERAGE(U156:W156)</f>
        <v>541331.462439631</v>
      </c>
      <c r="AC156" s="39">
        <f>AB156/AA156</f>
        <v>0.47373980970617557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</row>
    <row r="157" spans="1:89" s="25" customFormat="1">
      <c r="A157" s="1" t="s">
        <v>502</v>
      </c>
      <c r="B157" s="1" t="s">
        <v>503</v>
      </c>
      <c r="C157" s="1" t="s">
        <v>504</v>
      </c>
      <c r="D157" s="1">
        <v>-0.45</v>
      </c>
      <c r="E157" s="1">
        <v>108.06894</v>
      </c>
      <c r="F157" s="1">
        <v>10.786</v>
      </c>
      <c r="G157" s="17">
        <f>AVERAGE(L157:W157)</f>
        <v>593453.0673123264</v>
      </c>
      <c r="H157" s="17">
        <v>2633992.2118756901</v>
      </c>
      <c r="I157" s="17" t="e">
        <f>G157/#REF!</f>
        <v>#REF!</v>
      </c>
      <c r="J157" s="17" t="e">
        <f>H157/#REF!</f>
        <v>#REF!</v>
      </c>
      <c r="K157" s="1">
        <v>59.5</v>
      </c>
      <c r="L157" s="17">
        <v>402751.06906673103</v>
      </c>
      <c r="M157" s="17">
        <v>419871.96519025601</v>
      </c>
      <c r="N157" s="17">
        <v>178448.35524498601</v>
      </c>
      <c r="O157" s="17">
        <v>539991.52720118605</v>
      </c>
      <c r="P157" s="17">
        <v>450389.839263656</v>
      </c>
      <c r="Q157" s="17">
        <v>1023789.24647122</v>
      </c>
      <c r="R157" s="17">
        <v>523596.77753928403</v>
      </c>
      <c r="S157" s="17">
        <v>1744787.3814653801</v>
      </c>
      <c r="T157" s="17">
        <v>549736.11356328998</v>
      </c>
      <c r="U157" s="17">
        <v>442453.31860428897</v>
      </c>
      <c r="V157" s="17">
        <v>424336.172061069</v>
      </c>
      <c r="W157" s="17">
        <v>421285.04207656998</v>
      </c>
      <c r="X157" s="34">
        <f>AVERAGE(L157:N157)</f>
        <v>333690.46316732437</v>
      </c>
      <c r="Y157" s="34">
        <f>AVERAGE(O157:Q157)</f>
        <v>671390.2043120208</v>
      </c>
      <c r="Z157" s="40">
        <f>Y157/X157</f>
        <v>2.0120149612287892</v>
      </c>
      <c r="AA157" s="33">
        <f>AVERAGE(R157:T157)</f>
        <v>939373.42418931797</v>
      </c>
      <c r="AB157" s="33">
        <f>AVERAGE(U157:W157)</f>
        <v>429358.17758064269</v>
      </c>
      <c r="AC157" s="39">
        <f>AB157/AA157</f>
        <v>0.45706868698268749</v>
      </c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</row>
    <row r="158" spans="1:89">
      <c r="A158" s="1" t="s">
        <v>367</v>
      </c>
      <c r="B158" s="1" t="s">
        <v>367</v>
      </c>
      <c r="C158" s="1" t="s">
        <v>368</v>
      </c>
      <c r="D158" s="1">
        <v>-1.33</v>
      </c>
      <c r="E158" s="1">
        <v>393.18946</v>
      </c>
      <c r="F158" s="1">
        <v>5.0780000000000003</v>
      </c>
      <c r="G158" s="17">
        <f>AVERAGE(L158:W158)</f>
        <v>7899218.9912444986</v>
      </c>
      <c r="H158" s="17">
        <v>19301062.387307599</v>
      </c>
      <c r="I158" s="17" t="e">
        <f>G158/#REF!</f>
        <v>#REF!</v>
      </c>
      <c r="J158" s="17" t="e">
        <f>H158/#REF!</f>
        <v>#REF!</v>
      </c>
      <c r="K158" s="1">
        <v>58.9</v>
      </c>
      <c r="L158" s="17">
        <v>3391729.4006737098</v>
      </c>
      <c r="M158" s="17">
        <v>2740325.8872616398</v>
      </c>
      <c r="N158" s="17">
        <v>5543919.43278585</v>
      </c>
      <c r="O158" s="17">
        <v>4422638.9487046003</v>
      </c>
      <c r="P158" s="17">
        <v>11000924.274658</v>
      </c>
      <c r="Q158" s="17">
        <v>10735241.376781</v>
      </c>
      <c r="R158" s="17">
        <v>8757155.6719622407</v>
      </c>
      <c r="S158" s="17">
        <v>11190036.166269001</v>
      </c>
      <c r="T158" s="17">
        <v>19301062.387307599</v>
      </c>
      <c r="U158" s="17">
        <v>5929011.5887928298</v>
      </c>
      <c r="V158" s="17">
        <v>6973358.7650540397</v>
      </c>
      <c r="W158" s="17">
        <v>4805223.9946834603</v>
      </c>
      <c r="X158" s="34">
        <f>AVERAGE(L158:N158)</f>
        <v>3891991.5735737332</v>
      </c>
      <c r="Y158" s="34">
        <f>AVERAGE(O158:Q158)</f>
        <v>8719601.5333811995</v>
      </c>
      <c r="Z158" s="40">
        <f>Y158/X158</f>
        <v>2.2403957892885731</v>
      </c>
      <c r="AA158" s="33">
        <f>AVERAGE(R158:T158)</f>
        <v>13082751.408512948</v>
      </c>
      <c r="AB158" s="33">
        <f>AVERAGE(U158:W158)</f>
        <v>5902531.4495101096</v>
      </c>
      <c r="AC158" s="39">
        <f>AB158/AA158</f>
        <v>0.45116896784183574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</row>
    <row r="159" spans="1:89">
      <c r="A159" s="1" t="s">
        <v>484</v>
      </c>
      <c r="B159" s="1" t="s">
        <v>485</v>
      </c>
      <c r="C159" s="1" t="s">
        <v>486</v>
      </c>
      <c r="D159" s="1">
        <v>-0.18</v>
      </c>
      <c r="E159" s="1">
        <v>153.00954999999999</v>
      </c>
      <c r="F159" s="1">
        <v>17.331</v>
      </c>
      <c r="G159" s="17">
        <f>AVERAGE(L159:W159)</f>
        <v>25825.577922953511</v>
      </c>
      <c r="H159" s="17">
        <v>19032711.3457832</v>
      </c>
      <c r="I159" s="17" t="e">
        <f>G159/#REF!</f>
        <v>#REF!</v>
      </c>
      <c r="J159" s="17" t="e">
        <f>H159/#REF!</f>
        <v>#REF!</v>
      </c>
      <c r="K159" s="1">
        <v>75.2</v>
      </c>
      <c r="L159" s="17">
        <v>11757.1844135501</v>
      </c>
      <c r="M159" s="17">
        <v>12416.5794621972</v>
      </c>
      <c r="N159" s="17">
        <v>10064.9660178092</v>
      </c>
      <c r="O159" s="17">
        <v>9062.7608691634396</v>
      </c>
      <c r="P159" s="17">
        <v>9041.7127679739406</v>
      </c>
      <c r="Q159" s="17">
        <v>13065.5864957054</v>
      </c>
      <c r="R159" s="17">
        <v>12826.9381854067</v>
      </c>
      <c r="S159" s="17">
        <v>11362.7332837088</v>
      </c>
      <c r="T159" s="17">
        <v>146726.56658086501</v>
      </c>
      <c r="U159" s="17">
        <v>10909.522382990401</v>
      </c>
      <c r="V159" s="17">
        <v>51995.051918334597</v>
      </c>
      <c r="W159" s="17">
        <v>10677.3326977373</v>
      </c>
      <c r="X159" s="34">
        <f>AVERAGE(L159:N159)</f>
        <v>11412.909964518833</v>
      </c>
      <c r="Y159" s="34">
        <f>AVERAGE(O159:Q159)</f>
        <v>10390.020044280927</v>
      </c>
      <c r="Z159" s="40">
        <f>Y159/X159</f>
        <v>0.91037431089722698</v>
      </c>
      <c r="AA159" s="33">
        <f>AVERAGE(R159:T159)</f>
        <v>56972.079349993503</v>
      </c>
      <c r="AB159" s="33">
        <f>AVERAGE(U159:W159)</f>
        <v>24527.302333020765</v>
      </c>
      <c r="AC159" s="39">
        <f>AB159/AA159</f>
        <v>0.43051443115396071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</row>
    <row r="160" spans="1:89">
      <c r="A160" s="1" t="s">
        <v>200</v>
      </c>
      <c r="B160" s="1" t="s">
        <v>201</v>
      </c>
      <c r="C160" s="1" t="s">
        <v>202</v>
      </c>
      <c r="D160" s="1">
        <v>-0.16</v>
      </c>
      <c r="E160" s="1">
        <v>115.06331</v>
      </c>
      <c r="F160" s="1">
        <v>8.1760000000000002</v>
      </c>
      <c r="G160" s="17">
        <f>AVERAGE(L160:W160)</f>
        <v>33123891.727136329</v>
      </c>
      <c r="H160" s="17">
        <v>170734584.70496601</v>
      </c>
      <c r="I160" s="17" t="e">
        <f>G160/#REF!</f>
        <v>#REF!</v>
      </c>
      <c r="J160" s="17" t="e">
        <f>H160/#REF!</f>
        <v>#REF!</v>
      </c>
      <c r="K160" s="1">
        <v>96.4</v>
      </c>
      <c r="L160" s="17">
        <v>170734584.70496601</v>
      </c>
      <c r="M160" s="17">
        <v>21938515.549556401</v>
      </c>
      <c r="N160" s="17">
        <v>13597703.518414101</v>
      </c>
      <c r="O160" s="17">
        <v>12296558.275682401</v>
      </c>
      <c r="P160" s="17">
        <v>7367982.97920762</v>
      </c>
      <c r="Q160" s="17">
        <v>9561441.1557333097</v>
      </c>
      <c r="R160" s="17">
        <v>22316483.502896398</v>
      </c>
      <c r="S160" s="17">
        <v>34398334.007341601</v>
      </c>
      <c r="T160" s="17">
        <v>58158369.705986299</v>
      </c>
      <c r="U160" s="17">
        <v>15262742.148409</v>
      </c>
      <c r="V160" s="17">
        <v>17560446.5319575</v>
      </c>
      <c r="W160" s="17">
        <v>14293538.6454852</v>
      </c>
      <c r="X160" s="34">
        <f>AVERAGE(L160:N160)</f>
        <v>68756934.590978846</v>
      </c>
      <c r="Y160" s="34">
        <f>AVERAGE(O160:Q160)</f>
        <v>9741994.1368744429</v>
      </c>
      <c r="Z160" s="40">
        <f>Y160/X160</f>
        <v>0.14168744134431827</v>
      </c>
      <c r="AA160" s="33">
        <f>AVERAGE(R160:T160)</f>
        <v>38291062.405408099</v>
      </c>
      <c r="AB160" s="33">
        <f>AVERAGE(U160:W160)</f>
        <v>15705575.775283901</v>
      </c>
      <c r="AC160" s="39">
        <f>AB160/AA160</f>
        <v>0.41016296724808815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</row>
    <row r="161" spans="1:89" s="7" customFormat="1">
      <c r="A161" s="1" t="s">
        <v>236</v>
      </c>
      <c r="B161" s="1" t="s">
        <v>237</v>
      </c>
      <c r="C161" s="1" t="s">
        <v>238</v>
      </c>
      <c r="D161" s="1">
        <v>-2.77</v>
      </c>
      <c r="E161" s="1">
        <v>152.03299999999999</v>
      </c>
      <c r="F161" s="1">
        <v>3.0640000000000001</v>
      </c>
      <c r="G161" s="17">
        <f>AVERAGE(L161:W161)</f>
        <v>20238830.207148347</v>
      </c>
      <c r="H161" s="17">
        <v>79150860.533666</v>
      </c>
      <c r="I161" s="17" t="e">
        <f>G161/#REF!</f>
        <v>#REF!</v>
      </c>
      <c r="J161" s="17" t="e">
        <f>H161/#REF!</f>
        <v>#REF!</v>
      </c>
      <c r="K161" s="1">
        <v>90.6</v>
      </c>
      <c r="L161" s="17">
        <v>13983492.601890801</v>
      </c>
      <c r="M161" s="17">
        <v>26109449.432135899</v>
      </c>
      <c r="N161" s="17">
        <v>11887882.608518999</v>
      </c>
      <c r="O161" s="17">
        <v>7906985.2350029098</v>
      </c>
      <c r="P161" s="17">
        <v>4614963.7711345404</v>
      </c>
      <c r="Q161" s="17">
        <v>10159694.6382822</v>
      </c>
      <c r="R161" s="17">
        <v>28961074.611041501</v>
      </c>
      <c r="S161" s="17">
        <v>79150860.533666</v>
      </c>
      <c r="T161" s="17">
        <v>11223052.2321619</v>
      </c>
      <c r="U161" s="17">
        <v>15018791.5779432</v>
      </c>
      <c r="V161" s="17">
        <v>16654051.0349705</v>
      </c>
      <c r="W161" s="17">
        <v>17195664.209031701</v>
      </c>
      <c r="X161" s="34">
        <f>AVERAGE(L161:N161)</f>
        <v>17326941.547515232</v>
      </c>
      <c r="Y161" s="34">
        <f>AVERAGE(O161:Q161)</f>
        <v>7560547.8814732162</v>
      </c>
      <c r="Z161" s="40">
        <f>Y161/X161</f>
        <v>0.43634636042028063</v>
      </c>
      <c r="AA161" s="33">
        <f>AVERAGE(R161:T161)</f>
        <v>39778329.125623129</v>
      </c>
      <c r="AB161" s="33">
        <f>AVERAGE(U161:W161)</f>
        <v>16289502.2739818</v>
      </c>
      <c r="AC161" s="39">
        <f>AB161/AA161</f>
        <v>0.40950695094653816</v>
      </c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</row>
    <row r="162" spans="1:89">
      <c r="A162" s="1" t="s">
        <v>224</v>
      </c>
      <c r="B162" s="1" t="s">
        <v>225</v>
      </c>
      <c r="C162" s="1" t="s">
        <v>226</v>
      </c>
      <c r="D162" s="1">
        <v>-1.03</v>
      </c>
      <c r="E162" s="1">
        <v>136.03836999999999</v>
      </c>
      <c r="F162" s="1">
        <v>2.5830000000000002</v>
      </c>
      <c r="G162" s="17">
        <f>AVERAGE(L162:W162)</f>
        <v>24005845.264950652</v>
      </c>
      <c r="H162" s="17">
        <v>92264080.694919407</v>
      </c>
      <c r="I162" s="17" t="e">
        <f>G162/#REF!</f>
        <v>#REF!</v>
      </c>
      <c r="J162" s="17" t="e">
        <f>H162/#REF!</f>
        <v>#REF!</v>
      </c>
      <c r="K162" s="1">
        <v>89.4</v>
      </c>
      <c r="L162" s="17">
        <v>15342515.0358776</v>
      </c>
      <c r="M162" s="17">
        <v>39085363.392885201</v>
      </c>
      <c r="N162" s="17">
        <v>17970021.0029823</v>
      </c>
      <c r="O162" s="17">
        <v>9404969.7217284702</v>
      </c>
      <c r="P162" s="17">
        <v>6196503.5601312304</v>
      </c>
      <c r="Q162" s="17">
        <v>12245765.8612494</v>
      </c>
      <c r="R162" s="17">
        <v>23563057.433283299</v>
      </c>
      <c r="S162" s="17">
        <v>92264080.694919407</v>
      </c>
      <c r="T162" s="17">
        <v>19443024.905446</v>
      </c>
      <c r="U162" s="17">
        <v>16803057.661552399</v>
      </c>
      <c r="V162" s="17">
        <v>18493756.1018099</v>
      </c>
      <c r="W162" s="17">
        <v>17258027.8075426</v>
      </c>
      <c r="X162" s="34">
        <f>AVERAGE(L162:N162)</f>
        <v>24132633.143915031</v>
      </c>
      <c r="Y162" s="34">
        <f>AVERAGE(O162:Q162)</f>
        <v>9282413.0477030333</v>
      </c>
      <c r="Z162" s="40">
        <f>Y162/X162</f>
        <v>0.38464153465340212</v>
      </c>
      <c r="AA162" s="33">
        <f>AVERAGE(R162:T162)</f>
        <v>45090054.344549567</v>
      </c>
      <c r="AB162" s="33">
        <f>AVERAGE(U162:W162)</f>
        <v>17518280.523634966</v>
      </c>
      <c r="AC162" s="39">
        <f>AB162/AA162</f>
        <v>0.38851761831492571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</row>
    <row r="163" spans="1:89">
      <c r="A163" s="1" t="s">
        <v>221</v>
      </c>
      <c r="B163" s="1" t="s">
        <v>222</v>
      </c>
      <c r="C163" s="1" t="s">
        <v>223</v>
      </c>
      <c r="D163" s="1">
        <v>-0.93</v>
      </c>
      <c r="E163" s="1">
        <v>203.11556999999999</v>
      </c>
      <c r="F163" s="1">
        <v>2.4260000000000002</v>
      </c>
      <c r="G163" s="17">
        <f>AVERAGE(L163:W163)</f>
        <v>28542590.676106576</v>
      </c>
      <c r="H163" s="17">
        <v>188555396.79444101</v>
      </c>
      <c r="I163" s="17" t="e">
        <f>G163/#REF!</f>
        <v>#REF!</v>
      </c>
      <c r="J163" s="17" t="e">
        <f>H163/#REF!</f>
        <v>#REF!</v>
      </c>
      <c r="K163" s="1">
        <v>94</v>
      </c>
      <c r="L163" s="17">
        <v>188555396.79444101</v>
      </c>
      <c r="M163" s="17">
        <v>10137378.5334676</v>
      </c>
      <c r="N163" s="17">
        <v>4156987.2566239401</v>
      </c>
      <c r="O163" s="17">
        <v>5647690.0749980304</v>
      </c>
      <c r="P163" s="17">
        <v>3604009.46887423</v>
      </c>
      <c r="Q163" s="17">
        <v>4157827.3579911599</v>
      </c>
      <c r="R163" s="17">
        <v>4958145.0373450303</v>
      </c>
      <c r="S163" s="17">
        <v>35377006.300462201</v>
      </c>
      <c r="T163" s="17">
        <v>51032217.558788203</v>
      </c>
      <c r="U163" s="17">
        <v>24557554.2661056</v>
      </c>
      <c r="V163" s="17">
        <v>5570034.7592122704</v>
      </c>
      <c r="W163" s="17">
        <v>4756840.7049697097</v>
      </c>
      <c r="X163" s="34">
        <f>AVERAGE(L163:N163)</f>
        <v>67616587.528177515</v>
      </c>
      <c r="Y163" s="34">
        <f>AVERAGE(O163:Q163)</f>
        <v>4469842.3006211398</v>
      </c>
      <c r="Z163" s="40">
        <f>Y163/X163</f>
        <v>6.610570666197027E-2</v>
      </c>
      <c r="AA163" s="33">
        <f>AVERAGE(R163:T163)</f>
        <v>30455789.632198479</v>
      </c>
      <c r="AB163" s="33">
        <f>AVERAGE(U163:W163)</f>
        <v>11628143.243429193</v>
      </c>
      <c r="AC163" s="39">
        <f>AB163/AA163</f>
        <v>0.38180403082163678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</row>
    <row r="164" spans="1:89">
      <c r="A164" s="1" t="s">
        <v>378</v>
      </c>
      <c r="B164" s="1" t="s">
        <v>379</v>
      </c>
      <c r="C164" s="1" t="s">
        <v>380</v>
      </c>
      <c r="D164" s="1">
        <v>-3.11</v>
      </c>
      <c r="E164" s="1">
        <v>161.06831</v>
      </c>
      <c r="F164" s="1">
        <v>8.6679999999999993</v>
      </c>
      <c r="G164" s="17">
        <f>AVERAGE(L164:W164)</f>
        <v>7208949.4341859445</v>
      </c>
      <c r="H164" s="17">
        <v>19699521.507015701</v>
      </c>
      <c r="I164" s="17" t="e">
        <f>G164/#REF!</f>
        <v>#REF!</v>
      </c>
      <c r="J164" s="17" t="e">
        <f>H164/#REF!</f>
        <v>#REF!</v>
      </c>
      <c r="K164" s="1">
        <v>90.1</v>
      </c>
      <c r="L164" s="17">
        <v>408604.92359447997</v>
      </c>
      <c r="M164" s="17">
        <v>2788909.8710790598</v>
      </c>
      <c r="N164" s="17">
        <v>444732.23686255701</v>
      </c>
      <c r="O164" s="17">
        <v>576320.79623165994</v>
      </c>
      <c r="P164" s="17">
        <v>659185.80500743503</v>
      </c>
      <c r="Q164" s="17">
        <v>19699521.507015701</v>
      </c>
      <c r="R164" s="17">
        <v>19475852.465519801</v>
      </c>
      <c r="S164" s="17">
        <v>12595321.436581099</v>
      </c>
      <c r="T164" s="17">
        <v>12793501.0454427</v>
      </c>
      <c r="U164" s="17">
        <v>15065927.3369653</v>
      </c>
      <c r="V164" s="17">
        <v>1569469.21036806</v>
      </c>
      <c r="W164" s="17">
        <v>430046.57556348701</v>
      </c>
      <c r="X164" s="34">
        <f>AVERAGE(L164:N164)</f>
        <v>1214082.3438453656</v>
      </c>
      <c r="Y164" s="34">
        <f>AVERAGE(O164:Q164)</f>
        <v>6978342.7027515993</v>
      </c>
      <c r="Z164" s="40">
        <f>Y164/X164</f>
        <v>5.7478331170265431</v>
      </c>
      <c r="AA164" s="33">
        <f>AVERAGE(R164:T164)</f>
        <v>14954891.6491812</v>
      </c>
      <c r="AB164" s="33">
        <f>AVERAGE(U164:W164)</f>
        <v>5688481.0409656158</v>
      </c>
      <c r="AC164" s="39">
        <f>AB164/AA164</f>
        <v>0.38037594483521836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</row>
    <row r="165" spans="1:89">
      <c r="A165" s="1" t="s">
        <v>505</v>
      </c>
      <c r="B165" s="1" t="s">
        <v>506</v>
      </c>
      <c r="C165" s="1" t="s">
        <v>462</v>
      </c>
      <c r="D165" s="1">
        <v>-2.88</v>
      </c>
      <c r="E165" s="1">
        <v>108.06844</v>
      </c>
      <c r="F165" s="1">
        <v>11.887</v>
      </c>
      <c r="G165" s="17">
        <f>AVERAGE(L165:W165)</f>
        <v>407331.60224258533</v>
      </c>
      <c r="H165" s="17">
        <v>1901453.19443147</v>
      </c>
      <c r="I165" s="17" t="e">
        <f>G165/#REF!</f>
        <v>#REF!</v>
      </c>
      <c r="J165" s="17" t="e">
        <f>H165/#REF!</f>
        <v>#REF!</v>
      </c>
      <c r="K165" s="1">
        <v>86.6</v>
      </c>
      <c r="L165" s="17">
        <v>347108.495815275</v>
      </c>
      <c r="M165" s="17">
        <v>278107.41032518703</v>
      </c>
      <c r="N165" s="17">
        <v>320669.452780872</v>
      </c>
      <c r="O165" s="17">
        <v>343189.53466719302</v>
      </c>
      <c r="P165" s="17">
        <v>227848.090430385</v>
      </c>
      <c r="Q165" s="17">
        <v>397337.01756619802</v>
      </c>
      <c r="R165" s="17">
        <v>361292.136116518</v>
      </c>
      <c r="S165" s="17">
        <v>1487186.07023816</v>
      </c>
      <c r="T165" s="17">
        <v>317295.34501816402</v>
      </c>
      <c r="U165" s="17">
        <v>195621.25487734401</v>
      </c>
      <c r="V165" s="17">
        <v>337717.012481393</v>
      </c>
      <c r="W165" s="17">
        <v>274607.40659433499</v>
      </c>
      <c r="X165" s="34">
        <f>AVERAGE(L165:N165)</f>
        <v>315295.1196404447</v>
      </c>
      <c r="Y165" s="34">
        <f>AVERAGE(O165:Q165)</f>
        <v>322791.54755459202</v>
      </c>
      <c r="Z165" s="40">
        <f>Y165/X165</f>
        <v>1.0237759084970808</v>
      </c>
      <c r="AA165" s="33">
        <f>AVERAGE(R165:T165)</f>
        <v>721924.51712428068</v>
      </c>
      <c r="AB165" s="33">
        <f>AVERAGE(U165:W165)</f>
        <v>269315.22465102404</v>
      </c>
      <c r="AC165" s="39">
        <f>AB165/AA165</f>
        <v>0.37305177793907907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</row>
    <row r="166" spans="1:89" s="22" customFormat="1">
      <c r="A166" s="1" t="s">
        <v>410</v>
      </c>
      <c r="B166" s="1" t="s">
        <v>411</v>
      </c>
      <c r="C166" s="1" t="s">
        <v>412</v>
      </c>
      <c r="D166" s="1">
        <v>-1.49</v>
      </c>
      <c r="E166" s="1">
        <v>331.06768</v>
      </c>
      <c r="F166" s="1">
        <v>10.087</v>
      </c>
      <c r="G166" s="17">
        <f>AVERAGE(L166:W166)</f>
        <v>5968649.1996267736</v>
      </c>
      <c r="H166" s="17">
        <v>21096204.874687601</v>
      </c>
      <c r="I166" s="17" t="e">
        <f>G166/#REF!</f>
        <v>#REF!</v>
      </c>
      <c r="J166" s="17" t="e">
        <f>H166/#REF!</f>
        <v>#REF!</v>
      </c>
      <c r="K166" s="1">
        <v>81.2</v>
      </c>
      <c r="L166" s="17">
        <v>1254950.22414055</v>
      </c>
      <c r="M166" s="17">
        <v>1730055.6720148299</v>
      </c>
      <c r="N166" s="17">
        <v>3385799.3266931199</v>
      </c>
      <c r="O166" s="17">
        <v>4249629.5479838904</v>
      </c>
      <c r="P166" s="17">
        <v>1966499.2329789801</v>
      </c>
      <c r="Q166" s="17">
        <v>5667475.7563859699</v>
      </c>
      <c r="R166" s="17">
        <v>7899411.5536223603</v>
      </c>
      <c r="S166" s="17">
        <v>10262007.709844399</v>
      </c>
      <c r="T166" s="17">
        <v>21096204.874687601</v>
      </c>
      <c r="U166" s="17">
        <v>3756247.7005197098</v>
      </c>
      <c r="V166" s="17">
        <v>5108439.85143016</v>
      </c>
      <c r="W166" s="17">
        <v>5247068.9452197095</v>
      </c>
      <c r="X166" s="34">
        <f>AVERAGE(L166:N166)</f>
        <v>2123601.7409494999</v>
      </c>
      <c r="Y166" s="34">
        <f>AVERAGE(O166:Q166)</f>
        <v>3961201.5124496133</v>
      </c>
      <c r="Z166" s="40">
        <f>Y166/X166</f>
        <v>1.8653222193529047</v>
      </c>
      <c r="AA166" s="33">
        <f>AVERAGE(R166:T166)</f>
        <v>13085874.71271812</v>
      </c>
      <c r="AB166" s="33">
        <f>AVERAGE(U166:W166)</f>
        <v>4703918.8323898604</v>
      </c>
      <c r="AC166" s="39">
        <f>AB166/AA166</f>
        <v>0.35946537282816382</v>
      </c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</row>
    <row r="167" spans="1:89">
      <c r="A167" s="1" t="s">
        <v>135</v>
      </c>
      <c r="B167" s="1" t="s">
        <v>136</v>
      </c>
      <c r="C167" s="1" t="s">
        <v>137</v>
      </c>
      <c r="D167" s="1">
        <v>-5.04</v>
      </c>
      <c r="E167" s="1">
        <v>131.09397000000001</v>
      </c>
      <c r="F167" s="1">
        <v>4.806</v>
      </c>
      <c r="G167" s="17">
        <f>AVERAGE(L167:W167)</f>
        <v>62891591.515887357</v>
      </c>
      <c r="H167" s="17">
        <v>202854380.62192801</v>
      </c>
      <c r="I167" s="17" t="e">
        <f>G167/#REF!</f>
        <v>#REF!</v>
      </c>
      <c r="J167" s="17" t="e">
        <f>H167/#REF!</f>
        <v>#REF!</v>
      </c>
      <c r="K167" s="1">
        <v>92.4</v>
      </c>
      <c r="L167" s="17">
        <v>223340.78463805901</v>
      </c>
      <c r="M167" s="17">
        <v>106245576.419084</v>
      </c>
      <c r="N167" s="17">
        <v>29689746.015887398</v>
      </c>
      <c r="O167" s="17">
        <v>44912453.6165751</v>
      </c>
      <c r="P167" s="17">
        <v>32237208.8898152</v>
      </c>
      <c r="Q167" s="17">
        <v>25963060.996274699</v>
      </c>
      <c r="R167" s="17">
        <v>172785868.56806901</v>
      </c>
      <c r="S167" s="17">
        <v>100702956.546371</v>
      </c>
      <c r="T167" s="17">
        <v>107065250.95708001</v>
      </c>
      <c r="U167" s="17">
        <v>416517.61196776299</v>
      </c>
      <c r="V167" s="17">
        <v>66177011.193582803</v>
      </c>
      <c r="W167" s="17">
        <v>68280106.5913032</v>
      </c>
      <c r="X167" s="34">
        <f>AVERAGE(L167:N167)</f>
        <v>45386221.073203154</v>
      </c>
      <c r="Y167" s="34">
        <f>AVERAGE(O167:Q167)</f>
        <v>34370907.834221669</v>
      </c>
      <c r="Z167" s="40">
        <f>Y167/X167</f>
        <v>0.75729829497778733</v>
      </c>
      <c r="AA167" s="33">
        <f>AVERAGE(R167:T167)</f>
        <v>126851358.69050668</v>
      </c>
      <c r="AB167" s="33">
        <f>AVERAGE(U167:W167)</f>
        <v>44957878.465617925</v>
      </c>
      <c r="AC167" s="39">
        <f>AB167/AA167</f>
        <v>0.35441385042872614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</row>
    <row r="168" spans="1:89">
      <c r="A168" s="1" t="s">
        <v>495</v>
      </c>
      <c r="B168" s="1" t="s">
        <v>496</v>
      </c>
      <c r="C168" s="1" t="s">
        <v>462</v>
      </c>
      <c r="D168" s="1">
        <v>-1.39</v>
      </c>
      <c r="E168" s="1">
        <v>108.0686</v>
      </c>
      <c r="F168" s="1">
        <v>14.587999999999999</v>
      </c>
      <c r="G168" s="17">
        <f>AVERAGE(L168:W168)</f>
        <v>913580.14303152298</v>
      </c>
      <c r="H168" s="17">
        <v>4028089.1170037999</v>
      </c>
      <c r="I168" s="17" t="e">
        <f>G168/#REF!</f>
        <v>#REF!</v>
      </c>
      <c r="J168" s="17" t="e">
        <f>H168/#REF!</f>
        <v>#REF!</v>
      </c>
      <c r="K168" s="1">
        <v>79.7</v>
      </c>
      <c r="L168" s="17">
        <v>540462.18213034701</v>
      </c>
      <c r="M168" s="17">
        <v>547352.99913766899</v>
      </c>
      <c r="N168" s="17">
        <v>631790.70708379603</v>
      </c>
      <c r="O168" s="17">
        <v>709216.261045255</v>
      </c>
      <c r="P168" s="17">
        <v>676484.25712480606</v>
      </c>
      <c r="Q168" s="17">
        <v>620520.82493817701</v>
      </c>
      <c r="R168" s="17">
        <v>774253.87791947497</v>
      </c>
      <c r="S168" s="17">
        <v>744972.68301181297</v>
      </c>
      <c r="T168" s="17">
        <v>4028089.1170037999</v>
      </c>
      <c r="U168" s="17">
        <v>514431.62844183901</v>
      </c>
      <c r="V168" s="17">
        <v>651465.17725319997</v>
      </c>
      <c r="W168" s="17">
        <v>523922.00128809898</v>
      </c>
      <c r="X168" s="34">
        <f>AVERAGE(L168:N168)</f>
        <v>573201.96278393734</v>
      </c>
      <c r="Y168" s="34">
        <f>AVERAGE(O168:Q168)</f>
        <v>668740.44770274602</v>
      </c>
      <c r="Z168" s="40">
        <f>Y168/X168</f>
        <v>1.1666750833419963</v>
      </c>
      <c r="AA168" s="33">
        <f>AVERAGE(R168:T168)</f>
        <v>1849105.2259783626</v>
      </c>
      <c r="AB168" s="33">
        <f>AVERAGE(U168:W168)</f>
        <v>563272.93566104595</v>
      </c>
      <c r="AC168" s="39">
        <f>AB168/AA168</f>
        <v>0.30461918972892305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</row>
    <row r="169" spans="1:89">
      <c r="A169" s="1" t="s">
        <v>413</v>
      </c>
      <c r="B169" s="1" t="s">
        <v>414</v>
      </c>
      <c r="C169" s="1" t="s">
        <v>415</v>
      </c>
      <c r="D169" s="1">
        <v>-3.03</v>
      </c>
      <c r="E169" s="1">
        <v>322.05563000000001</v>
      </c>
      <c r="F169" s="1">
        <v>9.2010000000000005</v>
      </c>
      <c r="G169" s="17">
        <f>AVERAGE(L169:W169)</f>
        <v>5932416.3633512231</v>
      </c>
      <c r="H169" s="17">
        <v>27283110.476525102</v>
      </c>
      <c r="I169" s="17" t="e">
        <f>G169/#REF!</f>
        <v>#REF!</v>
      </c>
      <c r="J169" s="17" t="e">
        <f>H169/#REF!</f>
        <v>#REF!</v>
      </c>
      <c r="K169" s="1">
        <v>95.2</v>
      </c>
      <c r="L169" s="17">
        <v>1212982.5506579899</v>
      </c>
      <c r="M169" s="17">
        <v>1143350.76606513</v>
      </c>
      <c r="N169" s="17">
        <v>2617634.2993607498</v>
      </c>
      <c r="O169" s="17">
        <v>3182143.1633017501</v>
      </c>
      <c r="P169" s="17">
        <v>1701069.05058058</v>
      </c>
      <c r="Q169" s="17">
        <v>2353131.4000789602</v>
      </c>
      <c r="R169" s="17">
        <v>7567283.0395684103</v>
      </c>
      <c r="S169" s="17">
        <v>10774849.9190017</v>
      </c>
      <c r="T169" s="17">
        <v>27283110.476525102</v>
      </c>
      <c r="U169" s="17">
        <v>4091774.9546701298</v>
      </c>
      <c r="V169" s="17">
        <v>4802613.4304634798</v>
      </c>
      <c r="W169" s="17">
        <v>4459053.3099406902</v>
      </c>
      <c r="X169" s="34">
        <f>AVERAGE(L169:N169)</f>
        <v>1657989.2053612899</v>
      </c>
      <c r="Y169" s="34">
        <f>AVERAGE(O169:Q169)</f>
        <v>2412114.5379870967</v>
      </c>
      <c r="Z169" s="40">
        <f>Y169/X169</f>
        <v>1.45484333081739</v>
      </c>
      <c r="AA169" s="33">
        <f>AVERAGE(R169:T169)</f>
        <v>15208414.478365071</v>
      </c>
      <c r="AB169" s="33">
        <f>AVERAGE(U169:W169)</f>
        <v>4451147.2316914331</v>
      </c>
      <c r="AC169" s="39">
        <f>AB169/AA169</f>
        <v>0.29267661254389604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</row>
    <row r="170" spans="1:89">
      <c r="A170" s="9" t="s">
        <v>159</v>
      </c>
      <c r="B170" s="9" t="s">
        <v>160</v>
      </c>
      <c r="C170" s="9" t="s">
        <v>161</v>
      </c>
      <c r="D170" s="9">
        <v>-3.53</v>
      </c>
      <c r="E170" s="9">
        <v>117.07857</v>
      </c>
      <c r="F170" s="9">
        <v>6.6520000000000001</v>
      </c>
      <c r="G170" s="19">
        <f>AVERAGE(L170:W170)</f>
        <v>54543228.27517987</v>
      </c>
      <c r="H170" s="19">
        <v>179241273.58160901</v>
      </c>
      <c r="I170" s="19" t="e">
        <f>G170/#REF!</f>
        <v>#REF!</v>
      </c>
      <c r="J170" s="19" t="e">
        <f>H170/#REF!</f>
        <v>#REF!</v>
      </c>
      <c r="K170" s="9">
        <v>90.3</v>
      </c>
      <c r="L170" s="19">
        <v>11438023.4918765</v>
      </c>
      <c r="M170" s="19">
        <v>5100472.7418454597</v>
      </c>
      <c r="N170" s="19">
        <v>17647739.255327798</v>
      </c>
      <c r="O170" s="19">
        <v>15155350.4352153</v>
      </c>
      <c r="P170" s="19">
        <v>18793711.037930701</v>
      </c>
      <c r="Q170" s="19">
        <v>2030214.2716715999</v>
      </c>
      <c r="R170" s="19">
        <v>176035258.855373</v>
      </c>
      <c r="S170" s="19">
        <v>107450618.56270801</v>
      </c>
      <c r="T170" s="19">
        <v>179241273.58160901</v>
      </c>
      <c r="U170" s="19">
        <v>25136550.192504901</v>
      </c>
      <c r="V170" s="19">
        <v>59328502.675869502</v>
      </c>
      <c r="W170" s="19">
        <v>37161024.200226702</v>
      </c>
      <c r="X170" s="34">
        <f>AVERAGE(L170:N170)</f>
        <v>11395411.829683254</v>
      </c>
      <c r="Y170" s="34">
        <f>AVERAGE(O170:Q170)</f>
        <v>11993091.914939201</v>
      </c>
      <c r="Z170" s="40">
        <f>Y170/X170</f>
        <v>1.052449186934963</v>
      </c>
      <c r="AA170" s="33">
        <f>AVERAGE(R170:T170)</f>
        <v>154242383.66656333</v>
      </c>
      <c r="AB170" s="33">
        <f>AVERAGE(U170:W170)</f>
        <v>40542025.689533703</v>
      </c>
      <c r="AC170" s="39">
        <f>AB170/AA170</f>
        <v>0.26284620819382737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</row>
    <row r="171" spans="1:89">
      <c r="A171" s="1" t="s">
        <v>466</v>
      </c>
      <c r="B171" s="1" t="s">
        <v>467</v>
      </c>
      <c r="C171" s="1" t="s">
        <v>468</v>
      </c>
      <c r="D171" s="1">
        <v>-4.07</v>
      </c>
      <c r="E171" s="1">
        <v>160.08413999999999</v>
      </c>
      <c r="F171" s="1">
        <v>3.0750000000000002</v>
      </c>
      <c r="G171" s="17">
        <f>AVERAGE(L171:W171)</f>
        <v>2163235.8565548132</v>
      </c>
      <c r="H171" s="17">
        <v>10230156.9915751</v>
      </c>
      <c r="I171" s="17" t="e">
        <f>G171/#REF!</f>
        <v>#REF!</v>
      </c>
      <c r="J171" s="17" t="e">
        <f>H171/#REF!</f>
        <v>#REF!</v>
      </c>
      <c r="K171" s="1">
        <v>61.8</v>
      </c>
      <c r="L171" s="17">
        <v>2108667.3038727702</v>
      </c>
      <c r="M171" s="17">
        <v>113385.05600677201</v>
      </c>
      <c r="N171" s="17">
        <v>1044082.99808475</v>
      </c>
      <c r="O171" s="17">
        <v>3471515.7775502698</v>
      </c>
      <c r="P171" s="17">
        <v>3722841.13154461</v>
      </c>
      <c r="Q171" s="17">
        <v>343407.79157637502</v>
      </c>
      <c r="R171" s="17">
        <v>10230156.9915751</v>
      </c>
      <c r="S171" s="17">
        <v>545107.20383406803</v>
      </c>
      <c r="T171" s="17">
        <v>1683184.7349833399</v>
      </c>
      <c r="U171" s="17">
        <v>109232.946030145</v>
      </c>
      <c r="V171" s="17">
        <v>1850424.4064201801</v>
      </c>
      <c r="W171" s="17">
        <v>736823.93717938301</v>
      </c>
      <c r="X171" s="34">
        <f>AVERAGE(L171:N171)</f>
        <v>1088711.7859880973</v>
      </c>
      <c r="Y171" s="34">
        <f>AVERAGE(O171:Q171)</f>
        <v>2512588.233557085</v>
      </c>
      <c r="Z171" s="40">
        <f>Y171/X171</f>
        <v>2.3078543521752182</v>
      </c>
      <c r="AA171" s="33">
        <f>AVERAGE(R171:T171)</f>
        <v>4152816.310130836</v>
      </c>
      <c r="AB171" s="33">
        <f>AVERAGE(U171:W171)</f>
        <v>898827.09654323605</v>
      </c>
      <c r="AC171" s="39">
        <f>AB171/AA171</f>
        <v>0.21643796147461147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</row>
    <row r="172" spans="1:89">
      <c r="A172" s="1" t="s">
        <v>416</v>
      </c>
      <c r="B172" s="1" t="s">
        <v>417</v>
      </c>
      <c r="C172" s="1" t="s">
        <v>418</v>
      </c>
      <c r="D172" s="1">
        <v>-3.78</v>
      </c>
      <c r="E172" s="1">
        <v>304.08951999999999</v>
      </c>
      <c r="F172" s="1">
        <v>3.22</v>
      </c>
      <c r="G172" s="17">
        <f>AVERAGE(L172:W172)</f>
        <v>5604612.0117706945</v>
      </c>
      <c r="H172" s="17">
        <v>16077801.163592899</v>
      </c>
      <c r="I172" s="17" t="e">
        <f>G172/#REF!</f>
        <v>#REF!</v>
      </c>
      <c r="J172" s="17" t="e">
        <f>H172/#REF!</f>
        <v>#REF!</v>
      </c>
      <c r="K172" s="1">
        <v>62</v>
      </c>
      <c r="L172" s="17">
        <v>3906926.8223199402</v>
      </c>
      <c r="M172" s="17">
        <v>291363.75954965298</v>
      </c>
      <c r="N172" s="17">
        <v>5258355.2274004603</v>
      </c>
      <c r="O172" s="17">
        <v>16077801.163592899</v>
      </c>
      <c r="P172" s="17">
        <v>13351584.046841299</v>
      </c>
      <c r="Q172" s="17">
        <v>1554867.5189596701</v>
      </c>
      <c r="R172" s="17">
        <v>13777919.608179901</v>
      </c>
      <c r="S172" s="17">
        <v>1043678.49236454</v>
      </c>
      <c r="T172" s="17">
        <v>7480175.1036250703</v>
      </c>
      <c r="U172" s="17">
        <v>946901.18976910505</v>
      </c>
      <c r="V172" s="17">
        <v>2918610.9796462101</v>
      </c>
      <c r="W172" s="17">
        <v>647160.22899957397</v>
      </c>
      <c r="X172" s="34">
        <f>AVERAGE(L172:N172)</f>
        <v>3152215.2697566845</v>
      </c>
      <c r="Y172" s="34">
        <f>AVERAGE(O172:Q172)</f>
        <v>10328084.243131289</v>
      </c>
      <c r="Z172" s="40">
        <f>Y172/X172</f>
        <v>3.276452703665921</v>
      </c>
      <c r="AA172" s="33">
        <f>AVERAGE(R172:T172)</f>
        <v>7433924.4013898373</v>
      </c>
      <c r="AB172" s="33">
        <f>AVERAGE(U172:W172)</f>
        <v>1504224.132804963</v>
      </c>
      <c r="AC172" s="39">
        <f>AB172/AA172</f>
        <v>0.20234590124749388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</row>
    <row r="173" spans="1:89" s="7" customFormat="1">
      <c r="A173" s="1" t="s">
        <v>95</v>
      </c>
      <c r="B173" s="1" t="s">
        <v>96</v>
      </c>
      <c r="C173" s="1" t="s">
        <v>97</v>
      </c>
      <c r="D173" s="1">
        <v>-1.07</v>
      </c>
      <c r="E173" s="1">
        <v>151.04925</v>
      </c>
      <c r="F173" s="1">
        <v>4.899</v>
      </c>
      <c r="G173" s="17">
        <f>AVERAGE(L173:W173)</f>
        <v>111354668.88322258</v>
      </c>
      <c r="H173" s="17">
        <v>536718742.63583201</v>
      </c>
      <c r="I173" s="17" t="e">
        <f>G173/#REF!</f>
        <v>#REF!</v>
      </c>
      <c r="J173" s="17" t="e">
        <f>H173/#REF!</f>
        <v>#REF!</v>
      </c>
      <c r="K173" s="1">
        <v>77.099999999999994</v>
      </c>
      <c r="L173" s="17">
        <v>43284168.339339599</v>
      </c>
      <c r="M173" s="17">
        <v>119173896.55558699</v>
      </c>
      <c r="N173" s="17">
        <v>56228302.362091899</v>
      </c>
      <c r="O173" s="17">
        <v>14620145.9866112</v>
      </c>
      <c r="P173" s="17">
        <v>45599805.209865101</v>
      </c>
      <c r="Q173" s="17">
        <v>78115011.628087193</v>
      </c>
      <c r="R173" s="17">
        <v>118143122.29216</v>
      </c>
      <c r="S173" s="17">
        <v>536718742.63583201</v>
      </c>
      <c r="T173" s="17">
        <v>170273006.67670399</v>
      </c>
      <c r="U173" s="17">
        <v>48796033.273931198</v>
      </c>
      <c r="V173" s="17">
        <v>53651364.2027606</v>
      </c>
      <c r="W173" s="17">
        <v>51652427.435701102</v>
      </c>
      <c r="X173" s="34">
        <f>AVERAGE(L173:N173)</f>
        <v>72895455.752339497</v>
      </c>
      <c r="Y173" s="34">
        <f>AVERAGE(O173:Q173)</f>
        <v>46111654.274854504</v>
      </c>
      <c r="Z173" s="40">
        <f>Y173/X173</f>
        <v>0.63257241207898751</v>
      </c>
      <c r="AA173" s="33">
        <f>AVERAGE(R173:T173)</f>
        <v>275044957.20156533</v>
      </c>
      <c r="AB173" s="33">
        <f>AVERAGE(U173:W173)</f>
        <v>51366608.304130971</v>
      </c>
      <c r="AC173" s="39">
        <f>AB173/AA173</f>
        <v>0.18675713536710004</v>
      </c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</row>
    <row r="174" spans="1:89">
      <c r="A174" s="1" t="s">
        <v>107</v>
      </c>
      <c r="B174" s="1" t="s">
        <v>108</v>
      </c>
      <c r="C174" s="1" t="s">
        <v>109</v>
      </c>
      <c r="D174" s="1">
        <v>-1.1100000000000001</v>
      </c>
      <c r="E174" s="1">
        <v>161.10500999999999</v>
      </c>
      <c r="F174" s="1">
        <v>8.2959999999999994</v>
      </c>
      <c r="G174" s="17">
        <f>AVERAGE(L174:W174)</f>
        <v>90312032.721774533</v>
      </c>
      <c r="H174" s="17">
        <v>253857078.19377699</v>
      </c>
      <c r="I174" s="17" t="e">
        <f>G174/#REF!</f>
        <v>#REF!</v>
      </c>
      <c r="J174" s="17" t="e">
        <f>H174/#REF!</f>
        <v>#REF!</v>
      </c>
      <c r="K174" s="1">
        <v>89.2</v>
      </c>
      <c r="L174" s="17">
        <v>60273307.575953104</v>
      </c>
      <c r="M174" s="17">
        <v>71093633.952256799</v>
      </c>
      <c r="N174" s="17">
        <v>64487603.512858696</v>
      </c>
      <c r="O174" s="17">
        <v>27591793.9836936</v>
      </c>
      <c r="P174" s="17">
        <v>115639332.730506</v>
      </c>
      <c r="Q174" s="17">
        <v>37245145.993979603</v>
      </c>
      <c r="R174" s="17">
        <v>253857078.19377699</v>
      </c>
      <c r="S174" s="17">
        <v>139535180.165999</v>
      </c>
      <c r="T174" s="17">
        <v>227891408.186248</v>
      </c>
      <c r="U174" s="17">
        <v>15791149.708059501</v>
      </c>
      <c r="V174" s="17">
        <v>35139524.524303697</v>
      </c>
      <c r="W174" s="17">
        <v>35199234.1336594</v>
      </c>
      <c r="X174" s="34">
        <f>AVERAGE(L174:N174)</f>
        <v>65284848.347022861</v>
      </c>
      <c r="Y174" s="34">
        <f>AVERAGE(O174:Q174)</f>
        <v>60158757.569393069</v>
      </c>
      <c r="Z174" s="40">
        <f>Y174/X174</f>
        <v>0.92148115669378661</v>
      </c>
      <c r="AA174" s="33">
        <f>AVERAGE(R174:T174)</f>
        <v>207094555.51534137</v>
      </c>
      <c r="AB174" s="33">
        <f>AVERAGE(U174:W174)</f>
        <v>28709969.455340862</v>
      </c>
      <c r="AC174" s="39">
        <f>AB174/AA174</f>
        <v>0.13863217883202175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</row>
    <row r="175" spans="1:89">
      <c r="A175" s="1" t="s">
        <v>401</v>
      </c>
      <c r="B175" s="1" t="s">
        <v>402</v>
      </c>
      <c r="C175" s="1" t="s">
        <v>403</v>
      </c>
      <c r="D175" s="1">
        <v>-4.03</v>
      </c>
      <c r="E175" s="1">
        <v>182.07830999999999</v>
      </c>
      <c r="F175" s="1">
        <v>8.1509999999999998</v>
      </c>
      <c r="G175" s="17">
        <f>AVERAGE(L175:W175)</f>
        <v>3902218.246061048</v>
      </c>
      <c r="H175" s="17">
        <v>30484399.043074299</v>
      </c>
      <c r="I175" s="17" t="e">
        <f>G175/#REF!</f>
        <v>#REF!</v>
      </c>
      <c r="J175" s="17" t="e">
        <f>H175/#REF!</f>
        <v>#REF!</v>
      </c>
      <c r="K175" s="1">
        <v>80</v>
      </c>
      <c r="L175" s="17">
        <v>2890241.5083318199</v>
      </c>
      <c r="M175" s="17">
        <v>956717.88909044</v>
      </c>
      <c r="N175" s="17">
        <v>822984.48457599897</v>
      </c>
      <c r="O175" s="17">
        <v>1296950.90899149</v>
      </c>
      <c r="P175" s="17">
        <v>835561.56510990101</v>
      </c>
      <c r="Q175" s="17">
        <v>1007970.3705167701</v>
      </c>
      <c r="R175" s="17">
        <v>1829225.82978316</v>
      </c>
      <c r="S175" s="17">
        <v>30484399.043074299</v>
      </c>
      <c r="T175" s="17">
        <v>2843193.9454348902</v>
      </c>
      <c r="U175" s="17">
        <v>1912655.27994537</v>
      </c>
      <c r="V175" s="17">
        <v>1488285.8733236601</v>
      </c>
      <c r="W175" s="17">
        <v>458432.25455478003</v>
      </c>
      <c r="X175" s="34">
        <f>AVERAGE(L175:N175)</f>
        <v>1556647.9606660863</v>
      </c>
      <c r="Y175" s="34">
        <f>AVERAGE(O175:Q175)</f>
        <v>1046827.6148727204</v>
      </c>
      <c r="Z175" s="40">
        <f>Y175/X175</f>
        <v>0.67248834760608633</v>
      </c>
      <c r="AA175" s="33">
        <f>AVERAGE(R175:T175)</f>
        <v>11718939.60609745</v>
      </c>
      <c r="AB175" s="33">
        <f>AVERAGE(U175:W175)</f>
        <v>1286457.8026079368</v>
      </c>
      <c r="AC175" s="39">
        <f>AB175/AA175</f>
        <v>0.10977595634493954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</row>
    <row r="176" spans="1:8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36"/>
      <c r="Y176" s="36"/>
      <c r="Z176" s="36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</row>
    <row r="177" spans="1:8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36"/>
      <c r="Y177" s="36"/>
      <c r="Z177" s="36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</row>
    <row r="178" spans="1:8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36"/>
      <c r="Y178" s="36"/>
      <c r="Z178" s="36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</row>
    <row r="179" spans="1:8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36"/>
      <c r="Y179" s="36"/>
      <c r="Z179" s="36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</row>
    <row r="180" spans="1:8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36"/>
      <c r="Y180" s="36"/>
      <c r="Z180" s="36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</row>
    <row r="181" spans="1:8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36"/>
      <c r="Y181" s="36"/>
      <c r="Z181" s="36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</row>
    <row r="182" spans="1:8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36"/>
      <c r="Y182" s="36"/>
      <c r="Z182" s="36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</row>
    <row r="183" spans="1:8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36"/>
      <c r="Y183" s="36"/>
      <c r="Z183" s="36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</row>
    <row r="184" spans="1:8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36"/>
      <c r="Y184" s="36"/>
      <c r="Z184" s="36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</row>
    <row r="185" spans="1:8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36"/>
      <c r="Y185" s="36"/>
      <c r="Z185" s="36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</row>
    <row r="186" spans="1:8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36"/>
      <c r="Y186" s="36"/>
      <c r="Z186" s="36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</row>
    <row r="187" spans="1:8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36"/>
      <c r="Y187" s="36"/>
      <c r="Z187" s="36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</row>
    <row r="188" spans="1:8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36"/>
      <c r="Y188" s="36"/>
      <c r="Z188" s="36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</row>
    <row r="189" spans="1: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36"/>
      <c r="Y189" s="36"/>
      <c r="Z189" s="36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</row>
    <row r="190" spans="1:8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36"/>
      <c r="Y190" s="36"/>
      <c r="Z190" s="36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</row>
    <row r="191" spans="1:8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36"/>
      <c r="Y191" s="36"/>
      <c r="Z191" s="36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</row>
    <row r="192" spans="1:8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36"/>
      <c r="Y192" s="36"/>
      <c r="Z192" s="36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</row>
  </sheetData>
  <autoFilter ref="B1:W175" xr:uid="{00000000-0009-0000-0000-000000000000}"/>
  <sortState xmlns:xlrd2="http://schemas.microsoft.com/office/spreadsheetml/2017/richdata2" ref="A2:AC175">
    <sortCondition descending="1" ref="AC2:AC175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4B26-930A-924B-8D47-8C656A5BE348}">
  <dimension ref="A1:AC175"/>
  <sheetViews>
    <sheetView topLeftCell="A153" workbookViewId="0">
      <selection activeCell="A16" sqref="A16"/>
    </sheetView>
  </sheetViews>
  <sheetFormatPr baseColWidth="10" defaultRowHeight="15"/>
  <cols>
    <col min="1" max="1" width="29.83203125" customWidth="1"/>
  </cols>
  <sheetData>
    <row r="1" spans="1:29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6" t="s">
        <v>5</v>
      </c>
      <c r="H1" s="2" t="s">
        <v>6</v>
      </c>
      <c r="I1" s="16" t="s">
        <v>7</v>
      </c>
      <c r="J1" s="16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37" t="s">
        <v>534</v>
      </c>
      <c r="Y1" s="38" t="s">
        <v>535</v>
      </c>
      <c r="Z1" s="38" t="s">
        <v>536</v>
      </c>
      <c r="AA1" s="32" t="s">
        <v>531</v>
      </c>
      <c r="AB1" s="32" t="s">
        <v>532</v>
      </c>
      <c r="AC1" s="32" t="s">
        <v>533</v>
      </c>
    </row>
    <row r="2" spans="1:29">
      <c r="A2" s="44" t="s">
        <v>28</v>
      </c>
      <c r="B2" s="44" t="s">
        <v>29</v>
      </c>
      <c r="C2" s="14" t="s">
        <v>30</v>
      </c>
      <c r="D2" s="14">
        <v>-2.54</v>
      </c>
      <c r="E2" s="14">
        <v>150.01606000000001</v>
      </c>
      <c r="F2" s="14">
        <v>4.7869999999999999</v>
      </c>
      <c r="G2" s="30">
        <f>AVERAGE(L2:W2)</f>
        <v>7675715145.3019257</v>
      </c>
      <c r="H2" s="30">
        <v>47588057769.442902</v>
      </c>
      <c r="I2" s="30" t="e">
        <f>G2/#REF!</f>
        <v>#REF!</v>
      </c>
      <c r="J2" s="30" t="e">
        <f>H2/#REF!</f>
        <v>#REF!</v>
      </c>
      <c r="K2" s="14">
        <v>98.7</v>
      </c>
      <c r="L2" s="30">
        <v>381380343.47985601</v>
      </c>
      <c r="M2" s="30">
        <v>6797551463.7753801</v>
      </c>
      <c r="N2" s="30">
        <v>837227473.77092099</v>
      </c>
      <c r="O2" s="30">
        <v>43870216918.7528</v>
      </c>
      <c r="P2" s="30">
        <v>289585044.505436</v>
      </c>
      <c r="Q2" s="30">
        <v>214368409.14748499</v>
      </c>
      <c r="R2" s="30">
        <v>172338541.687518</v>
      </c>
      <c r="S2" s="30">
        <v>407355644.62323397</v>
      </c>
      <c r="T2" s="30">
        <v>508090345.71841902</v>
      </c>
      <c r="U2" s="30">
        <v>29596104993.5341</v>
      </c>
      <c r="V2" s="30">
        <v>1435705093.4418499</v>
      </c>
      <c r="W2" s="30">
        <v>7598657471.1861095</v>
      </c>
      <c r="X2" s="35">
        <f>AVERAGE(L2:N2)</f>
        <v>2672053093.6753855</v>
      </c>
      <c r="Y2" s="35">
        <f>AVERAGE(O2:Q2)</f>
        <v>14791390124.135241</v>
      </c>
      <c r="Z2" s="41">
        <f>Y2/X2</f>
        <v>5.5355899024408286</v>
      </c>
      <c r="AA2" s="42">
        <f>AVERAGE(R2:T2)</f>
        <v>362594844.00972366</v>
      </c>
      <c r="AB2" s="42">
        <f>AVERAGE(U2:W2)</f>
        <v>12876822519.387352</v>
      </c>
      <c r="AC2" s="43">
        <f>AB2/AA2</f>
        <v>35.51297745160997</v>
      </c>
    </row>
    <row r="3" spans="1:29">
      <c r="A3" s="14" t="s">
        <v>431</v>
      </c>
      <c r="B3" s="14" t="s">
        <v>432</v>
      </c>
      <c r="C3" s="14" t="s">
        <v>433</v>
      </c>
      <c r="D3" s="14">
        <v>0.44</v>
      </c>
      <c r="E3" s="14">
        <v>133.07395</v>
      </c>
      <c r="F3" s="14">
        <v>8.423</v>
      </c>
      <c r="G3" s="30">
        <f>AVERAGE(L3:W3)</f>
        <v>4403730.7256507166</v>
      </c>
      <c r="H3" s="30">
        <v>39925437.625431098</v>
      </c>
      <c r="I3" s="30" t="e">
        <f>G3/#REF!</f>
        <v>#REF!</v>
      </c>
      <c r="J3" s="30" t="e">
        <f>H3/#REF!</f>
        <v>#REF!</v>
      </c>
      <c r="K3" s="14">
        <v>75.3</v>
      </c>
      <c r="L3" s="30">
        <v>214906.99258141901</v>
      </c>
      <c r="M3" s="30">
        <v>499193.45148235402</v>
      </c>
      <c r="N3" s="30">
        <v>1592956.48895685</v>
      </c>
      <c r="O3" s="30">
        <v>6007354.8667769097</v>
      </c>
      <c r="P3" s="30">
        <v>1500496.52280286</v>
      </c>
      <c r="Q3" s="30">
        <v>381039.61064349097</v>
      </c>
      <c r="R3" s="30">
        <v>104298.96114986901</v>
      </c>
      <c r="S3" s="30">
        <v>318258.11921142403</v>
      </c>
      <c r="T3" s="30">
        <v>1012510.15571966</v>
      </c>
      <c r="U3" s="30">
        <v>39925437.625431098</v>
      </c>
      <c r="V3" s="30">
        <v>729811.59478545096</v>
      </c>
      <c r="W3" s="30">
        <v>558504.31826721295</v>
      </c>
      <c r="X3" s="35">
        <f>AVERAGE(L3:N3)</f>
        <v>769018.97767354094</v>
      </c>
      <c r="Y3" s="35">
        <f>AVERAGE(O3:Q3)</f>
        <v>2629630.3334077536</v>
      </c>
      <c r="Z3" s="41">
        <f>Y3/X3</f>
        <v>3.4194609102664661</v>
      </c>
      <c r="AA3" s="42">
        <f>AVERAGE(R3:T3)</f>
        <v>478355.74536031764</v>
      </c>
      <c r="AB3" s="42">
        <f>AVERAGE(U3:W3)</f>
        <v>13737917.846161254</v>
      </c>
      <c r="AC3" s="43">
        <f>AB3/AA3</f>
        <v>28.71904012737064</v>
      </c>
    </row>
    <row r="4" spans="1:29">
      <c r="A4" s="14" t="s">
        <v>78</v>
      </c>
      <c r="B4" s="14" t="s">
        <v>79</v>
      </c>
      <c r="C4" s="14" t="s">
        <v>80</v>
      </c>
      <c r="D4" s="14">
        <v>-3.11</v>
      </c>
      <c r="E4" s="14">
        <v>88.015770000000003</v>
      </c>
      <c r="F4" s="14">
        <v>4.8600000000000003</v>
      </c>
      <c r="G4" s="30">
        <f>AVERAGE(L4:W4)</f>
        <v>159585065.84097278</v>
      </c>
      <c r="H4" s="30">
        <v>1189229318.7486801</v>
      </c>
      <c r="I4" s="30" t="e">
        <f>G4/#REF!</f>
        <v>#REF!</v>
      </c>
      <c r="J4" s="30" t="e">
        <f>H4/#REF!</f>
        <v>#REF!</v>
      </c>
      <c r="K4" s="14">
        <v>50</v>
      </c>
      <c r="L4" s="30">
        <v>17155360.894353699</v>
      </c>
      <c r="M4" s="30">
        <v>113089746.778017</v>
      </c>
      <c r="N4" s="30">
        <v>30859520.5061494</v>
      </c>
      <c r="O4" s="30">
        <v>1032338851.3994401</v>
      </c>
      <c r="P4" s="30">
        <v>9987271.6618025191</v>
      </c>
      <c r="Q4" s="30">
        <v>4597147.1698529804</v>
      </c>
      <c r="R4" s="30">
        <v>7451102.4539783699</v>
      </c>
      <c r="S4" s="30">
        <v>11002478.264964299</v>
      </c>
      <c r="T4" s="30">
        <v>12177862.779915201</v>
      </c>
      <c r="U4" s="30">
        <v>459625082.689758</v>
      </c>
      <c r="V4" s="30">
        <v>65910200.818860702</v>
      </c>
      <c r="W4" s="30">
        <v>150826164.67458099</v>
      </c>
      <c r="X4" s="35">
        <f>AVERAGE(L4:N4)</f>
        <v>53701542.726173371</v>
      </c>
      <c r="Y4" s="35">
        <f>AVERAGE(O4:Q4)</f>
        <v>348974423.41036516</v>
      </c>
      <c r="Z4" s="41">
        <f>Y4/X4</f>
        <v>6.4984059245709522</v>
      </c>
      <c r="AA4" s="42">
        <f>AVERAGE(R4:T4)</f>
        <v>10210481.166285956</v>
      </c>
      <c r="AB4" s="42">
        <f>AVERAGE(U4:W4)</f>
        <v>225453816.06106654</v>
      </c>
      <c r="AC4" s="43">
        <f>AB4/AA4</f>
        <v>22.080626014520622</v>
      </c>
    </row>
    <row r="5" spans="1:29">
      <c r="A5" s="14" t="s">
        <v>189</v>
      </c>
      <c r="B5" s="14" t="s">
        <v>190</v>
      </c>
      <c r="C5" s="14" t="s">
        <v>191</v>
      </c>
      <c r="D5" s="14">
        <v>-0.56000000000000005</v>
      </c>
      <c r="E5" s="14">
        <v>278.08589999999998</v>
      </c>
      <c r="F5" s="14">
        <v>1.014</v>
      </c>
      <c r="G5" s="30">
        <f>AVERAGE(L5:W5)</f>
        <v>36926094.987676382</v>
      </c>
      <c r="H5" s="30">
        <v>135848444.7166</v>
      </c>
      <c r="I5" s="30" t="e">
        <f>G5/#REF!</f>
        <v>#REF!</v>
      </c>
      <c r="J5" s="30" t="e">
        <f>H5/#REF!</f>
        <v>#REF!</v>
      </c>
      <c r="K5" s="14">
        <v>88.9</v>
      </c>
      <c r="L5" s="30">
        <v>17833598.1620658</v>
      </c>
      <c r="M5" s="30">
        <v>19945106.964369498</v>
      </c>
      <c r="N5" s="30">
        <v>19952985.582370799</v>
      </c>
      <c r="O5" s="30">
        <v>35178815.643895604</v>
      </c>
      <c r="P5" s="30">
        <v>135796611.86295399</v>
      </c>
      <c r="Q5" s="30">
        <v>20042830.808680799</v>
      </c>
      <c r="R5" s="30">
        <v>7105208.7145571103</v>
      </c>
      <c r="S5" s="30">
        <v>10370393.5065256</v>
      </c>
      <c r="T5" s="30">
        <v>9593282.1234486196</v>
      </c>
      <c r="U5" s="30">
        <v>12794968.632469799</v>
      </c>
      <c r="V5" s="30">
        <v>135848444.7166</v>
      </c>
      <c r="W5" s="30">
        <v>18650893.134179</v>
      </c>
      <c r="X5" s="35">
        <f>AVERAGE(L5:N5)</f>
        <v>19243896.902935367</v>
      </c>
      <c r="Y5" s="35">
        <f>AVERAGE(O5:Q5)</f>
        <v>63672752.771843463</v>
      </c>
      <c r="Z5" s="41">
        <f>Y5/X5</f>
        <v>3.3087244799223146</v>
      </c>
      <c r="AA5" s="42">
        <f>AVERAGE(R5:T5)</f>
        <v>9022961.4481771085</v>
      </c>
      <c r="AB5" s="42">
        <f>AVERAGE(U5:W5)</f>
        <v>55764768.827749602</v>
      </c>
      <c r="AC5" s="43">
        <f>AB5/AA5</f>
        <v>6.1803177535481604</v>
      </c>
    </row>
    <row r="6" spans="1:29">
      <c r="A6" s="14" t="s">
        <v>511</v>
      </c>
      <c r="B6" s="14" t="s">
        <v>512</v>
      </c>
      <c r="C6" s="14" t="s">
        <v>343</v>
      </c>
      <c r="D6" s="14">
        <v>-0.45</v>
      </c>
      <c r="E6" s="14">
        <v>166.02653000000001</v>
      </c>
      <c r="F6" s="14">
        <v>15.491</v>
      </c>
      <c r="G6" s="30">
        <f>AVERAGE(L6:W6)</f>
        <v>98118.9540705416</v>
      </c>
      <c r="H6" s="30">
        <v>4540143.9699534196</v>
      </c>
      <c r="I6" s="30" t="e">
        <f>G6/#REF!</f>
        <v>#REF!</v>
      </c>
      <c r="J6" s="30" t="e">
        <f>H6/#REF!</f>
        <v>#REF!</v>
      </c>
      <c r="K6" s="14">
        <v>56</v>
      </c>
      <c r="L6" s="30">
        <v>111334.186744569</v>
      </c>
      <c r="M6" s="30">
        <v>130467.431898757</v>
      </c>
      <c r="N6" s="30">
        <v>79409.971606560794</v>
      </c>
      <c r="O6" s="30">
        <v>85279.887953016601</v>
      </c>
      <c r="P6" s="30">
        <v>118569.45142339201</v>
      </c>
      <c r="Q6" s="30">
        <v>189157.81380426901</v>
      </c>
      <c r="R6" s="30">
        <v>10898.773261823901</v>
      </c>
      <c r="S6" s="30">
        <v>10919.0355374393</v>
      </c>
      <c r="T6" s="30">
        <v>75828.455270100094</v>
      </c>
      <c r="U6" s="30">
        <v>122199.645377102</v>
      </c>
      <c r="V6" s="30">
        <v>154305.40289696099</v>
      </c>
      <c r="W6" s="30">
        <v>89057.393072508596</v>
      </c>
      <c r="X6" s="35">
        <f>AVERAGE(L6:N6)</f>
        <v>107070.5300832956</v>
      </c>
      <c r="Y6" s="35">
        <f>AVERAGE(O6:Q6)</f>
        <v>131002.3843935592</v>
      </c>
      <c r="Z6" s="41">
        <f>Y6/X6</f>
        <v>1.2235148578385275</v>
      </c>
      <c r="AA6" s="42">
        <f>AVERAGE(R6:T6)</f>
        <v>32548.754689787766</v>
      </c>
      <c r="AB6" s="42">
        <f>AVERAGE(U6:W6)</f>
        <v>121854.14711552385</v>
      </c>
      <c r="AC6" s="43">
        <f>AB6/AA6</f>
        <v>3.7437422192301515</v>
      </c>
    </row>
    <row r="7" spans="1:29">
      <c r="A7" s="14" t="s">
        <v>31</v>
      </c>
      <c r="B7" s="14" t="s">
        <v>32</v>
      </c>
      <c r="C7" s="14" t="s">
        <v>33</v>
      </c>
      <c r="D7" s="14">
        <v>-2.5499999999999998</v>
      </c>
      <c r="E7" s="14">
        <v>104.01069</v>
      </c>
      <c r="F7" s="14">
        <v>3.7080000000000002</v>
      </c>
      <c r="G7" s="30">
        <f>AVERAGE(L7:W7)</f>
        <v>4437572827.2659864</v>
      </c>
      <c r="H7" s="30">
        <v>52706146395.6688</v>
      </c>
      <c r="I7" s="30" t="e">
        <f>G7/#REF!</f>
        <v>#REF!</v>
      </c>
      <c r="J7" s="30" t="e">
        <f>H7/#REF!</f>
        <v>#REF!</v>
      </c>
      <c r="K7" s="14">
        <v>86.5</v>
      </c>
      <c r="L7" s="30">
        <v>76147916.005150199</v>
      </c>
      <c r="M7" s="30">
        <v>8910851.7623568494</v>
      </c>
      <c r="N7" s="30">
        <v>130471968.946053</v>
      </c>
      <c r="O7" s="30">
        <v>52706146395.6688</v>
      </c>
      <c r="P7" s="30">
        <v>11639612.213617301</v>
      </c>
      <c r="Q7" s="30">
        <v>42253093.132016703</v>
      </c>
      <c r="R7" s="30">
        <v>7320350.3158884998</v>
      </c>
      <c r="S7" s="30">
        <v>18495673.332985699</v>
      </c>
      <c r="T7" s="30">
        <v>37212053.567969799</v>
      </c>
      <c r="U7" s="30">
        <v>46238487.185549602</v>
      </c>
      <c r="V7" s="30">
        <v>70811295.878647894</v>
      </c>
      <c r="W7" s="30">
        <v>95226229.182806298</v>
      </c>
      <c r="X7" s="35">
        <f>AVERAGE(L7:N7)</f>
        <v>71843578.90452002</v>
      </c>
      <c r="Y7" s="35">
        <f>AVERAGE(O7:Q7)</f>
        <v>17586679700.338146</v>
      </c>
      <c r="Z7" s="41">
        <f>Y7/X7</f>
        <v>244.79125300412457</v>
      </c>
      <c r="AA7" s="42">
        <f>AVERAGE(R7:T7)</f>
        <v>21009359.072281335</v>
      </c>
      <c r="AB7" s="42">
        <f>AVERAGE(U7:W7)</f>
        <v>70758670.749001265</v>
      </c>
      <c r="AC7" s="43">
        <f>AB7/AA7</f>
        <v>3.3679595129751774</v>
      </c>
    </row>
    <row r="8" spans="1:29">
      <c r="A8" s="14" t="s">
        <v>212</v>
      </c>
      <c r="B8" s="14" t="s">
        <v>213</v>
      </c>
      <c r="C8" s="14" t="s">
        <v>214</v>
      </c>
      <c r="D8" s="14">
        <v>-1.91</v>
      </c>
      <c r="E8" s="14">
        <v>169.00416999999999</v>
      </c>
      <c r="F8" s="14">
        <v>9.9220000000000006</v>
      </c>
      <c r="G8" s="30">
        <f>AVERAGE(L8:W8)</f>
        <v>30673759.372116596</v>
      </c>
      <c r="H8" s="30">
        <v>93215807.536595404</v>
      </c>
      <c r="I8" s="30" t="e">
        <f>G8/#REF!</f>
        <v>#REF!</v>
      </c>
      <c r="J8" s="30" t="e">
        <f>H8/#REF!</f>
        <v>#REF!</v>
      </c>
      <c r="K8" s="14">
        <v>87.6</v>
      </c>
      <c r="L8" s="30">
        <v>7548172.2810308002</v>
      </c>
      <c r="M8" s="30">
        <v>13357130.7703768</v>
      </c>
      <c r="N8" s="30">
        <v>7289833.1082414696</v>
      </c>
      <c r="O8" s="30">
        <v>8191755.4352875398</v>
      </c>
      <c r="P8" s="30">
        <v>6565757.1091779396</v>
      </c>
      <c r="Q8" s="30">
        <v>16139063.477790199</v>
      </c>
      <c r="R8" s="30">
        <v>51843427.361375101</v>
      </c>
      <c r="S8" s="30">
        <v>14402645.7984145</v>
      </c>
      <c r="T8" s="30">
        <v>17671477.139326099</v>
      </c>
      <c r="U8" s="30">
        <v>93215807.536595404</v>
      </c>
      <c r="V8" s="30">
        <v>65982850.436074398</v>
      </c>
      <c r="W8" s="30">
        <v>65877192.0117089</v>
      </c>
      <c r="X8" s="35">
        <f>AVERAGE(L8:N8)</f>
        <v>9398378.7198830228</v>
      </c>
      <c r="Y8" s="35">
        <f>AVERAGE(O8:Q8)</f>
        <v>10298858.674085226</v>
      </c>
      <c r="Z8" s="41">
        <f>Y8/X8</f>
        <v>1.0958122651832667</v>
      </c>
      <c r="AA8" s="42">
        <f>AVERAGE(R8:T8)</f>
        <v>27972516.766371902</v>
      </c>
      <c r="AB8" s="42">
        <f>AVERAGE(U8:W8)</f>
        <v>75025283.328126237</v>
      </c>
      <c r="AC8" s="43">
        <f>AB8/AA8</f>
        <v>2.6821070107756766</v>
      </c>
    </row>
    <row r="9" spans="1:29">
      <c r="A9" s="14" t="s">
        <v>359</v>
      </c>
      <c r="B9" s="14" t="s">
        <v>360</v>
      </c>
      <c r="C9" s="14" t="s">
        <v>361</v>
      </c>
      <c r="D9" s="14">
        <v>-2.86</v>
      </c>
      <c r="E9" s="14">
        <v>204.04167000000001</v>
      </c>
      <c r="F9" s="14">
        <v>1.647</v>
      </c>
      <c r="G9" s="30">
        <f>AVERAGE(L9:W9)</f>
        <v>8084891.7448730953</v>
      </c>
      <c r="H9" s="30">
        <v>21883204.685818199</v>
      </c>
      <c r="I9" s="30" t="e">
        <f>G9/#REF!</f>
        <v>#REF!</v>
      </c>
      <c r="J9" s="30" t="e">
        <f>H9/#REF!</f>
        <v>#REF!</v>
      </c>
      <c r="K9" s="14">
        <v>82.7</v>
      </c>
      <c r="L9" s="30">
        <v>4583755.5064418996</v>
      </c>
      <c r="M9" s="30">
        <v>5366635.5855663</v>
      </c>
      <c r="N9" s="30">
        <v>3356795.8038173802</v>
      </c>
      <c r="O9" s="30">
        <v>114507.632647144</v>
      </c>
      <c r="P9" s="30">
        <v>6104684.5733502395</v>
      </c>
      <c r="Q9" s="30">
        <v>114255.629268695</v>
      </c>
      <c r="R9" s="30">
        <v>543223.55746654805</v>
      </c>
      <c r="S9" s="30">
        <v>6041306.5608207397</v>
      </c>
      <c r="T9" s="30">
        <v>14935575.380266801</v>
      </c>
      <c r="U9" s="30">
        <v>14907479.9681269</v>
      </c>
      <c r="V9" s="30">
        <v>21883204.685818199</v>
      </c>
      <c r="W9" s="30">
        <v>19067276.0548863</v>
      </c>
      <c r="X9" s="35">
        <f>AVERAGE(L9:N9)</f>
        <v>4435728.9652751936</v>
      </c>
      <c r="Y9" s="35">
        <f>AVERAGE(O9:Q9)</f>
        <v>2111149.278422026</v>
      </c>
      <c r="Z9" s="41">
        <f>Y9/X9</f>
        <v>0.4759419015338891</v>
      </c>
      <c r="AA9" s="42">
        <f>AVERAGE(R9:T9)</f>
        <v>7173368.4995180294</v>
      </c>
      <c r="AB9" s="42">
        <f>AVERAGE(U9:W9)</f>
        <v>18619320.236277133</v>
      </c>
      <c r="AC9" s="43">
        <f>AB9/AA9</f>
        <v>2.5956174198395279</v>
      </c>
    </row>
    <row r="10" spans="1:29">
      <c r="A10" s="14" t="s">
        <v>404</v>
      </c>
      <c r="B10" s="14" t="s">
        <v>405</v>
      </c>
      <c r="C10" s="14" t="s">
        <v>406</v>
      </c>
      <c r="D10" s="14">
        <v>-0.93</v>
      </c>
      <c r="E10" s="14">
        <v>136.03704999999999</v>
      </c>
      <c r="F10" s="14">
        <v>8.548</v>
      </c>
      <c r="G10" s="30">
        <f>AVERAGE(L10:W10)</f>
        <v>6183742.8516564891</v>
      </c>
      <c r="H10" s="30">
        <v>65937868.206726998</v>
      </c>
      <c r="I10" s="30" t="e">
        <f>G10/#REF!</f>
        <v>#REF!</v>
      </c>
      <c r="J10" s="30" t="e">
        <f>H10/#REF!</f>
        <v>#REF!</v>
      </c>
      <c r="K10" s="14">
        <v>98.5</v>
      </c>
      <c r="L10" s="30">
        <v>541738.08248628594</v>
      </c>
      <c r="M10" s="30">
        <v>3328477.1542022298</v>
      </c>
      <c r="N10" s="30">
        <v>65937868.206726998</v>
      </c>
      <c r="O10" s="30">
        <v>478130.57953668898</v>
      </c>
      <c r="P10" s="30">
        <v>561664.36464040296</v>
      </c>
      <c r="Q10" s="30">
        <v>439790.88825270702</v>
      </c>
      <c r="R10" s="30">
        <v>260165.38183914201</v>
      </c>
      <c r="S10" s="30">
        <v>222588.927995948</v>
      </c>
      <c r="T10" s="30">
        <v>352563.91945060302</v>
      </c>
      <c r="U10" s="30">
        <v>704703.310277774</v>
      </c>
      <c r="V10" s="30">
        <v>1059487.59515681</v>
      </c>
      <c r="W10" s="30">
        <v>317735.80931230198</v>
      </c>
      <c r="X10" s="35">
        <f>AVERAGE(L10:N10)</f>
        <v>23269361.147805169</v>
      </c>
      <c r="Y10" s="35">
        <f>AVERAGE(O10:Q10)</f>
        <v>493195.27747659967</v>
      </c>
      <c r="Z10" s="41">
        <f>Y10/X10</f>
        <v>2.119505019256273E-2</v>
      </c>
      <c r="AA10" s="42">
        <f>AVERAGE(R10:T10)</f>
        <v>278439.4097618977</v>
      </c>
      <c r="AB10" s="42">
        <f>AVERAGE(U10:W10)</f>
        <v>693975.57158229535</v>
      </c>
      <c r="AC10" s="43">
        <f>AB10/AA10</f>
        <v>2.4923755303738639</v>
      </c>
    </row>
    <row r="11" spans="1:29">
      <c r="A11" s="14" t="s">
        <v>372</v>
      </c>
      <c r="B11" s="14" t="s">
        <v>373</v>
      </c>
      <c r="C11" s="14" t="s">
        <v>374</v>
      </c>
      <c r="D11" s="14">
        <v>-0.52</v>
      </c>
      <c r="E11" s="14">
        <v>607.08124999999995</v>
      </c>
      <c r="F11" s="14">
        <v>15.27</v>
      </c>
      <c r="G11" s="30">
        <f>AVERAGE(L11:W11)</f>
        <v>7552596.1657959232</v>
      </c>
      <c r="H11" s="30">
        <v>15955102.199000601</v>
      </c>
      <c r="I11" s="30" t="e">
        <f>G11/#REF!</f>
        <v>#REF!</v>
      </c>
      <c r="J11" s="30" t="e">
        <f>H11/#REF!</f>
        <v>#REF!</v>
      </c>
      <c r="K11" s="14">
        <v>90.9</v>
      </c>
      <c r="L11" s="30">
        <v>3120055.32333712</v>
      </c>
      <c r="M11" s="30">
        <v>4499232.7044048598</v>
      </c>
      <c r="N11" s="30">
        <v>5285010.3506476805</v>
      </c>
      <c r="O11" s="30">
        <v>9030911.2192910593</v>
      </c>
      <c r="P11" s="30">
        <v>6011056.7798758</v>
      </c>
      <c r="Q11" s="30">
        <v>6901871.6671371199</v>
      </c>
      <c r="R11" s="30">
        <v>9444034.1933367401</v>
      </c>
      <c r="S11" s="30">
        <v>2601440.4653659798</v>
      </c>
      <c r="T11" s="30">
        <v>4127262.6427434399</v>
      </c>
      <c r="U11" s="30">
        <v>15955102.199000601</v>
      </c>
      <c r="V11" s="30">
        <v>13253009.2084828</v>
      </c>
      <c r="W11" s="30">
        <v>10402167.2359279</v>
      </c>
      <c r="X11" s="35">
        <f>AVERAGE(L11:N11)</f>
        <v>4301432.7927965531</v>
      </c>
      <c r="Y11" s="35">
        <f>AVERAGE(O11:Q11)</f>
        <v>7314613.2221013261</v>
      </c>
      <c r="Z11" s="41">
        <f>Y11/X11</f>
        <v>1.7005062207064661</v>
      </c>
      <c r="AA11" s="42">
        <f>AVERAGE(R11:T11)</f>
        <v>5390912.4338153871</v>
      </c>
      <c r="AB11" s="42">
        <f>AVERAGE(U11:W11)</f>
        <v>13203426.214470433</v>
      </c>
      <c r="AC11" s="43">
        <f>AB11/AA11</f>
        <v>2.4492006458219882</v>
      </c>
    </row>
    <row r="12" spans="1:29">
      <c r="A12" s="14" t="s">
        <v>455</v>
      </c>
      <c r="B12" s="14" t="s">
        <v>456</v>
      </c>
      <c r="C12" s="14" t="s">
        <v>457</v>
      </c>
      <c r="D12" s="14">
        <v>0.44</v>
      </c>
      <c r="E12" s="14">
        <v>103.09992</v>
      </c>
      <c r="F12" s="14">
        <v>12.872999999999999</v>
      </c>
      <c r="G12" s="30">
        <f>AVERAGE(L12:W12)</f>
        <v>158714.67202913514</v>
      </c>
      <c r="H12" s="30">
        <v>32832923.704275701</v>
      </c>
      <c r="I12" s="30" t="e">
        <f>G12/#REF!</f>
        <v>#REF!</v>
      </c>
      <c r="J12" s="30" t="e">
        <f>H12/#REF!</f>
        <v>#REF!</v>
      </c>
      <c r="K12" s="14">
        <v>76.3</v>
      </c>
      <c r="L12" s="30">
        <v>217685.00762024501</v>
      </c>
      <c r="M12" s="30">
        <v>506262.59161380801</v>
      </c>
      <c r="N12" s="30">
        <v>106228.611635535</v>
      </c>
      <c r="O12" s="30">
        <v>132443.26133714401</v>
      </c>
      <c r="P12" s="30">
        <v>45398.237800457297</v>
      </c>
      <c r="Q12" s="30">
        <v>145216.00202956601</v>
      </c>
      <c r="R12" s="30">
        <v>11975.968008968101</v>
      </c>
      <c r="S12" s="30">
        <v>12576.3271028773</v>
      </c>
      <c r="T12" s="30">
        <v>197803.55116635701</v>
      </c>
      <c r="U12" s="30">
        <v>198049.811777225</v>
      </c>
      <c r="V12" s="30">
        <v>195611.06124844999</v>
      </c>
      <c r="W12" s="30">
        <v>135325.63300898901</v>
      </c>
      <c r="X12" s="35">
        <f>AVERAGE(L12:N12)</f>
        <v>276725.40362319601</v>
      </c>
      <c r="Y12" s="35">
        <f>AVERAGE(O12:Q12)</f>
        <v>107685.83372238911</v>
      </c>
      <c r="Z12" s="41">
        <f>Y12/X12</f>
        <v>0.38914328902387241</v>
      </c>
      <c r="AA12" s="42">
        <f>AVERAGE(R12:T12)</f>
        <v>74118.615426067467</v>
      </c>
      <c r="AB12" s="42">
        <f>AVERAGE(U12:W12)</f>
        <v>176328.83534488801</v>
      </c>
      <c r="AC12" s="43">
        <f>AB12/AA12</f>
        <v>2.379008759557498</v>
      </c>
    </row>
    <row r="13" spans="1:29">
      <c r="A13" s="14" t="s">
        <v>460</v>
      </c>
      <c r="B13" s="14" t="s">
        <v>461</v>
      </c>
      <c r="C13" s="14" t="s">
        <v>462</v>
      </c>
      <c r="D13" s="14">
        <v>2.2599999999999998</v>
      </c>
      <c r="E13" s="14">
        <v>108.06899</v>
      </c>
      <c r="F13" s="14">
        <v>11.680999999999999</v>
      </c>
      <c r="G13" s="30">
        <f>AVERAGE(L13:W13)</f>
        <v>780217.63275183656</v>
      </c>
      <c r="H13" s="30">
        <v>23385154.168354299</v>
      </c>
      <c r="I13" s="30" t="e">
        <f>G13/#REF!</f>
        <v>#REF!</v>
      </c>
      <c r="J13" s="30" t="e">
        <f>H13/#REF!</f>
        <v>#REF!</v>
      </c>
      <c r="K13" s="14">
        <v>80.7</v>
      </c>
      <c r="L13" s="30">
        <v>795479.80788813601</v>
      </c>
      <c r="M13" s="30">
        <v>973953.27861554699</v>
      </c>
      <c r="N13" s="30">
        <v>1006717.60585177</v>
      </c>
      <c r="O13" s="30">
        <v>906892.80108760996</v>
      </c>
      <c r="P13" s="30">
        <v>1015367.7716036</v>
      </c>
      <c r="Q13" s="30">
        <v>858438.05048202199</v>
      </c>
      <c r="R13" s="30">
        <v>50571.315600374903</v>
      </c>
      <c r="S13" s="30">
        <v>53115.566913545197</v>
      </c>
      <c r="T13" s="30">
        <v>1058236.95715366</v>
      </c>
      <c r="U13" s="30">
        <v>789372.41876999103</v>
      </c>
      <c r="V13" s="30">
        <v>1000553.0848025</v>
      </c>
      <c r="W13" s="30">
        <v>853912.93425328401</v>
      </c>
      <c r="X13" s="35">
        <f>AVERAGE(L13:N13)</f>
        <v>925383.56411848438</v>
      </c>
      <c r="Y13" s="35">
        <f>AVERAGE(O13:Q13)</f>
        <v>926899.54105774406</v>
      </c>
      <c r="Z13" s="41">
        <f>Y13/X13</f>
        <v>1.0016382146798812</v>
      </c>
      <c r="AA13" s="42">
        <f>AVERAGE(R13:T13)</f>
        <v>387307.94655586005</v>
      </c>
      <c r="AB13" s="42">
        <f>AVERAGE(U13:W13)</f>
        <v>881279.47927525826</v>
      </c>
      <c r="AC13" s="43">
        <f>AB13/AA13</f>
        <v>2.2753973604519224</v>
      </c>
    </row>
    <row r="14" spans="1:29">
      <c r="A14" s="14" t="s">
        <v>341</v>
      </c>
      <c r="B14" s="14" t="s">
        <v>342</v>
      </c>
      <c r="C14" s="14" t="s">
        <v>343</v>
      </c>
      <c r="D14" s="14">
        <v>0.05</v>
      </c>
      <c r="E14" s="14">
        <v>166.02662000000001</v>
      </c>
      <c r="F14" s="14">
        <v>1.155</v>
      </c>
      <c r="G14" s="30">
        <f>AVERAGE(L14:W14)</f>
        <v>8976695.4240571372</v>
      </c>
      <c r="H14" s="30">
        <v>21376343.122194801</v>
      </c>
      <c r="I14" s="30" t="e">
        <f>G14/#REF!</f>
        <v>#REF!</v>
      </c>
      <c r="J14" s="30" t="e">
        <f>H14/#REF!</f>
        <v>#REF!</v>
      </c>
      <c r="K14" s="14">
        <v>87.1</v>
      </c>
      <c r="L14" s="30">
        <v>7554947.5896573197</v>
      </c>
      <c r="M14" s="30">
        <v>10737067.989403499</v>
      </c>
      <c r="N14" s="30">
        <v>9848912.1785133891</v>
      </c>
      <c r="O14" s="30">
        <v>12183902.689304899</v>
      </c>
      <c r="P14" s="30">
        <v>6855402.2007551398</v>
      </c>
      <c r="Q14" s="30">
        <v>8892205.2834705301</v>
      </c>
      <c r="R14" s="30">
        <v>394910.39111698698</v>
      </c>
      <c r="S14" s="30">
        <v>9308277.0252350904</v>
      </c>
      <c r="T14" s="30">
        <v>6561333.3153597396</v>
      </c>
      <c r="U14" s="30">
        <v>21376343.122194801</v>
      </c>
      <c r="V14" s="30">
        <v>6143356.2152107302</v>
      </c>
      <c r="W14" s="30">
        <v>7863687.0884635104</v>
      </c>
      <c r="X14" s="35">
        <f>AVERAGE(L14:N14)</f>
        <v>9380309.2525247354</v>
      </c>
      <c r="Y14" s="35">
        <f>AVERAGE(O14:Q14)</f>
        <v>9310503.3911768552</v>
      </c>
      <c r="Z14" s="41">
        <f>Y14/X14</f>
        <v>0.99255825586676771</v>
      </c>
      <c r="AA14" s="42">
        <f>AVERAGE(R14:T14)</f>
        <v>5421506.9105706057</v>
      </c>
      <c r="AB14" s="42">
        <f>AVERAGE(U14:W14)</f>
        <v>11794462.141956346</v>
      </c>
      <c r="AC14" s="43">
        <f>AB14/AA14</f>
        <v>2.1754951780952347</v>
      </c>
    </row>
    <row r="15" spans="1:29">
      <c r="A15" s="14" t="s">
        <v>497</v>
      </c>
      <c r="B15" s="14" t="s">
        <v>498</v>
      </c>
      <c r="C15" s="14" t="s">
        <v>199</v>
      </c>
      <c r="D15" s="14">
        <v>-1.98</v>
      </c>
      <c r="E15" s="14">
        <v>88.015749999999997</v>
      </c>
      <c r="F15" s="14">
        <v>8.5280000000000005</v>
      </c>
      <c r="G15" s="30">
        <f>AVERAGE(L15:W15)</f>
        <v>933000.54373152682</v>
      </c>
      <c r="H15" s="30">
        <v>3458113.1955621499</v>
      </c>
      <c r="I15" s="30" t="e">
        <f>G15/#REF!</f>
        <v>#REF!</v>
      </c>
      <c r="J15" s="30" t="e">
        <f>H15/#REF!</f>
        <v>#REF!</v>
      </c>
      <c r="K15" s="14">
        <v>68.7</v>
      </c>
      <c r="L15" s="30">
        <v>249999.23813943</v>
      </c>
      <c r="M15" s="30">
        <v>816759.98842746497</v>
      </c>
      <c r="N15" s="30">
        <v>1464325.32396537</v>
      </c>
      <c r="O15" s="30">
        <v>3458113.1955621499</v>
      </c>
      <c r="P15" s="30">
        <v>208657.81372129699</v>
      </c>
      <c r="Q15" s="30">
        <v>462961.77776145597</v>
      </c>
      <c r="R15" s="30">
        <v>125088.720309176</v>
      </c>
      <c r="S15" s="30">
        <v>412679.007638401</v>
      </c>
      <c r="T15" s="30">
        <v>913949.29019077704</v>
      </c>
      <c r="U15" s="30">
        <v>982894.01889045699</v>
      </c>
      <c r="V15" s="30">
        <v>915478.02868885396</v>
      </c>
      <c r="W15" s="30">
        <v>1185100.1214834901</v>
      </c>
      <c r="X15" s="35">
        <f>AVERAGE(L15:N15)</f>
        <v>843694.85017742158</v>
      </c>
      <c r="Y15" s="35">
        <f>AVERAGE(O15:Q15)</f>
        <v>1376577.5956816343</v>
      </c>
      <c r="Z15" s="41">
        <f>Y15/X15</f>
        <v>1.6316060189204096</v>
      </c>
      <c r="AA15" s="42">
        <f>AVERAGE(R15:T15)</f>
        <v>483905.67271278473</v>
      </c>
      <c r="AB15" s="42">
        <f>AVERAGE(U15:W15)</f>
        <v>1027824.0563542669</v>
      </c>
      <c r="AC15" s="43">
        <f>AB15/AA15</f>
        <v>2.1240173742792994</v>
      </c>
    </row>
    <row r="16" spans="1:29">
      <c r="A16" s="14" t="s">
        <v>326</v>
      </c>
      <c r="B16" s="14" t="s">
        <v>327</v>
      </c>
      <c r="C16" s="14" t="s">
        <v>328</v>
      </c>
      <c r="D16" s="14">
        <v>-0.33</v>
      </c>
      <c r="E16" s="14">
        <v>422.08240000000001</v>
      </c>
      <c r="F16" s="14">
        <v>16.628</v>
      </c>
      <c r="G16" s="30">
        <f>AVERAGE(L16:W16)</f>
        <v>10520210.981362462</v>
      </c>
      <c r="H16" s="30">
        <v>34078825.653155297</v>
      </c>
      <c r="I16" s="30" t="e">
        <f>G16/#REF!</f>
        <v>#REF!</v>
      </c>
      <c r="J16" s="30" t="e">
        <f>H16/#REF!</f>
        <v>#REF!</v>
      </c>
      <c r="K16" s="14">
        <v>78.400000000000006</v>
      </c>
      <c r="L16" s="30">
        <v>8162354.28269732</v>
      </c>
      <c r="M16" s="30">
        <v>23379931.811093401</v>
      </c>
      <c r="N16" s="30">
        <v>34078825.653155297</v>
      </c>
      <c r="O16" s="30">
        <v>11460505.199205101</v>
      </c>
      <c r="P16" s="30">
        <v>17482978.376501702</v>
      </c>
      <c r="Q16" s="30">
        <v>7068217.6315133097</v>
      </c>
      <c r="R16" s="30">
        <v>2799410.6724785902</v>
      </c>
      <c r="S16" s="30">
        <v>729357.09124924894</v>
      </c>
      <c r="T16" s="30">
        <v>5131466.5389488703</v>
      </c>
      <c r="U16" s="30">
        <v>6280256.8424252104</v>
      </c>
      <c r="V16" s="30">
        <v>5751847.9082292803</v>
      </c>
      <c r="W16" s="30">
        <v>3917379.7688522302</v>
      </c>
      <c r="X16" s="35">
        <f>AVERAGE(L16:N16)</f>
        <v>21873703.915648673</v>
      </c>
      <c r="Y16" s="35">
        <f>AVERAGE(O16:Q16)</f>
        <v>12003900.402406706</v>
      </c>
      <c r="Z16" s="41">
        <f>Y16/X16</f>
        <v>0.54878224779384488</v>
      </c>
      <c r="AA16" s="42">
        <f>AVERAGE(R16:T16)</f>
        <v>2886744.767558903</v>
      </c>
      <c r="AB16" s="42">
        <f>AVERAGE(U16:W16)</f>
        <v>5316494.8398355739</v>
      </c>
      <c r="AC16" s="43">
        <f>AB16/AA16</f>
        <v>1.8416920330408437</v>
      </c>
    </row>
    <row r="17" spans="1:29">
      <c r="A17" s="14" t="s">
        <v>67</v>
      </c>
      <c r="B17" s="14" t="s">
        <v>68</v>
      </c>
      <c r="C17" s="14" t="s">
        <v>69</v>
      </c>
      <c r="D17" s="14">
        <v>-0.7</v>
      </c>
      <c r="E17" s="14">
        <v>287.28201999999999</v>
      </c>
      <c r="F17" s="14">
        <v>1.214</v>
      </c>
      <c r="G17" s="30">
        <f>AVERAGE(L17:W17)</f>
        <v>174357718.88919771</v>
      </c>
      <c r="H17" s="30">
        <v>328884535.50550598</v>
      </c>
      <c r="I17" s="30" t="e">
        <f>G17/#REF!</f>
        <v>#REF!</v>
      </c>
      <c r="J17" s="30" t="e">
        <f>H17/#REF!</f>
        <v>#REF!</v>
      </c>
      <c r="K17" s="14">
        <v>77.400000000000006</v>
      </c>
      <c r="L17" s="30">
        <v>149654093.610008</v>
      </c>
      <c r="M17" s="30">
        <v>222349570.31146899</v>
      </c>
      <c r="N17" s="30">
        <v>264347052.98968899</v>
      </c>
      <c r="O17" s="30">
        <v>238698783.67445001</v>
      </c>
      <c r="P17" s="30">
        <v>164945370.74664399</v>
      </c>
      <c r="Q17" s="30">
        <v>208183328.08722401</v>
      </c>
      <c r="R17" s="30">
        <v>73241831.051107705</v>
      </c>
      <c r="S17" s="30">
        <v>97876889.834592506</v>
      </c>
      <c r="T17" s="30">
        <v>126269077.20369001</v>
      </c>
      <c r="U17" s="30">
        <v>86166195.460962996</v>
      </c>
      <c r="V17" s="30">
        <v>237630629.449047</v>
      </c>
      <c r="W17" s="30">
        <v>222929804.251488</v>
      </c>
      <c r="X17" s="35">
        <f>AVERAGE(L17:N17)</f>
        <v>212116905.63705531</v>
      </c>
      <c r="Y17" s="35">
        <f>AVERAGE(O17:Q17)</f>
        <v>203942494.16943932</v>
      </c>
      <c r="Z17" s="41">
        <f>Y17/X17</f>
        <v>0.96146270641151588</v>
      </c>
      <c r="AA17" s="42">
        <f>AVERAGE(R17:T17)</f>
        <v>99129266.029796734</v>
      </c>
      <c r="AB17" s="42">
        <f>AVERAGE(U17:W17)</f>
        <v>182242209.72049931</v>
      </c>
      <c r="AC17" s="43">
        <f>AB17/AA17</f>
        <v>1.8384299311337593</v>
      </c>
    </row>
    <row r="18" spans="1:29">
      <c r="A18" s="14" t="s">
        <v>509</v>
      </c>
      <c r="B18" s="14" t="s">
        <v>510</v>
      </c>
      <c r="C18" s="14" t="s">
        <v>149</v>
      </c>
      <c r="D18" s="14">
        <v>3.04</v>
      </c>
      <c r="E18" s="14">
        <v>175.09621999999999</v>
      </c>
      <c r="F18" s="14">
        <v>10.75</v>
      </c>
      <c r="G18" s="30">
        <f>AVERAGE(L18:W18)</f>
        <v>275024.87167727127</v>
      </c>
      <c r="H18" s="30">
        <v>2722945.2644426399</v>
      </c>
      <c r="I18" s="30" t="e">
        <f>G18/#REF!</f>
        <v>#REF!</v>
      </c>
      <c r="J18" s="30" t="e">
        <f>H18/#REF!</f>
        <v>#REF!</v>
      </c>
      <c r="K18" s="14">
        <v>57.8</v>
      </c>
      <c r="L18" s="30">
        <v>338379.86076851399</v>
      </c>
      <c r="M18" s="30">
        <v>456938.73578805802</v>
      </c>
      <c r="N18" s="30">
        <v>418478.81181389198</v>
      </c>
      <c r="O18" s="30">
        <v>221481.18261993601</v>
      </c>
      <c r="P18" s="30">
        <v>326466.977985417</v>
      </c>
      <c r="Q18" s="30">
        <v>465087.86296807398</v>
      </c>
      <c r="R18" s="30">
        <v>47654.074585374103</v>
      </c>
      <c r="S18" s="30">
        <v>42372.402797193601</v>
      </c>
      <c r="T18" s="30">
        <v>297038.20959704998</v>
      </c>
      <c r="U18" s="30">
        <v>331419.18753418501</v>
      </c>
      <c r="V18" s="30">
        <v>61465.756905150003</v>
      </c>
      <c r="W18" s="30">
        <v>293515.39676441101</v>
      </c>
      <c r="X18" s="35">
        <f>AVERAGE(L18:N18)</f>
        <v>404599.13612348802</v>
      </c>
      <c r="Y18" s="35">
        <f>AVERAGE(O18:Q18)</f>
        <v>337678.67452447565</v>
      </c>
      <c r="Z18" s="41">
        <f>Y18/X18</f>
        <v>0.83460058209667676</v>
      </c>
      <c r="AA18" s="42">
        <f>AVERAGE(R18:T18)</f>
        <v>129021.56232653924</v>
      </c>
      <c r="AB18" s="42">
        <f>AVERAGE(U18:W18)</f>
        <v>228800.113734582</v>
      </c>
      <c r="AC18" s="43">
        <f>AB18/AA18</f>
        <v>1.7733478777408875</v>
      </c>
    </row>
    <row r="19" spans="1:29">
      <c r="A19" s="14" t="s">
        <v>159</v>
      </c>
      <c r="B19" s="14" t="s">
        <v>160</v>
      </c>
      <c r="C19" s="14" t="s">
        <v>161</v>
      </c>
      <c r="D19" s="14">
        <v>1.54</v>
      </c>
      <c r="E19" s="14">
        <v>117.07916</v>
      </c>
      <c r="F19" s="14">
        <v>8.5739999999999998</v>
      </c>
      <c r="G19" s="30">
        <f>AVERAGE(L19:W19)</f>
        <v>1286522.0500417417</v>
      </c>
      <c r="H19" s="30">
        <v>2243614.1867952701</v>
      </c>
      <c r="I19" s="30" t="e">
        <f>G19/#REF!</f>
        <v>#REF!</v>
      </c>
      <c r="J19" s="30" t="e">
        <f>H19/#REF!</f>
        <v>#REF!</v>
      </c>
      <c r="K19" s="14">
        <v>80.5</v>
      </c>
      <c r="L19" s="30">
        <v>1274916.1389599801</v>
      </c>
      <c r="M19" s="30">
        <v>1789806.5288312</v>
      </c>
      <c r="N19" s="30">
        <v>1426351.5342655701</v>
      </c>
      <c r="O19" s="30">
        <v>1049440.3314453</v>
      </c>
      <c r="P19" s="30">
        <v>570043.388958956</v>
      </c>
      <c r="Q19" s="30">
        <v>1395508.94604789</v>
      </c>
      <c r="R19" s="30">
        <v>932459.76032836898</v>
      </c>
      <c r="S19" s="30">
        <v>1082493.3868396501</v>
      </c>
      <c r="T19" s="30">
        <v>886566.85914718302</v>
      </c>
      <c r="U19" s="30">
        <v>1461169.90984174</v>
      </c>
      <c r="V19" s="30">
        <v>2243614.1867952701</v>
      </c>
      <c r="W19" s="30">
        <v>1325893.62903979</v>
      </c>
      <c r="X19" s="35">
        <f>AVERAGE(L19:N19)</f>
        <v>1497024.734018917</v>
      </c>
      <c r="Y19" s="35">
        <f>AVERAGE(O19:Q19)</f>
        <v>1004997.5554840487</v>
      </c>
      <c r="Z19" s="41">
        <f>Y19/X19</f>
        <v>0.67132996045164151</v>
      </c>
      <c r="AA19" s="42">
        <f>AVERAGE(R19:T19)</f>
        <v>967173.33543840062</v>
      </c>
      <c r="AB19" s="42">
        <f>AVERAGE(U19:W19)</f>
        <v>1676892.5752256</v>
      </c>
      <c r="AC19" s="43">
        <f>AB19/AA19</f>
        <v>1.7338076989741427</v>
      </c>
    </row>
    <row r="20" spans="1:29">
      <c r="A20" s="14" t="s">
        <v>180</v>
      </c>
      <c r="B20" s="14" t="s">
        <v>181</v>
      </c>
      <c r="C20" s="14" t="s">
        <v>182</v>
      </c>
      <c r="D20" s="14">
        <v>-1.1299999999999999</v>
      </c>
      <c r="E20" s="14">
        <v>145.11010999999999</v>
      </c>
      <c r="F20" s="14">
        <v>2.718</v>
      </c>
      <c r="G20" s="30">
        <f>AVERAGE(L20:W20)</f>
        <v>46856879.898583956</v>
      </c>
      <c r="H20" s="30">
        <v>119522174.830292</v>
      </c>
      <c r="I20" s="30" t="e">
        <f>G20/#REF!</f>
        <v>#REF!</v>
      </c>
      <c r="J20" s="30" t="e">
        <f>H20/#REF!</f>
        <v>#REF!</v>
      </c>
      <c r="K20" s="14">
        <v>59.7</v>
      </c>
      <c r="L20" s="30">
        <v>58122621.212186597</v>
      </c>
      <c r="M20" s="30">
        <v>36336555.541960098</v>
      </c>
      <c r="N20" s="30">
        <v>43384912.291829802</v>
      </c>
      <c r="O20" s="30">
        <v>101206731.01637</v>
      </c>
      <c r="P20" s="30">
        <v>25412041.787964702</v>
      </c>
      <c r="Q20" s="30">
        <v>34534270.2921765</v>
      </c>
      <c r="R20" s="30">
        <v>51073010.722542197</v>
      </c>
      <c r="S20" s="30">
        <v>27523472.072009601</v>
      </c>
      <c r="T20" s="30">
        <v>18434239.436765201</v>
      </c>
      <c r="U20" s="30">
        <v>119522174.830292</v>
      </c>
      <c r="V20" s="30">
        <v>19163240.152386699</v>
      </c>
      <c r="W20" s="30">
        <v>27569289.426524099</v>
      </c>
      <c r="X20" s="35">
        <f>AVERAGE(L20:N20)</f>
        <v>45948029.681992166</v>
      </c>
      <c r="Y20" s="35">
        <f>AVERAGE(O20:Q20)</f>
        <v>53717681.032170393</v>
      </c>
      <c r="Z20" s="41">
        <f>Y20/X20</f>
        <v>1.1690965075967836</v>
      </c>
      <c r="AA20" s="42">
        <f>AVERAGE(R20:T20)</f>
        <v>32343574.07710566</v>
      </c>
      <c r="AB20" s="42">
        <f>AVERAGE(U20:W20)</f>
        <v>55418234.803067602</v>
      </c>
      <c r="AC20" s="43">
        <f>AB20/AA20</f>
        <v>1.7134233424838259</v>
      </c>
    </row>
    <row r="21" spans="1:29">
      <c r="A21" s="14" t="s">
        <v>422</v>
      </c>
      <c r="B21" s="14" t="s">
        <v>423</v>
      </c>
      <c r="C21" s="14" t="s">
        <v>424</v>
      </c>
      <c r="D21" s="14">
        <v>-1.1299999999999999</v>
      </c>
      <c r="E21" s="14">
        <v>541.06048999999996</v>
      </c>
      <c r="F21" s="14">
        <v>13.484999999999999</v>
      </c>
      <c r="G21" s="30">
        <f>AVERAGE(L21:W21)</f>
        <v>5118122.8752659801</v>
      </c>
      <c r="H21" s="30">
        <v>8287029.9875445897</v>
      </c>
      <c r="I21" s="30" t="e">
        <f>G21/#REF!</f>
        <v>#REF!</v>
      </c>
      <c r="J21" s="30" t="e">
        <f>H21/#REF!</f>
        <v>#REF!</v>
      </c>
      <c r="K21" s="14">
        <v>92.1</v>
      </c>
      <c r="L21" s="30">
        <v>2363934.3432517</v>
      </c>
      <c r="M21" s="30">
        <v>3176825.6971348901</v>
      </c>
      <c r="N21" s="30">
        <v>4489330.1366151301</v>
      </c>
      <c r="O21" s="30">
        <v>7116390.5093093496</v>
      </c>
      <c r="P21" s="30">
        <v>4278801.59733837</v>
      </c>
      <c r="Q21" s="30">
        <v>5791954.2683693497</v>
      </c>
      <c r="R21" s="30">
        <v>6138401.85489415</v>
      </c>
      <c r="S21" s="30">
        <v>3635146.1237141099</v>
      </c>
      <c r="T21" s="30">
        <v>3070451.01180383</v>
      </c>
      <c r="U21" s="30">
        <v>8287029.9875445897</v>
      </c>
      <c r="V21" s="30">
        <v>6466693.5255887704</v>
      </c>
      <c r="W21" s="30">
        <v>6602515.4476275202</v>
      </c>
      <c r="X21" s="35">
        <f>AVERAGE(L21:N21)</f>
        <v>3343363.3923339066</v>
      </c>
      <c r="Y21" s="35">
        <f>AVERAGE(O21:Q21)</f>
        <v>5729048.7916723564</v>
      </c>
      <c r="Z21" s="41">
        <f>Y21/X21</f>
        <v>1.713558509615992</v>
      </c>
      <c r="AA21" s="42">
        <f>AVERAGE(R21:T21)</f>
        <v>4281332.9968040297</v>
      </c>
      <c r="AB21" s="42">
        <f>AVERAGE(U21:W21)</f>
        <v>7118746.3202536264</v>
      </c>
      <c r="AC21" s="43">
        <f>AB21/AA21</f>
        <v>1.6627406290442011</v>
      </c>
    </row>
    <row r="22" spans="1:29">
      <c r="A22" s="14" t="s">
        <v>165</v>
      </c>
      <c r="B22" s="14" t="s">
        <v>166</v>
      </c>
      <c r="C22" s="14" t="s">
        <v>167</v>
      </c>
      <c r="D22" s="14">
        <v>-3.03</v>
      </c>
      <c r="E22" s="14">
        <v>147.05270999999999</v>
      </c>
      <c r="F22" s="14">
        <v>8.7970000000000006</v>
      </c>
      <c r="G22" s="30">
        <f>AVERAGE(L22:W22)</f>
        <v>45004928.06976568</v>
      </c>
      <c r="H22" s="30">
        <v>101070738.812323</v>
      </c>
      <c r="I22" s="30" t="e">
        <f>G22/#REF!</f>
        <v>#REF!</v>
      </c>
      <c r="J22" s="30" t="e">
        <f>H22/#REF!</f>
        <v>#REF!</v>
      </c>
      <c r="K22" s="14">
        <v>71.099999999999994</v>
      </c>
      <c r="L22" s="30">
        <v>18410382.8767551</v>
      </c>
      <c r="M22" s="30">
        <v>58100766.856100097</v>
      </c>
      <c r="N22" s="30">
        <v>82414913.984992996</v>
      </c>
      <c r="O22" s="30">
        <v>101070738.812323</v>
      </c>
      <c r="P22" s="30">
        <v>42737091.213014103</v>
      </c>
      <c r="Q22" s="30">
        <v>42958470.512189999</v>
      </c>
      <c r="R22" s="30">
        <v>670879.06151651801</v>
      </c>
      <c r="S22" s="30">
        <v>19983816.632760499</v>
      </c>
      <c r="T22" s="30">
        <v>53192059.512864403</v>
      </c>
      <c r="U22" s="30">
        <v>43143070.687988602</v>
      </c>
      <c r="V22" s="30">
        <v>41187124.496485397</v>
      </c>
      <c r="W22" s="30">
        <v>36189822.190197401</v>
      </c>
      <c r="X22" s="35">
        <f>AVERAGE(L22:N22)</f>
        <v>52975354.572616063</v>
      </c>
      <c r="Y22" s="35">
        <f>AVERAGE(O22:Q22)</f>
        <v>62255433.512509026</v>
      </c>
      <c r="Z22" s="41">
        <f>Y22/X22</f>
        <v>1.1751772879060636</v>
      </c>
      <c r="AA22" s="42">
        <f>AVERAGE(R22:T22)</f>
        <v>24615585.069047142</v>
      </c>
      <c r="AB22" s="42">
        <f>AVERAGE(U22:W22)</f>
        <v>40173339.124890469</v>
      </c>
      <c r="AC22" s="43">
        <f>AB22/AA22</f>
        <v>1.6320286116378528</v>
      </c>
    </row>
    <row r="23" spans="1:29">
      <c r="A23" s="14" t="s">
        <v>49</v>
      </c>
      <c r="B23" s="14" t="s">
        <v>50</v>
      </c>
      <c r="C23" s="14" t="s">
        <v>51</v>
      </c>
      <c r="D23" s="14">
        <v>-0.63</v>
      </c>
      <c r="E23" s="14">
        <v>103.09965</v>
      </c>
      <c r="F23" s="14">
        <v>2.7389999999999999</v>
      </c>
      <c r="G23" s="30">
        <f>AVERAGE(L23:W23)</f>
        <v>595481081.03322649</v>
      </c>
      <c r="H23" s="30">
        <v>1605778550.6538999</v>
      </c>
      <c r="I23" s="30" t="e">
        <f>G23/#REF!</f>
        <v>#REF!</v>
      </c>
      <c r="J23" s="30" t="e">
        <f>H23/#REF!</f>
        <v>#REF!</v>
      </c>
      <c r="K23" s="14">
        <v>94.2</v>
      </c>
      <c r="L23" s="30">
        <v>344706220.40315098</v>
      </c>
      <c r="M23" s="30">
        <v>373820442.486893</v>
      </c>
      <c r="N23" s="30">
        <v>806058323.01065898</v>
      </c>
      <c r="O23" s="30">
        <v>562224379.30762005</v>
      </c>
      <c r="P23" s="30">
        <v>248925953.281528</v>
      </c>
      <c r="Q23" s="30">
        <v>360661060.60199702</v>
      </c>
      <c r="R23" s="30">
        <v>454469674.71348202</v>
      </c>
      <c r="S23" s="30">
        <v>632679563.83253896</v>
      </c>
      <c r="T23" s="30">
        <v>605112698.48720598</v>
      </c>
      <c r="U23" s="30">
        <v>1605778550.6538999</v>
      </c>
      <c r="V23" s="30">
        <v>553440097.98790205</v>
      </c>
      <c r="W23" s="30">
        <v>597896007.63184202</v>
      </c>
      <c r="X23" s="35">
        <f>AVERAGE(L23:N23)</f>
        <v>508194995.30023432</v>
      </c>
      <c r="Y23" s="35">
        <f>AVERAGE(O23:Q23)</f>
        <v>390603797.73038167</v>
      </c>
      <c r="Z23" s="41">
        <f>Y23/X23</f>
        <v>0.76861008341811499</v>
      </c>
      <c r="AA23" s="42">
        <f>AVERAGE(R23:T23)</f>
        <v>564087312.34440899</v>
      </c>
      <c r="AB23" s="42">
        <f>AVERAGE(U23:W23)</f>
        <v>919038218.75788128</v>
      </c>
      <c r="AC23" s="43">
        <f>AB23/AA23</f>
        <v>1.6292481653917321</v>
      </c>
    </row>
    <row r="24" spans="1:29">
      <c r="A24" s="14" t="s">
        <v>482</v>
      </c>
      <c r="B24" s="14" t="s">
        <v>483</v>
      </c>
      <c r="C24" s="14" t="s">
        <v>343</v>
      </c>
      <c r="D24" s="14">
        <v>-0.45</v>
      </c>
      <c r="E24" s="14">
        <v>166.02653000000001</v>
      </c>
      <c r="F24" s="14">
        <v>11.379</v>
      </c>
      <c r="G24" s="30">
        <f>AVERAGE(L24:W24)</f>
        <v>766720.02324249782</v>
      </c>
      <c r="H24" s="30">
        <v>8568035.9378472902</v>
      </c>
      <c r="I24" s="30" t="e">
        <f>G24/#REF!</f>
        <v>#REF!</v>
      </c>
      <c r="J24" s="30" t="e">
        <f>H24/#REF!</f>
        <v>#REF!</v>
      </c>
      <c r="K24" s="14">
        <v>55.2</v>
      </c>
      <c r="L24" s="30">
        <v>995622.55456873402</v>
      </c>
      <c r="M24" s="30">
        <v>188687.27686234601</v>
      </c>
      <c r="N24" s="30">
        <v>1005342.2231933801</v>
      </c>
      <c r="O24" s="30">
        <v>847421.50763135694</v>
      </c>
      <c r="P24" s="30">
        <v>1723121.2798329601</v>
      </c>
      <c r="Q24" s="30">
        <v>1070694.9715380301</v>
      </c>
      <c r="R24" s="30">
        <v>60528.424936528201</v>
      </c>
      <c r="S24" s="30">
        <v>278885.86309595697</v>
      </c>
      <c r="T24" s="30">
        <v>943107.0915024</v>
      </c>
      <c r="U24" s="30">
        <v>687415.34563878004</v>
      </c>
      <c r="V24" s="30">
        <v>301970.76054826198</v>
      </c>
      <c r="W24" s="30">
        <v>1097842.9795612399</v>
      </c>
      <c r="X24" s="35">
        <f>AVERAGE(L24:N24)</f>
        <v>729884.01820815343</v>
      </c>
      <c r="Y24" s="35">
        <f>AVERAGE(O24:Q24)</f>
        <v>1213745.9196674491</v>
      </c>
      <c r="Z24" s="41">
        <f>Y24/X24</f>
        <v>1.6629298482889983</v>
      </c>
      <c r="AA24" s="42">
        <f>AVERAGE(R24:T24)</f>
        <v>427507.12651162845</v>
      </c>
      <c r="AB24" s="42">
        <f>AVERAGE(U24:W24)</f>
        <v>695743.02858276071</v>
      </c>
      <c r="AC24" s="43">
        <f>AB24/AA24</f>
        <v>1.6274419429212394</v>
      </c>
    </row>
    <row r="25" spans="1:29">
      <c r="A25" s="14" t="s">
        <v>458</v>
      </c>
      <c r="B25" s="14" t="s">
        <v>459</v>
      </c>
      <c r="C25" s="14" t="s">
        <v>337</v>
      </c>
      <c r="D25" s="14">
        <v>-0.4</v>
      </c>
      <c r="E25" s="14">
        <v>260.02960999999999</v>
      </c>
      <c r="F25" s="14">
        <v>16.637</v>
      </c>
      <c r="G25" s="30">
        <f>AVERAGE(L25:W25)</f>
        <v>2406267.4396535638</v>
      </c>
      <c r="H25" s="30">
        <v>5797081.04179121</v>
      </c>
      <c r="I25" s="30" t="e">
        <f>G25/#REF!</f>
        <v>#REF!</v>
      </c>
      <c r="J25" s="30" t="e">
        <f>H25/#REF!</f>
        <v>#REF!</v>
      </c>
      <c r="K25" s="14">
        <v>79</v>
      </c>
      <c r="L25" s="30">
        <v>1792746.28526853</v>
      </c>
      <c r="M25" s="30">
        <v>5797081.04179121</v>
      </c>
      <c r="N25" s="30">
        <v>4106798.6944526602</v>
      </c>
      <c r="O25" s="30">
        <v>3344231.7347290399</v>
      </c>
      <c r="P25" s="30">
        <v>4962386.12592657</v>
      </c>
      <c r="Q25" s="30">
        <v>1689946.80418773</v>
      </c>
      <c r="R25" s="30">
        <v>822785.73617168097</v>
      </c>
      <c r="S25" s="30">
        <v>310533.72759514599</v>
      </c>
      <c r="T25" s="30">
        <v>1640268.91436253</v>
      </c>
      <c r="U25" s="30">
        <v>1705031.8562467999</v>
      </c>
      <c r="V25" s="30">
        <v>1609816.22958139</v>
      </c>
      <c r="W25" s="30">
        <v>1093582.1255294799</v>
      </c>
      <c r="X25" s="35">
        <f>AVERAGE(L25:N25)</f>
        <v>3898875.3405041336</v>
      </c>
      <c r="Y25" s="35">
        <f>AVERAGE(O25:Q25)</f>
        <v>3332188.2216144465</v>
      </c>
      <c r="Z25" s="41">
        <f>Y25/X25</f>
        <v>0.85465369641276778</v>
      </c>
      <c r="AA25" s="42">
        <f>AVERAGE(R25:T25)</f>
        <v>924529.45937645237</v>
      </c>
      <c r="AB25" s="42">
        <f>AVERAGE(U25:W25)</f>
        <v>1469476.7371192232</v>
      </c>
      <c r="AC25" s="43">
        <f>AB25/AA25</f>
        <v>1.5894320318471082</v>
      </c>
    </row>
    <row r="26" spans="1:29">
      <c r="A26" s="14" t="s">
        <v>218</v>
      </c>
      <c r="B26" s="14" t="s">
        <v>219</v>
      </c>
      <c r="C26" s="14" t="s">
        <v>220</v>
      </c>
      <c r="D26" s="14">
        <v>-0.94</v>
      </c>
      <c r="E26" s="14">
        <v>110.07306</v>
      </c>
      <c r="F26" s="14">
        <v>0.95299999999999996</v>
      </c>
      <c r="G26" s="30">
        <f>AVERAGE(L26:W26)</f>
        <v>22717466.814943429</v>
      </c>
      <c r="H26" s="30">
        <v>41225565.8376351</v>
      </c>
      <c r="I26" s="30" t="e">
        <f>G26/#REF!</f>
        <v>#REF!</v>
      </c>
      <c r="J26" s="30" t="e">
        <f>H26/#REF!</f>
        <v>#REF!</v>
      </c>
      <c r="K26" s="14">
        <v>66.5</v>
      </c>
      <c r="L26" s="30">
        <v>21150215.5132314</v>
      </c>
      <c r="M26" s="30">
        <v>24774707.465240199</v>
      </c>
      <c r="N26" s="30">
        <v>35471948.744193003</v>
      </c>
      <c r="O26" s="30">
        <v>29167325.5742037</v>
      </c>
      <c r="P26" s="30">
        <v>22462620.222056601</v>
      </c>
      <c r="Q26" s="30">
        <v>32893675.475583699</v>
      </c>
      <c r="R26" s="30">
        <v>16982239.764833599</v>
      </c>
      <c r="S26" s="30">
        <v>12266933.668215301</v>
      </c>
      <c r="T26" s="30">
        <v>12214024.5031601</v>
      </c>
      <c r="U26" s="30">
        <v>14881046.803065401</v>
      </c>
      <c r="V26" s="30">
        <v>37840495.756797001</v>
      </c>
      <c r="W26" s="30">
        <v>12504368.288741199</v>
      </c>
      <c r="X26" s="35">
        <f>AVERAGE(L26:N26)</f>
        <v>27132290.574221533</v>
      </c>
      <c r="Y26" s="35">
        <f>AVERAGE(O26:Q26)</f>
        <v>28174540.423948001</v>
      </c>
      <c r="Z26" s="41">
        <f>Y26/X26</f>
        <v>1.0384136328952895</v>
      </c>
      <c r="AA26" s="42">
        <f>AVERAGE(R26:T26)</f>
        <v>13821065.978736334</v>
      </c>
      <c r="AB26" s="42">
        <f>AVERAGE(U26:W26)</f>
        <v>21741970.282867867</v>
      </c>
      <c r="AC26" s="43">
        <f>AB26/AA26</f>
        <v>1.5731037183613636</v>
      </c>
    </row>
    <row r="27" spans="1:29">
      <c r="A27" s="14" t="s">
        <v>463</v>
      </c>
      <c r="B27" s="14" t="s">
        <v>464</v>
      </c>
      <c r="C27" s="14" t="s">
        <v>465</v>
      </c>
      <c r="D27" s="14">
        <v>-0.34</v>
      </c>
      <c r="E27" s="14">
        <v>192.06332</v>
      </c>
      <c r="F27" s="14">
        <v>3.64</v>
      </c>
      <c r="G27" s="30">
        <f>AVERAGE(L27:W27)</f>
        <v>2314461.8356094644</v>
      </c>
      <c r="H27" s="30">
        <v>5910755.2773042899</v>
      </c>
      <c r="I27" s="30" t="e">
        <f>G27/#REF!</f>
        <v>#REF!</v>
      </c>
      <c r="J27" s="30" t="e">
        <f>H27/#REF!</f>
        <v>#REF!</v>
      </c>
      <c r="K27" s="14">
        <v>68.400000000000006</v>
      </c>
      <c r="L27" s="30">
        <v>745340.23512676801</v>
      </c>
      <c r="M27" s="30">
        <v>427608.92215490103</v>
      </c>
      <c r="N27" s="30">
        <v>946488.47188351501</v>
      </c>
      <c r="O27" s="30">
        <v>4158267.1443461198</v>
      </c>
      <c r="P27" s="30">
        <v>572420.70193785895</v>
      </c>
      <c r="Q27" s="30">
        <v>669268.56439539394</v>
      </c>
      <c r="R27" s="30">
        <v>3388896.6669154498</v>
      </c>
      <c r="S27" s="30">
        <v>1516851.53231485</v>
      </c>
      <c r="T27" s="30">
        <v>3043981.5891555701</v>
      </c>
      <c r="U27" s="30">
        <v>5910755.2773042899</v>
      </c>
      <c r="V27" s="30">
        <v>3363257.2791975602</v>
      </c>
      <c r="W27" s="30">
        <v>3030405.6425812999</v>
      </c>
      <c r="X27" s="35">
        <f>AVERAGE(L27:N27)</f>
        <v>706479.20972172811</v>
      </c>
      <c r="Y27" s="35">
        <f>AVERAGE(O27:Q27)</f>
        <v>1799985.4702264576</v>
      </c>
      <c r="Z27" s="41">
        <f>Y27/X27</f>
        <v>2.5478251100063449</v>
      </c>
      <c r="AA27" s="42">
        <f>AVERAGE(R27:T27)</f>
        <v>2649909.9294619565</v>
      </c>
      <c r="AB27" s="42">
        <f>AVERAGE(U27:W27)</f>
        <v>4101472.7330277166</v>
      </c>
      <c r="AC27" s="43">
        <f>AB27/AA27</f>
        <v>1.5477781668830113</v>
      </c>
    </row>
    <row r="28" spans="1:29">
      <c r="A28" s="14" t="s">
        <v>266</v>
      </c>
      <c r="B28" s="14" t="s">
        <v>267</v>
      </c>
      <c r="C28" s="14" t="s">
        <v>268</v>
      </c>
      <c r="D28" s="14">
        <v>0.03</v>
      </c>
      <c r="E28" s="14">
        <v>197.17796999999999</v>
      </c>
      <c r="F28" s="14">
        <v>0.95899999999999996</v>
      </c>
      <c r="G28" s="30">
        <f>AVERAGE(L28:W28)</f>
        <v>15468647.031511508</v>
      </c>
      <c r="H28" s="30">
        <v>47113849.638480797</v>
      </c>
      <c r="I28" s="30" t="e">
        <f>G28/#REF!</f>
        <v>#REF!</v>
      </c>
      <c r="J28" s="30" t="e">
        <f>H28/#REF!</f>
        <v>#REF!</v>
      </c>
      <c r="K28" s="14">
        <v>83</v>
      </c>
      <c r="L28" s="30">
        <v>14537819.403279301</v>
      </c>
      <c r="M28" s="30">
        <v>44799611.920456298</v>
      </c>
      <c r="N28" s="30">
        <v>47113849.638480797</v>
      </c>
      <c r="O28" s="30">
        <v>17965916.8697339</v>
      </c>
      <c r="P28" s="30">
        <v>2653036.4760862598</v>
      </c>
      <c r="Q28" s="30">
        <v>9747809.8575941995</v>
      </c>
      <c r="R28" s="30">
        <v>2596465.1730702701</v>
      </c>
      <c r="S28" s="30">
        <v>1118981.3873686099</v>
      </c>
      <c r="T28" s="30">
        <v>15446578.817565801</v>
      </c>
      <c r="U28" s="30">
        <v>12839161.643397599</v>
      </c>
      <c r="V28" s="30">
        <v>2370815.6218191399</v>
      </c>
      <c r="W28" s="30">
        <v>14433717.569285899</v>
      </c>
      <c r="X28" s="35">
        <f>AVERAGE(L28:N28)</f>
        <v>35483760.3207388</v>
      </c>
      <c r="Y28" s="35">
        <f>AVERAGE(O28:Q28)</f>
        <v>10122254.401138119</v>
      </c>
      <c r="Z28" s="41">
        <f>Y28/X28</f>
        <v>0.28526442264412655</v>
      </c>
      <c r="AA28" s="42">
        <f>AVERAGE(R28:T28)</f>
        <v>6387341.7926682271</v>
      </c>
      <c r="AB28" s="42">
        <f>AVERAGE(U28:W28)</f>
        <v>9881231.6115008797</v>
      </c>
      <c r="AC28" s="43">
        <f>AB28/AA28</f>
        <v>1.5470021696417042</v>
      </c>
    </row>
    <row r="29" spans="1:29">
      <c r="A29" s="14" t="s">
        <v>293</v>
      </c>
      <c r="B29" s="14" t="s">
        <v>294</v>
      </c>
      <c r="C29" s="14" t="s">
        <v>295</v>
      </c>
      <c r="D29" s="14">
        <v>-1.34</v>
      </c>
      <c r="E29" s="14">
        <v>171.99249</v>
      </c>
      <c r="F29" s="14">
        <v>1.0309999999999999</v>
      </c>
      <c r="G29" s="30">
        <f>AVERAGE(L29:W29)</f>
        <v>12792138.382365363</v>
      </c>
      <c r="H29" s="30">
        <v>20299062.146273799</v>
      </c>
      <c r="I29" s="30" t="e">
        <f>G29/#REF!</f>
        <v>#REF!</v>
      </c>
      <c r="J29" s="30" t="e">
        <f>H29/#REF!</f>
        <v>#REF!</v>
      </c>
      <c r="K29" s="14">
        <v>79.3</v>
      </c>
      <c r="L29" s="30">
        <v>8847133.1588944104</v>
      </c>
      <c r="M29" s="30">
        <v>11863218.376940301</v>
      </c>
      <c r="N29" s="30">
        <v>13281427.798726</v>
      </c>
      <c r="O29" s="30">
        <v>13858819.352078799</v>
      </c>
      <c r="P29" s="30">
        <v>15536211.626846001</v>
      </c>
      <c r="Q29" s="30">
        <v>20299062.146273799</v>
      </c>
      <c r="R29" s="30">
        <v>8376808.5571817104</v>
      </c>
      <c r="S29" s="30">
        <v>9870154.5444774702</v>
      </c>
      <c r="T29" s="30">
        <v>9359858.8168662097</v>
      </c>
      <c r="U29" s="30">
        <v>14280518.040050499</v>
      </c>
      <c r="V29" s="30">
        <v>10449302.050449399</v>
      </c>
      <c r="W29" s="30">
        <v>17483146.119599801</v>
      </c>
      <c r="X29" s="35">
        <f>AVERAGE(L29:N29)</f>
        <v>11330593.111520236</v>
      </c>
      <c r="Y29" s="35">
        <f>AVERAGE(O29:Q29)</f>
        <v>16564697.708399534</v>
      </c>
      <c r="Z29" s="41">
        <f>Y29/X29</f>
        <v>1.4619444494531879</v>
      </c>
      <c r="AA29" s="42">
        <f>AVERAGE(R29:T29)</f>
        <v>9202273.9728417974</v>
      </c>
      <c r="AB29" s="42">
        <f>AVERAGE(U29:W29)</f>
        <v>14070988.7366999</v>
      </c>
      <c r="AC29" s="43">
        <f>AB29/AA29</f>
        <v>1.5290773539482623</v>
      </c>
    </row>
    <row r="30" spans="1:29">
      <c r="A30" s="14" t="s">
        <v>129</v>
      </c>
      <c r="B30" s="14" t="s">
        <v>130</v>
      </c>
      <c r="C30" s="14" t="s">
        <v>131</v>
      </c>
      <c r="D30" s="14">
        <v>-0.92</v>
      </c>
      <c r="E30" s="14">
        <v>229.08829</v>
      </c>
      <c r="F30" s="14">
        <v>8.7460000000000004</v>
      </c>
      <c r="G30" s="30">
        <f>AVERAGE(L30:W30)</f>
        <v>69605715.148130253</v>
      </c>
      <c r="H30" s="30">
        <v>150506958.21788201</v>
      </c>
      <c r="I30" s="30" t="e">
        <f>G30/#REF!</f>
        <v>#REF!</v>
      </c>
      <c r="J30" s="30" t="e">
        <f>H30/#REF!</f>
        <v>#REF!</v>
      </c>
      <c r="K30" s="14">
        <v>90</v>
      </c>
      <c r="L30" s="30">
        <v>34248552.000132799</v>
      </c>
      <c r="M30" s="30">
        <v>55368389.4891681</v>
      </c>
      <c r="N30" s="30">
        <v>59920273.6747749</v>
      </c>
      <c r="O30" s="30">
        <v>33012293.5573349</v>
      </c>
      <c r="P30" s="30">
        <v>31591772.026218999</v>
      </c>
      <c r="Q30" s="30">
        <v>95545162.4132092</v>
      </c>
      <c r="R30" s="30">
        <v>33223833.1737203</v>
      </c>
      <c r="S30" s="30">
        <v>42064582.7363462</v>
      </c>
      <c r="T30" s="30">
        <v>132921476.217371</v>
      </c>
      <c r="U30" s="30">
        <v>150506958.21788201</v>
      </c>
      <c r="V30" s="30">
        <v>86325630.801063195</v>
      </c>
      <c r="W30" s="30">
        <v>80539657.470341399</v>
      </c>
      <c r="X30" s="35">
        <f>AVERAGE(L30:N30)</f>
        <v>49845738.388025261</v>
      </c>
      <c r="Y30" s="35">
        <f>AVERAGE(O30:Q30)</f>
        <v>53383075.998921037</v>
      </c>
      <c r="Z30" s="41">
        <f>Y30/X30</f>
        <v>1.0709656978769035</v>
      </c>
      <c r="AA30" s="42">
        <f>AVERAGE(R30:T30)</f>
        <v>69403297.375812501</v>
      </c>
      <c r="AB30" s="42">
        <f>AVERAGE(U30:W30)</f>
        <v>105790748.82976221</v>
      </c>
      <c r="AC30" s="43">
        <f>AB30/AA30</f>
        <v>1.524289952059698</v>
      </c>
    </row>
    <row r="31" spans="1:29">
      <c r="A31" s="14" t="s">
        <v>299</v>
      </c>
      <c r="B31" s="14" t="s">
        <v>300</v>
      </c>
      <c r="C31" s="14" t="s">
        <v>301</v>
      </c>
      <c r="D31" s="14">
        <v>-0.39</v>
      </c>
      <c r="E31" s="14">
        <v>88.052400000000006</v>
      </c>
      <c r="F31" s="14">
        <v>1.347</v>
      </c>
      <c r="G31" s="30">
        <f>AVERAGE(L31:W31)</f>
        <v>12036241.337689599</v>
      </c>
      <c r="H31" s="30">
        <v>19289210.7747963</v>
      </c>
      <c r="I31" s="30" t="e">
        <f>G31/#REF!</f>
        <v>#REF!</v>
      </c>
      <c r="J31" s="30" t="e">
        <f>H31/#REF!</f>
        <v>#REF!</v>
      </c>
      <c r="K31" s="14">
        <v>63.7</v>
      </c>
      <c r="L31" s="30">
        <v>7372686.8268620502</v>
      </c>
      <c r="M31" s="30">
        <v>10225363.0900495</v>
      </c>
      <c r="N31" s="30">
        <v>17081426.5550173</v>
      </c>
      <c r="O31" s="30">
        <v>13802289.1272549</v>
      </c>
      <c r="P31" s="30">
        <v>17856599.4637415</v>
      </c>
      <c r="Q31" s="30">
        <v>18170044.936067998</v>
      </c>
      <c r="R31" s="30">
        <v>8102119.0492704203</v>
      </c>
      <c r="S31" s="30">
        <v>8503790.0744136292</v>
      </c>
      <c r="T31" s="30">
        <v>7148152.8809953397</v>
      </c>
      <c r="U31" s="30">
        <v>8009931.6386656603</v>
      </c>
      <c r="V31" s="30">
        <v>12629169.2307813</v>
      </c>
      <c r="W31" s="30">
        <v>15533323.179155599</v>
      </c>
      <c r="X31" s="35">
        <f>AVERAGE(L31:N31)</f>
        <v>11559825.49064295</v>
      </c>
      <c r="Y31" s="35">
        <f>AVERAGE(O31:Q31)</f>
        <v>16609644.509021467</v>
      </c>
      <c r="Z31" s="41">
        <f>Y31/X31</f>
        <v>1.436842149776921</v>
      </c>
      <c r="AA31" s="42">
        <f>AVERAGE(R31:T31)</f>
        <v>7918020.6682264628</v>
      </c>
      <c r="AB31" s="42">
        <f>AVERAGE(U31:W31)</f>
        <v>12057474.68286752</v>
      </c>
      <c r="AC31" s="43">
        <f>AB31/AA31</f>
        <v>1.5227889883202645</v>
      </c>
    </row>
    <row r="32" spans="1:29">
      <c r="A32" s="14" t="s">
        <v>73</v>
      </c>
      <c r="B32" s="14" t="s">
        <v>74</v>
      </c>
      <c r="C32" s="14" t="s">
        <v>60</v>
      </c>
      <c r="D32" s="14">
        <v>-1.07</v>
      </c>
      <c r="E32" s="14">
        <v>364.09795000000003</v>
      </c>
      <c r="F32" s="14">
        <v>10.189</v>
      </c>
      <c r="G32" s="30">
        <f>AVERAGE(L32:W32)</f>
        <v>151320651.15826562</v>
      </c>
      <c r="H32" s="30">
        <v>314704608.72905898</v>
      </c>
      <c r="I32" s="30" t="e">
        <f>G32/#REF!</f>
        <v>#REF!</v>
      </c>
      <c r="J32" s="30" t="e">
        <f>H32/#REF!</f>
        <v>#REF!</v>
      </c>
      <c r="K32" s="14">
        <v>80.7</v>
      </c>
      <c r="L32" s="30">
        <v>66115431.337165497</v>
      </c>
      <c r="M32" s="30">
        <v>314704608.72905898</v>
      </c>
      <c r="N32" s="30">
        <v>309482855.23582703</v>
      </c>
      <c r="O32" s="30">
        <v>202313445.51728401</v>
      </c>
      <c r="P32" s="30">
        <v>226218074.07198</v>
      </c>
      <c r="Q32" s="30">
        <v>94152670.453648105</v>
      </c>
      <c r="R32" s="30">
        <v>123566351.456423</v>
      </c>
      <c r="S32" s="30">
        <v>76576962.067301303</v>
      </c>
      <c r="T32" s="30">
        <v>44184509.334845901</v>
      </c>
      <c r="U32" s="30">
        <v>133394798.705038</v>
      </c>
      <c r="V32" s="30">
        <v>108659907.622536</v>
      </c>
      <c r="W32" s="30">
        <v>116478199.36808001</v>
      </c>
      <c r="X32" s="35">
        <f>AVERAGE(L32:N32)</f>
        <v>230100965.10068384</v>
      </c>
      <c r="Y32" s="35">
        <f>AVERAGE(O32:Q32)</f>
        <v>174228063.34763739</v>
      </c>
      <c r="Z32" s="41">
        <f>Y32/X32</f>
        <v>0.75718093260235353</v>
      </c>
      <c r="AA32" s="42">
        <f>AVERAGE(R32:T32)</f>
        <v>81442607.619523406</v>
      </c>
      <c r="AB32" s="42">
        <f>AVERAGE(U32:W32)</f>
        <v>119510968.56521802</v>
      </c>
      <c r="AC32" s="43">
        <f>AB32/AA32</f>
        <v>1.4674256149009757</v>
      </c>
    </row>
    <row r="33" spans="1:29">
      <c r="A33" s="14" t="s">
        <v>248</v>
      </c>
      <c r="B33" s="14" t="s">
        <v>249</v>
      </c>
      <c r="C33" s="14" t="s">
        <v>250</v>
      </c>
      <c r="D33" s="14">
        <v>-1.75</v>
      </c>
      <c r="E33" s="14">
        <v>125.01443999999999</v>
      </c>
      <c r="F33" s="14">
        <v>8.2750000000000004</v>
      </c>
      <c r="G33" s="30">
        <f>AVERAGE(L33:W33)</f>
        <v>15031876.424900347</v>
      </c>
      <c r="H33" s="30">
        <v>37327883.609681197</v>
      </c>
      <c r="I33" s="30" t="e">
        <f>G33/#REF!</f>
        <v>#REF!</v>
      </c>
      <c r="J33" s="30" t="e">
        <f>H33/#REF!</f>
        <v>#REF!</v>
      </c>
      <c r="K33" s="14">
        <v>96.3</v>
      </c>
      <c r="L33" s="30">
        <v>3061593.4709513299</v>
      </c>
      <c r="M33" s="30">
        <v>37301959.133893602</v>
      </c>
      <c r="N33" s="30">
        <v>30990313.0087207</v>
      </c>
      <c r="O33" s="30">
        <v>27634182.574267998</v>
      </c>
      <c r="P33" s="30">
        <v>29661664.345633499</v>
      </c>
      <c r="Q33" s="30">
        <v>7033773.68787295</v>
      </c>
      <c r="R33" s="30">
        <v>6918172.3211916704</v>
      </c>
      <c r="S33" s="30">
        <v>7967607.4982760204</v>
      </c>
      <c r="T33" s="30">
        <v>3776195.1865036702</v>
      </c>
      <c r="U33" s="30">
        <v>11426463.2901494</v>
      </c>
      <c r="V33" s="30">
        <v>7818648.2567504002</v>
      </c>
      <c r="W33" s="30">
        <v>6791944.3245929396</v>
      </c>
      <c r="X33" s="35">
        <f>AVERAGE(L33:N33)</f>
        <v>23784621.87118854</v>
      </c>
      <c r="Y33" s="35">
        <f>AVERAGE(O33:Q33)</f>
        <v>21443206.86925815</v>
      </c>
      <c r="Z33" s="41">
        <f>Y33/X33</f>
        <v>0.90155761085415198</v>
      </c>
      <c r="AA33" s="42">
        <f>AVERAGE(R33:T33)</f>
        <v>6220658.3353237873</v>
      </c>
      <c r="AB33" s="42">
        <f>AVERAGE(U33:W33)</f>
        <v>8679018.6238309126</v>
      </c>
      <c r="AC33" s="43">
        <f>AB33/AA33</f>
        <v>1.3951929451819294</v>
      </c>
    </row>
    <row r="34" spans="1:29">
      <c r="A34" s="14" t="s">
        <v>84</v>
      </c>
      <c r="B34" s="14" t="s">
        <v>85</v>
      </c>
      <c r="C34" s="14" t="s">
        <v>86</v>
      </c>
      <c r="D34" s="14">
        <v>-0.44</v>
      </c>
      <c r="E34" s="14">
        <v>191.15206000000001</v>
      </c>
      <c r="F34" s="14">
        <v>2.444</v>
      </c>
      <c r="G34" s="30">
        <f>AVERAGE(L34:W34)</f>
        <v>134206243.32163049</v>
      </c>
      <c r="H34" s="30">
        <v>654201477.25706995</v>
      </c>
      <c r="I34" s="30" t="e">
        <f>G34/#REF!</f>
        <v>#REF!</v>
      </c>
      <c r="J34" s="30" t="e">
        <f>H34/#REF!</f>
        <v>#REF!</v>
      </c>
      <c r="K34" s="14">
        <v>91.6</v>
      </c>
      <c r="L34" s="30">
        <v>17193644.117642801</v>
      </c>
      <c r="M34" s="30">
        <v>27375872.986148998</v>
      </c>
      <c r="N34" s="30">
        <v>23229381.2854416</v>
      </c>
      <c r="O34" s="30">
        <v>132866207.38936201</v>
      </c>
      <c r="P34" s="30">
        <v>30067785.644460201</v>
      </c>
      <c r="Q34" s="30">
        <v>654201477.25706995</v>
      </c>
      <c r="R34" s="30">
        <v>141288797.20663401</v>
      </c>
      <c r="S34" s="30">
        <v>51459746.8601311</v>
      </c>
      <c r="T34" s="30">
        <v>110290825.662917</v>
      </c>
      <c r="U34" s="30">
        <v>47820015.946210302</v>
      </c>
      <c r="V34" s="30">
        <v>334659359.78533798</v>
      </c>
      <c r="W34" s="30">
        <v>40021805.718209997</v>
      </c>
      <c r="X34" s="35">
        <f>AVERAGE(L34:N34)</f>
        <v>22599632.796411138</v>
      </c>
      <c r="Y34" s="35">
        <f>AVERAGE(O34:Q34)</f>
        <v>272378490.09696406</v>
      </c>
      <c r="Z34" s="41">
        <f>Y34/X34</f>
        <v>12.052341405308951</v>
      </c>
      <c r="AA34" s="42">
        <f>AVERAGE(R34:T34)</f>
        <v>101013123.24322738</v>
      </c>
      <c r="AB34" s="42">
        <f>AVERAGE(U34:W34)</f>
        <v>140833727.14991942</v>
      </c>
      <c r="AC34" s="43">
        <f>AB34/AA34</f>
        <v>1.3942121838051562</v>
      </c>
    </row>
    <row r="35" spans="1:29">
      <c r="A35" s="14" t="s">
        <v>302</v>
      </c>
      <c r="B35" s="14" t="s">
        <v>303</v>
      </c>
      <c r="C35" s="14" t="s">
        <v>304</v>
      </c>
      <c r="D35" s="14">
        <v>-1.49</v>
      </c>
      <c r="E35" s="14">
        <v>139.02673999999999</v>
      </c>
      <c r="F35" s="14">
        <v>0.995</v>
      </c>
      <c r="G35" s="30">
        <f>AVERAGE(L35:W35)</f>
        <v>12058580.795027835</v>
      </c>
      <c r="H35" s="30">
        <v>16086950.1778586</v>
      </c>
      <c r="I35" s="30" t="e">
        <f>G35/#REF!</f>
        <v>#REF!</v>
      </c>
      <c r="J35" s="30" t="e">
        <f>H35/#REF!</f>
        <v>#REF!</v>
      </c>
      <c r="K35" s="14">
        <v>73.099999999999994</v>
      </c>
      <c r="L35" s="30">
        <v>11184587.0917341</v>
      </c>
      <c r="M35" s="30">
        <v>12991806.1795072</v>
      </c>
      <c r="N35" s="30">
        <v>13507992.078332899</v>
      </c>
      <c r="O35" s="30">
        <v>15411137.7528574</v>
      </c>
      <c r="P35" s="30">
        <v>14992335.860335801</v>
      </c>
      <c r="Q35" s="30">
        <v>13785783.767651601</v>
      </c>
      <c r="R35" s="30">
        <v>3190984.4896856402</v>
      </c>
      <c r="S35" s="30">
        <v>13310463.6160163</v>
      </c>
      <c r="T35" s="30">
        <v>9747484.3381898906</v>
      </c>
      <c r="U35" s="30">
        <v>9805672.0585076995</v>
      </c>
      <c r="V35" s="30">
        <v>15504403.752209401</v>
      </c>
      <c r="W35" s="30">
        <v>11270318.555306099</v>
      </c>
      <c r="X35" s="35">
        <f>AVERAGE(L35:N35)</f>
        <v>12561461.7831914</v>
      </c>
      <c r="Y35" s="35">
        <f>AVERAGE(O35:Q35)</f>
        <v>14729752.460281601</v>
      </c>
      <c r="Z35" s="41">
        <f>Y35/X35</f>
        <v>1.1726145184783836</v>
      </c>
      <c r="AA35" s="42">
        <f>AVERAGE(R35:T35)</f>
        <v>8749644.147963943</v>
      </c>
      <c r="AB35" s="42">
        <f>AVERAGE(U35:W35)</f>
        <v>12193464.788674399</v>
      </c>
      <c r="AC35" s="43">
        <f>AB35/AA35</f>
        <v>1.3935955088541332</v>
      </c>
    </row>
    <row r="36" spans="1:29">
      <c r="A36" s="14" t="s">
        <v>46</v>
      </c>
      <c r="B36" s="14" t="s">
        <v>537</v>
      </c>
      <c r="C36" s="14" t="s">
        <v>48</v>
      </c>
      <c r="D36" s="14">
        <v>-1.03</v>
      </c>
      <c r="E36" s="14">
        <v>418.17356999999998</v>
      </c>
      <c r="F36" s="14">
        <v>0.94899999999999995</v>
      </c>
      <c r="G36" s="30">
        <f>AVERAGE(L36:W36)</f>
        <v>746375896.97739947</v>
      </c>
      <c r="H36" s="30">
        <v>1281643082.4665501</v>
      </c>
      <c r="I36" s="30" t="e">
        <f>G36/#REF!</f>
        <v>#REF!</v>
      </c>
      <c r="J36" s="30" t="e">
        <f>H36/#REF!</f>
        <v>#REF!</v>
      </c>
      <c r="K36" s="14">
        <v>78.900000000000006</v>
      </c>
      <c r="L36" s="30">
        <v>710110235.98536003</v>
      </c>
      <c r="M36" s="30">
        <v>1134232619.7892101</v>
      </c>
      <c r="N36" s="30">
        <v>1096622551.4616101</v>
      </c>
      <c r="O36" s="30">
        <v>567135975.77488697</v>
      </c>
      <c r="P36" s="30">
        <v>1281643082.4665501</v>
      </c>
      <c r="Q36" s="30">
        <v>1004856369.2452</v>
      </c>
      <c r="R36" s="30">
        <v>472148524.94180602</v>
      </c>
      <c r="S36" s="30">
        <v>453495181.921691</v>
      </c>
      <c r="T36" s="30">
        <v>396775263.15657401</v>
      </c>
      <c r="U36" s="30">
        <v>574292707.32238305</v>
      </c>
      <c r="V36" s="30">
        <v>615234440.46884406</v>
      </c>
      <c r="W36" s="30">
        <v>649963811.19467902</v>
      </c>
      <c r="X36" s="35">
        <f>AVERAGE(L36:N36)</f>
        <v>980321802.41206014</v>
      </c>
      <c r="Y36" s="35">
        <f>AVERAGE(O36:Q36)</f>
        <v>951211809.16221237</v>
      </c>
      <c r="Z36" s="41">
        <f>Y36/X36</f>
        <v>0.97030567597474293</v>
      </c>
      <c r="AA36" s="42">
        <f>AVERAGE(R36:T36)</f>
        <v>440806323.3400237</v>
      </c>
      <c r="AB36" s="42">
        <f>AVERAGE(U36:W36)</f>
        <v>613163652.99530208</v>
      </c>
      <c r="AC36" s="43">
        <f>AB36/AA36</f>
        <v>1.3910046669687348</v>
      </c>
    </row>
    <row r="37" spans="1:29">
      <c r="A37" s="14" t="s">
        <v>317</v>
      </c>
      <c r="B37" s="14" t="s">
        <v>318</v>
      </c>
      <c r="C37" s="14" t="s">
        <v>319</v>
      </c>
      <c r="D37" s="14">
        <v>-0.14000000000000001</v>
      </c>
      <c r="E37" s="14">
        <v>663.10902999999996</v>
      </c>
      <c r="F37" s="14">
        <v>13.497</v>
      </c>
      <c r="G37" s="30">
        <f>AVERAGE(L37:W37)</f>
        <v>12307973.345694944</v>
      </c>
      <c r="H37" s="30">
        <v>21201053.497918099</v>
      </c>
      <c r="I37" s="30" t="e">
        <f>G37/#REF!</f>
        <v>#REF!</v>
      </c>
      <c r="J37" s="30" t="e">
        <f>H37/#REF!</f>
        <v>#REF!</v>
      </c>
      <c r="K37" s="14">
        <v>62.5</v>
      </c>
      <c r="L37" s="30">
        <v>7279397.6973883798</v>
      </c>
      <c r="M37" s="30">
        <v>9636519.3841565698</v>
      </c>
      <c r="N37" s="30">
        <v>9781956.8030828908</v>
      </c>
      <c r="O37" s="30">
        <v>16719748.227972399</v>
      </c>
      <c r="P37" s="30">
        <v>7496151.3153049303</v>
      </c>
      <c r="Q37" s="30">
        <v>10060882.346176101</v>
      </c>
      <c r="R37" s="30">
        <v>17895424.0703854</v>
      </c>
      <c r="S37" s="30">
        <v>10254887.478231</v>
      </c>
      <c r="T37" s="30">
        <v>8633775.3707549404</v>
      </c>
      <c r="U37" s="30">
        <v>21201053.497918099</v>
      </c>
      <c r="V37" s="30">
        <v>15390392.122493301</v>
      </c>
      <c r="W37" s="30">
        <v>13345491.834475299</v>
      </c>
      <c r="X37" s="35">
        <f>AVERAGE(L37:N37)</f>
        <v>8899291.2948759478</v>
      </c>
      <c r="Y37" s="35">
        <f>AVERAGE(O37:Q37)</f>
        <v>11425593.963151144</v>
      </c>
      <c r="Z37" s="41">
        <f>Y37/X37</f>
        <v>1.2838768374432012</v>
      </c>
      <c r="AA37" s="42">
        <f>AVERAGE(R37:T37)</f>
        <v>12261362.306457115</v>
      </c>
      <c r="AB37" s="42">
        <f>AVERAGE(U37:W37)</f>
        <v>16645645.818295566</v>
      </c>
      <c r="AC37" s="43">
        <f>AB37/AA37</f>
        <v>1.3575690369682321</v>
      </c>
    </row>
    <row r="38" spans="1:29">
      <c r="A38" s="14" t="s">
        <v>25</v>
      </c>
      <c r="B38" s="14" t="s">
        <v>26</v>
      </c>
      <c r="C38" s="14" t="s">
        <v>27</v>
      </c>
      <c r="D38" s="14">
        <v>-2.69</v>
      </c>
      <c r="E38" s="14">
        <v>97.97663</v>
      </c>
      <c r="F38" s="14">
        <v>8.6750000000000007</v>
      </c>
      <c r="G38" s="30">
        <f>AVERAGE(L38:W38)</f>
        <v>17060164715.517847</v>
      </c>
      <c r="H38" s="30">
        <v>21510904668.0429</v>
      </c>
      <c r="I38" s="30" t="e">
        <f>G38/#REF!</f>
        <v>#REF!</v>
      </c>
      <c r="J38" s="30" t="e">
        <f>H38/#REF!</f>
        <v>#REF!</v>
      </c>
      <c r="K38" s="14">
        <v>84.9</v>
      </c>
      <c r="L38" s="30">
        <v>14659498346.920601</v>
      </c>
      <c r="M38" s="30">
        <v>21510904668.0429</v>
      </c>
      <c r="N38" s="30">
        <v>17679214966.318501</v>
      </c>
      <c r="O38" s="30">
        <v>17080412208.4186</v>
      </c>
      <c r="P38" s="30">
        <v>14490702907.228399</v>
      </c>
      <c r="Q38" s="30">
        <v>19138459422.507</v>
      </c>
      <c r="R38" s="30">
        <v>15277068577.319401</v>
      </c>
      <c r="S38" s="30">
        <v>13958837870.4858</v>
      </c>
      <c r="T38" s="30">
        <v>13410362500.5355</v>
      </c>
      <c r="U38" s="30">
        <v>18892948315.6492</v>
      </c>
      <c r="V38" s="30">
        <v>18668889365.155602</v>
      </c>
      <c r="W38" s="30">
        <v>19954677437.632702</v>
      </c>
      <c r="X38" s="35">
        <f>AVERAGE(L38:N38)</f>
        <v>17949872660.427334</v>
      </c>
      <c r="Y38" s="35">
        <f>AVERAGE(O38:Q38)</f>
        <v>16903191512.718</v>
      </c>
      <c r="Z38" s="41">
        <f>Y38/X38</f>
        <v>0.94168865888297537</v>
      </c>
      <c r="AA38" s="42">
        <f>AVERAGE(R38:T38)</f>
        <v>14215422982.780233</v>
      </c>
      <c r="AB38" s="42">
        <f>AVERAGE(U38:W38)</f>
        <v>19172171706.145832</v>
      </c>
      <c r="AC38" s="43">
        <f>AB38/AA38</f>
        <v>1.34868809245915</v>
      </c>
    </row>
    <row r="39" spans="1:29">
      <c r="A39" s="14" t="s">
        <v>117</v>
      </c>
      <c r="B39" s="14" t="s">
        <v>118</v>
      </c>
      <c r="C39" s="14" t="s">
        <v>119</v>
      </c>
      <c r="D39" s="14">
        <v>0.09</v>
      </c>
      <c r="E39" s="14">
        <v>113.08407</v>
      </c>
      <c r="F39" s="14">
        <v>1.1970000000000001</v>
      </c>
      <c r="G39" s="30">
        <f>AVERAGE(L39:W39)</f>
        <v>60666917.173835047</v>
      </c>
      <c r="H39" s="30">
        <v>318679468.85071301</v>
      </c>
      <c r="I39" s="30" t="e">
        <f>G39/#REF!</f>
        <v>#REF!</v>
      </c>
      <c r="J39" s="30" t="e">
        <f>H39/#REF!</f>
        <v>#REF!</v>
      </c>
      <c r="K39" s="14">
        <v>91</v>
      </c>
      <c r="L39" s="30">
        <v>66498963.003490798</v>
      </c>
      <c r="M39" s="30">
        <v>125927561.931486</v>
      </c>
      <c r="N39" s="30">
        <v>61828326.350856602</v>
      </c>
      <c r="O39" s="30">
        <v>64575032.927029498</v>
      </c>
      <c r="P39" s="30">
        <v>63711973.195691399</v>
      </c>
      <c r="Q39" s="30">
        <v>87148275.121719703</v>
      </c>
      <c r="R39" s="30">
        <v>73799553.946497098</v>
      </c>
      <c r="S39" s="30">
        <v>32652295.012995798</v>
      </c>
      <c r="T39" s="30">
        <v>4483194.9283430697</v>
      </c>
      <c r="U39" s="30">
        <v>63039338.660737403</v>
      </c>
      <c r="V39" s="30">
        <v>34650059.786950797</v>
      </c>
      <c r="W39" s="30">
        <v>49688431.220222399</v>
      </c>
      <c r="X39" s="35">
        <f>AVERAGE(L39:N39)</f>
        <v>84751617.095277801</v>
      </c>
      <c r="Y39" s="35">
        <f>AVERAGE(O39:Q39)</f>
        <v>71811760.414813533</v>
      </c>
      <c r="Z39" s="41">
        <f>Y39/X39</f>
        <v>0.8473202385517048</v>
      </c>
      <c r="AA39" s="42">
        <f>AVERAGE(R39:T39)</f>
        <v>36978347.962611988</v>
      </c>
      <c r="AB39" s="42">
        <f>AVERAGE(U39:W39)</f>
        <v>49125943.222636856</v>
      </c>
      <c r="AC39" s="43">
        <f>AB39/AA39</f>
        <v>1.3285056236775921</v>
      </c>
    </row>
    <row r="40" spans="1:29">
      <c r="A40" s="14" t="s">
        <v>197</v>
      </c>
      <c r="B40" s="14" t="s">
        <v>198</v>
      </c>
      <c r="C40" s="14" t="s">
        <v>199</v>
      </c>
      <c r="D40" s="14">
        <v>-0.6</v>
      </c>
      <c r="E40" s="14">
        <v>134.02144000000001</v>
      </c>
      <c r="F40" s="14">
        <v>2.1720000000000002</v>
      </c>
      <c r="G40" s="30">
        <f>AVERAGE(L40:W40)</f>
        <v>29211356.233975571</v>
      </c>
      <c r="H40" s="30">
        <v>70168937.242844507</v>
      </c>
      <c r="I40" s="30" t="e">
        <f>G40/#REF!</f>
        <v>#REF!</v>
      </c>
      <c r="J40" s="30" t="e">
        <f>H40/#REF!</f>
        <v>#REF!</v>
      </c>
      <c r="K40" s="14">
        <v>96.2</v>
      </c>
      <c r="L40" s="30">
        <v>32330565.413690001</v>
      </c>
      <c r="M40" s="30">
        <v>65619583.030876301</v>
      </c>
      <c r="N40" s="30">
        <v>62133561.943154097</v>
      </c>
      <c r="O40" s="30">
        <v>50981190.800223298</v>
      </c>
      <c r="P40" s="30">
        <v>13191358.248437099</v>
      </c>
      <c r="Q40" s="30">
        <v>15792499.538306201</v>
      </c>
      <c r="R40" s="30">
        <v>311259.47675738903</v>
      </c>
      <c r="S40" s="30">
        <v>17665155.212125599</v>
      </c>
      <c r="T40" s="30">
        <v>29569424.2922896</v>
      </c>
      <c r="U40" s="30">
        <v>21806371.945998602</v>
      </c>
      <c r="V40" s="30">
        <v>22184894.457017701</v>
      </c>
      <c r="W40" s="30">
        <v>18950410.448830899</v>
      </c>
      <c r="X40" s="35">
        <f>AVERAGE(L40:N40)</f>
        <v>53361236.795906805</v>
      </c>
      <c r="Y40" s="35">
        <f>AVERAGE(O40:Q40)</f>
        <v>26655016.195655536</v>
      </c>
      <c r="Z40" s="41">
        <f>Y40/X40</f>
        <v>0.49952020972835043</v>
      </c>
      <c r="AA40" s="42">
        <f>AVERAGE(R40:T40)</f>
        <v>15848612.993724197</v>
      </c>
      <c r="AB40" s="42">
        <f>AVERAGE(U40:W40)</f>
        <v>20980558.950615734</v>
      </c>
      <c r="AC40" s="43">
        <f>AB40/AA40</f>
        <v>1.3238104153924199</v>
      </c>
    </row>
    <row r="41" spans="1:29">
      <c r="A41" s="14" t="s">
        <v>479</v>
      </c>
      <c r="B41" s="14" t="s">
        <v>480</v>
      </c>
      <c r="C41" s="14" t="s">
        <v>481</v>
      </c>
      <c r="D41" s="14">
        <v>0.53</v>
      </c>
      <c r="E41" s="14">
        <v>190.05906999999999</v>
      </c>
      <c r="F41" s="14">
        <v>8.8829999999999991</v>
      </c>
      <c r="G41" s="30">
        <f>AVERAGE(L41:W41)</f>
        <v>1857104.9130084801</v>
      </c>
      <c r="H41" s="30">
        <v>2746996.5608139602</v>
      </c>
      <c r="I41" s="30" t="e">
        <f>G41/#REF!</f>
        <v>#REF!</v>
      </c>
      <c r="J41" s="30" t="e">
        <f>H41/#REF!</f>
        <v>#REF!</v>
      </c>
      <c r="K41" s="14">
        <v>77.599999999999994</v>
      </c>
      <c r="L41" s="30">
        <v>1855655.00017145</v>
      </c>
      <c r="M41" s="30">
        <v>1503491.1364696999</v>
      </c>
      <c r="N41" s="30">
        <v>652574.62482704502</v>
      </c>
      <c r="O41" s="30">
        <v>1481748.0733765401</v>
      </c>
      <c r="P41" s="30">
        <v>1946184.2595718</v>
      </c>
      <c r="Q41" s="30">
        <v>1974499.0837634599</v>
      </c>
      <c r="R41" s="30">
        <v>148333.78453810501</v>
      </c>
      <c r="S41" s="30">
        <v>2658325.9481333201</v>
      </c>
      <c r="T41" s="30">
        <v>2746996.5608139602</v>
      </c>
      <c r="U41" s="30">
        <v>2031409.9241578099</v>
      </c>
      <c r="V41" s="30">
        <v>2579045.0622265399</v>
      </c>
      <c r="W41" s="30">
        <v>2706995.4980520299</v>
      </c>
      <c r="X41" s="35">
        <f>AVERAGE(L41:N41)</f>
        <v>1337240.2538227316</v>
      </c>
      <c r="Y41" s="35">
        <f>AVERAGE(O41:Q41)</f>
        <v>1800810.4722372666</v>
      </c>
      <c r="Z41" s="41">
        <f>Y41/X41</f>
        <v>1.3466618785138569</v>
      </c>
      <c r="AA41" s="42">
        <f>AVERAGE(R41:T41)</f>
        <v>1851218.7644951285</v>
      </c>
      <c r="AB41" s="42">
        <f>AVERAGE(U41:W41)</f>
        <v>2439150.1614787932</v>
      </c>
      <c r="AC41" s="43">
        <f>AB41/AA41</f>
        <v>1.3175915284890749</v>
      </c>
    </row>
    <row r="42" spans="1:29">
      <c r="A42" s="14" t="s">
        <v>350</v>
      </c>
      <c r="B42" s="14" t="s">
        <v>351</v>
      </c>
      <c r="C42" s="14" t="s">
        <v>352</v>
      </c>
      <c r="D42" s="14">
        <v>-1.1399999999999999</v>
      </c>
      <c r="E42" s="14">
        <v>148.03700000000001</v>
      </c>
      <c r="F42" s="14">
        <v>2.0960000000000001</v>
      </c>
      <c r="G42" s="30">
        <f>AVERAGE(L42:W42)</f>
        <v>7877488.1946256133</v>
      </c>
      <c r="H42" s="30">
        <v>23766342.635281801</v>
      </c>
      <c r="I42" s="30" t="e">
        <f>G42/#REF!</f>
        <v>#REF!</v>
      </c>
      <c r="J42" s="30" t="e">
        <f>H42/#REF!</f>
        <v>#REF!</v>
      </c>
      <c r="K42" s="14">
        <v>73.900000000000006</v>
      </c>
      <c r="L42" s="30">
        <v>9374751.0817987099</v>
      </c>
      <c r="M42" s="30">
        <v>18608544.388704699</v>
      </c>
      <c r="N42" s="30">
        <v>23766342.635281801</v>
      </c>
      <c r="O42" s="30">
        <v>7289898.30595084</v>
      </c>
      <c r="P42" s="30">
        <v>8611885.7789267693</v>
      </c>
      <c r="Q42" s="30">
        <v>12800251.186612301</v>
      </c>
      <c r="R42" s="30">
        <v>342085.92412318999</v>
      </c>
      <c r="S42" s="30">
        <v>4324007.6654170696</v>
      </c>
      <c r="T42" s="30">
        <v>1430340.7904842</v>
      </c>
      <c r="U42" s="30">
        <v>1914155.5009065301</v>
      </c>
      <c r="V42" s="30">
        <v>2790100.2470839699</v>
      </c>
      <c r="W42" s="30">
        <v>3277494.8302172902</v>
      </c>
      <c r="X42" s="35">
        <f>AVERAGE(L42:N42)</f>
        <v>17249879.368595067</v>
      </c>
      <c r="Y42" s="35">
        <f>AVERAGE(O42:Q42)</f>
        <v>9567345.0904966369</v>
      </c>
      <c r="Z42" s="41">
        <f>Y42/X42</f>
        <v>0.55463257951327105</v>
      </c>
      <c r="AA42" s="42">
        <f>AVERAGE(R42:T42)</f>
        <v>2032144.7933414867</v>
      </c>
      <c r="AB42" s="42">
        <f>AVERAGE(U42:W42)</f>
        <v>2660583.5260692635</v>
      </c>
      <c r="AC42" s="43">
        <f>AB42/AA42</f>
        <v>1.3092489938644702</v>
      </c>
    </row>
    <row r="43" spans="1:29">
      <c r="A43" s="14" t="s">
        <v>296</v>
      </c>
      <c r="B43" s="14" t="s">
        <v>297</v>
      </c>
      <c r="C43" s="14" t="s">
        <v>298</v>
      </c>
      <c r="D43" s="14">
        <v>0.67</v>
      </c>
      <c r="E43" s="14">
        <v>132.05358000000001</v>
      </c>
      <c r="F43" s="14">
        <v>9.4049999999999994</v>
      </c>
      <c r="G43" s="30">
        <f>AVERAGE(L43:W43)</f>
        <v>12983669.807178112</v>
      </c>
      <c r="H43" s="30">
        <v>33257893.968184002</v>
      </c>
      <c r="I43" s="30" t="e">
        <f>G43/#REF!</f>
        <v>#REF!</v>
      </c>
      <c r="J43" s="30" t="e">
        <f>H43/#REF!</f>
        <v>#REF!</v>
      </c>
      <c r="K43" s="14">
        <v>87.5</v>
      </c>
      <c r="L43" s="30">
        <v>33257893.968184002</v>
      </c>
      <c r="M43" s="30">
        <v>19978644.167236399</v>
      </c>
      <c r="N43" s="30">
        <v>11274388.2324847</v>
      </c>
      <c r="O43" s="30">
        <v>9409008.1346310396</v>
      </c>
      <c r="P43" s="30">
        <v>7411707.1664336901</v>
      </c>
      <c r="Q43" s="30">
        <v>6295178.7427550601</v>
      </c>
      <c r="R43" s="30">
        <v>99189.755230088893</v>
      </c>
      <c r="S43" s="30">
        <v>14476449.978191201</v>
      </c>
      <c r="T43" s="30">
        <v>15094859.886838799</v>
      </c>
      <c r="U43" s="30">
        <v>13059021.082302799</v>
      </c>
      <c r="V43" s="30">
        <v>12905041.211441699</v>
      </c>
      <c r="W43" s="30">
        <v>12542655.3604079</v>
      </c>
      <c r="X43" s="35">
        <f>AVERAGE(L43:N43)</f>
        <v>21503642.122635033</v>
      </c>
      <c r="Y43" s="35">
        <f>AVERAGE(O43:Q43)</f>
        <v>7705298.014606596</v>
      </c>
      <c r="Z43" s="41">
        <f>Y43/X43</f>
        <v>0.35832525349256494</v>
      </c>
      <c r="AA43" s="42">
        <f>AVERAGE(R43:T43)</f>
        <v>9890166.5400866959</v>
      </c>
      <c r="AB43" s="42">
        <f>AVERAGE(U43:W43)</f>
        <v>12835572.55138413</v>
      </c>
      <c r="AC43" s="43">
        <f>AB43/AA43</f>
        <v>1.2978115686282079</v>
      </c>
    </row>
    <row r="44" spans="1:29">
      <c r="A44" s="14" t="s">
        <v>255</v>
      </c>
      <c r="B44" s="14" t="s">
        <v>256</v>
      </c>
      <c r="C44" s="14" t="s">
        <v>122</v>
      </c>
      <c r="D44" s="14">
        <v>-0.64</v>
      </c>
      <c r="E44" s="14">
        <v>172.01356000000001</v>
      </c>
      <c r="F44" s="14">
        <v>9.5399999999999991</v>
      </c>
      <c r="G44" s="30">
        <f>AVERAGE(L44:W44)</f>
        <v>17971356.592245005</v>
      </c>
      <c r="H44" s="30">
        <v>29504950.928830501</v>
      </c>
      <c r="I44" s="30" t="e">
        <f>G44/#REF!</f>
        <v>#REF!</v>
      </c>
      <c r="J44" s="30" t="e">
        <f>H44/#REF!</f>
        <v>#REF!</v>
      </c>
      <c r="K44" s="14">
        <v>74.5</v>
      </c>
      <c r="L44" s="30">
        <v>5102826.6807461902</v>
      </c>
      <c r="M44" s="30">
        <v>5975985.2192997998</v>
      </c>
      <c r="N44" s="30">
        <v>22685351.010690499</v>
      </c>
      <c r="O44" s="30">
        <v>29504950.928830501</v>
      </c>
      <c r="P44" s="30">
        <v>9851132.9898867104</v>
      </c>
      <c r="Q44" s="30">
        <v>24067671.345128998</v>
      </c>
      <c r="R44" s="30">
        <v>28072103.778047301</v>
      </c>
      <c r="S44" s="30">
        <v>21879957.010340899</v>
      </c>
      <c r="T44" s="30">
        <v>1813332.4325015401</v>
      </c>
      <c r="U44" s="30">
        <v>26054988.9283172</v>
      </c>
      <c r="V44" s="30">
        <v>15227998.4499061</v>
      </c>
      <c r="W44" s="30">
        <v>25419980.333244301</v>
      </c>
      <c r="X44" s="35">
        <f>AVERAGE(L44:N44)</f>
        <v>11254720.970245495</v>
      </c>
      <c r="Y44" s="35">
        <f>AVERAGE(O44:Q44)</f>
        <v>21141251.754615404</v>
      </c>
      <c r="Z44" s="41">
        <f>Y44/X44</f>
        <v>1.8784341087182241</v>
      </c>
      <c r="AA44" s="42">
        <f>AVERAGE(R44:T44)</f>
        <v>17255131.073629912</v>
      </c>
      <c r="AB44" s="42">
        <f>AVERAGE(U44:W44)</f>
        <v>22234322.570489202</v>
      </c>
      <c r="AC44" s="43">
        <f>AB44/AA44</f>
        <v>1.2885629483550385</v>
      </c>
    </row>
    <row r="45" spans="1:29">
      <c r="A45" s="14" t="s">
        <v>147</v>
      </c>
      <c r="B45" s="14" t="s">
        <v>148</v>
      </c>
      <c r="C45" s="14" t="s">
        <v>149</v>
      </c>
      <c r="D45" s="14">
        <v>0.01</v>
      </c>
      <c r="E45" s="14">
        <v>175.09568999999999</v>
      </c>
      <c r="F45" s="14">
        <v>9.548</v>
      </c>
      <c r="G45" s="30">
        <f>AVERAGE(L45:W45)</f>
        <v>57870592.183561556</v>
      </c>
      <c r="H45" s="30">
        <v>88783796.187668905</v>
      </c>
      <c r="I45" s="30" t="e">
        <f>G45/#REF!</f>
        <v>#REF!</v>
      </c>
      <c r="J45" s="30" t="e">
        <f>H45/#REF!</f>
        <v>#REF!</v>
      </c>
      <c r="K45" s="14">
        <v>82.4</v>
      </c>
      <c r="L45" s="30">
        <v>40845292.681266099</v>
      </c>
      <c r="M45" s="30">
        <v>67193399.616686001</v>
      </c>
      <c r="N45" s="30">
        <v>63223643.993476301</v>
      </c>
      <c r="O45" s="30">
        <v>55398568.150710501</v>
      </c>
      <c r="P45" s="30">
        <v>33703132.855769902</v>
      </c>
      <c r="Q45" s="30">
        <v>22145878.6712946</v>
      </c>
      <c r="R45" s="30">
        <v>83080853.333002597</v>
      </c>
      <c r="S45" s="30">
        <v>56061734.860923402</v>
      </c>
      <c r="T45" s="30">
        <v>44372703.538380899</v>
      </c>
      <c r="U45" s="30">
        <v>78145102.873694196</v>
      </c>
      <c r="V45" s="30">
        <v>61492999.439865202</v>
      </c>
      <c r="W45" s="30">
        <v>88783796.187668905</v>
      </c>
      <c r="X45" s="35">
        <f>AVERAGE(L45:N45)</f>
        <v>57087445.430476129</v>
      </c>
      <c r="Y45" s="35">
        <f>AVERAGE(O45:Q45)</f>
        <v>37082526.559258334</v>
      </c>
      <c r="Z45" s="41">
        <f>Y45/X45</f>
        <v>0.64957411002773358</v>
      </c>
      <c r="AA45" s="42">
        <f>AVERAGE(R45:T45)</f>
        <v>61171763.910768963</v>
      </c>
      <c r="AB45" s="42">
        <f>AVERAGE(U45:W45)</f>
        <v>76140632.833742782</v>
      </c>
      <c r="AC45" s="43">
        <f>AB45/AA45</f>
        <v>1.2447022607490745</v>
      </c>
    </row>
    <row r="46" spans="1:29">
      <c r="A46" s="14" t="s">
        <v>81</v>
      </c>
      <c r="B46" s="14" t="s">
        <v>82</v>
      </c>
      <c r="C46" s="14" t="s">
        <v>83</v>
      </c>
      <c r="D46" s="14">
        <v>-0.28000000000000003</v>
      </c>
      <c r="E46" s="14">
        <v>129.07893999999999</v>
      </c>
      <c r="F46" s="14">
        <v>4.0389999999999997</v>
      </c>
      <c r="G46" s="30">
        <f>AVERAGE(L46:W46)</f>
        <v>122104244.27288122</v>
      </c>
      <c r="H46" s="30">
        <v>166667572.835035</v>
      </c>
      <c r="I46" s="30" t="e">
        <f>G46/#REF!</f>
        <v>#REF!</v>
      </c>
      <c r="J46" s="30" t="e">
        <f>H46/#REF!</f>
        <v>#REF!</v>
      </c>
      <c r="K46" s="14">
        <v>68.900000000000006</v>
      </c>
      <c r="L46" s="30">
        <v>166667572.835035</v>
      </c>
      <c r="M46" s="30">
        <v>138197359.240291</v>
      </c>
      <c r="N46" s="30">
        <v>142043213.19018701</v>
      </c>
      <c r="O46" s="30">
        <v>89156100.999508098</v>
      </c>
      <c r="P46" s="30">
        <v>98743241.090307802</v>
      </c>
      <c r="Q46" s="30">
        <v>129834517.335471</v>
      </c>
      <c r="R46" s="30">
        <v>99689457.899735793</v>
      </c>
      <c r="S46" s="30">
        <v>110247389.129656</v>
      </c>
      <c r="T46" s="30">
        <v>102292197.61494499</v>
      </c>
      <c r="U46" s="30">
        <v>104829621.154817</v>
      </c>
      <c r="V46" s="30">
        <v>165263279.29949799</v>
      </c>
      <c r="W46" s="30">
        <v>118286981.48512299</v>
      </c>
      <c r="X46" s="35">
        <f>AVERAGE(L46:N46)</f>
        <v>148969381.75517097</v>
      </c>
      <c r="Y46" s="35">
        <f>AVERAGE(O46:Q46)</f>
        <v>105911286.47509563</v>
      </c>
      <c r="Z46" s="41">
        <f>Y46/X46</f>
        <v>0.71096009949990457</v>
      </c>
      <c r="AA46" s="42">
        <f>AVERAGE(R46:T46)</f>
        <v>104076348.21477894</v>
      </c>
      <c r="AB46" s="42">
        <f>AVERAGE(U46:W46)</f>
        <v>129459960.64647932</v>
      </c>
      <c r="AC46" s="43">
        <f>AB46/AA46</f>
        <v>1.2438941495076004</v>
      </c>
    </row>
    <row r="47" spans="1:29">
      <c r="A47" s="14" t="s">
        <v>101</v>
      </c>
      <c r="B47" s="14" t="s">
        <v>102</v>
      </c>
      <c r="C47" s="14" t="s">
        <v>103</v>
      </c>
      <c r="D47" s="14">
        <v>-1.21</v>
      </c>
      <c r="E47" s="14">
        <v>292.09030999999999</v>
      </c>
      <c r="F47" s="14">
        <v>9.3889999999999993</v>
      </c>
      <c r="G47" s="30">
        <f>AVERAGE(L47:W47)</f>
        <v>110260618.5531498</v>
      </c>
      <c r="H47" s="30">
        <v>330138391.76733798</v>
      </c>
      <c r="I47" s="30" t="e">
        <f>G47/#REF!</f>
        <v>#REF!</v>
      </c>
      <c r="J47" s="30" t="e">
        <f>H47/#REF!</f>
        <v>#REF!</v>
      </c>
      <c r="K47" s="14">
        <v>94.6</v>
      </c>
      <c r="L47" s="30">
        <v>41100942.911745198</v>
      </c>
      <c r="M47" s="30">
        <v>51939111.550536998</v>
      </c>
      <c r="N47" s="30">
        <v>60583765.6942586</v>
      </c>
      <c r="O47" s="30">
        <v>330138391.76733798</v>
      </c>
      <c r="P47" s="30">
        <v>52780030.770204999</v>
      </c>
      <c r="Q47" s="30">
        <v>33576199.798951</v>
      </c>
      <c r="R47" s="30">
        <v>37061521.4532272</v>
      </c>
      <c r="S47" s="30">
        <v>256581537.95270401</v>
      </c>
      <c r="T47" s="30">
        <v>43589043.351620801</v>
      </c>
      <c r="U47" s="30">
        <v>34849188.839977801</v>
      </c>
      <c r="V47" s="30">
        <v>141049018.04848301</v>
      </c>
      <c r="W47" s="30">
        <v>239878670.49875</v>
      </c>
      <c r="X47" s="35">
        <f>AVERAGE(L47:N47)</f>
        <v>51207940.052180268</v>
      </c>
      <c r="Y47" s="35">
        <f>AVERAGE(O47:Q47)</f>
        <v>138831540.77883133</v>
      </c>
      <c r="Z47" s="41">
        <f>Y47/X47</f>
        <v>2.7111330906371878</v>
      </c>
      <c r="AA47" s="42">
        <f>AVERAGE(R47:T47)</f>
        <v>112410700.91918401</v>
      </c>
      <c r="AB47" s="42">
        <f>AVERAGE(U47:W47)</f>
        <v>138592292.46240363</v>
      </c>
      <c r="AC47" s="43">
        <f>AB47/AA47</f>
        <v>1.2329101351484542</v>
      </c>
    </row>
    <row r="48" spans="1:29">
      <c r="A48" s="14" t="s">
        <v>392</v>
      </c>
      <c r="B48" s="14" t="s">
        <v>393</v>
      </c>
      <c r="C48" s="14" t="s">
        <v>394</v>
      </c>
      <c r="D48" s="14">
        <v>-2.5499999999999998</v>
      </c>
      <c r="E48" s="14">
        <v>72.020949999999999</v>
      </c>
      <c r="F48" s="14">
        <v>3.6589999999999998</v>
      </c>
      <c r="G48" s="30">
        <f>AVERAGE(L48:W48)</f>
        <v>6518398.501396996</v>
      </c>
      <c r="H48" s="30">
        <v>53885641.438076504</v>
      </c>
      <c r="I48" s="30" t="e">
        <f>G48/#REF!</f>
        <v>#REF!</v>
      </c>
      <c r="J48" s="30" t="e">
        <f>H48/#REF!</f>
        <v>#REF!</v>
      </c>
      <c r="K48" s="14">
        <v>55.6</v>
      </c>
      <c r="L48" s="30">
        <v>679916.48430208396</v>
      </c>
      <c r="M48" s="30">
        <v>798918.44981751498</v>
      </c>
      <c r="N48" s="30">
        <v>53885641.438076504</v>
      </c>
      <c r="O48" s="30">
        <v>946934.946143404</v>
      </c>
      <c r="P48" s="30">
        <v>1144948.4506921601</v>
      </c>
      <c r="Q48" s="30">
        <v>2718853.1818177998</v>
      </c>
      <c r="R48" s="30">
        <v>1313518.9768471201</v>
      </c>
      <c r="S48" s="30">
        <v>3780313.0586187202</v>
      </c>
      <c r="T48" s="30">
        <v>3033526.4484019498</v>
      </c>
      <c r="U48" s="30">
        <v>2956395.4175957199</v>
      </c>
      <c r="V48" s="30">
        <v>3938919.0007574698</v>
      </c>
      <c r="W48" s="30">
        <v>3022896.16369351</v>
      </c>
      <c r="X48" s="35">
        <f>AVERAGE(L48:N48)</f>
        <v>18454825.457398701</v>
      </c>
      <c r="Y48" s="35">
        <f>AVERAGE(O48:Q48)</f>
        <v>1603578.8595511212</v>
      </c>
      <c r="Z48" s="41">
        <f>Y48/X48</f>
        <v>8.6892117362628987E-2</v>
      </c>
      <c r="AA48" s="42">
        <f>AVERAGE(R48:T48)</f>
        <v>2709119.494622597</v>
      </c>
      <c r="AB48" s="42">
        <f>AVERAGE(U48:W48)</f>
        <v>3306070.1940155663</v>
      </c>
      <c r="AC48" s="43">
        <f>AB48/AA48</f>
        <v>1.2203486042523677</v>
      </c>
    </row>
    <row r="49" spans="1:29">
      <c r="A49" s="14" t="s">
        <v>227</v>
      </c>
      <c r="B49" s="14" t="s">
        <v>228</v>
      </c>
      <c r="C49" s="14" t="s">
        <v>229</v>
      </c>
      <c r="D49" s="14">
        <v>-0.9</v>
      </c>
      <c r="E49" s="14">
        <v>427.97480000000002</v>
      </c>
      <c r="F49" s="14">
        <v>0.92500000000000004</v>
      </c>
      <c r="G49" s="30">
        <f>AVERAGE(L49:W49)</f>
        <v>21617122.810871836</v>
      </c>
      <c r="H49" s="30">
        <v>27392940.4846767</v>
      </c>
      <c r="I49" s="30" t="e">
        <f>G49/#REF!</f>
        <v>#REF!</v>
      </c>
      <c r="J49" s="30" t="e">
        <f>H49/#REF!</f>
        <v>#REF!</v>
      </c>
      <c r="K49" s="14">
        <v>80.3</v>
      </c>
      <c r="L49" s="30">
        <v>21708140.050484199</v>
      </c>
      <c r="M49" s="30">
        <v>24689081.2146862</v>
      </c>
      <c r="N49" s="30">
        <v>25827508.096816</v>
      </c>
      <c r="O49" s="30">
        <v>17916586.5740286</v>
      </c>
      <c r="P49" s="30">
        <v>27392940.4846767</v>
      </c>
      <c r="Q49" s="30">
        <v>25356276.670310501</v>
      </c>
      <c r="R49" s="30">
        <v>16026267.034926301</v>
      </c>
      <c r="S49" s="30">
        <v>20844052.4393925</v>
      </c>
      <c r="T49" s="30">
        <v>15636654.014195099</v>
      </c>
      <c r="U49" s="30">
        <v>22090042.477845602</v>
      </c>
      <c r="V49" s="30">
        <v>19673402.141960502</v>
      </c>
      <c r="W49" s="30">
        <v>22244522.531139798</v>
      </c>
      <c r="X49" s="35">
        <f>AVERAGE(L49:N49)</f>
        <v>24074909.787328798</v>
      </c>
      <c r="Y49" s="35">
        <f>AVERAGE(O49:Q49)</f>
        <v>23555267.909671932</v>
      </c>
      <c r="Z49" s="41">
        <f>Y49/X49</f>
        <v>0.97841562513640801</v>
      </c>
      <c r="AA49" s="42">
        <f>AVERAGE(R49:T49)</f>
        <v>17502324.496171299</v>
      </c>
      <c r="AB49" s="42">
        <f>AVERAGE(U49:W49)</f>
        <v>21335989.050315302</v>
      </c>
      <c r="AC49" s="43">
        <f>AB49/AA49</f>
        <v>1.2190374515672264</v>
      </c>
    </row>
    <row r="50" spans="1:29">
      <c r="A50" s="14" t="s">
        <v>153</v>
      </c>
      <c r="B50" s="14" t="s">
        <v>154</v>
      </c>
      <c r="C50" s="14" t="s">
        <v>155</v>
      </c>
      <c r="D50" s="14">
        <v>-0.85</v>
      </c>
      <c r="E50" s="14">
        <v>192.02683999999999</v>
      </c>
      <c r="F50" s="14">
        <v>3.62</v>
      </c>
      <c r="G50" s="30">
        <f>AVERAGE(L50:W50)</f>
        <v>55467293.154517733</v>
      </c>
      <c r="H50" s="30">
        <v>97466817.938584194</v>
      </c>
      <c r="I50" s="30" t="e">
        <f>G50/#REF!</f>
        <v>#REF!</v>
      </c>
      <c r="J50" s="30" t="e">
        <f>H50/#REF!</f>
        <v>#REF!</v>
      </c>
      <c r="K50" s="14">
        <v>86.7</v>
      </c>
      <c r="L50" s="30">
        <v>42481764.607206203</v>
      </c>
      <c r="M50" s="30">
        <v>35468254.359973699</v>
      </c>
      <c r="N50" s="30">
        <v>97466817.938584194</v>
      </c>
      <c r="O50" s="30">
        <v>76295147.985667005</v>
      </c>
      <c r="P50" s="30">
        <v>24187925.152066</v>
      </c>
      <c r="Q50" s="30">
        <v>67104376.007788204</v>
      </c>
      <c r="R50" s="30">
        <v>17308770.309819698</v>
      </c>
      <c r="S50" s="30">
        <v>65686723.988420904</v>
      </c>
      <c r="T50" s="30">
        <v>63398758.717787802</v>
      </c>
      <c r="U50" s="30">
        <v>16219477.426832501</v>
      </c>
      <c r="V50" s="30">
        <v>95224534.6884415</v>
      </c>
      <c r="W50" s="30">
        <v>64764966.6716251</v>
      </c>
      <c r="X50" s="35">
        <f>AVERAGE(L50:N50)</f>
        <v>58472278.968588032</v>
      </c>
      <c r="Y50" s="35">
        <f>AVERAGE(O50:Q50)</f>
        <v>55862483.048507072</v>
      </c>
      <c r="Z50" s="41">
        <f>Y50/X50</f>
        <v>0.95536695394610882</v>
      </c>
      <c r="AA50" s="42">
        <f>AVERAGE(R50:T50)</f>
        <v>48798084.338676132</v>
      </c>
      <c r="AB50" s="42">
        <f>AVERAGE(U50:W50)</f>
        <v>58736326.262299694</v>
      </c>
      <c r="AC50" s="43">
        <f>AB50/AA50</f>
        <v>1.2036604931998685</v>
      </c>
    </row>
    <row r="51" spans="1:29">
      <c r="A51" s="14" t="s">
        <v>156</v>
      </c>
      <c r="B51" s="14" t="s">
        <v>157</v>
      </c>
      <c r="C51" s="14" t="s">
        <v>158</v>
      </c>
      <c r="D51" s="14">
        <v>-2.02</v>
      </c>
      <c r="E51" s="14">
        <v>99.104600000000005</v>
      </c>
      <c r="F51" s="14">
        <v>2.0819999999999999</v>
      </c>
      <c r="G51" s="30">
        <f>AVERAGE(L51:W51)</f>
        <v>49861135.46878428</v>
      </c>
      <c r="H51" s="30">
        <v>80274134.259138703</v>
      </c>
      <c r="I51" s="30" t="e">
        <f>G51/#REF!</f>
        <v>#REF!</v>
      </c>
      <c r="J51" s="30" t="e">
        <f>H51/#REF!</f>
        <v>#REF!</v>
      </c>
      <c r="K51" s="14">
        <v>65.2</v>
      </c>
      <c r="L51" s="30">
        <v>74477107.130162105</v>
      </c>
      <c r="M51" s="30">
        <v>53346480.913174398</v>
      </c>
      <c r="N51" s="30">
        <v>40331531.610398799</v>
      </c>
      <c r="O51" s="30">
        <v>61452021.696210504</v>
      </c>
      <c r="P51" s="30">
        <v>65904256.326898202</v>
      </c>
      <c r="Q51" s="30">
        <v>60573536.1648724</v>
      </c>
      <c r="R51" s="30">
        <v>46443127.460201703</v>
      </c>
      <c r="S51" s="30">
        <v>34581595.5954163</v>
      </c>
      <c r="T51" s="30">
        <v>29553560.233406801</v>
      </c>
      <c r="U51" s="30">
        <v>32509636.901510201</v>
      </c>
      <c r="V51" s="30">
        <v>64773794.150924303</v>
      </c>
      <c r="W51" s="30">
        <v>34386977.442235701</v>
      </c>
      <c r="X51" s="35">
        <f>AVERAGE(L51:N51)</f>
        <v>56051706.551245101</v>
      </c>
      <c r="Y51" s="35">
        <f>AVERAGE(O51:Q51)</f>
        <v>62643271.395993702</v>
      </c>
      <c r="Z51" s="41">
        <f>Y51/X51</f>
        <v>1.1175979332354899</v>
      </c>
      <c r="AA51" s="42">
        <f>AVERAGE(R51:T51)</f>
        <v>36859427.763008267</v>
      </c>
      <c r="AB51" s="42">
        <f>AVERAGE(U51:W51)</f>
        <v>43890136.164890073</v>
      </c>
      <c r="AC51" s="43">
        <f>AB51/AA51</f>
        <v>1.1907438294236827</v>
      </c>
    </row>
    <row r="52" spans="1:29">
      <c r="A52" s="14" t="s">
        <v>428</v>
      </c>
      <c r="B52" s="14" t="s">
        <v>429</v>
      </c>
      <c r="C52" s="14" t="s">
        <v>430</v>
      </c>
      <c r="D52" s="14">
        <v>-0.87</v>
      </c>
      <c r="E52" s="14">
        <v>130.0265</v>
      </c>
      <c r="F52" s="14">
        <v>1.5</v>
      </c>
      <c r="G52" s="30">
        <f>AVERAGE(L52:W52)</f>
        <v>4121813.1327570775</v>
      </c>
      <c r="H52" s="30">
        <v>12054977.827666299</v>
      </c>
      <c r="I52" s="30" t="e">
        <f>G52/#REF!</f>
        <v>#REF!</v>
      </c>
      <c r="J52" s="30" t="e">
        <f>H52/#REF!</f>
        <v>#REF!</v>
      </c>
      <c r="K52" s="14">
        <v>85.6</v>
      </c>
      <c r="L52" s="30">
        <v>3478900.8080212399</v>
      </c>
      <c r="M52" s="30">
        <v>8699758.6126269605</v>
      </c>
      <c r="N52" s="30">
        <v>3245922.1926342198</v>
      </c>
      <c r="O52" s="30">
        <v>12054977.827666299</v>
      </c>
      <c r="P52" s="30">
        <v>1698535.92987624</v>
      </c>
      <c r="Q52" s="30">
        <v>4096121.5339993001</v>
      </c>
      <c r="R52" s="30">
        <v>240636.225650398</v>
      </c>
      <c r="S52" s="30">
        <v>3117641.00686487</v>
      </c>
      <c r="T52" s="30">
        <v>4105900.8292206</v>
      </c>
      <c r="U52" s="30">
        <v>2835143.8749161698</v>
      </c>
      <c r="V52" s="30">
        <v>2680519.3698395202</v>
      </c>
      <c r="W52" s="30">
        <v>3207699.3817691202</v>
      </c>
      <c r="X52" s="35">
        <f>AVERAGE(L52:N52)</f>
        <v>5141527.2044274732</v>
      </c>
      <c r="Y52" s="35">
        <f>AVERAGE(O52:Q52)</f>
        <v>5949878.4305139473</v>
      </c>
      <c r="Z52" s="41">
        <f>Y52/X52</f>
        <v>1.1572200620450643</v>
      </c>
      <c r="AA52" s="42">
        <f>AVERAGE(R52:T52)</f>
        <v>2488059.3539119563</v>
      </c>
      <c r="AB52" s="42">
        <f>AVERAGE(U52:W52)</f>
        <v>2907787.5421749367</v>
      </c>
      <c r="AC52" s="43">
        <f>AB52/AA52</f>
        <v>1.1686970158501424</v>
      </c>
    </row>
    <row r="53" spans="1:29">
      <c r="A53" s="14" t="s">
        <v>120</v>
      </c>
      <c r="B53" s="14" t="s">
        <v>121</v>
      </c>
      <c r="C53" s="14" t="s">
        <v>122</v>
      </c>
      <c r="D53" s="14">
        <v>-1.4</v>
      </c>
      <c r="E53" s="14">
        <v>172.01343</v>
      </c>
      <c r="F53" s="14">
        <v>9.83</v>
      </c>
      <c r="G53" s="30">
        <f>AVERAGE(L53:W53)</f>
        <v>80074731.385474235</v>
      </c>
      <c r="H53" s="30">
        <v>117566055.25228401</v>
      </c>
      <c r="I53" s="30" t="e">
        <f>G53/#REF!</f>
        <v>#REF!</v>
      </c>
      <c r="J53" s="30" t="e">
        <f>H53/#REF!</f>
        <v>#REF!</v>
      </c>
      <c r="K53" s="14">
        <v>93.5</v>
      </c>
      <c r="L53" s="30">
        <v>41974699.790708102</v>
      </c>
      <c r="M53" s="30">
        <v>108866080.86083201</v>
      </c>
      <c r="N53" s="30">
        <v>117566055.25228401</v>
      </c>
      <c r="O53" s="30">
        <v>52791878.632196002</v>
      </c>
      <c r="P53" s="30">
        <v>55383671.0312161</v>
      </c>
      <c r="Q53" s="30">
        <v>80279052.076825202</v>
      </c>
      <c r="R53" s="30">
        <v>70821265.127618805</v>
      </c>
      <c r="S53" s="30">
        <v>66669528.967696898</v>
      </c>
      <c r="T53" s="30">
        <v>95282867.569457799</v>
      </c>
      <c r="U53" s="30">
        <v>97013708.784573093</v>
      </c>
      <c r="V53" s="30">
        <v>111123221.98756599</v>
      </c>
      <c r="W53" s="30">
        <v>63124746.544716902</v>
      </c>
      <c r="X53" s="35">
        <f>AVERAGE(L53:N53)</f>
        <v>89468945.301274702</v>
      </c>
      <c r="Y53" s="35">
        <f>AVERAGE(O53:Q53)</f>
        <v>62818200.580079101</v>
      </c>
      <c r="Z53" s="41">
        <f>Y53/X53</f>
        <v>0.70212295862600382</v>
      </c>
      <c r="AA53" s="42">
        <f>AVERAGE(R53:T53)</f>
        <v>77591220.554924503</v>
      </c>
      <c r="AB53" s="42">
        <f>AVERAGE(U53:W53)</f>
        <v>90420559.105618656</v>
      </c>
      <c r="AC53" s="43">
        <f>AB53/AA53</f>
        <v>1.1653452344084811</v>
      </c>
    </row>
    <row r="54" spans="1:29">
      <c r="A54" s="14" t="s">
        <v>138</v>
      </c>
      <c r="B54" s="14" t="s">
        <v>139</v>
      </c>
      <c r="C54" s="14" t="s">
        <v>140</v>
      </c>
      <c r="D54" s="14">
        <v>-0.68</v>
      </c>
      <c r="E54" s="14">
        <v>196.14619999999999</v>
      </c>
      <c r="F54" s="14">
        <v>1.026</v>
      </c>
      <c r="G54" s="30">
        <f>AVERAGE(L54:W54)</f>
        <v>61206671.003948443</v>
      </c>
      <c r="H54" s="30">
        <v>109015339.95898999</v>
      </c>
      <c r="I54" s="30" t="e">
        <f>G54/#REF!</f>
        <v>#REF!</v>
      </c>
      <c r="J54" s="30" t="e">
        <f>H54/#REF!</f>
        <v>#REF!</v>
      </c>
      <c r="K54" s="14">
        <v>55.6</v>
      </c>
      <c r="L54" s="30">
        <v>44676989.8137789</v>
      </c>
      <c r="M54" s="30">
        <v>92616416.832662299</v>
      </c>
      <c r="N54" s="30">
        <v>109015339.95898999</v>
      </c>
      <c r="O54" s="30">
        <v>37451357.765563801</v>
      </c>
      <c r="P54" s="30">
        <v>32056208.0668917</v>
      </c>
      <c r="Q54" s="30">
        <v>97525914.171961695</v>
      </c>
      <c r="R54" s="30">
        <v>26706025.108151302</v>
      </c>
      <c r="S54" s="30">
        <v>67360109.779746294</v>
      </c>
      <c r="T54" s="30">
        <v>54878759.298958302</v>
      </c>
      <c r="U54" s="30">
        <v>79854105.421841294</v>
      </c>
      <c r="V54" s="30">
        <v>34283088.217903197</v>
      </c>
      <c r="W54" s="30">
        <v>58055737.610932499</v>
      </c>
      <c r="X54" s="35">
        <f>AVERAGE(L54:N54)</f>
        <v>82102915.535143733</v>
      </c>
      <c r="Y54" s="35">
        <f>AVERAGE(O54:Q54)</f>
        <v>55677826.668139063</v>
      </c>
      <c r="Z54" s="41">
        <f>Y54/X54</f>
        <v>0.67814676622910486</v>
      </c>
      <c r="AA54" s="42">
        <f>AVERAGE(R54:T54)</f>
        <v>49648298.062285304</v>
      </c>
      <c r="AB54" s="42">
        <f>AVERAGE(U54:W54)</f>
        <v>57397643.750225663</v>
      </c>
      <c r="AC54" s="43">
        <f>AB54/AA54</f>
        <v>1.1560848204347018</v>
      </c>
    </row>
    <row r="55" spans="1:29">
      <c r="A55" s="14" t="s">
        <v>284</v>
      </c>
      <c r="B55" s="14" t="s">
        <v>285</v>
      </c>
      <c r="C55" s="14" t="s">
        <v>286</v>
      </c>
      <c r="D55" s="14">
        <v>-2.21</v>
      </c>
      <c r="E55" s="14">
        <v>146.06881999999999</v>
      </c>
      <c r="F55" s="14">
        <v>9.1300000000000008</v>
      </c>
      <c r="G55" s="30">
        <f>AVERAGE(L55:W55)</f>
        <v>13572468.928765982</v>
      </c>
      <c r="H55" s="30">
        <v>22426407.8362909</v>
      </c>
      <c r="I55" s="30" t="e">
        <f>G55/#REF!</f>
        <v>#REF!</v>
      </c>
      <c r="J55" s="30" t="e">
        <f>H55/#REF!</f>
        <v>#REF!</v>
      </c>
      <c r="K55" s="14">
        <v>77.3</v>
      </c>
      <c r="L55" s="30">
        <v>6519450.8163019801</v>
      </c>
      <c r="M55" s="30">
        <v>22426407.8362909</v>
      </c>
      <c r="N55" s="30">
        <v>19480707.339141399</v>
      </c>
      <c r="O55" s="30">
        <v>19705413.2115013</v>
      </c>
      <c r="P55" s="30">
        <v>13911914.166374899</v>
      </c>
      <c r="Q55" s="30">
        <v>8722933.0657697208</v>
      </c>
      <c r="R55" s="30">
        <v>13067337.9172234</v>
      </c>
      <c r="S55" s="30">
        <v>6943303.8516813098</v>
      </c>
      <c r="T55" s="30">
        <v>13472556.932844199</v>
      </c>
      <c r="U55" s="30">
        <v>14157216.5140117</v>
      </c>
      <c r="V55" s="30">
        <v>12628258.4602207</v>
      </c>
      <c r="W55" s="30">
        <v>11834127.0338303</v>
      </c>
      <c r="X55" s="35">
        <f>AVERAGE(L55:N55)</f>
        <v>16142188.663911426</v>
      </c>
      <c r="Y55" s="35">
        <f>AVERAGE(O55:Q55)</f>
        <v>14113420.147881975</v>
      </c>
      <c r="Z55" s="41">
        <f>Y55/X55</f>
        <v>0.87431886974750184</v>
      </c>
      <c r="AA55" s="42">
        <f>AVERAGE(R55:T55)</f>
        <v>11161066.233916303</v>
      </c>
      <c r="AB55" s="42">
        <f>AVERAGE(U55:W55)</f>
        <v>12873200.669354232</v>
      </c>
      <c r="AC55" s="43">
        <f>AB55/AA55</f>
        <v>1.1534024079379699</v>
      </c>
    </row>
    <row r="56" spans="1:29">
      <c r="A56" s="14" t="s">
        <v>87</v>
      </c>
      <c r="B56" s="14" t="s">
        <v>88</v>
      </c>
      <c r="C56" s="14" t="s">
        <v>89</v>
      </c>
      <c r="D56" s="14">
        <v>-0.89</v>
      </c>
      <c r="E56" s="14">
        <v>117.05775</v>
      </c>
      <c r="F56" s="14">
        <v>0.96</v>
      </c>
      <c r="G56" s="30">
        <f>AVERAGE(L56:W56)</f>
        <v>119003997.20891863</v>
      </c>
      <c r="H56" s="30">
        <v>169253321.11270699</v>
      </c>
      <c r="I56" s="30" t="e">
        <f>G56/#REF!</f>
        <v>#REF!</v>
      </c>
      <c r="J56" s="30" t="e">
        <f>H56/#REF!</f>
        <v>#REF!</v>
      </c>
      <c r="K56" s="14">
        <v>61</v>
      </c>
      <c r="L56" s="30">
        <v>101240466.24207801</v>
      </c>
      <c r="M56" s="30">
        <v>143096029.01334599</v>
      </c>
      <c r="N56" s="30">
        <v>169253321.11270699</v>
      </c>
      <c r="O56" s="30">
        <v>128439142.821196</v>
      </c>
      <c r="P56" s="30">
        <v>126855518.336089</v>
      </c>
      <c r="Q56" s="30">
        <v>168650592.83663899</v>
      </c>
      <c r="R56" s="30">
        <v>97646960.6155231</v>
      </c>
      <c r="S56" s="30">
        <v>86723086.498614907</v>
      </c>
      <c r="T56" s="30">
        <v>90481306.724328503</v>
      </c>
      <c r="U56" s="30">
        <v>92099785.352961093</v>
      </c>
      <c r="V56" s="30">
        <v>140865527.93229699</v>
      </c>
      <c r="W56" s="30">
        <v>82696229.021244094</v>
      </c>
      <c r="X56" s="35">
        <f>AVERAGE(L56:N56)</f>
        <v>137863272.12271032</v>
      </c>
      <c r="Y56" s="35">
        <f>AVERAGE(O56:Q56)</f>
        <v>141315084.66464135</v>
      </c>
      <c r="Z56" s="41">
        <f>Y56/X56</f>
        <v>1.0250379414965476</v>
      </c>
      <c r="AA56" s="42">
        <f>AVERAGE(R56:T56)</f>
        <v>91617117.946155503</v>
      </c>
      <c r="AB56" s="42">
        <f>AVERAGE(U56:W56)</f>
        <v>105220514.10216738</v>
      </c>
      <c r="AC56" s="43">
        <f>AB56/AA56</f>
        <v>1.1484809439651524</v>
      </c>
    </row>
    <row r="57" spans="1:29">
      <c r="A57" s="14" t="s">
        <v>58</v>
      </c>
      <c r="B57" s="14" t="s">
        <v>59</v>
      </c>
      <c r="C57" s="14" t="s">
        <v>60</v>
      </c>
      <c r="D57" s="14">
        <v>-1.38</v>
      </c>
      <c r="E57" s="14">
        <v>342.11574000000002</v>
      </c>
      <c r="F57" s="14">
        <v>10.188000000000001</v>
      </c>
      <c r="G57" s="30">
        <f>AVERAGE(L57:W57)</f>
        <v>274856534.79421151</v>
      </c>
      <c r="H57" s="30">
        <v>479005711.925264</v>
      </c>
      <c r="I57" s="30" t="e">
        <f>G57/#REF!</f>
        <v>#REF!</v>
      </c>
      <c r="J57" s="30" t="e">
        <f>H57/#REF!</f>
        <v>#REF!</v>
      </c>
      <c r="K57" s="14">
        <v>95.5</v>
      </c>
      <c r="L57" s="30">
        <v>104960921.69423801</v>
      </c>
      <c r="M57" s="30">
        <v>344692590.536542</v>
      </c>
      <c r="N57" s="30">
        <v>479005711.925264</v>
      </c>
      <c r="O57" s="30">
        <v>462842338.37516803</v>
      </c>
      <c r="P57" s="30">
        <v>427428682.45352298</v>
      </c>
      <c r="Q57" s="30">
        <v>179198291.70821801</v>
      </c>
      <c r="R57" s="30">
        <v>260584228.33895299</v>
      </c>
      <c r="S57" s="30">
        <v>193098148.45247501</v>
      </c>
      <c r="T57" s="30">
        <v>151739236.46825001</v>
      </c>
      <c r="U57" s="30">
        <v>271558741.84637702</v>
      </c>
      <c r="V57" s="30">
        <v>194409228.40774</v>
      </c>
      <c r="W57" s="30">
        <v>228760297.32379001</v>
      </c>
      <c r="X57" s="35">
        <f>AVERAGE(L57:N57)</f>
        <v>309553074.71868134</v>
      </c>
      <c r="Y57" s="35">
        <f>AVERAGE(O57:Q57)</f>
        <v>356489770.84563631</v>
      </c>
      <c r="Z57" s="41">
        <f>Y57/X57</f>
        <v>1.151627297417771</v>
      </c>
      <c r="AA57" s="42">
        <f>AVERAGE(R57:T57)</f>
        <v>201807204.41989267</v>
      </c>
      <c r="AB57" s="42">
        <f>AVERAGE(U57:W57)</f>
        <v>231576089.19263569</v>
      </c>
      <c r="AC57" s="43">
        <f>AB57/AA57</f>
        <v>1.1475115066298824</v>
      </c>
    </row>
    <row r="58" spans="1:29">
      <c r="A58" s="14" t="s">
        <v>55</v>
      </c>
      <c r="B58" s="14" t="s">
        <v>56</v>
      </c>
      <c r="C58" s="14" t="s">
        <v>57</v>
      </c>
      <c r="D58" s="14">
        <v>-0.28000000000000003</v>
      </c>
      <c r="E58" s="14">
        <v>138.04289</v>
      </c>
      <c r="F58" s="14">
        <v>2.0470000000000002</v>
      </c>
      <c r="G58" s="30">
        <f>AVERAGE(L58:W58)</f>
        <v>224241592.81972018</v>
      </c>
      <c r="H58" s="30">
        <v>489408372.50703698</v>
      </c>
      <c r="I58" s="30" t="e">
        <f>G58/#REF!</f>
        <v>#REF!</v>
      </c>
      <c r="J58" s="30" t="e">
        <f>H58/#REF!</f>
        <v>#REF!</v>
      </c>
      <c r="K58" s="14">
        <v>95</v>
      </c>
      <c r="L58" s="30">
        <v>383114802.28931302</v>
      </c>
      <c r="M58" s="30">
        <v>429307383.35826302</v>
      </c>
      <c r="N58" s="30">
        <v>289179230.54707903</v>
      </c>
      <c r="O58" s="30">
        <v>248573664.039626</v>
      </c>
      <c r="P58" s="30">
        <v>193397069.26732999</v>
      </c>
      <c r="Q58" s="30">
        <v>248852008.96348199</v>
      </c>
      <c r="R58" s="30">
        <v>571280.093199105</v>
      </c>
      <c r="S58" s="30">
        <v>247629224.56579399</v>
      </c>
      <c r="T58" s="30">
        <v>170262416.04091901</v>
      </c>
      <c r="U58" s="30">
        <v>142100154.09466201</v>
      </c>
      <c r="V58" s="30">
        <v>204216580.58366001</v>
      </c>
      <c r="W58" s="30">
        <v>133695299.993315</v>
      </c>
      <c r="X58" s="35">
        <f>AVERAGE(L58:N58)</f>
        <v>367200472.06488508</v>
      </c>
      <c r="Y58" s="35">
        <f>AVERAGE(O58:Q58)</f>
        <v>230274247.42347932</v>
      </c>
      <c r="Z58" s="41">
        <f>Y58/X58</f>
        <v>0.62710771075149763</v>
      </c>
      <c r="AA58" s="42">
        <f>AVERAGE(R58:T58)</f>
        <v>139487640.23330402</v>
      </c>
      <c r="AB58" s="42">
        <f>AVERAGE(U58:W58)</f>
        <v>160004011.55721232</v>
      </c>
      <c r="AC58" s="43">
        <f>AB58/AA58</f>
        <v>1.1470837938730132</v>
      </c>
    </row>
    <row r="59" spans="1:29">
      <c r="A59" s="29" t="s">
        <v>40</v>
      </c>
      <c r="B59" s="29" t="s">
        <v>41</v>
      </c>
      <c r="C59" s="14" t="s">
        <v>42</v>
      </c>
      <c r="D59" s="14">
        <v>-1.38</v>
      </c>
      <c r="E59" s="14">
        <v>257.10246999999998</v>
      </c>
      <c r="F59" s="14">
        <v>9.6539999999999999</v>
      </c>
      <c r="G59" s="30">
        <f>AVERAGE(L59:W59)</f>
        <v>2711731825.7273173</v>
      </c>
      <c r="H59" s="30">
        <v>4099897703.1882701</v>
      </c>
      <c r="I59" s="30" t="e">
        <f>G59/#REF!</f>
        <v>#REF!</v>
      </c>
      <c r="J59" s="30" t="e">
        <f>H59/#REF!</f>
        <v>#REF!</v>
      </c>
      <c r="K59" s="14">
        <v>88.6</v>
      </c>
      <c r="L59" s="30">
        <v>1398987613.91558</v>
      </c>
      <c r="M59" s="30">
        <v>1308886775.2251501</v>
      </c>
      <c r="N59" s="30">
        <v>2317513236.5963001</v>
      </c>
      <c r="O59" s="30">
        <v>3361011469.7395902</v>
      </c>
      <c r="P59" s="30">
        <v>2283772154.8743701</v>
      </c>
      <c r="Q59" s="30">
        <v>2858038147.9991899</v>
      </c>
      <c r="R59" s="30">
        <v>3200933360.3477702</v>
      </c>
      <c r="S59" s="30">
        <v>2877986844.81319</v>
      </c>
      <c r="T59" s="30">
        <v>2788971024.03161</v>
      </c>
      <c r="U59" s="30">
        <v>4099897703.1882701</v>
      </c>
      <c r="V59" s="30">
        <v>3177714843.4169698</v>
      </c>
      <c r="W59" s="30">
        <v>2867068734.5798202</v>
      </c>
      <c r="X59" s="35">
        <f>AVERAGE(L59:N59)</f>
        <v>1675129208.57901</v>
      </c>
      <c r="Y59" s="35">
        <f>AVERAGE(O59:Q59)</f>
        <v>2834273924.2043834</v>
      </c>
      <c r="Z59" s="41">
        <f>Y59/X59</f>
        <v>1.6919733174545148</v>
      </c>
      <c r="AA59" s="42">
        <f>AVERAGE(R59:T59)</f>
        <v>2955963743.0641899</v>
      </c>
      <c r="AB59" s="42">
        <f>AVERAGE(U59:W59)</f>
        <v>3381560427.061687</v>
      </c>
      <c r="AC59" s="43">
        <f>AB59/AA59</f>
        <v>1.1439789933134694</v>
      </c>
    </row>
    <row r="60" spans="1:29">
      <c r="A60" s="14" t="s">
        <v>395</v>
      </c>
      <c r="B60" s="14" t="s">
        <v>396</v>
      </c>
      <c r="C60" s="14" t="s">
        <v>397</v>
      </c>
      <c r="D60" s="14">
        <v>-0.4</v>
      </c>
      <c r="E60" s="14">
        <v>214.02414999999999</v>
      </c>
      <c r="F60" s="14">
        <v>9.4420000000000002</v>
      </c>
      <c r="G60" s="30">
        <f>AVERAGE(L60:W60)</f>
        <v>6221990.5529515157</v>
      </c>
      <c r="H60" s="30">
        <v>11162235.806221699</v>
      </c>
      <c r="I60" s="30" t="e">
        <f>G60/#REF!</f>
        <v>#REF!</v>
      </c>
      <c r="J60" s="30" t="e">
        <f>H60/#REF!</f>
        <v>#REF!</v>
      </c>
      <c r="K60" s="14">
        <v>73.400000000000006</v>
      </c>
      <c r="L60" s="30">
        <v>1911667.15948843</v>
      </c>
      <c r="M60" s="30">
        <v>3995428.9086468401</v>
      </c>
      <c r="N60" s="30">
        <v>5133961.7959014699</v>
      </c>
      <c r="O60" s="30">
        <v>2342961.41041434</v>
      </c>
      <c r="P60" s="30">
        <v>3376375.3209562702</v>
      </c>
      <c r="Q60" s="30">
        <v>11162235.806221699</v>
      </c>
      <c r="R60" s="30">
        <v>3321198.7586044399</v>
      </c>
      <c r="S60" s="30">
        <v>10312809.554435899</v>
      </c>
      <c r="T60" s="30">
        <v>8185529.7919677403</v>
      </c>
      <c r="U60" s="30">
        <v>11147941.191946801</v>
      </c>
      <c r="V60" s="30">
        <v>4526179.1450087503</v>
      </c>
      <c r="W60" s="30">
        <v>9247597.7918255106</v>
      </c>
      <c r="X60" s="35">
        <f>AVERAGE(L60:N60)</f>
        <v>3680352.6213455796</v>
      </c>
      <c r="Y60" s="35">
        <f>AVERAGE(O60:Q60)</f>
        <v>5627190.8458641032</v>
      </c>
      <c r="Z60" s="41">
        <f>Y60/X60</f>
        <v>1.5289814386879963</v>
      </c>
      <c r="AA60" s="42">
        <f>AVERAGE(R60:T60)</f>
        <v>7273179.3683360266</v>
      </c>
      <c r="AB60" s="42">
        <f>AVERAGE(U60:W60)</f>
        <v>8307239.3762603542</v>
      </c>
      <c r="AC60" s="43">
        <f>AB60/AA60</f>
        <v>1.1421744130807683</v>
      </c>
    </row>
    <row r="61" spans="1:29">
      <c r="A61" s="14" t="s">
        <v>171</v>
      </c>
      <c r="B61" s="14" t="s">
        <v>172</v>
      </c>
      <c r="C61" s="14" t="s">
        <v>173</v>
      </c>
      <c r="D61" s="14">
        <v>-0.96</v>
      </c>
      <c r="E61" s="14">
        <v>347.06274999999999</v>
      </c>
      <c r="F61" s="14">
        <v>10.443</v>
      </c>
      <c r="G61" s="30">
        <f>AVERAGE(L61:W61)</f>
        <v>45425610.280281819</v>
      </c>
      <c r="H61" s="30">
        <v>69056451.115647301</v>
      </c>
      <c r="I61" s="30" t="e">
        <f>G61/#REF!</f>
        <v>#REF!</v>
      </c>
      <c r="J61" s="30" t="e">
        <f>H61/#REF!</f>
        <v>#REF!</v>
      </c>
      <c r="K61" s="14">
        <v>87.6</v>
      </c>
      <c r="L61" s="30">
        <v>34629208.492898598</v>
      </c>
      <c r="M61" s="30">
        <v>56861925.946113102</v>
      </c>
      <c r="N61" s="30">
        <v>59031050.831725903</v>
      </c>
      <c r="O61" s="30">
        <v>69056451.115647301</v>
      </c>
      <c r="P61" s="30">
        <v>37396074.691629902</v>
      </c>
      <c r="Q61" s="30">
        <v>58396891.5984025</v>
      </c>
      <c r="R61" s="30">
        <v>59616155.316146001</v>
      </c>
      <c r="S61" s="30">
        <v>27682473.858295299</v>
      </c>
      <c r="T61" s="30">
        <v>20368698.520963799</v>
      </c>
      <c r="U61" s="30">
        <v>46671513.839816898</v>
      </c>
      <c r="V61" s="30">
        <v>42620054.422493704</v>
      </c>
      <c r="W61" s="30">
        <v>32776824.7292489</v>
      </c>
      <c r="X61" s="35">
        <f>AVERAGE(L61:N61)</f>
        <v>50174061.756912529</v>
      </c>
      <c r="Y61" s="35">
        <f>AVERAGE(O61:Q61)</f>
        <v>54949805.801893234</v>
      </c>
      <c r="Z61" s="41">
        <f>Y61/X61</f>
        <v>1.0951835246689541</v>
      </c>
      <c r="AA61" s="42">
        <f>AVERAGE(R61:T61)</f>
        <v>35889109.231801704</v>
      </c>
      <c r="AB61" s="42">
        <f>AVERAGE(U61:W61)</f>
        <v>40689464.330519833</v>
      </c>
      <c r="AC61" s="43">
        <f>AB61/AA61</f>
        <v>1.1337552032209395</v>
      </c>
    </row>
    <row r="62" spans="1:29">
      <c r="A62" s="14" t="s">
        <v>260</v>
      </c>
      <c r="B62" s="14" t="s">
        <v>261</v>
      </c>
      <c r="C62" s="14" t="s">
        <v>262</v>
      </c>
      <c r="D62" s="14">
        <v>0.13</v>
      </c>
      <c r="E62" s="14">
        <v>152.12012999999999</v>
      </c>
      <c r="F62" s="14">
        <v>8.1430000000000007</v>
      </c>
      <c r="G62" s="30">
        <f>AVERAGE(L62:W62)</f>
        <v>11204893.591004038</v>
      </c>
      <c r="H62" s="30">
        <v>44780143.699300401</v>
      </c>
      <c r="I62" s="30" t="e">
        <f>G62/#REF!</f>
        <v>#REF!</v>
      </c>
      <c r="J62" s="30" t="e">
        <f>H62/#REF!</f>
        <v>#REF!</v>
      </c>
      <c r="K62" s="14">
        <v>55.2</v>
      </c>
      <c r="L62" s="30">
        <v>18004337.006386898</v>
      </c>
      <c r="M62" s="30">
        <v>2120413.7210508301</v>
      </c>
      <c r="N62" s="30">
        <v>10313125.916269699</v>
      </c>
      <c r="O62" s="30">
        <v>22990906.806882601</v>
      </c>
      <c r="P62" s="30">
        <v>2294543.7539980202</v>
      </c>
      <c r="Q62" s="30">
        <v>2256381.1746610999</v>
      </c>
      <c r="R62" s="30">
        <v>16616908.966125701</v>
      </c>
      <c r="S62" s="30">
        <v>16014843.890031699</v>
      </c>
      <c r="T62" s="30">
        <v>3259752.5843895101</v>
      </c>
      <c r="U62" s="30">
        <v>10093589.043502999</v>
      </c>
      <c r="V62" s="30">
        <v>15626163.4931968</v>
      </c>
      <c r="W62" s="30">
        <v>14867756.7355526</v>
      </c>
      <c r="X62" s="35">
        <f>AVERAGE(L62:N62)</f>
        <v>10145958.881235808</v>
      </c>
      <c r="Y62" s="35">
        <f>AVERAGE(O62:Q62)</f>
        <v>9180610.5785139073</v>
      </c>
      <c r="Z62" s="41">
        <f>Y62/X62</f>
        <v>0.90485391139252103</v>
      </c>
      <c r="AA62" s="42">
        <f>AVERAGE(R62:T62)</f>
        <v>11963835.146848969</v>
      </c>
      <c r="AB62" s="42">
        <f>AVERAGE(U62:W62)</f>
        <v>13529169.757417468</v>
      </c>
      <c r="AC62" s="43">
        <f>AB62/AA62</f>
        <v>1.1308388649086976</v>
      </c>
    </row>
    <row r="63" spans="1:29">
      <c r="A63" s="14" t="s">
        <v>475</v>
      </c>
      <c r="B63" s="14" t="s">
        <v>476</v>
      </c>
      <c r="C63" s="14" t="s">
        <v>253</v>
      </c>
      <c r="D63" s="14">
        <v>-0.32</v>
      </c>
      <c r="E63" s="14">
        <v>143.09458000000001</v>
      </c>
      <c r="F63" s="14">
        <v>9.0129999999999999</v>
      </c>
      <c r="G63" s="30">
        <f>AVERAGE(L63:W63)</f>
        <v>1526012.6044468449</v>
      </c>
      <c r="H63" s="30">
        <v>3311496.4001366701</v>
      </c>
      <c r="I63" s="30" t="e">
        <f>G63/#REF!</f>
        <v>#REF!</v>
      </c>
      <c r="J63" s="30" t="e">
        <f>H63/#REF!</f>
        <v>#REF!</v>
      </c>
      <c r="K63" s="14">
        <v>64.599999999999994</v>
      </c>
      <c r="L63" s="30">
        <v>1174369.9175143801</v>
      </c>
      <c r="M63" s="30">
        <v>581126.51403481804</v>
      </c>
      <c r="N63" s="30">
        <v>833568.34641253797</v>
      </c>
      <c r="O63" s="30">
        <v>2779792.7803341202</v>
      </c>
      <c r="P63" s="30">
        <v>1945251.67753873</v>
      </c>
      <c r="Q63" s="30">
        <v>2488156.5590299601</v>
      </c>
      <c r="R63" s="30">
        <v>2042137.44582749</v>
      </c>
      <c r="S63" s="30">
        <v>769376.15421086398</v>
      </c>
      <c r="T63" s="30">
        <v>1198419.3992673799</v>
      </c>
      <c r="U63" s="30">
        <v>1371270.4107647</v>
      </c>
      <c r="V63" s="30">
        <v>1240812.44056218</v>
      </c>
      <c r="W63" s="30">
        <v>1887869.6078649799</v>
      </c>
      <c r="X63" s="35">
        <f>AVERAGE(L63:N63)</f>
        <v>863021.59265391203</v>
      </c>
      <c r="Y63" s="35">
        <f>AVERAGE(O63:Q63)</f>
        <v>2404400.3389676032</v>
      </c>
      <c r="Z63" s="41">
        <f>Y63/X63</f>
        <v>2.7860257025247028</v>
      </c>
      <c r="AA63" s="42">
        <f>AVERAGE(R63:T63)</f>
        <v>1336644.3331019112</v>
      </c>
      <c r="AB63" s="42">
        <f>AVERAGE(U63:W63)</f>
        <v>1499984.1530639532</v>
      </c>
      <c r="AC63" s="43">
        <f>AB63/AA63</f>
        <v>1.1222014083454677</v>
      </c>
    </row>
    <row r="64" spans="1:29">
      <c r="A64" s="14" t="s">
        <v>104</v>
      </c>
      <c r="B64" s="14" t="s">
        <v>105</v>
      </c>
      <c r="C64" s="14" t="s">
        <v>106</v>
      </c>
      <c r="D64" s="14">
        <v>-0.57999999999999996</v>
      </c>
      <c r="E64" s="14">
        <v>155.06939</v>
      </c>
      <c r="F64" s="14">
        <v>11.432</v>
      </c>
      <c r="G64" s="30">
        <f>AVERAGE(L64:W64)</f>
        <v>88901811.445253924</v>
      </c>
      <c r="H64" s="30">
        <v>164553538.112629</v>
      </c>
      <c r="I64" s="30" t="e">
        <f>G64/#REF!</f>
        <v>#REF!</v>
      </c>
      <c r="J64" s="30" t="e">
        <f>H64/#REF!</f>
        <v>#REF!</v>
      </c>
      <c r="K64" s="14">
        <v>93.5</v>
      </c>
      <c r="L64" s="30">
        <v>114047956.25128999</v>
      </c>
      <c r="M64" s="30">
        <v>95124283.627964303</v>
      </c>
      <c r="N64" s="30">
        <v>50137527.699653298</v>
      </c>
      <c r="O64" s="30">
        <v>86900024.306928098</v>
      </c>
      <c r="P64" s="30">
        <v>47621529.726130903</v>
      </c>
      <c r="Q64" s="30">
        <v>54464652.389718398</v>
      </c>
      <c r="R64" s="30">
        <v>81773987.359824896</v>
      </c>
      <c r="S64" s="30">
        <v>123961033.619164</v>
      </c>
      <c r="T64" s="30">
        <v>85870782.864021197</v>
      </c>
      <c r="U64" s="30">
        <v>164553538.112629</v>
      </c>
      <c r="V64" s="30">
        <v>83823721.633122504</v>
      </c>
      <c r="W64" s="30">
        <v>78542699.752600595</v>
      </c>
      <c r="X64" s="35">
        <f>AVERAGE(L64:N64)</f>
        <v>86436589.192969188</v>
      </c>
      <c r="Y64" s="35">
        <f>AVERAGE(O64:Q64)</f>
        <v>62995402.140925802</v>
      </c>
      <c r="Z64" s="41">
        <f>Y64/X64</f>
        <v>0.72880481204885272</v>
      </c>
      <c r="AA64" s="42">
        <f>AVERAGE(R64:T64)</f>
        <v>97201934.614336684</v>
      </c>
      <c r="AB64" s="42">
        <f>AVERAGE(U64:W64)</f>
        <v>108973319.83278404</v>
      </c>
      <c r="AC64" s="43">
        <f>AB64/AA64</f>
        <v>1.1211023758441856</v>
      </c>
    </row>
    <row r="65" spans="1:29">
      <c r="A65" s="14" t="s">
        <v>203</v>
      </c>
      <c r="B65" s="14" t="s">
        <v>204</v>
      </c>
      <c r="C65" s="14" t="s">
        <v>205</v>
      </c>
      <c r="D65" s="14">
        <v>-0.63</v>
      </c>
      <c r="E65" s="14">
        <v>70.07826</v>
      </c>
      <c r="F65" s="14">
        <v>1.9119999999999999</v>
      </c>
      <c r="G65" s="30">
        <f>AVERAGE(L65:W65)</f>
        <v>28144805.181950029</v>
      </c>
      <c r="H65" s="30">
        <v>48666699.7936676</v>
      </c>
      <c r="I65" s="30" t="e">
        <f>G65/#REF!</f>
        <v>#REF!</v>
      </c>
      <c r="J65" s="30" t="e">
        <f>H65/#REF!</f>
        <v>#REF!</v>
      </c>
      <c r="K65" s="14">
        <v>64.400000000000006</v>
      </c>
      <c r="L65" s="30">
        <v>25609279.573960401</v>
      </c>
      <c r="M65" s="30">
        <v>43413453.967006899</v>
      </c>
      <c r="N65" s="30">
        <v>27248387.713047799</v>
      </c>
      <c r="O65" s="30">
        <v>48666699.7936676</v>
      </c>
      <c r="P65" s="30">
        <v>30616650.8858677</v>
      </c>
      <c r="Q65" s="30">
        <v>31561433.0074577</v>
      </c>
      <c r="R65" s="30">
        <v>19374998.815434001</v>
      </c>
      <c r="S65" s="30">
        <v>23272879.335591301</v>
      </c>
      <c r="T65" s="30">
        <v>19564592.2664597</v>
      </c>
      <c r="U65" s="30">
        <v>19323175.869846899</v>
      </c>
      <c r="V65" s="30">
        <v>20761668.7465594</v>
      </c>
      <c r="W65" s="30">
        <v>28324442.208500899</v>
      </c>
      <c r="X65" s="35">
        <f>AVERAGE(L65:N65)</f>
        <v>32090373.751338366</v>
      </c>
      <c r="Y65" s="35">
        <f>AVERAGE(O65:Q65)</f>
        <v>36948261.22899767</v>
      </c>
      <c r="Z65" s="41">
        <f>Y65/X65</f>
        <v>1.15138145523957</v>
      </c>
      <c r="AA65" s="42">
        <f>AVERAGE(R65:T65)</f>
        <v>20737490.139161665</v>
      </c>
      <c r="AB65" s="42">
        <f>AVERAGE(U65:W65)</f>
        <v>22803095.6083024</v>
      </c>
      <c r="AC65" s="43">
        <f>AB65/AA65</f>
        <v>1.0996073032599034</v>
      </c>
    </row>
    <row r="66" spans="1:29">
      <c r="A66" s="14" t="s">
        <v>239</v>
      </c>
      <c r="B66" s="14" t="s">
        <v>240</v>
      </c>
      <c r="C66" s="14" t="s">
        <v>241</v>
      </c>
      <c r="D66" s="14">
        <v>-1.5</v>
      </c>
      <c r="E66" s="14">
        <v>324.03537999999998</v>
      </c>
      <c r="F66" s="14">
        <v>10.342000000000001</v>
      </c>
      <c r="G66" s="30">
        <f>AVERAGE(L66:W66)</f>
        <v>20261192.105929766</v>
      </c>
      <c r="H66" s="30">
        <v>28049981.434541401</v>
      </c>
      <c r="I66" s="30" t="e">
        <f>G66/#REF!</f>
        <v>#REF!</v>
      </c>
      <c r="J66" s="30" t="e">
        <f>H66/#REF!</f>
        <v>#REF!</v>
      </c>
      <c r="K66" s="14">
        <v>90.8</v>
      </c>
      <c r="L66" s="30">
        <v>11054483.0318968</v>
      </c>
      <c r="M66" s="30">
        <v>22136230.593531799</v>
      </c>
      <c r="N66" s="30">
        <v>23216611.808168299</v>
      </c>
      <c r="O66" s="30">
        <v>26863222.901180901</v>
      </c>
      <c r="P66" s="30">
        <v>14044733.8610132</v>
      </c>
      <c r="Q66" s="30">
        <v>28049981.434541401</v>
      </c>
      <c r="R66" s="30">
        <v>24991992.100645099</v>
      </c>
      <c r="S66" s="30">
        <v>19005246.206677899</v>
      </c>
      <c r="T66" s="30">
        <v>12309879.2587303</v>
      </c>
      <c r="U66" s="30">
        <v>23715162.3031452</v>
      </c>
      <c r="V66" s="30">
        <v>17334400.513746299</v>
      </c>
      <c r="W66" s="30">
        <v>20412361.257879999</v>
      </c>
      <c r="X66" s="35">
        <f>AVERAGE(L66:N66)</f>
        <v>18802441.811198965</v>
      </c>
      <c r="Y66" s="35">
        <f>AVERAGE(O66:Q66)</f>
        <v>22985979.398911834</v>
      </c>
      <c r="Z66" s="41">
        <f>Y66/X66</f>
        <v>1.2224996960352832</v>
      </c>
      <c r="AA66" s="42">
        <f>AVERAGE(R66:T66)</f>
        <v>18769039.18868443</v>
      </c>
      <c r="AB66" s="42">
        <f>AVERAGE(U66:W66)</f>
        <v>20487308.024923831</v>
      </c>
      <c r="AC66" s="43">
        <f>AB66/AA66</f>
        <v>1.0915480445730712</v>
      </c>
    </row>
    <row r="67" spans="1:29">
      <c r="A67" s="14" t="s">
        <v>75</v>
      </c>
      <c r="B67" s="14" t="s">
        <v>76</v>
      </c>
      <c r="C67" s="14" t="s">
        <v>77</v>
      </c>
      <c r="D67" s="14">
        <v>-1.04</v>
      </c>
      <c r="E67" s="14">
        <v>326.07044999999999</v>
      </c>
      <c r="F67" s="14">
        <v>0.89100000000000001</v>
      </c>
      <c r="G67" s="30">
        <f>AVERAGE(L67:W67)</f>
        <v>138140690.3435927</v>
      </c>
      <c r="H67" s="30">
        <v>198839992.719522</v>
      </c>
      <c r="I67" s="30" t="e">
        <f>G67/#REF!</f>
        <v>#REF!</v>
      </c>
      <c r="J67" s="30" t="e">
        <f>H67/#REF!</f>
        <v>#REF!</v>
      </c>
      <c r="K67" s="14">
        <v>92.3</v>
      </c>
      <c r="L67" s="30">
        <v>116689734.601427</v>
      </c>
      <c r="M67" s="30">
        <v>198839992.719522</v>
      </c>
      <c r="N67" s="30">
        <v>181307643.259615</v>
      </c>
      <c r="O67" s="30">
        <v>153588087.97249299</v>
      </c>
      <c r="P67" s="30">
        <v>165685639.56806999</v>
      </c>
      <c r="Q67" s="30">
        <v>155605932.71144399</v>
      </c>
      <c r="R67" s="30">
        <v>120105220.494096</v>
      </c>
      <c r="S67" s="30">
        <v>113292940.126811</v>
      </c>
      <c r="T67" s="30">
        <v>94830362.243171602</v>
      </c>
      <c r="U67" s="30">
        <v>118792079.48306499</v>
      </c>
      <c r="V67" s="30">
        <v>132871524.331598</v>
      </c>
      <c r="W67" s="30">
        <v>106079126.6118</v>
      </c>
      <c r="X67" s="35">
        <f>AVERAGE(L67:N67)</f>
        <v>165612456.86018801</v>
      </c>
      <c r="Y67" s="35">
        <f>AVERAGE(O67:Q67)</f>
        <v>158293220.08400235</v>
      </c>
      <c r="Z67" s="41">
        <f>Y67/X67</f>
        <v>0.95580503474829404</v>
      </c>
      <c r="AA67" s="42">
        <f>AVERAGE(R67:T67)</f>
        <v>109409507.62135954</v>
      </c>
      <c r="AB67" s="42">
        <f>AVERAGE(U67:W67)</f>
        <v>119247576.80882101</v>
      </c>
      <c r="AC67" s="43">
        <f>AB67/AA67</f>
        <v>1.0899196916369343</v>
      </c>
    </row>
    <row r="68" spans="1:29">
      <c r="A68" s="14" t="s">
        <v>61</v>
      </c>
      <c r="B68" s="14" t="s">
        <v>62</v>
      </c>
      <c r="C68" s="14" t="s">
        <v>63</v>
      </c>
      <c r="D68" s="14">
        <v>-0.51</v>
      </c>
      <c r="E68" s="14">
        <v>414.20402999999999</v>
      </c>
      <c r="F68" s="14">
        <v>0.98699999999999999</v>
      </c>
      <c r="G68" s="30">
        <f>AVERAGE(L68:W68)</f>
        <v>195106941.43454728</v>
      </c>
      <c r="H68" s="30">
        <v>288196364.64402002</v>
      </c>
      <c r="I68" s="30" t="e">
        <f>G68/#REF!</f>
        <v>#REF!</v>
      </c>
      <c r="J68" s="30" t="e">
        <f>H68/#REF!</f>
        <v>#REF!</v>
      </c>
      <c r="K68" s="14">
        <v>85.7</v>
      </c>
      <c r="L68" s="30">
        <v>168048902.33374</v>
      </c>
      <c r="M68" s="30">
        <v>215317847.272017</v>
      </c>
      <c r="N68" s="30">
        <v>209153567.95390499</v>
      </c>
      <c r="O68" s="30">
        <v>201139640.70319799</v>
      </c>
      <c r="P68" s="30">
        <v>288196364.64402002</v>
      </c>
      <c r="Q68" s="30">
        <v>192901754.68762001</v>
      </c>
      <c r="R68" s="30">
        <v>169251465.93058699</v>
      </c>
      <c r="S68" s="30">
        <v>173883711.611301</v>
      </c>
      <c r="T68" s="30">
        <v>169716146.55978</v>
      </c>
      <c r="U68" s="30">
        <v>177004387.44747901</v>
      </c>
      <c r="V68" s="30">
        <v>206388905.49195299</v>
      </c>
      <c r="W68" s="30">
        <v>170280602.57896701</v>
      </c>
      <c r="X68" s="35">
        <f>AVERAGE(L68:N68)</f>
        <v>197506772.51988733</v>
      </c>
      <c r="Y68" s="35">
        <f>AVERAGE(O68:Q68)</f>
        <v>227412586.67827937</v>
      </c>
      <c r="Z68" s="41">
        <f>Y68/X68</f>
        <v>1.1514166515752302</v>
      </c>
      <c r="AA68" s="42">
        <f>AVERAGE(R68:T68)</f>
        <v>170950441.36722267</v>
      </c>
      <c r="AB68" s="42">
        <f>AVERAGE(U68:W68)</f>
        <v>184557965.17279968</v>
      </c>
      <c r="AC68" s="43">
        <f>AB68/AA68</f>
        <v>1.0795992317817207</v>
      </c>
    </row>
    <row r="69" spans="1:29">
      <c r="A69" s="14" t="s">
        <v>183</v>
      </c>
      <c r="B69" s="14" t="s">
        <v>184</v>
      </c>
      <c r="C69" s="14" t="s">
        <v>185</v>
      </c>
      <c r="D69" s="14">
        <v>-1.04</v>
      </c>
      <c r="E69" s="14">
        <v>159.12576000000001</v>
      </c>
      <c r="F69" s="14">
        <v>2.4180000000000001</v>
      </c>
      <c r="G69" s="30">
        <f>AVERAGE(L69:W69)</f>
        <v>45331185.193115234</v>
      </c>
      <c r="H69" s="30">
        <v>68461807.4255348</v>
      </c>
      <c r="I69" s="30" t="e">
        <f>G69/#REF!</f>
        <v>#REF!</v>
      </c>
      <c r="J69" s="30" t="e">
        <f>H69/#REF!</f>
        <v>#REF!</v>
      </c>
      <c r="K69" s="14">
        <v>78.2</v>
      </c>
      <c r="L69" s="30">
        <v>25914812.2872422</v>
      </c>
      <c r="M69" s="30">
        <v>26123800.510021102</v>
      </c>
      <c r="N69" s="30">
        <v>33138556.262341499</v>
      </c>
      <c r="O69" s="30">
        <v>68461807.4255348</v>
      </c>
      <c r="P69" s="30">
        <v>35517551.394853599</v>
      </c>
      <c r="Q69" s="30">
        <v>23421122.8719276</v>
      </c>
      <c r="R69" s="30">
        <v>55173284.857042201</v>
      </c>
      <c r="S69" s="30">
        <v>55328795.745103702</v>
      </c>
      <c r="T69" s="30">
        <v>49066060.28977</v>
      </c>
      <c r="U69" s="30">
        <v>65838868.215032503</v>
      </c>
      <c r="V69" s="30">
        <v>47004013.842385098</v>
      </c>
      <c r="W69" s="30">
        <v>58985548.616128497</v>
      </c>
      <c r="X69" s="35">
        <f>AVERAGE(L69:N69)</f>
        <v>28392389.68653493</v>
      </c>
      <c r="Y69" s="35">
        <f>AVERAGE(O69:Q69)</f>
        <v>42466827.230772004</v>
      </c>
      <c r="Z69" s="41">
        <f>Y69/X69</f>
        <v>1.4957116220094664</v>
      </c>
      <c r="AA69" s="42">
        <f>AVERAGE(R69:T69)</f>
        <v>53189380.297305308</v>
      </c>
      <c r="AB69" s="42">
        <f>AVERAGE(U69:W69)</f>
        <v>57276143.557848699</v>
      </c>
      <c r="AC69" s="43">
        <f>AB69/AA69</f>
        <v>1.0768341958056322</v>
      </c>
    </row>
    <row r="70" spans="1:29">
      <c r="A70" s="14" t="s">
        <v>446</v>
      </c>
      <c r="B70" s="14" t="s">
        <v>446</v>
      </c>
      <c r="C70" s="14" t="s">
        <v>346</v>
      </c>
      <c r="D70" s="14">
        <v>-0.9</v>
      </c>
      <c r="E70" s="14">
        <v>275.11149</v>
      </c>
      <c r="F70" s="14">
        <v>10.461</v>
      </c>
      <c r="G70" s="30">
        <f>AVERAGE(L70:W70)</f>
        <v>2823889.2385588042</v>
      </c>
      <c r="H70" s="30">
        <v>4588256.0458211396</v>
      </c>
      <c r="I70" s="30" t="e">
        <f>G70/#REF!</f>
        <v>#REF!</v>
      </c>
      <c r="J70" s="30" t="e">
        <f>H70/#REF!</f>
        <v>#REF!</v>
      </c>
      <c r="K70" s="14">
        <v>77.2</v>
      </c>
      <c r="L70" s="30">
        <v>969754.49443608697</v>
      </c>
      <c r="M70" s="30">
        <v>4588256.0458211396</v>
      </c>
      <c r="N70" s="30">
        <v>3304870.1273962702</v>
      </c>
      <c r="O70" s="30">
        <v>2825413.79151589</v>
      </c>
      <c r="P70" s="30">
        <v>3023534.9575696201</v>
      </c>
      <c r="Q70" s="30">
        <v>850958.31779873697</v>
      </c>
      <c r="R70" s="30">
        <v>3202064.7507426701</v>
      </c>
      <c r="S70" s="30">
        <v>2753669.2329953099</v>
      </c>
      <c r="T70" s="30">
        <v>2875327.6756630801</v>
      </c>
      <c r="U70" s="30">
        <v>3090705.94699215</v>
      </c>
      <c r="V70" s="30">
        <v>2925969.3549483502</v>
      </c>
      <c r="W70" s="30">
        <v>3476146.1668263399</v>
      </c>
      <c r="X70" s="35">
        <f>AVERAGE(L70:N70)</f>
        <v>2954293.5558844991</v>
      </c>
      <c r="Y70" s="35">
        <f>AVERAGE(O70:Q70)</f>
        <v>2233302.3556280825</v>
      </c>
      <c r="Z70" s="41">
        <f>Y70/X70</f>
        <v>0.75595140204658651</v>
      </c>
      <c r="AA70" s="42">
        <f>AVERAGE(R70:T70)</f>
        <v>2943687.2198003531</v>
      </c>
      <c r="AB70" s="42">
        <f>AVERAGE(U70:W70)</f>
        <v>3164273.8229222801</v>
      </c>
      <c r="AC70" s="43">
        <f>AB70/AA70</f>
        <v>1.0749354760377319</v>
      </c>
    </row>
    <row r="71" spans="1:29">
      <c r="A71" s="14" t="s">
        <v>132</v>
      </c>
      <c r="B71" s="14" t="s">
        <v>133</v>
      </c>
      <c r="C71" s="14" t="s">
        <v>134</v>
      </c>
      <c r="D71" s="14">
        <v>-2.52</v>
      </c>
      <c r="E71" s="14">
        <v>122.03646999999999</v>
      </c>
      <c r="F71" s="14">
        <v>1.0289999999999999</v>
      </c>
      <c r="G71" s="30">
        <f>AVERAGE(L71:W71)</f>
        <v>62872777.516868241</v>
      </c>
      <c r="H71" s="30">
        <v>88784441.4650428</v>
      </c>
      <c r="I71" s="30" t="e">
        <f>G71/#REF!</f>
        <v>#REF!</v>
      </c>
      <c r="J71" s="30" t="e">
        <f>H71/#REF!</f>
        <v>#REF!</v>
      </c>
      <c r="K71" s="14">
        <v>94.6</v>
      </c>
      <c r="L71" s="30">
        <v>35630328.303159699</v>
      </c>
      <c r="M71" s="30">
        <v>44364527.617427103</v>
      </c>
      <c r="N71" s="30">
        <v>59776308.515642799</v>
      </c>
      <c r="O71" s="30">
        <v>48704905.519088097</v>
      </c>
      <c r="P71" s="30">
        <v>88784441.4650428</v>
      </c>
      <c r="Q71" s="30">
        <v>49129002.4266311</v>
      </c>
      <c r="R71" s="30">
        <v>69654085.897258893</v>
      </c>
      <c r="S71" s="30">
        <v>71746509.438563898</v>
      </c>
      <c r="T71" s="30">
        <v>65638420.488808498</v>
      </c>
      <c r="U71" s="30">
        <v>68199066.365986899</v>
      </c>
      <c r="V71" s="30">
        <v>76205378.258886203</v>
      </c>
      <c r="W71" s="30">
        <v>76640355.905922994</v>
      </c>
      <c r="X71" s="35">
        <f>AVERAGE(L71:N71)</f>
        <v>46590388.14540986</v>
      </c>
      <c r="Y71" s="35">
        <f>AVERAGE(O71:Q71)</f>
        <v>62206116.470253997</v>
      </c>
      <c r="Z71" s="41">
        <f>Y71/X71</f>
        <v>1.3351705994830312</v>
      </c>
      <c r="AA71" s="42">
        <f>AVERAGE(R71:T71)</f>
        <v>69013005.274877086</v>
      </c>
      <c r="AB71" s="42">
        <f>AVERAGE(U71:W71)</f>
        <v>73681600.176932037</v>
      </c>
      <c r="AC71" s="43">
        <f>AB71/AA71</f>
        <v>1.0676480452265491</v>
      </c>
    </row>
    <row r="72" spans="1:29">
      <c r="A72" s="14" t="s">
        <v>519</v>
      </c>
      <c r="B72" s="14" t="s">
        <v>520</v>
      </c>
      <c r="C72" s="14" t="s">
        <v>521</v>
      </c>
      <c r="D72" s="14">
        <v>1.54</v>
      </c>
      <c r="E72" s="14">
        <v>136.06356</v>
      </c>
      <c r="F72" s="14">
        <v>9.9610000000000003</v>
      </c>
      <c r="G72" s="30">
        <f>AVERAGE(L72:W72)</f>
        <v>81173.00486244011</v>
      </c>
      <c r="H72" s="30">
        <v>348209.27993752301</v>
      </c>
      <c r="I72" s="30" t="e">
        <f>G72/#REF!</f>
        <v>#REF!</v>
      </c>
      <c r="J72" s="30" t="e">
        <f>H72/#REF!</f>
        <v>#REF!</v>
      </c>
      <c r="K72" s="14">
        <v>78.3</v>
      </c>
      <c r="L72" s="30">
        <v>43931.246617632503</v>
      </c>
      <c r="M72" s="30">
        <v>52198.724504900601</v>
      </c>
      <c r="N72" s="30">
        <v>54255.928094714902</v>
      </c>
      <c r="O72" s="30">
        <v>51455.835329298301</v>
      </c>
      <c r="P72" s="30">
        <v>46129.095763047997</v>
      </c>
      <c r="Q72" s="30">
        <v>348209.27993752301</v>
      </c>
      <c r="R72" s="30">
        <v>57175.018217285702</v>
      </c>
      <c r="S72" s="30">
        <v>60507.685938622199</v>
      </c>
      <c r="T72" s="30">
        <v>65086.686179163698</v>
      </c>
      <c r="U72" s="30">
        <v>69547.755521098006</v>
      </c>
      <c r="V72" s="30">
        <v>60404.131600975903</v>
      </c>
      <c r="W72" s="30">
        <v>65174.670645018399</v>
      </c>
      <c r="X72" s="35">
        <f>AVERAGE(L72:N72)</f>
        <v>50128.633072416007</v>
      </c>
      <c r="Y72" s="35">
        <f>AVERAGE(O72:Q72)</f>
        <v>148598.07034328976</v>
      </c>
      <c r="Z72" s="41">
        <f>Y72/X72</f>
        <v>2.9643351760385017</v>
      </c>
      <c r="AA72" s="42">
        <f>AVERAGE(R72:T72)</f>
        <v>60923.130111690531</v>
      </c>
      <c r="AB72" s="42">
        <f>AVERAGE(U72:W72)</f>
        <v>65042.1859223641</v>
      </c>
      <c r="AC72" s="43">
        <f>AB72/AA72</f>
        <v>1.0676107055419197</v>
      </c>
    </row>
    <row r="73" spans="1:29">
      <c r="A73" s="14" t="s">
        <v>174</v>
      </c>
      <c r="B73" s="14" t="s">
        <v>175</v>
      </c>
      <c r="C73" s="14" t="s">
        <v>176</v>
      </c>
      <c r="D73" s="14">
        <v>-0.25</v>
      </c>
      <c r="E73" s="14">
        <v>137.08403000000001</v>
      </c>
      <c r="F73" s="14">
        <v>1.893</v>
      </c>
      <c r="G73" s="30">
        <f>AVERAGE(L73:W73)</f>
        <v>43981611.452455789</v>
      </c>
      <c r="H73" s="30">
        <v>64639895.461832799</v>
      </c>
      <c r="I73" s="30" t="e">
        <f>G73/#REF!</f>
        <v>#REF!</v>
      </c>
      <c r="J73" s="30" t="e">
        <f>H73/#REF!</f>
        <v>#REF!</v>
      </c>
      <c r="K73" s="14">
        <v>74.900000000000006</v>
      </c>
      <c r="L73" s="30">
        <v>35612650.679332703</v>
      </c>
      <c r="M73" s="30">
        <v>64639895.461832799</v>
      </c>
      <c r="N73" s="30">
        <v>55538682.976026803</v>
      </c>
      <c r="O73" s="30">
        <v>42717442.349331103</v>
      </c>
      <c r="P73" s="30">
        <v>41963347.694950603</v>
      </c>
      <c r="Q73" s="30">
        <v>55442204.288178802</v>
      </c>
      <c r="R73" s="30">
        <v>19187325.8793718</v>
      </c>
      <c r="S73" s="30">
        <v>46337853.715702698</v>
      </c>
      <c r="T73" s="30">
        <v>47055028.652799599</v>
      </c>
      <c r="U73" s="30">
        <v>30738797.964579999</v>
      </c>
      <c r="V73" s="30">
        <v>40341734.636041097</v>
      </c>
      <c r="W73" s="30">
        <v>48204373.1313214</v>
      </c>
      <c r="X73" s="35">
        <f>AVERAGE(L73:N73)</f>
        <v>51930409.705730766</v>
      </c>
      <c r="Y73" s="35">
        <f>AVERAGE(O73:Q73)</f>
        <v>46707664.777486838</v>
      </c>
      <c r="Z73" s="41">
        <f>Y73/X73</f>
        <v>0.8994280045576537</v>
      </c>
      <c r="AA73" s="42">
        <f>AVERAGE(R73:T73)</f>
        <v>37526736.082624696</v>
      </c>
      <c r="AB73" s="42">
        <f>AVERAGE(U73:W73)</f>
        <v>39761635.243980832</v>
      </c>
      <c r="AC73" s="43">
        <f>AB73/AA73</f>
        <v>1.0595548506119858</v>
      </c>
    </row>
    <row r="74" spans="1:29">
      <c r="A74" s="14" t="s">
        <v>64</v>
      </c>
      <c r="B74" s="14" t="s">
        <v>65</v>
      </c>
      <c r="C74" s="14" t="s">
        <v>66</v>
      </c>
      <c r="D74" s="14">
        <v>-3.08</v>
      </c>
      <c r="E74" s="14">
        <v>90.031419999999997</v>
      </c>
      <c r="F74" s="14">
        <v>1.276</v>
      </c>
      <c r="G74" s="30">
        <f>AVERAGE(L74:W74)</f>
        <v>193585266.20045543</v>
      </c>
      <c r="H74" s="30">
        <v>267865912.88649699</v>
      </c>
      <c r="I74" s="30" t="e">
        <f>G74/#REF!</f>
        <v>#REF!</v>
      </c>
      <c r="J74" s="30" t="e">
        <f>H74/#REF!</f>
        <v>#REF!</v>
      </c>
      <c r="K74" s="14">
        <v>73.099999999999994</v>
      </c>
      <c r="L74" s="30">
        <v>196909326.622504</v>
      </c>
      <c r="M74" s="30">
        <v>241791956.57488999</v>
      </c>
      <c r="N74" s="30">
        <v>198639648.77585301</v>
      </c>
      <c r="O74" s="30">
        <v>262714705.791888</v>
      </c>
      <c r="P74" s="30">
        <v>191925416.78176099</v>
      </c>
      <c r="Q74" s="30">
        <v>174552734.19880399</v>
      </c>
      <c r="R74" s="30">
        <v>117390428.567194</v>
      </c>
      <c r="S74" s="30">
        <v>188841412.974518</v>
      </c>
      <c r="T74" s="30">
        <v>207999491.44109499</v>
      </c>
      <c r="U74" s="30">
        <v>233982425.64814699</v>
      </c>
      <c r="V74" s="30">
        <v>170826923.04606301</v>
      </c>
      <c r="W74" s="30">
        <v>137448723.982748</v>
      </c>
      <c r="X74" s="35">
        <f>AVERAGE(L74:N74)</f>
        <v>212446977.32441568</v>
      </c>
      <c r="Y74" s="35">
        <f>AVERAGE(O74:Q74)</f>
        <v>209730952.25748432</v>
      </c>
      <c r="Z74" s="41">
        <f>Y74/X74</f>
        <v>0.98721551560235243</v>
      </c>
      <c r="AA74" s="42">
        <f>AVERAGE(R74:T74)</f>
        <v>171410444.32760233</v>
      </c>
      <c r="AB74" s="42">
        <f>AVERAGE(U74:W74)</f>
        <v>180752690.89231932</v>
      </c>
      <c r="AC74" s="43">
        <f>AB74/AA74</f>
        <v>1.0545022014344818</v>
      </c>
    </row>
    <row r="75" spans="1:29">
      <c r="A75" s="14" t="s">
        <v>499</v>
      </c>
      <c r="B75" s="14" t="s">
        <v>500</v>
      </c>
      <c r="C75" s="14" t="s">
        <v>501</v>
      </c>
      <c r="D75" s="14">
        <v>4.33</v>
      </c>
      <c r="E75" s="14">
        <v>114.03219</v>
      </c>
      <c r="F75" s="14">
        <v>1.1259999999999999</v>
      </c>
      <c r="G75" s="30">
        <f>AVERAGE(L75:W75)</f>
        <v>758203.13586385502</v>
      </c>
      <c r="H75" s="30">
        <v>1707268.1827473701</v>
      </c>
      <c r="I75" s="30" t="e">
        <f>G75/#REF!</f>
        <v>#REF!</v>
      </c>
      <c r="J75" s="30" t="e">
        <f>H75/#REF!</f>
        <v>#REF!</v>
      </c>
      <c r="K75" s="14">
        <v>83.1</v>
      </c>
      <c r="L75" s="30">
        <v>440603.54384404601</v>
      </c>
      <c r="M75" s="30">
        <v>926847.23767339496</v>
      </c>
      <c r="N75" s="30">
        <v>575180.10224411101</v>
      </c>
      <c r="O75" s="30">
        <v>748909.61845690804</v>
      </c>
      <c r="P75" s="30">
        <v>977936.47363128001</v>
      </c>
      <c r="Q75" s="30">
        <v>1707268.1827473701</v>
      </c>
      <c r="R75" s="30">
        <v>211904.11757315201</v>
      </c>
      <c r="S75" s="30">
        <v>254666.22925225901</v>
      </c>
      <c r="T75" s="30">
        <v>1346351.1449525901</v>
      </c>
      <c r="U75" s="30">
        <v>561045.21125397901</v>
      </c>
      <c r="V75" s="30">
        <v>860455.89616632205</v>
      </c>
      <c r="W75" s="30">
        <v>487269.87257084798</v>
      </c>
      <c r="X75" s="35">
        <f>AVERAGE(L75:N75)</f>
        <v>647543.62792051735</v>
      </c>
      <c r="Y75" s="35">
        <f>AVERAGE(O75:Q75)</f>
        <v>1144704.7582785194</v>
      </c>
      <c r="Z75" s="41">
        <f>Y75/X75</f>
        <v>1.7677646863031535</v>
      </c>
      <c r="AA75" s="42">
        <f>AVERAGE(R75:T75)</f>
        <v>604307.16392600036</v>
      </c>
      <c r="AB75" s="42">
        <f>AVERAGE(U75:W75)</f>
        <v>636256.99333038309</v>
      </c>
      <c r="AC75" s="43">
        <f>AB75/AA75</f>
        <v>1.0528701814435135</v>
      </c>
    </row>
    <row r="76" spans="1:29">
      <c r="A76" s="14" t="s">
        <v>419</v>
      </c>
      <c r="B76" s="14" t="s">
        <v>420</v>
      </c>
      <c r="C76" s="14" t="s">
        <v>421</v>
      </c>
      <c r="D76" s="14">
        <v>-0.55000000000000004</v>
      </c>
      <c r="E76" s="14">
        <v>202.14286000000001</v>
      </c>
      <c r="F76" s="14">
        <v>9.891</v>
      </c>
      <c r="G76" s="30">
        <f>AVERAGE(L76:W76)</f>
        <v>4761509.5758913821</v>
      </c>
      <c r="H76" s="30">
        <v>10445850.9399738</v>
      </c>
      <c r="I76" s="30" t="e">
        <f>G76/#REF!</f>
        <v>#REF!</v>
      </c>
      <c r="J76" s="30" t="e">
        <f>H76/#REF!</f>
        <v>#REF!</v>
      </c>
      <c r="K76" s="14">
        <v>83.1</v>
      </c>
      <c r="L76" s="30">
        <v>2389632.7370367302</v>
      </c>
      <c r="M76" s="30">
        <v>5109890.3368363101</v>
      </c>
      <c r="N76" s="30">
        <v>4619687.8953585401</v>
      </c>
      <c r="O76" s="30">
        <v>3150235.4748490602</v>
      </c>
      <c r="P76" s="30">
        <v>1645498.10059106</v>
      </c>
      <c r="Q76" s="30">
        <v>3899729.9118527099</v>
      </c>
      <c r="R76" s="30">
        <v>4377227.0517104296</v>
      </c>
      <c r="S76" s="30">
        <v>8703379.9344940707</v>
      </c>
      <c r="T76" s="30">
        <v>4658523.3166409396</v>
      </c>
      <c r="U76" s="30">
        <v>10445850.9399738</v>
      </c>
      <c r="V76" s="30">
        <v>5173744.5100457296</v>
      </c>
      <c r="W76" s="30">
        <v>2964714.7013071999</v>
      </c>
      <c r="X76" s="35">
        <f>AVERAGE(L76:N76)</f>
        <v>4039736.98974386</v>
      </c>
      <c r="Y76" s="35">
        <f>AVERAGE(O76:Q76)</f>
        <v>2898487.82909761</v>
      </c>
      <c r="Z76" s="41">
        <f>Y76/X76</f>
        <v>0.71749419243290613</v>
      </c>
      <c r="AA76" s="42">
        <f>AVERAGE(R76:T76)</f>
        <v>5913043.4342818139</v>
      </c>
      <c r="AB76" s="42">
        <f>AVERAGE(U76:W76)</f>
        <v>6194770.0504422439</v>
      </c>
      <c r="AC76" s="43">
        <f>AB76/AA76</f>
        <v>1.0476449427932619</v>
      </c>
    </row>
    <row r="77" spans="1:29">
      <c r="A77" s="14" t="s">
        <v>332</v>
      </c>
      <c r="B77" s="14" t="s">
        <v>333</v>
      </c>
      <c r="C77" s="14" t="s">
        <v>334</v>
      </c>
      <c r="D77" s="14">
        <v>-2.72</v>
      </c>
      <c r="E77" s="14">
        <v>118.02629</v>
      </c>
      <c r="F77" s="14">
        <v>1.212</v>
      </c>
      <c r="G77" s="30">
        <f>AVERAGE(L77:W77)</f>
        <v>9372024.6960151866</v>
      </c>
      <c r="H77" s="30">
        <v>17087223.679749899</v>
      </c>
      <c r="I77" s="30" t="e">
        <f>G77/#REF!</f>
        <v>#REF!</v>
      </c>
      <c r="J77" s="30" t="e">
        <f>H77/#REF!</f>
        <v>#REF!</v>
      </c>
      <c r="K77" s="14">
        <v>96</v>
      </c>
      <c r="L77" s="30">
        <v>4511613.6319422098</v>
      </c>
      <c r="M77" s="30">
        <v>17087223.679749899</v>
      </c>
      <c r="N77" s="30">
        <v>11183618.106102699</v>
      </c>
      <c r="O77" s="30">
        <v>13035173.654917</v>
      </c>
      <c r="P77" s="30">
        <v>6348900.6135638095</v>
      </c>
      <c r="Q77" s="30">
        <v>8059353.2789532105</v>
      </c>
      <c r="R77" s="30">
        <v>12322217.9922549</v>
      </c>
      <c r="S77" s="30">
        <v>6612857.7595529398</v>
      </c>
      <c r="T77" s="30">
        <v>6700603.30598344</v>
      </c>
      <c r="U77" s="30">
        <v>9565890.0790564306</v>
      </c>
      <c r="V77" s="30">
        <v>8536027.5463584196</v>
      </c>
      <c r="W77" s="30">
        <v>8500816.7037472799</v>
      </c>
      <c r="X77" s="35">
        <f>AVERAGE(L77:N77)</f>
        <v>10927485.139264936</v>
      </c>
      <c r="Y77" s="35">
        <f>AVERAGE(O77:Q77)</f>
        <v>9147809.1824780051</v>
      </c>
      <c r="Z77" s="41">
        <f>Y77/X77</f>
        <v>0.8371376456608346</v>
      </c>
      <c r="AA77" s="42">
        <f>AVERAGE(R77:T77)</f>
        <v>8545226.3525970932</v>
      </c>
      <c r="AB77" s="42">
        <f>AVERAGE(U77:W77)</f>
        <v>8867578.1097207088</v>
      </c>
      <c r="AC77" s="43">
        <f>AB77/AA77</f>
        <v>1.0377230214651536</v>
      </c>
    </row>
    <row r="78" spans="1:29">
      <c r="A78" s="29" t="s">
        <v>37</v>
      </c>
      <c r="B78" s="29" t="s">
        <v>38</v>
      </c>
      <c r="C78" s="14" t="s">
        <v>39</v>
      </c>
      <c r="D78" s="14">
        <v>-0.7</v>
      </c>
      <c r="E78" s="14">
        <v>149.10508999999999</v>
      </c>
      <c r="F78" s="14">
        <v>4.55</v>
      </c>
      <c r="G78" s="30">
        <f>AVERAGE(L78:W78)</f>
        <v>2392013050.0729218</v>
      </c>
      <c r="H78" s="30">
        <v>4102675272.0875902</v>
      </c>
      <c r="I78" s="30" t="e">
        <f>G78/#REF!</f>
        <v>#REF!</v>
      </c>
      <c r="J78" s="30" t="e">
        <f>H78/#REF!</f>
        <v>#REF!</v>
      </c>
      <c r="K78" s="14">
        <v>98.2</v>
      </c>
      <c r="L78" s="30">
        <v>4102675272.0875902</v>
      </c>
      <c r="M78" s="30">
        <v>2554471606.2761502</v>
      </c>
      <c r="N78" s="30">
        <v>2118775477.6825399</v>
      </c>
      <c r="O78" s="30">
        <v>3327847890.9284701</v>
      </c>
      <c r="P78" s="30">
        <v>1958306902.81846</v>
      </c>
      <c r="Q78" s="30">
        <v>2278839287.3258901</v>
      </c>
      <c r="R78" s="30">
        <v>1355259442.2293301</v>
      </c>
      <c r="S78" s="30">
        <v>2342904990.7063999</v>
      </c>
      <c r="T78" s="30">
        <v>2376480872.2794099</v>
      </c>
      <c r="U78" s="30">
        <v>2282814802.8452301</v>
      </c>
      <c r="V78" s="30">
        <v>2285546156.4568501</v>
      </c>
      <c r="W78" s="30">
        <v>1720233899.23874</v>
      </c>
      <c r="X78" s="35">
        <f>AVERAGE(L78:N78)</f>
        <v>2925307452.0154266</v>
      </c>
      <c r="Y78" s="35">
        <f>AVERAGE(O78:Q78)</f>
        <v>2521664693.6909404</v>
      </c>
      <c r="Z78" s="41">
        <f>Y78/X78</f>
        <v>0.86201697943018207</v>
      </c>
      <c r="AA78" s="42">
        <f>AVERAGE(R78:T78)</f>
        <v>2024881768.4050465</v>
      </c>
      <c r="AB78" s="42">
        <f>AVERAGE(U78:W78)</f>
        <v>2096198286.1802733</v>
      </c>
      <c r="AC78" s="43">
        <f>AB78/AA78</f>
        <v>1.0352200898284551</v>
      </c>
    </row>
    <row r="79" spans="1:29">
      <c r="A79" s="14" t="s">
        <v>338</v>
      </c>
      <c r="B79" s="14" t="s">
        <v>339</v>
      </c>
      <c r="C79" s="14" t="s">
        <v>340</v>
      </c>
      <c r="D79" s="14">
        <v>-1.27</v>
      </c>
      <c r="E79" s="14">
        <v>272.23480000000001</v>
      </c>
      <c r="F79" s="14">
        <v>0.97</v>
      </c>
      <c r="G79" s="30">
        <f>AVERAGE(L79:W79)</f>
        <v>9258208.3942528889</v>
      </c>
      <c r="H79" s="30">
        <v>19210076.978539299</v>
      </c>
      <c r="I79" s="30" t="e">
        <f>G79/#REF!</f>
        <v>#REF!</v>
      </c>
      <c r="J79" s="30" t="e">
        <f>H79/#REF!</f>
        <v>#REF!</v>
      </c>
      <c r="K79" s="14">
        <v>67</v>
      </c>
      <c r="L79" s="30">
        <v>9877927.8386534099</v>
      </c>
      <c r="M79" s="30">
        <v>17142342.993216</v>
      </c>
      <c r="N79" s="30">
        <v>19210076.978539299</v>
      </c>
      <c r="O79" s="30">
        <v>9920387.5131844208</v>
      </c>
      <c r="P79" s="30">
        <v>8250952.0593027603</v>
      </c>
      <c r="Q79" s="30">
        <v>8653956.1719418205</v>
      </c>
      <c r="R79" s="30">
        <v>7481712.4400224397</v>
      </c>
      <c r="S79" s="30">
        <v>6540085.9043721799</v>
      </c>
      <c r="T79" s="30">
        <v>4685932.0737107098</v>
      </c>
      <c r="U79" s="30">
        <v>6923042.8666875204</v>
      </c>
      <c r="V79" s="30">
        <v>6343759.66725381</v>
      </c>
      <c r="W79" s="30">
        <v>6068324.2241502898</v>
      </c>
      <c r="X79" s="35">
        <f>AVERAGE(L79:N79)</f>
        <v>15410115.936802903</v>
      </c>
      <c r="Y79" s="35">
        <f>AVERAGE(O79:Q79)</f>
        <v>8941765.2481430005</v>
      </c>
      <c r="Z79" s="41">
        <f>Y79/X79</f>
        <v>0.58025295103640373</v>
      </c>
      <c r="AA79" s="42">
        <f>AVERAGE(R79:T79)</f>
        <v>6235910.1393684437</v>
      </c>
      <c r="AB79" s="42">
        <f>AVERAGE(U79:W79)</f>
        <v>6445042.252697207</v>
      </c>
      <c r="AC79" s="43">
        <f>AB79/AA79</f>
        <v>1.0335367426173245</v>
      </c>
    </row>
    <row r="80" spans="1:29">
      <c r="A80" s="14" t="s">
        <v>389</v>
      </c>
      <c r="B80" s="14" t="s">
        <v>390</v>
      </c>
      <c r="C80" s="14" t="s">
        <v>391</v>
      </c>
      <c r="D80" s="14">
        <v>-0.28000000000000003</v>
      </c>
      <c r="E80" s="14">
        <v>114.11566999999999</v>
      </c>
      <c r="F80" s="14">
        <v>4.0229999999999997</v>
      </c>
      <c r="G80" s="30">
        <f>AVERAGE(L80:W80)</f>
        <v>6920849.0187203251</v>
      </c>
      <c r="H80" s="30">
        <v>20432071.634922899</v>
      </c>
      <c r="I80" s="30" t="e">
        <f>G80/#REF!</f>
        <v>#REF!</v>
      </c>
      <c r="J80" s="30" t="e">
        <f>H80/#REF!</f>
        <v>#REF!</v>
      </c>
      <c r="K80" s="14">
        <v>78.900000000000006</v>
      </c>
      <c r="L80" s="30">
        <v>344514.11637533997</v>
      </c>
      <c r="M80" s="30">
        <v>401749.65229974099</v>
      </c>
      <c r="N80" s="30">
        <v>330234.334079783</v>
      </c>
      <c r="O80" s="30">
        <v>258473.93172847101</v>
      </c>
      <c r="P80" s="30">
        <v>327775.74456116598</v>
      </c>
      <c r="Q80" s="30">
        <v>545367.75724400999</v>
      </c>
      <c r="R80" s="30">
        <v>13552739.497944901</v>
      </c>
      <c r="S80" s="30">
        <v>5854283.9360424001</v>
      </c>
      <c r="T80" s="30">
        <v>20432071.634922899</v>
      </c>
      <c r="U80" s="30">
        <v>12157463.983210901</v>
      </c>
      <c r="V80" s="30">
        <v>15099842.9089818</v>
      </c>
      <c r="W80" s="30">
        <v>13745670.7272525</v>
      </c>
      <c r="X80" s="35">
        <f>AVERAGE(L80:N80)</f>
        <v>358832.70091828797</v>
      </c>
      <c r="Y80" s="35">
        <f>AVERAGE(O80:Q80)</f>
        <v>377205.81117788237</v>
      </c>
      <c r="Z80" s="41">
        <f>Y80/X80</f>
        <v>1.0512024411726573</v>
      </c>
      <c r="AA80" s="42">
        <f>AVERAGE(R80:T80)</f>
        <v>13279698.356303399</v>
      </c>
      <c r="AB80" s="42">
        <f>AVERAGE(U80:W80)</f>
        <v>13667659.206481732</v>
      </c>
      <c r="AC80" s="43">
        <f>AB80/AA80</f>
        <v>1.0292145830250867</v>
      </c>
    </row>
    <row r="81" spans="1:29">
      <c r="A81" s="14" t="s">
        <v>215</v>
      </c>
      <c r="B81" s="14" t="s">
        <v>216</v>
      </c>
      <c r="C81" s="14" t="s">
        <v>217</v>
      </c>
      <c r="D81" s="14">
        <v>0.01</v>
      </c>
      <c r="E81" s="14">
        <v>119.05824</v>
      </c>
      <c r="F81" s="14">
        <v>8.7899999999999991</v>
      </c>
      <c r="G81" s="30">
        <f>AVERAGE(L81:W81)</f>
        <v>25181703.841203675</v>
      </c>
      <c r="H81" s="30">
        <v>32657241.837154299</v>
      </c>
      <c r="I81" s="30" t="e">
        <f>G81/#REF!</f>
        <v>#REF!</v>
      </c>
      <c r="J81" s="30" t="e">
        <f>H81/#REF!</f>
        <v>#REF!</v>
      </c>
      <c r="K81" s="14">
        <v>63.3</v>
      </c>
      <c r="L81" s="30">
        <v>20024490.723409999</v>
      </c>
      <c r="M81" s="30">
        <v>30389876.035705</v>
      </c>
      <c r="N81" s="30">
        <v>15733147.7875004</v>
      </c>
      <c r="O81" s="30">
        <v>27566702.808521502</v>
      </c>
      <c r="P81" s="30">
        <v>12930750.6020985</v>
      </c>
      <c r="Q81" s="30">
        <v>27214804.422330499</v>
      </c>
      <c r="R81" s="30">
        <v>25050144.262051102</v>
      </c>
      <c r="S81" s="30">
        <v>29647833.9484406</v>
      </c>
      <c r="T81" s="30">
        <v>28389455.089140899</v>
      </c>
      <c r="U81" s="30">
        <v>32657241.837154299</v>
      </c>
      <c r="V81" s="30">
        <v>26470280.2587726</v>
      </c>
      <c r="W81" s="30">
        <v>26105718.319318701</v>
      </c>
      <c r="X81" s="35">
        <f>AVERAGE(L81:N81)</f>
        <v>22049171.515538465</v>
      </c>
      <c r="Y81" s="35">
        <f>AVERAGE(O81:Q81)</f>
        <v>22570752.610983502</v>
      </c>
      <c r="Z81" s="41">
        <f>Y81/X81</f>
        <v>1.0236553602514031</v>
      </c>
      <c r="AA81" s="42">
        <f>AVERAGE(R81:T81)</f>
        <v>27695811.099877536</v>
      </c>
      <c r="AB81" s="42">
        <f>AVERAGE(U81:W81)</f>
        <v>28411080.138415199</v>
      </c>
      <c r="AC81" s="43">
        <f>AB81/AA81</f>
        <v>1.0258258924412156</v>
      </c>
    </row>
    <row r="82" spans="1:29">
      <c r="A82" s="29" t="s">
        <v>43</v>
      </c>
      <c r="B82" s="29" t="s">
        <v>44</v>
      </c>
      <c r="C82" s="14" t="s">
        <v>45</v>
      </c>
      <c r="D82" s="14">
        <v>-0.17</v>
      </c>
      <c r="E82" s="14">
        <v>129.04257000000001</v>
      </c>
      <c r="F82" s="14">
        <v>8.6890000000000001</v>
      </c>
      <c r="G82" s="30">
        <f>AVERAGE(L82:W82)</f>
        <v>1537829854.2839301</v>
      </c>
      <c r="H82" s="30">
        <v>2569280619.7709398</v>
      </c>
      <c r="I82" s="30" t="e">
        <f>G82/#REF!</f>
        <v>#REF!</v>
      </c>
      <c r="J82" s="30" t="e">
        <f>H82/#REF!</f>
        <v>#REF!</v>
      </c>
      <c r="K82" s="14">
        <v>83.6</v>
      </c>
      <c r="L82" s="30">
        <v>369945936.97800303</v>
      </c>
      <c r="M82" s="30">
        <v>1366871395.9507</v>
      </c>
      <c r="N82" s="30">
        <v>1694803899.7874401</v>
      </c>
      <c r="O82" s="30">
        <v>2079724783.7212701</v>
      </c>
      <c r="P82" s="30">
        <v>2569280619.7709398</v>
      </c>
      <c r="Q82" s="30">
        <v>922802491.89350104</v>
      </c>
      <c r="R82" s="30">
        <v>1496566560.4488499</v>
      </c>
      <c r="S82" s="30">
        <v>2247178792.8566899</v>
      </c>
      <c r="T82" s="30">
        <v>924324495.96684396</v>
      </c>
      <c r="U82" s="30">
        <v>1660685069.36325</v>
      </c>
      <c r="V82" s="30">
        <v>1318603606.9558499</v>
      </c>
      <c r="W82" s="30">
        <v>1803170597.71382</v>
      </c>
      <c r="X82" s="35">
        <f>AVERAGE(L82:N82)</f>
        <v>1143873744.2387145</v>
      </c>
      <c r="Y82" s="35">
        <f>AVERAGE(O82:Q82)</f>
        <v>1857269298.4619038</v>
      </c>
      <c r="Z82" s="41">
        <f>Y82/X82</f>
        <v>1.6236663423881432</v>
      </c>
      <c r="AA82" s="42">
        <f>AVERAGE(R82:T82)</f>
        <v>1556023283.0907946</v>
      </c>
      <c r="AB82" s="42">
        <f>AVERAGE(U82:W82)</f>
        <v>1594153091.3443067</v>
      </c>
      <c r="AC82" s="43">
        <f>AB82/AA82</f>
        <v>1.024504651484246</v>
      </c>
    </row>
    <row r="83" spans="1:29">
      <c r="A83" s="14" t="s">
        <v>356</v>
      </c>
      <c r="B83" s="14" t="s">
        <v>357</v>
      </c>
      <c r="C83" s="14" t="s">
        <v>358</v>
      </c>
      <c r="D83" s="14">
        <v>0.16</v>
      </c>
      <c r="E83" s="14">
        <v>132.05753999999999</v>
      </c>
      <c r="F83" s="14">
        <v>1.0149999999999999</v>
      </c>
      <c r="G83" s="30">
        <f>AVERAGE(L83:W83)</f>
        <v>7345460.7838101806</v>
      </c>
      <c r="H83" s="30">
        <v>10654954.570931099</v>
      </c>
      <c r="I83" s="30" t="e">
        <f>G83/#REF!</f>
        <v>#REF!</v>
      </c>
      <c r="J83" s="30" t="e">
        <f>H83/#REF!</f>
        <v>#REF!</v>
      </c>
      <c r="K83" s="14">
        <v>84</v>
      </c>
      <c r="L83" s="30">
        <v>6063835.8606265401</v>
      </c>
      <c r="M83" s="30">
        <v>8488383.4889193196</v>
      </c>
      <c r="N83" s="30">
        <v>8671861.5056914594</v>
      </c>
      <c r="O83" s="30">
        <v>8258319.9075579504</v>
      </c>
      <c r="P83" s="30">
        <v>9833309.3899139706</v>
      </c>
      <c r="Q83" s="30">
        <v>8707907.2704281304</v>
      </c>
      <c r="R83" s="30">
        <v>5543745.7068005102</v>
      </c>
      <c r="S83" s="30">
        <v>6509880.38258697</v>
      </c>
      <c r="T83" s="30">
        <v>6813574.0333251804</v>
      </c>
      <c r="U83" s="30">
        <v>4621015.5455739303</v>
      </c>
      <c r="V83" s="30">
        <v>8359438.7030241899</v>
      </c>
      <c r="W83" s="30">
        <v>6274257.6112740003</v>
      </c>
      <c r="X83" s="35">
        <f>AVERAGE(L83:N83)</f>
        <v>7741360.2850791067</v>
      </c>
      <c r="Y83" s="35">
        <f>AVERAGE(O83:Q83)</f>
        <v>8933178.8559666853</v>
      </c>
      <c r="Z83" s="41">
        <f>Y83/X83</f>
        <v>1.1539546703677801</v>
      </c>
      <c r="AA83" s="42">
        <f>AVERAGE(R83:T83)</f>
        <v>6289066.7075708872</v>
      </c>
      <c r="AB83" s="42">
        <f>AVERAGE(U83:W83)</f>
        <v>6418237.2866240405</v>
      </c>
      <c r="AC83" s="43">
        <f>AB83/AA83</f>
        <v>1.0205389106300391</v>
      </c>
    </row>
    <row r="84" spans="1:29">
      <c r="A84" s="14" t="s">
        <v>398</v>
      </c>
      <c r="B84" s="14" t="s">
        <v>399</v>
      </c>
      <c r="C84" s="14" t="s">
        <v>400</v>
      </c>
      <c r="D84" s="14">
        <v>-2.04</v>
      </c>
      <c r="E84" s="14">
        <v>174.01607999999999</v>
      </c>
      <c r="F84" s="14">
        <v>1.4610000000000001</v>
      </c>
      <c r="G84" s="30">
        <f>AVERAGE(L84:W84)</f>
        <v>5875324.1182840178</v>
      </c>
      <c r="H84" s="30">
        <v>14200287.974365599</v>
      </c>
      <c r="I84" s="30" t="e">
        <f>G84/#REF!</f>
        <v>#REF!</v>
      </c>
      <c r="J84" s="30" t="e">
        <f>H84/#REF!</f>
        <v>#REF!</v>
      </c>
      <c r="K84" s="14">
        <v>62</v>
      </c>
      <c r="L84" s="30">
        <v>6363767.1286098296</v>
      </c>
      <c r="M84" s="30">
        <v>7238338.7970375204</v>
      </c>
      <c r="N84" s="30">
        <v>5642900.4741046503</v>
      </c>
      <c r="O84" s="30">
        <v>14200287.974365599</v>
      </c>
      <c r="P84" s="30">
        <v>3858172.0683050202</v>
      </c>
      <c r="Q84" s="30">
        <v>4838948.6133439504</v>
      </c>
      <c r="R84" s="30">
        <v>469482.83787187398</v>
      </c>
      <c r="S84" s="30">
        <v>5519994.4050906897</v>
      </c>
      <c r="T84" s="30">
        <v>8057215.9905794403</v>
      </c>
      <c r="U84" s="30">
        <v>5279945.1732415399</v>
      </c>
      <c r="V84" s="30">
        <v>4071329.7258120701</v>
      </c>
      <c r="W84" s="30">
        <v>4963506.2310460303</v>
      </c>
      <c r="X84" s="35">
        <f>AVERAGE(L84:N84)</f>
        <v>6415002.1332506659</v>
      </c>
      <c r="Y84" s="35">
        <f>AVERAGE(O84:Q84)</f>
        <v>7632469.5520048561</v>
      </c>
      <c r="Z84" s="41">
        <f>Y84/X84</f>
        <v>1.1897844137017091</v>
      </c>
      <c r="AA84" s="42">
        <f>AVERAGE(R84:T84)</f>
        <v>4682231.0778473346</v>
      </c>
      <c r="AB84" s="42">
        <f>AVERAGE(U84:W84)</f>
        <v>4771593.7100332137</v>
      </c>
      <c r="AC84" s="43">
        <f>AB84/AA84</f>
        <v>1.0190854809812087</v>
      </c>
    </row>
    <row r="85" spans="1:29">
      <c r="A85" s="14" t="s">
        <v>305</v>
      </c>
      <c r="B85" s="14" t="s">
        <v>306</v>
      </c>
      <c r="C85" s="14" t="s">
        <v>307</v>
      </c>
      <c r="D85" s="14">
        <v>-1.76</v>
      </c>
      <c r="E85" s="14">
        <v>301.05574000000001</v>
      </c>
      <c r="F85" s="14">
        <v>11.031000000000001</v>
      </c>
      <c r="G85" s="30">
        <f>AVERAGE(L85:W85)</f>
        <v>13322808.915589867</v>
      </c>
      <c r="H85" s="30">
        <v>27032688.516495399</v>
      </c>
      <c r="I85" s="30" t="e">
        <f>G85/#REF!</f>
        <v>#REF!</v>
      </c>
      <c r="J85" s="30" t="e">
        <f>H85/#REF!</f>
        <v>#REF!</v>
      </c>
      <c r="K85" s="14">
        <v>93.9</v>
      </c>
      <c r="L85" s="30">
        <v>7147615.1886937898</v>
      </c>
      <c r="M85" s="30">
        <v>7105248.7792464504</v>
      </c>
      <c r="N85" s="30">
        <v>7955936.9884172399</v>
      </c>
      <c r="O85" s="30">
        <v>13771962.337159701</v>
      </c>
      <c r="P85" s="30">
        <v>9034154.5821770504</v>
      </c>
      <c r="Q85" s="30">
        <v>9340601.4662293606</v>
      </c>
      <c r="R85" s="30">
        <v>27032688.516495399</v>
      </c>
      <c r="S85" s="30">
        <v>11341674.7435885</v>
      </c>
      <c r="T85" s="30">
        <v>14289235.999708701</v>
      </c>
      <c r="U85" s="30">
        <v>17907467.646481201</v>
      </c>
      <c r="V85" s="30">
        <v>19598818.132948101</v>
      </c>
      <c r="W85" s="30">
        <v>15348302.605932901</v>
      </c>
      <c r="X85" s="35">
        <f>AVERAGE(L85:N85)</f>
        <v>7402933.6521191597</v>
      </c>
      <c r="Y85" s="35">
        <f>AVERAGE(O85:Q85)</f>
        <v>10715572.795188705</v>
      </c>
      <c r="Z85" s="41">
        <f>Y85/X85</f>
        <v>1.4474765408874455</v>
      </c>
      <c r="AA85" s="42">
        <f>AVERAGE(R85:T85)</f>
        <v>17554533.086597532</v>
      </c>
      <c r="AB85" s="42">
        <f>AVERAGE(U85:W85)</f>
        <v>17618196.128454067</v>
      </c>
      <c r="AC85" s="43">
        <f>AB85/AA85</f>
        <v>1.0036265870212828</v>
      </c>
    </row>
    <row r="86" spans="1:29">
      <c r="A86" s="14" t="s">
        <v>230</v>
      </c>
      <c r="B86" s="14" t="s">
        <v>231</v>
      </c>
      <c r="C86" s="14" t="s">
        <v>232</v>
      </c>
      <c r="D86" s="14">
        <v>-0.03</v>
      </c>
      <c r="E86" s="14">
        <v>105.04259</v>
      </c>
      <c r="F86" s="14">
        <v>9.1950000000000003</v>
      </c>
      <c r="G86" s="30">
        <f>AVERAGE(L86:W86)</f>
        <v>20094271.204378251</v>
      </c>
      <c r="H86" s="30">
        <v>34853910.344754703</v>
      </c>
      <c r="I86" s="30" t="e">
        <f>G86/#REF!</f>
        <v>#REF!</v>
      </c>
      <c r="J86" s="30" t="e">
        <f>H86/#REF!</f>
        <v>#REF!</v>
      </c>
      <c r="K86" s="14">
        <v>86.6</v>
      </c>
      <c r="L86" s="30">
        <v>27125330.023056999</v>
      </c>
      <c r="M86" s="30">
        <v>34853910.344754703</v>
      </c>
      <c r="N86" s="30">
        <v>16682407.489777301</v>
      </c>
      <c r="O86" s="30">
        <v>17956259.198003899</v>
      </c>
      <c r="P86" s="30">
        <v>10044229.9431067</v>
      </c>
      <c r="Q86" s="30">
        <v>17366037.948526099</v>
      </c>
      <c r="R86" s="30">
        <v>13668192.7720163</v>
      </c>
      <c r="S86" s="30">
        <v>27837998.6103044</v>
      </c>
      <c r="T86" s="30">
        <v>17235248.221293699</v>
      </c>
      <c r="U86" s="30">
        <v>21914777.854085598</v>
      </c>
      <c r="V86" s="30">
        <v>17961071.937770799</v>
      </c>
      <c r="W86" s="30">
        <v>18485790.109842502</v>
      </c>
      <c r="X86" s="35">
        <f>AVERAGE(L86:N86)</f>
        <v>26220549.285863001</v>
      </c>
      <c r="Y86" s="35">
        <f>AVERAGE(O86:Q86)</f>
        <v>15122175.696545566</v>
      </c>
      <c r="Z86" s="41">
        <f>Y86/X86</f>
        <v>0.57672993542888118</v>
      </c>
      <c r="AA86" s="42">
        <f>AVERAGE(R86:T86)</f>
        <v>19580479.867871467</v>
      </c>
      <c r="AB86" s="42">
        <f>AVERAGE(U86:W86)</f>
        <v>19453879.967232965</v>
      </c>
      <c r="AC86" s="43">
        <f>AB86/AA86</f>
        <v>0.99353438212481027</v>
      </c>
    </row>
    <row r="87" spans="1:29">
      <c r="A87" s="14" t="s">
        <v>263</v>
      </c>
      <c r="B87" s="14" t="s">
        <v>264</v>
      </c>
      <c r="C87" s="14" t="s">
        <v>265</v>
      </c>
      <c r="D87" s="14">
        <v>-2.09</v>
      </c>
      <c r="E87" s="14">
        <v>138.03139999999999</v>
      </c>
      <c r="F87" s="14">
        <v>1.0429999999999999</v>
      </c>
      <c r="G87" s="30">
        <f>AVERAGE(L87:W87)</f>
        <v>14922175.981918519</v>
      </c>
      <c r="H87" s="30">
        <v>22405309.759688601</v>
      </c>
      <c r="I87" s="30" t="e">
        <f>G87/#REF!</f>
        <v>#REF!</v>
      </c>
      <c r="J87" s="30" t="e">
        <f>H87/#REF!</f>
        <v>#REF!</v>
      </c>
      <c r="K87" s="14">
        <v>86.1</v>
      </c>
      <c r="L87" s="30">
        <v>14567366.3014681</v>
      </c>
      <c r="M87" s="30">
        <v>16928288.466281299</v>
      </c>
      <c r="N87" s="30">
        <v>15930068.1566083</v>
      </c>
      <c r="O87" s="30">
        <v>12512633.860272</v>
      </c>
      <c r="P87" s="30">
        <v>19204120.304508399</v>
      </c>
      <c r="Q87" s="30">
        <v>15924861.982064901</v>
      </c>
      <c r="R87" s="30">
        <v>10511247.8202326</v>
      </c>
      <c r="S87" s="30">
        <v>22405309.759688601</v>
      </c>
      <c r="T87" s="30">
        <v>9250871.3178306408</v>
      </c>
      <c r="U87" s="30">
        <v>10144195.4049652</v>
      </c>
      <c r="V87" s="30">
        <v>12663008.373050001</v>
      </c>
      <c r="W87" s="30">
        <v>19024140.036052201</v>
      </c>
      <c r="X87" s="35">
        <f>AVERAGE(L87:N87)</f>
        <v>15808574.308119232</v>
      </c>
      <c r="Y87" s="35">
        <f>AVERAGE(O87:Q87)</f>
        <v>15880538.715615101</v>
      </c>
      <c r="Z87" s="41">
        <f>Y87/X87</f>
        <v>1.0045522389364934</v>
      </c>
      <c r="AA87" s="42">
        <f>AVERAGE(R87:T87)</f>
        <v>14055809.632583946</v>
      </c>
      <c r="AB87" s="42">
        <f>AVERAGE(U87:W87)</f>
        <v>13943781.2713558</v>
      </c>
      <c r="AC87" s="43">
        <f>AB87/AA87</f>
        <v>0.99202974683376166</v>
      </c>
    </row>
    <row r="88" spans="1:29">
      <c r="A88" s="14" t="s">
        <v>141</v>
      </c>
      <c r="B88" s="14" t="s">
        <v>142</v>
      </c>
      <c r="C88" s="14" t="s">
        <v>143</v>
      </c>
      <c r="D88" s="14">
        <v>-0.85</v>
      </c>
      <c r="E88" s="14">
        <v>122.04791</v>
      </c>
      <c r="F88" s="14">
        <v>1.38</v>
      </c>
      <c r="G88" s="30">
        <f>AVERAGE(L88:W88)</f>
        <v>54574651.812937386</v>
      </c>
      <c r="H88" s="30">
        <v>101331814.68022899</v>
      </c>
      <c r="I88" s="30" t="e">
        <f>G88/#REF!</f>
        <v>#REF!</v>
      </c>
      <c r="J88" s="30" t="e">
        <f>H88/#REF!</f>
        <v>#REF!</v>
      </c>
      <c r="K88" s="14">
        <v>79.900000000000006</v>
      </c>
      <c r="L88" s="30">
        <v>32465098.0742043</v>
      </c>
      <c r="M88" s="30">
        <v>63685353.414749801</v>
      </c>
      <c r="N88" s="30">
        <v>38925045.664784998</v>
      </c>
      <c r="O88" s="30">
        <v>78412545.1387095</v>
      </c>
      <c r="P88" s="30">
        <v>58553176.760752201</v>
      </c>
      <c r="Q88" s="30">
        <v>55589458.486959897</v>
      </c>
      <c r="R88" s="30">
        <v>49273932.6123318</v>
      </c>
      <c r="S88" s="30">
        <v>65498965.367097601</v>
      </c>
      <c r="T88" s="30">
        <v>50624253.214084402</v>
      </c>
      <c r="U88" s="30">
        <v>38855141.901203804</v>
      </c>
      <c r="V88" s="30">
        <v>63132273.840498097</v>
      </c>
      <c r="W88" s="30">
        <v>59880577.279872298</v>
      </c>
      <c r="X88" s="35">
        <f>AVERAGE(L88:N88)</f>
        <v>45025165.717913032</v>
      </c>
      <c r="Y88" s="35">
        <f>AVERAGE(O88:Q88)</f>
        <v>64185060.128807195</v>
      </c>
      <c r="Z88" s="41">
        <f>Y88/X88</f>
        <v>1.4255374545633599</v>
      </c>
      <c r="AA88" s="42">
        <f>AVERAGE(R88:T88)</f>
        <v>55132383.731171273</v>
      </c>
      <c r="AB88" s="42">
        <f>AVERAGE(U88:W88)</f>
        <v>53955997.673858069</v>
      </c>
      <c r="AC88" s="43">
        <f>AB88/AA88</f>
        <v>0.97866252141301691</v>
      </c>
    </row>
    <row r="89" spans="1:29">
      <c r="A89" s="14" t="s">
        <v>144</v>
      </c>
      <c r="B89" s="14" t="s">
        <v>145</v>
      </c>
      <c r="C89" s="14" t="s">
        <v>146</v>
      </c>
      <c r="D89" s="14">
        <v>-3.43</v>
      </c>
      <c r="E89" s="14">
        <v>95.987790000000004</v>
      </c>
      <c r="F89" s="14">
        <v>3.68</v>
      </c>
      <c r="G89" s="30">
        <f>AVERAGE(L89:W89)</f>
        <v>57490237.252148211</v>
      </c>
      <c r="H89" s="30">
        <v>156082223.58987701</v>
      </c>
      <c r="I89" s="30" t="e">
        <f>G89/#REF!</f>
        <v>#REF!</v>
      </c>
      <c r="J89" s="30" t="e">
        <f>H89/#REF!</f>
        <v>#REF!</v>
      </c>
      <c r="K89" s="14">
        <v>91.5</v>
      </c>
      <c r="L89" s="30">
        <v>48196810.561724499</v>
      </c>
      <c r="M89" s="30">
        <v>86721269.936414093</v>
      </c>
      <c r="N89" s="30">
        <v>85060615.425160393</v>
      </c>
      <c r="O89" s="30">
        <v>6864962.7482840801</v>
      </c>
      <c r="P89" s="30">
        <v>61945266.018713303</v>
      </c>
      <c r="Q89" s="30">
        <v>88351242.137505606</v>
      </c>
      <c r="R89" s="30">
        <v>1237316.65508524</v>
      </c>
      <c r="S89" s="30">
        <v>156082223.58987701</v>
      </c>
      <c r="T89" s="30">
        <v>1279707.00093828</v>
      </c>
      <c r="U89" s="30">
        <v>55762993.145006098</v>
      </c>
      <c r="V89" s="30">
        <v>45714492.635123901</v>
      </c>
      <c r="W89" s="30">
        <v>52665947.171946101</v>
      </c>
      <c r="X89" s="35">
        <f>AVERAGE(L89:N89)</f>
        <v>73326231.974433005</v>
      </c>
      <c r="Y89" s="35">
        <f>AVERAGE(O89:Q89)</f>
        <v>52387156.968167663</v>
      </c>
      <c r="Z89" s="41">
        <f>Y89/X89</f>
        <v>0.7144395062661032</v>
      </c>
      <c r="AA89" s="42">
        <f>AVERAGE(R89:T89)</f>
        <v>52866415.748633504</v>
      </c>
      <c r="AB89" s="42">
        <f>AVERAGE(U89:W89)</f>
        <v>51381144.317358702</v>
      </c>
      <c r="AC89" s="43">
        <f>AB89/AA89</f>
        <v>0.97190519897666428</v>
      </c>
    </row>
    <row r="90" spans="1:29">
      <c r="A90" s="14" t="s">
        <v>150</v>
      </c>
      <c r="B90" s="14" t="s">
        <v>151</v>
      </c>
      <c r="C90" s="14" t="s">
        <v>152</v>
      </c>
      <c r="D90" s="14">
        <v>-2.79</v>
      </c>
      <c r="E90" s="14">
        <v>174.09996000000001</v>
      </c>
      <c r="F90" s="14">
        <v>8.7739999999999991</v>
      </c>
      <c r="G90" s="30">
        <f>AVERAGE(L90:W90)</f>
        <v>58195700.378422923</v>
      </c>
      <c r="H90" s="30">
        <v>91299858.519694999</v>
      </c>
      <c r="I90" s="30" t="e">
        <f>G90/#REF!</f>
        <v>#REF!</v>
      </c>
      <c r="J90" s="30" t="e">
        <f>H90/#REF!</f>
        <v>#REF!</v>
      </c>
      <c r="K90" s="14">
        <v>76.2</v>
      </c>
      <c r="L90" s="30">
        <v>22388309.106084201</v>
      </c>
      <c r="M90" s="30">
        <v>56843954.798758</v>
      </c>
      <c r="N90" s="30">
        <v>67827417.110066503</v>
      </c>
      <c r="O90" s="30">
        <v>54576374.356348298</v>
      </c>
      <c r="P90" s="30">
        <v>53849969.590082303</v>
      </c>
      <c r="Q90" s="30">
        <v>32936718.9938371</v>
      </c>
      <c r="R90" s="30">
        <v>91299858.519694999</v>
      </c>
      <c r="S90" s="30">
        <v>79301633.502476603</v>
      </c>
      <c r="T90" s="30">
        <v>37388861.358100802</v>
      </c>
      <c r="U90" s="30">
        <v>65965725.959567003</v>
      </c>
      <c r="V90" s="30">
        <v>61683746.414498597</v>
      </c>
      <c r="W90" s="30">
        <v>74285834.831560805</v>
      </c>
      <c r="X90" s="35">
        <f>AVERAGE(L90:N90)</f>
        <v>49019893.671636231</v>
      </c>
      <c r="Y90" s="35">
        <f>AVERAGE(O90:Q90)</f>
        <v>47121020.980089225</v>
      </c>
      <c r="Z90" s="41">
        <f>Y90/X90</f>
        <v>0.96126322296276767</v>
      </c>
      <c r="AA90" s="42">
        <f>AVERAGE(R90:T90)</f>
        <v>69330117.793424144</v>
      </c>
      <c r="AB90" s="42">
        <f>AVERAGE(U90:W90)</f>
        <v>67311769.068542138</v>
      </c>
      <c r="AC90" s="43">
        <f>AB90/AA90</f>
        <v>0.97088785092078056</v>
      </c>
    </row>
    <row r="91" spans="1:29">
      <c r="A91" s="14" t="s">
        <v>110</v>
      </c>
      <c r="B91" s="14" t="s">
        <v>111</v>
      </c>
      <c r="C91" s="14" t="s">
        <v>112</v>
      </c>
      <c r="D91" s="14">
        <v>-0.72</v>
      </c>
      <c r="E91" s="14">
        <v>145.08501999999999</v>
      </c>
      <c r="F91" s="14">
        <v>3.786</v>
      </c>
      <c r="G91" s="30">
        <f>AVERAGE(L91:W91)</f>
        <v>78817860.552147791</v>
      </c>
      <c r="H91" s="30">
        <v>202206133.340462</v>
      </c>
      <c r="I91" s="30" t="e">
        <f>G91/#REF!</f>
        <v>#REF!</v>
      </c>
      <c r="J91" s="30" t="e">
        <f>H91/#REF!</f>
        <v>#REF!</v>
      </c>
      <c r="K91" s="14">
        <v>87.7</v>
      </c>
      <c r="L91" s="30">
        <v>39099207.756780602</v>
      </c>
      <c r="M91" s="30">
        <v>198580838.94758001</v>
      </c>
      <c r="N91" s="30">
        <v>202206133.340462</v>
      </c>
      <c r="O91" s="30">
        <v>102090388.44511899</v>
      </c>
      <c r="P91" s="30">
        <v>77884968.678385004</v>
      </c>
      <c r="Q91" s="30">
        <v>37600915.800288901</v>
      </c>
      <c r="R91" s="30">
        <v>66025836.826680303</v>
      </c>
      <c r="S91" s="30">
        <v>49923236.815434001</v>
      </c>
      <c r="T91" s="30">
        <v>30565693.6409592</v>
      </c>
      <c r="U91" s="30">
        <v>47712026.4133031</v>
      </c>
      <c r="V91" s="30">
        <v>46699526.923198901</v>
      </c>
      <c r="W91" s="30">
        <v>47425553.037582502</v>
      </c>
      <c r="X91" s="35">
        <f>AVERAGE(L91:N91)</f>
        <v>146628726.68160751</v>
      </c>
      <c r="Y91" s="35">
        <f>AVERAGE(O91:Q91)</f>
        <v>72525424.307930961</v>
      </c>
      <c r="Z91" s="41">
        <f>Y91/X91</f>
        <v>0.49461947838784748</v>
      </c>
      <c r="AA91" s="42">
        <f>AVERAGE(R91:T91)</f>
        <v>48838255.761024505</v>
      </c>
      <c r="AB91" s="42">
        <f>AVERAGE(U91:W91)</f>
        <v>47279035.458028167</v>
      </c>
      <c r="AC91" s="43">
        <f>AB91/AA91</f>
        <v>0.96807379217992717</v>
      </c>
    </row>
    <row r="92" spans="1:29">
      <c r="A92" s="14" t="s">
        <v>381</v>
      </c>
      <c r="B92" s="14" t="s">
        <v>381</v>
      </c>
      <c r="C92" s="14" t="s">
        <v>382</v>
      </c>
      <c r="D92" s="14">
        <v>-0.73</v>
      </c>
      <c r="E92" s="14">
        <v>262.07990999999998</v>
      </c>
      <c r="F92" s="14">
        <v>8.9260000000000002</v>
      </c>
      <c r="G92" s="30">
        <f>AVERAGE(L92:W92)</f>
        <v>6501651.7842560299</v>
      </c>
      <c r="H92" s="30">
        <v>8413780.1397929005</v>
      </c>
      <c r="I92" s="30" t="e">
        <f>G92/#REF!</f>
        <v>#REF!</v>
      </c>
      <c r="J92" s="30" t="e">
        <f>H92/#REF!</f>
        <v>#REF!</v>
      </c>
      <c r="K92" s="14">
        <v>69.3</v>
      </c>
      <c r="L92" s="30">
        <v>4973674.1299399799</v>
      </c>
      <c r="M92" s="30">
        <v>4972756.4546334101</v>
      </c>
      <c r="N92" s="30">
        <v>3280793.5577802402</v>
      </c>
      <c r="O92" s="30">
        <v>4918263.1767851003</v>
      </c>
      <c r="P92" s="30">
        <v>5621574.7920995699</v>
      </c>
      <c r="Q92" s="30">
        <v>7954705.6294959998</v>
      </c>
      <c r="R92" s="30">
        <v>8352685.0557671301</v>
      </c>
      <c r="S92" s="30">
        <v>8187404.1636702297</v>
      </c>
      <c r="T92" s="30">
        <v>7030081.2680369904</v>
      </c>
      <c r="U92" s="30">
        <v>6611536.6211253004</v>
      </c>
      <c r="V92" s="30">
        <v>8413780.1397929005</v>
      </c>
      <c r="W92" s="30">
        <v>7702566.4219455104</v>
      </c>
      <c r="X92" s="35">
        <f>AVERAGE(L92:N92)</f>
        <v>4409074.7141178763</v>
      </c>
      <c r="Y92" s="35">
        <f>AVERAGE(O92:Q92)</f>
        <v>6164847.8661268903</v>
      </c>
      <c r="Z92" s="41">
        <f>Y92/X92</f>
        <v>1.3982180538667264</v>
      </c>
      <c r="AA92" s="42">
        <f>AVERAGE(R92:T92)</f>
        <v>7856723.495824784</v>
      </c>
      <c r="AB92" s="42">
        <f>AVERAGE(U92:W92)</f>
        <v>7575961.0609545708</v>
      </c>
      <c r="AC92" s="43">
        <f>AB92/AA92</f>
        <v>0.96426469188849318</v>
      </c>
    </row>
    <row r="93" spans="1:29">
      <c r="A93" s="14" t="s">
        <v>115</v>
      </c>
      <c r="B93" s="14" t="s">
        <v>116</v>
      </c>
      <c r="C93" s="14" t="s">
        <v>57</v>
      </c>
      <c r="D93" s="14">
        <v>-1.1499999999999999</v>
      </c>
      <c r="E93" s="14">
        <v>138.04276999999999</v>
      </c>
      <c r="F93" s="14">
        <v>1.4810000000000001</v>
      </c>
      <c r="G93" s="30">
        <f>AVERAGE(L93:W93)</f>
        <v>75505599.462871924</v>
      </c>
      <c r="H93" s="30">
        <v>108652431.901153</v>
      </c>
      <c r="I93" s="30" t="e">
        <f>G93/#REF!</f>
        <v>#REF!</v>
      </c>
      <c r="J93" s="30" t="e">
        <f>H93/#REF!</f>
        <v>#REF!</v>
      </c>
      <c r="K93" s="14">
        <v>85.1</v>
      </c>
      <c r="L93" s="30">
        <v>75532978.951090693</v>
      </c>
      <c r="M93" s="30">
        <v>90523207.607507601</v>
      </c>
      <c r="N93" s="30">
        <v>71132600.902566403</v>
      </c>
      <c r="O93" s="30">
        <v>97930029.259283498</v>
      </c>
      <c r="P93" s="30">
        <v>53871674.838058896</v>
      </c>
      <c r="Q93" s="30">
        <v>108652431.901153</v>
      </c>
      <c r="R93" s="30">
        <v>54596328.445785902</v>
      </c>
      <c r="S93" s="30">
        <v>106948290.303938</v>
      </c>
      <c r="T93" s="30">
        <v>47873845.591540501</v>
      </c>
      <c r="U93" s="30">
        <v>71158591.459659204</v>
      </c>
      <c r="V93" s="30">
        <v>77240406.135916397</v>
      </c>
      <c r="W93" s="30">
        <v>50606808.157963</v>
      </c>
      <c r="X93" s="35">
        <f>AVERAGE(L93:N93)</f>
        <v>79062929.153721556</v>
      </c>
      <c r="Y93" s="35">
        <f>AVERAGE(O93:Q93)</f>
        <v>86818045.3328318</v>
      </c>
      <c r="Z93" s="41">
        <f>Y93/X93</f>
        <v>1.0980878935566885</v>
      </c>
      <c r="AA93" s="42">
        <f>AVERAGE(R93:T93)</f>
        <v>69806154.780421481</v>
      </c>
      <c r="AB93" s="42">
        <f>AVERAGE(U93:W93)</f>
        <v>66335268.584512867</v>
      </c>
      <c r="AC93" s="43">
        <f>AB93/AA93</f>
        <v>0.95027822107052817</v>
      </c>
    </row>
    <row r="94" spans="1:29">
      <c r="A94" s="14" t="s">
        <v>425</v>
      </c>
      <c r="B94" s="14" t="s">
        <v>426</v>
      </c>
      <c r="C94" s="14" t="s">
        <v>427</v>
      </c>
      <c r="D94" s="14">
        <v>-0.32</v>
      </c>
      <c r="E94" s="14">
        <v>188.07964999999999</v>
      </c>
      <c r="F94" s="14">
        <v>8.9619999999999997</v>
      </c>
      <c r="G94" s="30">
        <f>AVERAGE(L94:W94)</f>
        <v>4485838.9149977043</v>
      </c>
      <c r="H94" s="30">
        <v>7817365.7787803197</v>
      </c>
      <c r="I94" s="30" t="e">
        <f>G94/#REF!</f>
        <v>#REF!</v>
      </c>
      <c r="J94" s="30" t="e">
        <f>H94/#REF!</f>
        <v>#REF!</v>
      </c>
      <c r="K94" s="14">
        <v>63.8</v>
      </c>
      <c r="L94" s="30">
        <v>2193904.3428335702</v>
      </c>
      <c r="M94" s="30">
        <v>2768396.3559121299</v>
      </c>
      <c r="N94" s="30">
        <v>2927660.9676581998</v>
      </c>
      <c r="O94" s="30">
        <v>5909010.0600246601</v>
      </c>
      <c r="P94" s="30">
        <v>3887237.2974263001</v>
      </c>
      <c r="Q94" s="30">
        <v>4699575.1851940397</v>
      </c>
      <c r="R94" s="30">
        <v>7817365.7787803197</v>
      </c>
      <c r="S94" s="30">
        <v>3478108.4763642</v>
      </c>
      <c r="T94" s="30">
        <v>4902198.5988428099</v>
      </c>
      <c r="U94" s="30">
        <v>5771214.2443055399</v>
      </c>
      <c r="V94" s="30">
        <v>3346645.7303607399</v>
      </c>
      <c r="W94" s="30">
        <v>6128749.9422699399</v>
      </c>
      <c r="X94" s="35">
        <f>AVERAGE(L94:N94)</f>
        <v>2629987.222134633</v>
      </c>
      <c r="Y94" s="35">
        <f>AVERAGE(O94:Q94)</f>
        <v>4831940.847548333</v>
      </c>
      <c r="Z94" s="41">
        <f>Y94/X94</f>
        <v>1.8372487922684586</v>
      </c>
      <c r="AA94" s="42">
        <f>AVERAGE(R94:T94)</f>
        <v>5399224.2846624432</v>
      </c>
      <c r="AB94" s="42">
        <f>AVERAGE(U94:W94)</f>
        <v>5082203.3056454062</v>
      </c>
      <c r="AC94" s="43">
        <f>AB94/AA94</f>
        <v>0.94128397667835406</v>
      </c>
    </row>
    <row r="95" spans="1:29">
      <c r="A95" s="14" t="s">
        <v>275</v>
      </c>
      <c r="B95" s="14" t="s">
        <v>276</v>
      </c>
      <c r="C95" s="14" t="s">
        <v>277</v>
      </c>
      <c r="D95" s="14">
        <v>-1.63</v>
      </c>
      <c r="E95" s="14">
        <v>146.10529</v>
      </c>
      <c r="F95" s="14">
        <v>11.702999999999999</v>
      </c>
      <c r="G95" s="30">
        <f>AVERAGE(L95:W95)</f>
        <v>14951966.1569119</v>
      </c>
      <c r="H95" s="30">
        <v>24453475.869095001</v>
      </c>
      <c r="I95" s="30" t="e">
        <f>G95/#REF!</f>
        <v>#REF!</v>
      </c>
      <c r="J95" s="30" t="e">
        <f>H95/#REF!</f>
        <v>#REF!</v>
      </c>
      <c r="K95" s="14">
        <v>58.1</v>
      </c>
      <c r="L95" s="30">
        <v>10589215.252621001</v>
      </c>
      <c r="M95" s="30">
        <v>10269981.289012199</v>
      </c>
      <c r="N95" s="30">
        <v>17515766.503811002</v>
      </c>
      <c r="O95" s="30">
        <v>20183352.835471898</v>
      </c>
      <c r="P95" s="30">
        <v>10146497.0256462</v>
      </c>
      <c r="Q95" s="30">
        <v>13775448.273687299</v>
      </c>
      <c r="R95" s="30">
        <v>12301136.461588999</v>
      </c>
      <c r="S95" s="30">
        <v>13231989.020272801</v>
      </c>
      <c r="T95" s="30">
        <v>24453475.869095001</v>
      </c>
      <c r="U95" s="30">
        <v>17346870.5820782</v>
      </c>
      <c r="V95" s="30">
        <v>13053024.303339001</v>
      </c>
      <c r="W95" s="30">
        <v>16556836.4663192</v>
      </c>
      <c r="X95" s="35">
        <f>AVERAGE(L95:N95)</f>
        <v>12791654.348481402</v>
      </c>
      <c r="Y95" s="35">
        <f>AVERAGE(O95:Q95)</f>
        <v>14701766.044935131</v>
      </c>
      <c r="Z95" s="41">
        <f>Y95/X95</f>
        <v>1.1493248366799791</v>
      </c>
      <c r="AA95" s="42">
        <f>AVERAGE(R95:T95)</f>
        <v>16662200.450318933</v>
      </c>
      <c r="AB95" s="42">
        <f>AVERAGE(U95:W95)</f>
        <v>15652243.783912132</v>
      </c>
      <c r="AC95" s="43">
        <f>AB95/AA95</f>
        <v>0.93938635719704899</v>
      </c>
    </row>
    <row r="96" spans="1:29">
      <c r="A96" s="14" t="s">
        <v>335</v>
      </c>
      <c r="B96" s="14" t="s">
        <v>336</v>
      </c>
      <c r="C96" s="14" t="s">
        <v>337</v>
      </c>
      <c r="D96" s="14">
        <v>-1.98</v>
      </c>
      <c r="E96" s="14">
        <v>260.0292</v>
      </c>
      <c r="F96" s="14">
        <v>11.372</v>
      </c>
      <c r="G96" s="30">
        <f>AVERAGE(L96:W96)</f>
        <v>10183008.200770637</v>
      </c>
      <c r="H96" s="30">
        <v>15937523.397283001</v>
      </c>
      <c r="I96" s="30" t="e">
        <f>G96/#REF!</f>
        <v>#REF!</v>
      </c>
      <c r="J96" s="30" t="e">
        <f>H96/#REF!</f>
        <v>#REF!</v>
      </c>
      <c r="K96" s="14">
        <v>93.4</v>
      </c>
      <c r="L96" s="30">
        <v>6522690.4623235399</v>
      </c>
      <c r="M96" s="30">
        <v>12256927.628916601</v>
      </c>
      <c r="N96" s="30">
        <v>10702432.7563738</v>
      </c>
      <c r="O96" s="30">
        <v>7101247.8755302001</v>
      </c>
      <c r="P96" s="30">
        <v>7464425.05502888</v>
      </c>
      <c r="Q96" s="30">
        <v>7248487.3628225299</v>
      </c>
      <c r="R96" s="30">
        <v>15937523.397283001</v>
      </c>
      <c r="S96" s="30">
        <v>11771286.338151401</v>
      </c>
      <c r="T96" s="30">
        <v>8931629.0970540792</v>
      </c>
      <c r="U96" s="30">
        <v>11638347.1608551</v>
      </c>
      <c r="V96" s="30">
        <v>10614939.7936342</v>
      </c>
      <c r="W96" s="30">
        <v>12006161.481274299</v>
      </c>
      <c r="X96" s="35">
        <f>AVERAGE(L96:N96)</f>
        <v>9827350.28253798</v>
      </c>
      <c r="Y96" s="35">
        <f>AVERAGE(O96:Q96)</f>
        <v>7271386.7644605367</v>
      </c>
      <c r="Z96" s="41">
        <f>Y96/X96</f>
        <v>0.73991325793901097</v>
      </c>
      <c r="AA96" s="42">
        <f>AVERAGE(R96:T96)</f>
        <v>12213479.610829493</v>
      </c>
      <c r="AB96" s="42">
        <f>AVERAGE(U96:W96)</f>
        <v>11419816.145254532</v>
      </c>
      <c r="AC96" s="43">
        <f>AB96/AA96</f>
        <v>0.93501741593188292</v>
      </c>
    </row>
    <row r="97" spans="1:29">
      <c r="A97" s="14" t="s">
        <v>278</v>
      </c>
      <c r="B97" s="14" t="s">
        <v>279</v>
      </c>
      <c r="C97" s="14" t="s">
        <v>280</v>
      </c>
      <c r="D97" s="14">
        <v>0.03</v>
      </c>
      <c r="E97" s="14">
        <v>137.04768000000001</v>
      </c>
      <c r="F97" s="14">
        <v>13.5</v>
      </c>
      <c r="G97" s="30">
        <f>AVERAGE(L97:W97)</f>
        <v>15225565.022240454</v>
      </c>
      <c r="H97" s="30">
        <v>39104899.497257598</v>
      </c>
      <c r="I97" s="30" t="e">
        <f>G97/#REF!</f>
        <v>#REF!</v>
      </c>
      <c r="J97" s="30" t="e">
        <f>H97/#REF!</f>
        <v>#REF!</v>
      </c>
      <c r="K97" s="14">
        <v>61.6</v>
      </c>
      <c r="L97" s="30">
        <v>7421352.67258956</v>
      </c>
      <c r="M97" s="30">
        <v>10597961.2361333</v>
      </c>
      <c r="N97" s="30">
        <v>7613762.1451883297</v>
      </c>
      <c r="O97" s="30">
        <v>39104899.497257598</v>
      </c>
      <c r="P97" s="30">
        <v>5584028.5335491803</v>
      </c>
      <c r="Q97" s="30">
        <v>11039806.097723501</v>
      </c>
      <c r="R97" s="30">
        <v>23750797.858984299</v>
      </c>
      <c r="S97" s="30">
        <v>20245054.241101399</v>
      </c>
      <c r="T97" s="30">
        <v>8478198.5136494692</v>
      </c>
      <c r="U97" s="30">
        <v>19864845.453258701</v>
      </c>
      <c r="V97" s="30">
        <v>8541872.1185344197</v>
      </c>
      <c r="W97" s="30">
        <v>20464201.898915701</v>
      </c>
      <c r="X97" s="35">
        <f>AVERAGE(L97:N97)</f>
        <v>8544358.6846370623</v>
      </c>
      <c r="Y97" s="35">
        <f>AVERAGE(O97:Q97)</f>
        <v>18576244.709510092</v>
      </c>
      <c r="Z97" s="41">
        <f>Y97/X97</f>
        <v>2.1740946740579341</v>
      </c>
      <c r="AA97" s="42">
        <f>AVERAGE(R97:T97)</f>
        <v>17491350.204578388</v>
      </c>
      <c r="AB97" s="42">
        <f>AVERAGE(U97:W97)</f>
        <v>16290306.490236273</v>
      </c>
      <c r="AC97" s="43">
        <f>AB97/AA97</f>
        <v>0.931334991278847</v>
      </c>
    </row>
    <row r="98" spans="1:29">
      <c r="A98" s="14" t="s">
        <v>162</v>
      </c>
      <c r="B98" s="14" t="s">
        <v>163</v>
      </c>
      <c r="C98" s="14" t="s">
        <v>164</v>
      </c>
      <c r="D98" s="14">
        <v>-7.0000000000000007E-2</v>
      </c>
      <c r="E98" s="14">
        <v>113.05889999999999</v>
      </c>
      <c r="F98" s="14">
        <v>3.3620000000000001</v>
      </c>
      <c r="G98" s="30">
        <f>AVERAGE(L98:W98)</f>
        <v>45079266.132581055</v>
      </c>
      <c r="H98" s="30">
        <v>68292144.886024594</v>
      </c>
      <c r="I98" s="30" t="e">
        <f>G98/#REF!</f>
        <v>#REF!</v>
      </c>
      <c r="J98" s="30" t="e">
        <f>H98/#REF!</f>
        <v>#REF!</v>
      </c>
      <c r="K98" s="14">
        <v>70</v>
      </c>
      <c r="L98" s="30">
        <v>60581815.921711601</v>
      </c>
      <c r="M98" s="30">
        <v>68292144.886024594</v>
      </c>
      <c r="N98" s="30">
        <v>60933564.632965602</v>
      </c>
      <c r="O98" s="30">
        <v>43384178.609933197</v>
      </c>
      <c r="P98" s="30">
        <v>36052553.562318899</v>
      </c>
      <c r="Q98" s="30">
        <v>31646843.6712493</v>
      </c>
      <c r="R98" s="30">
        <v>32496131.561351702</v>
      </c>
      <c r="S98" s="30">
        <v>60503189.281700797</v>
      </c>
      <c r="T98" s="30">
        <v>31375786.900820199</v>
      </c>
      <c r="U98" s="30">
        <v>32961316.722916499</v>
      </c>
      <c r="V98" s="30">
        <v>49927068.082157597</v>
      </c>
      <c r="W98" s="30">
        <v>32796599.7578227</v>
      </c>
      <c r="X98" s="35">
        <f>AVERAGE(L98:N98)</f>
        <v>63269175.146900594</v>
      </c>
      <c r="Y98" s="35">
        <f>AVERAGE(O98:Q98)</f>
        <v>37027858.614500463</v>
      </c>
      <c r="Z98" s="41">
        <f>Y98/X98</f>
        <v>0.58524326464708731</v>
      </c>
      <c r="AA98" s="42">
        <f>AVERAGE(R98:T98)</f>
        <v>41458369.247957565</v>
      </c>
      <c r="AB98" s="42">
        <f>AVERAGE(U98:W98)</f>
        <v>38561661.520965599</v>
      </c>
      <c r="AC98" s="43">
        <f>AB98/AA98</f>
        <v>0.93012972339391586</v>
      </c>
    </row>
    <row r="99" spans="1:29">
      <c r="A99" s="29" t="s">
        <v>34</v>
      </c>
      <c r="B99" s="29" t="s">
        <v>35</v>
      </c>
      <c r="C99" s="14" t="s">
        <v>36</v>
      </c>
      <c r="D99" s="14">
        <v>-0.79</v>
      </c>
      <c r="E99" s="14">
        <v>188.11593999999999</v>
      </c>
      <c r="F99" s="14">
        <v>8.6769999999999996</v>
      </c>
      <c r="G99" s="30">
        <f>AVERAGE(L99:W99)</f>
        <v>3643959135.3707824</v>
      </c>
      <c r="H99" s="30">
        <v>6425785915.2696104</v>
      </c>
      <c r="I99" s="30" t="e">
        <f>G99/#REF!</f>
        <v>#REF!</v>
      </c>
      <c r="J99" s="30" t="e">
        <f>H99/#REF!</f>
        <v>#REF!</v>
      </c>
      <c r="K99" s="14">
        <v>55.6</v>
      </c>
      <c r="L99" s="30">
        <v>741172968.71811604</v>
      </c>
      <c r="M99" s="30">
        <v>3329921772.5371599</v>
      </c>
      <c r="N99" s="30">
        <v>3561894166.2878699</v>
      </c>
      <c r="O99" s="30">
        <v>5138969490.5941</v>
      </c>
      <c r="P99" s="30">
        <v>6425785915.2696104</v>
      </c>
      <c r="Q99" s="30">
        <v>1756403520.33002</v>
      </c>
      <c r="R99" s="30">
        <v>4050870525.3502898</v>
      </c>
      <c r="S99" s="30">
        <v>5840588078.9766998</v>
      </c>
      <c r="T99" s="30">
        <v>1914822163.6424799</v>
      </c>
      <c r="U99" s="30">
        <v>3869549841.6391401</v>
      </c>
      <c r="V99" s="30">
        <v>2807480240.4756899</v>
      </c>
      <c r="W99" s="30">
        <v>4290050940.6282101</v>
      </c>
      <c r="X99" s="35">
        <f>AVERAGE(L99:N99)</f>
        <v>2544329635.8477154</v>
      </c>
      <c r="Y99" s="35">
        <f>AVERAGE(O99:Q99)</f>
        <v>4440386308.7312431</v>
      </c>
      <c r="Z99" s="41">
        <f>Y99/X99</f>
        <v>1.7452087363875721</v>
      </c>
      <c r="AA99" s="42">
        <f>AVERAGE(R99:T99)</f>
        <v>3935426922.6564903</v>
      </c>
      <c r="AB99" s="42">
        <f>AVERAGE(U99:W99)</f>
        <v>3655693674.2476802</v>
      </c>
      <c r="AC99" s="43">
        <f>AB99/AA99</f>
        <v>0.9289192115858208</v>
      </c>
    </row>
    <row r="100" spans="1:29">
      <c r="A100" s="14" t="s">
        <v>320</v>
      </c>
      <c r="B100" s="14" t="s">
        <v>321</v>
      </c>
      <c r="C100" s="14" t="s">
        <v>322</v>
      </c>
      <c r="D100" s="14">
        <v>0.19</v>
      </c>
      <c r="E100" s="14">
        <v>164.08376000000001</v>
      </c>
      <c r="F100" s="14">
        <v>1.0509999999999999</v>
      </c>
      <c r="G100" s="30">
        <f>AVERAGE(L100:W100)</f>
        <v>10383647.91566509</v>
      </c>
      <c r="H100" s="30">
        <v>21061508.7512566</v>
      </c>
      <c r="I100" s="30" t="e">
        <f>G100/#REF!</f>
        <v>#REF!</v>
      </c>
      <c r="J100" s="30" t="e">
        <f>H100/#REF!</f>
        <v>#REF!</v>
      </c>
      <c r="K100" s="14">
        <v>70.599999999999994</v>
      </c>
      <c r="L100" s="30">
        <v>7122510.3678815002</v>
      </c>
      <c r="M100" s="30">
        <v>9708154.0859733392</v>
      </c>
      <c r="N100" s="30">
        <v>13683518.154618399</v>
      </c>
      <c r="O100" s="30">
        <v>9440275.9376024399</v>
      </c>
      <c r="P100" s="30">
        <v>8805779.84526252</v>
      </c>
      <c r="Q100" s="30">
        <v>21061508.7512566</v>
      </c>
      <c r="R100" s="30">
        <v>6037968.4455621699</v>
      </c>
      <c r="S100" s="30">
        <v>11963971.0214647</v>
      </c>
      <c r="T100" s="30">
        <v>10408882.517480001</v>
      </c>
      <c r="U100" s="30">
        <v>6354447.1819303399</v>
      </c>
      <c r="V100" s="30">
        <v>12161431.4045757</v>
      </c>
      <c r="W100" s="30">
        <v>7855327.2743733702</v>
      </c>
      <c r="X100" s="35">
        <f>AVERAGE(L100:N100)</f>
        <v>10171394.202824414</v>
      </c>
      <c r="Y100" s="35">
        <f>AVERAGE(O100:Q100)</f>
        <v>13102521.511373853</v>
      </c>
      <c r="Z100" s="41">
        <f>Y100/X100</f>
        <v>1.2881736023696257</v>
      </c>
      <c r="AA100" s="42">
        <f>AVERAGE(R100:T100)</f>
        <v>9470273.9948356245</v>
      </c>
      <c r="AB100" s="42">
        <f>AVERAGE(U100:W100)</f>
        <v>8790401.9536264706</v>
      </c>
      <c r="AC100" s="43">
        <f>AB100/AA100</f>
        <v>0.92820988689662998</v>
      </c>
    </row>
    <row r="101" spans="1:29">
      <c r="A101" s="14" t="s">
        <v>369</v>
      </c>
      <c r="B101" s="14" t="s">
        <v>370</v>
      </c>
      <c r="C101" s="14" t="s">
        <v>371</v>
      </c>
      <c r="D101" s="14">
        <v>-0.03</v>
      </c>
      <c r="E101" s="14">
        <v>234.16163</v>
      </c>
      <c r="F101" s="14">
        <v>0.95</v>
      </c>
      <c r="G101" s="30">
        <f>AVERAGE(L101:W101)</f>
        <v>6940396.9093007892</v>
      </c>
      <c r="H101" s="30">
        <v>16293266.074047901</v>
      </c>
      <c r="I101" s="30" t="e">
        <f>G101/#REF!</f>
        <v>#REF!</v>
      </c>
      <c r="J101" s="30" t="e">
        <f>H101/#REF!</f>
        <v>#REF!</v>
      </c>
      <c r="K101" s="14">
        <v>57.4</v>
      </c>
      <c r="L101" s="30">
        <v>3877903.1122840098</v>
      </c>
      <c r="M101" s="30">
        <v>4377083.4355377499</v>
      </c>
      <c r="N101" s="30">
        <v>8521498.2810914796</v>
      </c>
      <c r="O101" s="30">
        <v>14764469.8364089</v>
      </c>
      <c r="P101" s="30">
        <v>4637242.1168767298</v>
      </c>
      <c r="Q101" s="30">
        <v>16293266.074047901</v>
      </c>
      <c r="R101" s="30">
        <v>3858319.3795595202</v>
      </c>
      <c r="S101" s="30">
        <v>8859268.5452163592</v>
      </c>
      <c r="T101" s="30">
        <v>3376839.9691688102</v>
      </c>
      <c r="U101" s="30">
        <v>6548395.5683522997</v>
      </c>
      <c r="V101" s="30">
        <v>5272277.9722513398</v>
      </c>
      <c r="W101" s="30">
        <v>2898198.62081439</v>
      </c>
      <c r="X101" s="35">
        <f>AVERAGE(L101:N101)</f>
        <v>5592161.6096377466</v>
      </c>
      <c r="Y101" s="35">
        <f>AVERAGE(O101:Q101)</f>
        <v>11898326.009111175</v>
      </c>
      <c r="Z101" s="41">
        <f>Y101/X101</f>
        <v>2.1276792123827648</v>
      </c>
      <c r="AA101" s="42">
        <f>AVERAGE(R101:T101)</f>
        <v>5364809.297981563</v>
      </c>
      <c r="AB101" s="42">
        <f>AVERAGE(U101:W101)</f>
        <v>4906290.7204726767</v>
      </c>
      <c r="AC101" s="43">
        <f>AB101/AA101</f>
        <v>0.914532175881555</v>
      </c>
    </row>
    <row r="102" spans="1:29">
      <c r="A102" s="14" t="s">
        <v>308</v>
      </c>
      <c r="B102" s="14" t="s">
        <v>309</v>
      </c>
      <c r="C102" s="14" t="s">
        <v>310</v>
      </c>
      <c r="D102" s="14">
        <v>-0.77</v>
      </c>
      <c r="E102" s="14">
        <v>276.09554000000003</v>
      </c>
      <c r="F102" s="14">
        <v>9.4269999999999996</v>
      </c>
      <c r="G102" s="30">
        <f>AVERAGE(L102:W102)</f>
        <v>11859071.257452829</v>
      </c>
      <c r="H102" s="30">
        <v>17666788.332085099</v>
      </c>
      <c r="I102" s="30" t="e">
        <f>G102/#REF!</f>
        <v>#REF!</v>
      </c>
      <c r="J102" s="30" t="e">
        <f>H102/#REF!</f>
        <v>#REF!</v>
      </c>
      <c r="K102" s="14">
        <v>72</v>
      </c>
      <c r="L102" s="30">
        <v>4697735.7246596003</v>
      </c>
      <c r="M102" s="30">
        <v>12821005.1017961</v>
      </c>
      <c r="N102" s="30">
        <v>17666788.332085099</v>
      </c>
      <c r="O102" s="30">
        <v>13966892.9682205</v>
      </c>
      <c r="P102" s="30">
        <v>14392668.7457137</v>
      </c>
      <c r="Q102" s="30">
        <v>7358764.7499908097</v>
      </c>
      <c r="R102" s="30">
        <v>15770956.895973301</v>
      </c>
      <c r="S102" s="30">
        <v>9580617.9866399392</v>
      </c>
      <c r="T102" s="30">
        <v>12017106.6883549</v>
      </c>
      <c r="U102" s="30">
        <v>11725059.916028</v>
      </c>
      <c r="V102" s="30">
        <v>10247832.344459601</v>
      </c>
      <c r="W102" s="30">
        <v>12063425.6355124</v>
      </c>
      <c r="X102" s="35">
        <f>AVERAGE(L102:N102)</f>
        <v>11728509.719513601</v>
      </c>
      <c r="Y102" s="35">
        <f>AVERAGE(O102:Q102)</f>
        <v>11906108.821308335</v>
      </c>
      <c r="Z102" s="41">
        <f>Y102/X102</f>
        <v>1.0151425122238036</v>
      </c>
      <c r="AA102" s="42">
        <f>AVERAGE(R102:T102)</f>
        <v>12456227.190322714</v>
      </c>
      <c r="AB102" s="42">
        <f>AVERAGE(U102:W102)</f>
        <v>11345439.298666665</v>
      </c>
      <c r="AC102" s="43">
        <f>AB102/AA102</f>
        <v>0.91082469236599795</v>
      </c>
    </row>
    <row r="103" spans="1:29">
      <c r="A103" s="14" t="s">
        <v>123</v>
      </c>
      <c r="B103" s="14" t="s">
        <v>124</v>
      </c>
      <c r="C103" s="14" t="s">
        <v>125</v>
      </c>
      <c r="D103" s="14">
        <v>-0.38</v>
      </c>
      <c r="E103" s="14">
        <v>99.068380000000005</v>
      </c>
      <c r="F103" s="14">
        <v>1.198</v>
      </c>
      <c r="G103" s="30">
        <f>AVERAGE(L103:W103)</f>
        <v>64783189.622573681</v>
      </c>
      <c r="H103" s="30">
        <v>150266222.87934801</v>
      </c>
      <c r="I103" s="30" t="e">
        <f>G103/#REF!</f>
        <v>#REF!</v>
      </c>
      <c r="J103" s="30" t="e">
        <f>H103/#REF!</f>
        <v>#REF!</v>
      </c>
      <c r="K103" s="14">
        <v>57.8</v>
      </c>
      <c r="L103" s="30">
        <v>116534210.774983</v>
      </c>
      <c r="M103" s="30">
        <v>85274569.857917294</v>
      </c>
      <c r="N103" s="30">
        <v>47359173.368814699</v>
      </c>
      <c r="O103" s="30">
        <v>150266222.87934801</v>
      </c>
      <c r="P103" s="30">
        <v>64639901.766274698</v>
      </c>
      <c r="Q103" s="30">
        <v>90839864.692905098</v>
      </c>
      <c r="R103" s="30">
        <v>2451737.9458247302</v>
      </c>
      <c r="S103" s="30">
        <v>51987334.643751398</v>
      </c>
      <c r="T103" s="30">
        <v>62224354.479501501</v>
      </c>
      <c r="U103" s="30">
        <v>20749990.597887699</v>
      </c>
      <c r="V103" s="30">
        <v>21778441.286911801</v>
      </c>
      <c r="W103" s="30">
        <v>63292473.176764302</v>
      </c>
      <c r="X103" s="35">
        <f>AVERAGE(L103:N103)</f>
        <v>83055984.66723834</v>
      </c>
      <c r="Y103" s="35">
        <f>AVERAGE(O103:Q103)</f>
        <v>101915329.77950926</v>
      </c>
      <c r="Z103" s="41">
        <f>Y103/X103</f>
        <v>1.2270678649808366</v>
      </c>
      <c r="AA103" s="42">
        <f>AVERAGE(R103:T103)</f>
        <v>38887809.023025878</v>
      </c>
      <c r="AB103" s="42">
        <f>AVERAGE(U103:W103)</f>
        <v>35273635.020521261</v>
      </c>
      <c r="AC103" s="43">
        <f>AB103/AA103</f>
        <v>0.90706151636455978</v>
      </c>
    </row>
    <row r="104" spans="1:29">
      <c r="A104" s="14" t="s">
        <v>290</v>
      </c>
      <c r="B104" s="14" t="s">
        <v>291</v>
      </c>
      <c r="C104" s="14" t="s">
        <v>292</v>
      </c>
      <c r="D104" s="14">
        <v>-2.38</v>
      </c>
      <c r="E104" s="14">
        <v>174.08878999999999</v>
      </c>
      <c r="F104" s="14">
        <v>1.1240000000000001</v>
      </c>
      <c r="G104" s="30">
        <f>AVERAGE(L104:W104)</f>
        <v>12334058.788448893</v>
      </c>
      <c r="H104" s="30">
        <v>57047729.264270604</v>
      </c>
      <c r="I104" s="30" t="e">
        <f>G104/#REF!</f>
        <v>#REF!</v>
      </c>
      <c r="J104" s="30" t="e">
        <f>H104/#REF!</f>
        <v>#REF!</v>
      </c>
      <c r="K104" s="14">
        <v>79.8</v>
      </c>
      <c r="L104" s="30">
        <v>8788805.6735466793</v>
      </c>
      <c r="M104" s="30">
        <v>15663969.885203</v>
      </c>
      <c r="N104" s="30">
        <v>5536676.7290639803</v>
      </c>
      <c r="O104" s="30">
        <v>57047729.264270604</v>
      </c>
      <c r="P104" s="30">
        <v>17531897.892177399</v>
      </c>
      <c r="Q104" s="30">
        <v>6256674.0613847598</v>
      </c>
      <c r="R104" s="30">
        <v>5354253.9374088598</v>
      </c>
      <c r="S104" s="30">
        <v>8999285.2902028207</v>
      </c>
      <c r="T104" s="30">
        <v>5283896.6283748001</v>
      </c>
      <c r="U104" s="30">
        <v>5679189.93940436</v>
      </c>
      <c r="V104" s="30">
        <v>5984586.1942039598</v>
      </c>
      <c r="W104" s="30">
        <v>5881739.9661454698</v>
      </c>
      <c r="X104" s="35">
        <f>AVERAGE(L104:N104)</f>
        <v>9996484.0959378872</v>
      </c>
      <c r="Y104" s="35">
        <f>AVERAGE(O104:Q104)</f>
        <v>26945433.73927759</v>
      </c>
      <c r="Z104" s="41">
        <f>Y104/X104</f>
        <v>2.6954910827324756</v>
      </c>
      <c r="AA104" s="42">
        <f>AVERAGE(R104:T104)</f>
        <v>6545811.9519954929</v>
      </c>
      <c r="AB104" s="42">
        <f>AVERAGE(U104:W104)</f>
        <v>5848505.3665845962</v>
      </c>
      <c r="AC104" s="43">
        <f>AB104/AA104</f>
        <v>0.89347286623497901</v>
      </c>
    </row>
    <row r="105" spans="1:29">
      <c r="A105" s="14" t="s">
        <v>353</v>
      </c>
      <c r="B105" s="14" t="s">
        <v>354</v>
      </c>
      <c r="C105" s="14" t="s">
        <v>355</v>
      </c>
      <c r="D105" s="14">
        <v>-1.69</v>
      </c>
      <c r="E105" s="14">
        <v>230.01876999999999</v>
      </c>
      <c r="F105" s="14">
        <v>10.69</v>
      </c>
      <c r="G105" s="30">
        <f>AVERAGE(L105:W105)</f>
        <v>9142744.3737940136</v>
      </c>
      <c r="H105" s="30">
        <v>20392785.3543308</v>
      </c>
      <c r="I105" s="30" t="e">
        <f>G105/#REF!</f>
        <v>#REF!</v>
      </c>
      <c r="J105" s="30" t="e">
        <f>H105/#REF!</f>
        <v>#REF!</v>
      </c>
      <c r="K105" s="14">
        <v>95.3</v>
      </c>
      <c r="L105" s="30">
        <v>6191232.64125372</v>
      </c>
      <c r="M105" s="30">
        <v>16911506.725152001</v>
      </c>
      <c r="N105" s="30">
        <v>20392785.3543308</v>
      </c>
      <c r="O105" s="30">
        <v>4527639.5894831102</v>
      </c>
      <c r="P105" s="30">
        <v>2708712.63813168</v>
      </c>
      <c r="Q105" s="30">
        <v>2773582.6867924002</v>
      </c>
      <c r="R105" s="30">
        <v>4947979.5757121602</v>
      </c>
      <c r="S105" s="30">
        <v>18603321.522157598</v>
      </c>
      <c r="T105" s="30">
        <v>6201921.788195</v>
      </c>
      <c r="U105" s="30">
        <v>10370168.947588099</v>
      </c>
      <c r="V105" s="30">
        <v>6050926.8465739898</v>
      </c>
      <c r="W105" s="30">
        <v>10033154.1701576</v>
      </c>
      <c r="X105" s="35">
        <f>AVERAGE(L105:N105)</f>
        <v>14498508.240245506</v>
      </c>
      <c r="Y105" s="35">
        <f>AVERAGE(O105:Q105)</f>
        <v>3336644.9714690633</v>
      </c>
      <c r="Z105" s="41">
        <f>Y105/X105</f>
        <v>0.23013712281150955</v>
      </c>
      <c r="AA105" s="42">
        <f>AVERAGE(R105:T105)</f>
        <v>9917740.9620215856</v>
      </c>
      <c r="AB105" s="42">
        <f>AVERAGE(U105:W105)</f>
        <v>8818083.3214398976</v>
      </c>
      <c r="AC105" s="43">
        <f>AB105/AA105</f>
        <v>0.88912216554226897</v>
      </c>
    </row>
    <row r="106" spans="1:29">
      <c r="A106" s="14" t="s">
        <v>192</v>
      </c>
      <c r="B106" s="14" t="s">
        <v>193</v>
      </c>
      <c r="C106" s="14" t="s">
        <v>194</v>
      </c>
      <c r="D106" s="14">
        <v>-0.56000000000000005</v>
      </c>
      <c r="E106" s="14">
        <v>94.053049999999999</v>
      </c>
      <c r="F106" s="14">
        <v>9.5020000000000007</v>
      </c>
      <c r="G106" s="30">
        <f>AVERAGE(L106:W106)</f>
        <v>37053423.797184847</v>
      </c>
      <c r="H106" s="30">
        <v>68270875.768385604</v>
      </c>
      <c r="I106" s="30" t="e">
        <f>G106/#REF!</f>
        <v>#REF!</v>
      </c>
      <c r="J106" s="30" t="e">
        <f>H106/#REF!</f>
        <v>#REF!</v>
      </c>
      <c r="K106" s="14">
        <v>89.2</v>
      </c>
      <c r="L106" s="30">
        <v>13462332.2595682</v>
      </c>
      <c r="M106" s="30">
        <v>13241943.0803294</v>
      </c>
      <c r="N106" s="30">
        <v>12055787.986090001</v>
      </c>
      <c r="O106" s="30">
        <v>24297532.422665</v>
      </c>
      <c r="P106" s="30">
        <v>26312018.542290401</v>
      </c>
      <c r="Q106" s="30">
        <v>60165590.440397397</v>
      </c>
      <c r="R106" s="30">
        <v>68270875.768385604</v>
      </c>
      <c r="S106" s="30">
        <v>34100801.189774297</v>
      </c>
      <c r="T106" s="30">
        <v>54335614.295065098</v>
      </c>
      <c r="U106" s="30">
        <v>45020535.142762303</v>
      </c>
      <c r="V106" s="30">
        <v>42495137.335885502</v>
      </c>
      <c r="W106" s="30">
        <v>50882917.103004999</v>
      </c>
      <c r="X106" s="35">
        <f>AVERAGE(L106:N106)</f>
        <v>12920021.108662533</v>
      </c>
      <c r="Y106" s="35">
        <f>AVERAGE(O106:Q106)</f>
        <v>36925047.135117598</v>
      </c>
      <c r="Z106" s="41">
        <f>Y106/X106</f>
        <v>2.8579711151060216</v>
      </c>
      <c r="AA106" s="42">
        <f>AVERAGE(R106:T106)</f>
        <v>52235763.751075</v>
      </c>
      <c r="AB106" s="42">
        <f>AVERAGE(U106:W106)</f>
        <v>46132863.193884261</v>
      </c>
      <c r="AC106" s="43">
        <f>AB106/AA106</f>
        <v>0.88316624245653641</v>
      </c>
    </row>
    <row r="107" spans="1:29">
      <c r="A107" s="14" t="s">
        <v>233</v>
      </c>
      <c r="B107" s="14" t="s">
        <v>234</v>
      </c>
      <c r="C107" s="14" t="s">
        <v>235</v>
      </c>
      <c r="D107" s="14">
        <v>-1.35</v>
      </c>
      <c r="E107" s="14">
        <v>134.07298</v>
      </c>
      <c r="F107" s="14">
        <v>0.97899999999999998</v>
      </c>
      <c r="G107" s="30">
        <f>AVERAGE(L107:W107)</f>
        <v>19650284.9607375</v>
      </c>
      <c r="H107" s="30">
        <v>28881878.932667401</v>
      </c>
      <c r="I107" s="30" t="e">
        <f>G107/#REF!</f>
        <v>#REF!</v>
      </c>
      <c r="J107" s="30" t="e">
        <f>H107/#REF!</f>
        <v>#REF!</v>
      </c>
      <c r="K107" s="14">
        <v>83.3</v>
      </c>
      <c r="L107" s="30">
        <v>17028418.027764499</v>
      </c>
      <c r="M107" s="30">
        <v>20152079.496474601</v>
      </c>
      <c r="N107" s="30">
        <v>19025102.8167721</v>
      </c>
      <c r="O107" s="30">
        <v>20685243.577918399</v>
      </c>
      <c r="P107" s="30">
        <v>22118165.2522997</v>
      </c>
      <c r="Q107" s="30">
        <v>28881878.932667401</v>
      </c>
      <c r="R107" s="30">
        <v>18176764.100180399</v>
      </c>
      <c r="S107" s="30">
        <v>18271699.312985599</v>
      </c>
      <c r="T107" s="30">
        <v>20912918.908558499</v>
      </c>
      <c r="U107" s="30">
        <v>14288866.9933213</v>
      </c>
      <c r="V107" s="30">
        <v>23797727.2503323</v>
      </c>
      <c r="W107" s="30">
        <v>12464554.859575201</v>
      </c>
      <c r="X107" s="35">
        <f>AVERAGE(L107:N107)</f>
        <v>18735200.113670398</v>
      </c>
      <c r="Y107" s="35">
        <f>AVERAGE(O107:Q107)</f>
        <v>23895095.920961831</v>
      </c>
      <c r="Z107" s="41">
        <f>Y107/X107</f>
        <v>1.2754118331261615</v>
      </c>
      <c r="AA107" s="42">
        <f>AVERAGE(R107:T107)</f>
        <v>19120460.773908168</v>
      </c>
      <c r="AB107" s="42">
        <f>AVERAGE(U107:W107)</f>
        <v>16850383.034409598</v>
      </c>
      <c r="AC107" s="43">
        <f>AB107/AA107</f>
        <v>0.88127494591572164</v>
      </c>
    </row>
    <row r="108" spans="1:29">
      <c r="A108" s="14" t="s">
        <v>245</v>
      </c>
      <c r="B108" s="14" t="s">
        <v>246</v>
      </c>
      <c r="C108" s="14" t="s">
        <v>247</v>
      </c>
      <c r="D108" s="14">
        <v>0.43</v>
      </c>
      <c r="E108" s="14">
        <v>72.057550000000006</v>
      </c>
      <c r="F108" s="14">
        <v>3.7290000000000001</v>
      </c>
      <c r="G108" s="30">
        <f>AVERAGE(L108:W108)</f>
        <v>17282767.5085265</v>
      </c>
      <c r="H108" s="30">
        <v>23483979.029961102</v>
      </c>
      <c r="I108" s="30" t="e">
        <f>G108/#REF!</f>
        <v>#REF!</v>
      </c>
      <c r="J108" s="30" t="e">
        <f>H108/#REF!</f>
        <v>#REF!</v>
      </c>
      <c r="K108" s="14">
        <v>84.8</v>
      </c>
      <c r="L108" s="30">
        <v>13038907.819775799</v>
      </c>
      <c r="M108" s="30">
        <v>14120716.034363501</v>
      </c>
      <c r="N108" s="30">
        <v>15999399.4852935</v>
      </c>
      <c r="O108" s="30">
        <v>23483979.029961102</v>
      </c>
      <c r="P108" s="30">
        <v>16425563.5442398</v>
      </c>
      <c r="Q108" s="30">
        <v>19844618.579926498</v>
      </c>
      <c r="R108" s="30">
        <v>17131050.3985737</v>
      </c>
      <c r="S108" s="30">
        <v>20378978.435029101</v>
      </c>
      <c r="T108" s="30">
        <v>18185215.735807601</v>
      </c>
      <c r="U108" s="30">
        <v>17602536.977177601</v>
      </c>
      <c r="V108" s="30">
        <v>14043834.329562301</v>
      </c>
      <c r="W108" s="30">
        <v>17138409.732607499</v>
      </c>
      <c r="X108" s="35">
        <f>AVERAGE(L108:N108)</f>
        <v>14386341.113144265</v>
      </c>
      <c r="Y108" s="35">
        <f>AVERAGE(O108:Q108)</f>
        <v>19918053.718042467</v>
      </c>
      <c r="Z108" s="41">
        <f>Y108/X108</f>
        <v>1.3845114307656783</v>
      </c>
      <c r="AA108" s="42">
        <f>AVERAGE(R108:T108)</f>
        <v>18565081.523136798</v>
      </c>
      <c r="AB108" s="42">
        <f>AVERAGE(U108:W108)</f>
        <v>16261593.679782467</v>
      </c>
      <c r="AC108" s="43">
        <f>AB108/AA108</f>
        <v>0.8759236343517478</v>
      </c>
    </row>
    <row r="109" spans="1:29">
      <c r="A109" s="14" t="s">
        <v>386</v>
      </c>
      <c r="B109" s="14" t="s">
        <v>387</v>
      </c>
      <c r="C109" s="14" t="s">
        <v>388</v>
      </c>
      <c r="D109" s="14">
        <v>-1.41</v>
      </c>
      <c r="E109" s="14">
        <v>238.07389000000001</v>
      </c>
      <c r="F109" s="14">
        <v>1.1040000000000001</v>
      </c>
      <c r="G109" s="30">
        <f>AVERAGE(L109:W109)</f>
        <v>2558744.8522255952</v>
      </c>
      <c r="H109" s="30">
        <v>51076026.442884997</v>
      </c>
      <c r="I109" s="30" t="e">
        <f>G109/#REF!</f>
        <v>#REF!</v>
      </c>
      <c r="J109" s="30" t="e">
        <f>H109/#REF!</f>
        <v>#REF!</v>
      </c>
      <c r="K109" s="14">
        <v>68.5</v>
      </c>
      <c r="L109" s="30">
        <v>1295452.30507334</v>
      </c>
      <c r="M109" s="30">
        <v>2142777.2935657501</v>
      </c>
      <c r="N109" s="30">
        <v>1343740.03839786</v>
      </c>
      <c r="O109" s="30">
        <v>2654965.6774201901</v>
      </c>
      <c r="P109" s="30">
        <v>1224899.34852198</v>
      </c>
      <c r="Q109" s="30">
        <v>1538437.9559090701</v>
      </c>
      <c r="R109" s="30">
        <v>3759359.6446292801</v>
      </c>
      <c r="S109" s="30">
        <v>4954288.2843159102</v>
      </c>
      <c r="T109" s="30">
        <v>2219437.5693370299</v>
      </c>
      <c r="U109" s="30">
        <v>1605440.3032994701</v>
      </c>
      <c r="V109" s="30">
        <v>6395499.6243118597</v>
      </c>
      <c r="W109" s="30">
        <v>1570640.1819253999</v>
      </c>
      <c r="X109" s="35">
        <f>AVERAGE(L109:N109)</f>
        <v>1593989.8790123167</v>
      </c>
      <c r="Y109" s="35">
        <f>AVERAGE(O109:Q109)</f>
        <v>1806100.9939504135</v>
      </c>
      <c r="Z109" s="41">
        <f>Y109/X109</f>
        <v>1.1330692984509583</v>
      </c>
      <c r="AA109" s="42">
        <f>AVERAGE(R109:T109)</f>
        <v>3644361.8327607401</v>
      </c>
      <c r="AB109" s="42">
        <f>AVERAGE(U109:W109)</f>
        <v>3190526.7031789101</v>
      </c>
      <c r="AC109" s="43">
        <f>AB109/AA109</f>
        <v>0.87546924525931802</v>
      </c>
    </row>
    <row r="110" spans="1:29">
      <c r="A110" s="14" t="s">
        <v>272</v>
      </c>
      <c r="B110" s="14" t="s">
        <v>273</v>
      </c>
      <c r="C110" s="14" t="s">
        <v>274</v>
      </c>
      <c r="D110" s="14">
        <v>-0.7</v>
      </c>
      <c r="E110" s="14">
        <v>120.05743</v>
      </c>
      <c r="F110" s="14">
        <v>1.002</v>
      </c>
      <c r="G110" s="30">
        <f>AVERAGE(L110:W110)</f>
        <v>12946989.40023764</v>
      </c>
      <c r="H110" s="30">
        <v>23663280.736215301</v>
      </c>
      <c r="I110" s="30" t="e">
        <f>G110/#REF!</f>
        <v>#REF!</v>
      </c>
      <c r="J110" s="30" t="e">
        <f>H110/#REF!</f>
        <v>#REF!</v>
      </c>
      <c r="K110" s="14">
        <v>74.400000000000006</v>
      </c>
      <c r="L110" s="30">
        <v>13137939.9177095</v>
      </c>
      <c r="M110" s="30">
        <v>21485327.530802902</v>
      </c>
      <c r="N110" s="30">
        <v>16473260.0760653</v>
      </c>
      <c r="O110" s="30">
        <v>15216261.227291699</v>
      </c>
      <c r="P110" s="30">
        <v>16402411.1703698</v>
      </c>
      <c r="Q110" s="30">
        <v>16725486.276564401</v>
      </c>
      <c r="R110" s="30">
        <v>10475019.343353599</v>
      </c>
      <c r="S110" s="30">
        <v>11234157.187458999</v>
      </c>
      <c r="T110" s="30">
        <v>8111220.70546884</v>
      </c>
      <c r="U110" s="30">
        <v>8232923.1441304097</v>
      </c>
      <c r="V110" s="30">
        <v>9170773.4871159103</v>
      </c>
      <c r="W110" s="30">
        <v>8699092.7365202792</v>
      </c>
      <c r="X110" s="35">
        <f>AVERAGE(L110:N110)</f>
        <v>17032175.841525901</v>
      </c>
      <c r="Y110" s="35">
        <f>AVERAGE(O110:Q110)</f>
        <v>16114719.558075299</v>
      </c>
      <c r="Z110" s="41">
        <f>Y110/X110</f>
        <v>0.94613393544154445</v>
      </c>
      <c r="AA110" s="42">
        <f>AVERAGE(R110:T110)</f>
        <v>9940132.4120938126</v>
      </c>
      <c r="AB110" s="42">
        <f>AVERAGE(U110:W110)</f>
        <v>8700929.7892555334</v>
      </c>
      <c r="AC110" s="43">
        <f>AB110/AA110</f>
        <v>0.87533338878558753</v>
      </c>
    </row>
    <row r="111" spans="1:29">
      <c r="A111" s="14" t="s">
        <v>251</v>
      </c>
      <c r="B111" s="14" t="s">
        <v>252</v>
      </c>
      <c r="C111" s="14" t="s">
        <v>253</v>
      </c>
      <c r="D111" s="14">
        <v>-0.94</v>
      </c>
      <c r="E111" s="14">
        <v>143.09449000000001</v>
      </c>
      <c r="F111" s="14">
        <v>3.7309999999999999</v>
      </c>
      <c r="G111" s="30">
        <f>AVERAGE(L111:W111)</f>
        <v>17630471.183126513</v>
      </c>
      <c r="H111" s="30">
        <v>34071033.590477303</v>
      </c>
      <c r="I111" s="30" t="e">
        <f>G111/#REF!</f>
        <v>#REF!</v>
      </c>
      <c r="J111" s="30" t="e">
        <f>H111/#REF!</f>
        <v>#REF!</v>
      </c>
      <c r="K111" s="14" t="s">
        <v>254</v>
      </c>
      <c r="L111" s="30">
        <v>4046899.1955459402</v>
      </c>
      <c r="M111" s="30">
        <v>5728355.4100309201</v>
      </c>
      <c r="N111" s="30">
        <v>5466651.06142125</v>
      </c>
      <c r="O111" s="30">
        <v>14795135.1775245</v>
      </c>
      <c r="P111" s="30">
        <v>10358602.368329599</v>
      </c>
      <c r="Q111" s="30">
        <v>4201471.9877459602</v>
      </c>
      <c r="R111" s="30">
        <v>33483030.323604099</v>
      </c>
      <c r="S111" s="30">
        <v>23081075.615043901</v>
      </c>
      <c r="T111" s="30">
        <v>34071033.590477303</v>
      </c>
      <c r="U111" s="30">
        <v>24859883.6730843</v>
      </c>
      <c r="V111" s="30">
        <v>22379987.568987299</v>
      </c>
      <c r="W111" s="30">
        <v>29093528.225723099</v>
      </c>
      <c r="X111" s="35">
        <f>AVERAGE(L111:N111)</f>
        <v>5080635.2223327039</v>
      </c>
      <c r="Y111" s="35">
        <f>AVERAGE(O111:Q111)</f>
        <v>9785069.8445333522</v>
      </c>
      <c r="Z111" s="41">
        <f>Y111/X111</f>
        <v>1.9259540227414067</v>
      </c>
      <c r="AA111" s="42">
        <f>AVERAGE(R111:T111)</f>
        <v>30211713.176375102</v>
      </c>
      <c r="AB111" s="42">
        <f>AVERAGE(U111:W111)</f>
        <v>25444466.489264902</v>
      </c>
      <c r="AC111" s="43">
        <f>AB111/AA111</f>
        <v>0.84220535064399848</v>
      </c>
    </row>
    <row r="112" spans="1:29">
      <c r="A112" s="14" t="s">
        <v>195</v>
      </c>
      <c r="B112" s="14" t="s">
        <v>196</v>
      </c>
      <c r="C112" s="14" t="s">
        <v>155</v>
      </c>
      <c r="D112" s="14">
        <v>-1.43</v>
      </c>
      <c r="E112" s="14">
        <v>192.02672999999999</v>
      </c>
      <c r="F112" s="14">
        <v>8.5419999999999998</v>
      </c>
      <c r="G112" s="30">
        <f>AVERAGE(L112:W112)</f>
        <v>31534660.118448734</v>
      </c>
      <c r="H112" s="30">
        <v>54471466.664724499</v>
      </c>
      <c r="I112" s="30" t="e">
        <f>G112/#REF!</f>
        <v>#REF!</v>
      </c>
      <c r="J112" s="30" t="e">
        <f>H112/#REF!</f>
        <v>#REF!</v>
      </c>
      <c r="K112" s="14">
        <v>93.4</v>
      </c>
      <c r="L112" s="30">
        <v>16827344.802733701</v>
      </c>
      <c r="M112" s="30">
        <v>43078494.519342802</v>
      </c>
      <c r="N112" s="30">
        <v>35704455.962901197</v>
      </c>
      <c r="O112" s="30">
        <v>34468422.253389001</v>
      </c>
      <c r="P112" s="30">
        <v>34513498.563921101</v>
      </c>
      <c r="Q112" s="30">
        <v>30655448.068611301</v>
      </c>
      <c r="R112" s="30">
        <v>27421093.383430701</v>
      </c>
      <c r="S112" s="30">
        <v>37182667.451168902</v>
      </c>
      <c r="T112" s="30">
        <v>35338587.314889699</v>
      </c>
      <c r="U112" s="30">
        <v>27732868.677692</v>
      </c>
      <c r="V112" s="30">
        <v>24745088.72772</v>
      </c>
      <c r="W112" s="30">
        <v>30747951.695584401</v>
      </c>
      <c r="X112" s="35">
        <f>AVERAGE(L112:N112)</f>
        <v>31870098.428325903</v>
      </c>
      <c r="Y112" s="35">
        <f>AVERAGE(O112:Q112)</f>
        <v>33212456.29530713</v>
      </c>
      <c r="Z112" s="41">
        <f>Y112/X112</f>
        <v>1.0421196649266746</v>
      </c>
      <c r="AA112" s="42">
        <f>AVERAGE(R112:T112)</f>
        <v>33314116.049829766</v>
      </c>
      <c r="AB112" s="42">
        <f>AVERAGE(U112:W112)</f>
        <v>27741969.700332135</v>
      </c>
      <c r="AC112" s="43">
        <f>AB112/AA112</f>
        <v>0.83273918055748308</v>
      </c>
    </row>
    <row r="113" spans="1:29">
      <c r="A113" s="14" t="s">
        <v>407</v>
      </c>
      <c r="B113" s="14" t="s">
        <v>408</v>
      </c>
      <c r="C113" s="14" t="s">
        <v>409</v>
      </c>
      <c r="D113" s="14">
        <v>-0.53</v>
      </c>
      <c r="E113" s="14">
        <v>169.08503999999999</v>
      </c>
      <c r="F113" s="14">
        <v>10.295999999999999</v>
      </c>
      <c r="G113" s="30">
        <f>AVERAGE(L113:W113)</f>
        <v>5452870.5195551766</v>
      </c>
      <c r="H113" s="30">
        <v>16460651.333241001</v>
      </c>
      <c r="I113" s="30" t="e">
        <f>G113/#REF!</f>
        <v>#REF!</v>
      </c>
      <c r="J113" s="30" t="e">
        <f>H113/#REF!</f>
        <v>#REF!</v>
      </c>
      <c r="K113" s="14">
        <v>71.5</v>
      </c>
      <c r="L113" s="30">
        <v>1105972.4335892</v>
      </c>
      <c r="M113" s="30">
        <v>1585663.4929967399</v>
      </c>
      <c r="N113" s="30">
        <v>958698.06472831999</v>
      </c>
      <c r="O113" s="30">
        <v>3067917.2037807298</v>
      </c>
      <c r="P113" s="30">
        <v>4587667.0500848303</v>
      </c>
      <c r="Q113" s="30">
        <v>13471013.259011099</v>
      </c>
      <c r="R113" s="30">
        <v>13311413.1032071</v>
      </c>
      <c r="S113" s="30">
        <v>2146377.3387368699</v>
      </c>
      <c r="T113" s="30">
        <v>6811481.42872582</v>
      </c>
      <c r="U113" s="30">
        <v>6166475.1446031099</v>
      </c>
      <c r="V113" s="30">
        <v>6231655.9937089402</v>
      </c>
      <c r="W113" s="30">
        <v>5990111.7214893699</v>
      </c>
      <c r="X113" s="35">
        <f>AVERAGE(L113:N113)</f>
        <v>1216777.9971047533</v>
      </c>
      <c r="Y113" s="35">
        <f>AVERAGE(O113:Q113)</f>
        <v>7042199.1709588869</v>
      </c>
      <c r="Z113" s="41">
        <f>Y113/X113</f>
        <v>5.7875793182613071</v>
      </c>
      <c r="AA113" s="42">
        <f>AVERAGE(R113:T113)</f>
        <v>7423090.6235565962</v>
      </c>
      <c r="AB113" s="42">
        <f>AVERAGE(U113:W113)</f>
        <v>6129414.2866004733</v>
      </c>
      <c r="AC113" s="43">
        <f>AB113/AA113</f>
        <v>0.82572268040878516</v>
      </c>
    </row>
    <row r="114" spans="1:29">
      <c r="A114" s="14" t="s">
        <v>90</v>
      </c>
      <c r="B114" s="14" t="s">
        <v>91</v>
      </c>
      <c r="C114" s="14" t="s">
        <v>45</v>
      </c>
      <c r="D114" s="14">
        <v>-2.25</v>
      </c>
      <c r="E114" s="14">
        <v>129.04230000000001</v>
      </c>
      <c r="F114" s="14">
        <v>1.764</v>
      </c>
      <c r="G114" s="30">
        <f>AVERAGE(L114:W114)</f>
        <v>113352298.48638117</v>
      </c>
      <c r="H114" s="30">
        <v>189427711.90052399</v>
      </c>
      <c r="I114" s="30" t="e">
        <f>G114/#REF!</f>
        <v>#REF!</v>
      </c>
      <c r="J114" s="30" t="e">
        <f>H114/#REF!</f>
        <v>#REF!</v>
      </c>
      <c r="K114" s="14">
        <v>83.8</v>
      </c>
      <c r="L114" s="30">
        <v>134006811.703796</v>
      </c>
      <c r="M114" s="30">
        <v>164180196.96954101</v>
      </c>
      <c r="N114" s="30">
        <v>102308839.135833</v>
      </c>
      <c r="O114" s="30">
        <v>189427711.90052399</v>
      </c>
      <c r="P114" s="30">
        <v>106983602.80212399</v>
      </c>
      <c r="Q114" s="30">
        <v>120675769.471325</v>
      </c>
      <c r="R114" s="30">
        <v>75172720.480045393</v>
      </c>
      <c r="S114" s="30">
        <v>143850751.48045799</v>
      </c>
      <c r="T114" s="30">
        <v>79543264.433226794</v>
      </c>
      <c r="U114" s="30">
        <v>85268777.626215994</v>
      </c>
      <c r="V114" s="30">
        <v>94990669.603528902</v>
      </c>
      <c r="W114" s="30">
        <v>63818466.229956001</v>
      </c>
      <c r="X114" s="35">
        <f>AVERAGE(L114:N114)</f>
        <v>133498615.93639</v>
      </c>
      <c r="Y114" s="35">
        <f>AVERAGE(O114:Q114)</f>
        <v>139029028.057991</v>
      </c>
      <c r="Z114" s="41">
        <f>Y114/X114</f>
        <v>1.0414267375194073</v>
      </c>
      <c r="AA114" s="42">
        <f>AVERAGE(R114:T114)</f>
        <v>99522245.464576721</v>
      </c>
      <c r="AB114" s="42">
        <f>AVERAGE(U114:W114)</f>
        <v>81359304.486566976</v>
      </c>
      <c r="AC114" s="43">
        <f>AB114/AA114</f>
        <v>0.81749868189545083</v>
      </c>
    </row>
    <row r="115" spans="1:29">
      <c r="A115" s="14" t="s">
        <v>257</v>
      </c>
      <c r="B115" s="14" t="s">
        <v>258</v>
      </c>
      <c r="C115" s="14" t="s">
        <v>259</v>
      </c>
      <c r="D115" s="14">
        <v>-0.09</v>
      </c>
      <c r="E115" s="14">
        <v>189.06370999999999</v>
      </c>
      <c r="F115" s="14">
        <v>8.952</v>
      </c>
      <c r="G115" s="30">
        <f>AVERAGE(L115:W115)</f>
        <v>16917842.031915471</v>
      </c>
      <c r="H115" s="30">
        <v>27186604.725554999</v>
      </c>
      <c r="I115" s="30" t="e">
        <f>G115/#REF!</f>
        <v>#REF!</v>
      </c>
      <c r="J115" s="30" t="e">
        <f>H115/#REF!</f>
        <v>#REF!</v>
      </c>
      <c r="K115" s="14">
        <v>75.2</v>
      </c>
      <c r="L115" s="30">
        <v>12926625.9367062</v>
      </c>
      <c r="M115" s="30">
        <v>13651325.714539601</v>
      </c>
      <c r="N115" s="30">
        <v>8866071.1501341593</v>
      </c>
      <c r="O115" s="30">
        <v>14686227.104098899</v>
      </c>
      <c r="P115" s="30">
        <v>13729288.6518755</v>
      </c>
      <c r="Q115" s="30">
        <v>27186604.725554999</v>
      </c>
      <c r="R115" s="30">
        <v>15734126.828639301</v>
      </c>
      <c r="S115" s="30">
        <v>21699061.507106598</v>
      </c>
      <c r="T115" s="30">
        <v>24294095.7889321</v>
      </c>
      <c r="U115" s="30">
        <v>14566445.225866901</v>
      </c>
      <c r="V115" s="30">
        <v>17758564.396167401</v>
      </c>
      <c r="W115" s="30">
        <v>17915667.353363998</v>
      </c>
      <c r="X115" s="35">
        <f>AVERAGE(L115:N115)</f>
        <v>11814674.267126655</v>
      </c>
      <c r="Y115" s="35">
        <f>AVERAGE(O115:Q115)</f>
        <v>18534040.160509799</v>
      </c>
      <c r="Z115" s="41">
        <f>Y115/X115</f>
        <v>1.5687305245544703</v>
      </c>
      <c r="AA115" s="42">
        <f>AVERAGE(R115:T115)</f>
        <v>20575761.374892667</v>
      </c>
      <c r="AB115" s="42">
        <f>AVERAGE(U115:W115)</f>
        <v>16746892.325132767</v>
      </c>
      <c r="AC115" s="43">
        <f>AB115/AA115</f>
        <v>0.81391361515146488</v>
      </c>
    </row>
    <row r="116" spans="1:29">
      <c r="A116" s="14" t="s">
        <v>437</v>
      </c>
      <c r="B116" s="14" t="s">
        <v>438</v>
      </c>
      <c r="C116" s="14" t="s">
        <v>439</v>
      </c>
      <c r="D116" s="14">
        <v>-1.37</v>
      </c>
      <c r="E116" s="14">
        <v>334.05614000000003</v>
      </c>
      <c r="F116" s="14">
        <v>10.574</v>
      </c>
      <c r="G116" s="30">
        <f>AVERAGE(L116:W116)</f>
        <v>3778686.562252806</v>
      </c>
      <c r="H116" s="30">
        <v>9315873.0919484906</v>
      </c>
      <c r="I116" s="30" t="e">
        <f>G116/#REF!</f>
        <v>#REF!</v>
      </c>
      <c r="J116" s="30" t="e">
        <f>H116/#REF!</f>
        <v>#REF!</v>
      </c>
      <c r="K116" s="14">
        <v>84.6</v>
      </c>
      <c r="L116" s="30">
        <v>2468617.5008016299</v>
      </c>
      <c r="M116" s="30">
        <v>1792053.7544128399</v>
      </c>
      <c r="N116" s="30">
        <v>1612995.79912644</v>
      </c>
      <c r="O116" s="30">
        <v>1781539.33113152</v>
      </c>
      <c r="P116" s="30">
        <v>1697417.79628546</v>
      </c>
      <c r="Q116" s="30">
        <v>1504350.18600638</v>
      </c>
      <c r="R116" s="30">
        <v>5989548.5269731898</v>
      </c>
      <c r="S116" s="30">
        <v>3842666.0042354199</v>
      </c>
      <c r="T116" s="30">
        <v>9315873.0919484906</v>
      </c>
      <c r="U116" s="30">
        <v>5189882.0443238104</v>
      </c>
      <c r="V116" s="30">
        <v>4351815.4973574197</v>
      </c>
      <c r="W116" s="30">
        <v>5797479.2144310698</v>
      </c>
      <c r="X116" s="35">
        <f>AVERAGE(L116:N116)</f>
        <v>1957889.0181136364</v>
      </c>
      <c r="Y116" s="35">
        <f>AVERAGE(O116:Q116)</f>
        <v>1661102.4378077865</v>
      </c>
      <c r="Z116" s="41">
        <f>Y116/X116</f>
        <v>0.84841501353749138</v>
      </c>
      <c r="AA116" s="42">
        <f>AVERAGE(R116:T116)</f>
        <v>6382695.8743856996</v>
      </c>
      <c r="AB116" s="42">
        <f>AVERAGE(U116:W116)</f>
        <v>5113058.9187041</v>
      </c>
      <c r="AC116" s="43">
        <f>AB116/AA116</f>
        <v>0.80108139559386493</v>
      </c>
    </row>
    <row r="117" spans="1:29">
      <c r="A117" s="14" t="s">
        <v>344</v>
      </c>
      <c r="B117" s="14" t="s">
        <v>345</v>
      </c>
      <c r="C117" s="14" t="s">
        <v>346</v>
      </c>
      <c r="D117" s="14">
        <v>-0.63</v>
      </c>
      <c r="E117" s="14">
        <v>275.11156</v>
      </c>
      <c r="F117" s="14">
        <v>8.8260000000000005</v>
      </c>
      <c r="G117" s="30">
        <f>AVERAGE(L117:W117)</f>
        <v>9778395.4501750413</v>
      </c>
      <c r="H117" s="30">
        <v>17095863.7291186</v>
      </c>
      <c r="I117" s="30" t="e">
        <f>G117/#REF!</f>
        <v>#REF!</v>
      </c>
      <c r="J117" s="30" t="e">
        <f>H117/#REF!</f>
        <v>#REF!</v>
      </c>
      <c r="K117" s="14">
        <v>60.2</v>
      </c>
      <c r="L117" s="30">
        <v>7869364.3393551297</v>
      </c>
      <c r="M117" s="30">
        <v>7344501.8612918798</v>
      </c>
      <c r="N117" s="30">
        <v>5042160.3538119504</v>
      </c>
      <c r="O117" s="30">
        <v>6092376.3633728102</v>
      </c>
      <c r="P117" s="30">
        <v>9438054.7068795506</v>
      </c>
      <c r="Q117" s="30">
        <v>10704874.8655384</v>
      </c>
      <c r="R117" s="30">
        <v>10171105.961727601</v>
      </c>
      <c r="S117" s="30">
        <v>12107852.446649101</v>
      </c>
      <c r="T117" s="30">
        <v>17095863.7291186</v>
      </c>
      <c r="U117" s="30">
        <v>9063111.3456200995</v>
      </c>
      <c r="V117" s="30">
        <v>12515380.6704694</v>
      </c>
      <c r="W117" s="30">
        <v>9896098.7582659703</v>
      </c>
      <c r="X117" s="35">
        <f>AVERAGE(L117:N117)</f>
        <v>6752008.8514863206</v>
      </c>
      <c r="Y117" s="35">
        <f>AVERAGE(O117:Q117)</f>
        <v>8745101.9785969201</v>
      </c>
      <c r="Z117" s="41">
        <f>Y117/X117</f>
        <v>1.2951852064992273</v>
      </c>
      <c r="AA117" s="42">
        <f>AVERAGE(R117:T117)</f>
        <v>13124940.712498434</v>
      </c>
      <c r="AB117" s="42">
        <f>AVERAGE(U117:W117)</f>
        <v>10491530.25811849</v>
      </c>
      <c r="AC117" s="43">
        <f>AB117/AA117</f>
        <v>0.799358297148555</v>
      </c>
    </row>
    <row r="118" spans="1:29">
      <c r="A118" s="14" t="s">
        <v>434</v>
      </c>
      <c r="B118" s="14" t="s">
        <v>435</v>
      </c>
      <c r="C118" s="14" t="s">
        <v>436</v>
      </c>
      <c r="D118" s="14">
        <v>-0.5</v>
      </c>
      <c r="E118" s="14">
        <v>150.05275</v>
      </c>
      <c r="F118" s="14">
        <v>3.5990000000000002</v>
      </c>
      <c r="G118" s="30">
        <f>AVERAGE(L118:W118)</f>
        <v>3651791.466190448</v>
      </c>
      <c r="H118" s="30">
        <v>7545444.8674894599</v>
      </c>
      <c r="I118" s="30" t="e">
        <f>G118/#REF!</f>
        <v>#REF!</v>
      </c>
      <c r="J118" s="30" t="e">
        <f>H118/#REF!</f>
        <v>#REF!</v>
      </c>
      <c r="K118" s="14">
        <v>68.2</v>
      </c>
      <c r="L118" s="30">
        <v>4471229.44368775</v>
      </c>
      <c r="M118" s="30">
        <v>3999025.3520590998</v>
      </c>
      <c r="N118" s="30">
        <v>7545444.8674894599</v>
      </c>
      <c r="O118" s="30">
        <v>5848364.6097747302</v>
      </c>
      <c r="P118" s="30">
        <v>2017508.0950286801</v>
      </c>
      <c r="Q118" s="30">
        <v>941287.90925967705</v>
      </c>
      <c r="R118" s="30">
        <v>1054088.5947988699</v>
      </c>
      <c r="S118" s="30">
        <v>4674104.3626316302</v>
      </c>
      <c r="T118" s="30">
        <v>4862137.1958203204</v>
      </c>
      <c r="U118" s="30">
        <v>3153668.9487231802</v>
      </c>
      <c r="V118" s="30">
        <v>3739867.00473744</v>
      </c>
      <c r="W118" s="30">
        <v>1514771.2102745399</v>
      </c>
      <c r="X118" s="35">
        <f>AVERAGE(L118:N118)</f>
        <v>5338566.5544121033</v>
      </c>
      <c r="Y118" s="35">
        <f>AVERAGE(O118:Q118)</f>
        <v>2935720.204687696</v>
      </c>
      <c r="Z118" s="41">
        <f>Y118/X118</f>
        <v>0.54990795277459736</v>
      </c>
      <c r="AA118" s="42">
        <f>AVERAGE(R118:T118)</f>
        <v>3530110.0510836071</v>
      </c>
      <c r="AB118" s="42">
        <f>AVERAGE(U118:W118)</f>
        <v>2802769.0545783867</v>
      </c>
      <c r="AC118" s="43">
        <f>AB118/AA118</f>
        <v>0.79396081539102303</v>
      </c>
    </row>
    <row r="119" spans="1:29">
      <c r="A119" s="14" t="s">
        <v>209</v>
      </c>
      <c r="B119" s="14" t="s">
        <v>210</v>
      </c>
      <c r="C119" s="14" t="s">
        <v>211</v>
      </c>
      <c r="D119" s="14">
        <v>2.65</v>
      </c>
      <c r="E119" s="14">
        <v>215.1891</v>
      </c>
      <c r="F119" s="14">
        <v>1.081</v>
      </c>
      <c r="G119" s="30">
        <f>AVERAGE(L119:W119)</f>
        <v>28067933.781743091</v>
      </c>
      <c r="H119" s="30">
        <v>44117526.904407904</v>
      </c>
      <c r="I119" s="30" t="e">
        <f>G119/#REF!</f>
        <v>#REF!</v>
      </c>
      <c r="J119" s="30" t="e">
        <f>H119/#REF!</f>
        <v>#REF!</v>
      </c>
      <c r="K119" s="14">
        <v>69.599999999999994</v>
      </c>
      <c r="L119" s="30">
        <v>20509629.4715949</v>
      </c>
      <c r="M119" s="30">
        <v>29760636.014489699</v>
      </c>
      <c r="N119" s="30">
        <v>39398726.438359201</v>
      </c>
      <c r="O119" s="30">
        <v>44117526.904407904</v>
      </c>
      <c r="P119" s="30">
        <v>28355221.336435501</v>
      </c>
      <c r="Q119" s="30">
        <v>28711240.463926401</v>
      </c>
      <c r="R119" s="30">
        <v>26162914.889679499</v>
      </c>
      <c r="S119" s="30">
        <v>20104001.877620298</v>
      </c>
      <c r="T119" s="30">
        <v>35243594.725829802</v>
      </c>
      <c r="U119" s="30">
        <v>22022677.149472401</v>
      </c>
      <c r="V119" s="30">
        <v>19650281.4914071</v>
      </c>
      <c r="W119" s="30">
        <v>22778754.6176944</v>
      </c>
      <c r="X119" s="35">
        <f>AVERAGE(L119:N119)</f>
        <v>29889663.974814598</v>
      </c>
      <c r="Y119" s="35">
        <f>AVERAGE(O119:Q119)</f>
        <v>33727996.234923266</v>
      </c>
      <c r="Z119" s="41">
        <f>Y119/X119</f>
        <v>1.1284167083090293</v>
      </c>
      <c r="AA119" s="42">
        <f>AVERAGE(R119:T119)</f>
        <v>27170170.49770987</v>
      </c>
      <c r="AB119" s="42">
        <f>AVERAGE(U119:W119)</f>
        <v>21483904.419524632</v>
      </c>
      <c r="AC119" s="43">
        <f>AB119/AA119</f>
        <v>0.79071658462119243</v>
      </c>
    </row>
    <row r="120" spans="1:29">
      <c r="A120" s="14" t="s">
        <v>472</v>
      </c>
      <c r="B120" s="14" t="s">
        <v>473</v>
      </c>
      <c r="C120" s="14" t="s">
        <v>474</v>
      </c>
      <c r="D120" s="14">
        <v>-0.33</v>
      </c>
      <c r="E120" s="14">
        <v>188.12726000000001</v>
      </c>
      <c r="F120" s="14">
        <v>10.41</v>
      </c>
      <c r="G120" s="30">
        <f>AVERAGE(L120:W120)</f>
        <v>1890602.709352222</v>
      </c>
      <c r="H120" s="30">
        <v>4069085.5183561598</v>
      </c>
      <c r="I120" s="30" t="e">
        <f>G120/#REF!</f>
        <v>#REF!</v>
      </c>
      <c r="J120" s="30" t="e">
        <f>H120/#REF!</f>
        <v>#REF!</v>
      </c>
      <c r="K120" s="14">
        <v>65.5</v>
      </c>
      <c r="L120" s="30">
        <v>851236.40455929795</v>
      </c>
      <c r="M120" s="30">
        <v>2241726.2527781702</v>
      </c>
      <c r="N120" s="30">
        <v>1182257.1692131299</v>
      </c>
      <c r="O120" s="30">
        <v>854488.13351975603</v>
      </c>
      <c r="P120" s="30">
        <v>559531.86212647206</v>
      </c>
      <c r="Q120" s="30">
        <v>596221.88847465499</v>
      </c>
      <c r="R120" s="30">
        <v>2001812.93734918</v>
      </c>
      <c r="S120" s="30">
        <v>4069085.5183561598</v>
      </c>
      <c r="T120" s="30">
        <v>3144962.2339070998</v>
      </c>
      <c r="U120" s="30">
        <v>2482555.5946709299</v>
      </c>
      <c r="V120" s="30">
        <v>2403466.7606125199</v>
      </c>
      <c r="W120" s="30">
        <v>2299887.7566592898</v>
      </c>
      <c r="X120" s="35">
        <f>AVERAGE(L120:N120)</f>
        <v>1425073.275516866</v>
      </c>
      <c r="Y120" s="35">
        <f>AVERAGE(O120:Q120)</f>
        <v>670080.62804029428</v>
      </c>
      <c r="Z120" s="41">
        <f>Y120/X120</f>
        <v>0.47020784092471302</v>
      </c>
      <c r="AA120" s="42">
        <f>AVERAGE(R120:T120)</f>
        <v>3071953.5632041469</v>
      </c>
      <c r="AB120" s="42">
        <f>AVERAGE(U120:W120)</f>
        <v>2395303.3706475799</v>
      </c>
      <c r="AC120" s="43">
        <f>AB120/AA120</f>
        <v>0.77973293585505932</v>
      </c>
    </row>
    <row r="121" spans="1:29">
      <c r="A121" s="14" t="s">
        <v>516</v>
      </c>
      <c r="B121" s="14" t="s">
        <v>517</v>
      </c>
      <c r="C121" s="14" t="s">
        <v>518</v>
      </c>
      <c r="D121" s="14">
        <v>-3.26</v>
      </c>
      <c r="E121" s="14">
        <v>108.03267</v>
      </c>
      <c r="F121" s="14">
        <v>10.760999999999999</v>
      </c>
      <c r="G121" s="30">
        <f>AVERAGE(L121:W121)</f>
        <v>61849.582665625348</v>
      </c>
      <c r="H121" s="30">
        <v>531674.61947260494</v>
      </c>
      <c r="I121" s="30" t="e">
        <f>G121/#REF!</f>
        <v>#REF!</v>
      </c>
      <c r="J121" s="30" t="e">
        <f>H121/#REF!</f>
        <v>#REF!</v>
      </c>
      <c r="K121" s="14">
        <v>63.2</v>
      </c>
      <c r="L121" s="30">
        <v>87300.842173490004</v>
      </c>
      <c r="M121" s="30">
        <v>49014.405251682401</v>
      </c>
      <c r="N121" s="30">
        <v>27897.8782194794</v>
      </c>
      <c r="O121" s="30">
        <v>33615.207608164797</v>
      </c>
      <c r="P121" s="30">
        <v>77885.982867755607</v>
      </c>
      <c r="Q121" s="30">
        <v>199936.80566731101</v>
      </c>
      <c r="R121" s="30">
        <v>32964.272263247301</v>
      </c>
      <c r="S121" s="30">
        <v>28417.708910244601</v>
      </c>
      <c r="T121" s="30">
        <v>88412.415449226304</v>
      </c>
      <c r="U121" s="30">
        <v>52542.310850305497</v>
      </c>
      <c r="V121" s="30">
        <v>31759.511361055698</v>
      </c>
      <c r="W121" s="30">
        <v>32447.651365541598</v>
      </c>
      <c r="X121" s="35">
        <f>AVERAGE(L121:N121)</f>
        <v>54737.708548217277</v>
      </c>
      <c r="Y121" s="35">
        <f>AVERAGE(O121:Q121)</f>
        <v>103812.66538107714</v>
      </c>
      <c r="Z121" s="41">
        <f>Y121/X121</f>
        <v>1.8965475196980666</v>
      </c>
      <c r="AA121" s="42">
        <f>AVERAGE(R121:T121)</f>
        <v>49931.465540906065</v>
      </c>
      <c r="AB121" s="42">
        <f>AVERAGE(U121:W121)</f>
        <v>38916.491192300928</v>
      </c>
      <c r="AC121" s="43">
        <f>AB121/AA121</f>
        <v>0.77939813644001332</v>
      </c>
    </row>
    <row r="122" spans="1:29">
      <c r="A122" s="14" t="s">
        <v>206</v>
      </c>
      <c r="B122" s="14" t="s">
        <v>207</v>
      </c>
      <c r="C122" s="14" t="s">
        <v>208</v>
      </c>
      <c r="D122" s="14">
        <v>-1.52</v>
      </c>
      <c r="E122" s="14">
        <v>189.09981999999999</v>
      </c>
      <c r="F122" s="14">
        <v>7.3</v>
      </c>
      <c r="G122" s="30">
        <f>AVERAGE(L122:W122)</f>
        <v>30154200.492421586</v>
      </c>
      <c r="H122" s="30">
        <v>69424734.685481697</v>
      </c>
      <c r="I122" s="30" t="e">
        <f>G122/#REF!</f>
        <v>#REF!</v>
      </c>
      <c r="J122" s="30" t="e">
        <f>H122/#REF!</f>
        <v>#REF!</v>
      </c>
      <c r="K122" s="14">
        <v>61.3</v>
      </c>
      <c r="L122" s="30">
        <v>7187085.2921154397</v>
      </c>
      <c r="M122" s="30">
        <v>8609659.0803033393</v>
      </c>
      <c r="N122" s="30">
        <v>24396415.710083399</v>
      </c>
      <c r="O122" s="30">
        <v>69424734.685481697</v>
      </c>
      <c r="P122" s="30">
        <v>67794763.621030599</v>
      </c>
      <c r="Q122" s="30">
        <v>8585523.8031493109</v>
      </c>
      <c r="R122" s="30">
        <v>46855030.194251001</v>
      </c>
      <c r="S122" s="30">
        <v>33119193.423620299</v>
      </c>
      <c r="T122" s="30">
        <v>19114998.6207885</v>
      </c>
      <c r="U122" s="30">
        <v>29980762.138951</v>
      </c>
      <c r="V122" s="30">
        <v>20310341.676099099</v>
      </c>
      <c r="W122" s="30">
        <v>26471897.663185298</v>
      </c>
      <c r="X122" s="35">
        <f>AVERAGE(L122:N122)</f>
        <v>13397720.027500726</v>
      </c>
      <c r="Y122" s="35">
        <f>AVERAGE(O122:Q122)</f>
        <v>48601674.036553867</v>
      </c>
      <c r="Z122" s="41">
        <f>Y122/X122</f>
        <v>3.6276078270625165</v>
      </c>
      <c r="AA122" s="42">
        <f>AVERAGE(R122:T122)</f>
        <v>33029740.746219933</v>
      </c>
      <c r="AB122" s="42">
        <f>AVERAGE(U122:W122)</f>
        <v>25587667.159411799</v>
      </c>
      <c r="AC122" s="43">
        <f>AB122/AA122</f>
        <v>0.77468567967310376</v>
      </c>
    </row>
    <row r="123" spans="1:29">
      <c r="A123" s="14" t="s">
        <v>507</v>
      </c>
      <c r="B123" s="14" t="s">
        <v>508</v>
      </c>
      <c r="C123" s="14" t="s">
        <v>462</v>
      </c>
      <c r="D123" s="14">
        <v>0.44</v>
      </c>
      <c r="E123" s="14">
        <v>108.0688</v>
      </c>
      <c r="F123" s="14">
        <v>17.690999999999999</v>
      </c>
      <c r="G123" s="30">
        <f>AVERAGE(L123:W123)</f>
        <v>447642.70437762508</v>
      </c>
      <c r="H123" s="30">
        <v>2185696.8394955001</v>
      </c>
      <c r="I123" s="30" t="e">
        <f>G123/#REF!</f>
        <v>#REF!</v>
      </c>
      <c r="J123" s="30" t="e">
        <f>H123/#REF!</f>
        <v>#REF!</v>
      </c>
      <c r="K123" s="14">
        <v>67.400000000000006</v>
      </c>
      <c r="L123" s="30">
        <v>317841.34929637797</v>
      </c>
      <c r="M123" s="30">
        <v>488609.73719778098</v>
      </c>
      <c r="N123" s="30">
        <v>406465.58042675903</v>
      </c>
      <c r="O123" s="30">
        <v>425966.62924617599</v>
      </c>
      <c r="P123" s="30">
        <v>485129.26619149401</v>
      </c>
      <c r="Q123" s="30">
        <v>428655.39119059697</v>
      </c>
      <c r="R123" s="30">
        <v>499613.97779544198</v>
      </c>
      <c r="S123" s="30">
        <v>429150.39882568998</v>
      </c>
      <c r="T123" s="30">
        <v>667466.24766572297</v>
      </c>
      <c r="U123" s="30">
        <v>359744.76333921502</v>
      </c>
      <c r="V123" s="30">
        <v>434095.53809259302</v>
      </c>
      <c r="W123" s="30">
        <v>428973.57326365297</v>
      </c>
      <c r="X123" s="35">
        <f>AVERAGE(L123:N123)</f>
        <v>404305.55564030603</v>
      </c>
      <c r="Y123" s="35">
        <f>AVERAGE(O123:Q123)</f>
        <v>446583.76220942225</v>
      </c>
      <c r="Z123" s="41">
        <f>Y123/X123</f>
        <v>1.1045699372153308</v>
      </c>
      <c r="AA123" s="42">
        <f>AVERAGE(R123:T123)</f>
        <v>532076.87476228504</v>
      </c>
      <c r="AB123" s="42">
        <f>AVERAGE(U123:W123)</f>
        <v>407604.624898487</v>
      </c>
      <c r="AC123" s="43">
        <f>AB123/AA123</f>
        <v>0.76606340969167608</v>
      </c>
    </row>
    <row r="124" spans="1:29">
      <c r="A124" s="14" t="s">
        <v>443</v>
      </c>
      <c r="B124" s="14" t="s">
        <v>444</v>
      </c>
      <c r="C124" s="14" t="s">
        <v>445</v>
      </c>
      <c r="D124" s="14">
        <v>-0.48</v>
      </c>
      <c r="E124" s="14">
        <v>162.04284999999999</v>
      </c>
      <c r="F124" s="14">
        <v>0.92900000000000005</v>
      </c>
      <c r="G124" s="30">
        <f>AVERAGE(L124:W124)</f>
        <v>2664748.8536493187</v>
      </c>
      <c r="H124" s="30">
        <v>7116413.8321003001</v>
      </c>
      <c r="I124" s="30" t="e">
        <f>G124/#REF!</f>
        <v>#REF!</v>
      </c>
      <c r="J124" s="30" t="e">
        <f>H124/#REF!</f>
        <v>#REF!</v>
      </c>
      <c r="K124" s="14">
        <v>59.3</v>
      </c>
      <c r="L124" s="30">
        <v>1956687.62782592</v>
      </c>
      <c r="M124" s="30">
        <v>2273094.1140776998</v>
      </c>
      <c r="N124" s="30">
        <v>2448122.6917457501</v>
      </c>
      <c r="O124" s="30">
        <v>7116413.8321003001</v>
      </c>
      <c r="P124" s="30">
        <v>3708678.25273648</v>
      </c>
      <c r="Q124" s="30">
        <v>2500647.8662398499</v>
      </c>
      <c r="R124" s="30">
        <v>1503143.0096209</v>
      </c>
      <c r="S124" s="30">
        <v>2618166.81690284</v>
      </c>
      <c r="T124" s="30">
        <v>2666720.3952011201</v>
      </c>
      <c r="U124" s="30">
        <v>1615279.69845034</v>
      </c>
      <c r="V124" s="30">
        <v>1826543.11274697</v>
      </c>
      <c r="W124" s="30">
        <v>1743488.8261436599</v>
      </c>
      <c r="X124" s="35">
        <f>AVERAGE(L124:N124)</f>
        <v>2225968.1445497903</v>
      </c>
      <c r="Y124" s="35">
        <f>AVERAGE(O124:Q124)</f>
        <v>4441913.3170255432</v>
      </c>
      <c r="Z124" s="41">
        <f>Y124/X124</f>
        <v>1.9954972526904402</v>
      </c>
      <c r="AA124" s="42">
        <f>AVERAGE(R124:T124)</f>
        <v>2262676.7405749536</v>
      </c>
      <c r="AB124" s="42">
        <f>AVERAGE(U124:W124)</f>
        <v>1728437.2124469897</v>
      </c>
      <c r="AC124" s="43">
        <f>AB124/AA124</f>
        <v>0.76389047602433402</v>
      </c>
    </row>
    <row r="125" spans="1:29">
      <c r="A125" s="14" t="s">
        <v>487</v>
      </c>
      <c r="B125" s="14" t="s">
        <v>488</v>
      </c>
      <c r="C125" s="14" t="s">
        <v>60</v>
      </c>
      <c r="D125" s="14">
        <v>-0.7</v>
      </c>
      <c r="E125" s="14">
        <v>342.11597</v>
      </c>
      <c r="F125" s="14">
        <v>12.441000000000001</v>
      </c>
      <c r="G125" s="30">
        <f>AVERAGE(L125:W125)</f>
        <v>1424005.2028112703</v>
      </c>
      <c r="H125" s="30">
        <v>15040498.718648899</v>
      </c>
      <c r="I125" s="30" t="e">
        <f>G125/#REF!</f>
        <v>#REF!</v>
      </c>
      <c r="J125" s="30" t="e">
        <f>H125/#REF!</f>
        <v>#REF!</v>
      </c>
      <c r="K125" s="14">
        <v>86.8</v>
      </c>
      <c r="L125" s="30">
        <v>15040498.718648899</v>
      </c>
      <c r="M125" s="30">
        <v>372247.90821638698</v>
      </c>
      <c r="N125" s="30">
        <v>185634.962396635</v>
      </c>
      <c r="O125" s="30">
        <v>237052.151558015</v>
      </c>
      <c r="P125" s="30">
        <v>240635.79725207199</v>
      </c>
      <c r="Q125" s="30">
        <v>73505.944157023099</v>
      </c>
      <c r="R125" s="30">
        <v>145659.19455559301</v>
      </c>
      <c r="S125" s="30">
        <v>118027.029924246</v>
      </c>
      <c r="T125" s="30">
        <v>268860.71482302301</v>
      </c>
      <c r="U125" s="30">
        <v>203854.85329533799</v>
      </c>
      <c r="V125" s="30">
        <v>105731.764547019</v>
      </c>
      <c r="W125" s="30">
        <v>96353.394360993407</v>
      </c>
      <c r="X125" s="35">
        <f>AVERAGE(L125:N125)</f>
        <v>5199460.5297539737</v>
      </c>
      <c r="Y125" s="35">
        <f>AVERAGE(O125:Q125)</f>
        <v>183731.29765570335</v>
      </c>
      <c r="Z125" s="41">
        <f>Y125/X125</f>
        <v>3.5336607827734984E-2</v>
      </c>
      <c r="AA125" s="42">
        <f>AVERAGE(R125:T125)</f>
        <v>177515.64643428734</v>
      </c>
      <c r="AB125" s="42">
        <f>AVERAGE(U125:W125)</f>
        <v>135313.33740111682</v>
      </c>
      <c r="AC125" s="43">
        <f>AB125/AA125</f>
        <v>0.76226146888526269</v>
      </c>
    </row>
    <row r="126" spans="1:29">
      <c r="A126" s="14" t="s">
        <v>365</v>
      </c>
      <c r="B126" s="14" t="s">
        <v>366</v>
      </c>
      <c r="C126" s="14" t="s">
        <v>355</v>
      </c>
      <c r="D126" s="14">
        <v>-1.73</v>
      </c>
      <c r="E126" s="14">
        <v>230.01875999999999</v>
      </c>
      <c r="F126" s="14">
        <v>10.164</v>
      </c>
      <c r="G126" s="30">
        <f>AVERAGE(L126:W126)</f>
        <v>6594398.5252367714</v>
      </c>
      <c r="H126" s="30">
        <v>28479009.221384801</v>
      </c>
      <c r="I126" s="30" t="e">
        <f>G126/#REF!</f>
        <v>#REF!</v>
      </c>
      <c r="J126" s="30" t="e">
        <f>H126/#REF!</f>
        <v>#REF!</v>
      </c>
      <c r="K126" s="14">
        <v>94.9</v>
      </c>
      <c r="L126" s="30">
        <v>2415846.60966333</v>
      </c>
      <c r="M126" s="30">
        <v>28479009.221384801</v>
      </c>
      <c r="N126" s="30">
        <v>17991284.3692233</v>
      </c>
      <c r="O126" s="30">
        <v>2256058.33913873</v>
      </c>
      <c r="P126" s="30">
        <v>1709229.8142464601</v>
      </c>
      <c r="Q126" s="30">
        <v>1673748.4878232901</v>
      </c>
      <c r="R126" s="30">
        <v>3104742.3014910598</v>
      </c>
      <c r="S126" s="30">
        <v>9608384.4434666708</v>
      </c>
      <c r="T126" s="30">
        <v>1267093.32974201</v>
      </c>
      <c r="U126" s="30">
        <v>2479549.37436635</v>
      </c>
      <c r="V126" s="30">
        <v>3151365.8614005102</v>
      </c>
      <c r="W126" s="30">
        <v>4996470.1508947499</v>
      </c>
      <c r="X126" s="35">
        <f>AVERAGE(L126:N126)</f>
        <v>16295380.066757143</v>
      </c>
      <c r="Y126" s="35">
        <f>AVERAGE(O126:Q126)</f>
        <v>1879678.8804028267</v>
      </c>
      <c r="Z126" s="41">
        <f>Y126/X126</f>
        <v>0.11535041666425469</v>
      </c>
      <c r="AA126" s="42">
        <f>AVERAGE(R126:T126)</f>
        <v>4660073.358233247</v>
      </c>
      <c r="AB126" s="42">
        <f>AVERAGE(U126:W126)</f>
        <v>3542461.79555387</v>
      </c>
      <c r="AC126" s="43">
        <f>AB126/AA126</f>
        <v>0.76017296794162659</v>
      </c>
    </row>
    <row r="127" spans="1:29">
      <c r="A127" s="14" t="s">
        <v>447</v>
      </c>
      <c r="B127" s="14" t="s">
        <v>448</v>
      </c>
      <c r="C127" s="14" t="s">
        <v>449</v>
      </c>
      <c r="D127" s="14">
        <v>-0.6</v>
      </c>
      <c r="E127" s="14">
        <v>172.08468999999999</v>
      </c>
      <c r="F127" s="14">
        <v>9.2219999999999995</v>
      </c>
      <c r="G127" s="30">
        <f>AVERAGE(L127:W127)</f>
        <v>2682592.0423588925</v>
      </c>
      <c r="H127" s="30">
        <v>5486615.2242675396</v>
      </c>
      <c r="I127" s="30" t="e">
        <f>G127/#REF!</f>
        <v>#REF!</v>
      </c>
      <c r="J127" s="30" t="e">
        <f>H127/#REF!</f>
        <v>#REF!</v>
      </c>
      <c r="K127" s="14">
        <v>62.4</v>
      </c>
      <c r="L127" s="30">
        <v>599959.58343541296</v>
      </c>
      <c r="M127" s="30">
        <v>2869979.0352330799</v>
      </c>
      <c r="N127" s="30">
        <v>3319980.8386657098</v>
      </c>
      <c r="O127" s="30">
        <v>1231851.50427604</v>
      </c>
      <c r="P127" s="30">
        <v>725108.11681148596</v>
      </c>
      <c r="Q127" s="30">
        <v>791463.54830283602</v>
      </c>
      <c r="R127" s="30">
        <v>3447477.1711824802</v>
      </c>
      <c r="S127" s="30">
        <v>5267012.4822776997</v>
      </c>
      <c r="T127" s="30">
        <v>4180543.3311169799</v>
      </c>
      <c r="U127" s="30">
        <v>2538663.8070119498</v>
      </c>
      <c r="V127" s="30">
        <v>1732449.86572549</v>
      </c>
      <c r="W127" s="30">
        <v>5486615.2242675396</v>
      </c>
      <c r="X127" s="35">
        <f>AVERAGE(L127:N127)</f>
        <v>2263306.4857780677</v>
      </c>
      <c r="Y127" s="35">
        <f>AVERAGE(O127:Q127)</f>
        <v>916141.05646345392</v>
      </c>
      <c r="Z127" s="41">
        <f>Y127/X127</f>
        <v>0.40477993688446828</v>
      </c>
      <c r="AA127" s="42">
        <f>AVERAGE(R127:T127)</f>
        <v>4298344.3281923868</v>
      </c>
      <c r="AB127" s="42">
        <f>AVERAGE(U127:W127)</f>
        <v>3252576.2990016602</v>
      </c>
      <c r="AC127" s="43">
        <f>AB127/AA127</f>
        <v>0.75670445424028865</v>
      </c>
    </row>
    <row r="128" spans="1:29">
      <c r="A128" s="14" t="s">
        <v>469</v>
      </c>
      <c r="B128" s="14" t="s">
        <v>470</v>
      </c>
      <c r="C128" s="14" t="s">
        <v>471</v>
      </c>
      <c r="D128" s="14">
        <v>-1.95</v>
      </c>
      <c r="E128" s="14">
        <v>116.04712000000001</v>
      </c>
      <c r="F128" s="14">
        <v>1.1459999999999999</v>
      </c>
      <c r="G128" s="30">
        <f>AVERAGE(L128:W128)</f>
        <v>2008938.6667159807</v>
      </c>
      <c r="H128" s="30">
        <v>4977373.76168996</v>
      </c>
      <c r="I128" s="30" t="e">
        <f>G128/#REF!</f>
        <v>#REF!</v>
      </c>
      <c r="J128" s="30" t="e">
        <f>H128/#REF!</f>
        <v>#REF!</v>
      </c>
      <c r="K128" s="14">
        <v>72.599999999999994</v>
      </c>
      <c r="L128" s="30">
        <v>1700622.07182875</v>
      </c>
      <c r="M128" s="30">
        <v>1238006.37146933</v>
      </c>
      <c r="N128" s="30">
        <v>1842311.5879061001</v>
      </c>
      <c r="O128" s="30">
        <v>4977373.76168996</v>
      </c>
      <c r="P128" s="30">
        <v>1167040.6628809001</v>
      </c>
      <c r="Q128" s="30">
        <v>1433643.3139523</v>
      </c>
      <c r="R128" s="30">
        <v>2091998.9899976701</v>
      </c>
      <c r="S128" s="30">
        <v>2091340.6091572701</v>
      </c>
      <c r="T128" s="30">
        <v>2546737.9311762201</v>
      </c>
      <c r="U128" s="30">
        <v>1691691.81422929</v>
      </c>
      <c r="V128" s="30">
        <v>1557011.03039952</v>
      </c>
      <c r="W128" s="30">
        <v>1769485.85590446</v>
      </c>
      <c r="X128" s="35">
        <f>AVERAGE(L128:N128)</f>
        <v>1593646.67706806</v>
      </c>
      <c r="Y128" s="35">
        <f>AVERAGE(O128:Q128)</f>
        <v>2526019.2461743867</v>
      </c>
      <c r="Z128" s="41">
        <f>Y128/X128</f>
        <v>1.5850560118016095</v>
      </c>
      <c r="AA128" s="42">
        <f>AVERAGE(R128:T128)</f>
        <v>2243359.1767770532</v>
      </c>
      <c r="AB128" s="42">
        <f>AVERAGE(U128:W128)</f>
        <v>1672729.5668444233</v>
      </c>
      <c r="AC128" s="43">
        <f>AB128/AA128</f>
        <v>0.74563609080538262</v>
      </c>
    </row>
    <row r="129" spans="1:29">
      <c r="A129" s="14" t="s">
        <v>477</v>
      </c>
      <c r="B129" s="14" t="s">
        <v>478</v>
      </c>
      <c r="C129" s="14" t="s">
        <v>60</v>
      </c>
      <c r="D129" s="14">
        <v>-0.65</v>
      </c>
      <c r="E129" s="14">
        <v>342.11599000000001</v>
      </c>
      <c r="F129" s="14">
        <v>9.6059999999999999</v>
      </c>
      <c r="G129" s="30">
        <f>AVERAGE(L129:W129)</f>
        <v>2015055.4876062879</v>
      </c>
      <c r="H129" s="30">
        <v>5688440.0329038603</v>
      </c>
      <c r="I129" s="30" t="e">
        <f>G129/#REF!</f>
        <v>#REF!</v>
      </c>
      <c r="J129" s="30" t="e">
        <f>H129/#REF!</f>
        <v>#REF!</v>
      </c>
      <c r="K129" s="14">
        <v>85</v>
      </c>
      <c r="L129" s="30">
        <v>547931.91984853498</v>
      </c>
      <c r="M129" s="30">
        <v>174917.451869968</v>
      </c>
      <c r="N129" s="30">
        <v>460288.11423764803</v>
      </c>
      <c r="O129" s="30">
        <v>1441331.1741021499</v>
      </c>
      <c r="P129" s="30">
        <v>5688440.0329038603</v>
      </c>
      <c r="Q129" s="30">
        <v>2518060.3939863099</v>
      </c>
      <c r="R129" s="30">
        <v>188185.67107864199</v>
      </c>
      <c r="S129" s="30">
        <v>4022676.1141583798</v>
      </c>
      <c r="T129" s="30">
        <v>3602070.6136064199</v>
      </c>
      <c r="U129" s="30">
        <v>1172399.9894012201</v>
      </c>
      <c r="V129" s="30">
        <v>3104668.2402194901</v>
      </c>
      <c r="W129" s="30">
        <v>1259696.1358628301</v>
      </c>
      <c r="X129" s="35">
        <f>AVERAGE(L129:N129)</f>
        <v>394379.16198538366</v>
      </c>
      <c r="Y129" s="35">
        <f>AVERAGE(O129:Q129)</f>
        <v>3215943.8669974399</v>
      </c>
      <c r="Z129" s="41">
        <f>Y129/X129</f>
        <v>8.1544467278842383</v>
      </c>
      <c r="AA129" s="42">
        <f>AVERAGE(R129:T129)</f>
        <v>2604310.7996144802</v>
      </c>
      <c r="AB129" s="42">
        <f>AVERAGE(U129:W129)</f>
        <v>1845588.1218278466</v>
      </c>
      <c r="AC129" s="43">
        <f>AB129/AA129</f>
        <v>0.70866661617386517</v>
      </c>
    </row>
    <row r="130" spans="1:29">
      <c r="A130" s="14" t="s">
        <v>177</v>
      </c>
      <c r="B130" s="14" t="s">
        <v>178</v>
      </c>
      <c r="C130" s="14" t="s">
        <v>179</v>
      </c>
      <c r="D130" s="14">
        <v>-0.75</v>
      </c>
      <c r="E130" s="14">
        <v>133.03740999999999</v>
      </c>
      <c r="F130" s="14">
        <v>8.9450000000000003</v>
      </c>
      <c r="G130" s="30">
        <f>AVERAGE(L130:W130)</f>
        <v>41621109.674777634</v>
      </c>
      <c r="H130" s="30">
        <v>62802237.579507999</v>
      </c>
      <c r="I130" s="30" t="e">
        <f>G130/#REF!</f>
        <v>#REF!</v>
      </c>
      <c r="J130" s="30" t="e">
        <f>H130/#REF!</f>
        <v>#REF!</v>
      </c>
      <c r="K130" s="14">
        <v>89.7</v>
      </c>
      <c r="L130" s="30">
        <v>56744390.638190098</v>
      </c>
      <c r="M130" s="30">
        <v>58047889.743393801</v>
      </c>
      <c r="N130" s="30">
        <v>18325983.919030402</v>
      </c>
      <c r="O130" s="30">
        <v>26193871.031038102</v>
      </c>
      <c r="P130" s="30">
        <v>22948292.075536899</v>
      </c>
      <c r="Q130" s="30">
        <v>33597298.974255003</v>
      </c>
      <c r="R130" s="30">
        <v>62693823.429250002</v>
      </c>
      <c r="S130" s="30">
        <v>62802237.579507999</v>
      </c>
      <c r="T130" s="30">
        <v>40785300.672804497</v>
      </c>
      <c r="U130" s="30">
        <v>44171278.675882101</v>
      </c>
      <c r="V130" s="30">
        <v>34122630.915386103</v>
      </c>
      <c r="W130" s="30">
        <v>39020318.443056598</v>
      </c>
      <c r="X130" s="35">
        <f>AVERAGE(L130:N130)</f>
        <v>44372754.76687143</v>
      </c>
      <c r="Y130" s="35">
        <f>AVERAGE(O130:Q130)</f>
        <v>27579820.693610001</v>
      </c>
      <c r="Z130" s="41">
        <f>Y130/X130</f>
        <v>0.62154853442187041</v>
      </c>
      <c r="AA130" s="42">
        <f>AVERAGE(R130:T130)</f>
        <v>55427120.560520835</v>
      </c>
      <c r="AB130" s="42">
        <f>AVERAGE(U130:W130)</f>
        <v>39104742.678108267</v>
      </c>
      <c r="AC130" s="43">
        <f>AB130/AA130</f>
        <v>0.7055164021268221</v>
      </c>
    </row>
    <row r="131" spans="1:29">
      <c r="A131" s="14" t="s">
        <v>347</v>
      </c>
      <c r="B131" s="14" t="s">
        <v>348</v>
      </c>
      <c r="C131" s="14" t="s">
        <v>349</v>
      </c>
      <c r="D131" s="14">
        <v>-3.76</v>
      </c>
      <c r="E131" s="14">
        <v>180.06271000000001</v>
      </c>
      <c r="F131" s="14">
        <v>5.1369999999999996</v>
      </c>
      <c r="G131" s="30">
        <f>AVERAGE(L131:W131)</f>
        <v>8250096.6843607873</v>
      </c>
      <c r="H131" s="30">
        <v>25105288.526378602</v>
      </c>
      <c r="I131" s="30" t="e">
        <f>G131/#REF!</f>
        <v>#REF!</v>
      </c>
      <c r="J131" s="30" t="e">
        <f>H131/#REF!</f>
        <v>#REF!</v>
      </c>
      <c r="K131" s="14">
        <v>77.2</v>
      </c>
      <c r="L131" s="30">
        <v>12423933.7070251</v>
      </c>
      <c r="M131" s="30">
        <v>12309572.2164695</v>
      </c>
      <c r="N131" s="30">
        <v>8881411.1168948207</v>
      </c>
      <c r="O131" s="30">
        <v>1914968.8746643499</v>
      </c>
      <c r="P131" s="30">
        <v>3287842.5527343801</v>
      </c>
      <c r="Q131" s="30">
        <v>3194861.9233094002</v>
      </c>
      <c r="R131" s="30">
        <v>9196123.1740481202</v>
      </c>
      <c r="S131" s="30">
        <v>15207823.131393701</v>
      </c>
      <c r="T131" s="30">
        <v>9179045.9055165201</v>
      </c>
      <c r="U131" s="30">
        <v>7297697.3521610796</v>
      </c>
      <c r="V131" s="30">
        <v>13235814.398244699</v>
      </c>
      <c r="W131" s="30">
        <v>2872065.85986778</v>
      </c>
      <c r="X131" s="35">
        <f>AVERAGE(L131:N131)</f>
        <v>11204972.346796473</v>
      </c>
      <c r="Y131" s="35">
        <f>AVERAGE(O131:Q131)</f>
        <v>2799224.4502360434</v>
      </c>
      <c r="Z131" s="41">
        <f>Y131/X131</f>
        <v>0.24981984458322629</v>
      </c>
      <c r="AA131" s="42">
        <f>AVERAGE(R131:T131)</f>
        <v>11194330.736986114</v>
      </c>
      <c r="AB131" s="42">
        <f>AVERAGE(U131:W131)</f>
        <v>7801859.2034245208</v>
      </c>
      <c r="AC131" s="43">
        <f>AB131/AA131</f>
        <v>0.69694735547227904</v>
      </c>
    </row>
    <row r="132" spans="1:29">
      <c r="A132" s="14" t="s">
        <v>92</v>
      </c>
      <c r="B132" s="14" t="s">
        <v>93</v>
      </c>
      <c r="C132" s="14" t="s">
        <v>94</v>
      </c>
      <c r="D132" s="14">
        <v>-1.1100000000000001</v>
      </c>
      <c r="E132" s="14">
        <v>205.13113999999999</v>
      </c>
      <c r="F132" s="14">
        <v>1.4</v>
      </c>
      <c r="G132" s="30">
        <f>AVERAGE(L132:W132)</f>
        <v>97350702.536751866</v>
      </c>
      <c r="H132" s="30">
        <v>207305753.21798399</v>
      </c>
      <c r="I132" s="30" t="e">
        <f>G132/#REF!</f>
        <v>#REF!</v>
      </c>
      <c r="J132" s="30" t="e">
        <f>H132/#REF!</f>
        <v>#REF!</v>
      </c>
      <c r="K132" s="14">
        <v>89.6</v>
      </c>
      <c r="L132" s="30">
        <v>87181781.419478506</v>
      </c>
      <c r="M132" s="30">
        <v>197643542.836687</v>
      </c>
      <c r="N132" s="30">
        <v>94434177.878599107</v>
      </c>
      <c r="O132" s="30">
        <v>207305753.21798399</v>
      </c>
      <c r="P132" s="30">
        <v>64724704.039308503</v>
      </c>
      <c r="Q132" s="30">
        <v>57535041.425403297</v>
      </c>
      <c r="R132" s="30">
        <v>63102343.700783797</v>
      </c>
      <c r="S132" s="30">
        <v>152836275.24787</v>
      </c>
      <c r="T132" s="30">
        <v>58054711.975101396</v>
      </c>
      <c r="U132" s="30">
        <v>41354766.773903102</v>
      </c>
      <c r="V132" s="30">
        <v>79135042.047397897</v>
      </c>
      <c r="W132" s="30">
        <v>64900289.878505602</v>
      </c>
      <c r="X132" s="35">
        <f>AVERAGE(L132:N132)</f>
        <v>126419834.04492153</v>
      </c>
      <c r="Y132" s="35">
        <f>AVERAGE(O132:Q132)</f>
        <v>109855166.22756527</v>
      </c>
      <c r="Z132" s="41">
        <f>Y132/X132</f>
        <v>0.86897097324562034</v>
      </c>
      <c r="AA132" s="42">
        <f>AVERAGE(R132:T132)</f>
        <v>91331110.307918385</v>
      </c>
      <c r="AB132" s="42">
        <f>AVERAGE(U132:W132)</f>
        <v>61796699.5666022</v>
      </c>
      <c r="AC132" s="43">
        <f>AB132/AA132</f>
        <v>0.67662266842325292</v>
      </c>
    </row>
    <row r="133" spans="1:29">
      <c r="A133" s="14" t="s">
        <v>383</v>
      </c>
      <c r="B133" s="14" t="s">
        <v>384</v>
      </c>
      <c r="C133" s="14" t="s">
        <v>385</v>
      </c>
      <c r="D133" s="14">
        <v>-0.18</v>
      </c>
      <c r="E133" s="14">
        <v>165.07894999999999</v>
      </c>
      <c r="F133" s="14">
        <v>2.738</v>
      </c>
      <c r="G133" s="30">
        <f>AVERAGE(L133:W133)</f>
        <v>5917830.2490629219</v>
      </c>
      <c r="H133" s="30">
        <v>9426354.2287125401</v>
      </c>
      <c r="I133" s="30" t="e">
        <f>G133/#REF!</f>
        <v>#REF!</v>
      </c>
      <c r="J133" s="30" t="e">
        <f>H133/#REF!</f>
        <v>#REF!</v>
      </c>
      <c r="K133" s="14">
        <v>62</v>
      </c>
      <c r="L133" s="30">
        <v>6777534.7692664601</v>
      </c>
      <c r="M133" s="30">
        <v>9426354.2287125401</v>
      </c>
      <c r="N133" s="30">
        <v>5302784.0382813998</v>
      </c>
      <c r="O133" s="30">
        <v>6565861.9543522596</v>
      </c>
      <c r="P133" s="30">
        <v>5842526.6998740602</v>
      </c>
      <c r="Q133" s="30">
        <v>3717325.4894925398</v>
      </c>
      <c r="R133" s="30">
        <v>5159035.5657181703</v>
      </c>
      <c r="S133" s="30">
        <v>7757959.3562212298</v>
      </c>
      <c r="T133" s="30">
        <v>7099695.71558904</v>
      </c>
      <c r="U133" s="30">
        <v>2858272.0284695299</v>
      </c>
      <c r="V133" s="30">
        <v>7422131.0701487102</v>
      </c>
      <c r="W133" s="30">
        <v>3084482.07262911</v>
      </c>
      <c r="X133" s="35">
        <f>AVERAGE(L133:N133)</f>
        <v>7168891.0120868003</v>
      </c>
      <c r="Y133" s="35">
        <f>AVERAGE(O133:Q133)</f>
        <v>5375238.0479062861</v>
      </c>
      <c r="Z133" s="41">
        <f>Y133/X133</f>
        <v>0.74980049757258094</v>
      </c>
      <c r="AA133" s="42">
        <f>AVERAGE(R133:T133)</f>
        <v>6672230.2125094794</v>
      </c>
      <c r="AB133" s="42">
        <f>AVERAGE(U133:W133)</f>
        <v>4454961.7237491161</v>
      </c>
      <c r="AC133" s="43">
        <f>AB133/AA133</f>
        <v>0.66768705243363735</v>
      </c>
    </row>
    <row r="134" spans="1:29">
      <c r="A134" s="14" t="s">
        <v>287</v>
      </c>
      <c r="B134" s="14" t="s">
        <v>288</v>
      </c>
      <c r="C134" s="14" t="s">
        <v>289</v>
      </c>
      <c r="D134" s="14">
        <v>-1.23</v>
      </c>
      <c r="E134" s="14">
        <v>188.10462999999999</v>
      </c>
      <c r="F134" s="14">
        <v>1.0820000000000001</v>
      </c>
      <c r="G134" s="30">
        <f>AVERAGE(L134:W134)</f>
        <v>12907848.806794254</v>
      </c>
      <c r="H134" s="30">
        <v>20101245.365643598</v>
      </c>
      <c r="I134" s="30" t="e">
        <f>G134/#REF!</f>
        <v>#REF!</v>
      </c>
      <c r="J134" s="30" t="e">
        <f>H134/#REF!</f>
        <v>#REF!</v>
      </c>
      <c r="K134" s="14">
        <v>93.6</v>
      </c>
      <c r="L134" s="30">
        <v>11750337.344744399</v>
      </c>
      <c r="M134" s="30">
        <v>14131569.6153217</v>
      </c>
      <c r="N134" s="30">
        <v>13727728.9214657</v>
      </c>
      <c r="O134" s="30">
        <v>20101245.365643598</v>
      </c>
      <c r="P134" s="30">
        <v>10978386.0522661</v>
      </c>
      <c r="Q134" s="30">
        <v>9218045.9804216493</v>
      </c>
      <c r="R134" s="30">
        <v>10466492.384618901</v>
      </c>
      <c r="S134" s="30">
        <v>18841591.019943099</v>
      </c>
      <c r="T134" s="30">
        <v>15910838.980590001</v>
      </c>
      <c r="U134" s="30">
        <v>9357581.6218791306</v>
      </c>
      <c r="V134" s="30">
        <v>12287934.0788109</v>
      </c>
      <c r="W134" s="30">
        <v>8122434.3158258498</v>
      </c>
      <c r="X134" s="35">
        <f>AVERAGE(L134:N134)</f>
        <v>13203211.960510598</v>
      </c>
      <c r="Y134" s="35">
        <f>AVERAGE(O134:Q134)</f>
        <v>13432559.132777115</v>
      </c>
      <c r="Z134" s="41">
        <f>Y134/X134</f>
        <v>1.0173705589937108</v>
      </c>
      <c r="AA134" s="42">
        <f>AVERAGE(R134:T134)</f>
        <v>15072974.128384</v>
      </c>
      <c r="AB134" s="42">
        <f>AVERAGE(U134:W134)</f>
        <v>9922650.0055052936</v>
      </c>
      <c r="AC134" s="43">
        <f>AB134/AA134</f>
        <v>0.65830737324891297</v>
      </c>
    </row>
    <row r="135" spans="1:29">
      <c r="A135" s="14" t="s">
        <v>375</v>
      </c>
      <c r="B135" s="14" t="s">
        <v>376</v>
      </c>
      <c r="C135" s="14" t="s">
        <v>377</v>
      </c>
      <c r="D135" s="14">
        <v>-0.84</v>
      </c>
      <c r="E135" s="14">
        <v>187.06317000000001</v>
      </c>
      <c r="F135" s="14">
        <v>5.19</v>
      </c>
      <c r="G135" s="30">
        <f>AVERAGE(L135:W135)</f>
        <v>6742783.4035628987</v>
      </c>
      <c r="H135" s="30">
        <v>11947049.148655999</v>
      </c>
      <c r="I135" s="30" t="e">
        <f>G135/#REF!</f>
        <v>#REF!</v>
      </c>
      <c r="J135" s="30" t="e">
        <f>H135/#REF!</f>
        <v>#REF!</v>
      </c>
      <c r="K135" s="14">
        <v>81.3</v>
      </c>
      <c r="L135" s="30">
        <v>4344921.6742638899</v>
      </c>
      <c r="M135" s="30">
        <v>8154614.4773712698</v>
      </c>
      <c r="N135" s="30">
        <v>4033513.2576493602</v>
      </c>
      <c r="O135" s="30">
        <v>5429191.9684449099</v>
      </c>
      <c r="P135" s="30">
        <v>4855067.6248214599</v>
      </c>
      <c r="Q135" s="30">
        <v>6942117.7854351299</v>
      </c>
      <c r="R135" s="30">
        <v>7758956.23793728</v>
      </c>
      <c r="S135" s="30">
        <v>11947049.148655999</v>
      </c>
      <c r="T135" s="30">
        <v>8884504.7767060902</v>
      </c>
      <c r="U135" s="30">
        <v>6616318.3918857798</v>
      </c>
      <c r="V135" s="30">
        <v>5600842.9912005197</v>
      </c>
      <c r="W135" s="30">
        <v>6346302.5083830804</v>
      </c>
      <c r="X135" s="35">
        <f>AVERAGE(L135:N135)</f>
        <v>5511016.4697615067</v>
      </c>
      <c r="Y135" s="35">
        <f>AVERAGE(O135:Q135)</f>
        <v>5742125.7929004999</v>
      </c>
      <c r="Z135" s="41">
        <f>Y135/X135</f>
        <v>1.0419358795980871</v>
      </c>
      <c r="AA135" s="42">
        <f>AVERAGE(R135:T135)</f>
        <v>9530170.0544331223</v>
      </c>
      <c r="AB135" s="42">
        <f>AVERAGE(U135:W135)</f>
        <v>6187821.2971564606</v>
      </c>
      <c r="AC135" s="43">
        <f>AB135/AA135</f>
        <v>0.64928760576293065</v>
      </c>
    </row>
    <row r="136" spans="1:29" ht="144">
      <c r="A136" s="15" t="s">
        <v>52</v>
      </c>
      <c r="B136" s="14" t="s">
        <v>53</v>
      </c>
      <c r="C136" s="14" t="s">
        <v>54</v>
      </c>
      <c r="D136" s="14">
        <v>-1.57</v>
      </c>
      <c r="E136" s="14">
        <v>202.13141999999999</v>
      </c>
      <c r="F136" s="14">
        <v>3.7690000000000001</v>
      </c>
      <c r="G136" s="30">
        <f>AVERAGE(L136:W136)</f>
        <v>386140761.79580444</v>
      </c>
      <c r="H136" s="30">
        <v>847379338.24018598</v>
      </c>
      <c r="I136" s="30" t="e">
        <f>G136/#REF!</f>
        <v>#REF!</v>
      </c>
      <c r="J136" s="30" t="e">
        <f>H136/#REF!</f>
        <v>#REF!</v>
      </c>
      <c r="K136" s="14">
        <v>58.4</v>
      </c>
      <c r="L136" s="30">
        <v>186204258.36120901</v>
      </c>
      <c r="M136" s="30">
        <v>183486104.01008499</v>
      </c>
      <c r="N136" s="30">
        <v>339882042.54169399</v>
      </c>
      <c r="O136" s="30">
        <v>6505106.8137967801</v>
      </c>
      <c r="P136" s="30">
        <v>568306744.20103896</v>
      </c>
      <c r="Q136" s="30">
        <v>847379338.24018598</v>
      </c>
      <c r="R136" s="30">
        <v>474927708.67831999</v>
      </c>
      <c r="S136" s="30">
        <v>422605043.46045601</v>
      </c>
      <c r="T136" s="30">
        <v>623851875.14233994</v>
      </c>
      <c r="U136" s="30">
        <v>296014851.44172603</v>
      </c>
      <c r="V136" s="30">
        <v>308402684.53717601</v>
      </c>
      <c r="W136" s="30">
        <v>376123384.12162501</v>
      </c>
      <c r="X136" s="35">
        <f>AVERAGE(L136:N136)</f>
        <v>236524134.97099599</v>
      </c>
      <c r="Y136" s="35">
        <f>AVERAGE(O136:Q136)</f>
        <v>474063729.75167388</v>
      </c>
      <c r="Z136" s="41">
        <f>Y136/X136</f>
        <v>2.0042932608539354</v>
      </c>
      <c r="AA136" s="42">
        <f>AVERAGE(R136:T136)</f>
        <v>507128209.09370536</v>
      </c>
      <c r="AB136" s="42">
        <f>AVERAGE(U136:W136)</f>
        <v>326846973.36684233</v>
      </c>
      <c r="AC136" s="43">
        <f>AB136/AA136</f>
        <v>0.64450560530039203</v>
      </c>
    </row>
    <row r="137" spans="1:29">
      <c r="A137" s="14" t="s">
        <v>269</v>
      </c>
      <c r="B137" s="14" t="s">
        <v>270</v>
      </c>
      <c r="C137" s="14" t="s">
        <v>271</v>
      </c>
      <c r="D137" s="14">
        <v>-2.41</v>
      </c>
      <c r="E137" s="14">
        <v>244.06895</v>
      </c>
      <c r="F137" s="14">
        <v>2.6280000000000001</v>
      </c>
      <c r="G137" s="30">
        <f>AVERAGE(L137:W137)</f>
        <v>15465900.197564086</v>
      </c>
      <c r="H137" s="30">
        <v>31532811.181400999</v>
      </c>
      <c r="I137" s="30" t="e">
        <f>G137/#REF!</f>
        <v>#REF!</v>
      </c>
      <c r="J137" s="30" t="e">
        <f>H137/#REF!</f>
        <v>#REF!</v>
      </c>
      <c r="K137" s="14">
        <v>84.5</v>
      </c>
      <c r="L137" s="30">
        <v>7381533.2129431898</v>
      </c>
      <c r="M137" s="30">
        <v>7279209.1270090397</v>
      </c>
      <c r="N137" s="30">
        <v>9675316.9221628197</v>
      </c>
      <c r="O137" s="30">
        <v>8833518.3156244196</v>
      </c>
      <c r="P137" s="30">
        <v>8631878.3552358206</v>
      </c>
      <c r="Q137" s="30">
        <v>15599070.7502633</v>
      </c>
      <c r="R137" s="30">
        <v>22578292.3336442</v>
      </c>
      <c r="S137" s="30">
        <v>23899730.373902</v>
      </c>
      <c r="T137" s="30">
        <v>31532811.181400999</v>
      </c>
      <c r="U137" s="30">
        <v>15125781.909770001</v>
      </c>
      <c r="V137" s="30">
        <v>14691633.813671499</v>
      </c>
      <c r="W137" s="30">
        <v>20362026.075141702</v>
      </c>
      <c r="X137" s="35">
        <f>AVERAGE(L137:N137)</f>
        <v>8112019.7540383497</v>
      </c>
      <c r="Y137" s="35">
        <f>AVERAGE(O137:Q137)</f>
        <v>11021489.140374513</v>
      </c>
      <c r="Z137" s="41">
        <f>Y137/X137</f>
        <v>1.3586615262971671</v>
      </c>
      <c r="AA137" s="42">
        <f>AVERAGE(R137:T137)</f>
        <v>26003611.296315733</v>
      </c>
      <c r="AB137" s="42">
        <f>AVERAGE(U137:W137)</f>
        <v>16726480.599527733</v>
      </c>
      <c r="AC137" s="43">
        <f>AB137/AA137</f>
        <v>0.64323683387382391</v>
      </c>
    </row>
    <row r="138" spans="1:29">
      <c r="A138" s="14" t="s">
        <v>311</v>
      </c>
      <c r="B138" s="14" t="s">
        <v>312</v>
      </c>
      <c r="C138" s="14" t="s">
        <v>313</v>
      </c>
      <c r="D138" s="14">
        <v>-2.11</v>
      </c>
      <c r="E138" s="14">
        <v>196.05788999999999</v>
      </c>
      <c r="F138" s="14">
        <v>8.4939999999999998</v>
      </c>
      <c r="G138" s="30">
        <f>AVERAGE(L138:W138)</f>
        <v>11511833.592793688</v>
      </c>
      <c r="H138" s="30">
        <v>28112019.841522198</v>
      </c>
      <c r="I138" s="30" t="e">
        <f>G138/#REF!</f>
        <v>#REF!</v>
      </c>
      <c r="J138" s="30" t="e">
        <f>H138/#REF!</f>
        <v>#REF!</v>
      </c>
      <c r="K138" s="14">
        <v>74.2</v>
      </c>
      <c r="L138" s="30">
        <v>8142739.4363533296</v>
      </c>
      <c r="M138" s="30">
        <v>14831947.005860399</v>
      </c>
      <c r="N138" s="30">
        <v>8751731.7470593192</v>
      </c>
      <c r="O138" s="30">
        <v>12339503.406913601</v>
      </c>
      <c r="P138" s="30">
        <v>4945515.4835654898</v>
      </c>
      <c r="Q138" s="30">
        <v>18907001.4040462</v>
      </c>
      <c r="R138" s="30">
        <v>9173861.6144929994</v>
      </c>
      <c r="S138" s="30">
        <v>28112019.841522198</v>
      </c>
      <c r="T138" s="30">
        <v>5481433.41088604</v>
      </c>
      <c r="U138" s="30">
        <v>11026991.170600999</v>
      </c>
      <c r="V138" s="30">
        <v>9537047.6803779397</v>
      </c>
      <c r="W138" s="30">
        <v>6892210.9118457502</v>
      </c>
      <c r="X138" s="35">
        <f>AVERAGE(L138:N138)</f>
        <v>10575472.729757683</v>
      </c>
      <c r="Y138" s="35">
        <f>AVERAGE(O138:Q138)</f>
        <v>12064006.764841765</v>
      </c>
      <c r="Z138" s="41">
        <f>Y138/X138</f>
        <v>1.140753427588687</v>
      </c>
      <c r="AA138" s="42">
        <f>AVERAGE(R138:T138)</f>
        <v>14255771.622300414</v>
      </c>
      <c r="AB138" s="42">
        <f>AVERAGE(U138:W138)</f>
        <v>9152083.2542748973</v>
      </c>
      <c r="AC138" s="43">
        <f>AB138/AA138</f>
        <v>0.64199143313703355</v>
      </c>
    </row>
    <row r="139" spans="1:29">
      <c r="A139" s="14" t="s">
        <v>168</v>
      </c>
      <c r="B139" s="14" t="s">
        <v>169</v>
      </c>
      <c r="C139" s="14" t="s">
        <v>170</v>
      </c>
      <c r="D139" s="14">
        <v>-0.79</v>
      </c>
      <c r="E139" s="14">
        <v>188.15233000000001</v>
      </c>
      <c r="F139" s="14">
        <v>10.353</v>
      </c>
      <c r="G139" s="30">
        <f>AVERAGE(L139:W139)</f>
        <v>51149210.682453901</v>
      </c>
      <c r="H139" s="30">
        <v>137957397.894997</v>
      </c>
      <c r="I139" s="30" t="e">
        <f>G139/#REF!</f>
        <v>#REF!</v>
      </c>
      <c r="J139" s="30" t="e">
        <f>H139/#REF!</f>
        <v>#REF!</v>
      </c>
      <c r="K139" s="14">
        <v>86.6</v>
      </c>
      <c r="L139" s="30">
        <v>14189582.568798801</v>
      </c>
      <c r="M139" s="30">
        <v>22154119.739915598</v>
      </c>
      <c r="N139" s="30">
        <v>20725577.229233898</v>
      </c>
      <c r="O139" s="30">
        <v>70466128.502629295</v>
      </c>
      <c r="P139" s="30">
        <v>54685906.203015499</v>
      </c>
      <c r="Q139" s="30">
        <v>58269628.420330502</v>
      </c>
      <c r="R139" s="30">
        <v>49406159.6694168</v>
      </c>
      <c r="S139" s="30">
        <v>41235086.0432631</v>
      </c>
      <c r="T139" s="30">
        <v>137957397.894997</v>
      </c>
      <c r="U139" s="30">
        <v>45408047.806701303</v>
      </c>
      <c r="V139" s="30">
        <v>47724101.919802099</v>
      </c>
      <c r="W139" s="30">
        <v>51568792.191342898</v>
      </c>
      <c r="X139" s="35">
        <f>AVERAGE(L139:N139)</f>
        <v>19023093.1793161</v>
      </c>
      <c r="Y139" s="35">
        <f>AVERAGE(O139:Q139)</f>
        <v>61140554.375325091</v>
      </c>
      <c r="Z139" s="41">
        <f>Y139/X139</f>
        <v>3.2140174996253243</v>
      </c>
      <c r="AA139" s="42">
        <f>AVERAGE(R139:T139)</f>
        <v>76199547.869225636</v>
      </c>
      <c r="AB139" s="42">
        <f>AVERAGE(U139:W139)</f>
        <v>48233647.305948764</v>
      </c>
      <c r="AC139" s="43">
        <f>AB139/AA139</f>
        <v>0.63299125329100103</v>
      </c>
    </row>
    <row r="140" spans="1:29">
      <c r="A140" s="14" t="s">
        <v>513</v>
      </c>
      <c r="B140" s="14" t="s">
        <v>514</v>
      </c>
      <c r="C140" s="14" t="s">
        <v>515</v>
      </c>
      <c r="D140" s="14">
        <v>0.1</v>
      </c>
      <c r="E140" s="14">
        <v>114.04294</v>
      </c>
      <c r="F140" s="14">
        <v>4.6529999999999996</v>
      </c>
      <c r="G140" s="30">
        <f>AVERAGE(L140:W140)</f>
        <v>360733.83877610421</v>
      </c>
      <c r="H140" s="30">
        <v>715717.23240802402</v>
      </c>
      <c r="I140" s="30" t="e">
        <f>G140/#REF!</f>
        <v>#REF!</v>
      </c>
      <c r="J140" s="30" t="e">
        <f>H140/#REF!</f>
        <v>#REF!</v>
      </c>
      <c r="K140" s="14">
        <v>62.8</v>
      </c>
      <c r="L140" s="30">
        <v>693821.51024055295</v>
      </c>
      <c r="M140" s="30">
        <v>239658.27806667701</v>
      </c>
      <c r="N140" s="30">
        <v>241442.61312395899</v>
      </c>
      <c r="O140" s="30">
        <v>258366.486206798</v>
      </c>
      <c r="P140" s="30">
        <v>268507.449915406</v>
      </c>
      <c r="Q140" s="30">
        <v>265875.04687974398</v>
      </c>
      <c r="R140" s="30">
        <v>670960.92681440397</v>
      </c>
      <c r="S140" s="30">
        <v>284472.02207985602</v>
      </c>
      <c r="T140" s="30">
        <v>528176.11984553898</v>
      </c>
      <c r="U140" s="30">
        <v>272162.06337661698</v>
      </c>
      <c r="V140" s="30">
        <v>232500.77970351599</v>
      </c>
      <c r="W140" s="30">
        <v>372862.76906018198</v>
      </c>
      <c r="X140" s="35">
        <f>AVERAGE(L140:N140)</f>
        <v>391640.80047706299</v>
      </c>
      <c r="Y140" s="35">
        <f>AVERAGE(O140:Q140)</f>
        <v>264249.66100064927</v>
      </c>
      <c r="Z140" s="41">
        <f>Y140/X140</f>
        <v>0.67472454524340453</v>
      </c>
      <c r="AA140" s="42">
        <f>AVERAGE(R140:T140)</f>
        <v>494536.35624659964</v>
      </c>
      <c r="AB140" s="42">
        <f>AVERAGE(U140:W140)</f>
        <v>292508.53738010494</v>
      </c>
      <c r="AC140" s="43">
        <f>AB140/AA140</f>
        <v>0.59148035060590387</v>
      </c>
    </row>
    <row r="141" spans="1:29">
      <c r="A141" s="14" t="s">
        <v>314</v>
      </c>
      <c r="B141" s="14" t="s">
        <v>315</v>
      </c>
      <c r="C141" s="14" t="s">
        <v>316</v>
      </c>
      <c r="D141" s="14">
        <v>-1.49</v>
      </c>
      <c r="E141" s="14">
        <v>276.13171999999997</v>
      </c>
      <c r="F141" s="14">
        <v>12.455</v>
      </c>
      <c r="G141" s="30">
        <f>AVERAGE(L141:W141)</f>
        <v>12650336.267349267</v>
      </c>
      <c r="H141" s="30">
        <v>28774465.3856223</v>
      </c>
      <c r="I141" s="30" t="e">
        <f>G141/#REF!</f>
        <v>#REF!</v>
      </c>
      <c r="J141" s="30" t="e">
        <f>H141/#REF!</f>
        <v>#REF!</v>
      </c>
      <c r="K141" s="14">
        <v>74.7</v>
      </c>
      <c r="L141" s="30">
        <v>6720962.9493469801</v>
      </c>
      <c r="M141" s="30">
        <v>4010648.85583155</v>
      </c>
      <c r="N141" s="30">
        <v>8638146.6242453791</v>
      </c>
      <c r="O141" s="30">
        <v>7886994.60399938</v>
      </c>
      <c r="P141" s="30">
        <v>3645760.94673299</v>
      </c>
      <c r="Q141" s="30">
        <v>4950929.3182001002</v>
      </c>
      <c r="R141" s="30">
        <v>25701635.378996301</v>
      </c>
      <c r="S141" s="30">
        <v>28774465.3856223</v>
      </c>
      <c r="T141" s="30">
        <v>19125787.4915636</v>
      </c>
      <c r="U141" s="30">
        <v>16934991.1820389</v>
      </c>
      <c r="V141" s="30">
        <v>10944581.5908846</v>
      </c>
      <c r="W141" s="30">
        <v>14469130.8807291</v>
      </c>
      <c r="X141" s="35">
        <f>AVERAGE(L141:N141)</f>
        <v>6456586.1431413032</v>
      </c>
      <c r="Y141" s="35">
        <f>AVERAGE(O141:Q141)</f>
        <v>5494561.6229774905</v>
      </c>
      <c r="Z141" s="41">
        <f>Y141/X141</f>
        <v>0.85100105553679462</v>
      </c>
      <c r="AA141" s="42">
        <f>AVERAGE(R141:T141)</f>
        <v>24533962.752060737</v>
      </c>
      <c r="AB141" s="42">
        <f>AVERAGE(U141:W141)</f>
        <v>14116234.551217534</v>
      </c>
      <c r="AC141" s="43">
        <f>AB141/AA141</f>
        <v>0.57537523366590404</v>
      </c>
    </row>
    <row r="142" spans="1:29">
      <c r="A142" s="14" t="s">
        <v>126</v>
      </c>
      <c r="B142" s="14" t="s">
        <v>127</v>
      </c>
      <c r="C142" s="14" t="s">
        <v>128</v>
      </c>
      <c r="D142" s="14">
        <v>-0.95</v>
      </c>
      <c r="E142" s="14">
        <v>135.05437000000001</v>
      </c>
      <c r="F142" s="14">
        <v>2.887</v>
      </c>
      <c r="G142" s="30">
        <f>AVERAGE(L142:W142)</f>
        <v>70414024.646629229</v>
      </c>
      <c r="H142" s="30">
        <v>112323384.752066</v>
      </c>
      <c r="I142" s="30" t="e">
        <f>G142/#REF!</f>
        <v>#REF!</v>
      </c>
      <c r="J142" s="30" t="e">
        <f>H142/#REF!</f>
        <v>#REF!</v>
      </c>
      <c r="K142" s="14">
        <v>90.2</v>
      </c>
      <c r="L142" s="30">
        <v>59811487.7237477</v>
      </c>
      <c r="M142" s="30">
        <v>93340034.959918097</v>
      </c>
      <c r="N142" s="30">
        <v>61471494.764411703</v>
      </c>
      <c r="O142" s="30">
        <v>53854534.509193301</v>
      </c>
      <c r="P142" s="30">
        <v>49560393.265735701</v>
      </c>
      <c r="Q142" s="30">
        <v>71001474.8091221</v>
      </c>
      <c r="R142" s="30">
        <v>74754022.8719365</v>
      </c>
      <c r="S142" s="30">
        <v>110275047.29448</v>
      </c>
      <c r="T142" s="30">
        <v>104488559.396604</v>
      </c>
      <c r="U142" s="30">
        <v>57860373.2109598</v>
      </c>
      <c r="V142" s="30">
        <v>57943821.411339</v>
      </c>
      <c r="W142" s="30">
        <v>50607051.542102903</v>
      </c>
      <c r="X142" s="35">
        <f>AVERAGE(L142:N142)</f>
        <v>71541005.816025838</v>
      </c>
      <c r="Y142" s="35">
        <f>AVERAGE(O142:Q142)</f>
        <v>58138800.861350365</v>
      </c>
      <c r="Z142" s="41">
        <f>Y142/X142</f>
        <v>0.81266401273221611</v>
      </c>
      <c r="AA142" s="42">
        <f>AVERAGE(R142:T142)</f>
        <v>96505876.521006823</v>
      </c>
      <c r="AB142" s="42">
        <f>AVERAGE(U142:W142)</f>
        <v>55470415.388133906</v>
      </c>
      <c r="AC142" s="43">
        <f>AB142/AA142</f>
        <v>0.57478795476314271</v>
      </c>
    </row>
    <row r="143" spans="1:29">
      <c r="A143" s="14" t="s">
        <v>98</v>
      </c>
      <c r="B143" s="14" t="s">
        <v>99</v>
      </c>
      <c r="C143" s="14" t="s">
        <v>100</v>
      </c>
      <c r="D143" s="14">
        <v>-0.84</v>
      </c>
      <c r="E143" s="14">
        <v>162.11555999999999</v>
      </c>
      <c r="F143" s="14">
        <v>2.9609999999999999</v>
      </c>
      <c r="G143" s="30">
        <f>AVERAGE(L143:W143)</f>
        <v>94602095.509233341</v>
      </c>
      <c r="H143" s="30">
        <v>138505088.367542</v>
      </c>
      <c r="I143" s="30" t="e">
        <f>G143/#REF!</f>
        <v>#REF!</v>
      </c>
      <c r="J143" s="30" t="e">
        <f>H143/#REF!</f>
        <v>#REF!</v>
      </c>
      <c r="K143" s="14">
        <v>95.8</v>
      </c>
      <c r="L143" s="30">
        <v>124418085.09334201</v>
      </c>
      <c r="M143" s="30">
        <v>108399000.657326</v>
      </c>
      <c r="N143" s="30">
        <v>71431615.111985102</v>
      </c>
      <c r="O143" s="30">
        <v>135678679.84691799</v>
      </c>
      <c r="P143" s="30">
        <v>48472240.128833003</v>
      </c>
      <c r="Q143" s="30">
        <v>66998946.837280102</v>
      </c>
      <c r="R143" s="30">
        <v>114169257.363968</v>
      </c>
      <c r="S143" s="30">
        <v>138505088.367542</v>
      </c>
      <c r="T143" s="30">
        <v>116319963.939941</v>
      </c>
      <c r="U143" s="30">
        <v>89933570.597337201</v>
      </c>
      <c r="V143" s="30">
        <v>65753086.0624993</v>
      </c>
      <c r="W143" s="30">
        <v>55145612.103828199</v>
      </c>
      <c r="X143" s="35">
        <f>AVERAGE(L143:N143)</f>
        <v>101416233.62088436</v>
      </c>
      <c r="Y143" s="35">
        <f>AVERAGE(O143:Q143)</f>
        <v>83716622.271010354</v>
      </c>
      <c r="Z143" s="41">
        <f>Y143/X143</f>
        <v>0.8254755602930498</v>
      </c>
      <c r="AA143" s="42">
        <f>AVERAGE(R143:T143)</f>
        <v>122998103.22381699</v>
      </c>
      <c r="AB143" s="42">
        <f>AVERAGE(U143:W143)</f>
        <v>70277422.921221569</v>
      </c>
      <c r="AC143" s="43">
        <f>AB143/AA143</f>
        <v>0.57136997302583814</v>
      </c>
    </row>
    <row r="144" spans="1:29">
      <c r="A144" s="14" t="s">
        <v>450</v>
      </c>
      <c r="B144" s="14" t="s">
        <v>451</v>
      </c>
      <c r="C144" s="14" t="s">
        <v>334</v>
      </c>
      <c r="D144" s="14">
        <v>-0.85</v>
      </c>
      <c r="E144" s="14">
        <v>118.02651</v>
      </c>
      <c r="F144" s="14">
        <v>3.4710000000000001</v>
      </c>
      <c r="G144" s="30">
        <f>AVERAGE(L144:W144)</f>
        <v>2685367.1262831311</v>
      </c>
      <c r="H144" s="30">
        <v>7887573.9713492198</v>
      </c>
      <c r="I144" s="30" t="e">
        <f>G144/#REF!</f>
        <v>#REF!</v>
      </c>
      <c r="J144" s="30" t="e">
        <f>H144/#REF!</f>
        <v>#REF!</v>
      </c>
      <c r="K144" s="14">
        <v>76.099999999999994</v>
      </c>
      <c r="L144" s="30">
        <v>3032711.7929319902</v>
      </c>
      <c r="M144" s="30">
        <v>1292423.96294223</v>
      </c>
      <c r="N144" s="30">
        <v>4520899.0206707502</v>
      </c>
      <c r="O144" s="30">
        <v>6727780.2425425304</v>
      </c>
      <c r="P144" s="30">
        <v>1173822.66830673</v>
      </c>
      <c r="Q144" s="30">
        <v>1355904.49478491</v>
      </c>
      <c r="R144" s="30">
        <v>506075.031951249</v>
      </c>
      <c r="S144" s="30">
        <v>3955355.9234919101</v>
      </c>
      <c r="T144" s="30">
        <v>4543790.3531301403</v>
      </c>
      <c r="U144" s="30">
        <v>4232864.2357558999</v>
      </c>
      <c r="V144" s="30">
        <v>443693.20609745203</v>
      </c>
      <c r="W144" s="30">
        <v>439084.58279177902</v>
      </c>
      <c r="X144" s="35">
        <f>AVERAGE(L144:N144)</f>
        <v>2948678.258848323</v>
      </c>
      <c r="Y144" s="35">
        <f>AVERAGE(O144:Q144)</f>
        <v>3085835.801878057</v>
      </c>
      <c r="Z144" s="41">
        <f>Y144/X144</f>
        <v>1.0465149232942437</v>
      </c>
      <c r="AA144" s="42">
        <f>AVERAGE(R144:T144)</f>
        <v>3001740.4361910992</v>
      </c>
      <c r="AB144" s="42">
        <f>AVERAGE(U144:W144)</f>
        <v>1705214.0082150437</v>
      </c>
      <c r="AC144" s="43">
        <f>AB144/AA144</f>
        <v>0.5680751032486957</v>
      </c>
    </row>
    <row r="145" spans="1:29">
      <c r="A145" s="14" t="s">
        <v>329</v>
      </c>
      <c r="B145" s="14" t="s">
        <v>330</v>
      </c>
      <c r="C145" s="14" t="s">
        <v>331</v>
      </c>
      <c r="D145" s="14">
        <v>-2.13</v>
      </c>
      <c r="E145" s="14">
        <v>243.08500000000001</v>
      </c>
      <c r="F145" s="14">
        <v>7.0510000000000002</v>
      </c>
      <c r="G145" s="30">
        <f>AVERAGE(L145:W145)</f>
        <v>10818465.160027867</v>
      </c>
      <c r="H145" s="30">
        <v>28500710.150269199</v>
      </c>
      <c r="I145" s="30" t="e">
        <f>G145/#REF!</f>
        <v>#REF!</v>
      </c>
      <c r="J145" s="30" t="e">
        <f>H145/#REF!</f>
        <v>#REF!</v>
      </c>
      <c r="K145" s="14">
        <v>87.4</v>
      </c>
      <c r="L145" s="30">
        <v>493021.44253807701</v>
      </c>
      <c r="M145" s="30">
        <v>5031292.4580420898</v>
      </c>
      <c r="N145" s="30">
        <v>7551521.0393536501</v>
      </c>
      <c r="O145" s="30">
        <v>8921371.2940618601</v>
      </c>
      <c r="P145" s="30">
        <v>3113088.7246143199</v>
      </c>
      <c r="Q145" s="30">
        <v>6186812.7353293104</v>
      </c>
      <c r="R145" s="30">
        <v>14335150.9031849</v>
      </c>
      <c r="S145" s="30">
        <v>20962951.3398818</v>
      </c>
      <c r="T145" s="30">
        <v>28500710.150269199</v>
      </c>
      <c r="U145" s="30">
        <v>11164822.729960799</v>
      </c>
      <c r="V145" s="30">
        <v>8723046.4500758108</v>
      </c>
      <c r="W145" s="30">
        <v>14837792.6530226</v>
      </c>
      <c r="X145" s="35">
        <f>AVERAGE(L145:N145)</f>
        <v>4358611.6466446063</v>
      </c>
      <c r="Y145" s="35">
        <f>AVERAGE(O145:Q145)</f>
        <v>6073757.5846684976</v>
      </c>
      <c r="Z145" s="41">
        <f>Y145/X145</f>
        <v>1.393507400308138</v>
      </c>
      <c r="AA145" s="42">
        <f>AVERAGE(R145:T145)</f>
        <v>21266270.797778632</v>
      </c>
      <c r="AB145" s="42">
        <f>AVERAGE(U145:W145)</f>
        <v>11575220.611019738</v>
      </c>
      <c r="AC145" s="43">
        <f>AB145/AA145</f>
        <v>0.54429950230055513</v>
      </c>
    </row>
    <row r="146" spans="1:29">
      <c r="A146" s="14" t="s">
        <v>186</v>
      </c>
      <c r="B146" s="14" t="s">
        <v>187</v>
      </c>
      <c r="C146" s="14" t="s">
        <v>188</v>
      </c>
      <c r="D146" s="14">
        <v>-0.77</v>
      </c>
      <c r="E146" s="14">
        <v>128.09486000000001</v>
      </c>
      <c r="F146" s="14">
        <v>4.8120000000000003</v>
      </c>
      <c r="G146" s="30">
        <f>AVERAGE(L146:W146)</f>
        <v>38444486.198538683</v>
      </c>
      <c r="H146" s="30">
        <v>79006291.486400604</v>
      </c>
      <c r="I146" s="30" t="e">
        <f>G146/#REF!</f>
        <v>#REF!</v>
      </c>
      <c r="J146" s="30" t="e">
        <f>H146/#REF!</f>
        <v>#REF!</v>
      </c>
      <c r="K146" s="14">
        <v>75.8</v>
      </c>
      <c r="L146" s="30">
        <v>34814343.363261901</v>
      </c>
      <c r="M146" s="30">
        <v>34249874.742827103</v>
      </c>
      <c r="N146" s="30">
        <v>25834984.042319998</v>
      </c>
      <c r="O146" s="30">
        <v>76179192.6035202</v>
      </c>
      <c r="P146" s="30">
        <v>19363752.043232001</v>
      </c>
      <c r="Q146" s="30">
        <v>19641551.714380499</v>
      </c>
      <c r="R146" s="30">
        <v>38535791.4345681</v>
      </c>
      <c r="S146" s="30">
        <v>45360499.0677872</v>
      </c>
      <c r="T146" s="30">
        <v>79006291.486400604</v>
      </c>
      <c r="U146" s="30">
        <v>43037965.229628399</v>
      </c>
      <c r="V146" s="30">
        <v>22697696.354851998</v>
      </c>
      <c r="W146" s="30">
        <v>22611892.299686201</v>
      </c>
      <c r="X146" s="35">
        <f>AVERAGE(L146:N146)</f>
        <v>31633067.382802997</v>
      </c>
      <c r="Y146" s="35">
        <f>AVERAGE(O146:Q146)</f>
        <v>38394832.12037757</v>
      </c>
      <c r="Z146" s="41">
        <f>Y146/X146</f>
        <v>1.2137562145253906</v>
      </c>
      <c r="AA146" s="42">
        <f>AVERAGE(R146:T146)</f>
        <v>54300860.662918635</v>
      </c>
      <c r="AB146" s="42">
        <f>AVERAGE(U146:W146)</f>
        <v>29449184.628055532</v>
      </c>
      <c r="AC146" s="43">
        <f>AB146/AA146</f>
        <v>0.54233366227592783</v>
      </c>
    </row>
    <row r="147" spans="1:29">
      <c r="A147" s="14" t="s">
        <v>70</v>
      </c>
      <c r="B147" s="14" t="s">
        <v>71</v>
      </c>
      <c r="C147" s="14" t="s">
        <v>72</v>
      </c>
      <c r="D147" s="14">
        <v>-1.24</v>
      </c>
      <c r="E147" s="14">
        <v>267.09642000000002</v>
      </c>
      <c r="F147" s="14">
        <v>2.9769999999999999</v>
      </c>
      <c r="G147" s="30">
        <f>AVERAGE(L147:W147)</f>
        <v>188579133.55623475</v>
      </c>
      <c r="H147" s="30">
        <v>417453702.62128001</v>
      </c>
      <c r="I147" s="30" t="e">
        <f>G147/#REF!</f>
        <v>#REF!</v>
      </c>
      <c r="J147" s="30" t="e">
        <f>H147/#REF!</f>
        <v>#REF!</v>
      </c>
      <c r="K147" s="14">
        <v>91.8</v>
      </c>
      <c r="L147" s="30">
        <v>145400167.091066</v>
      </c>
      <c r="M147" s="30">
        <v>121526460.797389</v>
      </c>
      <c r="N147" s="30">
        <v>226027782.83516699</v>
      </c>
      <c r="O147" s="30">
        <v>141606274.84515601</v>
      </c>
      <c r="P147" s="30">
        <v>121011597.342599</v>
      </c>
      <c r="Q147" s="30">
        <v>182549076.664123</v>
      </c>
      <c r="R147" s="30">
        <v>260723226.765255</v>
      </c>
      <c r="S147" s="30">
        <v>184412015.50924599</v>
      </c>
      <c r="T147" s="30">
        <v>417453702.62128001</v>
      </c>
      <c r="U147" s="30">
        <v>143814402.928718</v>
      </c>
      <c r="V147" s="30">
        <v>124196542.958731</v>
      </c>
      <c r="W147" s="30">
        <v>194228352.31608701</v>
      </c>
      <c r="X147" s="35">
        <f>AVERAGE(L147:N147)</f>
        <v>164318136.90787399</v>
      </c>
      <c r="Y147" s="35">
        <f>AVERAGE(O147:Q147)</f>
        <v>148388982.95062602</v>
      </c>
      <c r="Z147" s="41">
        <f>Y147/X147</f>
        <v>0.90305906422138449</v>
      </c>
      <c r="AA147" s="42">
        <f>AVERAGE(R147:T147)</f>
        <v>287529648.2985937</v>
      </c>
      <c r="AB147" s="42">
        <f>AVERAGE(U147:W147)</f>
        <v>154079766.06784534</v>
      </c>
      <c r="AC147" s="43">
        <f>AB147/AA147</f>
        <v>0.53587435932115302</v>
      </c>
    </row>
    <row r="148" spans="1:29">
      <c r="A148" s="14" t="s">
        <v>242</v>
      </c>
      <c r="B148" s="14" t="s">
        <v>243</v>
      </c>
      <c r="C148" s="14" t="s">
        <v>244</v>
      </c>
      <c r="D148" s="14">
        <v>-1.98</v>
      </c>
      <c r="E148" s="14">
        <v>260.13670999999999</v>
      </c>
      <c r="F148" s="14">
        <v>5.1790000000000003</v>
      </c>
      <c r="G148" s="30">
        <f>AVERAGE(L148:W148)</f>
        <v>21004073.715597924</v>
      </c>
      <c r="H148" s="30">
        <v>35807690.050051197</v>
      </c>
      <c r="I148" s="30" t="e">
        <f>G148/#REF!</f>
        <v>#REF!</v>
      </c>
      <c r="J148" s="30" t="e">
        <f>H148/#REF!</f>
        <v>#REF!</v>
      </c>
      <c r="K148" s="14">
        <v>58.9</v>
      </c>
      <c r="L148" s="30">
        <v>13983837.635888901</v>
      </c>
      <c r="M148" s="30">
        <v>16577892.948245199</v>
      </c>
      <c r="N148" s="30">
        <v>24495589.509582799</v>
      </c>
      <c r="O148" s="30">
        <v>8430752.9321263507</v>
      </c>
      <c r="P148" s="30">
        <v>26493386.037408199</v>
      </c>
      <c r="Q148" s="30">
        <v>28314513.1516219</v>
      </c>
      <c r="R148" s="30">
        <v>25876192.457012199</v>
      </c>
      <c r="S148" s="30">
        <v>25635571.2833343</v>
      </c>
      <c r="T148" s="30">
        <v>35807690.050051197</v>
      </c>
      <c r="U148" s="30">
        <v>17613738.655170701</v>
      </c>
      <c r="V148" s="30">
        <v>16222085.091241</v>
      </c>
      <c r="W148" s="30">
        <v>12597634.8354923</v>
      </c>
      <c r="X148" s="35">
        <f>AVERAGE(L148:N148)</f>
        <v>18352440.031238969</v>
      </c>
      <c r="Y148" s="35">
        <f>AVERAGE(O148:Q148)</f>
        <v>21079550.707052149</v>
      </c>
      <c r="Z148" s="41">
        <f>Y148/X148</f>
        <v>1.1485966264524594</v>
      </c>
      <c r="AA148" s="42">
        <f>AVERAGE(R148:T148)</f>
        <v>29106484.596799236</v>
      </c>
      <c r="AB148" s="42">
        <f>AVERAGE(U148:W148)</f>
        <v>15477819.527301334</v>
      </c>
      <c r="AC148" s="43">
        <f>AB148/AA148</f>
        <v>0.53176533482863086</v>
      </c>
    </row>
    <row r="149" spans="1:29">
      <c r="A149" s="14" t="s">
        <v>323</v>
      </c>
      <c r="B149" s="14" t="s">
        <v>324</v>
      </c>
      <c r="C149" s="14" t="s">
        <v>325</v>
      </c>
      <c r="D149" s="14">
        <v>-2.83</v>
      </c>
      <c r="E149" s="14">
        <v>268.08001000000002</v>
      </c>
      <c r="F149" s="14">
        <v>3.7759999999999998</v>
      </c>
      <c r="G149" s="30">
        <f>AVERAGE(L149:W149)</f>
        <v>11353788.81126737</v>
      </c>
      <c r="H149" s="30">
        <v>26243717.251291901</v>
      </c>
      <c r="I149" s="30" t="e">
        <f>G149/#REF!</f>
        <v>#REF!</v>
      </c>
      <c r="J149" s="30" t="e">
        <f>H149/#REF!</f>
        <v>#REF!</v>
      </c>
      <c r="K149" s="14">
        <v>78.2</v>
      </c>
      <c r="L149" s="30">
        <v>6529508.9655007403</v>
      </c>
      <c r="M149" s="30">
        <v>9711797.0954335295</v>
      </c>
      <c r="N149" s="30">
        <v>6700688.4529464003</v>
      </c>
      <c r="O149" s="30">
        <v>2863320.6807339098</v>
      </c>
      <c r="P149" s="30">
        <v>7678177.04239963</v>
      </c>
      <c r="Q149" s="30">
        <v>10445018.293005601</v>
      </c>
      <c r="R149" s="30">
        <v>13727232.319576301</v>
      </c>
      <c r="S149" s="30">
        <v>26243717.251291901</v>
      </c>
      <c r="T149" s="30">
        <v>20370904.347713102</v>
      </c>
      <c r="U149" s="30">
        <v>12651402.112877199</v>
      </c>
      <c r="V149" s="30">
        <v>11039075.103915</v>
      </c>
      <c r="W149" s="30">
        <v>8284624.0698151197</v>
      </c>
      <c r="X149" s="35">
        <f>AVERAGE(L149:N149)</f>
        <v>7647331.5046268897</v>
      </c>
      <c r="Y149" s="35">
        <f>AVERAGE(O149:Q149)</f>
        <v>6995505.3387130471</v>
      </c>
      <c r="Z149" s="41">
        <f>Y149/X149</f>
        <v>0.91476423305051358</v>
      </c>
      <c r="AA149" s="42">
        <f>AVERAGE(R149:T149)</f>
        <v>20113951.306193769</v>
      </c>
      <c r="AB149" s="42">
        <f>AVERAGE(U149:W149)</f>
        <v>10658367.095535772</v>
      </c>
      <c r="AC149" s="43">
        <f>AB149/AA149</f>
        <v>0.52989921936689277</v>
      </c>
    </row>
    <row r="150" spans="1:29">
      <c r="A150" s="14" t="s">
        <v>113</v>
      </c>
      <c r="B150" s="14" t="s">
        <v>114</v>
      </c>
      <c r="C150" s="14" t="s">
        <v>36</v>
      </c>
      <c r="D150" s="14">
        <v>-1.1100000000000001</v>
      </c>
      <c r="E150" s="14">
        <v>188.11588</v>
      </c>
      <c r="F150" s="14">
        <v>4.7110000000000003</v>
      </c>
      <c r="G150" s="30">
        <f>AVERAGE(L150:W150)</f>
        <v>87130648.980149329</v>
      </c>
      <c r="H150" s="30">
        <v>196192293.213045</v>
      </c>
      <c r="I150" s="30" t="e">
        <f>G150/#REF!</f>
        <v>#REF!</v>
      </c>
      <c r="J150" s="30" t="e">
        <f>H150/#REF!</f>
        <v>#REF!</v>
      </c>
      <c r="K150" s="14">
        <v>82.5</v>
      </c>
      <c r="L150" s="30">
        <v>80089419.548518598</v>
      </c>
      <c r="M150" s="30">
        <v>41221934.8219909</v>
      </c>
      <c r="N150" s="30">
        <v>77389929.052975297</v>
      </c>
      <c r="O150" s="30">
        <v>16465619.128987201</v>
      </c>
      <c r="P150" s="30">
        <v>114641833.730406</v>
      </c>
      <c r="Q150" s="30">
        <v>196192293.213045</v>
      </c>
      <c r="R150" s="30">
        <v>518345.57572635502</v>
      </c>
      <c r="S150" s="30">
        <v>175626074.07120201</v>
      </c>
      <c r="T150" s="30">
        <v>165156708.65226501</v>
      </c>
      <c r="U150" s="30">
        <v>51973990.260791697</v>
      </c>
      <c r="V150" s="30">
        <v>81669965.448647097</v>
      </c>
      <c r="W150" s="30">
        <v>44621674.257236697</v>
      </c>
      <c r="X150" s="35">
        <f>AVERAGE(L150:N150)</f>
        <v>66233761.141161598</v>
      </c>
      <c r="Y150" s="35">
        <f>AVERAGE(O150:Q150)</f>
        <v>109099915.35747941</v>
      </c>
      <c r="Z150" s="41">
        <f>Y150/X150</f>
        <v>1.6471949271453683</v>
      </c>
      <c r="AA150" s="42">
        <f>AVERAGE(R150:T150)</f>
        <v>113767042.76639779</v>
      </c>
      <c r="AB150" s="42">
        <f>AVERAGE(U150:W150)</f>
        <v>59421876.655558497</v>
      </c>
      <c r="AC150" s="43">
        <f>AB150/AA150</f>
        <v>0.52231186827604992</v>
      </c>
    </row>
    <row r="151" spans="1:29">
      <c r="A151" s="14" t="s">
        <v>492</v>
      </c>
      <c r="B151" s="14" t="s">
        <v>493</v>
      </c>
      <c r="C151" s="14" t="s">
        <v>494</v>
      </c>
      <c r="D151" s="14">
        <v>-3.26</v>
      </c>
      <c r="E151" s="14">
        <v>131.05781999999999</v>
      </c>
      <c r="F151" s="14">
        <v>4.88</v>
      </c>
      <c r="G151" s="30">
        <f>AVERAGE(L151:W151)</f>
        <v>1018947.7111965674</v>
      </c>
      <c r="H151" s="30">
        <v>3178945.0261715902</v>
      </c>
      <c r="I151" s="30" t="e">
        <f>G151/#REF!</f>
        <v>#REF!</v>
      </c>
      <c r="J151" s="30" t="e">
        <f>H151/#REF!</f>
        <v>#REF!</v>
      </c>
      <c r="K151" s="14">
        <v>87.3</v>
      </c>
      <c r="L151" s="30">
        <v>424133.096757836</v>
      </c>
      <c r="M151" s="30">
        <v>1771196.5747672699</v>
      </c>
      <c r="N151" s="30">
        <v>1696071.2815040001</v>
      </c>
      <c r="O151" s="30">
        <v>634251.932985552</v>
      </c>
      <c r="P151" s="30">
        <v>2335784.6863736501</v>
      </c>
      <c r="Q151" s="30">
        <v>531839.32271089696</v>
      </c>
      <c r="R151" s="30">
        <v>1134417.04226792</v>
      </c>
      <c r="S151" s="30">
        <v>707414.498812426</v>
      </c>
      <c r="T151" s="30">
        <v>1350729.94820636</v>
      </c>
      <c r="U151" s="30">
        <v>978362.81146402506</v>
      </c>
      <c r="V151" s="30">
        <v>212792.239905861</v>
      </c>
      <c r="W151" s="30">
        <v>450379.09860301402</v>
      </c>
      <c r="X151" s="35">
        <f>AVERAGE(L151:N151)</f>
        <v>1297133.6510097019</v>
      </c>
      <c r="Y151" s="35">
        <f>AVERAGE(O151:Q151)</f>
        <v>1167291.9806900329</v>
      </c>
      <c r="Z151" s="41">
        <f>Y151/X151</f>
        <v>0.89990108558312487</v>
      </c>
      <c r="AA151" s="42">
        <f>AVERAGE(R151:T151)</f>
        <v>1064187.1630955685</v>
      </c>
      <c r="AB151" s="42">
        <f>AVERAGE(U151:W151)</f>
        <v>547178.0499909668</v>
      </c>
      <c r="AC151" s="43">
        <f>AB151/AA151</f>
        <v>0.5141746386033299</v>
      </c>
    </row>
    <row r="152" spans="1:29">
      <c r="A152" s="14" t="s">
        <v>452</v>
      </c>
      <c r="B152" s="14" t="s">
        <v>453</v>
      </c>
      <c r="C152" s="14" t="s">
        <v>454</v>
      </c>
      <c r="D152" s="14">
        <v>-0.74</v>
      </c>
      <c r="E152" s="14">
        <v>257.10097999999999</v>
      </c>
      <c r="F152" s="14">
        <v>5.0659999999999998</v>
      </c>
      <c r="G152" s="30">
        <f>AVERAGE(L152:W152)</f>
        <v>2603320.4405278522</v>
      </c>
      <c r="H152" s="30">
        <v>4070725.546538</v>
      </c>
      <c r="I152" s="30" t="e">
        <f>G152/#REF!</f>
        <v>#REF!</v>
      </c>
      <c r="J152" s="30" t="e">
        <f>H152/#REF!</f>
        <v>#REF!</v>
      </c>
      <c r="K152" s="14">
        <v>56.7</v>
      </c>
      <c r="L152" s="30">
        <v>2875358.1936092698</v>
      </c>
      <c r="M152" s="30">
        <v>3893514.7127231099</v>
      </c>
      <c r="N152" s="30">
        <v>4070725.546538</v>
      </c>
      <c r="O152" s="30">
        <v>1503546.28335741</v>
      </c>
      <c r="P152" s="30">
        <v>3152171.1388822501</v>
      </c>
      <c r="Q152" s="30">
        <v>3131208.8922467502</v>
      </c>
      <c r="R152" s="30">
        <v>3223893.1168338102</v>
      </c>
      <c r="S152" s="30">
        <v>2961135.4173194999</v>
      </c>
      <c r="T152" s="30">
        <v>2168873.1235463298</v>
      </c>
      <c r="U152" s="30">
        <v>1601923.0593091201</v>
      </c>
      <c r="V152" s="30">
        <v>1573642.07864121</v>
      </c>
      <c r="W152" s="30">
        <v>1083853.72332747</v>
      </c>
      <c r="X152" s="35">
        <f>AVERAGE(L152:N152)</f>
        <v>3613199.4842901267</v>
      </c>
      <c r="Y152" s="35">
        <f>AVERAGE(O152:Q152)</f>
        <v>2595642.1048288033</v>
      </c>
      <c r="Z152" s="41">
        <f>Y152/X152</f>
        <v>0.71837774695652057</v>
      </c>
      <c r="AA152" s="42">
        <f>AVERAGE(R152:T152)</f>
        <v>2784633.8858998804</v>
      </c>
      <c r="AB152" s="42">
        <f>AVERAGE(U152:W152)</f>
        <v>1419806.2870926</v>
      </c>
      <c r="AC152" s="43">
        <f>AB152/AA152</f>
        <v>0.50987179832934348</v>
      </c>
    </row>
    <row r="153" spans="1:29">
      <c r="A153" s="14" t="s">
        <v>281</v>
      </c>
      <c r="B153" s="14" t="s">
        <v>282</v>
      </c>
      <c r="C153" s="14" t="s">
        <v>283</v>
      </c>
      <c r="D153" s="14">
        <v>-2</v>
      </c>
      <c r="E153" s="14">
        <v>290.03969999999998</v>
      </c>
      <c r="F153" s="14">
        <v>12.069000000000001</v>
      </c>
      <c r="G153" s="30">
        <f>AVERAGE(L153:W153)</f>
        <v>15092479.151134191</v>
      </c>
      <c r="H153" s="30">
        <v>51458248.411518298</v>
      </c>
      <c r="I153" s="30" t="e">
        <f>G153/#REF!</f>
        <v>#REF!</v>
      </c>
      <c r="J153" s="30" t="e">
        <f>H153/#REF!</f>
        <v>#REF!</v>
      </c>
      <c r="K153" s="14">
        <v>92.2</v>
      </c>
      <c r="L153" s="30">
        <v>8153823.3746939898</v>
      </c>
      <c r="M153" s="30">
        <v>10269786.4700446</v>
      </c>
      <c r="N153" s="30">
        <v>21338561.028661601</v>
      </c>
      <c r="O153" s="30">
        <v>11256685.9693652</v>
      </c>
      <c r="P153" s="30">
        <v>9119624.1447736304</v>
      </c>
      <c r="Q153" s="30">
        <v>12732263.4886717</v>
      </c>
      <c r="R153" s="30">
        <v>12738679.191359499</v>
      </c>
      <c r="S153" s="30">
        <v>51458248.411518298</v>
      </c>
      <c r="T153" s="30">
        <v>7526631.0376194501</v>
      </c>
      <c r="U153" s="30">
        <v>11766499.8095241</v>
      </c>
      <c r="V153" s="30">
        <v>12109186.349314</v>
      </c>
      <c r="W153" s="30">
        <v>12639760.5380642</v>
      </c>
      <c r="X153" s="35">
        <f>AVERAGE(L153:N153)</f>
        <v>13254056.957800062</v>
      </c>
      <c r="Y153" s="35">
        <f>AVERAGE(O153:Q153)</f>
        <v>11036191.200936845</v>
      </c>
      <c r="Z153" s="41">
        <f>Y153/X153</f>
        <v>0.83266514064903008</v>
      </c>
      <c r="AA153" s="42">
        <f>AVERAGE(R153:T153)</f>
        <v>23907852.880165752</v>
      </c>
      <c r="AB153" s="42">
        <f>AVERAGE(U153:W153)</f>
        <v>12171815.565634102</v>
      </c>
      <c r="AC153" s="43">
        <f>AB153/AA153</f>
        <v>0.50911370530190891</v>
      </c>
    </row>
    <row r="154" spans="1:29">
      <c r="A154" s="14" t="s">
        <v>362</v>
      </c>
      <c r="B154" s="14" t="s">
        <v>363</v>
      </c>
      <c r="C154" s="14" t="s">
        <v>364</v>
      </c>
      <c r="D154" s="14">
        <v>2.7</v>
      </c>
      <c r="E154" s="14">
        <v>278.22532999999999</v>
      </c>
      <c r="F154" s="14">
        <v>0.95399999999999996</v>
      </c>
      <c r="G154" s="30">
        <f>AVERAGE(L154:W154)</f>
        <v>8317389.854894354</v>
      </c>
      <c r="H154" s="30">
        <v>17401457.784688</v>
      </c>
      <c r="I154" s="30" t="e">
        <f>G154/#REF!</f>
        <v>#REF!</v>
      </c>
      <c r="J154" s="30" t="e">
        <f>H154/#REF!</f>
        <v>#REF!</v>
      </c>
      <c r="K154" s="14">
        <v>58.8</v>
      </c>
      <c r="L154" s="30">
        <v>4087672.3182357699</v>
      </c>
      <c r="M154" s="30">
        <v>7948064.4729089802</v>
      </c>
      <c r="N154" s="30">
        <v>8255078.2766142301</v>
      </c>
      <c r="O154" s="30">
        <v>13464684.3769622</v>
      </c>
      <c r="P154" s="30">
        <v>8799588.8840807397</v>
      </c>
      <c r="Q154" s="30">
        <v>17401457.784688</v>
      </c>
      <c r="R154" s="30">
        <v>7315753.5490538804</v>
      </c>
      <c r="S154" s="30">
        <v>10094316.593064601</v>
      </c>
      <c r="T154" s="30">
        <v>9164098.5389065202</v>
      </c>
      <c r="U154" s="30">
        <v>4208444.5833726404</v>
      </c>
      <c r="V154" s="30">
        <v>3607334.3851024499</v>
      </c>
      <c r="W154" s="30">
        <v>5462184.49574224</v>
      </c>
      <c r="X154" s="35">
        <f>AVERAGE(L154:N154)</f>
        <v>6763605.022586327</v>
      </c>
      <c r="Y154" s="35">
        <f>AVERAGE(O154:Q154)</f>
        <v>13221910.348576978</v>
      </c>
      <c r="Z154" s="41">
        <f>Y154/X154</f>
        <v>1.9548613948366056</v>
      </c>
      <c r="AA154" s="42">
        <f>AVERAGE(R154:T154)</f>
        <v>8858056.2270083334</v>
      </c>
      <c r="AB154" s="42">
        <f>AVERAGE(U154:W154)</f>
        <v>4425987.8214057768</v>
      </c>
      <c r="AC154" s="43">
        <f>AB154/AA154</f>
        <v>0.49965677660871921</v>
      </c>
    </row>
    <row r="155" spans="1:29">
      <c r="A155" s="14" t="s">
        <v>489</v>
      </c>
      <c r="B155" s="14" t="s">
        <v>490</v>
      </c>
      <c r="C155" s="14" t="s">
        <v>491</v>
      </c>
      <c r="D155" s="14">
        <v>-3.34</v>
      </c>
      <c r="E155" s="14">
        <v>165.04541</v>
      </c>
      <c r="F155" s="14">
        <v>10.518000000000001</v>
      </c>
      <c r="G155" s="30">
        <f>AVERAGE(L155:W155)</f>
        <v>1276310.1906057743</v>
      </c>
      <c r="H155" s="30">
        <v>4638232.4492301</v>
      </c>
      <c r="I155" s="30" t="e">
        <f>G155/#REF!</f>
        <v>#REF!</v>
      </c>
      <c r="J155" s="30" t="e">
        <f>H155/#REF!</f>
        <v>#REF!</v>
      </c>
      <c r="K155" s="14">
        <v>70.2</v>
      </c>
      <c r="L155" s="30">
        <v>126716.34114099</v>
      </c>
      <c r="M155" s="30">
        <v>1121622.6858647999</v>
      </c>
      <c r="N155" s="30">
        <v>1121693.55584491</v>
      </c>
      <c r="O155" s="30">
        <v>963979.01753325795</v>
      </c>
      <c r="P155" s="30">
        <v>1477821.54113756</v>
      </c>
      <c r="Q155" s="30">
        <v>255053.29659774399</v>
      </c>
      <c r="R155" s="30">
        <v>4638232.4492301</v>
      </c>
      <c r="S155" s="30">
        <v>2084404.6851846401</v>
      </c>
      <c r="T155" s="30">
        <v>226211.25590242099</v>
      </c>
      <c r="U155" s="30">
        <v>1417685.51807338</v>
      </c>
      <c r="V155" s="30">
        <v>904834.88306807005</v>
      </c>
      <c r="W155" s="30">
        <v>977467.057691416</v>
      </c>
      <c r="X155" s="35">
        <f>AVERAGE(L155:N155)</f>
        <v>790010.8609502333</v>
      </c>
      <c r="Y155" s="35">
        <f>AVERAGE(O155:Q155)</f>
        <v>898951.28508952062</v>
      </c>
      <c r="Z155" s="41">
        <f>Y155/X155</f>
        <v>1.1378973752439969</v>
      </c>
      <c r="AA155" s="42">
        <f>AVERAGE(R155:T155)</f>
        <v>2316282.7967723869</v>
      </c>
      <c r="AB155" s="42">
        <f>AVERAGE(U155:W155)</f>
        <v>1099995.8196109552</v>
      </c>
      <c r="AC155" s="43">
        <f>AB155/AA155</f>
        <v>0.474897029474872</v>
      </c>
    </row>
    <row r="156" spans="1:29">
      <c r="A156" s="14" t="s">
        <v>440</v>
      </c>
      <c r="B156" s="14" t="s">
        <v>441</v>
      </c>
      <c r="C156" s="14" t="s">
        <v>442</v>
      </c>
      <c r="D156" s="14">
        <v>0.31</v>
      </c>
      <c r="E156" s="14">
        <v>187.16852</v>
      </c>
      <c r="F156" s="14">
        <v>10.586</v>
      </c>
      <c r="G156" s="30">
        <f>AVERAGE(L156:W156)</f>
        <v>3123614.4346553753</v>
      </c>
      <c r="H156" s="30">
        <v>17318582.959745999</v>
      </c>
      <c r="I156" s="30" t="e">
        <f>G156/#REF!</f>
        <v>#REF!</v>
      </c>
      <c r="J156" s="30" t="e">
        <f>H156/#REF!</f>
        <v>#REF!</v>
      </c>
      <c r="K156" s="14">
        <v>64.5</v>
      </c>
      <c r="L156" s="30">
        <v>3541276.8338719201</v>
      </c>
      <c r="M156" s="30">
        <v>3315565.3419298399</v>
      </c>
      <c r="N156" s="30">
        <v>3776396.1304406901</v>
      </c>
      <c r="O156" s="30">
        <v>17318582.959745999</v>
      </c>
      <c r="P156" s="30">
        <v>2980934.8638053001</v>
      </c>
      <c r="Q156" s="30">
        <v>1498592.47193573</v>
      </c>
      <c r="R156" s="30">
        <v>583180.15247028205</v>
      </c>
      <c r="S156" s="30">
        <v>495782.801095712</v>
      </c>
      <c r="T156" s="30">
        <v>2349067.2732501398</v>
      </c>
      <c r="U156" s="30">
        <v>510450.44239945302</v>
      </c>
      <c r="V156" s="30">
        <v>701958.73727914796</v>
      </c>
      <c r="W156" s="30">
        <v>411585.20764029201</v>
      </c>
      <c r="X156" s="35">
        <f>AVERAGE(L156:N156)</f>
        <v>3544412.7687474829</v>
      </c>
      <c r="Y156" s="35">
        <f>AVERAGE(O156:Q156)</f>
        <v>7266036.7651623441</v>
      </c>
      <c r="Z156" s="41">
        <f>Y156/X156</f>
        <v>2.0499973449000977</v>
      </c>
      <c r="AA156" s="42">
        <f>AVERAGE(R156:T156)</f>
        <v>1142676.7422720445</v>
      </c>
      <c r="AB156" s="42">
        <f>AVERAGE(U156:W156)</f>
        <v>541331.462439631</v>
      </c>
      <c r="AC156" s="43">
        <f>AB156/AA156</f>
        <v>0.47373980970617557</v>
      </c>
    </row>
    <row r="157" spans="1:29">
      <c r="A157" s="14" t="s">
        <v>502</v>
      </c>
      <c r="B157" s="14" t="s">
        <v>503</v>
      </c>
      <c r="C157" s="14" t="s">
        <v>504</v>
      </c>
      <c r="D157" s="14">
        <v>-0.45</v>
      </c>
      <c r="E157" s="14">
        <v>108.06894</v>
      </c>
      <c r="F157" s="14">
        <v>10.786</v>
      </c>
      <c r="G157" s="30">
        <f>AVERAGE(L157:W157)</f>
        <v>593453.0673123264</v>
      </c>
      <c r="H157" s="30">
        <v>2633992.2118756901</v>
      </c>
      <c r="I157" s="30" t="e">
        <f>G157/#REF!</f>
        <v>#REF!</v>
      </c>
      <c r="J157" s="30" t="e">
        <f>H157/#REF!</f>
        <v>#REF!</v>
      </c>
      <c r="K157" s="14">
        <v>59.5</v>
      </c>
      <c r="L157" s="30">
        <v>402751.06906673103</v>
      </c>
      <c r="M157" s="30">
        <v>419871.96519025601</v>
      </c>
      <c r="N157" s="30">
        <v>178448.35524498601</v>
      </c>
      <c r="O157" s="30">
        <v>539991.52720118605</v>
      </c>
      <c r="P157" s="30">
        <v>450389.839263656</v>
      </c>
      <c r="Q157" s="30">
        <v>1023789.24647122</v>
      </c>
      <c r="R157" s="30">
        <v>523596.77753928403</v>
      </c>
      <c r="S157" s="30">
        <v>1744787.3814653801</v>
      </c>
      <c r="T157" s="30">
        <v>549736.11356328998</v>
      </c>
      <c r="U157" s="30">
        <v>442453.31860428897</v>
      </c>
      <c r="V157" s="30">
        <v>424336.172061069</v>
      </c>
      <c r="W157" s="30">
        <v>421285.04207656998</v>
      </c>
      <c r="X157" s="35">
        <f>AVERAGE(L157:N157)</f>
        <v>333690.46316732437</v>
      </c>
      <c r="Y157" s="35">
        <f>AVERAGE(O157:Q157)</f>
        <v>671390.2043120208</v>
      </c>
      <c r="Z157" s="41">
        <f>Y157/X157</f>
        <v>2.0120149612287892</v>
      </c>
      <c r="AA157" s="42">
        <f>AVERAGE(R157:T157)</f>
        <v>939373.42418931797</v>
      </c>
      <c r="AB157" s="42">
        <f>AVERAGE(U157:W157)</f>
        <v>429358.17758064269</v>
      </c>
      <c r="AC157" s="43">
        <f>AB157/AA157</f>
        <v>0.45706868698268749</v>
      </c>
    </row>
    <row r="158" spans="1:29">
      <c r="A158" s="14" t="s">
        <v>367</v>
      </c>
      <c r="B158" s="14" t="s">
        <v>367</v>
      </c>
      <c r="C158" s="14" t="s">
        <v>368</v>
      </c>
      <c r="D158" s="14">
        <v>-1.33</v>
      </c>
      <c r="E158" s="14">
        <v>393.18946</v>
      </c>
      <c r="F158" s="14">
        <v>5.0780000000000003</v>
      </c>
      <c r="G158" s="30">
        <f>AVERAGE(L158:W158)</f>
        <v>7899218.9912444986</v>
      </c>
      <c r="H158" s="30">
        <v>19301062.387307599</v>
      </c>
      <c r="I158" s="30" t="e">
        <f>G158/#REF!</f>
        <v>#REF!</v>
      </c>
      <c r="J158" s="30" t="e">
        <f>H158/#REF!</f>
        <v>#REF!</v>
      </c>
      <c r="K158" s="14">
        <v>58.9</v>
      </c>
      <c r="L158" s="30">
        <v>3391729.4006737098</v>
      </c>
      <c r="M158" s="30">
        <v>2740325.8872616398</v>
      </c>
      <c r="N158" s="30">
        <v>5543919.43278585</v>
      </c>
      <c r="O158" s="30">
        <v>4422638.9487046003</v>
      </c>
      <c r="P158" s="30">
        <v>11000924.274658</v>
      </c>
      <c r="Q158" s="30">
        <v>10735241.376781</v>
      </c>
      <c r="R158" s="30">
        <v>8757155.6719622407</v>
      </c>
      <c r="S158" s="30">
        <v>11190036.166269001</v>
      </c>
      <c r="T158" s="30">
        <v>19301062.387307599</v>
      </c>
      <c r="U158" s="30">
        <v>5929011.5887928298</v>
      </c>
      <c r="V158" s="30">
        <v>6973358.7650540397</v>
      </c>
      <c r="W158" s="30">
        <v>4805223.9946834603</v>
      </c>
      <c r="X158" s="35">
        <f>AVERAGE(L158:N158)</f>
        <v>3891991.5735737332</v>
      </c>
      <c r="Y158" s="35">
        <f>AVERAGE(O158:Q158)</f>
        <v>8719601.5333811995</v>
      </c>
      <c r="Z158" s="41">
        <f>Y158/X158</f>
        <v>2.2403957892885731</v>
      </c>
      <c r="AA158" s="42">
        <f>AVERAGE(R158:T158)</f>
        <v>13082751.408512948</v>
      </c>
      <c r="AB158" s="42">
        <f>AVERAGE(U158:W158)</f>
        <v>5902531.4495101096</v>
      </c>
      <c r="AC158" s="43">
        <f>AB158/AA158</f>
        <v>0.45116896784183574</v>
      </c>
    </row>
    <row r="159" spans="1:29">
      <c r="A159" s="14" t="s">
        <v>484</v>
      </c>
      <c r="B159" s="14" t="s">
        <v>485</v>
      </c>
      <c r="C159" s="14" t="s">
        <v>486</v>
      </c>
      <c r="D159" s="14">
        <v>-0.18</v>
      </c>
      <c r="E159" s="14">
        <v>153.00954999999999</v>
      </c>
      <c r="F159" s="14">
        <v>17.331</v>
      </c>
      <c r="G159" s="30">
        <f>AVERAGE(L159:W159)</f>
        <v>25825.577922953511</v>
      </c>
      <c r="H159" s="30">
        <v>19032711.3457832</v>
      </c>
      <c r="I159" s="30" t="e">
        <f>G159/#REF!</f>
        <v>#REF!</v>
      </c>
      <c r="J159" s="30" t="e">
        <f>H159/#REF!</f>
        <v>#REF!</v>
      </c>
      <c r="K159" s="14">
        <v>75.2</v>
      </c>
      <c r="L159" s="30">
        <v>11757.1844135501</v>
      </c>
      <c r="M159" s="30">
        <v>12416.5794621972</v>
      </c>
      <c r="N159" s="30">
        <v>10064.9660178092</v>
      </c>
      <c r="O159" s="30">
        <v>9062.7608691634396</v>
      </c>
      <c r="P159" s="30">
        <v>9041.7127679739406</v>
      </c>
      <c r="Q159" s="30">
        <v>13065.5864957054</v>
      </c>
      <c r="R159" s="30">
        <v>12826.9381854067</v>
      </c>
      <c r="S159" s="30">
        <v>11362.7332837088</v>
      </c>
      <c r="T159" s="30">
        <v>146726.56658086501</v>
      </c>
      <c r="U159" s="30">
        <v>10909.522382990401</v>
      </c>
      <c r="V159" s="30">
        <v>51995.051918334597</v>
      </c>
      <c r="W159" s="30">
        <v>10677.3326977373</v>
      </c>
      <c r="X159" s="35">
        <f>AVERAGE(L159:N159)</f>
        <v>11412.909964518833</v>
      </c>
      <c r="Y159" s="35">
        <f>AVERAGE(O159:Q159)</f>
        <v>10390.020044280927</v>
      </c>
      <c r="Z159" s="41">
        <f>Y159/X159</f>
        <v>0.91037431089722698</v>
      </c>
      <c r="AA159" s="42">
        <f>AVERAGE(R159:T159)</f>
        <v>56972.079349993503</v>
      </c>
      <c r="AB159" s="42">
        <f>AVERAGE(U159:W159)</f>
        <v>24527.302333020765</v>
      </c>
      <c r="AC159" s="43">
        <f>AB159/AA159</f>
        <v>0.43051443115396071</v>
      </c>
    </row>
    <row r="160" spans="1:29">
      <c r="A160" s="14" t="s">
        <v>200</v>
      </c>
      <c r="B160" s="14" t="s">
        <v>201</v>
      </c>
      <c r="C160" s="14" t="s">
        <v>202</v>
      </c>
      <c r="D160" s="14">
        <v>-0.16</v>
      </c>
      <c r="E160" s="14">
        <v>115.06331</v>
      </c>
      <c r="F160" s="14">
        <v>8.1760000000000002</v>
      </c>
      <c r="G160" s="30">
        <f>AVERAGE(L160:W160)</f>
        <v>33123891.727136329</v>
      </c>
      <c r="H160" s="30">
        <v>170734584.70496601</v>
      </c>
      <c r="I160" s="30" t="e">
        <f>G160/#REF!</f>
        <v>#REF!</v>
      </c>
      <c r="J160" s="30" t="e">
        <f>H160/#REF!</f>
        <v>#REF!</v>
      </c>
      <c r="K160" s="14">
        <v>96.4</v>
      </c>
      <c r="L160" s="30">
        <v>170734584.70496601</v>
      </c>
      <c r="M160" s="30">
        <v>21938515.549556401</v>
      </c>
      <c r="N160" s="30">
        <v>13597703.518414101</v>
      </c>
      <c r="O160" s="30">
        <v>12296558.275682401</v>
      </c>
      <c r="P160" s="30">
        <v>7367982.97920762</v>
      </c>
      <c r="Q160" s="30">
        <v>9561441.1557333097</v>
      </c>
      <c r="R160" s="30">
        <v>22316483.502896398</v>
      </c>
      <c r="S160" s="30">
        <v>34398334.007341601</v>
      </c>
      <c r="T160" s="30">
        <v>58158369.705986299</v>
      </c>
      <c r="U160" s="30">
        <v>15262742.148409</v>
      </c>
      <c r="V160" s="30">
        <v>17560446.5319575</v>
      </c>
      <c r="W160" s="30">
        <v>14293538.6454852</v>
      </c>
      <c r="X160" s="35">
        <f>AVERAGE(L160:N160)</f>
        <v>68756934.590978846</v>
      </c>
      <c r="Y160" s="35">
        <f>AVERAGE(O160:Q160)</f>
        <v>9741994.1368744429</v>
      </c>
      <c r="Z160" s="41">
        <f>Y160/X160</f>
        <v>0.14168744134431827</v>
      </c>
      <c r="AA160" s="42">
        <f>AVERAGE(R160:T160)</f>
        <v>38291062.405408099</v>
      </c>
      <c r="AB160" s="42">
        <f>AVERAGE(U160:W160)</f>
        <v>15705575.775283901</v>
      </c>
      <c r="AC160" s="43">
        <f>AB160/AA160</f>
        <v>0.41016296724808815</v>
      </c>
    </row>
    <row r="161" spans="1:29">
      <c r="A161" s="14" t="s">
        <v>236</v>
      </c>
      <c r="B161" s="14" t="s">
        <v>237</v>
      </c>
      <c r="C161" s="14" t="s">
        <v>238</v>
      </c>
      <c r="D161" s="14">
        <v>-2.77</v>
      </c>
      <c r="E161" s="14">
        <v>152.03299999999999</v>
      </c>
      <c r="F161" s="14">
        <v>3.0640000000000001</v>
      </c>
      <c r="G161" s="30">
        <f>AVERAGE(L161:W161)</f>
        <v>20238830.207148347</v>
      </c>
      <c r="H161" s="30">
        <v>79150860.533666</v>
      </c>
      <c r="I161" s="30" t="e">
        <f>G161/#REF!</f>
        <v>#REF!</v>
      </c>
      <c r="J161" s="30" t="e">
        <f>H161/#REF!</f>
        <v>#REF!</v>
      </c>
      <c r="K161" s="14">
        <v>90.6</v>
      </c>
      <c r="L161" s="30">
        <v>13983492.601890801</v>
      </c>
      <c r="M161" s="30">
        <v>26109449.432135899</v>
      </c>
      <c r="N161" s="30">
        <v>11887882.608518999</v>
      </c>
      <c r="O161" s="30">
        <v>7906985.2350029098</v>
      </c>
      <c r="P161" s="30">
        <v>4614963.7711345404</v>
      </c>
      <c r="Q161" s="30">
        <v>10159694.6382822</v>
      </c>
      <c r="R161" s="30">
        <v>28961074.611041501</v>
      </c>
      <c r="S161" s="30">
        <v>79150860.533666</v>
      </c>
      <c r="T161" s="30">
        <v>11223052.2321619</v>
      </c>
      <c r="U161" s="30">
        <v>15018791.5779432</v>
      </c>
      <c r="V161" s="30">
        <v>16654051.0349705</v>
      </c>
      <c r="W161" s="30">
        <v>17195664.209031701</v>
      </c>
      <c r="X161" s="35">
        <f>AVERAGE(L161:N161)</f>
        <v>17326941.547515232</v>
      </c>
      <c r="Y161" s="35">
        <f>AVERAGE(O161:Q161)</f>
        <v>7560547.8814732162</v>
      </c>
      <c r="Z161" s="41">
        <f>Y161/X161</f>
        <v>0.43634636042028063</v>
      </c>
      <c r="AA161" s="42">
        <f>AVERAGE(R161:T161)</f>
        <v>39778329.125623129</v>
      </c>
      <c r="AB161" s="42">
        <f>AVERAGE(U161:W161)</f>
        <v>16289502.2739818</v>
      </c>
      <c r="AC161" s="43">
        <f>AB161/AA161</f>
        <v>0.40950695094653816</v>
      </c>
    </row>
    <row r="162" spans="1:29">
      <c r="A162" s="14" t="s">
        <v>224</v>
      </c>
      <c r="B162" s="14" t="s">
        <v>225</v>
      </c>
      <c r="C162" s="14" t="s">
        <v>226</v>
      </c>
      <c r="D162" s="14">
        <v>-1.03</v>
      </c>
      <c r="E162" s="14">
        <v>136.03836999999999</v>
      </c>
      <c r="F162" s="14">
        <v>2.5830000000000002</v>
      </c>
      <c r="G162" s="30">
        <f>AVERAGE(L162:W162)</f>
        <v>24005845.264950652</v>
      </c>
      <c r="H162" s="30">
        <v>92264080.694919407</v>
      </c>
      <c r="I162" s="30" t="e">
        <f>G162/#REF!</f>
        <v>#REF!</v>
      </c>
      <c r="J162" s="30" t="e">
        <f>H162/#REF!</f>
        <v>#REF!</v>
      </c>
      <c r="K162" s="14">
        <v>89.4</v>
      </c>
      <c r="L162" s="30">
        <v>15342515.0358776</v>
      </c>
      <c r="M162" s="30">
        <v>39085363.392885201</v>
      </c>
      <c r="N162" s="30">
        <v>17970021.0029823</v>
      </c>
      <c r="O162" s="30">
        <v>9404969.7217284702</v>
      </c>
      <c r="P162" s="30">
        <v>6196503.5601312304</v>
      </c>
      <c r="Q162" s="30">
        <v>12245765.8612494</v>
      </c>
      <c r="R162" s="30">
        <v>23563057.433283299</v>
      </c>
      <c r="S162" s="30">
        <v>92264080.694919407</v>
      </c>
      <c r="T162" s="30">
        <v>19443024.905446</v>
      </c>
      <c r="U162" s="30">
        <v>16803057.661552399</v>
      </c>
      <c r="V162" s="30">
        <v>18493756.1018099</v>
      </c>
      <c r="W162" s="30">
        <v>17258027.8075426</v>
      </c>
      <c r="X162" s="35">
        <f>AVERAGE(L162:N162)</f>
        <v>24132633.143915031</v>
      </c>
      <c r="Y162" s="35">
        <f>AVERAGE(O162:Q162)</f>
        <v>9282413.0477030333</v>
      </c>
      <c r="Z162" s="41">
        <f>Y162/X162</f>
        <v>0.38464153465340212</v>
      </c>
      <c r="AA162" s="42">
        <f>AVERAGE(R162:T162)</f>
        <v>45090054.344549567</v>
      </c>
      <c r="AB162" s="42">
        <f>AVERAGE(U162:W162)</f>
        <v>17518280.523634966</v>
      </c>
      <c r="AC162" s="43">
        <f>AB162/AA162</f>
        <v>0.38851761831492571</v>
      </c>
    </row>
    <row r="163" spans="1:29">
      <c r="A163" s="14" t="s">
        <v>221</v>
      </c>
      <c r="B163" s="14" t="s">
        <v>222</v>
      </c>
      <c r="C163" s="14" t="s">
        <v>223</v>
      </c>
      <c r="D163" s="14">
        <v>-0.93</v>
      </c>
      <c r="E163" s="14">
        <v>203.11556999999999</v>
      </c>
      <c r="F163" s="14">
        <v>2.4260000000000002</v>
      </c>
      <c r="G163" s="30">
        <f>AVERAGE(L163:W163)</f>
        <v>28542590.676106576</v>
      </c>
      <c r="H163" s="30">
        <v>188555396.79444101</v>
      </c>
      <c r="I163" s="30" t="e">
        <f>G163/#REF!</f>
        <v>#REF!</v>
      </c>
      <c r="J163" s="30" t="e">
        <f>H163/#REF!</f>
        <v>#REF!</v>
      </c>
      <c r="K163" s="14">
        <v>94</v>
      </c>
      <c r="L163" s="30">
        <v>188555396.79444101</v>
      </c>
      <c r="M163" s="30">
        <v>10137378.5334676</v>
      </c>
      <c r="N163" s="30">
        <v>4156987.2566239401</v>
      </c>
      <c r="O163" s="30">
        <v>5647690.0749980304</v>
      </c>
      <c r="P163" s="30">
        <v>3604009.46887423</v>
      </c>
      <c r="Q163" s="30">
        <v>4157827.3579911599</v>
      </c>
      <c r="R163" s="30">
        <v>4958145.0373450303</v>
      </c>
      <c r="S163" s="30">
        <v>35377006.300462201</v>
      </c>
      <c r="T163" s="30">
        <v>51032217.558788203</v>
      </c>
      <c r="U163" s="30">
        <v>24557554.2661056</v>
      </c>
      <c r="V163" s="30">
        <v>5570034.7592122704</v>
      </c>
      <c r="W163" s="30">
        <v>4756840.7049697097</v>
      </c>
      <c r="X163" s="35">
        <f>AVERAGE(L163:N163)</f>
        <v>67616587.528177515</v>
      </c>
      <c r="Y163" s="35">
        <f>AVERAGE(O163:Q163)</f>
        <v>4469842.3006211398</v>
      </c>
      <c r="Z163" s="41">
        <f>Y163/X163</f>
        <v>6.610570666197027E-2</v>
      </c>
      <c r="AA163" s="42">
        <f>AVERAGE(R163:T163)</f>
        <v>30455789.632198479</v>
      </c>
      <c r="AB163" s="42">
        <f>AVERAGE(U163:W163)</f>
        <v>11628143.243429193</v>
      </c>
      <c r="AC163" s="43">
        <f>AB163/AA163</f>
        <v>0.38180403082163678</v>
      </c>
    </row>
    <row r="164" spans="1:29">
      <c r="A164" s="14" t="s">
        <v>378</v>
      </c>
      <c r="B164" s="14" t="s">
        <v>379</v>
      </c>
      <c r="C164" s="14" t="s">
        <v>380</v>
      </c>
      <c r="D164" s="14">
        <v>-3.11</v>
      </c>
      <c r="E164" s="14">
        <v>161.06831</v>
      </c>
      <c r="F164" s="14">
        <v>8.6679999999999993</v>
      </c>
      <c r="G164" s="30">
        <f>AVERAGE(L164:W164)</f>
        <v>7208949.4341859445</v>
      </c>
      <c r="H164" s="30">
        <v>19699521.507015701</v>
      </c>
      <c r="I164" s="30" t="e">
        <f>G164/#REF!</f>
        <v>#REF!</v>
      </c>
      <c r="J164" s="30" t="e">
        <f>H164/#REF!</f>
        <v>#REF!</v>
      </c>
      <c r="K164" s="14">
        <v>90.1</v>
      </c>
      <c r="L164" s="30">
        <v>408604.92359447997</v>
      </c>
      <c r="M164" s="30">
        <v>2788909.8710790598</v>
      </c>
      <c r="N164" s="30">
        <v>444732.23686255701</v>
      </c>
      <c r="O164" s="30">
        <v>576320.79623165994</v>
      </c>
      <c r="P164" s="30">
        <v>659185.80500743503</v>
      </c>
      <c r="Q164" s="30">
        <v>19699521.507015701</v>
      </c>
      <c r="R164" s="30">
        <v>19475852.465519801</v>
      </c>
      <c r="S164" s="30">
        <v>12595321.436581099</v>
      </c>
      <c r="T164" s="30">
        <v>12793501.0454427</v>
      </c>
      <c r="U164" s="30">
        <v>15065927.3369653</v>
      </c>
      <c r="V164" s="30">
        <v>1569469.21036806</v>
      </c>
      <c r="W164" s="30">
        <v>430046.57556348701</v>
      </c>
      <c r="X164" s="35">
        <f>AVERAGE(L164:N164)</f>
        <v>1214082.3438453656</v>
      </c>
      <c r="Y164" s="35">
        <f>AVERAGE(O164:Q164)</f>
        <v>6978342.7027515993</v>
      </c>
      <c r="Z164" s="41">
        <f>Y164/X164</f>
        <v>5.7478331170265431</v>
      </c>
      <c r="AA164" s="42">
        <f>AVERAGE(R164:T164)</f>
        <v>14954891.6491812</v>
      </c>
      <c r="AB164" s="42">
        <f>AVERAGE(U164:W164)</f>
        <v>5688481.0409656158</v>
      </c>
      <c r="AC164" s="43">
        <f>AB164/AA164</f>
        <v>0.38037594483521836</v>
      </c>
    </row>
    <row r="165" spans="1:29">
      <c r="A165" s="14" t="s">
        <v>505</v>
      </c>
      <c r="B165" s="14" t="s">
        <v>506</v>
      </c>
      <c r="C165" s="14" t="s">
        <v>462</v>
      </c>
      <c r="D165" s="14">
        <v>-2.88</v>
      </c>
      <c r="E165" s="14">
        <v>108.06844</v>
      </c>
      <c r="F165" s="14">
        <v>11.887</v>
      </c>
      <c r="G165" s="30">
        <f>AVERAGE(L165:W165)</f>
        <v>407331.60224258533</v>
      </c>
      <c r="H165" s="30">
        <v>1901453.19443147</v>
      </c>
      <c r="I165" s="30" t="e">
        <f>G165/#REF!</f>
        <v>#REF!</v>
      </c>
      <c r="J165" s="30" t="e">
        <f>H165/#REF!</f>
        <v>#REF!</v>
      </c>
      <c r="K165" s="14">
        <v>86.6</v>
      </c>
      <c r="L165" s="30">
        <v>347108.495815275</v>
      </c>
      <c r="M165" s="30">
        <v>278107.41032518703</v>
      </c>
      <c r="N165" s="30">
        <v>320669.452780872</v>
      </c>
      <c r="O165" s="30">
        <v>343189.53466719302</v>
      </c>
      <c r="P165" s="30">
        <v>227848.090430385</v>
      </c>
      <c r="Q165" s="30">
        <v>397337.01756619802</v>
      </c>
      <c r="R165" s="30">
        <v>361292.136116518</v>
      </c>
      <c r="S165" s="30">
        <v>1487186.07023816</v>
      </c>
      <c r="T165" s="30">
        <v>317295.34501816402</v>
      </c>
      <c r="U165" s="30">
        <v>195621.25487734401</v>
      </c>
      <c r="V165" s="30">
        <v>337717.012481393</v>
      </c>
      <c r="W165" s="30">
        <v>274607.40659433499</v>
      </c>
      <c r="X165" s="35">
        <f>AVERAGE(L165:N165)</f>
        <v>315295.1196404447</v>
      </c>
      <c r="Y165" s="35">
        <f>AVERAGE(O165:Q165)</f>
        <v>322791.54755459202</v>
      </c>
      <c r="Z165" s="41">
        <f>Y165/X165</f>
        <v>1.0237759084970808</v>
      </c>
      <c r="AA165" s="42">
        <f>AVERAGE(R165:T165)</f>
        <v>721924.51712428068</v>
      </c>
      <c r="AB165" s="42">
        <f>AVERAGE(U165:W165)</f>
        <v>269315.22465102404</v>
      </c>
      <c r="AC165" s="43">
        <f>AB165/AA165</f>
        <v>0.37305177793907907</v>
      </c>
    </row>
    <row r="166" spans="1:29">
      <c r="A166" s="14" t="s">
        <v>410</v>
      </c>
      <c r="B166" s="14" t="s">
        <v>411</v>
      </c>
      <c r="C166" s="14" t="s">
        <v>412</v>
      </c>
      <c r="D166" s="14">
        <v>-1.49</v>
      </c>
      <c r="E166" s="14">
        <v>331.06768</v>
      </c>
      <c r="F166" s="14">
        <v>10.087</v>
      </c>
      <c r="G166" s="30">
        <f>AVERAGE(L166:W166)</f>
        <v>5968649.1996267736</v>
      </c>
      <c r="H166" s="30">
        <v>21096204.874687601</v>
      </c>
      <c r="I166" s="30" t="e">
        <f>G166/#REF!</f>
        <v>#REF!</v>
      </c>
      <c r="J166" s="30" t="e">
        <f>H166/#REF!</f>
        <v>#REF!</v>
      </c>
      <c r="K166" s="14">
        <v>81.2</v>
      </c>
      <c r="L166" s="30">
        <v>1254950.22414055</v>
      </c>
      <c r="M166" s="30">
        <v>1730055.6720148299</v>
      </c>
      <c r="N166" s="30">
        <v>3385799.3266931199</v>
      </c>
      <c r="O166" s="30">
        <v>4249629.5479838904</v>
      </c>
      <c r="P166" s="30">
        <v>1966499.2329789801</v>
      </c>
      <c r="Q166" s="30">
        <v>5667475.7563859699</v>
      </c>
      <c r="R166" s="30">
        <v>7899411.5536223603</v>
      </c>
      <c r="S166" s="30">
        <v>10262007.709844399</v>
      </c>
      <c r="T166" s="30">
        <v>21096204.874687601</v>
      </c>
      <c r="U166" s="30">
        <v>3756247.7005197098</v>
      </c>
      <c r="V166" s="30">
        <v>5108439.85143016</v>
      </c>
      <c r="W166" s="30">
        <v>5247068.9452197095</v>
      </c>
      <c r="X166" s="35">
        <f>AVERAGE(L166:N166)</f>
        <v>2123601.7409494999</v>
      </c>
      <c r="Y166" s="35">
        <f>AVERAGE(O166:Q166)</f>
        <v>3961201.5124496133</v>
      </c>
      <c r="Z166" s="41">
        <f>Y166/X166</f>
        <v>1.8653222193529047</v>
      </c>
      <c r="AA166" s="42">
        <f>AVERAGE(R166:T166)</f>
        <v>13085874.71271812</v>
      </c>
      <c r="AB166" s="42">
        <f>AVERAGE(U166:W166)</f>
        <v>4703918.8323898604</v>
      </c>
      <c r="AC166" s="43">
        <f>AB166/AA166</f>
        <v>0.35946537282816382</v>
      </c>
    </row>
    <row r="167" spans="1:29">
      <c r="A167" s="14" t="s">
        <v>135</v>
      </c>
      <c r="B167" s="14" t="s">
        <v>136</v>
      </c>
      <c r="C167" s="14" t="s">
        <v>137</v>
      </c>
      <c r="D167" s="14">
        <v>-5.04</v>
      </c>
      <c r="E167" s="14">
        <v>131.09397000000001</v>
      </c>
      <c r="F167" s="14">
        <v>4.806</v>
      </c>
      <c r="G167" s="30">
        <f>AVERAGE(L167:W167)</f>
        <v>62891591.515887357</v>
      </c>
      <c r="H167" s="30">
        <v>202854380.62192801</v>
      </c>
      <c r="I167" s="30" t="e">
        <f>G167/#REF!</f>
        <v>#REF!</v>
      </c>
      <c r="J167" s="30" t="e">
        <f>H167/#REF!</f>
        <v>#REF!</v>
      </c>
      <c r="K167" s="14">
        <v>92.4</v>
      </c>
      <c r="L167" s="30">
        <v>223340.78463805901</v>
      </c>
      <c r="M167" s="30">
        <v>106245576.419084</v>
      </c>
      <c r="N167" s="30">
        <v>29689746.015887398</v>
      </c>
      <c r="O167" s="30">
        <v>44912453.6165751</v>
      </c>
      <c r="P167" s="30">
        <v>32237208.8898152</v>
      </c>
      <c r="Q167" s="30">
        <v>25963060.996274699</v>
      </c>
      <c r="R167" s="30">
        <v>172785868.56806901</v>
      </c>
      <c r="S167" s="30">
        <v>100702956.546371</v>
      </c>
      <c r="T167" s="30">
        <v>107065250.95708001</v>
      </c>
      <c r="U167" s="30">
        <v>416517.61196776299</v>
      </c>
      <c r="V167" s="30">
        <v>66177011.193582803</v>
      </c>
      <c r="W167" s="30">
        <v>68280106.5913032</v>
      </c>
      <c r="X167" s="35">
        <f>AVERAGE(L167:N167)</f>
        <v>45386221.073203154</v>
      </c>
      <c r="Y167" s="35">
        <f>AVERAGE(O167:Q167)</f>
        <v>34370907.834221669</v>
      </c>
      <c r="Z167" s="41">
        <f>Y167/X167</f>
        <v>0.75729829497778733</v>
      </c>
      <c r="AA167" s="42">
        <f>AVERAGE(R167:T167)</f>
        <v>126851358.69050668</v>
      </c>
      <c r="AB167" s="42">
        <f>AVERAGE(U167:W167)</f>
        <v>44957878.465617925</v>
      </c>
      <c r="AC167" s="43">
        <f>AB167/AA167</f>
        <v>0.35441385042872614</v>
      </c>
    </row>
    <row r="168" spans="1:29">
      <c r="A168" s="14" t="s">
        <v>495</v>
      </c>
      <c r="B168" s="14" t="s">
        <v>496</v>
      </c>
      <c r="C168" s="14" t="s">
        <v>462</v>
      </c>
      <c r="D168" s="14">
        <v>-1.39</v>
      </c>
      <c r="E168" s="14">
        <v>108.0686</v>
      </c>
      <c r="F168" s="14">
        <v>14.587999999999999</v>
      </c>
      <c r="G168" s="30">
        <f>AVERAGE(L168:W168)</f>
        <v>913580.14303152298</v>
      </c>
      <c r="H168" s="30">
        <v>4028089.1170037999</v>
      </c>
      <c r="I168" s="30" t="e">
        <f>G168/#REF!</f>
        <v>#REF!</v>
      </c>
      <c r="J168" s="30" t="e">
        <f>H168/#REF!</f>
        <v>#REF!</v>
      </c>
      <c r="K168" s="14">
        <v>79.7</v>
      </c>
      <c r="L168" s="30">
        <v>540462.18213034701</v>
      </c>
      <c r="M168" s="30">
        <v>547352.99913766899</v>
      </c>
      <c r="N168" s="30">
        <v>631790.70708379603</v>
      </c>
      <c r="O168" s="30">
        <v>709216.261045255</v>
      </c>
      <c r="P168" s="30">
        <v>676484.25712480606</v>
      </c>
      <c r="Q168" s="30">
        <v>620520.82493817701</v>
      </c>
      <c r="R168" s="30">
        <v>774253.87791947497</v>
      </c>
      <c r="S168" s="30">
        <v>744972.68301181297</v>
      </c>
      <c r="T168" s="30">
        <v>4028089.1170037999</v>
      </c>
      <c r="U168" s="30">
        <v>514431.62844183901</v>
      </c>
      <c r="V168" s="30">
        <v>651465.17725319997</v>
      </c>
      <c r="W168" s="30">
        <v>523922.00128809898</v>
      </c>
      <c r="X168" s="35">
        <f>AVERAGE(L168:N168)</f>
        <v>573201.96278393734</v>
      </c>
      <c r="Y168" s="35">
        <f>AVERAGE(O168:Q168)</f>
        <v>668740.44770274602</v>
      </c>
      <c r="Z168" s="41">
        <f>Y168/X168</f>
        <v>1.1666750833419963</v>
      </c>
      <c r="AA168" s="42">
        <f>AVERAGE(R168:T168)</f>
        <v>1849105.2259783626</v>
      </c>
      <c r="AB168" s="42">
        <f>AVERAGE(U168:W168)</f>
        <v>563272.93566104595</v>
      </c>
      <c r="AC168" s="43">
        <f>AB168/AA168</f>
        <v>0.30461918972892305</v>
      </c>
    </row>
    <row r="169" spans="1:29">
      <c r="A169" s="14" t="s">
        <v>413</v>
      </c>
      <c r="B169" s="14" t="s">
        <v>414</v>
      </c>
      <c r="C169" s="14" t="s">
        <v>415</v>
      </c>
      <c r="D169" s="14">
        <v>-3.03</v>
      </c>
      <c r="E169" s="14">
        <v>322.05563000000001</v>
      </c>
      <c r="F169" s="14">
        <v>9.2010000000000005</v>
      </c>
      <c r="G169" s="30">
        <f>AVERAGE(L169:W169)</f>
        <v>5932416.3633512231</v>
      </c>
      <c r="H169" s="30">
        <v>27283110.476525102</v>
      </c>
      <c r="I169" s="30" t="e">
        <f>G169/#REF!</f>
        <v>#REF!</v>
      </c>
      <c r="J169" s="30" t="e">
        <f>H169/#REF!</f>
        <v>#REF!</v>
      </c>
      <c r="K169" s="14">
        <v>95.2</v>
      </c>
      <c r="L169" s="30">
        <v>1212982.5506579899</v>
      </c>
      <c r="M169" s="30">
        <v>1143350.76606513</v>
      </c>
      <c r="N169" s="30">
        <v>2617634.2993607498</v>
      </c>
      <c r="O169" s="30">
        <v>3182143.1633017501</v>
      </c>
      <c r="P169" s="30">
        <v>1701069.05058058</v>
      </c>
      <c r="Q169" s="30">
        <v>2353131.4000789602</v>
      </c>
      <c r="R169" s="30">
        <v>7567283.0395684103</v>
      </c>
      <c r="S169" s="30">
        <v>10774849.9190017</v>
      </c>
      <c r="T169" s="30">
        <v>27283110.476525102</v>
      </c>
      <c r="U169" s="30">
        <v>4091774.9546701298</v>
      </c>
      <c r="V169" s="30">
        <v>4802613.4304634798</v>
      </c>
      <c r="W169" s="30">
        <v>4459053.3099406902</v>
      </c>
      <c r="X169" s="35">
        <f>AVERAGE(L169:N169)</f>
        <v>1657989.2053612899</v>
      </c>
      <c r="Y169" s="35">
        <f>AVERAGE(O169:Q169)</f>
        <v>2412114.5379870967</v>
      </c>
      <c r="Z169" s="41">
        <f>Y169/X169</f>
        <v>1.45484333081739</v>
      </c>
      <c r="AA169" s="42">
        <f>AVERAGE(R169:T169)</f>
        <v>15208414.478365071</v>
      </c>
      <c r="AB169" s="42">
        <f>AVERAGE(U169:W169)</f>
        <v>4451147.2316914331</v>
      </c>
      <c r="AC169" s="43">
        <f>AB169/AA169</f>
        <v>0.29267661254389604</v>
      </c>
    </row>
    <row r="170" spans="1:29">
      <c r="A170" s="14" t="s">
        <v>159</v>
      </c>
      <c r="B170" s="14" t="s">
        <v>160</v>
      </c>
      <c r="C170" s="14" t="s">
        <v>161</v>
      </c>
      <c r="D170" s="14">
        <v>-3.53</v>
      </c>
      <c r="E170" s="14">
        <v>117.07857</v>
      </c>
      <c r="F170" s="14">
        <v>6.6520000000000001</v>
      </c>
      <c r="G170" s="30">
        <f>AVERAGE(L170:W170)</f>
        <v>54543228.27517987</v>
      </c>
      <c r="H170" s="30">
        <v>179241273.58160901</v>
      </c>
      <c r="I170" s="30" t="e">
        <f>G170/#REF!</f>
        <v>#REF!</v>
      </c>
      <c r="J170" s="30" t="e">
        <f>H170/#REF!</f>
        <v>#REF!</v>
      </c>
      <c r="K170" s="14">
        <v>90.3</v>
      </c>
      <c r="L170" s="30">
        <v>11438023.4918765</v>
      </c>
      <c r="M170" s="30">
        <v>5100472.7418454597</v>
      </c>
      <c r="N170" s="30">
        <v>17647739.255327798</v>
      </c>
      <c r="O170" s="30">
        <v>15155350.4352153</v>
      </c>
      <c r="P170" s="30">
        <v>18793711.037930701</v>
      </c>
      <c r="Q170" s="30">
        <v>2030214.2716715999</v>
      </c>
      <c r="R170" s="30">
        <v>176035258.855373</v>
      </c>
      <c r="S170" s="30">
        <v>107450618.56270801</v>
      </c>
      <c r="T170" s="30">
        <v>179241273.58160901</v>
      </c>
      <c r="U170" s="30">
        <v>25136550.192504901</v>
      </c>
      <c r="V170" s="30">
        <v>59328502.675869502</v>
      </c>
      <c r="W170" s="30">
        <v>37161024.200226702</v>
      </c>
      <c r="X170" s="35">
        <f>AVERAGE(L170:N170)</f>
        <v>11395411.829683254</v>
      </c>
      <c r="Y170" s="35">
        <f>AVERAGE(O170:Q170)</f>
        <v>11993091.914939201</v>
      </c>
      <c r="Z170" s="41">
        <f>Y170/X170</f>
        <v>1.052449186934963</v>
      </c>
      <c r="AA170" s="42">
        <f>AVERAGE(R170:T170)</f>
        <v>154242383.66656333</v>
      </c>
      <c r="AB170" s="42">
        <f>AVERAGE(U170:W170)</f>
        <v>40542025.689533703</v>
      </c>
      <c r="AC170" s="43">
        <f>AB170/AA170</f>
        <v>0.26284620819382737</v>
      </c>
    </row>
    <row r="171" spans="1:29">
      <c r="A171" s="14" t="s">
        <v>466</v>
      </c>
      <c r="B171" s="14" t="s">
        <v>467</v>
      </c>
      <c r="C171" s="14" t="s">
        <v>468</v>
      </c>
      <c r="D171" s="14">
        <v>-4.07</v>
      </c>
      <c r="E171" s="14">
        <v>160.08413999999999</v>
      </c>
      <c r="F171" s="14">
        <v>3.0750000000000002</v>
      </c>
      <c r="G171" s="30">
        <f>AVERAGE(L171:W171)</f>
        <v>2163235.8565548132</v>
      </c>
      <c r="H171" s="30">
        <v>10230156.9915751</v>
      </c>
      <c r="I171" s="30" t="e">
        <f>G171/#REF!</f>
        <v>#REF!</v>
      </c>
      <c r="J171" s="30" t="e">
        <f>H171/#REF!</f>
        <v>#REF!</v>
      </c>
      <c r="K171" s="14">
        <v>61.8</v>
      </c>
      <c r="L171" s="30">
        <v>2108667.3038727702</v>
      </c>
      <c r="M171" s="30">
        <v>113385.05600677201</v>
      </c>
      <c r="N171" s="30">
        <v>1044082.99808475</v>
      </c>
      <c r="O171" s="30">
        <v>3471515.7775502698</v>
      </c>
      <c r="P171" s="30">
        <v>3722841.13154461</v>
      </c>
      <c r="Q171" s="30">
        <v>343407.79157637502</v>
      </c>
      <c r="R171" s="30">
        <v>10230156.9915751</v>
      </c>
      <c r="S171" s="30">
        <v>545107.20383406803</v>
      </c>
      <c r="T171" s="30">
        <v>1683184.7349833399</v>
      </c>
      <c r="U171" s="30">
        <v>109232.946030145</v>
      </c>
      <c r="V171" s="30">
        <v>1850424.4064201801</v>
      </c>
      <c r="W171" s="30">
        <v>736823.93717938301</v>
      </c>
      <c r="X171" s="35">
        <f>AVERAGE(L171:N171)</f>
        <v>1088711.7859880973</v>
      </c>
      <c r="Y171" s="35">
        <f>AVERAGE(O171:Q171)</f>
        <v>2512588.233557085</v>
      </c>
      <c r="Z171" s="41">
        <f>Y171/X171</f>
        <v>2.3078543521752182</v>
      </c>
      <c r="AA171" s="42">
        <f>AVERAGE(R171:T171)</f>
        <v>4152816.310130836</v>
      </c>
      <c r="AB171" s="42">
        <f>AVERAGE(U171:W171)</f>
        <v>898827.09654323605</v>
      </c>
      <c r="AC171" s="43">
        <f>AB171/AA171</f>
        <v>0.21643796147461147</v>
      </c>
    </row>
    <row r="172" spans="1:29">
      <c r="A172" s="14" t="s">
        <v>416</v>
      </c>
      <c r="B172" s="14" t="s">
        <v>417</v>
      </c>
      <c r="C172" s="14" t="s">
        <v>418</v>
      </c>
      <c r="D172" s="14">
        <v>-3.78</v>
      </c>
      <c r="E172" s="14">
        <v>304.08951999999999</v>
      </c>
      <c r="F172" s="14">
        <v>3.22</v>
      </c>
      <c r="G172" s="30">
        <f>AVERAGE(L172:W172)</f>
        <v>5604612.0117706945</v>
      </c>
      <c r="H172" s="30">
        <v>16077801.163592899</v>
      </c>
      <c r="I172" s="30" t="e">
        <f>G172/#REF!</f>
        <v>#REF!</v>
      </c>
      <c r="J172" s="30" t="e">
        <f>H172/#REF!</f>
        <v>#REF!</v>
      </c>
      <c r="K172" s="14">
        <v>62</v>
      </c>
      <c r="L172" s="30">
        <v>3906926.8223199402</v>
      </c>
      <c r="M172" s="30">
        <v>291363.75954965298</v>
      </c>
      <c r="N172" s="30">
        <v>5258355.2274004603</v>
      </c>
      <c r="O172" s="30">
        <v>16077801.163592899</v>
      </c>
      <c r="P172" s="30">
        <v>13351584.046841299</v>
      </c>
      <c r="Q172" s="30">
        <v>1554867.5189596701</v>
      </c>
      <c r="R172" s="30">
        <v>13777919.608179901</v>
      </c>
      <c r="S172" s="30">
        <v>1043678.49236454</v>
      </c>
      <c r="T172" s="30">
        <v>7480175.1036250703</v>
      </c>
      <c r="U172" s="30">
        <v>946901.18976910505</v>
      </c>
      <c r="V172" s="30">
        <v>2918610.9796462101</v>
      </c>
      <c r="W172" s="30">
        <v>647160.22899957397</v>
      </c>
      <c r="X172" s="35">
        <f>AVERAGE(L172:N172)</f>
        <v>3152215.2697566845</v>
      </c>
      <c r="Y172" s="35">
        <f>AVERAGE(O172:Q172)</f>
        <v>10328084.243131289</v>
      </c>
      <c r="Z172" s="41">
        <f>Y172/X172</f>
        <v>3.276452703665921</v>
      </c>
      <c r="AA172" s="42">
        <f>AVERAGE(R172:T172)</f>
        <v>7433924.4013898373</v>
      </c>
      <c r="AB172" s="42">
        <f>AVERAGE(U172:W172)</f>
        <v>1504224.132804963</v>
      </c>
      <c r="AC172" s="43">
        <f>AB172/AA172</f>
        <v>0.20234590124749388</v>
      </c>
    </row>
    <row r="173" spans="1:29">
      <c r="A173" s="14" t="s">
        <v>95</v>
      </c>
      <c r="B173" s="14" t="s">
        <v>96</v>
      </c>
      <c r="C173" s="14" t="s">
        <v>97</v>
      </c>
      <c r="D173" s="14">
        <v>-1.07</v>
      </c>
      <c r="E173" s="14">
        <v>151.04925</v>
      </c>
      <c r="F173" s="14">
        <v>4.899</v>
      </c>
      <c r="G173" s="30">
        <f>AVERAGE(L173:W173)</f>
        <v>111354668.88322258</v>
      </c>
      <c r="H173" s="30">
        <v>536718742.63583201</v>
      </c>
      <c r="I173" s="30" t="e">
        <f>G173/#REF!</f>
        <v>#REF!</v>
      </c>
      <c r="J173" s="30" t="e">
        <f>H173/#REF!</f>
        <v>#REF!</v>
      </c>
      <c r="K173" s="14">
        <v>77.099999999999994</v>
      </c>
      <c r="L173" s="30">
        <v>43284168.339339599</v>
      </c>
      <c r="M173" s="30">
        <v>119173896.55558699</v>
      </c>
      <c r="N173" s="30">
        <v>56228302.362091899</v>
      </c>
      <c r="O173" s="30">
        <v>14620145.9866112</v>
      </c>
      <c r="P173" s="30">
        <v>45599805.209865101</v>
      </c>
      <c r="Q173" s="30">
        <v>78115011.628087193</v>
      </c>
      <c r="R173" s="30">
        <v>118143122.29216</v>
      </c>
      <c r="S173" s="30">
        <v>536718742.63583201</v>
      </c>
      <c r="T173" s="30">
        <v>170273006.67670399</v>
      </c>
      <c r="U173" s="30">
        <v>48796033.273931198</v>
      </c>
      <c r="V173" s="30">
        <v>53651364.2027606</v>
      </c>
      <c r="W173" s="30">
        <v>51652427.435701102</v>
      </c>
      <c r="X173" s="35">
        <f>AVERAGE(L173:N173)</f>
        <v>72895455.752339497</v>
      </c>
      <c r="Y173" s="35">
        <f>AVERAGE(O173:Q173)</f>
        <v>46111654.274854504</v>
      </c>
      <c r="Z173" s="41">
        <f>Y173/X173</f>
        <v>0.63257241207898751</v>
      </c>
      <c r="AA173" s="42">
        <f>AVERAGE(R173:T173)</f>
        <v>275044957.20156533</v>
      </c>
      <c r="AB173" s="42">
        <f>AVERAGE(U173:W173)</f>
        <v>51366608.304130971</v>
      </c>
      <c r="AC173" s="43">
        <f>AB173/AA173</f>
        <v>0.18675713536710004</v>
      </c>
    </row>
    <row r="174" spans="1:29">
      <c r="A174" s="14" t="s">
        <v>107</v>
      </c>
      <c r="B174" s="14" t="s">
        <v>108</v>
      </c>
      <c r="C174" s="14" t="s">
        <v>109</v>
      </c>
      <c r="D174" s="14">
        <v>-1.1100000000000001</v>
      </c>
      <c r="E174" s="14">
        <v>161.10500999999999</v>
      </c>
      <c r="F174" s="14">
        <v>8.2959999999999994</v>
      </c>
      <c r="G174" s="30">
        <f>AVERAGE(L174:W174)</f>
        <v>90312032.721774533</v>
      </c>
      <c r="H174" s="30">
        <v>253857078.19377699</v>
      </c>
      <c r="I174" s="30" t="e">
        <f>G174/#REF!</f>
        <v>#REF!</v>
      </c>
      <c r="J174" s="30" t="e">
        <f>H174/#REF!</f>
        <v>#REF!</v>
      </c>
      <c r="K174" s="14">
        <v>89.2</v>
      </c>
      <c r="L174" s="30">
        <v>60273307.575953104</v>
      </c>
      <c r="M174" s="30">
        <v>71093633.952256799</v>
      </c>
      <c r="N174" s="30">
        <v>64487603.512858696</v>
      </c>
      <c r="O174" s="30">
        <v>27591793.9836936</v>
      </c>
      <c r="P174" s="30">
        <v>115639332.730506</v>
      </c>
      <c r="Q174" s="30">
        <v>37245145.993979603</v>
      </c>
      <c r="R174" s="30">
        <v>253857078.19377699</v>
      </c>
      <c r="S174" s="30">
        <v>139535180.165999</v>
      </c>
      <c r="T174" s="30">
        <v>227891408.186248</v>
      </c>
      <c r="U174" s="30">
        <v>15791149.708059501</v>
      </c>
      <c r="V174" s="30">
        <v>35139524.524303697</v>
      </c>
      <c r="W174" s="30">
        <v>35199234.1336594</v>
      </c>
      <c r="X174" s="35">
        <f>AVERAGE(L174:N174)</f>
        <v>65284848.347022861</v>
      </c>
      <c r="Y174" s="35">
        <f>AVERAGE(O174:Q174)</f>
        <v>60158757.569393069</v>
      </c>
      <c r="Z174" s="41">
        <f>Y174/X174</f>
        <v>0.92148115669378661</v>
      </c>
      <c r="AA174" s="42">
        <f>AVERAGE(R174:T174)</f>
        <v>207094555.51534137</v>
      </c>
      <c r="AB174" s="42">
        <f>AVERAGE(U174:W174)</f>
        <v>28709969.455340862</v>
      </c>
      <c r="AC174" s="43">
        <f>AB174/AA174</f>
        <v>0.13863217883202175</v>
      </c>
    </row>
    <row r="175" spans="1:29">
      <c r="A175" s="14" t="s">
        <v>401</v>
      </c>
      <c r="B175" s="14" t="s">
        <v>402</v>
      </c>
      <c r="C175" s="14" t="s">
        <v>403</v>
      </c>
      <c r="D175" s="14">
        <v>-4.03</v>
      </c>
      <c r="E175" s="14">
        <v>182.07830999999999</v>
      </c>
      <c r="F175" s="14">
        <v>8.1509999999999998</v>
      </c>
      <c r="G175" s="30">
        <f>AVERAGE(L175:W175)</f>
        <v>3902218.246061048</v>
      </c>
      <c r="H175" s="30">
        <v>30484399.043074299</v>
      </c>
      <c r="I175" s="30" t="e">
        <f>G175/#REF!</f>
        <v>#REF!</v>
      </c>
      <c r="J175" s="30" t="e">
        <f>H175/#REF!</f>
        <v>#REF!</v>
      </c>
      <c r="K175" s="14">
        <v>80</v>
      </c>
      <c r="L175" s="30">
        <v>2890241.5083318199</v>
      </c>
      <c r="M175" s="30">
        <v>956717.88909044</v>
      </c>
      <c r="N175" s="30">
        <v>822984.48457599897</v>
      </c>
      <c r="O175" s="30">
        <v>1296950.90899149</v>
      </c>
      <c r="P175" s="30">
        <v>835561.56510990101</v>
      </c>
      <c r="Q175" s="30">
        <v>1007970.3705167701</v>
      </c>
      <c r="R175" s="30">
        <v>1829225.82978316</v>
      </c>
      <c r="S175" s="30">
        <v>30484399.043074299</v>
      </c>
      <c r="T175" s="30">
        <v>2843193.9454348902</v>
      </c>
      <c r="U175" s="30">
        <v>1912655.27994537</v>
      </c>
      <c r="V175" s="30">
        <v>1488285.8733236601</v>
      </c>
      <c r="W175" s="30">
        <v>458432.25455478003</v>
      </c>
      <c r="X175" s="35">
        <f>AVERAGE(L175:N175)</f>
        <v>1556647.9606660863</v>
      </c>
      <c r="Y175" s="35">
        <f>AVERAGE(O175:Q175)</f>
        <v>1046827.6148727204</v>
      </c>
      <c r="Z175" s="41">
        <f>Y175/X175</f>
        <v>0.67248834760608633</v>
      </c>
      <c r="AA175" s="42">
        <f>AVERAGE(R175:T175)</f>
        <v>11718939.60609745</v>
      </c>
      <c r="AB175" s="42">
        <f>AVERAGE(U175:W175)</f>
        <v>1286457.8026079368</v>
      </c>
      <c r="AC175" s="43">
        <f>AB175/AA175</f>
        <v>0.10977595634493954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Heatmap</vt:lpstr>
      <vt:lpstr>Normalized</vt:lpstr>
      <vt:lpstr>Compounds.raw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胞内-LY.pdResult using  </dc:description>
  <cp:lastModifiedBy>YANG LIAO</cp:lastModifiedBy>
  <dcterms:created xsi:type="dcterms:W3CDTF">2025-04-22T14:03:00Z</dcterms:created>
  <dcterms:modified xsi:type="dcterms:W3CDTF">2026-09-10T02:32:42Z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1CC03ECD09364ACA61694568C671F72A_43</vt:lpwstr>
  </property>
  <property fmtid="{D5CDD505-2E9C-101B-9397-08002B2CF9AE}" pid="3" name="KSOProductBuildVer">
    <vt:lpwstr>1033-6.5.2.8766</vt:lpwstr>
  </property>
</Properties>
</file>