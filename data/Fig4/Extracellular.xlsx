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OFAR/data/Fig4/"/>
    </mc:Choice>
  </mc:AlternateContent>
  <xr:revisionPtr revIDLastSave="0" documentId="13_ncr:1_{56208772-E148-DC46-9521-51B75B7853BF}" xr6:coauthVersionLast="47" xr6:coauthVersionMax="47" xr10:uidLastSave="{00000000-0000-0000-0000-000000000000}"/>
  <bookViews>
    <workbookView xWindow="340" yWindow="600" windowWidth="25780" windowHeight="15660" activeTab="1" xr2:uid="{00000000-000D-0000-FFFF-FFFF00000000}"/>
  </bookViews>
  <sheets>
    <sheet name="Heatmap" sheetId="5" r:id="rId1"/>
    <sheet name="PCA" sheetId="6" r:id="rId2"/>
    <sheet name="Compounds" sheetId="1" r:id="rId3"/>
    <sheet name="Compounds.raw" sheetId="4" r:id="rId4"/>
    <sheet name="Sheet1" sheetId="2" r:id="rId5"/>
    <sheet name="Sheet2" sheetId="3" r:id="rId6"/>
  </sheets>
  <definedNames>
    <definedName name="_xlnm._FilterDatabase" localSheetId="2" hidden="1">Compounds!$A$1:$S$104</definedName>
    <definedName name="_xlnm._FilterDatabase" localSheetId="3" hidden="1">'Compounds.raw'!$A$1:$AJ$104</definedName>
    <definedName name="_xlnm._FilterDatabase" localSheetId="5" hidden="1">Sheet2!$A$1:$AW$104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9" i="4" l="1"/>
  <c r="AG77" i="4"/>
  <c r="AG24" i="4"/>
  <c r="AG26" i="4"/>
  <c r="AG17" i="4"/>
  <c r="AG59" i="4"/>
  <c r="AG93" i="4"/>
  <c r="AG45" i="4"/>
  <c r="AG63" i="4"/>
  <c r="AG36" i="4"/>
  <c r="AG47" i="4"/>
  <c r="AG81" i="4"/>
  <c r="AG35" i="4"/>
  <c r="AG88" i="4"/>
  <c r="AG8" i="4"/>
  <c r="AG18" i="4"/>
  <c r="AG31" i="4"/>
  <c r="AG53" i="4"/>
  <c r="AG89" i="4"/>
  <c r="AG84" i="4"/>
  <c r="AG37" i="4"/>
  <c r="AG21" i="4"/>
  <c r="AG68" i="4"/>
  <c r="AG76" i="4"/>
  <c r="AG82" i="4"/>
  <c r="AG65" i="4"/>
  <c r="AG34" i="4"/>
  <c r="AG87" i="4"/>
  <c r="AG90" i="4"/>
  <c r="AG79" i="4"/>
  <c r="AG83" i="4"/>
  <c r="AG16" i="4"/>
  <c r="AG92" i="4"/>
  <c r="AG71" i="4"/>
  <c r="AG13" i="4"/>
  <c r="AG61" i="4"/>
  <c r="AG80" i="4"/>
  <c r="AG64" i="4"/>
  <c r="AG23" i="4"/>
  <c r="AG62" i="4"/>
  <c r="AG50" i="4"/>
  <c r="AG96" i="4"/>
  <c r="AG11" i="4"/>
  <c r="AG4" i="4"/>
  <c r="AG74" i="4"/>
  <c r="AG98" i="4"/>
  <c r="AG2" i="4"/>
  <c r="AG57" i="4"/>
  <c r="AG5" i="4"/>
  <c r="AG66" i="4"/>
  <c r="AG58" i="4"/>
  <c r="AG3" i="4"/>
  <c r="AG75" i="4"/>
  <c r="AG101" i="4"/>
  <c r="AG40" i="4"/>
  <c r="AG60" i="4"/>
  <c r="AG104" i="4"/>
  <c r="AG103" i="4"/>
  <c r="AG14" i="4"/>
  <c r="AG6" i="4"/>
  <c r="AG49" i="4"/>
  <c r="AG51" i="4"/>
  <c r="AG9" i="4"/>
  <c r="AG44" i="4"/>
  <c r="AG91" i="4"/>
  <c r="AG33" i="4"/>
  <c r="AG100" i="4"/>
  <c r="AG86" i="4"/>
  <c r="AG99" i="4"/>
  <c r="AG102" i="4"/>
  <c r="AG12" i="4"/>
  <c r="AG38" i="4"/>
  <c r="AG46" i="4"/>
  <c r="AG30" i="4"/>
  <c r="AG78" i="4"/>
  <c r="AG27" i="4"/>
  <c r="AG48" i="4"/>
  <c r="AG56" i="4"/>
  <c r="AG39" i="4"/>
  <c r="AG52" i="4"/>
  <c r="AG67" i="4"/>
  <c r="AG95" i="4"/>
  <c r="AG43" i="4"/>
  <c r="AG20" i="4"/>
  <c r="AG55" i="4"/>
  <c r="AG42" i="4"/>
  <c r="AG32" i="4"/>
  <c r="AG72" i="4"/>
  <c r="AG28" i="4"/>
  <c r="AG41" i="4"/>
  <c r="AG19" i="4"/>
  <c r="AG15" i="4"/>
  <c r="AG70" i="4"/>
  <c r="AG29" i="4"/>
  <c r="AG10" i="4"/>
  <c r="AG22" i="4"/>
  <c r="AG25" i="4"/>
  <c r="AG7" i="4"/>
  <c r="AG85" i="4"/>
  <c r="AG73" i="4"/>
  <c r="AG94" i="4"/>
  <c r="AG97" i="4"/>
  <c r="AG54" i="4"/>
  <c r="AJ69" i="4"/>
  <c r="AJ77" i="4"/>
  <c r="AJ24" i="4"/>
  <c r="AJ26" i="4"/>
  <c r="AJ17" i="4"/>
  <c r="AJ59" i="4"/>
  <c r="AJ93" i="4"/>
  <c r="AJ45" i="4"/>
  <c r="AJ63" i="4"/>
  <c r="AJ36" i="4"/>
  <c r="AJ47" i="4"/>
  <c r="AJ81" i="4"/>
  <c r="AJ35" i="4"/>
  <c r="AJ88" i="4"/>
  <c r="AJ8" i="4"/>
  <c r="AJ18" i="4"/>
  <c r="AJ31" i="4"/>
  <c r="AJ53" i="4"/>
  <c r="AJ89" i="4"/>
  <c r="AJ84" i="4"/>
  <c r="AJ37" i="4"/>
  <c r="AJ21" i="4"/>
  <c r="AJ68" i="4"/>
  <c r="AJ76" i="4"/>
  <c r="AJ82" i="4"/>
  <c r="AJ65" i="4"/>
  <c r="AJ34" i="4"/>
  <c r="AJ87" i="4"/>
  <c r="AJ90" i="4"/>
  <c r="AJ79" i="4"/>
  <c r="AJ83" i="4"/>
  <c r="AJ16" i="4"/>
  <c r="AJ92" i="4"/>
  <c r="AJ71" i="4"/>
  <c r="AJ13" i="4"/>
  <c r="AJ61" i="4"/>
  <c r="AJ80" i="4"/>
  <c r="AJ64" i="4"/>
  <c r="AJ23" i="4"/>
  <c r="AJ62" i="4"/>
  <c r="AJ50" i="4"/>
  <c r="AJ96" i="4"/>
  <c r="AJ11" i="4"/>
  <c r="AJ4" i="4"/>
  <c r="AJ74" i="4"/>
  <c r="AJ98" i="4"/>
  <c r="AJ2" i="4"/>
  <c r="AJ57" i="4"/>
  <c r="AJ5" i="4"/>
  <c r="AJ66" i="4"/>
  <c r="AJ58" i="4"/>
  <c r="AJ3" i="4"/>
  <c r="AJ75" i="4"/>
  <c r="AJ101" i="4"/>
  <c r="AJ40" i="4"/>
  <c r="AJ60" i="4"/>
  <c r="AJ104" i="4"/>
  <c r="AJ103" i="4"/>
  <c r="AJ14" i="4"/>
  <c r="AJ6" i="4"/>
  <c r="AJ49" i="4"/>
  <c r="AJ51" i="4"/>
  <c r="AJ9" i="4"/>
  <c r="AJ44" i="4"/>
  <c r="AJ91" i="4"/>
  <c r="AJ33" i="4"/>
  <c r="AJ100" i="4"/>
  <c r="AJ86" i="4"/>
  <c r="AJ99" i="4"/>
  <c r="AJ102" i="4"/>
  <c r="AJ12" i="4"/>
  <c r="AJ38" i="4"/>
  <c r="AJ46" i="4"/>
  <c r="AJ30" i="4"/>
  <c r="AJ78" i="4"/>
  <c r="AJ27" i="4"/>
  <c r="AJ48" i="4"/>
  <c r="AJ56" i="4"/>
  <c r="AJ39" i="4"/>
  <c r="AJ52" i="4"/>
  <c r="AJ67" i="4"/>
  <c r="AJ95" i="4"/>
  <c r="AJ43" i="4"/>
  <c r="AJ20" i="4"/>
  <c r="AJ55" i="4"/>
  <c r="AJ42" i="4"/>
  <c r="AJ32" i="4"/>
  <c r="AJ72" i="4"/>
  <c r="AJ28" i="4"/>
  <c r="AJ41" i="4"/>
  <c r="AJ19" i="4"/>
  <c r="AJ15" i="4"/>
  <c r="AJ70" i="4"/>
  <c r="AJ29" i="4"/>
  <c r="AJ10" i="4"/>
  <c r="AJ22" i="4"/>
  <c r="AJ25" i="4"/>
  <c r="AJ7" i="4"/>
  <c r="AJ85" i="4"/>
  <c r="AJ73" i="4"/>
  <c r="AJ94" i="4"/>
  <c r="AJ97" i="4"/>
  <c r="AJ54" i="4"/>
  <c r="Y2" i="1"/>
  <c r="X2" i="1"/>
  <c r="W2" i="1"/>
  <c r="V2" i="1"/>
  <c r="U2" i="1"/>
  <c r="T2" i="1"/>
  <c r="AE8" i="4"/>
  <c r="AF8" i="4"/>
  <c r="AH8" i="4"/>
  <c r="AI8" i="4"/>
  <c r="AE18" i="4"/>
  <c r="AF18" i="4"/>
  <c r="AH18" i="4"/>
  <c r="AI18" i="4"/>
  <c r="AE31" i="4"/>
  <c r="AF31" i="4"/>
  <c r="AH31" i="4"/>
  <c r="AI31" i="4"/>
  <c r="AE93" i="4"/>
  <c r="AF93" i="4"/>
  <c r="AH93" i="4"/>
  <c r="AI93" i="4"/>
  <c r="AE53" i="4"/>
  <c r="AF53" i="4"/>
  <c r="AH53" i="4"/>
  <c r="AI53" i="4"/>
  <c r="AE89" i="4"/>
  <c r="AF89" i="4"/>
  <c r="AH89" i="4"/>
  <c r="AI89" i="4"/>
  <c r="AE84" i="4"/>
  <c r="AF84" i="4"/>
  <c r="AH84" i="4"/>
  <c r="AI84" i="4"/>
  <c r="AE37" i="4"/>
  <c r="AF37" i="4"/>
  <c r="AH37" i="4"/>
  <c r="AI37" i="4"/>
  <c r="AE21" i="4"/>
  <c r="AF21" i="4"/>
  <c r="AH21" i="4"/>
  <c r="AI21" i="4"/>
  <c r="AE68" i="4"/>
  <c r="AF68" i="4"/>
  <c r="AH68" i="4"/>
  <c r="AI68" i="4"/>
  <c r="AE76" i="4"/>
  <c r="AF76" i="4"/>
  <c r="AH76" i="4"/>
  <c r="AI76" i="4"/>
  <c r="AE82" i="4"/>
  <c r="AF82" i="4"/>
  <c r="AH82" i="4"/>
  <c r="AI82" i="4"/>
  <c r="AE65" i="4"/>
  <c r="AF65" i="4"/>
  <c r="AH65" i="4"/>
  <c r="AI65" i="4"/>
  <c r="AE34" i="4"/>
  <c r="AF34" i="4"/>
  <c r="AH34" i="4"/>
  <c r="AI34" i="4"/>
  <c r="AE87" i="4"/>
  <c r="AF87" i="4"/>
  <c r="AH87" i="4"/>
  <c r="AI87" i="4"/>
  <c r="AE90" i="4"/>
  <c r="AF90" i="4"/>
  <c r="AH90" i="4"/>
  <c r="AI90" i="4"/>
  <c r="AE79" i="4"/>
  <c r="AF79" i="4"/>
  <c r="AH79" i="4"/>
  <c r="AI79" i="4"/>
  <c r="AE83" i="4"/>
  <c r="AF83" i="4"/>
  <c r="AH83" i="4"/>
  <c r="AI83" i="4"/>
  <c r="AE16" i="4"/>
  <c r="AF16" i="4"/>
  <c r="AH16" i="4"/>
  <c r="AI16" i="4"/>
  <c r="AE92" i="4"/>
  <c r="AF92" i="4"/>
  <c r="AH92" i="4"/>
  <c r="AI92" i="4"/>
  <c r="AE71" i="4"/>
  <c r="AF71" i="4"/>
  <c r="AH71" i="4"/>
  <c r="AI71" i="4"/>
  <c r="AE45" i="4"/>
  <c r="AF45" i="4"/>
  <c r="AH45" i="4"/>
  <c r="AI45" i="4"/>
  <c r="AE13" i="4"/>
  <c r="AF13" i="4"/>
  <c r="AH13" i="4"/>
  <c r="AI13" i="4"/>
  <c r="AE61" i="4"/>
  <c r="AF61" i="4"/>
  <c r="AH61" i="4"/>
  <c r="AI61" i="4"/>
  <c r="AE80" i="4"/>
  <c r="AF80" i="4"/>
  <c r="AH80" i="4"/>
  <c r="AI80" i="4"/>
  <c r="AE63" i="4"/>
  <c r="AF63" i="4"/>
  <c r="AH63" i="4"/>
  <c r="AI63" i="4"/>
  <c r="AE64" i="4"/>
  <c r="AF64" i="4"/>
  <c r="AH64" i="4"/>
  <c r="AI64" i="4"/>
  <c r="AE23" i="4"/>
  <c r="AF23" i="4"/>
  <c r="AH23" i="4"/>
  <c r="AI23" i="4"/>
  <c r="AE62" i="4"/>
  <c r="AF62" i="4"/>
  <c r="AH62" i="4"/>
  <c r="AI62" i="4"/>
  <c r="AE50" i="4"/>
  <c r="AF50" i="4"/>
  <c r="AH50" i="4"/>
  <c r="AI50" i="4"/>
  <c r="AE96" i="4"/>
  <c r="AF96" i="4"/>
  <c r="AH96" i="4"/>
  <c r="AI96" i="4"/>
  <c r="AE11" i="4"/>
  <c r="AF11" i="4"/>
  <c r="AH11" i="4"/>
  <c r="AI11" i="4"/>
  <c r="AE4" i="4"/>
  <c r="AF4" i="4"/>
  <c r="AH4" i="4"/>
  <c r="AI4" i="4"/>
  <c r="AE74" i="4"/>
  <c r="AF74" i="4"/>
  <c r="AH74" i="4"/>
  <c r="AI74" i="4"/>
  <c r="AE54" i="4"/>
  <c r="AF54" i="4"/>
  <c r="AH54" i="4"/>
  <c r="AI54" i="4"/>
  <c r="AE98" i="4"/>
  <c r="AF98" i="4"/>
  <c r="AH98" i="4"/>
  <c r="AI98" i="4"/>
  <c r="AE69" i="4"/>
  <c r="AF69" i="4"/>
  <c r="AH69" i="4"/>
  <c r="AI69" i="4"/>
  <c r="AE77" i="4"/>
  <c r="AF77" i="4"/>
  <c r="AH77" i="4"/>
  <c r="AI77" i="4"/>
  <c r="AE2" i="4"/>
  <c r="AF2" i="4"/>
  <c r="AH2" i="4"/>
  <c r="AI2" i="4"/>
  <c r="AE57" i="4"/>
  <c r="AF57" i="4"/>
  <c r="AH57" i="4"/>
  <c r="AI57" i="4"/>
  <c r="AE5" i="4"/>
  <c r="AF5" i="4"/>
  <c r="AH5" i="4"/>
  <c r="AI5" i="4"/>
  <c r="AE66" i="4"/>
  <c r="AF66" i="4"/>
  <c r="AH66" i="4"/>
  <c r="AI66" i="4"/>
  <c r="AE24" i="4"/>
  <c r="AF24" i="4"/>
  <c r="AH24" i="4"/>
  <c r="AI24" i="4"/>
  <c r="AE58" i="4"/>
  <c r="AF58" i="4"/>
  <c r="AH58" i="4"/>
  <c r="AI58" i="4"/>
  <c r="AE3" i="4"/>
  <c r="AF3" i="4"/>
  <c r="AH3" i="4"/>
  <c r="AI3" i="4"/>
  <c r="AE75" i="4"/>
  <c r="AF75" i="4"/>
  <c r="AH75" i="4"/>
  <c r="AI75" i="4"/>
  <c r="AE101" i="4"/>
  <c r="AF101" i="4"/>
  <c r="AH101" i="4"/>
  <c r="AI101" i="4"/>
  <c r="AE40" i="4"/>
  <c r="AF40" i="4"/>
  <c r="AH40" i="4"/>
  <c r="AI40" i="4"/>
  <c r="AE60" i="4"/>
  <c r="AF60" i="4"/>
  <c r="AH60" i="4"/>
  <c r="AI60" i="4"/>
  <c r="AE104" i="4"/>
  <c r="AF104" i="4"/>
  <c r="AH104" i="4"/>
  <c r="AI104" i="4"/>
  <c r="AE103" i="4"/>
  <c r="AF103" i="4"/>
  <c r="AH103" i="4"/>
  <c r="AI103" i="4"/>
  <c r="AE14" i="4"/>
  <c r="AF14" i="4"/>
  <c r="AH14" i="4"/>
  <c r="AI14" i="4"/>
  <c r="AE6" i="4"/>
  <c r="AF6" i="4"/>
  <c r="AH6" i="4"/>
  <c r="AI6" i="4"/>
  <c r="AE49" i="4"/>
  <c r="AF49" i="4"/>
  <c r="AH49" i="4"/>
  <c r="AI49" i="4"/>
  <c r="AE51" i="4"/>
  <c r="AF51" i="4"/>
  <c r="AH51" i="4"/>
  <c r="AI51" i="4"/>
  <c r="AE9" i="4"/>
  <c r="AF9" i="4"/>
  <c r="AH9" i="4"/>
  <c r="AI9" i="4"/>
  <c r="AE44" i="4"/>
  <c r="AF44" i="4"/>
  <c r="AH44" i="4"/>
  <c r="AI44" i="4"/>
  <c r="AE91" i="4"/>
  <c r="AF91" i="4"/>
  <c r="AH91" i="4"/>
  <c r="AI91" i="4"/>
  <c r="AE33" i="4"/>
  <c r="AF33" i="4"/>
  <c r="AH33" i="4"/>
  <c r="AI33" i="4"/>
  <c r="AE100" i="4"/>
  <c r="AF100" i="4"/>
  <c r="AH100" i="4"/>
  <c r="AI100" i="4"/>
  <c r="AE86" i="4"/>
  <c r="AF86" i="4"/>
  <c r="AH86" i="4"/>
  <c r="AI86" i="4"/>
  <c r="AE36" i="4"/>
  <c r="AF36" i="4"/>
  <c r="AH36" i="4"/>
  <c r="AI36" i="4"/>
  <c r="AE26" i="4"/>
  <c r="AF26" i="4"/>
  <c r="AH26" i="4"/>
  <c r="AI26" i="4"/>
  <c r="AE99" i="4"/>
  <c r="AF99" i="4"/>
  <c r="AH99" i="4"/>
  <c r="AI99" i="4"/>
  <c r="AE17" i="4"/>
  <c r="AF17" i="4"/>
  <c r="AH17" i="4"/>
  <c r="AI17" i="4"/>
  <c r="AE102" i="4"/>
  <c r="AF102" i="4"/>
  <c r="AH102" i="4"/>
  <c r="AI102" i="4"/>
  <c r="AE12" i="4"/>
  <c r="AF12" i="4"/>
  <c r="AH12" i="4"/>
  <c r="AI12" i="4"/>
  <c r="AE38" i="4"/>
  <c r="AF38" i="4"/>
  <c r="AH38" i="4"/>
  <c r="AI38" i="4"/>
  <c r="AE46" i="4"/>
  <c r="AF46" i="4"/>
  <c r="AH46" i="4"/>
  <c r="AI46" i="4"/>
  <c r="AE30" i="4"/>
  <c r="AF30" i="4"/>
  <c r="AH30" i="4"/>
  <c r="AI30" i="4"/>
  <c r="AE78" i="4"/>
  <c r="AF78" i="4"/>
  <c r="AH78" i="4"/>
  <c r="AI78" i="4"/>
  <c r="AE27" i="4"/>
  <c r="AF27" i="4"/>
  <c r="AH27" i="4"/>
  <c r="AI27" i="4"/>
  <c r="AE48" i="4"/>
  <c r="AF48" i="4"/>
  <c r="AH48" i="4"/>
  <c r="AI48" i="4"/>
  <c r="AE56" i="4"/>
  <c r="AF56" i="4"/>
  <c r="AH56" i="4"/>
  <c r="AI56" i="4"/>
  <c r="AE39" i="4"/>
  <c r="AF39" i="4"/>
  <c r="AH39" i="4"/>
  <c r="AI39" i="4"/>
  <c r="AE52" i="4"/>
  <c r="AF52" i="4"/>
  <c r="AH52" i="4"/>
  <c r="AI52" i="4"/>
  <c r="AE47" i="4"/>
  <c r="AF47" i="4"/>
  <c r="AH47" i="4"/>
  <c r="AI47" i="4"/>
  <c r="AE67" i="4"/>
  <c r="AF67" i="4"/>
  <c r="AH67" i="4"/>
  <c r="AI67" i="4"/>
  <c r="AE95" i="4"/>
  <c r="AF95" i="4"/>
  <c r="AH95" i="4"/>
  <c r="AI95" i="4"/>
  <c r="AE43" i="4"/>
  <c r="AF43" i="4"/>
  <c r="AH43" i="4"/>
  <c r="AI43" i="4"/>
  <c r="AE20" i="4"/>
  <c r="AF20" i="4"/>
  <c r="AH20" i="4"/>
  <c r="AI20" i="4"/>
  <c r="AE55" i="4"/>
  <c r="AF55" i="4"/>
  <c r="AH55" i="4"/>
  <c r="AI55" i="4"/>
  <c r="AE42" i="4"/>
  <c r="AF42" i="4"/>
  <c r="AH42" i="4"/>
  <c r="AI42" i="4"/>
  <c r="AE32" i="4"/>
  <c r="AF32" i="4"/>
  <c r="AH32" i="4"/>
  <c r="AI32" i="4"/>
  <c r="AE72" i="4"/>
  <c r="AF72" i="4"/>
  <c r="AH72" i="4"/>
  <c r="AI72" i="4"/>
  <c r="AE28" i="4"/>
  <c r="AF28" i="4"/>
  <c r="AH28" i="4"/>
  <c r="AI28" i="4"/>
  <c r="AE41" i="4"/>
  <c r="AF41" i="4"/>
  <c r="AH41" i="4"/>
  <c r="AI41" i="4"/>
  <c r="AE81" i="4"/>
  <c r="AF81" i="4"/>
  <c r="AH81" i="4"/>
  <c r="AI81" i="4"/>
  <c r="AE59" i="4"/>
  <c r="AF59" i="4"/>
  <c r="AH59" i="4"/>
  <c r="AI59" i="4"/>
  <c r="AE19" i="4"/>
  <c r="AF19" i="4"/>
  <c r="AH19" i="4"/>
  <c r="AI19" i="4"/>
  <c r="AE15" i="4"/>
  <c r="AF15" i="4"/>
  <c r="AH15" i="4"/>
  <c r="AI15" i="4"/>
  <c r="AE70" i="4"/>
  <c r="AF70" i="4"/>
  <c r="AH70" i="4"/>
  <c r="AI70" i="4"/>
  <c r="AE29" i="4"/>
  <c r="AF29" i="4"/>
  <c r="AH29" i="4"/>
  <c r="AI29" i="4"/>
  <c r="AE10" i="4"/>
  <c r="AF10" i="4"/>
  <c r="AH10" i="4"/>
  <c r="AI10" i="4"/>
  <c r="AE22" i="4"/>
  <c r="AF22" i="4"/>
  <c r="AH22" i="4"/>
  <c r="AI22" i="4"/>
  <c r="AE25" i="4"/>
  <c r="AF25" i="4"/>
  <c r="AH25" i="4"/>
  <c r="AI25" i="4"/>
  <c r="AE7" i="4"/>
  <c r="AF7" i="4"/>
  <c r="AH7" i="4"/>
  <c r="AI7" i="4"/>
  <c r="AE85" i="4"/>
  <c r="AF85" i="4"/>
  <c r="AH85" i="4"/>
  <c r="AI85" i="4"/>
  <c r="AE73" i="4"/>
  <c r="AF73" i="4"/>
  <c r="AH73" i="4"/>
  <c r="AI73" i="4"/>
  <c r="AE94" i="4"/>
  <c r="AF94" i="4"/>
  <c r="AH94" i="4"/>
  <c r="AI94" i="4"/>
  <c r="AE35" i="4"/>
  <c r="AF35" i="4"/>
  <c r="AH35" i="4"/>
  <c r="AI35" i="4"/>
  <c r="AE97" i="4"/>
  <c r="AF97" i="4"/>
  <c r="AH97" i="4"/>
  <c r="AI97" i="4"/>
  <c r="AF88" i="4"/>
  <c r="AH88" i="4"/>
  <c r="AI88" i="4"/>
  <c r="AE88" i="4"/>
  <c r="AC97" i="4" l="1"/>
  <c r="AB97" i="4"/>
  <c r="Z97" i="4"/>
  <c r="Y97" i="4"/>
  <c r="H97" i="4"/>
  <c r="K97" i="4" s="1"/>
  <c r="G97" i="4"/>
  <c r="J97" i="4" s="1"/>
  <c r="AC35" i="4"/>
  <c r="AB35" i="4"/>
  <c r="Z35" i="4"/>
  <c r="Y35" i="4"/>
  <c r="H35" i="4"/>
  <c r="K35" i="4" s="1"/>
  <c r="G35" i="4"/>
  <c r="J35" i="4" s="1"/>
  <c r="AC94" i="4"/>
  <c r="AB94" i="4"/>
  <c r="Z94" i="4"/>
  <c r="Y94" i="4"/>
  <c r="H94" i="4"/>
  <c r="K94" i="4" s="1"/>
  <c r="G94" i="4"/>
  <c r="J94" i="4" s="1"/>
  <c r="AC73" i="4"/>
  <c r="AD73" i="4" s="1"/>
  <c r="AB73" i="4"/>
  <c r="Z73" i="4"/>
  <c r="Y73" i="4"/>
  <c r="H73" i="4"/>
  <c r="K73" i="4" s="1"/>
  <c r="G73" i="4"/>
  <c r="J73" i="4" s="1"/>
  <c r="AC85" i="4"/>
  <c r="AB85" i="4"/>
  <c r="Z85" i="4"/>
  <c r="Y85" i="4"/>
  <c r="H85" i="4"/>
  <c r="K85" i="4" s="1"/>
  <c r="G85" i="4"/>
  <c r="J85" i="4" s="1"/>
  <c r="AC7" i="4"/>
  <c r="AB7" i="4"/>
  <c r="Z7" i="4"/>
  <c r="Y7" i="4"/>
  <c r="H7" i="4"/>
  <c r="K7" i="4" s="1"/>
  <c r="G7" i="4"/>
  <c r="J7" i="4" s="1"/>
  <c r="AC25" i="4"/>
  <c r="AB25" i="4"/>
  <c r="Z25" i="4"/>
  <c r="Y25" i="4"/>
  <c r="H25" i="4"/>
  <c r="K25" i="4" s="1"/>
  <c r="G25" i="4"/>
  <c r="AC22" i="4"/>
  <c r="AB22" i="4"/>
  <c r="Z22" i="4"/>
  <c r="Y22" i="4"/>
  <c r="H22" i="4"/>
  <c r="K22" i="4" s="1"/>
  <c r="G22" i="4"/>
  <c r="J22" i="4" s="1"/>
  <c r="AC10" i="4"/>
  <c r="AB10" i="4"/>
  <c r="Z10" i="4"/>
  <c r="Y10" i="4"/>
  <c r="H10" i="4"/>
  <c r="K10" i="4" s="1"/>
  <c r="G10" i="4"/>
  <c r="AC29" i="4"/>
  <c r="AB29" i="4"/>
  <c r="Z29" i="4"/>
  <c r="Y29" i="4"/>
  <c r="H29" i="4"/>
  <c r="K29" i="4" s="1"/>
  <c r="G29" i="4"/>
  <c r="J29" i="4" s="1"/>
  <c r="AC70" i="4"/>
  <c r="AB70" i="4"/>
  <c r="Z70" i="4"/>
  <c r="Y70" i="4"/>
  <c r="H70" i="4"/>
  <c r="K70" i="4" s="1"/>
  <c r="G70" i="4"/>
  <c r="J70" i="4" s="1"/>
  <c r="AC15" i="4"/>
  <c r="AB15" i="4"/>
  <c r="Z15" i="4"/>
  <c r="Y15" i="4"/>
  <c r="H15" i="4"/>
  <c r="K15" i="4" s="1"/>
  <c r="G15" i="4"/>
  <c r="AC19" i="4"/>
  <c r="AB19" i="4"/>
  <c r="Z19" i="4"/>
  <c r="Y19" i="4"/>
  <c r="H19" i="4"/>
  <c r="K19" i="4" s="1"/>
  <c r="G19" i="4"/>
  <c r="J19" i="4" s="1"/>
  <c r="AC59" i="4"/>
  <c r="AB59" i="4"/>
  <c r="Z59" i="4"/>
  <c r="Y59" i="4"/>
  <c r="H59" i="4"/>
  <c r="K59" i="4" s="1"/>
  <c r="G59" i="4"/>
  <c r="J59" i="4" s="1"/>
  <c r="AC81" i="4"/>
  <c r="AB81" i="4"/>
  <c r="Z81" i="4"/>
  <c r="Y81" i="4"/>
  <c r="H81" i="4"/>
  <c r="K81" i="4" s="1"/>
  <c r="G81" i="4"/>
  <c r="AC41" i="4"/>
  <c r="AB41" i="4"/>
  <c r="Z41" i="4"/>
  <c r="Y41" i="4"/>
  <c r="H41" i="4"/>
  <c r="K41" i="4" s="1"/>
  <c r="G41" i="4"/>
  <c r="J41" i="4" s="1"/>
  <c r="AC28" i="4"/>
  <c r="AB28" i="4"/>
  <c r="Z28" i="4"/>
  <c r="Y28" i="4"/>
  <c r="H28" i="4"/>
  <c r="K28" i="4" s="1"/>
  <c r="G28" i="4"/>
  <c r="AC72" i="4"/>
  <c r="AB72" i="4"/>
  <c r="Z72" i="4"/>
  <c r="Y72" i="4"/>
  <c r="H72" i="4"/>
  <c r="K72" i="4" s="1"/>
  <c r="G72" i="4"/>
  <c r="J72" i="4" s="1"/>
  <c r="AC32" i="4"/>
  <c r="AB32" i="4"/>
  <c r="Z32" i="4"/>
  <c r="Y32" i="4"/>
  <c r="H32" i="4"/>
  <c r="K32" i="4" s="1"/>
  <c r="G32" i="4"/>
  <c r="J32" i="4" s="1"/>
  <c r="AC42" i="4"/>
  <c r="AB42" i="4"/>
  <c r="Z42" i="4"/>
  <c r="AA42" i="4" s="1"/>
  <c r="Y42" i="4"/>
  <c r="H42" i="4"/>
  <c r="K42" i="4" s="1"/>
  <c r="G42" i="4"/>
  <c r="AC55" i="4"/>
  <c r="AB55" i="4"/>
  <c r="Z55" i="4"/>
  <c r="Y55" i="4"/>
  <c r="H55" i="4"/>
  <c r="K55" i="4" s="1"/>
  <c r="G55" i="4"/>
  <c r="J55" i="4" s="1"/>
  <c r="AC20" i="4"/>
  <c r="AB20" i="4"/>
  <c r="Z20" i="4"/>
  <c r="Y20" i="4"/>
  <c r="H20" i="4"/>
  <c r="K20" i="4" s="1"/>
  <c r="G20" i="4"/>
  <c r="J20" i="4" s="1"/>
  <c r="AC43" i="4"/>
  <c r="AB43" i="4"/>
  <c r="Z43" i="4"/>
  <c r="Y43" i="4"/>
  <c r="H43" i="4"/>
  <c r="K43" i="4" s="1"/>
  <c r="G43" i="4"/>
  <c r="AC95" i="4"/>
  <c r="AB95" i="4"/>
  <c r="Z95" i="4"/>
  <c r="Y95" i="4"/>
  <c r="H95" i="4"/>
  <c r="K95" i="4" s="1"/>
  <c r="G95" i="4"/>
  <c r="J95" i="4" s="1"/>
  <c r="AC67" i="4"/>
  <c r="AB67" i="4"/>
  <c r="Z67" i="4"/>
  <c r="Y67" i="4"/>
  <c r="H67" i="4"/>
  <c r="K67" i="4" s="1"/>
  <c r="G67" i="4"/>
  <c r="AC47" i="4"/>
  <c r="AB47" i="4"/>
  <c r="Z47" i="4"/>
  <c r="Y47" i="4"/>
  <c r="J47" i="4"/>
  <c r="H47" i="4"/>
  <c r="K47" i="4" s="1"/>
  <c r="G47" i="4"/>
  <c r="AC52" i="4"/>
  <c r="AB52" i="4"/>
  <c r="Z52" i="4"/>
  <c r="Y52" i="4"/>
  <c r="H52" i="4"/>
  <c r="K52" i="4" s="1"/>
  <c r="G52" i="4"/>
  <c r="J52" i="4" s="1"/>
  <c r="AC39" i="4"/>
  <c r="AB39" i="4"/>
  <c r="Z39" i="4"/>
  <c r="Y39" i="4"/>
  <c r="H39" i="4"/>
  <c r="K39" i="4" s="1"/>
  <c r="G39" i="4"/>
  <c r="AC56" i="4"/>
  <c r="AB56" i="4"/>
  <c r="Z56" i="4"/>
  <c r="Y56" i="4"/>
  <c r="H56" i="4"/>
  <c r="K56" i="4" s="1"/>
  <c r="G56" i="4"/>
  <c r="J56" i="4" s="1"/>
  <c r="AC48" i="4"/>
  <c r="AB48" i="4"/>
  <c r="Z48" i="4"/>
  <c r="Y48" i="4"/>
  <c r="H48" i="4"/>
  <c r="K48" i="4" s="1"/>
  <c r="G48" i="4"/>
  <c r="J48" i="4" s="1"/>
  <c r="AC27" i="4"/>
  <c r="AB27" i="4"/>
  <c r="Z27" i="4"/>
  <c r="Y27" i="4"/>
  <c r="H27" i="4"/>
  <c r="K27" i="4" s="1"/>
  <c r="G27" i="4"/>
  <c r="AC78" i="4"/>
  <c r="AB78" i="4"/>
  <c r="Z78" i="4"/>
  <c r="Y78" i="4"/>
  <c r="H78" i="4"/>
  <c r="K78" i="4" s="1"/>
  <c r="G78" i="4"/>
  <c r="J78" i="4" s="1"/>
  <c r="AC30" i="4"/>
  <c r="AB30" i="4"/>
  <c r="Z30" i="4"/>
  <c r="Y30" i="4"/>
  <c r="H30" i="4"/>
  <c r="K30" i="4" s="1"/>
  <c r="G30" i="4"/>
  <c r="AC46" i="4"/>
  <c r="AD46" i="4" s="1"/>
  <c r="AB46" i="4"/>
  <c r="Z46" i="4"/>
  <c r="Y46" i="4"/>
  <c r="H46" i="4"/>
  <c r="K46" i="4" s="1"/>
  <c r="G46" i="4"/>
  <c r="J46" i="4" s="1"/>
  <c r="AC38" i="4"/>
  <c r="AB38" i="4"/>
  <c r="Z38" i="4"/>
  <c r="AA38" i="4" s="1"/>
  <c r="Y38" i="4"/>
  <c r="H38" i="4"/>
  <c r="K38" i="4" s="1"/>
  <c r="G38" i="4"/>
  <c r="J38" i="4" s="1"/>
  <c r="AC12" i="4"/>
  <c r="AB12" i="4"/>
  <c r="Z12" i="4"/>
  <c r="Y12" i="4"/>
  <c r="H12" i="4"/>
  <c r="K12" i="4" s="1"/>
  <c r="G12" i="4"/>
  <c r="AC102" i="4"/>
  <c r="AD102" i="4" s="1"/>
  <c r="AB102" i="4"/>
  <c r="Z102" i="4"/>
  <c r="Y102" i="4"/>
  <c r="H102" i="4"/>
  <c r="K102" i="4" s="1"/>
  <c r="G102" i="4"/>
  <c r="J102" i="4" s="1"/>
  <c r="AC17" i="4"/>
  <c r="AB17" i="4"/>
  <c r="Z17" i="4"/>
  <c r="Y17" i="4"/>
  <c r="K17" i="4"/>
  <c r="H17" i="4"/>
  <c r="G17" i="4"/>
  <c r="J17" i="4" s="1"/>
  <c r="AC99" i="4"/>
  <c r="AB99" i="4"/>
  <c r="Z99" i="4"/>
  <c r="Y99" i="4"/>
  <c r="H99" i="4"/>
  <c r="K99" i="4" s="1"/>
  <c r="G99" i="4"/>
  <c r="AC26" i="4"/>
  <c r="AB26" i="4"/>
  <c r="Z26" i="4"/>
  <c r="Y26" i="4"/>
  <c r="H26" i="4"/>
  <c r="K26" i="4" s="1"/>
  <c r="G26" i="4"/>
  <c r="J26" i="4" s="1"/>
  <c r="AC36" i="4"/>
  <c r="AB36" i="4"/>
  <c r="Z36" i="4"/>
  <c r="Y36" i="4"/>
  <c r="H36" i="4"/>
  <c r="K36" i="4" s="1"/>
  <c r="G36" i="4"/>
  <c r="AC86" i="4"/>
  <c r="AB86" i="4"/>
  <c r="Z86" i="4"/>
  <c r="Y86" i="4"/>
  <c r="H86" i="4"/>
  <c r="K86" i="4" s="1"/>
  <c r="G86" i="4"/>
  <c r="J86" i="4" s="1"/>
  <c r="AC100" i="4"/>
  <c r="AB100" i="4"/>
  <c r="Z100" i="4"/>
  <c r="Y100" i="4"/>
  <c r="H100" i="4"/>
  <c r="K100" i="4" s="1"/>
  <c r="G100" i="4"/>
  <c r="J100" i="4" s="1"/>
  <c r="AC33" i="4"/>
  <c r="AB33" i="4"/>
  <c r="Z33" i="4"/>
  <c r="Y33" i="4"/>
  <c r="H33" i="4"/>
  <c r="K33" i="4" s="1"/>
  <c r="G33" i="4"/>
  <c r="AC91" i="4"/>
  <c r="AB91" i="4"/>
  <c r="Z91" i="4"/>
  <c r="Y91" i="4"/>
  <c r="H91" i="4"/>
  <c r="K91" i="4" s="1"/>
  <c r="G91" i="4"/>
  <c r="J91" i="4" s="1"/>
  <c r="AC44" i="4"/>
  <c r="AB44" i="4"/>
  <c r="Z44" i="4"/>
  <c r="Y44" i="4"/>
  <c r="H44" i="4"/>
  <c r="K44" i="4" s="1"/>
  <c r="G44" i="4"/>
  <c r="J44" i="4" s="1"/>
  <c r="AC9" i="4"/>
  <c r="AB9" i="4"/>
  <c r="Z9" i="4"/>
  <c r="Y9" i="4"/>
  <c r="H9" i="4"/>
  <c r="K9" i="4" s="1"/>
  <c r="G9" i="4"/>
  <c r="AC51" i="4"/>
  <c r="AB51" i="4"/>
  <c r="Z51" i="4"/>
  <c r="Y51" i="4"/>
  <c r="H51" i="4"/>
  <c r="K51" i="4" s="1"/>
  <c r="G51" i="4"/>
  <c r="J51" i="4" s="1"/>
  <c r="AC49" i="4"/>
  <c r="AB49" i="4"/>
  <c r="Z49" i="4"/>
  <c r="Y49" i="4"/>
  <c r="H49" i="4"/>
  <c r="K49" i="4" s="1"/>
  <c r="G49" i="4"/>
  <c r="AC6" i="4"/>
  <c r="AB6" i="4"/>
  <c r="Z6" i="4"/>
  <c r="Y6" i="4"/>
  <c r="H6" i="4"/>
  <c r="K6" i="4" s="1"/>
  <c r="G6" i="4"/>
  <c r="J6" i="4" s="1"/>
  <c r="AC14" i="4"/>
  <c r="AB14" i="4"/>
  <c r="Z14" i="4"/>
  <c r="Y14" i="4"/>
  <c r="H14" i="4"/>
  <c r="K14" i="4" s="1"/>
  <c r="G14" i="4"/>
  <c r="J14" i="4" s="1"/>
  <c r="AC103" i="4"/>
  <c r="AD103" i="4" s="1"/>
  <c r="AB103" i="4"/>
  <c r="Z103" i="4"/>
  <c r="Y103" i="4"/>
  <c r="H103" i="4"/>
  <c r="K103" i="4" s="1"/>
  <c r="G103" i="4"/>
  <c r="AC104" i="4"/>
  <c r="AB104" i="4"/>
  <c r="Z104" i="4"/>
  <c r="AA104" i="4" s="1"/>
  <c r="Y104" i="4"/>
  <c r="H104" i="4"/>
  <c r="K104" i="4" s="1"/>
  <c r="G104" i="4"/>
  <c r="J104" i="4" s="1"/>
  <c r="AC60" i="4"/>
  <c r="AB60" i="4"/>
  <c r="Z60" i="4"/>
  <c r="Y60" i="4"/>
  <c r="H60" i="4"/>
  <c r="K60" i="4" s="1"/>
  <c r="G60" i="4"/>
  <c r="J60" i="4" s="1"/>
  <c r="AC40" i="4"/>
  <c r="AB40" i="4"/>
  <c r="Z40" i="4"/>
  <c r="Y40" i="4"/>
  <c r="H40" i="4"/>
  <c r="K40" i="4" s="1"/>
  <c r="G40" i="4"/>
  <c r="AC101" i="4"/>
  <c r="AB101" i="4"/>
  <c r="Z101" i="4"/>
  <c r="Y101" i="4"/>
  <c r="H101" i="4"/>
  <c r="K101" i="4" s="1"/>
  <c r="G101" i="4"/>
  <c r="J101" i="4" s="1"/>
  <c r="AC75" i="4"/>
  <c r="AB75" i="4"/>
  <c r="Z75" i="4"/>
  <c r="Y75" i="4"/>
  <c r="H75" i="4"/>
  <c r="K75" i="4" s="1"/>
  <c r="G75" i="4"/>
  <c r="AC3" i="4"/>
  <c r="AD3" i="4" s="1"/>
  <c r="AB3" i="4"/>
  <c r="Z3" i="4"/>
  <c r="AA3" i="4" s="1"/>
  <c r="Y3" i="4"/>
  <c r="H3" i="4"/>
  <c r="K3" i="4" s="1"/>
  <c r="G3" i="4"/>
  <c r="J3" i="4" s="1"/>
  <c r="AC58" i="4"/>
  <c r="AB58" i="4"/>
  <c r="Z58" i="4"/>
  <c r="Y58" i="4"/>
  <c r="H58" i="4"/>
  <c r="K58" i="4" s="1"/>
  <c r="G58" i="4"/>
  <c r="J58" i="4" s="1"/>
  <c r="AC24" i="4"/>
  <c r="AB24" i="4"/>
  <c r="Z24" i="4"/>
  <c r="Y24" i="4"/>
  <c r="H24" i="4"/>
  <c r="K24" i="4" s="1"/>
  <c r="G24" i="4"/>
  <c r="AC66" i="4"/>
  <c r="AD66" i="4" s="1"/>
  <c r="AB66" i="4"/>
  <c r="Z66" i="4"/>
  <c r="Y66" i="4"/>
  <c r="H66" i="4"/>
  <c r="K66" i="4" s="1"/>
  <c r="G66" i="4"/>
  <c r="J66" i="4" s="1"/>
  <c r="AC5" i="4"/>
  <c r="AB5" i="4"/>
  <c r="Z5" i="4"/>
  <c r="Y5" i="4"/>
  <c r="H5" i="4"/>
  <c r="K5" i="4" s="1"/>
  <c r="G5" i="4"/>
  <c r="J5" i="4" s="1"/>
  <c r="AC57" i="4"/>
  <c r="AB57" i="4"/>
  <c r="Z57" i="4"/>
  <c r="Y57" i="4"/>
  <c r="H57" i="4"/>
  <c r="K57" i="4" s="1"/>
  <c r="G57" i="4"/>
  <c r="AC2" i="4"/>
  <c r="AB2" i="4"/>
  <c r="Z2" i="4"/>
  <c r="Y2" i="4"/>
  <c r="H2" i="4"/>
  <c r="K2" i="4" s="1"/>
  <c r="G2" i="4"/>
  <c r="J2" i="4" s="1"/>
  <c r="AC77" i="4"/>
  <c r="AB77" i="4"/>
  <c r="Z77" i="4"/>
  <c r="Y77" i="4"/>
  <c r="H77" i="4"/>
  <c r="K77" i="4" s="1"/>
  <c r="G77" i="4"/>
  <c r="AC69" i="4"/>
  <c r="AB69" i="4"/>
  <c r="Z69" i="4"/>
  <c r="Y69" i="4"/>
  <c r="H69" i="4"/>
  <c r="K69" i="4" s="1"/>
  <c r="G69" i="4"/>
  <c r="J69" i="4" s="1"/>
  <c r="AC98" i="4"/>
  <c r="AB98" i="4"/>
  <c r="Z98" i="4"/>
  <c r="Y98" i="4"/>
  <c r="H98" i="4"/>
  <c r="K98" i="4" s="1"/>
  <c r="G98" i="4"/>
  <c r="J98" i="4" s="1"/>
  <c r="AC54" i="4"/>
  <c r="AB54" i="4"/>
  <c r="Z54" i="4"/>
  <c r="Y54" i="4"/>
  <c r="H54" i="4"/>
  <c r="K54" i="4" s="1"/>
  <c r="G54" i="4"/>
  <c r="AC74" i="4"/>
  <c r="AB74" i="4"/>
  <c r="Z74" i="4"/>
  <c r="Y74" i="4"/>
  <c r="H74" i="4"/>
  <c r="K74" i="4" s="1"/>
  <c r="G74" i="4"/>
  <c r="J74" i="4" s="1"/>
  <c r="AC4" i="4"/>
  <c r="AB4" i="4"/>
  <c r="Z4" i="4"/>
  <c r="Y4" i="4"/>
  <c r="H4" i="4"/>
  <c r="K4" i="4" s="1"/>
  <c r="G4" i="4"/>
  <c r="J4" i="4" s="1"/>
  <c r="AC11" i="4"/>
  <c r="AB11" i="4"/>
  <c r="Z11" i="4"/>
  <c r="Y11" i="4"/>
  <c r="H11" i="4"/>
  <c r="K11" i="4" s="1"/>
  <c r="G11" i="4"/>
  <c r="AC96" i="4"/>
  <c r="AB96" i="4"/>
  <c r="Z96" i="4"/>
  <c r="Y96" i="4"/>
  <c r="H96" i="4"/>
  <c r="K96" i="4" s="1"/>
  <c r="G96" i="4"/>
  <c r="J96" i="4" s="1"/>
  <c r="AC50" i="4"/>
  <c r="AB50" i="4"/>
  <c r="Z50" i="4"/>
  <c r="Y50" i="4"/>
  <c r="H50" i="4"/>
  <c r="K50" i="4" s="1"/>
  <c r="G50" i="4"/>
  <c r="AC62" i="4"/>
  <c r="AB62" i="4"/>
  <c r="Z62" i="4"/>
  <c r="Y62" i="4"/>
  <c r="H62" i="4"/>
  <c r="K62" i="4" s="1"/>
  <c r="G62" i="4"/>
  <c r="J62" i="4" s="1"/>
  <c r="AC23" i="4"/>
  <c r="AD23" i="4" s="1"/>
  <c r="AB23" i="4"/>
  <c r="Z23" i="4"/>
  <c r="Y23" i="4"/>
  <c r="H23" i="4"/>
  <c r="K23" i="4" s="1"/>
  <c r="G23" i="4"/>
  <c r="J23" i="4" s="1"/>
  <c r="AC64" i="4"/>
  <c r="AB64" i="4"/>
  <c r="Z64" i="4"/>
  <c r="Y64" i="4"/>
  <c r="H64" i="4"/>
  <c r="K64" i="4" s="1"/>
  <c r="G64" i="4"/>
  <c r="AC63" i="4"/>
  <c r="AB63" i="4"/>
  <c r="Z63" i="4"/>
  <c r="Y63" i="4"/>
  <c r="H63" i="4"/>
  <c r="K63" i="4" s="1"/>
  <c r="G63" i="4"/>
  <c r="J63" i="4" s="1"/>
  <c r="AC80" i="4"/>
  <c r="AB80" i="4"/>
  <c r="Z80" i="4"/>
  <c r="Y80" i="4"/>
  <c r="H80" i="4"/>
  <c r="K80" i="4" s="1"/>
  <c r="G80" i="4"/>
  <c r="J80" i="4" s="1"/>
  <c r="AC61" i="4"/>
  <c r="AB61" i="4"/>
  <c r="Z61" i="4"/>
  <c r="Y61" i="4"/>
  <c r="H61" i="4"/>
  <c r="K61" i="4" s="1"/>
  <c r="G61" i="4"/>
  <c r="J61" i="4" s="1"/>
  <c r="AC13" i="4"/>
  <c r="AB13" i="4"/>
  <c r="Z13" i="4"/>
  <c r="Y13" i="4"/>
  <c r="H13" i="4"/>
  <c r="K13" i="4" s="1"/>
  <c r="G13" i="4"/>
  <c r="J13" i="4" s="1"/>
  <c r="AC45" i="4"/>
  <c r="AB45" i="4"/>
  <c r="Z45" i="4"/>
  <c r="Y45" i="4"/>
  <c r="H45" i="4"/>
  <c r="K45" i="4" s="1"/>
  <c r="G45" i="4"/>
  <c r="AC71" i="4"/>
  <c r="AB71" i="4"/>
  <c r="Z71" i="4"/>
  <c r="Y71" i="4"/>
  <c r="H71" i="4"/>
  <c r="K71" i="4" s="1"/>
  <c r="G71" i="4"/>
  <c r="J71" i="4" s="1"/>
  <c r="AC92" i="4"/>
  <c r="AB92" i="4"/>
  <c r="Z92" i="4"/>
  <c r="Y92" i="4"/>
  <c r="H92" i="4"/>
  <c r="K92" i="4" s="1"/>
  <c r="G92" i="4"/>
  <c r="J92" i="4" s="1"/>
  <c r="AC16" i="4"/>
  <c r="AB16" i="4"/>
  <c r="Z16" i="4"/>
  <c r="Y16" i="4"/>
  <c r="H16" i="4"/>
  <c r="K16" i="4" s="1"/>
  <c r="G16" i="4"/>
  <c r="AC83" i="4"/>
  <c r="AB83" i="4"/>
  <c r="Z83" i="4"/>
  <c r="Y83" i="4"/>
  <c r="H83" i="4"/>
  <c r="K83" i="4" s="1"/>
  <c r="G83" i="4"/>
  <c r="J83" i="4" s="1"/>
  <c r="AC79" i="4"/>
  <c r="AB79" i="4"/>
  <c r="Z79" i="4"/>
  <c r="Y79" i="4"/>
  <c r="H79" i="4"/>
  <c r="K79" i="4" s="1"/>
  <c r="G79" i="4"/>
  <c r="J79" i="4" s="1"/>
  <c r="AC90" i="4"/>
  <c r="AB90" i="4"/>
  <c r="Z90" i="4"/>
  <c r="AA90" i="4" s="1"/>
  <c r="Y90" i="4"/>
  <c r="H90" i="4"/>
  <c r="K90" i="4" s="1"/>
  <c r="G90" i="4"/>
  <c r="J90" i="4" s="1"/>
  <c r="AC87" i="4"/>
  <c r="AB87" i="4"/>
  <c r="Z87" i="4"/>
  <c r="Y87" i="4"/>
  <c r="H87" i="4"/>
  <c r="K87" i="4" s="1"/>
  <c r="G87" i="4"/>
  <c r="J87" i="4" s="1"/>
  <c r="AC34" i="4"/>
  <c r="AB34" i="4"/>
  <c r="Z34" i="4"/>
  <c r="Y34" i="4"/>
  <c r="H34" i="4"/>
  <c r="K34" i="4" s="1"/>
  <c r="G34" i="4"/>
  <c r="AC65" i="4"/>
  <c r="AB65" i="4"/>
  <c r="Z65" i="4"/>
  <c r="Y65" i="4"/>
  <c r="H65" i="4"/>
  <c r="K65" i="4" s="1"/>
  <c r="G65" i="4"/>
  <c r="J65" i="4" s="1"/>
  <c r="AC82" i="4"/>
  <c r="AB82" i="4"/>
  <c r="Z82" i="4"/>
  <c r="Y82" i="4"/>
  <c r="H82" i="4"/>
  <c r="K82" i="4" s="1"/>
  <c r="G82" i="4"/>
  <c r="J82" i="4" s="1"/>
  <c r="AC76" i="4"/>
  <c r="AB76" i="4"/>
  <c r="Z76" i="4"/>
  <c r="Y76" i="4"/>
  <c r="H76" i="4"/>
  <c r="K76" i="4" s="1"/>
  <c r="G76" i="4"/>
  <c r="AC68" i="4"/>
  <c r="AB68" i="4"/>
  <c r="Z68" i="4"/>
  <c r="Y68" i="4"/>
  <c r="H68" i="4"/>
  <c r="K68" i="4" s="1"/>
  <c r="G68" i="4"/>
  <c r="J68" i="4" s="1"/>
  <c r="AC21" i="4"/>
  <c r="AB21" i="4"/>
  <c r="Z21" i="4"/>
  <c r="Y21" i="4"/>
  <c r="H21" i="4"/>
  <c r="K21" i="4" s="1"/>
  <c r="G21" i="4"/>
  <c r="J21" i="4" s="1"/>
  <c r="AC37" i="4"/>
  <c r="AB37" i="4"/>
  <c r="Z37" i="4"/>
  <c r="Y37" i="4"/>
  <c r="H37" i="4"/>
  <c r="K37" i="4" s="1"/>
  <c r="G37" i="4"/>
  <c r="J37" i="4" s="1"/>
  <c r="AC84" i="4"/>
  <c r="AB84" i="4"/>
  <c r="Z84" i="4"/>
  <c r="Y84" i="4"/>
  <c r="H84" i="4"/>
  <c r="K84" i="4" s="1"/>
  <c r="G84" i="4"/>
  <c r="J84" i="4" s="1"/>
  <c r="AC89" i="4"/>
  <c r="AB89" i="4"/>
  <c r="Z89" i="4"/>
  <c r="Y89" i="4"/>
  <c r="H89" i="4"/>
  <c r="K89" i="4" s="1"/>
  <c r="G89" i="4"/>
  <c r="AC53" i="4"/>
  <c r="AD53" i="4" s="1"/>
  <c r="AB53" i="4"/>
  <c r="Z53" i="4"/>
  <c r="AA53" i="4" s="1"/>
  <c r="Y53" i="4"/>
  <c r="H53" i="4"/>
  <c r="K53" i="4" s="1"/>
  <c r="G53" i="4"/>
  <c r="J53" i="4" s="1"/>
  <c r="AC93" i="4"/>
  <c r="AB93" i="4"/>
  <c r="Z93" i="4"/>
  <c r="Y93" i="4"/>
  <c r="H93" i="4"/>
  <c r="K93" i="4" s="1"/>
  <c r="G93" i="4"/>
  <c r="J93" i="4" s="1"/>
  <c r="AC31" i="4"/>
  <c r="AB31" i="4"/>
  <c r="Z31" i="4"/>
  <c r="Y31" i="4"/>
  <c r="H31" i="4"/>
  <c r="K31" i="4" s="1"/>
  <c r="G31" i="4"/>
  <c r="AC18" i="4"/>
  <c r="AB18" i="4"/>
  <c r="Z18" i="4"/>
  <c r="Y18" i="4"/>
  <c r="H18" i="4"/>
  <c r="K18" i="4" s="1"/>
  <c r="G18" i="4"/>
  <c r="J18" i="4" s="1"/>
  <c r="AC8" i="4"/>
  <c r="AB8" i="4"/>
  <c r="Z8" i="4"/>
  <c r="Y8" i="4"/>
  <c r="H8" i="4"/>
  <c r="K8" i="4" s="1"/>
  <c r="G8" i="4"/>
  <c r="J8" i="4" s="1"/>
  <c r="AC88" i="4"/>
  <c r="AB88" i="4"/>
  <c r="Z88" i="4"/>
  <c r="Y88" i="4"/>
  <c r="H88" i="4"/>
  <c r="K88" i="4" s="1"/>
  <c r="G88" i="4"/>
  <c r="Q82" i="1"/>
  <c r="R82" i="1"/>
  <c r="Q64" i="1"/>
  <c r="R64" i="1"/>
  <c r="Q57" i="1"/>
  <c r="R57" i="1"/>
  <c r="Q28" i="1"/>
  <c r="R28" i="1"/>
  <c r="Q80" i="1"/>
  <c r="R80" i="1"/>
  <c r="Q15" i="1"/>
  <c r="R15" i="1"/>
  <c r="Q9" i="1"/>
  <c r="R9" i="1"/>
  <c r="Q61" i="1"/>
  <c r="R61" i="1"/>
  <c r="Q96" i="1"/>
  <c r="R96" i="1"/>
  <c r="Q29" i="1"/>
  <c r="R29" i="1"/>
  <c r="Q94" i="1"/>
  <c r="R94" i="1"/>
  <c r="Q59" i="1"/>
  <c r="R59" i="1"/>
  <c r="Q79" i="1"/>
  <c r="R79" i="1"/>
  <c r="Q100" i="1"/>
  <c r="R100" i="1"/>
  <c r="Q86" i="1"/>
  <c r="R86" i="1"/>
  <c r="Q34" i="1"/>
  <c r="R34" i="1"/>
  <c r="Q89" i="1"/>
  <c r="R89" i="1"/>
  <c r="Q83" i="1"/>
  <c r="R83" i="1"/>
  <c r="Q92" i="1"/>
  <c r="R92" i="1"/>
  <c r="Q16" i="1"/>
  <c r="R16" i="1"/>
  <c r="Q31" i="1"/>
  <c r="R31" i="1"/>
  <c r="Q36" i="1"/>
  <c r="R36" i="1"/>
  <c r="Q17" i="1"/>
  <c r="R17" i="1"/>
  <c r="Q69" i="1"/>
  <c r="R69" i="1"/>
  <c r="Q49" i="1"/>
  <c r="R49" i="1"/>
  <c r="Q76" i="1"/>
  <c r="R76" i="1"/>
  <c r="Q13" i="1"/>
  <c r="R13" i="1"/>
  <c r="Q30" i="1"/>
  <c r="R30" i="1"/>
  <c r="Q53" i="1"/>
  <c r="R53" i="1"/>
  <c r="Q60" i="1"/>
  <c r="R60" i="1"/>
  <c r="Q97" i="1"/>
  <c r="R97" i="1"/>
  <c r="Q93" i="1"/>
  <c r="R93" i="1"/>
  <c r="Q26" i="1"/>
  <c r="R26" i="1"/>
  <c r="Q74" i="1"/>
  <c r="R74" i="1"/>
  <c r="Q52" i="1"/>
  <c r="R52" i="1"/>
  <c r="Q47" i="1"/>
  <c r="R47" i="1"/>
  <c r="Q22" i="1"/>
  <c r="R22" i="1"/>
  <c r="Q27" i="1"/>
  <c r="R27" i="1"/>
  <c r="Q73" i="1"/>
  <c r="R73" i="1"/>
  <c r="Q4" i="1"/>
  <c r="R4" i="1"/>
  <c r="Q87" i="1"/>
  <c r="R87" i="1"/>
  <c r="Q91" i="1"/>
  <c r="R91" i="1"/>
  <c r="Q68" i="1"/>
  <c r="R68" i="1"/>
  <c r="Q88" i="1"/>
  <c r="R88" i="1"/>
  <c r="Q77" i="1"/>
  <c r="R77" i="1"/>
  <c r="Q72" i="1"/>
  <c r="R72" i="1"/>
  <c r="Q42" i="1"/>
  <c r="R42" i="1"/>
  <c r="Q10" i="1"/>
  <c r="R10" i="1"/>
  <c r="Q56" i="1"/>
  <c r="R56" i="1"/>
  <c r="Q58" i="1"/>
  <c r="R58" i="1"/>
  <c r="Q101" i="1"/>
  <c r="R101" i="1"/>
  <c r="Q40" i="1"/>
  <c r="R40" i="1"/>
  <c r="Q44" i="1"/>
  <c r="R44" i="1"/>
  <c r="Q38" i="1"/>
  <c r="R38" i="1"/>
  <c r="Q2" i="1"/>
  <c r="R2" i="1"/>
  <c r="Q12" i="1"/>
  <c r="R12" i="1"/>
  <c r="Q81" i="1"/>
  <c r="R81" i="1"/>
  <c r="Q39" i="1"/>
  <c r="R39" i="1"/>
  <c r="Q66" i="1"/>
  <c r="R66" i="1"/>
  <c r="Q55" i="1"/>
  <c r="R55" i="1"/>
  <c r="Q85" i="1"/>
  <c r="R85" i="1"/>
  <c r="Q24" i="1"/>
  <c r="R24" i="1"/>
  <c r="Q32" i="1"/>
  <c r="R32" i="1"/>
  <c r="Q51" i="1"/>
  <c r="R51" i="1"/>
  <c r="Q11" i="1"/>
  <c r="R11" i="1"/>
  <c r="Q41" i="1"/>
  <c r="R41" i="1"/>
  <c r="Q50" i="1"/>
  <c r="R50" i="1"/>
  <c r="Q5" i="1"/>
  <c r="R5" i="1"/>
  <c r="Q8" i="1"/>
  <c r="R8" i="1"/>
  <c r="Q90" i="1"/>
  <c r="R90" i="1"/>
  <c r="Q62" i="1"/>
  <c r="R62" i="1"/>
  <c r="Q18" i="1"/>
  <c r="R18" i="1"/>
  <c r="Q84" i="1"/>
  <c r="R84" i="1"/>
  <c r="Q102" i="1"/>
  <c r="R102" i="1"/>
  <c r="Q46" i="1"/>
  <c r="R46" i="1"/>
  <c r="Q71" i="1"/>
  <c r="R71" i="1"/>
  <c r="Q21" i="1"/>
  <c r="R21" i="1"/>
  <c r="Q20" i="1"/>
  <c r="R20" i="1"/>
  <c r="Q63" i="1"/>
  <c r="R63" i="1"/>
  <c r="Q98" i="1"/>
  <c r="R98" i="1"/>
  <c r="Q99" i="1"/>
  <c r="R99" i="1"/>
  <c r="Q104" i="1"/>
  <c r="R104" i="1"/>
  <c r="Q48" i="1"/>
  <c r="R48" i="1"/>
  <c r="Q43" i="1"/>
  <c r="R43" i="1"/>
  <c r="Q23" i="1"/>
  <c r="R23" i="1"/>
  <c r="Q25" i="1"/>
  <c r="R25" i="1"/>
  <c r="Q95" i="1"/>
  <c r="R95" i="1"/>
  <c r="Q6" i="1"/>
  <c r="R6" i="1"/>
  <c r="Q65" i="1"/>
  <c r="R65" i="1"/>
  <c r="Q45" i="1"/>
  <c r="R45" i="1"/>
  <c r="Q37" i="1"/>
  <c r="R37" i="1"/>
  <c r="Q14" i="1"/>
  <c r="R14" i="1"/>
  <c r="Q67" i="1"/>
  <c r="R67" i="1"/>
  <c r="Q33" i="1"/>
  <c r="R33" i="1"/>
  <c r="Q103" i="1"/>
  <c r="R103" i="1"/>
  <c r="Q54" i="1"/>
  <c r="R54" i="1"/>
  <c r="Q7" i="1"/>
  <c r="R7" i="1"/>
  <c r="Q70" i="1"/>
  <c r="R70" i="1"/>
  <c r="Q78" i="1"/>
  <c r="R78" i="1"/>
  <c r="Q3" i="1"/>
  <c r="R3" i="1"/>
  <c r="Q19" i="1"/>
  <c r="R19" i="1"/>
  <c r="Q35" i="1"/>
  <c r="R35" i="1"/>
  <c r="R75" i="1"/>
  <c r="Q75" i="1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F3" i="3"/>
  <c r="AG3" i="3"/>
  <c r="AH3" i="3"/>
  <c r="AI3" i="3"/>
  <c r="AJ3" i="3"/>
  <c r="AK3" i="3"/>
  <c r="AL3" i="3"/>
  <c r="AM3" i="3"/>
  <c r="AN3" i="3"/>
  <c r="AO3" i="3"/>
  <c r="AP3" i="3"/>
  <c r="AQ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3" i="3"/>
  <c r="AE3" i="3"/>
  <c r="AC3" i="3"/>
  <c r="AC4" i="3"/>
  <c r="AS4" i="3" s="1"/>
  <c r="AC5" i="3"/>
  <c r="AS5" i="3" s="1"/>
  <c r="AC6" i="3"/>
  <c r="AS6" i="3" s="1"/>
  <c r="AC7" i="3"/>
  <c r="AC8" i="3"/>
  <c r="AC9" i="3"/>
  <c r="AS9" i="3" s="1"/>
  <c r="AC10" i="3"/>
  <c r="AC11" i="3"/>
  <c r="AC12" i="3"/>
  <c r="AC13" i="3"/>
  <c r="AS13" i="3" s="1"/>
  <c r="AC14" i="3"/>
  <c r="AC15" i="3"/>
  <c r="AC16" i="3"/>
  <c r="AC17" i="3"/>
  <c r="AS17" i="3" s="1"/>
  <c r="AC18" i="3"/>
  <c r="AC19" i="3"/>
  <c r="AC20" i="3"/>
  <c r="AC21" i="3"/>
  <c r="AS21" i="3" s="1"/>
  <c r="AC22" i="3"/>
  <c r="AS22" i="3" s="1"/>
  <c r="AC23" i="3"/>
  <c r="AC24" i="3"/>
  <c r="AC25" i="3"/>
  <c r="AC26" i="3"/>
  <c r="AC27" i="3"/>
  <c r="AC28" i="3"/>
  <c r="AC29" i="3"/>
  <c r="AS29" i="3" s="1"/>
  <c r="AC30" i="3"/>
  <c r="AS30" i="3" s="1"/>
  <c r="AC31" i="3"/>
  <c r="AC32" i="3"/>
  <c r="AC33" i="3"/>
  <c r="AC34" i="3"/>
  <c r="AC35" i="3"/>
  <c r="AC36" i="3"/>
  <c r="AC37" i="3"/>
  <c r="AS37" i="3" s="1"/>
  <c r="AC38" i="3"/>
  <c r="AC39" i="3"/>
  <c r="AC40" i="3"/>
  <c r="AC41" i="3"/>
  <c r="AC42" i="3"/>
  <c r="AC43" i="3"/>
  <c r="AC44" i="3"/>
  <c r="AC45" i="3"/>
  <c r="AS45" i="3" s="1"/>
  <c r="AC46" i="3"/>
  <c r="AC47" i="3"/>
  <c r="AC48" i="3"/>
  <c r="AC49" i="3"/>
  <c r="AC50" i="3"/>
  <c r="AC51" i="3"/>
  <c r="AC52" i="3"/>
  <c r="AC53" i="3"/>
  <c r="AS53" i="3" s="1"/>
  <c r="AC54" i="3"/>
  <c r="AC55" i="3"/>
  <c r="AC56" i="3"/>
  <c r="AC57" i="3"/>
  <c r="AC58" i="3"/>
  <c r="AC59" i="3"/>
  <c r="AC60" i="3"/>
  <c r="AC61" i="3"/>
  <c r="AS61" i="3" s="1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H104" i="3"/>
  <c r="K104" i="3" s="1"/>
  <c r="G104" i="3"/>
  <c r="J104" i="3" s="1"/>
  <c r="H103" i="3"/>
  <c r="K103" i="3" s="1"/>
  <c r="G103" i="3"/>
  <c r="J103" i="3" s="1"/>
  <c r="H102" i="3"/>
  <c r="K102" i="3" s="1"/>
  <c r="G102" i="3"/>
  <c r="J102" i="3" s="1"/>
  <c r="H101" i="3"/>
  <c r="K101" i="3" s="1"/>
  <c r="G101" i="3"/>
  <c r="J101" i="3" s="1"/>
  <c r="H100" i="3"/>
  <c r="K100" i="3" s="1"/>
  <c r="G100" i="3"/>
  <c r="H99" i="3"/>
  <c r="K99" i="3" s="1"/>
  <c r="G99" i="3"/>
  <c r="J99" i="3" s="1"/>
  <c r="H98" i="3"/>
  <c r="K98" i="3" s="1"/>
  <c r="G98" i="3"/>
  <c r="J98" i="3" s="1"/>
  <c r="H97" i="3"/>
  <c r="K97" i="3" s="1"/>
  <c r="G97" i="3"/>
  <c r="H96" i="3"/>
  <c r="K96" i="3" s="1"/>
  <c r="G96" i="3"/>
  <c r="J96" i="3" s="1"/>
  <c r="H95" i="3"/>
  <c r="K95" i="3" s="1"/>
  <c r="G95" i="3"/>
  <c r="H94" i="3"/>
  <c r="K94" i="3" s="1"/>
  <c r="G94" i="3"/>
  <c r="J94" i="3" s="1"/>
  <c r="H93" i="3"/>
  <c r="K93" i="3" s="1"/>
  <c r="G93" i="3"/>
  <c r="J93" i="3" s="1"/>
  <c r="H92" i="3"/>
  <c r="K92" i="3" s="1"/>
  <c r="G92" i="3"/>
  <c r="J92" i="3" s="1"/>
  <c r="H91" i="3"/>
  <c r="K91" i="3" s="1"/>
  <c r="G91" i="3"/>
  <c r="J91" i="3" s="1"/>
  <c r="H90" i="3"/>
  <c r="K90" i="3" s="1"/>
  <c r="G90" i="3"/>
  <c r="J90" i="3" s="1"/>
  <c r="H89" i="3"/>
  <c r="K89" i="3" s="1"/>
  <c r="G89" i="3"/>
  <c r="H88" i="3"/>
  <c r="K88" i="3" s="1"/>
  <c r="G88" i="3"/>
  <c r="J88" i="3" s="1"/>
  <c r="H87" i="3"/>
  <c r="K87" i="3" s="1"/>
  <c r="G87" i="3"/>
  <c r="H86" i="3"/>
  <c r="K86" i="3" s="1"/>
  <c r="G86" i="3"/>
  <c r="J86" i="3" s="1"/>
  <c r="H85" i="3"/>
  <c r="K85" i="3" s="1"/>
  <c r="G85" i="3"/>
  <c r="J85" i="3" s="1"/>
  <c r="H84" i="3"/>
  <c r="K84" i="3" s="1"/>
  <c r="G84" i="3"/>
  <c r="J84" i="3" s="1"/>
  <c r="H83" i="3"/>
  <c r="K83" i="3" s="1"/>
  <c r="G83" i="3"/>
  <c r="J83" i="3" s="1"/>
  <c r="H82" i="3"/>
  <c r="K82" i="3" s="1"/>
  <c r="G82" i="3"/>
  <c r="J82" i="3" s="1"/>
  <c r="H81" i="3"/>
  <c r="K81" i="3" s="1"/>
  <c r="G81" i="3"/>
  <c r="H80" i="3"/>
  <c r="K80" i="3" s="1"/>
  <c r="G80" i="3"/>
  <c r="J80" i="3" s="1"/>
  <c r="H79" i="3"/>
  <c r="K79" i="3" s="1"/>
  <c r="G79" i="3"/>
  <c r="H78" i="3"/>
  <c r="K78" i="3" s="1"/>
  <c r="G78" i="3"/>
  <c r="J78" i="3" s="1"/>
  <c r="H77" i="3"/>
  <c r="K77" i="3" s="1"/>
  <c r="G77" i="3"/>
  <c r="J77" i="3" s="1"/>
  <c r="H76" i="3"/>
  <c r="K76" i="3" s="1"/>
  <c r="G76" i="3"/>
  <c r="J76" i="3" s="1"/>
  <c r="H75" i="3"/>
  <c r="K75" i="3" s="1"/>
  <c r="G75" i="3"/>
  <c r="J75" i="3" s="1"/>
  <c r="H74" i="3"/>
  <c r="K74" i="3" s="1"/>
  <c r="G74" i="3"/>
  <c r="J74" i="3" s="1"/>
  <c r="H73" i="3"/>
  <c r="K73" i="3" s="1"/>
  <c r="G73" i="3"/>
  <c r="H72" i="3"/>
  <c r="K72" i="3" s="1"/>
  <c r="G72" i="3"/>
  <c r="J72" i="3" s="1"/>
  <c r="H71" i="3"/>
  <c r="K71" i="3" s="1"/>
  <c r="G71" i="3"/>
  <c r="H70" i="3"/>
  <c r="K70" i="3" s="1"/>
  <c r="G70" i="3"/>
  <c r="J70" i="3" s="1"/>
  <c r="H69" i="3"/>
  <c r="K69" i="3" s="1"/>
  <c r="G69" i="3"/>
  <c r="J69" i="3" s="1"/>
  <c r="H68" i="3"/>
  <c r="K68" i="3" s="1"/>
  <c r="G68" i="3"/>
  <c r="H67" i="3"/>
  <c r="K67" i="3" s="1"/>
  <c r="G67" i="3"/>
  <c r="J67" i="3" s="1"/>
  <c r="H66" i="3"/>
  <c r="K66" i="3" s="1"/>
  <c r="G66" i="3"/>
  <c r="J66" i="3" s="1"/>
  <c r="H65" i="3"/>
  <c r="K65" i="3" s="1"/>
  <c r="G65" i="3"/>
  <c r="J65" i="3" s="1"/>
  <c r="H64" i="3"/>
  <c r="K64" i="3" s="1"/>
  <c r="G64" i="3"/>
  <c r="J64" i="3" s="1"/>
  <c r="H63" i="3"/>
  <c r="K63" i="3" s="1"/>
  <c r="G63" i="3"/>
  <c r="H62" i="3"/>
  <c r="K62" i="3" s="1"/>
  <c r="G62" i="3"/>
  <c r="J62" i="3" s="1"/>
  <c r="H61" i="3"/>
  <c r="K61" i="3" s="1"/>
  <c r="G61" i="3"/>
  <c r="J61" i="3" s="1"/>
  <c r="H60" i="3"/>
  <c r="K60" i="3" s="1"/>
  <c r="G60" i="3"/>
  <c r="H59" i="3"/>
  <c r="K59" i="3" s="1"/>
  <c r="G59" i="3"/>
  <c r="J59" i="3" s="1"/>
  <c r="H58" i="3"/>
  <c r="K58" i="3" s="1"/>
  <c r="G58" i="3"/>
  <c r="J58" i="3" s="1"/>
  <c r="H57" i="3"/>
  <c r="K57" i="3" s="1"/>
  <c r="G57" i="3"/>
  <c r="H56" i="3"/>
  <c r="K56" i="3" s="1"/>
  <c r="G56" i="3"/>
  <c r="J56" i="3" s="1"/>
  <c r="H55" i="3"/>
  <c r="K55" i="3" s="1"/>
  <c r="G55" i="3"/>
  <c r="H54" i="3"/>
  <c r="K54" i="3" s="1"/>
  <c r="G54" i="3"/>
  <c r="J54" i="3" s="1"/>
  <c r="H53" i="3"/>
  <c r="K53" i="3" s="1"/>
  <c r="G53" i="3"/>
  <c r="J53" i="3" s="1"/>
  <c r="H52" i="3"/>
  <c r="K52" i="3" s="1"/>
  <c r="G52" i="3"/>
  <c r="H51" i="3"/>
  <c r="K51" i="3" s="1"/>
  <c r="G51" i="3"/>
  <c r="J51" i="3" s="1"/>
  <c r="H50" i="3"/>
  <c r="K50" i="3" s="1"/>
  <c r="G50" i="3"/>
  <c r="J50" i="3" s="1"/>
  <c r="H49" i="3"/>
  <c r="K49" i="3" s="1"/>
  <c r="G49" i="3"/>
  <c r="J49" i="3" s="1"/>
  <c r="H48" i="3"/>
  <c r="K48" i="3" s="1"/>
  <c r="G48" i="3"/>
  <c r="J48" i="3" s="1"/>
  <c r="H47" i="3"/>
  <c r="K47" i="3" s="1"/>
  <c r="G47" i="3"/>
  <c r="H46" i="3"/>
  <c r="K46" i="3" s="1"/>
  <c r="G46" i="3"/>
  <c r="J46" i="3" s="1"/>
  <c r="H45" i="3"/>
  <c r="K45" i="3" s="1"/>
  <c r="G45" i="3"/>
  <c r="J45" i="3" s="1"/>
  <c r="H44" i="3"/>
  <c r="K44" i="3" s="1"/>
  <c r="G44" i="3"/>
  <c r="J44" i="3" s="1"/>
  <c r="H43" i="3"/>
  <c r="K43" i="3" s="1"/>
  <c r="G43" i="3"/>
  <c r="J43" i="3" s="1"/>
  <c r="H42" i="3"/>
  <c r="K42" i="3" s="1"/>
  <c r="G42" i="3"/>
  <c r="J42" i="3" s="1"/>
  <c r="H41" i="3"/>
  <c r="K41" i="3" s="1"/>
  <c r="G41" i="3"/>
  <c r="H40" i="3"/>
  <c r="K40" i="3" s="1"/>
  <c r="G40" i="3"/>
  <c r="J40" i="3" s="1"/>
  <c r="H39" i="3"/>
  <c r="K39" i="3" s="1"/>
  <c r="G39" i="3"/>
  <c r="H38" i="3"/>
  <c r="K38" i="3" s="1"/>
  <c r="G38" i="3"/>
  <c r="J38" i="3" s="1"/>
  <c r="H37" i="3"/>
  <c r="K37" i="3" s="1"/>
  <c r="G37" i="3"/>
  <c r="J37" i="3" s="1"/>
  <c r="H36" i="3"/>
  <c r="K36" i="3" s="1"/>
  <c r="G36" i="3"/>
  <c r="J36" i="3" s="1"/>
  <c r="H35" i="3"/>
  <c r="K35" i="3" s="1"/>
  <c r="G35" i="3"/>
  <c r="J35" i="3" s="1"/>
  <c r="H34" i="3"/>
  <c r="K34" i="3" s="1"/>
  <c r="G34" i="3"/>
  <c r="J34" i="3" s="1"/>
  <c r="H33" i="3"/>
  <c r="K33" i="3" s="1"/>
  <c r="G33" i="3"/>
  <c r="J33" i="3" s="1"/>
  <c r="H32" i="3"/>
  <c r="K32" i="3" s="1"/>
  <c r="G32" i="3"/>
  <c r="J32" i="3" s="1"/>
  <c r="H31" i="3"/>
  <c r="K31" i="3" s="1"/>
  <c r="G31" i="3"/>
  <c r="H30" i="3"/>
  <c r="K30" i="3" s="1"/>
  <c r="G30" i="3"/>
  <c r="J30" i="3" s="1"/>
  <c r="H29" i="3"/>
  <c r="K29" i="3" s="1"/>
  <c r="G29" i="3"/>
  <c r="J29" i="3" s="1"/>
  <c r="H28" i="3"/>
  <c r="K28" i="3" s="1"/>
  <c r="G28" i="3"/>
  <c r="J28" i="3" s="1"/>
  <c r="H27" i="3"/>
  <c r="K27" i="3" s="1"/>
  <c r="G27" i="3"/>
  <c r="J27" i="3" s="1"/>
  <c r="H26" i="3"/>
  <c r="K26" i="3" s="1"/>
  <c r="G26" i="3"/>
  <c r="J26" i="3" s="1"/>
  <c r="H25" i="3"/>
  <c r="K25" i="3" s="1"/>
  <c r="G25" i="3"/>
  <c r="H24" i="3"/>
  <c r="K24" i="3" s="1"/>
  <c r="G24" i="3"/>
  <c r="J24" i="3" s="1"/>
  <c r="H23" i="3"/>
  <c r="K23" i="3" s="1"/>
  <c r="G23" i="3"/>
  <c r="H22" i="3"/>
  <c r="K22" i="3" s="1"/>
  <c r="G22" i="3"/>
  <c r="J22" i="3" s="1"/>
  <c r="H21" i="3"/>
  <c r="K21" i="3" s="1"/>
  <c r="G21" i="3"/>
  <c r="J21" i="3" s="1"/>
  <c r="H20" i="3"/>
  <c r="K20" i="3" s="1"/>
  <c r="G20" i="3"/>
  <c r="H19" i="3"/>
  <c r="K19" i="3" s="1"/>
  <c r="G19" i="3"/>
  <c r="J19" i="3" s="1"/>
  <c r="H18" i="3"/>
  <c r="K18" i="3" s="1"/>
  <c r="G18" i="3"/>
  <c r="J18" i="3" s="1"/>
  <c r="H17" i="3"/>
  <c r="K17" i="3" s="1"/>
  <c r="G17" i="3"/>
  <c r="H16" i="3"/>
  <c r="K16" i="3" s="1"/>
  <c r="G16" i="3"/>
  <c r="J16" i="3" s="1"/>
  <c r="H15" i="3"/>
  <c r="K15" i="3" s="1"/>
  <c r="G15" i="3"/>
  <c r="H14" i="3"/>
  <c r="K14" i="3" s="1"/>
  <c r="G14" i="3"/>
  <c r="J14" i="3" s="1"/>
  <c r="H13" i="3"/>
  <c r="K13" i="3" s="1"/>
  <c r="G13" i="3"/>
  <c r="J13" i="3" s="1"/>
  <c r="H12" i="3"/>
  <c r="K12" i="3" s="1"/>
  <c r="G12" i="3"/>
  <c r="J12" i="3" s="1"/>
  <c r="H11" i="3"/>
  <c r="K11" i="3" s="1"/>
  <c r="G11" i="3"/>
  <c r="J11" i="3" s="1"/>
  <c r="H10" i="3"/>
  <c r="K10" i="3" s="1"/>
  <c r="G10" i="3"/>
  <c r="J10" i="3" s="1"/>
  <c r="H9" i="3"/>
  <c r="K9" i="3" s="1"/>
  <c r="G9" i="3"/>
  <c r="J9" i="3" s="1"/>
  <c r="H8" i="3"/>
  <c r="K8" i="3" s="1"/>
  <c r="G8" i="3"/>
  <c r="J8" i="3" s="1"/>
  <c r="H7" i="3"/>
  <c r="K7" i="3" s="1"/>
  <c r="G7" i="3"/>
  <c r="H6" i="3"/>
  <c r="K6" i="3" s="1"/>
  <c r="G6" i="3"/>
  <c r="J6" i="3" s="1"/>
  <c r="H5" i="3"/>
  <c r="K5" i="3" s="1"/>
  <c r="G5" i="3"/>
  <c r="J5" i="3" s="1"/>
  <c r="H4" i="3"/>
  <c r="K4" i="3" s="1"/>
  <c r="G4" i="3"/>
  <c r="H3" i="3"/>
  <c r="K3" i="3" s="1"/>
  <c r="G3" i="3"/>
  <c r="J3" i="3" s="1"/>
  <c r="H2" i="3"/>
  <c r="K2" i="3" s="1"/>
  <c r="G2" i="3"/>
  <c r="J2" i="3" s="1"/>
  <c r="G35" i="1"/>
  <c r="H81" i="1"/>
  <c r="H101" i="1"/>
  <c r="H86" i="1"/>
  <c r="H11" i="1"/>
  <c r="H57" i="1"/>
  <c r="H59" i="1"/>
  <c r="H90" i="1"/>
  <c r="H83" i="1"/>
  <c r="H66" i="1"/>
  <c r="H68" i="1"/>
  <c r="H44" i="1"/>
  <c r="H14" i="1"/>
  <c r="H32" i="1"/>
  <c r="H25" i="1"/>
  <c r="H51" i="1"/>
  <c r="H52" i="1"/>
  <c r="H65" i="1"/>
  <c r="H48" i="1"/>
  <c r="H99" i="1"/>
  <c r="H20" i="1"/>
  <c r="H89" i="1"/>
  <c r="H100" i="1"/>
  <c r="H64" i="1"/>
  <c r="H95" i="1"/>
  <c r="H49" i="1"/>
  <c r="H55" i="1"/>
  <c r="H5" i="1"/>
  <c r="H93" i="1"/>
  <c r="H9" i="1"/>
  <c r="H97" i="1"/>
  <c r="H39" i="1"/>
  <c r="H67" i="1"/>
  <c r="H85" i="1"/>
  <c r="H46" i="1"/>
  <c r="H56" i="1"/>
  <c r="H53" i="1"/>
  <c r="H21" i="1"/>
  <c r="H17" i="1"/>
  <c r="H13" i="1"/>
  <c r="H71" i="1"/>
  <c r="H18" i="1"/>
  <c r="H43" i="1"/>
  <c r="H92" i="1"/>
  <c r="H94" i="1"/>
  <c r="H15" i="1"/>
  <c r="H31" i="1"/>
  <c r="H103" i="1"/>
  <c r="H102" i="1"/>
  <c r="H82" i="1"/>
  <c r="H60" i="1"/>
  <c r="H75" i="1"/>
  <c r="H98" i="1"/>
  <c r="H54" i="1"/>
  <c r="H58" i="1"/>
  <c r="H36" i="1"/>
  <c r="H80" i="1"/>
  <c r="H35" i="1"/>
  <c r="H61" i="1"/>
  <c r="H78" i="1"/>
  <c r="H30" i="1"/>
  <c r="H33" i="1"/>
  <c r="H6" i="1"/>
  <c r="H4" i="1"/>
  <c r="H63" i="1"/>
  <c r="H10" i="1"/>
  <c r="H70" i="1"/>
  <c r="H62" i="1"/>
  <c r="H72" i="1"/>
  <c r="H77" i="1"/>
  <c r="H27" i="1"/>
  <c r="H26" i="1"/>
  <c r="H74" i="1"/>
  <c r="H24" i="1"/>
  <c r="H22" i="1"/>
  <c r="H28" i="1"/>
  <c r="H37" i="1"/>
  <c r="H69" i="1"/>
  <c r="H19" i="1"/>
  <c r="H45" i="1"/>
  <c r="H76" i="1"/>
  <c r="H3" i="1"/>
  <c r="H88" i="1"/>
  <c r="H7" i="1"/>
  <c r="H73" i="1"/>
  <c r="H42" i="1"/>
  <c r="H2" i="1"/>
  <c r="H38" i="1"/>
  <c r="H8" i="1"/>
  <c r="H84" i="1"/>
  <c r="H29" i="1"/>
  <c r="H87" i="1"/>
  <c r="H47" i="1"/>
  <c r="H96" i="1"/>
  <c r="H50" i="1"/>
  <c r="H104" i="1"/>
  <c r="H79" i="1"/>
  <c r="H34" i="1"/>
  <c r="H41" i="1"/>
  <c r="H40" i="1"/>
  <c r="H23" i="1"/>
  <c r="H91" i="1"/>
  <c r="H16" i="1"/>
  <c r="H12" i="1"/>
  <c r="G81" i="1"/>
  <c r="G101" i="1"/>
  <c r="G86" i="1"/>
  <c r="G11" i="1"/>
  <c r="G57" i="1"/>
  <c r="G59" i="1"/>
  <c r="G90" i="1"/>
  <c r="G83" i="1"/>
  <c r="G66" i="1"/>
  <c r="G68" i="1"/>
  <c r="G44" i="1"/>
  <c r="G14" i="1"/>
  <c r="G32" i="1"/>
  <c r="G25" i="1"/>
  <c r="G51" i="1"/>
  <c r="G52" i="1"/>
  <c r="G65" i="1"/>
  <c r="G48" i="1"/>
  <c r="G99" i="1"/>
  <c r="G20" i="1"/>
  <c r="G89" i="1"/>
  <c r="G100" i="1"/>
  <c r="G64" i="1"/>
  <c r="G95" i="1"/>
  <c r="G49" i="1"/>
  <c r="G55" i="1"/>
  <c r="G5" i="1"/>
  <c r="G93" i="1"/>
  <c r="G9" i="1"/>
  <c r="G97" i="1"/>
  <c r="G39" i="1"/>
  <c r="G67" i="1"/>
  <c r="G85" i="1"/>
  <c r="G46" i="1"/>
  <c r="G56" i="1"/>
  <c r="G53" i="1"/>
  <c r="G21" i="1"/>
  <c r="G17" i="1"/>
  <c r="G13" i="1"/>
  <c r="G71" i="1"/>
  <c r="G18" i="1"/>
  <c r="G43" i="1"/>
  <c r="G92" i="1"/>
  <c r="G94" i="1"/>
  <c r="G15" i="1"/>
  <c r="G31" i="1"/>
  <c r="G103" i="1"/>
  <c r="G102" i="1"/>
  <c r="G82" i="1"/>
  <c r="G60" i="1"/>
  <c r="G75" i="1"/>
  <c r="G98" i="1"/>
  <c r="G54" i="1"/>
  <c r="G58" i="1"/>
  <c r="G36" i="1"/>
  <c r="G80" i="1"/>
  <c r="G61" i="1"/>
  <c r="G78" i="1"/>
  <c r="G30" i="1"/>
  <c r="G33" i="1"/>
  <c r="G6" i="1"/>
  <c r="G4" i="1"/>
  <c r="G63" i="1"/>
  <c r="G10" i="1"/>
  <c r="G70" i="1"/>
  <c r="G62" i="1"/>
  <c r="G72" i="1"/>
  <c r="G77" i="1"/>
  <c r="G27" i="1"/>
  <c r="G26" i="1"/>
  <c r="G74" i="1"/>
  <c r="G24" i="1"/>
  <c r="G22" i="1"/>
  <c r="G28" i="1"/>
  <c r="G37" i="1"/>
  <c r="G69" i="1"/>
  <c r="G19" i="1"/>
  <c r="G45" i="1"/>
  <c r="G76" i="1"/>
  <c r="G3" i="1"/>
  <c r="G88" i="1"/>
  <c r="G7" i="1"/>
  <c r="G73" i="1"/>
  <c r="G42" i="1"/>
  <c r="G2" i="1"/>
  <c r="G38" i="1"/>
  <c r="G8" i="1"/>
  <c r="G84" i="1"/>
  <c r="G29" i="1"/>
  <c r="G87" i="1"/>
  <c r="G47" i="1"/>
  <c r="G96" i="1"/>
  <c r="G50" i="1"/>
  <c r="G104" i="1"/>
  <c r="G79" i="1"/>
  <c r="G34" i="1"/>
  <c r="G41" i="1"/>
  <c r="G40" i="1"/>
  <c r="G23" i="1"/>
  <c r="G91" i="1"/>
  <c r="G16" i="1"/>
  <c r="G12" i="1"/>
  <c r="AD93" i="4" l="1"/>
  <c r="AA24" i="4"/>
  <c r="AD56" i="4"/>
  <c r="AA99" i="4"/>
  <c r="AA94" i="4"/>
  <c r="AA46" i="4"/>
  <c r="AD98" i="4"/>
  <c r="AD41" i="4"/>
  <c r="AA81" i="4"/>
  <c r="AD82" i="4"/>
  <c r="AD62" i="4"/>
  <c r="AA103" i="4"/>
  <c r="AD86" i="4"/>
  <c r="AD18" i="4"/>
  <c r="AA89" i="4"/>
  <c r="AD84" i="4"/>
  <c r="AD92" i="4"/>
  <c r="AA13" i="4"/>
  <c r="AD74" i="4"/>
  <c r="AA66" i="4"/>
  <c r="AA86" i="4"/>
  <c r="AA12" i="4"/>
  <c r="AD38" i="4"/>
  <c r="AD89" i="4"/>
  <c r="AA21" i="4"/>
  <c r="AA95" i="4"/>
  <c r="AA10" i="4"/>
  <c r="AD34" i="4"/>
  <c r="AD13" i="4"/>
  <c r="AD5" i="4"/>
  <c r="AA75" i="4"/>
  <c r="AD101" i="4"/>
  <c r="AD78" i="4"/>
  <c r="AA84" i="4"/>
  <c r="AA71" i="4"/>
  <c r="AD63" i="4"/>
  <c r="AA60" i="4"/>
  <c r="AD51" i="4"/>
  <c r="AA33" i="4"/>
  <c r="AD100" i="4"/>
  <c r="AD17" i="4"/>
  <c r="AD95" i="4"/>
  <c r="AA55" i="4"/>
  <c r="AA76" i="4"/>
  <c r="AA92" i="4"/>
  <c r="AD71" i="4"/>
  <c r="AA77" i="4"/>
  <c r="AD2" i="4"/>
  <c r="AD58" i="4"/>
  <c r="AD60" i="4"/>
  <c r="AA6" i="4"/>
  <c r="AD33" i="4"/>
  <c r="AA28" i="4"/>
  <c r="AA87" i="4"/>
  <c r="AA11" i="4"/>
  <c r="AD32" i="4"/>
  <c r="I93" i="4"/>
  <c r="AA96" i="4"/>
  <c r="AA78" i="4"/>
  <c r="AD67" i="4"/>
  <c r="AD10" i="4"/>
  <c r="AD88" i="4"/>
  <c r="AA31" i="4"/>
  <c r="AD68" i="4"/>
  <c r="AA65" i="4"/>
  <c r="AA54" i="4"/>
  <c r="AA69" i="4"/>
  <c r="AD91" i="4"/>
  <c r="AA36" i="4"/>
  <c r="AA30" i="4"/>
  <c r="AD55" i="4"/>
  <c r="AA50" i="4"/>
  <c r="AD14" i="4"/>
  <c r="AD44" i="4"/>
  <c r="AD36" i="4"/>
  <c r="AA39" i="4"/>
  <c r="AD47" i="4"/>
  <c r="AA43" i="4"/>
  <c r="AD20" i="4"/>
  <c r="AA72" i="4"/>
  <c r="AA15" i="4"/>
  <c r="AD29" i="4"/>
  <c r="AD7" i="4"/>
  <c r="AD85" i="4"/>
  <c r="AA18" i="4"/>
  <c r="AD21" i="4"/>
  <c r="AA62" i="4"/>
  <c r="AD69" i="4"/>
  <c r="AD24" i="4"/>
  <c r="AD65" i="4"/>
  <c r="AA79" i="4"/>
  <c r="AA45" i="4"/>
  <c r="AA64" i="4"/>
  <c r="AD54" i="4"/>
  <c r="AA40" i="4"/>
  <c r="AD104" i="4"/>
  <c r="AA49" i="4"/>
  <c r="AA102" i="4"/>
  <c r="AD97" i="4"/>
  <c r="AA8" i="4"/>
  <c r="AD19" i="4"/>
  <c r="AD22" i="4"/>
  <c r="AA73" i="4"/>
  <c r="AD35" i="4"/>
  <c r="AA22" i="4"/>
  <c r="AD94" i="4"/>
  <c r="AA37" i="4"/>
  <c r="AA68" i="4"/>
  <c r="AA34" i="4"/>
  <c r="AD90" i="4"/>
  <c r="AD79" i="4"/>
  <c r="AD4" i="4"/>
  <c r="AA101" i="4"/>
  <c r="AD49" i="4"/>
  <c r="AD26" i="4"/>
  <c r="AA67" i="4"/>
  <c r="AD72" i="4"/>
  <c r="AA88" i="4"/>
  <c r="AD37" i="4"/>
  <c r="AD76" i="4"/>
  <c r="AD87" i="4"/>
  <c r="AA16" i="4"/>
  <c r="AA61" i="4"/>
  <c r="AA63" i="4"/>
  <c r="AD50" i="4"/>
  <c r="AD96" i="4"/>
  <c r="AA57" i="4"/>
  <c r="AA5" i="4"/>
  <c r="AD75" i="4"/>
  <c r="AD6" i="4"/>
  <c r="AA47" i="4"/>
  <c r="AA29" i="4"/>
  <c r="AA2" i="4"/>
  <c r="AA27" i="4"/>
  <c r="AA56" i="4"/>
  <c r="AA41" i="4"/>
  <c r="AA19" i="4"/>
  <c r="AA35" i="4"/>
  <c r="AA97" i="4"/>
  <c r="AD80" i="4"/>
  <c r="AA7" i="4"/>
  <c r="AA85" i="4"/>
  <c r="I19" i="4"/>
  <c r="AD8" i="4"/>
  <c r="AA83" i="4"/>
  <c r="AD45" i="4"/>
  <c r="I63" i="4"/>
  <c r="AA74" i="4"/>
  <c r="AD77" i="4"/>
  <c r="AA9" i="4"/>
  <c r="AA91" i="4"/>
  <c r="AA26" i="4"/>
  <c r="AD27" i="4"/>
  <c r="AD48" i="4"/>
  <c r="AD52" i="4"/>
  <c r="AD28" i="4"/>
  <c r="AD59" i="4"/>
  <c r="AD70" i="4"/>
  <c r="AA25" i="4"/>
  <c r="I18" i="4"/>
  <c r="AD83" i="4"/>
  <c r="AA51" i="4"/>
  <c r="AD30" i="4"/>
  <c r="I65" i="4"/>
  <c r="I34" i="4"/>
  <c r="J34" i="4"/>
  <c r="I61" i="4"/>
  <c r="I23" i="4"/>
  <c r="I3" i="4"/>
  <c r="I75" i="4"/>
  <c r="J40" i="4"/>
  <c r="I40" i="4"/>
  <c r="I104" i="4"/>
  <c r="J103" i="4"/>
  <c r="I103" i="4"/>
  <c r="AD16" i="4"/>
  <c r="AD99" i="4"/>
  <c r="AA48" i="4"/>
  <c r="AA20" i="4"/>
  <c r="AA59" i="4"/>
  <c r="I53" i="4"/>
  <c r="I89" i="4"/>
  <c r="J89" i="4"/>
  <c r="AA82" i="4"/>
  <c r="I90" i="4"/>
  <c r="AA80" i="4"/>
  <c r="I62" i="4"/>
  <c r="I50" i="4"/>
  <c r="I11" i="4"/>
  <c r="J11" i="4"/>
  <c r="I74" i="4"/>
  <c r="J54" i="4"/>
  <c r="I54" i="4"/>
  <c r="AD57" i="4"/>
  <c r="AA58" i="4"/>
  <c r="I6" i="4"/>
  <c r="I49" i="4"/>
  <c r="J9" i="4"/>
  <c r="I9" i="4"/>
  <c r="I91" i="4"/>
  <c r="J33" i="4"/>
  <c r="I33" i="4"/>
  <c r="AD12" i="4"/>
  <c r="AA52" i="4"/>
  <c r="AA32" i="4"/>
  <c r="AA70" i="4"/>
  <c r="AD25" i="4"/>
  <c r="AA14" i="4"/>
  <c r="I86" i="4"/>
  <c r="I36" i="4"/>
  <c r="J99" i="4"/>
  <c r="I99" i="4"/>
  <c r="J12" i="4"/>
  <c r="I12" i="4"/>
  <c r="AD39" i="4"/>
  <c r="AD43" i="4"/>
  <c r="AD42" i="4"/>
  <c r="AD81" i="4"/>
  <c r="AD15" i="4"/>
  <c r="I83" i="4"/>
  <c r="I98" i="4"/>
  <c r="AD31" i="4"/>
  <c r="I68" i="4"/>
  <c r="J76" i="4"/>
  <c r="I76" i="4"/>
  <c r="AD64" i="4"/>
  <c r="AA4" i="4"/>
  <c r="I69" i="4"/>
  <c r="I77" i="4"/>
  <c r="J57" i="4"/>
  <c r="I57" i="4"/>
  <c r="I66" i="4"/>
  <c r="J24" i="4"/>
  <c r="I24" i="4"/>
  <c r="AD40" i="4"/>
  <c r="AA44" i="4"/>
  <c r="I52" i="4"/>
  <c r="I32" i="4"/>
  <c r="I70" i="4"/>
  <c r="I22" i="4"/>
  <c r="J25" i="4"/>
  <c r="I25" i="4"/>
  <c r="I88" i="4"/>
  <c r="I82" i="4"/>
  <c r="I71" i="4"/>
  <c r="I45" i="4"/>
  <c r="J45" i="4"/>
  <c r="I58" i="4"/>
  <c r="AA100" i="4"/>
  <c r="I46" i="4"/>
  <c r="I30" i="4"/>
  <c r="J27" i="4"/>
  <c r="I27" i="4"/>
  <c r="I56" i="4"/>
  <c r="J39" i="4"/>
  <c r="I39" i="4"/>
  <c r="I67" i="4"/>
  <c r="J43" i="4"/>
  <c r="I43" i="4"/>
  <c r="I55" i="4"/>
  <c r="J42" i="4"/>
  <c r="I42" i="4"/>
  <c r="I28" i="4"/>
  <c r="J81" i="4"/>
  <c r="I81" i="4"/>
  <c r="J15" i="4"/>
  <c r="I15" i="4"/>
  <c r="I10" i="4"/>
  <c r="J16" i="4"/>
  <c r="I16" i="4"/>
  <c r="I97" i="4"/>
  <c r="I73" i="4"/>
  <c r="J88" i="4"/>
  <c r="I35" i="4"/>
  <c r="I85" i="4"/>
  <c r="I41" i="4"/>
  <c r="I95" i="4"/>
  <c r="I78" i="4"/>
  <c r="I26" i="4"/>
  <c r="I51" i="4"/>
  <c r="I101" i="4"/>
  <c r="I2" i="4"/>
  <c r="I96" i="4"/>
  <c r="I13" i="4"/>
  <c r="I87" i="4"/>
  <c r="I84" i="4"/>
  <c r="I38" i="4"/>
  <c r="I100" i="4"/>
  <c r="I14" i="4"/>
  <c r="I7" i="4"/>
  <c r="I59" i="4"/>
  <c r="I20" i="4"/>
  <c r="I48" i="4"/>
  <c r="I17" i="4"/>
  <c r="I44" i="4"/>
  <c r="I60" i="4"/>
  <c r="I5" i="4"/>
  <c r="I4" i="4"/>
  <c r="I80" i="4"/>
  <c r="I79" i="4"/>
  <c r="I21" i="4"/>
  <c r="I8" i="4"/>
  <c r="AA93" i="4"/>
  <c r="I37" i="4"/>
  <c r="I92" i="4"/>
  <c r="AD61" i="4"/>
  <c r="AA23" i="4"/>
  <c r="I102" i="4"/>
  <c r="J31" i="4"/>
  <c r="I31" i="4"/>
  <c r="J64" i="4"/>
  <c r="I64" i="4"/>
  <c r="AD11" i="4"/>
  <c r="AA98" i="4"/>
  <c r="AD9" i="4"/>
  <c r="AA17" i="4"/>
  <c r="I47" i="4"/>
  <c r="I72" i="4"/>
  <c r="I29" i="4"/>
  <c r="J50" i="4"/>
  <c r="J77" i="4"/>
  <c r="J75" i="4"/>
  <c r="J49" i="4"/>
  <c r="J36" i="4"/>
  <c r="J30" i="4"/>
  <c r="J67" i="4"/>
  <c r="J28" i="4"/>
  <c r="J10" i="4"/>
  <c r="I94" i="4"/>
  <c r="S55" i="1"/>
  <c r="S39" i="1"/>
  <c r="S30" i="1"/>
  <c r="S76" i="1"/>
  <c r="S69" i="1"/>
  <c r="S36" i="1"/>
  <c r="S16" i="1"/>
  <c r="S34" i="1"/>
  <c r="S100" i="1"/>
  <c r="S59" i="1"/>
  <c r="S61" i="1"/>
  <c r="S15" i="1"/>
  <c r="S66" i="1"/>
  <c r="S81" i="1"/>
  <c r="S2" i="1"/>
  <c r="S68" i="1"/>
  <c r="S87" i="1"/>
  <c r="S73" i="1"/>
  <c r="S52" i="1"/>
  <c r="S26" i="1"/>
  <c r="S13" i="1"/>
  <c r="S49" i="1"/>
  <c r="S17" i="1"/>
  <c r="S86" i="1"/>
  <c r="S9" i="1"/>
  <c r="S82" i="1"/>
  <c r="S12" i="1"/>
  <c r="S78" i="1"/>
  <c r="S7" i="1"/>
  <c r="S103" i="1"/>
  <c r="S37" i="1"/>
  <c r="S65" i="1"/>
  <c r="S95" i="1"/>
  <c r="S40" i="1"/>
  <c r="S58" i="1"/>
  <c r="S10" i="1"/>
  <c r="S72" i="1"/>
  <c r="S88" i="1"/>
  <c r="S91" i="1"/>
  <c r="S4" i="1"/>
  <c r="S27" i="1"/>
  <c r="S47" i="1"/>
  <c r="S46" i="1"/>
  <c r="S84" i="1"/>
  <c r="S62" i="1"/>
  <c r="S50" i="1"/>
  <c r="S11" i="1"/>
  <c r="S32" i="1"/>
  <c r="S28" i="1"/>
  <c r="S35" i="1"/>
  <c r="S3" i="1"/>
  <c r="S14" i="1"/>
  <c r="S45" i="1"/>
  <c r="S6" i="1"/>
  <c r="S25" i="1"/>
  <c r="S43" i="1"/>
  <c r="S104" i="1"/>
  <c r="S98" i="1"/>
  <c r="S20" i="1"/>
  <c r="S71" i="1"/>
  <c r="S102" i="1"/>
  <c r="S18" i="1"/>
  <c r="S90" i="1"/>
  <c r="S5" i="1"/>
  <c r="S38" i="1"/>
  <c r="S70" i="1"/>
  <c r="S54" i="1"/>
  <c r="S33" i="1"/>
  <c r="S48" i="1"/>
  <c r="S99" i="1"/>
  <c r="S41" i="1"/>
  <c r="S51" i="1"/>
  <c r="S24" i="1"/>
  <c r="S101" i="1"/>
  <c r="S56" i="1"/>
  <c r="S74" i="1"/>
  <c r="S93" i="1"/>
  <c r="S60" i="1"/>
  <c r="S21" i="1"/>
  <c r="S77" i="1"/>
  <c r="S19" i="1"/>
  <c r="S8" i="1"/>
  <c r="S22" i="1"/>
  <c r="S67" i="1"/>
  <c r="S85" i="1"/>
  <c r="S53" i="1"/>
  <c r="S23" i="1"/>
  <c r="S44" i="1"/>
  <c r="S31" i="1"/>
  <c r="S89" i="1"/>
  <c r="S79" i="1"/>
  <c r="S96" i="1"/>
  <c r="S80" i="1"/>
  <c r="S75" i="1"/>
  <c r="S63" i="1"/>
  <c r="S42" i="1"/>
  <c r="S97" i="1"/>
  <c r="S83" i="1"/>
  <c r="S29" i="1"/>
  <c r="S64" i="1"/>
  <c r="S92" i="1"/>
  <c r="S94" i="1"/>
  <c r="S57" i="1"/>
  <c r="I59" i="1"/>
  <c r="I92" i="1"/>
  <c r="I11" i="1"/>
  <c r="AS46" i="3"/>
  <c r="AS38" i="3"/>
  <c r="AS77" i="3"/>
  <c r="AS69" i="3"/>
  <c r="AS41" i="3"/>
  <c r="AS33" i="3"/>
  <c r="AS25" i="3"/>
  <c r="AS10" i="3"/>
  <c r="AS7" i="3"/>
  <c r="AS51" i="3"/>
  <c r="AS43" i="3"/>
  <c r="AS35" i="3"/>
  <c r="AS27" i="3"/>
  <c r="AS19" i="3"/>
  <c r="AS11" i="3"/>
  <c r="AS101" i="3"/>
  <c r="AS93" i="3"/>
  <c r="AS85" i="3"/>
  <c r="AU102" i="3"/>
  <c r="AU94" i="3"/>
  <c r="AU86" i="3"/>
  <c r="AU78" i="3"/>
  <c r="AU70" i="3"/>
  <c r="AU62" i="3"/>
  <c r="AU54" i="3"/>
  <c r="AU46" i="3"/>
  <c r="AU38" i="3"/>
  <c r="AW38" i="3" s="1"/>
  <c r="AT37" i="3"/>
  <c r="AV37" i="3" s="1"/>
  <c r="AU30" i="3"/>
  <c r="AW30" i="3" s="1"/>
  <c r="AT29" i="3"/>
  <c r="AV29" i="3" s="1"/>
  <c r="AU22" i="3"/>
  <c r="AW22" i="3" s="1"/>
  <c r="AT21" i="3"/>
  <c r="AV21" i="3" s="1"/>
  <c r="AU14" i="3"/>
  <c r="AS31" i="3"/>
  <c r="AS23" i="3"/>
  <c r="AS14" i="3"/>
  <c r="AT101" i="3"/>
  <c r="AT53" i="3"/>
  <c r="AV53" i="3" s="1"/>
  <c r="AT13" i="3"/>
  <c r="AV13" i="3" s="1"/>
  <c r="AT69" i="3"/>
  <c r="AV69" i="3" s="1"/>
  <c r="AT61" i="3"/>
  <c r="AV61" i="3" s="1"/>
  <c r="AW46" i="3"/>
  <c r="AT45" i="3"/>
  <c r="AV45" i="3" s="1"/>
  <c r="AS100" i="3"/>
  <c r="AS92" i="3"/>
  <c r="AS84" i="3"/>
  <c r="AS76" i="3"/>
  <c r="AS68" i="3"/>
  <c r="AS60" i="3"/>
  <c r="AS52" i="3"/>
  <c r="AS44" i="3"/>
  <c r="AS36" i="3"/>
  <c r="AS28" i="3"/>
  <c r="AS20" i="3"/>
  <c r="AS12" i="3"/>
  <c r="AU81" i="3"/>
  <c r="AT80" i="3"/>
  <c r="AU73" i="3"/>
  <c r="AT72" i="3"/>
  <c r="AU65" i="3"/>
  <c r="AT64" i="3"/>
  <c r="AU57" i="3"/>
  <c r="AT56" i="3"/>
  <c r="AU49" i="3"/>
  <c r="AT48" i="3"/>
  <c r="AU41" i="3"/>
  <c r="AT40" i="3"/>
  <c r="AU33" i="3"/>
  <c r="AT32" i="3"/>
  <c r="AU25" i="3"/>
  <c r="AU17" i="3"/>
  <c r="AW17" i="3" s="1"/>
  <c r="AT16" i="3"/>
  <c r="AT93" i="3"/>
  <c r="AT85" i="3"/>
  <c r="AV85" i="3" s="1"/>
  <c r="AT77" i="3"/>
  <c r="AV77" i="3" s="1"/>
  <c r="AS99" i="3"/>
  <c r="AS91" i="3"/>
  <c r="AS83" i="3"/>
  <c r="AS75" i="3"/>
  <c r="AS67" i="3"/>
  <c r="AS59" i="3"/>
  <c r="AS3" i="3"/>
  <c r="AS15" i="3"/>
  <c r="AS102" i="3"/>
  <c r="AW102" i="3" s="1"/>
  <c r="AS94" i="3"/>
  <c r="AW94" i="3" s="1"/>
  <c r="AS86" i="3"/>
  <c r="AS78" i="3"/>
  <c r="AS70" i="3"/>
  <c r="AS62" i="3"/>
  <c r="AS54" i="3"/>
  <c r="AU35" i="3"/>
  <c r="AU19" i="3"/>
  <c r="AT10" i="3"/>
  <c r="AU12" i="3"/>
  <c r="AU4" i="3"/>
  <c r="AW4" i="3" s="1"/>
  <c r="AT88" i="3"/>
  <c r="AU13" i="3"/>
  <c r="AW13" i="3" s="1"/>
  <c r="AU89" i="3"/>
  <c r="AS8" i="3"/>
  <c r="AU93" i="3"/>
  <c r="AU85" i="3"/>
  <c r="AW85" i="3" s="1"/>
  <c r="AU77" i="3"/>
  <c r="AW77" i="3" s="1"/>
  <c r="AU69" i="3"/>
  <c r="AW69" i="3" s="1"/>
  <c r="AU61" i="3"/>
  <c r="AW61" i="3" s="1"/>
  <c r="AU53" i="3"/>
  <c r="AW53" i="3" s="1"/>
  <c r="AU5" i="3"/>
  <c r="AW5" i="3" s="1"/>
  <c r="AT4" i="3"/>
  <c r="AV4" i="3" s="1"/>
  <c r="AS49" i="3"/>
  <c r="AU2" i="3"/>
  <c r="AS71" i="3"/>
  <c r="AS63" i="3"/>
  <c r="AS55" i="3"/>
  <c r="AS47" i="3"/>
  <c r="AS39" i="3"/>
  <c r="AU104" i="3"/>
  <c r="AT103" i="3"/>
  <c r="AU96" i="3"/>
  <c r="AT95" i="3"/>
  <c r="AU88" i="3"/>
  <c r="AT87" i="3"/>
  <c r="AU80" i="3"/>
  <c r="AT79" i="3"/>
  <c r="AU72" i="3"/>
  <c r="AT71" i="3"/>
  <c r="AU64" i="3"/>
  <c r="AT63" i="3"/>
  <c r="AU56" i="3"/>
  <c r="AT55" i="3"/>
  <c r="AV55" i="3" s="1"/>
  <c r="AU48" i="3"/>
  <c r="AU40" i="3"/>
  <c r="AT39" i="3"/>
  <c r="AU32" i="3"/>
  <c r="AU24" i="3"/>
  <c r="AU16" i="3"/>
  <c r="AT24" i="3"/>
  <c r="AU6" i="3"/>
  <c r="AW6" i="3" s="1"/>
  <c r="AT5" i="3"/>
  <c r="AV5" i="3" s="1"/>
  <c r="AU9" i="3"/>
  <c r="AW9" i="3" s="1"/>
  <c r="AT8" i="3"/>
  <c r="AT67" i="3"/>
  <c r="AT51" i="3"/>
  <c r="AV51" i="3" s="1"/>
  <c r="AT43" i="3"/>
  <c r="AV43" i="3" s="1"/>
  <c r="AU36" i="3"/>
  <c r="AT35" i="3"/>
  <c r="AU28" i="3"/>
  <c r="AT27" i="3"/>
  <c r="AU20" i="3"/>
  <c r="AT19" i="3"/>
  <c r="AT11" i="3"/>
  <c r="AU3" i="3"/>
  <c r="AU100" i="3"/>
  <c r="AU92" i="3"/>
  <c r="AT83" i="3"/>
  <c r="AU76" i="3"/>
  <c r="AT59" i="3"/>
  <c r="AU52" i="3"/>
  <c r="AS98" i="3"/>
  <c r="AS90" i="3"/>
  <c r="AS82" i="3"/>
  <c r="AS74" i="3"/>
  <c r="AS66" i="3"/>
  <c r="AS58" i="3"/>
  <c r="AS50" i="3"/>
  <c r="AS42" i="3"/>
  <c r="AS34" i="3"/>
  <c r="AS26" i="3"/>
  <c r="AS18" i="3"/>
  <c r="AU103" i="3"/>
  <c r="AT102" i="3"/>
  <c r="AU95" i="3"/>
  <c r="AT94" i="3"/>
  <c r="AU87" i="3"/>
  <c r="AT86" i="3"/>
  <c r="AU79" i="3"/>
  <c r="AT78" i="3"/>
  <c r="AU71" i="3"/>
  <c r="AT70" i="3"/>
  <c r="AU63" i="3"/>
  <c r="AT62" i="3"/>
  <c r="AU55" i="3"/>
  <c r="AT54" i="3"/>
  <c r="AU47" i="3"/>
  <c r="AT46" i="3"/>
  <c r="AV46" i="3" s="1"/>
  <c r="AU39" i="3"/>
  <c r="AT38" i="3"/>
  <c r="AV38" i="3" s="1"/>
  <c r="AU34" i="3"/>
  <c r="AT31" i="3"/>
  <c r="AU31" i="3"/>
  <c r="AW31" i="3" s="1"/>
  <c r="AT30" i="3"/>
  <c r="AV30" i="3" s="1"/>
  <c r="AT25" i="3"/>
  <c r="AT23" i="3"/>
  <c r="AU23" i="3"/>
  <c r="AT22" i="3"/>
  <c r="AV22" i="3" s="1"/>
  <c r="AT15" i="3"/>
  <c r="AU15" i="3"/>
  <c r="AT14" i="3"/>
  <c r="AV14" i="3" s="1"/>
  <c r="AT7" i="3"/>
  <c r="AU7" i="3"/>
  <c r="AT6" i="3"/>
  <c r="AV6" i="3" s="1"/>
  <c r="AT104" i="3"/>
  <c r="AU97" i="3"/>
  <c r="AT99" i="3"/>
  <c r="AU44" i="3"/>
  <c r="AS2" i="3"/>
  <c r="AS97" i="3"/>
  <c r="AS89" i="3"/>
  <c r="AS81" i="3"/>
  <c r="AS73" i="3"/>
  <c r="AS65" i="3"/>
  <c r="AS57" i="3"/>
  <c r="AU98" i="3"/>
  <c r="AT97" i="3"/>
  <c r="AU90" i="3"/>
  <c r="AT89" i="3"/>
  <c r="AU82" i="3"/>
  <c r="AT81" i="3"/>
  <c r="AU74" i="3"/>
  <c r="AT73" i="3"/>
  <c r="AU66" i="3"/>
  <c r="AT65" i="3"/>
  <c r="AU58" i="3"/>
  <c r="AT57" i="3"/>
  <c r="AU50" i="3"/>
  <c r="AT49" i="3"/>
  <c r="AU42" i="3"/>
  <c r="AT41" i="3"/>
  <c r="AV41" i="3" s="1"/>
  <c r="AT33" i="3"/>
  <c r="AU26" i="3"/>
  <c r="AU18" i="3"/>
  <c r="AT17" i="3"/>
  <c r="AV17" i="3" s="1"/>
  <c r="AU10" i="3"/>
  <c r="AT9" i="3"/>
  <c r="AV9" i="3" s="1"/>
  <c r="AT2" i="3"/>
  <c r="AT91" i="3"/>
  <c r="AU84" i="3"/>
  <c r="AT75" i="3"/>
  <c r="AU68" i="3"/>
  <c r="AU60" i="3"/>
  <c r="AS104" i="3"/>
  <c r="AS96" i="3"/>
  <c r="AS88" i="3"/>
  <c r="AS80" i="3"/>
  <c r="AS72" i="3"/>
  <c r="AS64" i="3"/>
  <c r="AS56" i="3"/>
  <c r="AS48" i="3"/>
  <c r="AS40" i="3"/>
  <c r="AS32" i="3"/>
  <c r="AS24" i="3"/>
  <c r="AS16" i="3"/>
  <c r="AT3" i="3"/>
  <c r="AU101" i="3"/>
  <c r="AT100" i="3"/>
  <c r="AT92" i="3"/>
  <c r="AT84" i="3"/>
  <c r="AT76" i="3"/>
  <c r="AT68" i="3"/>
  <c r="AT60" i="3"/>
  <c r="AT52" i="3"/>
  <c r="AT47" i="3"/>
  <c r="AU45" i="3"/>
  <c r="AW45" i="3" s="1"/>
  <c r="AT44" i="3"/>
  <c r="AU37" i="3"/>
  <c r="AW37" i="3" s="1"/>
  <c r="AT36" i="3"/>
  <c r="AU29" i="3"/>
  <c r="AW29" i="3" s="1"/>
  <c r="AT28" i="3"/>
  <c r="AU21" i="3"/>
  <c r="AW21" i="3" s="1"/>
  <c r="AT20" i="3"/>
  <c r="AT12" i="3"/>
  <c r="AS103" i="3"/>
  <c r="AU8" i="3"/>
  <c r="AT96" i="3"/>
  <c r="AV96" i="3" s="1"/>
  <c r="AS95" i="3"/>
  <c r="AS87" i="3"/>
  <c r="AS79" i="3"/>
  <c r="AU99" i="3"/>
  <c r="AW99" i="3" s="1"/>
  <c r="AT98" i="3"/>
  <c r="AU91" i="3"/>
  <c r="AT90" i="3"/>
  <c r="AV90" i="3" s="1"/>
  <c r="AU83" i="3"/>
  <c r="AT82" i="3"/>
  <c r="AU75" i="3"/>
  <c r="AT74" i="3"/>
  <c r="AU67" i="3"/>
  <c r="AT66" i="3"/>
  <c r="AU59" i="3"/>
  <c r="AT58" i="3"/>
  <c r="AU51" i="3"/>
  <c r="AT50" i="3"/>
  <c r="AU43" i="3"/>
  <c r="AW43" i="3" s="1"/>
  <c r="AT42" i="3"/>
  <c r="AT34" i="3"/>
  <c r="AU27" i="3"/>
  <c r="AW27" i="3" s="1"/>
  <c r="AT26" i="3"/>
  <c r="AT18" i="3"/>
  <c r="AU11" i="3"/>
  <c r="AV93" i="3"/>
  <c r="I61" i="3"/>
  <c r="I104" i="3"/>
  <c r="I85" i="3"/>
  <c r="I5" i="3"/>
  <c r="J47" i="3"/>
  <c r="I47" i="3"/>
  <c r="I69" i="3"/>
  <c r="I97" i="3"/>
  <c r="I100" i="3"/>
  <c r="I32" i="3"/>
  <c r="I79" i="3"/>
  <c r="J79" i="3"/>
  <c r="I101" i="3"/>
  <c r="I7" i="3"/>
  <c r="J7" i="3"/>
  <c r="I24" i="3"/>
  <c r="I60" i="3"/>
  <c r="I93" i="3"/>
  <c r="I16" i="3"/>
  <c r="I8" i="3"/>
  <c r="I25" i="3"/>
  <c r="I39" i="3"/>
  <c r="J39" i="3"/>
  <c r="I89" i="3"/>
  <c r="I82" i="3"/>
  <c r="I10" i="3"/>
  <c r="J4" i="3"/>
  <c r="I98" i="3"/>
  <c r="I4" i="3"/>
  <c r="I90" i="3"/>
  <c r="I74" i="3"/>
  <c r="I66" i="3"/>
  <c r="I58" i="3"/>
  <c r="I50" i="3"/>
  <c r="I42" i="3"/>
  <c r="I34" i="3"/>
  <c r="I26" i="3"/>
  <c r="I18" i="3"/>
  <c r="I37" i="3"/>
  <c r="I68" i="3"/>
  <c r="I29" i="3"/>
  <c r="I57" i="3"/>
  <c r="J71" i="3"/>
  <c r="I71" i="3"/>
  <c r="I52" i="3"/>
  <c r="J63" i="3"/>
  <c r="I63" i="3"/>
  <c r="I2" i="3"/>
  <c r="I13" i="3"/>
  <c r="I55" i="3"/>
  <c r="J55" i="3"/>
  <c r="I77" i="3"/>
  <c r="I17" i="3"/>
  <c r="I20" i="3"/>
  <c r="I31" i="3"/>
  <c r="J31" i="3"/>
  <c r="I48" i="3"/>
  <c r="I53" i="3"/>
  <c r="I81" i="3"/>
  <c r="I95" i="3"/>
  <c r="J95" i="3"/>
  <c r="J15" i="3"/>
  <c r="I15" i="3"/>
  <c r="I21" i="3"/>
  <c r="I41" i="3"/>
  <c r="J23" i="3"/>
  <c r="I23" i="3"/>
  <c r="I40" i="3"/>
  <c r="I45" i="3"/>
  <c r="I73" i="3"/>
  <c r="I87" i="3"/>
  <c r="J87" i="3"/>
  <c r="I103" i="3"/>
  <c r="I12" i="3"/>
  <c r="I36" i="3"/>
  <c r="I76" i="3"/>
  <c r="I84" i="3"/>
  <c r="I92" i="3"/>
  <c r="I9" i="3"/>
  <c r="J20" i="3"/>
  <c r="I33" i="3"/>
  <c r="I49" i="3"/>
  <c r="J52" i="3"/>
  <c r="I65" i="3"/>
  <c r="J68" i="3"/>
  <c r="J100" i="3"/>
  <c r="I6" i="3"/>
  <c r="I14" i="3"/>
  <c r="J17" i="3"/>
  <c r="I22" i="3"/>
  <c r="J25" i="3"/>
  <c r="I30" i="3"/>
  <c r="I38" i="3"/>
  <c r="J41" i="3"/>
  <c r="I46" i="3"/>
  <c r="I54" i="3"/>
  <c r="J57" i="3"/>
  <c r="I62" i="3"/>
  <c r="I70" i="3"/>
  <c r="J73" i="3"/>
  <c r="I78" i="3"/>
  <c r="J81" i="3"/>
  <c r="I86" i="3"/>
  <c r="J89" i="3"/>
  <c r="I94" i="3"/>
  <c r="J97" i="3"/>
  <c r="I102" i="3"/>
  <c r="I28" i="3"/>
  <c r="J60" i="3"/>
  <c r="I3" i="3"/>
  <c r="I11" i="3"/>
  <c r="I19" i="3"/>
  <c r="I27" i="3"/>
  <c r="I35" i="3"/>
  <c r="I43" i="3"/>
  <c r="I51" i="3"/>
  <c r="I59" i="3"/>
  <c r="I67" i="3"/>
  <c r="I75" i="3"/>
  <c r="I83" i="3"/>
  <c r="I91" i="3"/>
  <c r="I99" i="3"/>
  <c r="I44" i="3"/>
  <c r="I56" i="3"/>
  <c r="I64" i="3"/>
  <c r="I72" i="3"/>
  <c r="I80" i="3"/>
  <c r="I88" i="3"/>
  <c r="I96" i="3"/>
  <c r="I54" i="1"/>
  <c r="I87" i="1"/>
  <c r="I47" i="1"/>
  <c r="I35" i="1"/>
  <c r="I65" i="1"/>
  <c r="I66" i="1"/>
  <c r="I48" i="1"/>
  <c r="I84" i="1"/>
  <c r="I10" i="1"/>
  <c r="I104" i="1"/>
  <c r="I76" i="1"/>
  <c r="I38" i="1"/>
  <c r="I28" i="1"/>
  <c r="I19" i="1"/>
  <c r="I33" i="1"/>
  <c r="I45" i="1"/>
  <c r="I24" i="1"/>
  <c r="I55" i="1"/>
  <c r="I41" i="1"/>
  <c r="I20" i="1"/>
  <c r="I51" i="1"/>
  <c r="I17" i="1"/>
  <c r="I27" i="1"/>
  <c r="I4" i="1"/>
  <c r="I69" i="1"/>
  <c r="I34" i="1"/>
  <c r="I78" i="1"/>
  <c r="I103" i="1"/>
  <c r="I90" i="1"/>
  <c r="I6" i="1"/>
  <c r="I68" i="1"/>
  <c r="I21" i="1"/>
  <c r="I77" i="1"/>
  <c r="I30" i="1"/>
  <c r="I52" i="1"/>
  <c r="I74" i="1"/>
  <c r="I86" i="1"/>
  <c r="I15" i="1"/>
  <c r="I100" i="1"/>
  <c r="I64" i="1"/>
  <c r="I8" i="1"/>
  <c r="I46" i="1"/>
  <c r="I94" i="1"/>
  <c r="I61" i="1"/>
  <c r="I70" i="1"/>
  <c r="I98" i="1"/>
  <c r="I56" i="1"/>
  <c r="I96" i="1"/>
  <c r="I67" i="1"/>
  <c r="I23" i="1"/>
  <c r="I37" i="1"/>
  <c r="I62" i="1"/>
  <c r="I88" i="1"/>
  <c r="I5" i="1"/>
  <c r="I2" i="1"/>
  <c r="I53" i="1"/>
  <c r="I13" i="1"/>
  <c r="I49" i="1"/>
  <c r="I60" i="1"/>
  <c r="I79" i="1"/>
  <c r="I82" i="1"/>
  <c r="I14" i="1"/>
  <c r="I50" i="1"/>
  <c r="I85" i="1"/>
  <c r="I89" i="1"/>
  <c r="I83" i="1"/>
  <c r="I63" i="1"/>
  <c r="I101" i="1"/>
  <c r="I22" i="1"/>
  <c r="I58" i="1"/>
  <c r="I7" i="1"/>
  <c r="I25" i="1"/>
  <c r="I18" i="1"/>
  <c r="I12" i="1"/>
  <c r="I71" i="1"/>
  <c r="I44" i="1"/>
  <c r="I99" i="1"/>
  <c r="I93" i="1"/>
  <c r="I97" i="1"/>
  <c r="I26" i="1"/>
  <c r="I36" i="1"/>
  <c r="I80" i="1"/>
  <c r="I57" i="1"/>
  <c r="I31" i="1"/>
  <c r="I95" i="1"/>
  <c r="I91" i="1"/>
  <c r="I42" i="1"/>
  <c r="I3" i="1"/>
  <c r="I81" i="1"/>
  <c r="I32" i="1"/>
  <c r="I43" i="1"/>
  <c r="I102" i="1"/>
  <c r="I39" i="1"/>
  <c r="I40" i="1"/>
  <c r="I73" i="1"/>
  <c r="I72" i="1"/>
  <c r="I16" i="1"/>
  <c r="I29" i="1"/>
  <c r="I9" i="1"/>
  <c r="I75" i="1"/>
  <c r="AW41" i="3" l="1"/>
  <c r="AV68" i="3"/>
  <c r="AW62" i="3"/>
  <c r="AW59" i="3"/>
  <c r="AW48" i="3"/>
  <c r="AV87" i="3"/>
  <c r="AV60" i="3"/>
  <c r="AV73" i="3"/>
  <c r="AW57" i="3"/>
  <c r="AW10" i="3"/>
  <c r="AV25" i="3"/>
  <c r="AW68" i="3"/>
  <c r="AV7" i="3"/>
  <c r="AV10" i="3"/>
  <c r="AV101" i="3"/>
  <c r="AW81" i="3"/>
  <c r="AW60" i="3"/>
  <c r="AV89" i="3"/>
  <c r="AV95" i="3"/>
  <c r="AW25" i="3"/>
  <c r="AW67" i="3"/>
  <c r="AV20" i="3"/>
  <c r="AV47" i="3"/>
  <c r="AW101" i="3"/>
  <c r="AV19" i="3"/>
  <c r="AV67" i="3"/>
  <c r="AV49" i="3"/>
  <c r="AW93" i="3"/>
  <c r="AW33" i="3"/>
  <c r="AW14" i="3"/>
  <c r="AV76" i="3"/>
  <c r="AW7" i="3"/>
  <c r="AV33" i="3"/>
  <c r="AV27" i="3"/>
  <c r="AV99" i="3"/>
  <c r="AV11" i="3"/>
  <c r="AW90" i="3"/>
  <c r="AV81" i="3"/>
  <c r="AV75" i="3"/>
  <c r="AW26" i="3"/>
  <c r="AV52" i="3"/>
  <c r="AW84" i="3"/>
  <c r="AV31" i="3"/>
  <c r="AW20" i="3"/>
  <c r="AV39" i="3"/>
  <c r="AW65" i="3"/>
  <c r="AW75" i="3"/>
  <c r="AW16" i="3"/>
  <c r="AW51" i="3"/>
  <c r="AV83" i="3"/>
  <c r="AV28" i="3"/>
  <c r="AV91" i="3"/>
  <c r="AV58" i="3"/>
  <c r="AW42" i="3"/>
  <c r="AW11" i="3"/>
  <c r="AW83" i="3"/>
  <c r="AW39" i="3"/>
  <c r="AV35" i="3"/>
  <c r="AW86" i="3"/>
  <c r="AW19" i="3"/>
  <c r="AW35" i="3"/>
  <c r="AW54" i="3"/>
  <c r="AW12" i="3"/>
  <c r="AV42" i="3"/>
  <c r="AW78" i="3"/>
  <c r="AW40" i="3"/>
  <c r="AV23" i="3"/>
  <c r="AV18" i="3"/>
  <c r="AW100" i="3"/>
  <c r="AW36" i="3"/>
  <c r="AW80" i="3"/>
  <c r="AW3" i="3"/>
  <c r="AV36" i="3"/>
  <c r="AV103" i="3"/>
  <c r="AW89" i="3"/>
  <c r="AV100" i="3"/>
  <c r="AV86" i="3"/>
  <c r="AV98" i="3"/>
  <c r="AV92" i="3"/>
  <c r="AV12" i="3"/>
  <c r="AW56" i="3"/>
  <c r="AW18" i="3"/>
  <c r="AV88" i="3"/>
  <c r="AW98" i="3"/>
  <c r="AV94" i="3"/>
  <c r="AW64" i="3"/>
  <c r="AW44" i="3"/>
  <c r="AW52" i="3"/>
  <c r="AV102" i="3"/>
  <c r="AW28" i="3"/>
  <c r="AW72" i="3"/>
  <c r="AV16" i="3"/>
  <c r="AW76" i="3"/>
  <c r="AV26" i="3"/>
  <c r="AW91" i="3"/>
  <c r="AW8" i="3"/>
  <c r="AV84" i="3"/>
  <c r="AW104" i="3"/>
  <c r="AW50" i="3"/>
  <c r="AW82" i="3"/>
  <c r="AW23" i="3"/>
  <c r="AW71" i="3"/>
  <c r="AW92" i="3"/>
  <c r="AW70" i="3"/>
  <c r="AV74" i="3"/>
  <c r="AV79" i="3"/>
  <c r="AV64" i="3"/>
  <c r="AV66" i="3"/>
  <c r="AV3" i="3"/>
  <c r="AV72" i="3"/>
  <c r="AW66" i="3"/>
  <c r="AV54" i="3"/>
  <c r="AW88" i="3"/>
  <c r="AV63" i="3"/>
  <c r="AV82" i="3"/>
  <c r="AV80" i="3"/>
  <c r="AW55" i="3"/>
  <c r="AV44" i="3"/>
  <c r="AW15" i="3"/>
  <c r="AV62" i="3"/>
  <c r="AV59" i="3"/>
  <c r="AV8" i="3"/>
  <c r="AW24" i="3"/>
  <c r="AV32" i="3"/>
  <c r="AW73" i="3"/>
  <c r="AV15" i="3"/>
  <c r="AW34" i="3"/>
  <c r="AW63" i="3"/>
  <c r="AW95" i="3"/>
  <c r="AV71" i="3"/>
  <c r="AW49" i="3"/>
  <c r="AV34" i="3"/>
  <c r="AV70" i="3"/>
  <c r="AV57" i="3"/>
  <c r="AW74" i="3"/>
  <c r="AV50" i="3"/>
  <c r="AV56" i="3"/>
  <c r="AW58" i="3"/>
  <c r="AV78" i="3"/>
  <c r="AW96" i="3"/>
  <c r="AV65" i="3"/>
  <c r="AV97" i="3"/>
  <c r="AW2" i="3"/>
  <c r="AW47" i="3"/>
  <c r="AV104" i="3"/>
  <c r="AV40" i="3"/>
  <c r="AV48" i="3"/>
  <c r="AW103" i="3"/>
  <c r="AW79" i="3"/>
  <c r="AW97" i="3"/>
  <c r="AV2" i="3"/>
  <c r="AV24" i="3"/>
  <c r="AW32" i="3"/>
  <c r="AW87" i="3"/>
</calcChain>
</file>

<file path=xl/sharedStrings.xml><?xml version="1.0" encoding="utf-8"?>
<sst xmlns="http://schemas.openxmlformats.org/spreadsheetml/2006/main" count="1442" uniqueCount="366">
  <si>
    <t>Name</t>
  </si>
  <si>
    <t>Formula</t>
  </si>
  <si>
    <t>Annot. DeltaMass [ppm]</t>
  </si>
  <si>
    <t>Calc. MW</t>
  </si>
  <si>
    <t>RT [min]</t>
  </si>
  <si>
    <t>mzVault Best Match</t>
  </si>
  <si>
    <t>W-D2-3</t>
  </si>
  <si>
    <t>W-D2-2</t>
  </si>
  <si>
    <t>W-D2-1</t>
  </si>
  <si>
    <t>W-I2-3</t>
  </si>
  <si>
    <t>W-I2-2</t>
  </si>
  <si>
    <t>W-I2-1</t>
  </si>
  <si>
    <t>W-Y2-3</t>
  </si>
  <si>
    <t>W-Y2-2</t>
  </si>
  <si>
    <t>W-Y2-1</t>
  </si>
  <si>
    <t>W-OP5-D3</t>
  </si>
  <si>
    <t>W-OP5-D2</t>
  </si>
  <si>
    <t>W-OP5-D1</t>
  </si>
  <si>
    <t>W-OP5-I3</t>
  </si>
  <si>
    <t>W-OP5-I2</t>
  </si>
  <si>
    <t>W-OP5-I1</t>
  </si>
  <si>
    <t>W-QC6</t>
  </si>
  <si>
    <t>W-QC5</t>
  </si>
  <si>
    <t>W-QC4</t>
  </si>
  <si>
    <t>W-QC3</t>
  </si>
  <si>
    <t>W-QC2</t>
  </si>
  <si>
    <t>W-QC1</t>
  </si>
  <si>
    <t>α-Linolenoyl ethanolamide</t>
  </si>
  <si>
    <t>C20 H35 N O2</t>
  </si>
  <si>
    <t>Xylenesulfonate</t>
  </si>
  <si>
    <t>C8 H10 O3 S</t>
  </si>
  <si>
    <t>Urocanic acid</t>
  </si>
  <si>
    <t>C6 H6 N2 O2</t>
  </si>
  <si>
    <t>Triphenyl phosphate</t>
  </si>
  <si>
    <t>C18 H15 O4 P</t>
  </si>
  <si>
    <t>Trimethoprim</t>
  </si>
  <si>
    <t>C14 H18 N4 O3</t>
  </si>
  <si>
    <t>Triisopropanolamine</t>
  </si>
  <si>
    <t>C9 H21 N O3</t>
  </si>
  <si>
    <t>Triethanolamine</t>
  </si>
  <si>
    <t>C6 H15 N O3</t>
  </si>
  <si>
    <t>Tridemorph</t>
  </si>
  <si>
    <t>C19 H39 N O</t>
  </si>
  <si>
    <t>Tributylamine</t>
  </si>
  <si>
    <t>C12 H27 N</t>
  </si>
  <si>
    <t>trans-3-Hexenoic acid</t>
  </si>
  <si>
    <t>C6 H10 O2</t>
  </si>
  <si>
    <t>trans,trans-2,4-Heptadienal</t>
  </si>
  <si>
    <t>C7 H10 O</t>
  </si>
  <si>
    <t>Tetraglyme</t>
  </si>
  <si>
    <t>C10 H22 O5</t>
  </si>
  <si>
    <t>Salicylamide</t>
  </si>
  <si>
    <t>C7 H7 N O2</t>
  </si>
  <si>
    <t>R-Palmitoyl-(2-methyl) ethanolamide</t>
  </si>
  <si>
    <t>C19 H39 N O2</t>
  </si>
  <si>
    <t>Quinazoline-2,4-diol</t>
  </si>
  <si>
    <t>C8 H6 N2 O2</t>
  </si>
  <si>
    <t>Propylene thiourea</t>
  </si>
  <si>
    <t>C4 H8 N2 S</t>
  </si>
  <si>
    <t>Phosphoric acid</t>
  </si>
  <si>
    <t>H3 O4 P</t>
  </si>
  <si>
    <t>Parabanic acid</t>
  </si>
  <si>
    <t>C3 H2 N2 O3</t>
  </si>
  <si>
    <t>Panthenol</t>
  </si>
  <si>
    <t>C9 H19 N O4</t>
  </si>
  <si>
    <t>N-Vinyl-2-pyrrolidone</t>
  </si>
  <si>
    <t>C6 H9 N O</t>
  </si>
  <si>
    <t>Nobiletin</t>
  </si>
  <si>
    <t>C21 H22 O8</t>
  </si>
  <si>
    <t>N-Methyl-2-pyrrolidone</t>
  </si>
  <si>
    <t>C5 H9 N O</t>
  </si>
  <si>
    <t>Nipecotic acid</t>
  </si>
  <si>
    <t>C6 H11 N O2</t>
  </si>
  <si>
    <r>
      <rPr>
        <sz val="11"/>
        <color rgb="FF000000"/>
        <rFont val="Calibri"/>
        <family val="2"/>
      </rPr>
      <t>Nimodipine</t>
    </r>
    <r>
      <rPr>
        <sz val="11"/>
        <color rgb="FF000000"/>
        <rFont val="宋体"/>
        <charset val="134"/>
      </rPr>
      <t>（内标）</t>
    </r>
  </si>
  <si>
    <t>C21 H26 N2 O7</t>
  </si>
  <si>
    <t>Nicotine</t>
  </si>
  <si>
    <t>C10 H14 N2</t>
  </si>
  <si>
    <t>N-Ethyl-N-methylcathinone</t>
  </si>
  <si>
    <t>C12 H17 N O</t>
  </si>
  <si>
    <t>N-Cyclohexylformamide</t>
  </si>
  <si>
    <t>C7 H13 N O</t>
  </si>
  <si>
    <t>N6-Methyladenine</t>
  </si>
  <si>
    <t>C6 H7 N5</t>
  </si>
  <si>
    <t>N,N'-Diphenylguanidine</t>
  </si>
  <si>
    <t>C13 H13 N3</t>
  </si>
  <si>
    <t>N,N-Dimethyldecylamine N-oxide</t>
  </si>
  <si>
    <t>C12 H27 N O</t>
  </si>
  <si>
    <t>Myristyl sulfate</t>
  </si>
  <si>
    <t>C14 H30 O4 S</t>
  </si>
  <si>
    <t>Methanesulfonic acid</t>
  </si>
  <si>
    <t>C H4 O3 S</t>
  </si>
  <si>
    <t>L-(+)-Tartaric acid</t>
  </si>
  <si>
    <t>C4 H6 O6</t>
  </si>
  <si>
    <t>Jasmonic acid</t>
  </si>
  <si>
    <t>C12 H18 O3</t>
  </si>
  <si>
    <t>Isophthalic acid</t>
  </si>
  <si>
    <t>C8 H6 O4</t>
  </si>
  <si>
    <t>Isoleucine</t>
  </si>
  <si>
    <t>C6 H13 N O2</t>
  </si>
  <si>
    <t>Isocitric acid</t>
  </si>
  <si>
    <t>C6 H8 O7</t>
  </si>
  <si>
    <t>Indole-3-acetic acid</t>
  </si>
  <si>
    <t>C10 H9 N O2</t>
  </si>
  <si>
    <t>Indole</t>
  </si>
  <si>
    <t>C8 H7 N</t>
  </si>
  <si>
    <t>Hexadecanamide</t>
  </si>
  <si>
    <t>C16 H33 N O</t>
  </si>
  <si>
    <t>Guanine</t>
  </si>
  <si>
    <t>C5 H5 N5 O</t>
  </si>
  <si>
    <t>Eugenol</t>
  </si>
  <si>
    <t>C10 H12 O2</t>
  </si>
  <si>
    <t>Erucamide</t>
  </si>
  <si>
    <t>C22 H43 N O</t>
  </si>
  <si>
    <t>Dodecylamine</t>
  </si>
  <si>
    <t>Dodecyl sulfate</t>
  </si>
  <si>
    <t>C12 H26 O4 S</t>
  </si>
  <si>
    <t>Docosatrienoic acid</t>
  </si>
  <si>
    <t>C22 H38 O2</t>
  </si>
  <si>
    <t>Docosanamide</t>
  </si>
  <si>
    <t>C22 H45 N O</t>
  </si>
  <si>
    <t>DL-Stachydrine</t>
  </si>
  <si>
    <t>C7 H13 N O2</t>
  </si>
  <si>
    <t>DL-Lactic Acid</t>
  </si>
  <si>
    <t>C3 H6 O3</t>
  </si>
  <si>
    <t>Dimethyl sulfoxide</t>
  </si>
  <si>
    <t>C2 H6 O S</t>
  </si>
  <si>
    <t>Diethanolamine</t>
  </si>
  <si>
    <t>C4 H11 N O2</t>
  </si>
  <si>
    <t>D-Erythro-sphinganine</t>
  </si>
  <si>
    <t>C18 H39 N O2</t>
  </si>
  <si>
    <t>Decanamide</t>
  </si>
  <si>
    <t>C10 H21 N O</t>
  </si>
  <si>
    <t>D-(-)-Mannitol</t>
  </si>
  <si>
    <t>C6 H14 O6</t>
  </si>
  <si>
    <t>Cytosine</t>
  </si>
  <si>
    <t>C4 H5 N3 O</t>
  </si>
  <si>
    <t>Cyclohexylamine</t>
  </si>
  <si>
    <t>C6 H13 N</t>
  </si>
  <si>
    <t>Coniine</t>
  </si>
  <si>
    <t>C8 H17 N</t>
  </si>
  <si>
    <t>Caprolactam</t>
  </si>
  <si>
    <t>C6 H11 N O</t>
  </si>
  <si>
    <t>Betaine</t>
  </si>
  <si>
    <t>C5 H11 N O2</t>
  </si>
  <si>
    <t>Avocadyne 1-acetate</t>
  </si>
  <si>
    <t>C19 H34 O4</t>
  </si>
  <si>
    <t>Arachidonic acid ethyl ester</t>
  </si>
  <si>
    <t>C22 H36 O2</t>
  </si>
  <si>
    <t>Allopurinol</t>
  </si>
  <si>
    <t>C5 H4 N4 O</t>
  </si>
  <si>
    <t>Adenosine</t>
  </si>
  <si>
    <t>C10 H13 N5 O4</t>
  </si>
  <si>
    <t>Adenine</t>
  </si>
  <si>
    <t>C5 H5 N5</t>
  </si>
  <si>
    <t>9S,13R-12-Oxophytodienoic acid</t>
  </si>
  <si>
    <t>C18 H28 O3</t>
  </si>
  <si>
    <t>8Z,11Z,14Z-Eicosatrienoic acid</t>
  </si>
  <si>
    <t>C20 H34 O2</t>
  </si>
  <si>
    <t>7-Methylguanine</t>
  </si>
  <si>
    <t>C6 H7 N5 O</t>
  </si>
  <si>
    <t>6-Methoxyquinoline</t>
  </si>
  <si>
    <t>C10 H9 N O</t>
  </si>
  <si>
    <t>6-Aminocaproic acid</t>
  </si>
  <si>
    <t>5-Amino-2-methylphenol</t>
  </si>
  <si>
    <t>C7 H9 N O</t>
  </si>
  <si>
    <t>5,6-Dimethylbenzimidazole</t>
  </si>
  <si>
    <t>C9 H10 N2</t>
  </si>
  <si>
    <t>4-Phenolsulfonic acid</t>
  </si>
  <si>
    <t>C6 H6 O4 S</t>
  </si>
  <si>
    <t>4-Nitrophenol</t>
  </si>
  <si>
    <t>C6 H5 N O3</t>
  </si>
  <si>
    <t>4-Hydroxybenzoic acid</t>
  </si>
  <si>
    <t>C7 H6 O3</t>
  </si>
  <si>
    <t>4-Hydroxybenzaldehyde</t>
  </si>
  <si>
    <t>C7 H6 O2</t>
  </si>
  <si>
    <t>4-Dodecylbenzenesulfonic acid</t>
  </si>
  <si>
    <t>C18 H30 O3 S</t>
  </si>
  <si>
    <t>4-Dimethylaminocinnamaldehyde</t>
  </si>
  <si>
    <t>C11 H13 N O</t>
  </si>
  <si>
    <t>4-Cyanoindole</t>
  </si>
  <si>
    <t>C9 H6 N2</t>
  </si>
  <si>
    <t>3,4-Dihydroxyphenylpropionic acid</t>
  </si>
  <si>
    <t>C9 H10 O4</t>
  </si>
  <si>
    <t>3,3,5,5-Tetramethylpyrroline-N-oxide</t>
  </si>
  <si>
    <t>C8 H15 N O</t>
  </si>
  <si>
    <t>3,14-dihydro-15-keto-tetranor Prostaglandin E2</t>
  </si>
  <si>
    <t>C16 H26 O5</t>
  </si>
  <si>
    <t>2-Thiocytidine</t>
  </si>
  <si>
    <t>C9 H13 N3 O4 S</t>
  </si>
  <si>
    <t>2-Naphthalenesulfonic acid</t>
  </si>
  <si>
    <t>C10 H8 O3 S</t>
  </si>
  <si>
    <t>2-Methylnicotinamide</t>
  </si>
  <si>
    <t>C7 H8 N2 O</t>
  </si>
  <si>
    <t>2-Hydroxyquinoline</t>
  </si>
  <si>
    <t>C9 H7 N O</t>
  </si>
  <si>
    <t>2-Hydroxybenzothiazole</t>
  </si>
  <si>
    <t>C7 H5 N O S</t>
  </si>
  <si>
    <t>2'-Deoxyadenosine</t>
  </si>
  <si>
    <t>C10 H13 N5 O3</t>
  </si>
  <si>
    <t>2-Amino-4-methylpyrimidine</t>
  </si>
  <si>
    <t>C5 H7 N3</t>
  </si>
  <si>
    <t>2-Acetylpyridine</t>
  </si>
  <si>
    <t>C7 H7 N O</t>
  </si>
  <si>
    <t>2,6-Xylidine</t>
  </si>
  <si>
    <t>C8 H11 N</t>
  </si>
  <si>
    <t>2,5-di-tert-Butylhydroquinone</t>
  </si>
  <si>
    <t>C14 H22 O2</t>
  </si>
  <si>
    <t>2,4,5-Trimethylaniline</t>
  </si>
  <si>
    <t>C9 H13 N</t>
  </si>
  <si>
    <t>2,2,6,6-Tetramethyl-4-piperidinol</t>
  </si>
  <si>
    <t>C9 H19 N O</t>
  </si>
  <si>
    <t>1-Tetradecylamine</t>
  </si>
  <si>
    <t>C14 H31 N</t>
  </si>
  <si>
    <t>1-Methyladenine</t>
  </si>
  <si>
    <t>1-Aminocyclohexanecarboxylic Acid</t>
  </si>
  <si>
    <t>12-Aminododecanoic acid</t>
  </si>
  <si>
    <t>C12 H25 N O2</t>
  </si>
  <si>
    <t>1,8-Diazabicyclo [5.4.0]undec-7-ene</t>
  </si>
  <si>
    <t>C9 H16 N2</t>
  </si>
  <si>
    <t>1,3-Phenylenediamine</t>
  </si>
  <si>
    <t>C6 H8 N2</t>
  </si>
  <si>
    <t>1,3-Divinyl-2-imidazolidinone</t>
  </si>
  <si>
    <t>C7 H10 N2 O</t>
  </si>
  <si>
    <t>1,2-Dipalmitoylphosphatidylglycerol</t>
  </si>
  <si>
    <t>C38 H75 O10 P</t>
  </si>
  <si>
    <t>1,2,3,4-Tetramethyl-1,3-cyclopentadiene</t>
  </si>
  <si>
    <t>C9 H14</t>
  </si>
  <si>
    <t>(S)-Nicotine</t>
  </si>
  <si>
    <t>Label</t>
  </si>
  <si>
    <t>Group</t>
  </si>
  <si>
    <t>D</t>
  </si>
  <si>
    <t>I</t>
  </si>
  <si>
    <t>Y</t>
  </si>
  <si>
    <t>OP5-D</t>
  </si>
  <si>
    <t>OP5-I</t>
  </si>
  <si>
    <t>Area (Max.)</t>
  </si>
  <si>
    <t>Area (Aver.)</t>
  </si>
  <si>
    <t>Area.Norm (Aver.)</t>
  </si>
  <si>
    <t>Area.Norm (Max.)</t>
  </si>
  <si>
    <t>己内酰胺</t>
  </si>
  <si>
    <t>D-促红细胞生成素</t>
  </si>
  <si>
    <t>三异丙醇胺</t>
  </si>
  <si>
    <t>二甲亚砜</t>
  </si>
  <si>
    <t>尼莫地平（内标）</t>
  </si>
  <si>
    <t>哌啶酸</t>
  </si>
  <si>
    <t>1,8-重氮杂环[5.4.0]十一碳-7-烯</t>
  </si>
  <si>
    <t>4-十二烷基苯磺酸</t>
  </si>
  <si>
    <t>三乙醇胺</t>
  </si>
  <si>
    <t>N、 N-二甲基癸胺N-氧化物</t>
  </si>
  <si>
    <t>毒芹碱</t>
  </si>
  <si>
    <t>12-氨基十二烷酸</t>
  </si>
  <si>
    <t>1-十四胺</t>
  </si>
  <si>
    <t>二十二碳三烯酸</t>
  </si>
  <si>
    <t>4-氰基吲哚</t>
  </si>
  <si>
    <t>甜菜碱</t>
  </si>
  <si>
    <t>十二烷基硫酸钠</t>
  </si>
  <si>
    <t>2,5-二叔丁基对苯二酚</t>
  </si>
  <si>
    <t>环己胺</t>
  </si>
  <si>
    <t>二乙醇胺</t>
  </si>
  <si>
    <t>十二胺</t>
  </si>
  <si>
    <t>磷酸三苯酯</t>
  </si>
  <si>
    <t>腺嘌呤</t>
  </si>
  <si>
    <t>三丁胺</t>
  </si>
  <si>
    <t>N-甲基-2-吡咯烷酮</t>
  </si>
  <si>
    <t>（S） -尼古丁</t>
  </si>
  <si>
    <t>4-苯酚磺酸</t>
  </si>
  <si>
    <t>N-乙基-N-甲基卡西酮</t>
  </si>
  <si>
    <t>胞嘧啶</t>
  </si>
  <si>
    <t>4-硝基苯酚</t>
  </si>
  <si>
    <t>5,6-二甲基苯并咪唑</t>
  </si>
  <si>
    <t>二十二酰胺</t>
  </si>
  <si>
    <t>2,2,6,6-四甲基-4-哌啶醇</t>
  </si>
  <si>
    <t>6-氨基己酸</t>
  </si>
  <si>
    <t>硫酸肉豆蔻酯</t>
  </si>
  <si>
    <t>十六烷酰胺</t>
  </si>
  <si>
    <t>4-羟基苯甲醛</t>
  </si>
  <si>
    <t>磷酸</t>
  </si>
  <si>
    <t>吲哚</t>
  </si>
  <si>
    <t>2-氨基-4-甲基嘧啶</t>
  </si>
  <si>
    <t>甲氧苄啶</t>
  </si>
  <si>
    <t>2-羟基喹啉</t>
  </si>
  <si>
    <t>N、 N'-二苯基胍</t>
  </si>
  <si>
    <t>异柠檬酸</t>
  </si>
  <si>
    <t>2-羟基苯并噻唑</t>
  </si>
  <si>
    <t>花生四烯酸乙酯</t>
  </si>
  <si>
    <t>丙烯硫脲</t>
  </si>
  <si>
    <t>3,14-二氢-15-酮-前列腺素E2</t>
  </si>
  <si>
    <t>间苯二甲酸</t>
  </si>
  <si>
    <t>1,3-二乙烯基-2-咪唑啉酮</t>
  </si>
  <si>
    <t>N-乙烯基-2-吡咯烷酮</t>
  </si>
  <si>
    <t>2'-脱氧腺苷</t>
  </si>
  <si>
    <t>尿刊酸</t>
  </si>
  <si>
    <t>5-氨基-2-甲基苯酚</t>
  </si>
  <si>
    <t>川陈皮素</t>
  </si>
  <si>
    <t>1-氨基环己烷羧酸</t>
  </si>
  <si>
    <t>2,4,5-三甲基苯胺</t>
  </si>
  <si>
    <t>甲基磺酸</t>
  </si>
  <si>
    <t>四乙二醇二甲醚</t>
  </si>
  <si>
    <t>N6甲基腺嘌呤</t>
  </si>
  <si>
    <t>异亮氨酸</t>
  </si>
  <si>
    <t>吲哚-3-乙酸</t>
  </si>
  <si>
    <t>1,3-苯二胺</t>
  </si>
  <si>
    <t>8Z、11Z、14Z二十碳三烯酸</t>
  </si>
  <si>
    <t>茉莉酸</t>
  </si>
  <si>
    <t>DL-乳酸</t>
  </si>
  <si>
    <t>鸟嘌呤</t>
  </si>
  <si>
    <t>2-萘磺酸</t>
  </si>
  <si>
    <t>1,2,3,4-四甲基-1,3-环戊二烯</t>
  </si>
  <si>
    <t>反式-2,4-庚二烯醛</t>
  </si>
  <si>
    <t>N-环己基甲酰胺</t>
  </si>
  <si>
    <t>2,6-二甲基苯胺</t>
  </si>
  <si>
    <t>2-乙酰吡啶</t>
  </si>
  <si>
    <t>芥酸酰胺</t>
  </si>
  <si>
    <t>α-亚麻酰基乙醇酰胺</t>
  </si>
  <si>
    <t>6-甲氧基喹啉</t>
  </si>
  <si>
    <t>十酰胺</t>
  </si>
  <si>
    <t>腺苷</t>
  </si>
  <si>
    <t>4-羟基苯甲酸</t>
  </si>
  <si>
    <t>泛醇</t>
  </si>
  <si>
    <t>1-甲基腺嘌呤</t>
  </si>
  <si>
    <t>R-棕榈酰-（2-甲基）乙醇酰胺</t>
  </si>
  <si>
    <t>丁香酚</t>
  </si>
  <si>
    <t>4-二甲基氨基肉桂醛</t>
  </si>
  <si>
    <t>9S，13R-12-氧代二烯酸</t>
  </si>
  <si>
    <t>克啉菌</t>
  </si>
  <si>
    <t>3,3,5,5-四甲基吡咯啉-N-氧化物</t>
  </si>
  <si>
    <t>反式-3-己烯酸</t>
  </si>
  <si>
    <t>D-（-）-甘露醇</t>
  </si>
  <si>
    <t>二甲苯磺酸盐</t>
  </si>
  <si>
    <t>喹唑啉-2,4-二醇</t>
  </si>
  <si>
    <t>1,2-二棕榈酰磷脂酰甘油</t>
  </si>
  <si>
    <t>尼古丁</t>
  </si>
  <si>
    <t>DL-水苏碱</t>
  </si>
  <si>
    <t>黄嘌呤氧化酶抑制剂</t>
  </si>
  <si>
    <t>对羟基苯甲酸</t>
  </si>
  <si>
    <t>水杨酰胺</t>
  </si>
  <si>
    <t>2-硫胞苷</t>
  </si>
  <si>
    <t>2-甲基烟酰胺</t>
  </si>
  <si>
    <t>L-（+）-酒石酸</t>
  </si>
  <si>
    <t>7-甲基鸟嘌呤</t>
  </si>
  <si>
    <t>1-乙酸Avocadyne</t>
  </si>
  <si>
    <t>3,4-二羟基苯丙酸</t>
  </si>
  <si>
    <t>Relative Area/Abundance</t>
  </si>
  <si>
    <t>Percentage</t>
  </si>
  <si>
    <t>Average</t>
  </si>
  <si>
    <t>Dark</t>
  </si>
  <si>
    <t>IR</t>
  </si>
  <si>
    <t>Yellow</t>
  </si>
  <si>
    <t>IR/D</t>
  </si>
  <si>
    <t>Y/D</t>
  </si>
  <si>
    <t>IRtoDark</t>
  </si>
  <si>
    <t>OP5-Dark</t>
  </si>
  <si>
    <t>OP5-IR</t>
  </si>
  <si>
    <t>OP5-IRtoDARK</t>
  </si>
  <si>
    <t>Dark3</t>
  </si>
  <si>
    <t>Dark2</t>
  </si>
  <si>
    <t>Dark1</t>
  </si>
  <si>
    <t>IR3</t>
  </si>
  <si>
    <t>IR2</t>
  </si>
  <si>
    <t>IR1</t>
  </si>
  <si>
    <t>Mean_Dark3</t>
  </si>
  <si>
    <t>Mean_Dark1</t>
  </si>
  <si>
    <t>Mean_Dark2</t>
  </si>
  <si>
    <t>Mean_IR1</t>
  </si>
  <si>
    <t>Mean_IR2</t>
  </si>
  <si>
    <t>Mean_IR3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</si>
</sst>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A7CD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/>
    <xf numFmtId="11" fontId="5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1" fontId="5" fillId="0" borderId="0" xfId="0" applyNumberFormat="1" applyFont="1"/>
    <xf numFmtId="2" fontId="5" fillId="0" borderId="0" xfId="0" applyNumberFormat="1" applyFont="1"/>
    <xf numFmtId="11" fontId="5" fillId="4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11" fontId="5" fillId="4" borderId="0" xfId="0" applyNumberFormat="1" applyFont="1" applyFill="1"/>
    <xf numFmtId="2" fontId="5" fillId="4" borderId="0" xfId="0" applyNumberFormat="1" applyFont="1" applyFill="1"/>
    <xf numFmtId="0" fontId="0" fillId="5" borderId="1" xfId="0" applyFill="1" applyBorder="1" applyAlignment="1">
      <alignment horizontal="center" vertical="center"/>
    </xf>
    <xf numFmtId="11" fontId="5" fillId="5" borderId="0" xfId="0" applyNumberFormat="1" applyFont="1" applyFill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11" fontId="5" fillId="5" borderId="0" xfId="0" applyNumberFormat="1" applyFont="1" applyFill="1"/>
    <xf numFmtId="2" fontId="5" fillId="5" borderId="0" xfId="0" applyNumberFormat="1" applyFont="1" applyFill="1"/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1" fontId="5" fillId="6" borderId="0" xfId="0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1" fontId="3" fillId="4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1" fontId="7" fillId="4" borderId="0" xfId="0" applyNumberFormat="1" applyFont="1" applyFill="1" applyAlignment="1">
      <alignment horizontal="center" vertical="center"/>
    </xf>
    <xf numFmtId="2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6" fillId="0" borderId="2" xfId="0" applyFont="1" applyBorder="1"/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1" fontId="5" fillId="0" borderId="2" xfId="0" applyNumberFormat="1" applyFont="1" applyBorder="1"/>
    <xf numFmtId="2" fontId="5" fillId="0" borderId="2" xfId="0" applyNumberFormat="1" applyFont="1" applyBorder="1"/>
    <xf numFmtId="0" fontId="3" fillId="4" borderId="2" xfId="0" applyFont="1" applyFill="1" applyBorder="1" applyAlignment="1">
      <alignment horizontal="center" vertical="center"/>
    </xf>
    <xf numFmtId="11" fontId="3" fillId="4" borderId="2" xfId="0" applyNumberFormat="1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11" fontId="3" fillId="4" borderId="2" xfId="0" applyNumberFormat="1" applyFont="1" applyFill="1" applyBorder="1"/>
    <xf numFmtId="2" fontId="3" fillId="4" borderId="2" xfId="0" applyNumberFormat="1" applyFont="1" applyFill="1" applyBorder="1"/>
    <xf numFmtId="0" fontId="3" fillId="4" borderId="2" xfId="0" applyFont="1" applyFill="1" applyBorder="1"/>
    <xf numFmtId="0" fontId="6" fillId="4" borderId="2" xfId="0" applyFont="1" applyFill="1" applyBorder="1" applyAlignment="1">
      <alignment horizontal="center" vertical="center"/>
    </xf>
    <xf numFmtId="11" fontId="6" fillId="4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11" fontId="6" fillId="4" borderId="2" xfId="0" applyNumberFormat="1" applyFont="1" applyFill="1" applyBorder="1"/>
    <xf numFmtId="2" fontId="6" fillId="4" borderId="2" xfId="0" applyNumberFormat="1" applyFont="1" applyFill="1" applyBorder="1"/>
    <xf numFmtId="0" fontId="6" fillId="4" borderId="2" xfId="0" applyFont="1" applyFill="1" applyBorder="1"/>
    <xf numFmtId="0" fontId="0" fillId="4" borderId="2" xfId="0" applyFill="1" applyBorder="1" applyAlignment="1">
      <alignment horizontal="center" vertical="center"/>
    </xf>
    <xf numFmtId="11" fontId="5" fillId="4" borderId="2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11" fontId="5" fillId="4" borderId="2" xfId="0" applyNumberFormat="1" applyFont="1" applyFill="1" applyBorder="1"/>
    <xf numFmtId="2" fontId="5" fillId="4" borderId="2" xfId="0" applyNumberFormat="1" applyFont="1" applyFill="1" applyBorder="1"/>
    <xf numFmtId="0" fontId="0" fillId="4" borderId="2" xfId="0" applyFill="1" applyBorder="1"/>
  </cellXfs>
  <cellStyles count="1">
    <cellStyle name="Normal" xfId="0" builtinId="0"/>
  </cellStyles>
  <dxfs count="8"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0A56-12C4-0541-B273-8EE96888363C}">
  <dimension ref="A1:BM21"/>
  <sheetViews>
    <sheetView workbookViewId="0">
      <selection activeCell="B24" sqref="B24"/>
    </sheetView>
  </sheetViews>
  <sheetFormatPr baseColWidth="10" defaultRowHeight="15"/>
  <cols>
    <col min="1" max="1" width="29.5" customWidth="1"/>
    <col min="2" max="2" width="15.5" customWidth="1"/>
  </cols>
  <sheetData>
    <row r="1" spans="1:65" s="43" customFormat="1">
      <c r="A1" s="2" t="s">
        <v>0</v>
      </c>
      <c r="B1" s="2" t="s">
        <v>1</v>
      </c>
      <c r="C1" s="5" t="s">
        <v>354</v>
      </c>
      <c r="D1" s="5" t="s">
        <v>355</v>
      </c>
      <c r="E1" s="5" t="s">
        <v>356</v>
      </c>
      <c r="F1" s="5" t="s">
        <v>357</v>
      </c>
      <c r="G1" s="5" t="s">
        <v>358</v>
      </c>
      <c r="H1" s="5" t="s">
        <v>359</v>
      </c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</row>
    <row r="2" spans="1:65">
      <c r="A2" s="52" t="s">
        <v>132</v>
      </c>
      <c r="B2" s="51" t="s">
        <v>133</v>
      </c>
      <c r="C2" s="51">
        <v>65200.880208059498</v>
      </c>
      <c r="D2" s="51">
        <v>54123.206093498702</v>
      </c>
      <c r="E2" s="51">
        <v>56856.296737973098</v>
      </c>
      <c r="F2" s="51">
        <v>176714.96097960701</v>
      </c>
      <c r="G2" s="51">
        <v>155363.71075593401</v>
      </c>
      <c r="H2" s="51">
        <v>4396724.1357754003</v>
      </c>
    </row>
    <row r="3" spans="1:65">
      <c r="A3" s="51" t="s">
        <v>97</v>
      </c>
      <c r="B3" s="51" t="s">
        <v>98</v>
      </c>
      <c r="C3" s="51">
        <v>380344.39895074599</v>
      </c>
      <c r="D3" s="51">
        <v>672515.88312297396</v>
      </c>
      <c r="E3" s="51">
        <v>306677.01247209002</v>
      </c>
      <c r="F3" s="51">
        <v>7260508.63945348</v>
      </c>
      <c r="G3" s="51">
        <v>14904895.9755059</v>
      </c>
      <c r="H3" s="51">
        <v>12910393.522070499</v>
      </c>
    </row>
    <row r="4" spans="1:65">
      <c r="A4" s="57" t="s">
        <v>167</v>
      </c>
      <c r="B4" s="57" t="s">
        <v>168</v>
      </c>
      <c r="C4" s="57">
        <v>430760.637280336</v>
      </c>
      <c r="D4" s="57">
        <v>1920218.03628801</v>
      </c>
      <c r="E4" s="57">
        <v>1638524.0206731299</v>
      </c>
      <c r="F4" s="57">
        <v>19563806.789997801</v>
      </c>
      <c r="G4" s="57">
        <v>55611860.787056699</v>
      </c>
      <c r="H4" s="57">
        <v>11609921.3052269</v>
      </c>
    </row>
    <row r="5" spans="1:65">
      <c r="A5" s="63" t="s">
        <v>51</v>
      </c>
      <c r="B5" s="63" t="s">
        <v>52</v>
      </c>
      <c r="C5" s="63">
        <v>684321.29550114099</v>
      </c>
      <c r="D5" s="63">
        <v>571303.58706929197</v>
      </c>
      <c r="E5" s="63">
        <v>361191.51459033898</v>
      </c>
      <c r="F5" s="63">
        <v>2601483.2746768398</v>
      </c>
      <c r="G5" s="63">
        <v>1579406.8403632899</v>
      </c>
      <c r="H5" s="63">
        <v>2335993.4500345299</v>
      </c>
    </row>
    <row r="6" spans="1:65">
      <c r="A6" s="57" t="s">
        <v>160</v>
      </c>
      <c r="B6" s="57" t="s">
        <v>161</v>
      </c>
      <c r="C6" s="57">
        <v>1326736.4598252601</v>
      </c>
      <c r="D6" s="57">
        <v>517270.684687423</v>
      </c>
      <c r="E6" s="57">
        <v>3114455.4697549399</v>
      </c>
      <c r="F6" s="57">
        <v>4660895.7461362602</v>
      </c>
      <c r="G6" s="57">
        <v>6099136.6036811098</v>
      </c>
      <c r="H6" s="57">
        <v>4750899.50430026</v>
      </c>
    </row>
    <row r="7" spans="1:65">
      <c r="A7" s="51" t="s">
        <v>71</v>
      </c>
      <c r="B7" s="51" t="s">
        <v>72</v>
      </c>
      <c r="C7" s="51">
        <v>1968219.53599994</v>
      </c>
      <c r="D7" s="51">
        <v>2355431.3804612402</v>
      </c>
      <c r="E7" s="51">
        <v>2223583.50814232</v>
      </c>
      <c r="F7" s="51">
        <v>5653965.8829884604</v>
      </c>
      <c r="G7" s="51">
        <v>6845615.03777555</v>
      </c>
      <c r="H7" s="51">
        <v>7884234.7728109099</v>
      </c>
    </row>
    <row r="8" spans="1:65">
      <c r="A8" s="51" t="s">
        <v>148</v>
      </c>
      <c r="B8" s="51" t="s">
        <v>149</v>
      </c>
      <c r="C8" s="51">
        <v>68009.592921621603</v>
      </c>
      <c r="D8" s="51">
        <v>608810.36041900003</v>
      </c>
      <c r="E8" s="51">
        <v>324119.03380912403</v>
      </c>
      <c r="F8" s="51">
        <v>234126.20320543501</v>
      </c>
      <c r="G8" s="51">
        <v>186615.00576989699</v>
      </c>
      <c r="H8" s="51">
        <v>2608801.7155653099</v>
      </c>
    </row>
    <row r="9" spans="1:65">
      <c r="A9" s="51" t="s">
        <v>61</v>
      </c>
      <c r="B9" s="51" t="s">
        <v>62</v>
      </c>
      <c r="C9" s="51">
        <v>656453.92694949801</v>
      </c>
      <c r="D9" s="51">
        <v>741855.60151959199</v>
      </c>
      <c r="E9" s="51">
        <v>413681.66180192999</v>
      </c>
      <c r="F9" s="51">
        <v>2032417.4393804099</v>
      </c>
      <c r="G9" s="51">
        <v>2216178.7236142899</v>
      </c>
      <c r="H9" s="51">
        <v>959532.97056322801</v>
      </c>
    </row>
    <row r="10" spans="1:65">
      <c r="A10" s="63" t="s">
        <v>87</v>
      </c>
      <c r="B10" s="63" t="s">
        <v>88</v>
      </c>
      <c r="C10" s="63">
        <v>7020534.72528785</v>
      </c>
      <c r="D10" s="63">
        <v>9958507.7309635505</v>
      </c>
      <c r="E10" s="63">
        <v>11629519.5901365</v>
      </c>
      <c r="F10" s="63">
        <v>12087251.6649931</v>
      </c>
      <c r="G10" s="63">
        <v>41930305.588069201</v>
      </c>
      <c r="H10" s="63">
        <v>18874589.317590501</v>
      </c>
    </row>
    <row r="11" spans="1:65">
      <c r="A11" s="51" t="s">
        <v>59</v>
      </c>
      <c r="B11" s="51" t="s">
        <v>60</v>
      </c>
      <c r="C11" s="51">
        <v>1380270.9057141801</v>
      </c>
      <c r="D11" s="51">
        <v>1224627.4084763499</v>
      </c>
      <c r="E11" s="51">
        <v>9644170.0553902108</v>
      </c>
      <c r="F11" s="51">
        <v>9367641.5525692496</v>
      </c>
      <c r="G11" s="51">
        <v>8283607.91365135</v>
      </c>
      <c r="H11" s="51">
        <v>8242706.4897555402</v>
      </c>
    </row>
    <row r="12" spans="1:65">
      <c r="A12" s="57" t="s">
        <v>193</v>
      </c>
      <c r="B12" s="57" t="s">
        <v>194</v>
      </c>
      <c r="C12" s="57">
        <v>3555277.8356560799</v>
      </c>
      <c r="D12" s="57">
        <v>504862.22654811997</v>
      </c>
      <c r="E12" s="57">
        <v>816810.26495193003</v>
      </c>
      <c r="F12" s="57">
        <v>4263420.71738867</v>
      </c>
      <c r="G12" s="57">
        <v>2322442.9777218401</v>
      </c>
      <c r="H12" s="57">
        <v>2351246.9905940099</v>
      </c>
    </row>
    <row r="13" spans="1:65">
      <c r="A13" s="51" t="s">
        <v>63</v>
      </c>
      <c r="B13" s="51" t="s">
        <v>64</v>
      </c>
      <c r="C13" s="51">
        <v>653526.16895676102</v>
      </c>
      <c r="D13" s="51">
        <v>2069130.72917103</v>
      </c>
      <c r="E13" s="51">
        <v>3147589.6791060301</v>
      </c>
      <c r="F13" s="51">
        <v>1735922.41984567</v>
      </c>
      <c r="G13" s="51">
        <v>6132005.9282475105</v>
      </c>
      <c r="H13" s="51">
        <v>2690342.3309110398</v>
      </c>
    </row>
    <row r="14" spans="1:65">
      <c r="A14" s="52" t="s">
        <v>142</v>
      </c>
      <c r="B14" s="51" t="s">
        <v>143</v>
      </c>
      <c r="C14" s="51">
        <v>73126654.008899495</v>
      </c>
      <c r="D14" s="51">
        <v>70067262.199112698</v>
      </c>
      <c r="E14" s="51">
        <v>54523873.733038701</v>
      </c>
      <c r="F14" s="51">
        <v>115170817.87123901</v>
      </c>
      <c r="G14" s="51">
        <v>82235192.748603702</v>
      </c>
      <c r="H14" s="51">
        <v>136596690.50544599</v>
      </c>
    </row>
    <row r="15" spans="1:65">
      <c r="A15" s="63" t="s">
        <v>114</v>
      </c>
      <c r="B15" s="63" t="s">
        <v>115</v>
      </c>
      <c r="C15" s="63">
        <v>60799456.801003799</v>
      </c>
      <c r="D15" s="63">
        <v>55471589.970117398</v>
      </c>
      <c r="E15" s="63">
        <v>46278419.118840002</v>
      </c>
      <c r="F15" s="63">
        <v>51288031.532295801</v>
      </c>
      <c r="G15" s="63">
        <v>148571507.947786</v>
      </c>
      <c r="H15" s="63">
        <v>70131704.849092096</v>
      </c>
    </row>
    <row r="16" spans="1:65">
      <c r="A16" s="69" t="s">
        <v>183</v>
      </c>
      <c r="B16" s="69" t="s">
        <v>184</v>
      </c>
      <c r="C16" s="69">
        <v>464275.60317795502</v>
      </c>
      <c r="D16" s="69">
        <v>272606.945430825</v>
      </c>
      <c r="E16" s="69">
        <v>563210.82053506596</v>
      </c>
      <c r="F16" s="69">
        <v>502943.16647228401</v>
      </c>
      <c r="G16" s="69">
        <v>401380.69334242202</v>
      </c>
      <c r="H16" s="69">
        <v>1129558.95063743</v>
      </c>
    </row>
    <row r="17" spans="1:8">
      <c r="A17" s="63" t="s">
        <v>118</v>
      </c>
      <c r="B17" s="63" t="s">
        <v>119</v>
      </c>
      <c r="C17" s="63">
        <v>27698777.330611601</v>
      </c>
      <c r="D17" s="63">
        <v>23555553.234427199</v>
      </c>
      <c r="E17" s="63">
        <v>15646194.117578</v>
      </c>
      <c r="F17" s="63">
        <v>32715280.855003901</v>
      </c>
      <c r="G17" s="63">
        <v>34000771.025528401</v>
      </c>
      <c r="H17" s="63">
        <v>32250709.632996</v>
      </c>
    </row>
    <row r="18" spans="1:8">
      <c r="A18" s="51" t="s">
        <v>187</v>
      </c>
      <c r="B18" s="51" t="s">
        <v>188</v>
      </c>
      <c r="C18" s="51">
        <v>34493.901222016502</v>
      </c>
      <c r="D18" s="51">
        <v>34127.685458780397</v>
      </c>
      <c r="E18" s="51">
        <v>50981.784414128801</v>
      </c>
      <c r="F18" s="51">
        <v>36586.834322660703</v>
      </c>
      <c r="G18" s="51">
        <v>48036.7476033938</v>
      </c>
      <c r="H18" s="51">
        <v>91477.029704005894</v>
      </c>
    </row>
    <row r="19" spans="1:8">
      <c r="A19" s="57" t="s">
        <v>83</v>
      </c>
      <c r="B19" s="57" t="s">
        <v>84</v>
      </c>
      <c r="C19" s="57">
        <v>7983107.7614274798</v>
      </c>
      <c r="D19" s="57">
        <v>11438587.423640599</v>
      </c>
      <c r="E19" s="57">
        <v>11771132.4153242</v>
      </c>
      <c r="F19" s="57">
        <v>3616051.21300143</v>
      </c>
      <c r="G19" s="57">
        <v>10152629.2958379</v>
      </c>
      <c r="H19" s="57">
        <v>30948621.939132899</v>
      </c>
    </row>
    <row r="20" spans="1:8">
      <c r="A20" s="57" t="s">
        <v>33</v>
      </c>
      <c r="B20" s="57" t="s">
        <v>34</v>
      </c>
      <c r="C20" s="57">
        <v>46648031.042706899</v>
      </c>
      <c r="D20" s="57">
        <v>45090913.359678</v>
      </c>
      <c r="E20" s="57">
        <v>40680194.848269597</v>
      </c>
      <c r="F20" s="57">
        <v>42729258.7147374</v>
      </c>
      <c r="G20" s="57">
        <v>78894570.953776196</v>
      </c>
      <c r="H20" s="57">
        <v>52878572.759922102</v>
      </c>
    </row>
    <row r="21" spans="1:8">
      <c r="A21" s="51" t="s">
        <v>199</v>
      </c>
      <c r="B21" s="51" t="s">
        <v>200</v>
      </c>
      <c r="C21" s="51">
        <v>760866.10122865904</v>
      </c>
      <c r="D21" s="51">
        <v>607199.49033008097</v>
      </c>
      <c r="E21" s="51">
        <v>4259495.29154245</v>
      </c>
      <c r="F21" s="51">
        <v>1144635.6413001199</v>
      </c>
      <c r="G21" s="51">
        <v>1803068.7910825899</v>
      </c>
      <c r="H21" s="51">
        <v>4387857.0069266902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F2A9-A30D-E14F-AFCF-D63DAACCBFE4}">
  <dimension ref="A1:M104"/>
  <sheetViews>
    <sheetView tabSelected="1" workbookViewId="0">
      <selection activeCell="D13" sqref="D13"/>
    </sheetView>
  </sheetViews>
  <sheetFormatPr baseColWidth="10" defaultRowHeight="15"/>
  <cols>
    <col min="1" max="1" width="26.6640625" customWidth="1"/>
  </cols>
  <sheetData>
    <row r="1" spans="1:13">
      <c r="A1" s="45" t="s">
        <v>0</v>
      </c>
      <c r="B1" s="46" t="s">
        <v>15</v>
      </c>
      <c r="C1" s="45" t="s">
        <v>16</v>
      </c>
      <c r="D1" s="45" t="s">
        <v>17</v>
      </c>
      <c r="E1" s="45" t="s">
        <v>18</v>
      </c>
      <c r="F1" s="45" t="s">
        <v>19</v>
      </c>
      <c r="G1" s="45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 spans="1:13">
      <c r="A2" s="52" t="s">
        <v>132</v>
      </c>
      <c r="B2" s="51">
        <v>65200.880208059498</v>
      </c>
      <c r="C2" s="51">
        <v>54123.206093498702</v>
      </c>
      <c r="D2" s="51">
        <v>56856.296737973098</v>
      </c>
      <c r="E2" s="51">
        <v>176714.96097960701</v>
      </c>
      <c r="F2" s="51">
        <v>155363.71075593401</v>
      </c>
      <c r="G2" s="51">
        <v>4396724.1357754003</v>
      </c>
      <c r="H2" s="1">
        <v>443651.28023471899</v>
      </c>
      <c r="I2" s="1">
        <v>561977.23228753603</v>
      </c>
      <c r="J2" s="1">
        <v>433703.15546560503</v>
      </c>
      <c r="K2" s="1">
        <v>395263.87679043598</v>
      </c>
      <c r="L2" s="1">
        <v>79592.196854951995</v>
      </c>
      <c r="M2" s="1">
        <v>90418.966198357506</v>
      </c>
    </row>
    <row r="3" spans="1:13">
      <c r="A3" s="51" t="s">
        <v>97</v>
      </c>
      <c r="B3" s="51">
        <v>380344.39895074599</v>
      </c>
      <c r="C3" s="51">
        <v>672515.88312297396</v>
      </c>
      <c r="D3" s="51">
        <v>306677.01247209002</v>
      </c>
      <c r="E3" s="51">
        <v>7260508.63945348</v>
      </c>
      <c r="F3" s="51">
        <v>14904895.9755059</v>
      </c>
      <c r="G3" s="51">
        <v>12910393.522070499</v>
      </c>
      <c r="H3" s="1">
        <v>9332705.2552955505</v>
      </c>
      <c r="I3" s="1">
        <v>9363914.9356083795</v>
      </c>
      <c r="J3" s="1">
        <v>7765744.6111345096</v>
      </c>
      <c r="K3" s="1">
        <v>13638625.5011298</v>
      </c>
      <c r="L3" s="1">
        <v>10957140.276974401</v>
      </c>
      <c r="M3" s="1">
        <v>13627334.220954999</v>
      </c>
    </row>
    <row r="4" spans="1:13">
      <c r="A4" s="57" t="s">
        <v>167</v>
      </c>
      <c r="B4" s="57">
        <v>430760.637280336</v>
      </c>
      <c r="C4" s="57">
        <v>1920218.03628801</v>
      </c>
      <c r="D4" s="57">
        <v>1638524.0206731299</v>
      </c>
      <c r="E4" s="57">
        <v>19563806.789997801</v>
      </c>
      <c r="F4" s="57">
        <v>55611860.787056699</v>
      </c>
      <c r="G4" s="57">
        <v>11609921.3052269</v>
      </c>
      <c r="H4" s="1">
        <v>14292529.4288573</v>
      </c>
      <c r="I4" s="1">
        <v>15936549.122792</v>
      </c>
      <c r="J4" s="1">
        <v>16415517.262665501</v>
      </c>
      <c r="K4" s="1">
        <v>19207349.067439701</v>
      </c>
      <c r="L4" s="1">
        <v>19943360.707338799</v>
      </c>
      <c r="M4" s="1">
        <v>22342439.493579701</v>
      </c>
    </row>
    <row r="5" spans="1:13">
      <c r="A5" s="63" t="s">
        <v>51</v>
      </c>
      <c r="B5" s="63">
        <v>684321.29550114099</v>
      </c>
      <c r="C5" s="63">
        <v>571303.58706929197</v>
      </c>
      <c r="D5" s="63">
        <v>361191.51459033898</v>
      </c>
      <c r="E5" s="63">
        <v>2601483.2746768398</v>
      </c>
      <c r="F5" s="63">
        <v>1579406.8403632899</v>
      </c>
      <c r="G5" s="63">
        <v>2335993.4500345299</v>
      </c>
      <c r="H5" s="1">
        <v>1711803.4748485901</v>
      </c>
      <c r="I5" s="1">
        <v>1102158.1779489301</v>
      </c>
      <c r="J5" s="1">
        <v>1156995.7065149399</v>
      </c>
      <c r="K5" s="1">
        <v>1365011.32903821</v>
      </c>
      <c r="L5" s="1">
        <v>1887840.7290523399</v>
      </c>
      <c r="M5" s="1">
        <v>1013992.86641716</v>
      </c>
    </row>
    <row r="6" spans="1:13">
      <c r="A6" s="57" t="s">
        <v>160</v>
      </c>
      <c r="B6" s="57">
        <v>1326736.4598252601</v>
      </c>
      <c r="C6" s="57">
        <v>517270.684687423</v>
      </c>
      <c r="D6" s="57">
        <v>3114455.4697549399</v>
      </c>
      <c r="E6" s="57">
        <v>4660895.7461362602</v>
      </c>
      <c r="F6" s="57">
        <v>6099136.6036811098</v>
      </c>
      <c r="G6" s="57">
        <v>4750899.50430026</v>
      </c>
      <c r="H6" s="1">
        <v>2154053.9259357601</v>
      </c>
      <c r="I6" s="1">
        <v>2627371.075067</v>
      </c>
      <c r="J6" s="1">
        <v>2635832.3670136998</v>
      </c>
      <c r="K6" s="1">
        <v>3179479.99319256</v>
      </c>
      <c r="L6" s="1">
        <v>700044.00786912895</v>
      </c>
      <c r="M6" s="1">
        <v>343998.25052397401</v>
      </c>
    </row>
    <row r="7" spans="1:13">
      <c r="A7" s="51" t="s">
        <v>71</v>
      </c>
      <c r="B7" s="51">
        <v>1968219.53599994</v>
      </c>
      <c r="C7" s="51">
        <v>2355431.3804612402</v>
      </c>
      <c r="D7" s="51">
        <v>2223583.50814232</v>
      </c>
      <c r="E7" s="51">
        <v>5653965.8829884604</v>
      </c>
      <c r="F7" s="51">
        <v>6845615.03777555</v>
      </c>
      <c r="G7" s="51">
        <v>7884234.7728109099</v>
      </c>
      <c r="H7" s="1">
        <v>54031764.992776498</v>
      </c>
      <c r="I7" s="1">
        <v>51636973.418278202</v>
      </c>
      <c r="J7" s="1">
        <v>49910345.259391099</v>
      </c>
      <c r="K7" s="1">
        <v>66003871.069786899</v>
      </c>
      <c r="L7" s="1">
        <v>66709958.2426918</v>
      </c>
      <c r="M7" s="1">
        <v>66534907.628762104</v>
      </c>
    </row>
    <row r="8" spans="1:13">
      <c r="A8" s="51" t="s">
        <v>148</v>
      </c>
      <c r="B8" s="51">
        <v>68009.592921621603</v>
      </c>
      <c r="C8" s="51">
        <v>608810.36041900003</v>
      </c>
      <c r="D8" s="51">
        <v>324119.03380912403</v>
      </c>
      <c r="E8" s="51">
        <v>234126.20320543501</v>
      </c>
      <c r="F8" s="51">
        <v>186615.00576989699</v>
      </c>
      <c r="G8" s="51">
        <v>2608801.7155653099</v>
      </c>
      <c r="H8" s="1">
        <v>660932.25354484702</v>
      </c>
      <c r="I8" s="1">
        <v>674884.654214332</v>
      </c>
      <c r="J8" s="1">
        <v>740461.13014391903</v>
      </c>
      <c r="K8" s="1">
        <v>974340.36317563395</v>
      </c>
      <c r="L8" s="1">
        <v>667643.79405047803</v>
      </c>
      <c r="M8" s="1">
        <v>83717.631822034804</v>
      </c>
    </row>
    <row r="9" spans="1:13">
      <c r="A9" s="51" t="s">
        <v>61</v>
      </c>
      <c r="B9" s="51">
        <v>656453.92694949801</v>
      </c>
      <c r="C9" s="51">
        <v>741855.60151959199</v>
      </c>
      <c r="D9" s="51">
        <v>413681.66180192999</v>
      </c>
      <c r="E9" s="51">
        <v>2032417.4393804099</v>
      </c>
      <c r="F9" s="51">
        <v>2216178.7236142899</v>
      </c>
      <c r="G9" s="51">
        <v>959532.97056322801</v>
      </c>
      <c r="H9" s="1">
        <v>714701.62472792994</v>
      </c>
      <c r="I9" s="1">
        <v>621236.46455354895</v>
      </c>
      <c r="J9" s="1">
        <v>566649.84745583904</v>
      </c>
      <c r="K9" s="1">
        <v>908149.04096460296</v>
      </c>
      <c r="L9" s="1">
        <v>1047612.07545395</v>
      </c>
      <c r="M9" s="1">
        <v>745978.00156057999</v>
      </c>
    </row>
    <row r="10" spans="1:13">
      <c r="A10" s="63" t="s">
        <v>87</v>
      </c>
      <c r="B10" s="63">
        <v>7020534.72528785</v>
      </c>
      <c r="C10" s="63">
        <v>9958507.7309635505</v>
      </c>
      <c r="D10" s="63">
        <v>11629519.5901365</v>
      </c>
      <c r="E10" s="63">
        <v>12087251.6649931</v>
      </c>
      <c r="F10" s="63">
        <v>41930305.588069201</v>
      </c>
      <c r="G10" s="63">
        <v>18874589.317590501</v>
      </c>
      <c r="H10" s="1">
        <v>13896372.7207972</v>
      </c>
      <c r="I10" s="1">
        <v>14046917.1732044</v>
      </c>
      <c r="J10" s="1">
        <v>17193931.657499101</v>
      </c>
      <c r="K10" s="1">
        <v>16351522.7329189</v>
      </c>
      <c r="L10" s="1">
        <v>17561883.0733491</v>
      </c>
      <c r="M10" s="1">
        <v>9013157.4224137198</v>
      </c>
    </row>
    <row r="11" spans="1:13">
      <c r="A11" s="51" t="s">
        <v>59</v>
      </c>
      <c r="B11" s="51">
        <v>1380270.9057141801</v>
      </c>
      <c r="C11" s="51">
        <v>1224627.4084763499</v>
      </c>
      <c r="D11" s="51">
        <v>9644170.0553902108</v>
      </c>
      <c r="E11" s="51">
        <v>9367641.5525692496</v>
      </c>
      <c r="F11" s="51">
        <v>8283607.91365135</v>
      </c>
      <c r="G11" s="51">
        <v>8242706.4897555402</v>
      </c>
      <c r="H11" s="1">
        <v>8281359.3073805701</v>
      </c>
      <c r="I11" s="1">
        <v>8753704.0452577509</v>
      </c>
      <c r="J11" s="1">
        <v>10321394.097682999</v>
      </c>
      <c r="K11" s="1">
        <v>21147508.187711399</v>
      </c>
      <c r="L11" s="1">
        <v>1386543.84559273</v>
      </c>
      <c r="M11" s="1">
        <v>4497458.0237136204</v>
      </c>
    </row>
    <row r="12" spans="1:13">
      <c r="A12" s="57" t="s">
        <v>193</v>
      </c>
      <c r="B12" s="57">
        <v>3555277.8356560799</v>
      </c>
      <c r="C12" s="57">
        <v>504862.22654811997</v>
      </c>
      <c r="D12" s="57">
        <v>816810.26495193003</v>
      </c>
      <c r="E12" s="57">
        <v>4263420.71738867</v>
      </c>
      <c r="F12" s="57">
        <v>2322442.9777218401</v>
      </c>
      <c r="G12" s="57">
        <v>2351246.9905940099</v>
      </c>
      <c r="H12" s="1">
        <v>7034232.1896162499</v>
      </c>
      <c r="I12" s="1">
        <v>7863712.7261619903</v>
      </c>
      <c r="J12" s="1">
        <v>7719489.4248872297</v>
      </c>
      <c r="K12" s="1">
        <v>9827794.6535331495</v>
      </c>
      <c r="L12" s="1">
        <v>7281269.98307232</v>
      </c>
      <c r="M12" s="1">
        <v>8671148.3423143197</v>
      </c>
    </row>
    <row r="13" spans="1:13">
      <c r="A13" s="51" t="s">
        <v>63</v>
      </c>
      <c r="B13" s="51">
        <v>653526.16895676102</v>
      </c>
      <c r="C13" s="51">
        <v>2069130.72917103</v>
      </c>
      <c r="D13" s="51">
        <v>3147589.6791060301</v>
      </c>
      <c r="E13" s="51">
        <v>1735922.41984567</v>
      </c>
      <c r="F13" s="51">
        <v>6132005.9282475105</v>
      </c>
      <c r="G13" s="51">
        <v>2690342.3309110398</v>
      </c>
      <c r="H13" s="1">
        <v>357282.76372453198</v>
      </c>
      <c r="I13" s="1">
        <v>325267.48040580301</v>
      </c>
      <c r="J13" s="1">
        <v>219716.30630996099</v>
      </c>
      <c r="K13" s="1">
        <v>248784.70072094299</v>
      </c>
      <c r="L13" s="1">
        <v>260478.58943576601</v>
      </c>
      <c r="M13" s="1">
        <v>238276.22848600399</v>
      </c>
    </row>
    <row r="14" spans="1:13">
      <c r="A14" s="52" t="s">
        <v>142</v>
      </c>
      <c r="B14" s="51">
        <v>73126654.008899495</v>
      </c>
      <c r="C14" s="51">
        <v>70067262.199112698</v>
      </c>
      <c r="D14" s="51">
        <v>54523873.733038701</v>
      </c>
      <c r="E14" s="51">
        <v>115170817.87123901</v>
      </c>
      <c r="F14" s="51">
        <v>82235192.748603702</v>
      </c>
      <c r="G14" s="51">
        <v>136596690.50544599</v>
      </c>
      <c r="H14" s="1">
        <v>131666882.17732599</v>
      </c>
      <c r="I14" s="1">
        <v>139918593.528505</v>
      </c>
      <c r="J14" s="1">
        <v>101966130.215386</v>
      </c>
      <c r="K14" s="1">
        <v>105734855.426819</v>
      </c>
      <c r="L14" s="1">
        <v>34128368.733025603</v>
      </c>
      <c r="M14" s="1">
        <v>59389352.866768204</v>
      </c>
    </row>
    <row r="15" spans="1:13">
      <c r="A15" s="63" t="s">
        <v>114</v>
      </c>
      <c r="B15" s="63">
        <v>60799456.801003799</v>
      </c>
      <c r="C15" s="63">
        <v>55471589.970117398</v>
      </c>
      <c r="D15" s="63">
        <v>46278419.118840002</v>
      </c>
      <c r="E15" s="63">
        <v>51288031.532295801</v>
      </c>
      <c r="F15" s="63">
        <v>148571507.947786</v>
      </c>
      <c r="G15" s="63">
        <v>70131704.849092096</v>
      </c>
      <c r="H15" s="1">
        <v>76915090.317421302</v>
      </c>
      <c r="I15" s="1">
        <v>75480208.918474793</v>
      </c>
      <c r="J15" s="1">
        <v>51243654.006872997</v>
      </c>
      <c r="K15" s="1">
        <v>100638027.92345101</v>
      </c>
      <c r="L15" s="1">
        <v>89641708.344837993</v>
      </c>
      <c r="M15" s="1">
        <v>83188374.923989594</v>
      </c>
    </row>
    <row r="16" spans="1:13">
      <c r="A16" s="69" t="s">
        <v>183</v>
      </c>
      <c r="B16" s="69">
        <v>464275.60317795502</v>
      </c>
      <c r="C16" s="69">
        <v>272606.945430825</v>
      </c>
      <c r="D16" s="69">
        <v>563210.82053506596</v>
      </c>
      <c r="E16" s="69">
        <v>502943.16647228401</v>
      </c>
      <c r="F16" s="69">
        <v>401380.69334242202</v>
      </c>
      <c r="G16" s="69">
        <v>1129558.95063743</v>
      </c>
      <c r="H16" s="1">
        <v>847546.2765414</v>
      </c>
      <c r="I16" s="1">
        <v>735790.23651192803</v>
      </c>
      <c r="J16" s="1">
        <v>922814.30140915397</v>
      </c>
      <c r="K16" s="1">
        <v>425129.051726998</v>
      </c>
      <c r="L16" s="1">
        <v>1164927.3299358899</v>
      </c>
      <c r="M16" s="1">
        <v>660482.10289338802</v>
      </c>
    </row>
    <row r="17" spans="1:13">
      <c r="A17" s="63" t="s">
        <v>118</v>
      </c>
      <c r="B17" s="63">
        <v>27698777.330611601</v>
      </c>
      <c r="C17" s="63">
        <v>23555553.234427199</v>
      </c>
      <c r="D17" s="63">
        <v>15646194.117578</v>
      </c>
      <c r="E17" s="63">
        <v>32715280.855003901</v>
      </c>
      <c r="F17" s="63">
        <v>34000771.025528401</v>
      </c>
      <c r="G17" s="63">
        <v>32250709.632996</v>
      </c>
      <c r="H17" s="1">
        <v>27756715.262814701</v>
      </c>
      <c r="I17" s="1">
        <v>34995365.420851402</v>
      </c>
      <c r="J17" s="1">
        <v>33006215.351778999</v>
      </c>
      <c r="K17" s="1">
        <v>33286270.055330899</v>
      </c>
      <c r="L17" s="1">
        <v>32549922.2759577</v>
      </c>
      <c r="M17" s="1">
        <v>31706242.091442101</v>
      </c>
    </row>
    <row r="18" spans="1:13">
      <c r="A18" s="51" t="s">
        <v>187</v>
      </c>
      <c r="B18" s="51">
        <v>34493.901222016502</v>
      </c>
      <c r="C18" s="51">
        <v>34127.685458780397</v>
      </c>
      <c r="D18" s="51">
        <v>50981.784414128801</v>
      </c>
      <c r="E18" s="51">
        <v>36586.834322660703</v>
      </c>
      <c r="F18" s="51">
        <v>48036.7476033938</v>
      </c>
      <c r="G18" s="51">
        <v>91477.029704005894</v>
      </c>
      <c r="H18" s="1">
        <v>89046.378736833998</v>
      </c>
      <c r="I18" s="1">
        <v>105406.825961404</v>
      </c>
      <c r="J18" s="1">
        <v>88660.475627818305</v>
      </c>
      <c r="K18" s="1">
        <v>263767.75626701501</v>
      </c>
      <c r="L18" s="1">
        <v>133941.59417488801</v>
      </c>
      <c r="M18" s="1">
        <v>157680.59939384501</v>
      </c>
    </row>
    <row r="19" spans="1:13">
      <c r="A19" s="57" t="s">
        <v>83</v>
      </c>
      <c r="B19" s="57">
        <v>7983107.7614274798</v>
      </c>
      <c r="C19" s="57">
        <v>11438587.423640599</v>
      </c>
      <c r="D19" s="57">
        <v>11771132.4153242</v>
      </c>
      <c r="E19" s="57">
        <v>3616051.21300143</v>
      </c>
      <c r="F19" s="57">
        <v>10152629.2958379</v>
      </c>
      <c r="G19" s="57">
        <v>30948621.939132899</v>
      </c>
      <c r="H19" s="1">
        <v>13859632.1116168</v>
      </c>
      <c r="I19" s="1">
        <v>19481639.616632499</v>
      </c>
      <c r="J19" s="1">
        <v>10709988.200942799</v>
      </c>
      <c r="K19" s="1">
        <v>15639563.652088299</v>
      </c>
      <c r="L19" s="1">
        <v>24258656.873440102</v>
      </c>
      <c r="M19" s="1">
        <v>36651193.347721599</v>
      </c>
    </row>
    <row r="20" spans="1:13">
      <c r="A20" s="57" t="s">
        <v>33</v>
      </c>
      <c r="B20" s="57">
        <v>46648031.042706899</v>
      </c>
      <c r="C20" s="57">
        <v>45090913.359678</v>
      </c>
      <c r="D20" s="57">
        <v>40680194.848269597</v>
      </c>
      <c r="E20" s="57">
        <v>42729258.7147374</v>
      </c>
      <c r="F20" s="57">
        <v>78894570.953776196</v>
      </c>
      <c r="G20" s="57">
        <v>52878572.759922102</v>
      </c>
      <c r="H20" s="1">
        <v>21413602.524877101</v>
      </c>
      <c r="I20" s="1">
        <v>81590297.972262606</v>
      </c>
      <c r="J20" s="1">
        <v>52064429.975308299</v>
      </c>
      <c r="K20" s="1">
        <v>42901587.507037602</v>
      </c>
      <c r="L20" s="1">
        <v>55514999.502908297</v>
      </c>
      <c r="M20" s="1">
        <v>39229178.132908396</v>
      </c>
    </row>
    <row r="21" spans="1:13">
      <c r="A21" s="51" t="s">
        <v>199</v>
      </c>
      <c r="B21" s="51">
        <v>760866.10122865904</v>
      </c>
      <c r="C21" s="51">
        <v>607199.49033008097</v>
      </c>
      <c r="D21" s="51">
        <v>4259495.29154245</v>
      </c>
      <c r="E21" s="51">
        <v>1144635.6413001199</v>
      </c>
      <c r="F21" s="51">
        <v>1803068.7910825899</v>
      </c>
      <c r="G21" s="51">
        <v>4387857.0069266902</v>
      </c>
      <c r="H21" s="1">
        <v>3554793.5899007702</v>
      </c>
      <c r="I21" s="1">
        <v>2979504.8304788899</v>
      </c>
      <c r="J21" s="1">
        <v>2270094.5792851201</v>
      </c>
      <c r="K21" s="1">
        <v>4822052.1130445497</v>
      </c>
      <c r="L21" s="1">
        <v>6806317.9570641397</v>
      </c>
      <c r="M21" s="1">
        <v>5219277.2238215003</v>
      </c>
    </row>
    <row r="22" spans="1:13">
      <c r="A22" s="44" t="s">
        <v>130</v>
      </c>
      <c r="B22" s="44">
        <v>1047022.13159528</v>
      </c>
      <c r="C22" s="44">
        <v>2110214.5647060298</v>
      </c>
      <c r="D22" s="44">
        <v>800184.28000847599</v>
      </c>
      <c r="E22" s="44">
        <v>631451.769014708</v>
      </c>
      <c r="F22" s="44">
        <v>903803.43253880995</v>
      </c>
      <c r="G22" s="44">
        <v>3578575.5343277301</v>
      </c>
      <c r="H22" s="1">
        <v>1374351.2639486799</v>
      </c>
      <c r="I22" s="1">
        <v>1063173.9601646001</v>
      </c>
      <c r="J22" s="1">
        <v>1447106.4134021101</v>
      </c>
      <c r="K22" s="1">
        <v>1666208.18189884</v>
      </c>
      <c r="L22" s="1">
        <v>1304608.0211602999</v>
      </c>
      <c r="M22" s="1">
        <v>1379805.3919655499</v>
      </c>
    </row>
    <row r="23" spans="1:13">
      <c r="A23" s="1" t="s">
        <v>201</v>
      </c>
      <c r="B23" s="1">
        <v>1450473.1589418501</v>
      </c>
      <c r="C23" s="1">
        <v>2501833.7525431798</v>
      </c>
      <c r="D23" s="1">
        <v>1619320.9803176699</v>
      </c>
      <c r="E23" s="1">
        <v>1955216.6317439501</v>
      </c>
      <c r="F23" s="1">
        <v>758577.68264562404</v>
      </c>
      <c r="G23" s="1">
        <v>4328910.6620260598</v>
      </c>
      <c r="H23" s="1">
        <v>5203040.6487728897</v>
      </c>
      <c r="I23" s="1">
        <v>1708984.7164384599</v>
      </c>
      <c r="J23" s="1">
        <v>2775827.3476378499</v>
      </c>
      <c r="K23" s="1">
        <v>3727099.1069458402</v>
      </c>
      <c r="L23" s="1">
        <v>5822666.4838858899</v>
      </c>
      <c r="M23" s="1">
        <v>2236123.3666460598</v>
      </c>
    </row>
    <row r="24" spans="1:13">
      <c r="A24" s="10" t="s">
        <v>116</v>
      </c>
      <c r="B24" s="9">
        <v>119745243.908245</v>
      </c>
      <c r="C24" s="9">
        <v>195300689.55720401</v>
      </c>
      <c r="D24" s="9">
        <v>60537212.756062701</v>
      </c>
      <c r="E24" s="9">
        <v>147027989.736871</v>
      </c>
      <c r="F24" s="9">
        <v>161162117.04520899</v>
      </c>
      <c r="G24" s="9">
        <v>160951539.61286601</v>
      </c>
      <c r="H24" s="1">
        <v>119798555.696271</v>
      </c>
      <c r="I24" s="1">
        <v>154373677.89735201</v>
      </c>
      <c r="J24" s="1">
        <v>149558108.53367299</v>
      </c>
      <c r="K24" s="1">
        <v>163959095.42968601</v>
      </c>
      <c r="L24" s="1">
        <v>179465586.634507</v>
      </c>
      <c r="M24" s="1">
        <v>170035318.62585601</v>
      </c>
    </row>
    <row r="25" spans="1:13">
      <c r="A25" s="1" t="s">
        <v>65</v>
      </c>
      <c r="B25" s="1">
        <v>155171.504540302</v>
      </c>
      <c r="C25" s="1">
        <v>63549.821817230099</v>
      </c>
      <c r="D25" s="1">
        <v>78913.742807360497</v>
      </c>
      <c r="E25" s="1">
        <v>81207.876396963096</v>
      </c>
      <c r="F25" s="1">
        <v>179464.08645266001</v>
      </c>
      <c r="G25" s="1">
        <v>105142.79693295799</v>
      </c>
      <c r="H25" s="1">
        <v>1395086.7651175901</v>
      </c>
      <c r="I25" s="1">
        <v>1341205.3141999601</v>
      </c>
      <c r="J25" s="1">
        <v>1494054.5473494299</v>
      </c>
      <c r="K25" s="1">
        <v>2121987.8748653401</v>
      </c>
      <c r="L25" s="1">
        <v>3040836.7130031399</v>
      </c>
      <c r="M25" s="1">
        <v>2852494.9675215902</v>
      </c>
    </row>
    <row r="26" spans="1:13">
      <c r="A26" s="9" t="s">
        <v>146</v>
      </c>
      <c r="B26" s="9">
        <v>14403745.3138783</v>
      </c>
      <c r="C26" s="9">
        <v>28911667.5919315</v>
      </c>
      <c r="D26" s="9">
        <v>6287487.0714170402</v>
      </c>
      <c r="E26" s="9">
        <v>23810642.8361286</v>
      </c>
      <c r="F26" s="9">
        <v>16589743.5790742</v>
      </c>
      <c r="G26" s="9">
        <v>19165358.680098999</v>
      </c>
      <c r="H26" s="1">
        <v>17071090.607005998</v>
      </c>
      <c r="I26" s="1">
        <v>21496772.515034501</v>
      </c>
      <c r="J26" s="1">
        <v>14726645.4445001</v>
      </c>
      <c r="K26" s="1">
        <v>20496594.642966598</v>
      </c>
      <c r="L26" s="1">
        <v>20001364.0313875</v>
      </c>
      <c r="M26" s="1">
        <v>18094205.055075198</v>
      </c>
    </row>
    <row r="27" spans="1:13">
      <c r="A27" s="1" t="s">
        <v>144</v>
      </c>
      <c r="B27" s="1">
        <v>229984.458812364</v>
      </c>
      <c r="C27" s="1">
        <v>195298.916514749</v>
      </c>
      <c r="D27" s="1">
        <v>403408.61374371097</v>
      </c>
      <c r="E27" s="1">
        <v>310524.87282267702</v>
      </c>
      <c r="F27" s="1">
        <v>323071.63639051799</v>
      </c>
      <c r="G27" s="1">
        <v>337283.37532039499</v>
      </c>
      <c r="H27" s="1">
        <v>86716.829684845696</v>
      </c>
      <c r="I27" s="1">
        <v>98289.113888427499</v>
      </c>
      <c r="J27" s="1">
        <v>347336.78266131302</v>
      </c>
      <c r="K27" s="1">
        <v>245053.38106171601</v>
      </c>
      <c r="L27" s="1">
        <v>203427.86722953699</v>
      </c>
      <c r="M27" s="1">
        <v>214853.08724164101</v>
      </c>
    </row>
    <row r="28" spans="1:13">
      <c r="A28" s="1" t="s">
        <v>225</v>
      </c>
      <c r="B28" s="1">
        <v>6007270.4581570895</v>
      </c>
      <c r="C28" s="1">
        <v>9535315.3847707808</v>
      </c>
      <c r="D28" s="1">
        <v>5154117.1818432901</v>
      </c>
      <c r="E28" s="1">
        <v>7701921.6378228897</v>
      </c>
      <c r="F28" s="1">
        <v>8547106.1717804801</v>
      </c>
      <c r="G28" s="1">
        <v>7321771.3154600104</v>
      </c>
      <c r="H28" s="1">
        <v>6483276.8124324903</v>
      </c>
      <c r="I28" s="1">
        <v>8273213.3597473102</v>
      </c>
      <c r="J28" s="1">
        <v>6133989.9481121004</v>
      </c>
      <c r="K28" s="1">
        <v>7964075.0182202104</v>
      </c>
      <c r="L28" s="1">
        <v>8131723.0919045098</v>
      </c>
      <c r="M28" s="1">
        <v>7624365.2207521703</v>
      </c>
    </row>
    <row r="29" spans="1:13">
      <c r="A29" s="1" t="s">
        <v>211</v>
      </c>
      <c r="B29" s="1">
        <v>94971160.639188796</v>
      </c>
      <c r="C29" s="1">
        <v>123643264.60301401</v>
      </c>
      <c r="D29" s="1">
        <v>68593565.925326899</v>
      </c>
      <c r="E29" s="1">
        <v>82505674.286496505</v>
      </c>
      <c r="F29" s="1">
        <v>65981247.408354603</v>
      </c>
      <c r="G29" s="1">
        <v>176493564.123189</v>
      </c>
      <c r="H29" s="1">
        <v>77501086.687700704</v>
      </c>
      <c r="I29" s="1">
        <v>92966294.623041198</v>
      </c>
      <c r="J29" s="1">
        <v>116762088.428958</v>
      </c>
      <c r="K29" s="1">
        <v>121771167.078936</v>
      </c>
      <c r="L29" s="1">
        <v>143200497.70719999</v>
      </c>
      <c r="M29" s="1">
        <v>165169496.99917901</v>
      </c>
    </row>
    <row r="30" spans="1:13">
      <c r="A30" s="1" t="s">
        <v>185</v>
      </c>
      <c r="B30" s="1">
        <v>21592898.5430547</v>
      </c>
      <c r="C30" s="1">
        <v>20677783.8121024</v>
      </c>
      <c r="D30" s="1">
        <v>15959454.320927</v>
      </c>
      <c r="E30" s="1">
        <v>22485673.292498998</v>
      </c>
      <c r="F30" s="1">
        <v>20732007.750904199</v>
      </c>
      <c r="G30" s="1">
        <v>21037534.8167581</v>
      </c>
      <c r="H30" s="1">
        <v>19012195.686115</v>
      </c>
      <c r="I30" s="1">
        <v>24551883.477019999</v>
      </c>
      <c r="J30" s="1">
        <v>23228386.1494244</v>
      </c>
      <c r="K30" s="1">
        <v>17204846.7247499</v>
      </c>
      <c r="L30" s="1">
        <v>16643603.960549301</v>
      </c>
      <c r="M30" s="1">
        <v>14703300.384529199</v>
      </c>
    </row>
    <row r="31" spans="1:13">
      <c r="A31" s="1" t="s">
        <v>217</v>
      </c>
      <c r="B31" s="1">
        <v>1326911.4940241801</v>
      </c>
      <c r="C31" s="1">
        <v>1323689.81915684</v>
      </c>
      <c r="D31" s="1">
        <v>6218955.2155438904</v>
      </c>
      <c r="E31" s="1">
        <v>2442047.2505428898</v>
      </c>
      <c r="F31" s="1">
        <v>3460978.4594034599</v>
      </c>
      <c r="G31" s="1">
        <v>3873891.5969735002</v>
      </c>
      <c r="H31" s="1">
        <v>20640246.864264201</v>
      </c>
      <c r="I31" s="1">
        <v>17381826.555375699</v>
      </c>
      <c r="J31" s="1">
        <v>16628134.5026723</v>
      </c>
      <c r="K31" s="1">
        <v>23501807.4048068</v>
      </c>
      <c r="L31" s="1">
        <v>28994821.056187201</v>
      </c>
      <c r="M31" s="1">
        <v>35286141.232632004</v>
      </c>
    </row>
    <row r="32" spans="1:13">
      <c r="A32" s="1" t="s">
        <v>69</v>
      </c>
      <c r="B32" s="1">
        <v>33071056.2841908</v>
      </c>
      <c r="C32" s="1">
        <v>15389230.270602301</v>
      </c>
      <c r="D32" s="1">
        <v>17662601.531920299</v>
      </c>
      <c r="E32" s="1">
        <v>24971623.684854899</v>
      </c>
      <c r="F32" s="1">
        <v>21410150.5205599</v>
      </c>
      <c r="G32" s="1">
        <v>25809562.429949701</v>
      </c>
      <c r="H32" s="1">
        <v>43742580.589845203</v>
      </c>
      <c r="I32" s="1">
        <v>39678400.910096496</v>
      </c>
      <c r="J32" s="1">
        <v>43250826.566914</v>
      </c>
      <c r="K32" s="1">
        <v>39638542.724728003</v>
      </c>
      <c r="L32" s="1">
        <v>43351094.216550201</v>
      </c>
      <c r="M32" s="1">
        <v>44689551.231944896</v>
      </c>
    </row>
    <row r="33" spans="1:13">
      <c r="A33" s="1" t="s">
        <v>47</v>
      </c>
      <c r="B33" s="1">
        <v>5188190.57205748</v>
      </c>
      <c r="C33" s="1">
        <v>7070163.4367060298</v>
      </c>
      <c r="D33" s="1">
        <v>5097977.1397935804</v>
      </c>
      <c r="E33" s="1">
        <v>5031195.1322374502</v>
      </c>
      <c r="F33" s="1">
        <v>6977793.9083286803</v>
      </c>
      <c r="G33" s="1">
        <v>6762221.6687409002</v>
      </c>
      <c r="H33" s="1">
        <v>4256521.5599342203</v>
      </c>
      <c r="I33" s="1">
        <v>8207056.18990904</v>
      </c>
      <c r="J33" s="1">
        <v>6391163.6547802202</v>
      </c>
      <c r="K33" s="1">
        <v>6503086.71252455</v>
      </c>
      <c r="L33" s="1">
        <v>7976066.7856995398</v>
      </c>
      <c r="M33" s="1">
        <v>7503020.3638257096</v>
      </c>
    </row>
    <row r="34" spans="1:13">
      <c r="A34" s="1" t="s">
        <v>195</v>
      </c>
      <c r="B34" s="1">
        <v>1234830.86024454</v>
      </c>
      <c r="C34" s="1">
        <v>1476600.2663778099</v>
      </c>
      <c r="D34" s="1">
        <v>1824790.71376938</v>
      </c>
      <c r="E34" s="1">
        <v>1811386.4241489</v>
      </c>
      <c r="F34" s="1">
        <v>1595257.9844524099</v>
      </c>
      <c r="G34" s="1">
        <v>1449447.9237398801</v>
      </c>
      <c r="H34" s="1">
        <v>5460582.2090759799</v>
      </c>
      <c r="I34" s="1">
        <v>5230779.5936402604</v>
      </c>
      <c r="J34" s="1">
        <v>6001441.8565686103</v>
      </c>
      <c r="K34" s="1">
        <v>5851347.2266662801</v>
      </c>
      <c r="L34" s="1">
        <v>6433537.9757824</v>
      </c>
      <c r="M34" s="1">
        <v>6792936.0414307797</v>
      </c>
    </row>
    <row r="35" spans="1:13">
      <c r="A35" s="23" t="s">
        <v>67</v>
      </c>
      <c r="B35" s="23">
        <v>770688.59068054403</v>
      </c>
      <c r="C35" s="23">
        <v>695145.69755273196</v>
      </c>
      <c r="D35" s="23">
        <v>895958.010796619</v>
      </c>
      <c r="E35" s="23">
        <v>464796.93146810401</v>
      </c>
      <c r="F35" s="23">
        <v>1049060.2583993201</v>
      </c>
      <c r="G35" s="23">
        <v>977031.74630575301</v>
      </c>
      <c r="H35" s="1">
        <v>1018692.78269598</v>
      </c>
      <c r="I35" s="1">
        <v>1543401.18747533</v>
      </c>
      <c r="J35" s="1">
        <v>1109367.38146035</v>
      </c>
      <c r="K35" s="1">
        <v>1486489.64561652</v>
      </c>
      <c r="L35" s="1">
        <v>1542547.83124143</v>
      </c>
      <c r="M35" s="1">
        <v>2343532.59673703</v>
      </c>
    </row>
    <row r="36" spans="1:13">
      <c r="A36" s="23" t="s">
        <v>103</v>
      </c>
      <c r="B36" s="23">
        <v>21543479.074461602</v>
      </c>
      <c r="C36" s="23">
        <v>25488606.7427762</v>
      </c>
      <c r="D36" s="23">
        <v>18020075.512719199</v>
      </c>
      <c r="E36" s="23">
        <v>16124591.713482199</v>
      </c>
      <c r="F36" s="23">
        <v>26956889.695226401</v>
      </c>
      <c r="G36" s="23">
        <v>25366271.823385</v>
      </c>
      <c r="H36" s="1">
        <v>19362215.035803601</v>
      </c>
      <c r="I36" s="1">
        <v>30757522.1540916</v>
      </c>
      <c r="J36" s="1">
        <v>21940839.172272801</v>
      </c>
      <c r="K36" s="1">
        <v>30350683.040635101</v>
      </c>
      <c r="L36" s="1">
        <v>31398788.356416501</v>
      </c>
      <c r="M36" s="1">
        <v>25990539.546331499</v>
      </c>
    </row>
    <row r="37" spans="1:13">
      <c r="A37" s="1" t="s">
        <v>177</v>
      </c>
      <c r="B37" s="1">
        <v>301284.77542837098</v>
      </c>
      <c r="C37" s="1">
        <v>270716.07999714097</v>
      </c>
      <c r="D37" s="1">
        <v>223121.97591231001</v>
      </c>
      <c r="E37" s="1">
        <v>232396.62890444501</v>
      </c>
      <c r="F37" s="1">
        <v>338623.89150520897</v>
      </c>
      <c r="G37" s="1">
        <v>256033.356575135</v>
      </c>
      <c r="H37" s="1">
        <v>635800.22275452502</v>
      </c>
      <c r="I37" s="1">
        <v>986102.30101962795</v>
      </c>
      <c r="J37" s="1">
        <v>1091396.2403450401</v>
      </c>
      <c r="K37" s="1">
        <v>1331983.1016134601</v>
      </c>
      <c r="L37" s="1">
        <v>1138756.6017519</v>
      </c>
      <c r="M37" s="1">
        <v>1428377.78105009</v>
      </c>
    </row>
    <row r="38" spans="1:13">
      <c r="A38" s="1" t="s">
        <v>169</v>
      </c>
      <c r="B38" s="1">
        <v>9014379.6039450392</v>
      </c>
      <c r="C38" s="1">
        <v>15591631.9084944</v>
      </c>
      <c r="D38" s="1">
        <v>18771467.170781799</v>
      </c>
      <c r="E38" s="1">
        <v>12850370.782695999</v>
      </c>
      <c r="F38" s="1">
        <v>23103364.639623102</v>
      </c>
      <c r="G38" s="1">
        <v>8967100.7075436208</v>
      </c>
      <c r="H38" s="1">
        <v>9850519.4579064306</v>
      </c>
      <c r="I38" s="1">
        <v>9658331.1499404106</v>
      </c>
      <c r="J38" s="1">
        <v>12924186.6818546</v>
      </c>
      <c r="K38" s="1">
        <v>15642745.513466099</v>
      </c>
      <c r="L38" s="1">
        <v>12879915.5113203</v>
      </c>
      <c r="M38" s="1">
        <v>12967532.2281499</v>
      </c>
    </row>
    <row r="39" spans="1:13">
      <c r="A39" s="1" t="s">
        <v>29</v>
      </c>
      <c r="B39" s="1">
        <v>3775133.7755263401</v>
      </c>
      <c r="C39" s="1">
        <v>3547996.7685724101</v>
      </c>
      <c r="D39" s="1">
        <v>2549356.3657035199</v>
      </c>
      <c r="E39" s="1">
        <v>3237213.5725627001</v>
      </c>
      <c r="F39" s="1">
        <v>3595897.2258093501</v>
      </c>
      <c r="G39" s="1">
        <v>3280940.95061936</v>
      </c>
      <c r="H39" s="1">
        <v>3505248.0713815</v>
      </c>
      <c r="I39" s="1">
        <v>3803474.6896120501</v>
      </c>
      <c r="J39" s="1">
        <v>3647265.72337873</v>
      </c>
      <c r="K39" s="1">
        <v>4276719.1778311599</v>
      </c>
      <c r="L39" s="1">
        <v>3512260.2401153399</v>
      </c>
      <c r="M39" s="1">
        <v>3614019.8759733099</v>
      </c>
    </row>
    <row r="40" spans="1:13">
      <c r="A40" s="6" t="s">
        <v>175</v>
      </c>
      <c r="B40" s="1">
        <v>367811358.09240198</v>
      </c>
      <c r="C40" s="1">
        <v>299547622.90816897</v>
      </c>
      <c r="D40" s="1">
        <v>300421377.254291</v>
      </c>
      <c r="E40" s="1">
        <v>273020925.59365201</v>
      </c>
      <c r="F40" s="1">
        <v>401071302.60845</v>
      </c>
      <c r="G40" s="1">
        <v>299145162.59361202</v>
      </c>
      <c r="H40" s="1">
        <v>347629953.34464401</v>
      </c>
      <c r="I40" s="1">
        <v>356129671.10424203</v>
      </c>
      <c r="J40" s="1">
        <v>249105972.79944301</v>
      </c>
      <c r="K40" s="1">
        <v>416969869.01737303</v>
      </c>
      <c r="L40" s="1">
        <v>410968932.13262898</v>
      </c>
      <c r="M40" s="1">
        <v>394967847.34107602</v>
      </c>
    </row>
    <row r="41" spans="1:13">
      <c r="A41" s="1" t="s">
        <v>113</v>
      </c>
      <c r="B41" s="1">
        <v>25533082.854965702</v>
      </c>
      <c r="C41" s="1">
        <v>19576925.699219901</v>
      </c>
      <c r="D41" s="1">
        <v>21626267.161574099</v>
      </c>
      <c r="E41" s="1">
        <v>20973173.313157499</v>
      </c>
      <c r="F41" s="1">
        <v>19467764.413334198</v>
      </c>
      <c r="G41" s="1">
        <v>25820272.692333199</v>
      </c>
      <c r="H41" s="1">
        <v>40168017.638825402</v>
      </c>
      <c r="I41" s="1">
        <v>53393945.534856498</v>
      </c>
      <c r="J41" s="1">
        <v>53109755.328533098</v>
      </c>
      <c r="K41" s="1">
        <v>69497776.249951005</v>
      </c>
      <c r="L41" s="1">
        <v>12809958.7422447</v>
      </c>
      <c r="M41" s="1">
        <v>51529030.449506901</v>
      </c>
    </row>
    <row r="42" spans="1:13">
      <c r="A42" s="1" t="s">
        <v>189</v>
      </c>
      <c r="B42" s="1">
        <v>10420486.0795752</v>
      </c>
      <c r="C42" s="1">
        <v>7208383.0452570198</v>
      </c>
      <c r="D42" s="1">
        <v>7089314.2047666004</v>
      </c>
      <c r="E42" s="1">
        <v>5585740.0302418601</v>
      </c>
      <c r="F42" s="1">
        <v>8346481.2386903698</v>
      </c>
      <c r="G42" s="1">
        <v>9830365.7848211396</v>
      </c>
      <c r="H42" s="1">
        <v>6847347.8511041803</v>
      </c>
      <c r="I42" s="1">
        <v>7176699.4516001698</v>
      </c>
      <c r="J42" s="1">
        <v>7101239.6756766001</v>
      </c>
      <c r="K42" s="1">
        <v>7621859.5501536103</v>
      </c>
      <c r="L42" s="1">
        <v>6747211.0074060401</v>
      </c>
      <c r="M42" s="1">
        <v>6983826.1994913202</v>
      </c>
    </row>
    <row r="43" spans="1:13">
      <c r="A43" s="1" t="s">
        <v>93</v>
      </c>
      <c r="B43" s="1">
        <v>895714.84027996205</v>
      </c>
      <c r="C43" s="1">
        <v>2596258.9264361099</v>
      </c>
      <c r="D43" s="1">
        <v>2235545.7676585801</v>
      </c>
      <c r="E43" s="1">
        <v>1290361.5774399401</v>
      </c>
      <c r="F43" s="1">
        <v>2177446.0280975699</v>
      </c>
      <c r="G43" s="1">
        <v>1953262.1823009099</v>
      </c>
      <c r="H43" s="1">
        <v>3000030.2475091899</v>
      </c>
      <c r="I43" s="1">
        <v>2464478.3628986902</v>
      </c>
      <c r="J43" s="1">
        <v>3003306.5402373401</v>
      </c>
      <c r="K43" s="1">
        <v>4251105.8791777501</v>
      </c>
      <c r="L43" s="1">
        <v>3169262.1371724699</v>
      </c>
      <c r="M43" s="1">
        <v>3140165.69661198</v>
      </c>
    </row>
    <row r="44" spans="1:13">
      <c r="A44" s="1" t="s">
        <v>45</v>
      </c>
      <c r="B44" s="1">
        <v>3555942.7994054598</v>
      </c>
      <c r="C44" s="1">
        <v>4292774.6731586503</v>
      </c>
      <c r="D44" s="1">
        <v>3189721.4940420799</v>
      </c>
      <c r="E44" s="1">
        <v>2066205.1344509099</v>
      </c>
      <c r="F44" s="1">
        <v>3903178.5756486799</v>
      </c>
      <c r="G44" s="1">
        <v>4465295.2779284501</v>
      </c>
      <c r="H44" s="1">
        <v>2354972.7546900101</v>
      </c>
      <c r="I44" s="1">
        <v>3853340.3318015798</v>
      </c>
      <c r="J44" s="1">
        <v>4974918.0454829503</v>
      </c>
      <c r="K44" s="1">
        <v>4499136.0719090002</v>
      </c>
      <c r="L44" s="1">
        <v>2780634.12379226</v>
      </c>
      <c r="M44" s="1">
        <v>3179929.08882441</v>
      </c>
    </row>
    <row r="45" spans="1:13">
      <c r="A45" s="23" t="s">
        <v>173</v>
      </c>
      <c r="B45" s="23">
        <v>8372514.3863566099</v>
      </c>
      <c r="C45" s="23">
        <v>10180681.7409245</v>
      </c>
      <c r="D45" s="23">
        <v>13910659.4978773</v>
      </c>
      <c r="E45" s="23">
        <v>13896730.2166052</v>
      </c>
      <c r="F45" s="23">
        <v>8510915.5007335208</v>
      </c>
      <c r="G45" s="23">
        <v>8059278.07428132</v>
      </c>
      <c r="H45" s="1">
        <v>9913447.8260999192</v>
      </c>
      <c r="I45" s="1">
        <v>7524427.5620258404</v>
      </c>
      <c r="J45" s="1">
        <v>9244921.9996131808</v>
      </c>
      <c r="K45" s="1">
        <v>8683281.1983232498</v>
      </c>
      <c r="L45" s="1">
        <v>13337931.3979923</v>
      </c>
      <c r="M45" s="1">
        <v>9211425.7899011895</v>
      </c>
    </row>
    <row r="46" spans="1:13">
      <c r="A46" s="6" t="s">
        <v>128</v>
      </c>
      <c r="B46" s="1">
        <v>1175213389.1489501</v>
      </c>
      <c r="C46" s="1">
        <v>1049293930.7678699</v>
      </c>
      <c r="D46" s="1">
        <v>902895625.26337302</v>
      </c>
      <c r="E46" s="1">
        <v>890700702.25749695</v>
      </c>
      <c r="F46" s="1">
        <v>1366031174.21175</v>
      </c>
      <c r="G46" s="1">
        <v>650962899.35123801</v>
      </c>
      <c r="H46" s="1">
        <v>1557459508.32376</v>
      </c>
      <c r="I46" s="1">
        <v>1543174165.2176399</v>
      </c>
      <c r="J46" s="1">
        <v>1342899020.8628099</v>
      </c>
      <c r="K46" s="1">
        <v>1155593919.1128099</v>
      </c>
      <c r="L46" s="1">
        <v>1481491505.40991</v>
      </c>
      <c r="M46" s="1">
        <v>2136824568.0936401</v>
      </c>
    </row>
    <row r="47" spans="1:13">
      <c r="A47" s="23" t="s">
        <v>109</v>
      </c>
      <c r="B47" s="23">
        <v>2970577.9057908198</v>
      </c>
      <c r="C47" s="23">
        <v>2679401.8692196398</v>
      </c>
      <c r="D47" s="23">
        <v>2113694.03918313</v>
      </c>
      <c r="E47" s="23">
        <v>1791534.88451062</v>
      </c>
      <c r="F47" s="23">
        <v>3008215.3580986699</v>
      </c>
      <c r="G47" s="23">
        <v>2214482.27803997</v>
      </c>
      <c r="H47" s="1">
        <v>2810688.2607799498</v>
      </c>
      <c r="I47" s="1">
        <v>2616366.3783603902</v>
      </c>
      <c r="J47" s="1">
        <v>2736639.7691589198</v>
      </c>
      <c r="K47" s="1">
        <v>3507967.2381774802</v>
      </c>
      <c r="L47" s="1">
        <v>1930703.8414425501</v>
      </c>
      <c r="M47" s="1">
        <v>3914739.9925718699</v>
      </c>
    </row>
    <row r="48" spans="1:13">
      <c r="A48" s="1" t="s">
        <v>215</v>
      </c>
      <c r="B48" s="1">
        <v>12381010.7423405</v>
      </c>
      <c r="C48" s="1">
        <v>20561439.6640612</v>
      </c>
      <c r="D48" s="1">
        <v>8948839.7624895703</v>
      </c>
      <c r="E48" s="1">
        <v>9012051.0295075197</v>
      </c>
      <c r="F48" s="1">
        <v>9187363.0367271006</v>
      </c>
      <c r="G48" s="1">
        <v>19274540.141368601</v>
      </c>
      <c r="H48" s="1">
        <v>85236230.079179004</v>
      </c>
      <c r="I48" s="1">
        <v>76893574.743497998</v>
      </c>
      <c r="J48" s="1">
        <v>69858555.005074203</v>
      </c>
      <c r="K48" s="1">
        <v>86798030.458350107</v>
      </c>
      <c r="L48" s="1">
        <v>113783444.05395401</v>
      </c>
      <c r="M48" s="1">
        <v>153655470.42561901</v>
      </c>
    </row>
    <row r="49" spans="1:13">
      <c r="A49" s="1" t="s">
        <v>154</v>
      </c>
      <c r="B49" s="1">
        <v>794194.47478096804</v>
      </c>
      <c r="C49" s="1">
        <v>1616771.87073666</v>
      </c>
      <c r="D49" s="1">
        <v>1825016.50252313</v>
      </c>
      <c r="E49" s="1">
        <v>798127.31188010704</v>
      </c>
      <c r="F49" s="1">
        <v>1117772.81647062</v>
      </c>
      <c r="G49" s="1">
        <v>1805156.16532348</v>
      </c>
      <c r="H49" s="1">
        <v>1225200.4628131301</v>
      </c>
      <c r="I49" s="1">
        <v>1636973.3519453299</v>
      </c>
      <c r="J49" s="1">
        <v>1398897.6942010699</v>
      </c>
      <c r="K49" s="1">
        <v>2026281.8465828099</v>
      </c>
      <c r="L49" s="1">
        <v>1724538.28575098</v>
      </c>
      <c r="M49" s="1">
        <v>1855133.28170207</v>
      </c>
    </row>
    <row r="50" spans="1:13">
      <c r="A50" s="6" t="s">
        <v>85</v>
      </c>
      <c r="B50" s="1">
        <v>81098150.937127203</v>
      </c>
      <c r="C50" s="1">
        <v>94023768.486671701</v>
      </c>
      <c r="D50" s="1">
        <v>90869378.267894506</v>
      </c>
      <c r="E50" s="1">
        <v>65664160.005948998</v>
      </c>
      <c r="F50" s="1">
        <v>77218175.415744096</v>
      </c>
      <c r="G50" s="1">
        <v>82680639.021855697</v>
      </c>
      <c r="H50" s="1">
        <v>100106511.674768</v>
      </c>
      <c r="I50" s="1">
        <v>111336709.08182199</v>
      </c>
      <c r="J50" s="1">
        <v>109995061.192552</v>
      </c>
      <c r="K50" s="1">
        <v>120788281.30387899</v>
      </c>
      <c r="L50" s="1">
        <v>161878067.47100899</v>
      </c>
      <c r="M50" s="1">
        <v>236733932.43725201</v>
      </c>
    </row>
    <row r="51" spans="1:13">
      <c r="A51" s="3" t="s">
        <v>73</v>
      </c>
      <c r="B51" s="1">
        <v>1178620379.96807</v>
      </c>
      <c r="C51" s="1">
        <v>932483506.02367604</v>
      </c>
      <c r="D51" s="1">
        <v>1019381797.12024</v>
      </c>
      <c r="E51" s="1">
        <v>754798133.23324895</v>
      </c>
      <c r="F51" s="1">
        <v>967396492.46607399</v>
      </c>
      <c r="G51" s="1">
        <v>900022378.42819905</v>
      </c>
      <c r="H51" s="1">
        <v>788450187.36380303</v>
      </c>
      <c r="I51" s="1">
        <v>884049867.82968605</v>
      </c>
      <c r="J51" s="1">
        <v>732334656.48290801</v>
      </c>
      <c r="K51" s="1">
        <v>1000261693.46192</v>
      </c>
      <c r="L51" s="1">
        <v>1115625264.2694399</v>
      </c>
      <c r="M51" s="1">
        <v>1088782200.81462</v>
      </c>
    </row>
    <row r="52" spans="1:13">
      <c r="A52" s="6" t="s">
        <v>124</v>
      </c>
      <c r="B52" s="1">
        <v>1208869684.6382401</v>
      </c>
      <c r="C52" s="1">
        <v>1091482078.9177899</v>
      </c>
      <c r="D52" s="1">
        <v>1093464123.03596</v>
      </c>
      <c r="E52" s="1">
        <v>915368068.50403798</v>
      </c>
      <c r="F52" s="1">
        <v>922083607.05687201</v>
      </c>
      <c r="G52" s="1">
        <v>991162224.82656598</v>
      </c>
      <c r="H52" s="1">
        <v>1092620913.4879401</v>
      </c>
      <c r="I52" s="1">
        <v>1029962814.53432</v>
      </c>
      <c r="J52" s="1">
        <v>1029436975.01011</v>
      </c>
      <c r="K52" s="1">
        <v>935220460.74024701</v>
      </c>
      <c r="L52" s="1">
        <v>1133154158.6359501</v>
      </c>
      <c r="M52" s="1">
        <v>1094901700.4535899</v>
      </c>
    </row>
    <row r="53" spans="1:13">
      <c r="A53" s="6" t="s">
        <v>140</v>
      </c>
      <c r="B53" s="1">
        <v>4184600125.3590002</v>
      </c>
      <c r="C53" s="1">
        <v>4365337983.2404203</v>
      </c>
      <c r="D53" s="1">
        <v>2283907543.6216102</v>
      </c>
      <c r="E53" s="1">
        <v>3443614003.5573001</v>
      </c>
      <c r="F53" s="1">
        <v>2780150407.4153199</v>
      </c>
      <c r="G53" s="1">
        <v>2786774715.4278302</v>
      </c>
      <c r="H53" s="1">
        <v>2320490764.28122</v>
      </c>
      <c r="I53" s="1">
        <v>2171838476.7976298</v>
      </c>
      <c r="J53" s="1">
        <v>2241950352.7348299</v>
      </c>
      <c r="K53" s="1">
        <v>2551099982.2723999</v>
      </c>
      <c r="L53" s="1">
        <v>2478103143.7344499</v>
      </c>
      <c r="M53" s="1">
        <v>2586903100.5553098</v>
      </c>
    </row>
    <row r="54" spans="1:13">
      <c r="A54" s="9" t="s">
        <v>156</v>
      </c>
      <c r="B54" s="9">
        <v>2918055.0105902599</v>
      </c>
      <c r="C54" s="9">
        <v>14747097.838503901</v>
      </c>
      <c r="D54" s="9">
        <v>1847560.2762764399</v>
      </c>
      <c r="E54" s="9">
        <v>7690929.8488542996</v>
      </c>
      <c r="F54" s="9">
        <v>4608257.38476652</v>
      </c>
      <c r="G54" s="9">
        <v>3622246.9260444501</v>
      </c>
      <c r="H54" s="1">
        <v>5832859.5071100201</v>
      </c>
      <c r="I54" s="1">
        <v>8336507.1793109197</v>
      </c>
      <c r="J54" s="1">
        <v>7749983.9241191698</v>
      </c>
      <c r="K54" s="1">
        <v>9375869.3491140194</v>
      </c>
      <c r="L54" s="1">
        <v>8195372.12186494</v>
      </c>
      <c r="M54" s="1">
        <v>7503429.1051716404</v>
      </c>
    </row>
    <row r="55" spans="1:13">
      <c r="A55" s="1" t="s">
        <v>207</v>
      </c>
      <c r="B55" s="1">
        <v>5915559.9148562597</v>
      </c>
      <c r="C55" s="1">
        <v>9727905.0440755207</v>
      </c>
      <c r="D55" s="1">
        <v>4327012.8683920801</v>
      </c>
      <c r="E55" s="1">
        <v>3717258.11936309</v>
      </c>
      <c r="F55" s="1">
        <v>4047709.1214772202</v>
      </c>
      <c r="G55" s="1">
        <v>8373215.6984000998</v>
      </c>
      <c r="H55" s="1">
        <v>6054460.73851093</v>
      </c>
      <c r="I55" s="1">
        <v>7041208.3943720898</v>
      </c>
      <c r="J55" s="1">
        <v>6533385.5590082798</v>
      </c>
      <c r="K55" s="1">
        <v>9281296.8471405897</v>
      </c>
      <c r="L55" s="1">
        <v>10421818.680994701</v>
      </c>
      <c r="M55" s="1">
        <v>12701125.1458991</v>
      </c>
    </row>
    <row r="56" spans="1:13">
      <c r="A56" s="6" t="s">
        <v>138</v>
      </c>
      <c r="B56" s="1">
        <v>106235204.653336</v>
      </c>
      <c r="C56" s="1">
        <v>87736498.481425405</v>
      </c>
      <c r="D56" s="1">
        <v>69131733.5164354</v>
      </c>
      <c r="E56" s="1">
        <v>51591913.352301203</v>
      </c>
      <c r="F56" s="1">
        <v>69970868.770102307</v>
      </c>
      <c r="G56" s="1">
        <v>90486429.579370499</v>
      </c>
      <c r="H56" s="1">
        <v>105546953.84172601</v>
      </c>
      <c r="I56" s="1">
        <v>101035912.164553</v>
      </c>
      <c r="J56" s="1">
        <v>122780830.515274</v>
      </c>
      <c r="K56" s="1">
        <v>138166340.78140399</v>
      </c>
      <c r="L56" s="1">
        <v>174518575.46175</v>
      </c>
      <c r="M56" s="1">
        <v>185724232.53922701</v>
      </c>
    </row>
    <row r="57" spans="1:13">
      <c r="A57" s="1" t="s">
        <v>79</v>
      </c>
      <c r="B57" s="1">
        <v>2181457.7490785699</v>
      </c>
      <c r="C57" s="1">
        <v>8410998.1543814391</v>
      </c>
      <c r="D57" s="1">
        <v>1432747.2847929101</v>
      </c>
      <c r="E57" s="1">
        <v>973977.60020147695</v>
      </c>
      <c r="F57" s="1">
        <v>1164841.04866371</v>
      </c>
      <c r="G57" s="1">
        <v>7255814.0008920198</v>
      </c>
      <c r="H57" s="1">
        <v>3439943.6135955998</v>
      </c>
      <c r="I57" s="1">
        <v>2641312.3886523098</v>
      </c>
      <c r="J57" s="1">
        <v>3245475.9004768301</v>
      </c>
      <c r="K57" s="1">
        <v>2654208.6233282099</v>
      </c>
      <c r="L57" s="1">
        <v>3667462.5919232699</v>
      </c>
      <c r="M57" s="1">
        <v>2532447.5919138701</v>
      </c>
    </row>
    <row r="58" spans="1:13">
      <c r="A58" s="1" t="s">
        <v>227</v>
      </c>
      <c r="B58" s="1">
        <v>34975010.511782996</v>
      </c>
      <c r="C58" s="1">
        <v>47179586.903648898</v>
      </c>
      <c r="D58" s="1">
        <v>65150120.706920199</v>
      </c>
      <c r="E58" s="1">
        <v>21197384.855955701</v>
      </c>
      <c r="F58" s="1">
        <v>54725089.0742229</v>
      </c>
      <c r="G58" s="1">
        <v>33053140.898729499</v>
      </c>
      <c r="H58" s="1">
        <v>33554669.653692096</v>
      </c>
      <c r="I58" s="1">
        <v>31500991.935499001</v>
      </c>
      <c r="J58" s="1">
        <v>35212662.270548202</v>
      </c>
      <c r="K58" s="1">
        <v>40780297.590693399</v>
      </c>
      <c r="L58" s="1">
        <v>65051120.8822053</v>
      </c>
      <c r="M58" s="1">
        <v>37512624.972219899</v>
      </c>
    </row>
    <row r="59" spans="1:13">
      <c r="A59" s="9" t="s">
        <v>53</v>
      </c>
      <c r="B59" s="9">
        <v>4956417.3969735997</v>
      </c>
      <c r="C59" s="9">
        <v>2834934.4720209101</v>
      </c>
      <c r="D59" s="9">
        <v>1830502.39867749</v>
      </c>
      <c r="E59" s="9">
        <v>2512715.0294605698</v>
      </c>
      <c r="F59" s="9">
        <v>1993952.45258693</v>
      </c>
      <c r="G59" s="9">
        <v>2578035.0797208301</v>
      </c>
      <c r="H59" s="1">
        <v>2953820.9294402599</v>
      </c>
      <c r="I59" s="1">
        <v>3031119.5659983</v>
      </c>
      <c r="J59" s="1">
        <v>3704780.5439514201</v>
      </c>
      <c r="K59" s="1">
        <v>3229171.72451771</v>
      </c>
      <c r="L59" s="1">
        <v>4616039.395246</v>
      </c>
      <c r="M59" s="1">
        <v>3021678.9781154399</v>
      </c>
    </row>
    <row r="60" spans="1:13">
      <c r="A60" s="1" t="s">
        <v>205</v>
      </c>
      <c r="B60" s="1">
        <v>52854314.277475402</v>
      </c>
      <c r="C60" s="1">
        <v>109688591.641582</v>
      </c>
      <c r="D60" s="1">
        <v>53724448.511659198</v>
      </c>
      <c r="E60" s="1">
        <v>51010613.739413999</v>
      </c>
      <c r="F60" s="1">
        <v>47336932.676207297</v>
      </c>
      <c r="G60" s="1">
        <v>56268032.083961003</v>
      </c>
      <c r="H60" s="1">
        <v>69544495.624395207</v>
      </c>
      <c r="I60" s="1">
        <v>70969053.749521598</v>
      </c>
      <c r="J60" s="1">
        <v>77304811.734819904</v>
      </c>
      <c r="K60" s="1">
        <v>77903366.333064899</v>
      </c>
      <c r="L60" s="1">
        <v>75089298.172346294</v>
      </c>
      <c r="M60" s="1">
        <v>84439804.624669597</v>
      </c>
    </row>
    <row r="61" spans="1:13">
      <c r="A61" s="1" t="s">
        <v>77</v>
      </c>
      <c r="B61" s="1">
        <v>50840926.4320103</v>
      </c>
      <c r="C61" s="1">
        <v>52306091.692527801</v>
      </c>
      <c r="D61" s="1">
        <v>55430049.531221002</v>
      </c>
      <c r="E61" s="1">
        <v>31984499.586511299</v>
      </c>
      <c r="F61" s="1">
        <v>41421706.038389601</v>
      </c>
      <c r="G61" s="1">
        <v>38448083.555760503</v>
      </c>
      <c r="H61" s="1">
        <v>16940861.006337501</v>
      </c>
      <c r="I61" s="1">
        <v>15421044.997648999</v>
      </c>
      <c r="J61" s="1">
        <v>17533647.7974707</v>
      </c>
      <c r="K61" s="1">
        <v>28312966.746302798</v>
      </c>
      <c r="L61" s="1">
        <v>29688820.628230698</v>
      </c>
      <c r="M61" s="1">
        <v>31472174.829531401</v>
      </c>
    </row>
    <row r="62" spans="1:13">
      <c r="A62" s="1" t="s">
        <v>213</v>
      </c>
      <c r="B62" s="1">
        <v>6056270.3378464999</v>
      </c>
      <c r="C62" s="1">
        <v>4455081.7613815796</v>
      </c>
      <c r="D62" s="1">
        <v>1958849.5457023301</v>
      </c>
      <c r="E62" s="1">
        <v>2680087.3108461099</v>
      </c>
      <c r="F62" s="1">
        <v>2905314.8721835599</v>
      </c>
      <c r="G62" s="1">
        <v>3200692.27635345</v>
      </c>
      <c r="H62" s="1">
        <v>3373398.9817722999</v>
      </c>
      <c r="I62" s="1">
        <v>3450968.3434769199</v>
      </c>
      <c r="J62" s="1">
        <v>3003349.0743811699</v>
      </c>
      <c r="K62" s="1">
        <v>4365826.2408082997</v>
      </c>
      <c r="L62" s="1">
        <v>4071889.3979976601</v>
      </c>
      <c r="M62" s="1">
        <v>4559092.9302461399</v>
      </c>
    </row>
    <row r="63" spans="1:13">
      <c r="A63" s="23" t="s">
        <v>171</v>
      </c>
      <c r="B63" s="23">
        <v>2066859.3376978401</v>
      </c>
      <c r="C63" s="23">
        <v>4731029.7235713201</v>
      </c>
      <c r="D63" s="23">
        <v>6231690.41771961</v>
      </c>
      <c r="E63" s="23">
        <v>3006544.8025945001</v>
      </c>
      <c r="F63" s="23">
        <v>2566714.0574324299</v>
      </c>
      <c r="G63" s="23">
        <v>3539753.2878133501</v>
      </c>
      <c r="H63" s="1">
        <v>2127527.6586551801</v>
      </c>
      <c r="I63" s="1">
        <v>2753958.4069237299</v>
      </c>
      <c r="J63" s="1">
        <v>2656433.6876620199</v>
      </c>
      <c r="K63" s="1">
        <v>3904862.3943012599</v>
      </c>
      <c r="L63" s="1">
        <v>7083535.7703356901</v>
      </c>
      <c r="M63" s="1">
        <v>4323071.5184156103</v>
      </c>
    </row>
    <row r="64" spans="1:13">
      <c r="A64" s="1" t="s">
        <v>55</v>
      </c>
      <c r="B64" s="1">
        <v>1320230.0193264</v>
      </c>
      <c r="C64" s="1">
        <v>1275315.1503183499</v>
      </c>
      <c r="D64" s="1">
        <v>1211066.23147298</v>
      </c>
      <c r="E64" s="1">
        <v>860848.99323653302</v>
      </c>
      <c r="F64" s="1">
        <v>1136740.2818090201</v>
      </c>
      <c r="G64" s="1">
        <v>658101.50778686302</v>
      </c>
      <c r="H64" s="1">
        <v>1114805.3612875501</v>
      </c>
      <c r="I64" s="1">
        <v>1134850.24919629</v>
      </c>
      <c r="J64" s="1">
        <v>1343059.0778590699</v>
      </c>
      <c r="K64" s="1">
        <v>1377364.01426173</v>
      </c>
      <c r="L64" s="1">
        <v>2507930.2988065602</v>
      </c>
      <c r="M64" s="1">
        <v>1365777.4467255101</v>
      </c>
    </row>
    <row r="65" spans="1:13">
      <c r="A65" s="1" t="s">
        <v>219</v>
      </c>
      <c r="B65" s="1">
        <v>507148.42006111902</v>
      </c>
      <c r="C65" s="1">
        <v>1246134.4330613399</v>
      </c>
      <c r="D65" s="1">
        <v>3524659.36997825</v>
      </c>
      <c r="E65" s="1">
        <v>988780.32691448205</v>
      </c>
      <c r="F65" s="1">
        <v>1167873.2286972799</v>
      </c>
      <c r="G65" s="1">
        <v>1509366.37397429</v>
      </c>
      <c r="H65" s="1">
        <v>1569602.04330592</v>
      </c>
      <c r="I65" s="1">
        <v>1493903.5436490399</v>
      </c>
      <c r="J65" s="1">
        <v>1563190.17008952</v>
      </c>
      <c r="K65" s="1">
        <v>2496528.30982011</v>
      </c>
      <c r="L65" s="1">
        <v>2346487.8867359799</v>
      </c>
      <c r="M65" s="1">
        <v>3310282.2536884602</v>
      </c>
    </row>
    <row r="66" spans="1:13">
      <c r="A66" s="1" t="s">
        <v>165</v>
      </c>
      <c r="B66" s="1">
        <v>2260250.49595983</v>
      </c>
      <c r="C66" s="1">
        <v>48599374.272675999</v>
      </c>
      <c r="D66" s="1">
        <v>6749356.7276794603</v>
      </c>
      <c r="E66" s="1">
        <v>2479311.5435685199</v>
      </c>
      <c r="F66" s="1">
        <v>35224324.075093597</v>
      </c>
      <c r="G66" s="1">
        <v>2025537.61292554</v>
      </c>
      <c r="H66" s="1">
        <v>8325498.1639597099</v>
      </c>
      <c r="I66" s="1">
        <v>9788221.1724425592</v>
      </c>
      <c r="J66" s="1">
        <v>8051369.8507998995</v>
      </c>
      <c r="K66" s="1">
        <v>11186941.4838071</v>
      </c>
      <c r="L66" s="1">
        <v>12890796.2398575</v>
      </c>
      <c r="M66" s="1">
        <v>13376840.682651401</v>
      </c>
    </row>
    <row r="67" spans="1:13">
      <c r="A67" s="1" t="s">
        <v>43</v>
      </c>
      <c r="B67" s="1">
        <v>28259784.442142799</v>
      </c>
      <c r="C67" s="1">
        <v>57188790.194501102</v>
      </c>
      <c r="D67" s="1">
        <v>35452441.505864702</v>
      </c>
      <c r="E67" s="1">
        <v>8800140.1553639807</v>
      </c>
      <c r="F67" s="1">
        <v>8411044.0496306904</v>
      </c>
      <c r="G67" s="1">
        <v>65992751.463032201</v>
      </c>
      <c r="H67" s="1">
        <v>29976932.434176601</v>
      </c>
      <c r="I67" s="1">
        <v>58763182.386537701</v>
      </c>
      <c r="J67" s="1">
        <v>51143215.3304478</v>
      </c>
      <c r="K67" s="1">
        <v>70431105.589701697</v>
      </c>
      <c r="L67" s="1">
        <v>70018017.270932704</v>
      </c>
      <c r="M67" s="1">
        <v>57998929.6204165</v>
      </c>
    </row>
    <row r="68" spans="1:13">
      <c r="A68" s="1" t="s">
        <v>89</v>
      </c>
      <c r="B68" s="1">
        <v>350801.95985487802</v>
      </c>
      <c r="C68" s="1">
        <v>2478581.8516460098</v>
      </c>
      <c r="D68" s="1">
        <v>10514493.342313301</v>
      </c>
      <c r="E68" s="1">
        <v>2714207.6646868498</v>
      </c>
      <c r="F68" s="1">
        <v>3371444.3992313398</v>
      </c>
      <c r="G68" s="1">
        <v>2630742.6739330301</v>
      </c>
      <c r="H68" s="1">
        <v>4446615.3235403197</v>
      </c>
      <c r="I68" s="1">
        <v>4278459.5619250704</v>
      </c>
      <c r="J68" s="1">
        <v>4632011.2812556401</v>
      </c>
      <c r="K68" s="1">
        <v>5664689.8283534702</v>
      </c>
      <c r="L68" s="1">
        <v>246095.367562128</v>
      </c>
      <c r="M68" s="1">
        <v>115068.34045052899</v>
      </c>
    </row>
    <row r="69" spans="1:13">
      <c r="A69" s="9" t="s">
        <v>27</v>
      </c>
      <c r="B69" s="9">
        <v>3662418.3619409502</v>
      </c>
      <c r="C69" s="9">
        <v>4321471.78463786</v>
      </c>
      <c r="D69" s="9">
        <v>4613620.3009993499</v>
      </c>
      <c r="E69" s="9">
        <v>3764436.1452335999</v>
      </c>
      <c r="F69" s="9">
        <v>722801.97418366105</v>
      </c>
      <c r="G69" s="9">
        <v>3401262.4470908199</v>
      </c>
      <c r="H69" s="1">
        <v>3077863.9257633998</v>
      </c>
      <c r="I69" s="1">
        <v>1948861.81327987</v>
      </c>
      <c r="J69" s="1">
        <v>2225743.1626480999</v>
      </c>
      <c r="K69" s="1">
        <v>4184489.78250197</v>
      </c>
      <c r="L69" s="1">
        <v>4279805.5244767601</v>
      </c>
      <c r="M69" s="1">
        <v>1523719.2855628601</v>
      </c>
    </row>
    <row r="70" spans="1:13">
      <c r="A70" s="1" t="s">
        <v>75</v>
      </c>
      <c r="B70" s="1">
        <v>446969.61415553902</v>
      </c>
      <c r="C70" s="1">
        <v>363933.88176534203</v>
      </c>
      <c r="D70" s="1">
        <v>2891853.2258007699</v>
      </c>
      <c r="E70" s="1">
        <v>830978.52158323105</v>
      </c>
      <c r="F70" s="1">
        <v>900663.20554350095</v>
      </c>
      <c r="G70" s="1">
        <v>535082.40403813496</v>
      </c>
      <c r="H70" s="1">
        <v>215087.054256715</v>
      </c>
      <c r="I70" s="1">
        <v>1012312.70537254</v>
      </c>
      <c r="J70" s="1">
        <v>7417408.9139716504</v>
      </c>
      <c r="K70" s="1">
        <v>252149.44394694199</v>
      </c>
      <c r="L70" s="1">
        <v>1216060.9079684101</v>
      </c>
      <c r="M70" s="1">
        <v>2588199.3650071602</v>
      </c>
    </row>
    <row r="71" spans="1:13">
      <c r="A71" s="1" t="s">
        <v>209</v>
      </c>
      <c r="B71" s="1">
        <v>3669687.20759658</v>
      </c>
      <c r="C71" s="1">
        <v>45907837.372474499</v>
      </c>
      <c r="D71" s="1">
        <v>5630110.1304310001</v>
      </c>
      <c r="E71" s="1">
        <v>3192727.3279567799</v>
      </c>
      <c r="F71" s="1">
        <v>4183099.8738921401</v>
      </c>
      <c r="G71" s="1">
        <v>26192596.7046578</v>
      </c>
      <c r="H71" s="1">
        <v>18259012.783886101</v>
      </c>
      <c r="I71" s="1">
        <v>20392117.537507601</v>
      </c>
      <c r="J71" s="1">
        <v>8735381.0957977809</v>
      </c>
      <c r="K71" s="1">
        <v>20050876.4586269</v>
      </c>
      <c r="L71" s="1">
        <v>17179475.078072801</v>
      </c>
      <c r="M71" s="1">
        <v>28778558.8567717</v>
      </c>
    </row>
    <row r="72" spans="1:13">
      <c r="A72" s="1" t="s">
        <v>41</v>
      </c>
      <c r="B72" s="1">
        <v>4393444.32488879</v>
      </c>
      <c r="C72" s="1">
        <v>3565846.77795558</v>
      </c>
      <c r="D72" s="1">
        <v>2132042.06952726</v>
      </c>
      <c r="E72" s="1">
        <v>3453927.9555966202</v>
      </c>
      <c r="F72" s="1">
        <v>374855.535352604</v>
      </c>
      <c r="G72" s="1">
        <v>2250045.9153175801</v>
      </c>
      <c r="H72" s="1">
        <v>2142360.1233658898</v>
      </c>
      <c r="I72" s="1">
        <v>2840393.0503996299</v>
      </c>
      <c r="J72" s="1">
        <v>2710962.5904574501</v>
      </c>
      <c r="K72" s="1">
        <v>4803916.0632336996</v>
      </c>
      <c r="L72" s="1">
        <v>3707572.86426064</v>
      </c>
      <c r="M72" s="1">
        <v>3076422.7937637698</v>
      </c>
    </row>
    <row r="73" spans="1:13">
      <c r="A73" s="1" t="s">
        <v>122</v>
      </c>
      <c r="B73" s="1">
        <v>1508132.5025154899</v>
      </c>
      <c r="C73" s="1">
        <v>8357909.3672754997</v>
      </c>
      <c r="D73" s="1">
        <v>1852098.83850673</v>
      </c>
      <c r="E73" s="1">
        <v>1623418.76952985</v>
      </c>
      <c r="F73" s="1">
        <v>1157569.7729587101</v>
      </c>
      <c r="G73" s="1">
        <v>4212928.6522829402</v>
      </c>
      <c r="H73" s="1">
        <v>1837173.91370664</v>
      </c>
      <c r="I73" s="1">
        <v>1865512.0136742101</v>
      </c>
      <c r="J73" s="1">
        <v>1720042.1511985499</v>
      </c>
      <c r="K73" s="1">
        <v>2413777.3053691699</v>
      </c>
      <c r="L73" s="1">
        <v>4394840.2541814102</v>
      </c>
      <c r="M73" s="1">
        <v>3860919.5070261401</v>
      </c>
    </row>
    <row r="74" spans="1:13">
      <c r="A74" s="6" t="s">
        <v>99</v>
      </c>
      <c r="B74" s="1">
        <v>21362331.024709001</v>
      </c>
      <c r="C74" s="1">
        <v>24914449.105774</v>
      </c>
      <c r="D74" s="1">
        <v>25047753.924795602</v>
      </c>
      <c r="E74" s="1">
        <v>12824940.4777552</v>
      </c>
      <c r="F74" s="1">
        <v>16246526.1623039</v>
      </c>
      <c r="G74" s="1">
        <v>12189954.029198499</v>
      </c>
      <c r="H74" s="1">
        <v>9420453.6776375398</v>
      </c>
      <c r="I74" s="1">
        <v>8753586.0354373995</v>
      </c>
      <c r="J74" s="1">
        <v>7570965.8672834896</v>
      </c>
      <c r="K74" s="1">
        <v>23922734.823314302</v>
      </c>
      <c r="L74" s="1">
        <v>34466205.587965399</v>
      </c>
      <c r="M74" s="1">
        <v>28134394.733229101</v>
      </c>
    </row>
    <row r="75" spans="1:13">
      <c r="A75" s="6" t="s">
        <v>37</v>
      </c>
      <c r="B75" s="1">
        <v>96888343.038318306</v>
      </c>
      <c r="C75" s="1">
        <v>1441621464.3700299</v>
      </c>
      <c r="D75" s="1">
        <v>932887498.88284004</v>
      </c>
      <c r="E75" s="1">
        <v>507545441.54708201</v>
      </c>
      <c r="F75" s="1">
        <v>448388519.42212898</v>
      </c>
      <c r="G75" s="1">
        <v>390665796.58948898</v>
      </c>
      <c r="H75" s="1">
        <v>403939140.20670301</v>
      </c>
      <c r="I75" s="1">
        <v>422752280.15963399</v>
      </c>
      <c r="J75" s="1">
        <v>388336756.19495797</v>
      </c>
      <c r="K75" s="1">
        <v>539828694.27386701</v>
      </c>
      <c r="L75" s="1">
        <v>585909255.30306304</v>
      </c>
      <c r="M75" s="1">
        <v>826075200.06988597</v>
      </c>
    </row>
    <row r="76" spans="1:13">
      <c r="A76" s="1" t="s">
        <v>221</v>
      </c>
      <c r="B76" s="1">
        <v>2069535.2228957401</v>
      </c>
      <c r="C76" s="1">
        <v>3512339.6608524099</v>
      </c>
      <c r="D76" s="1">
        <v>5792644.4431240195</v>
      </c>
      <c r="E76" s="1">
        <v>2302225.2824174198</v>
      </c>
      <c r="F76" s="1">
        <v>1497709.9931347701</v>
      </c>
      <c r="G76" s="1">
        <v>2113040.5525422902</v>
      </c>
      <c r="H76" s="1">
        <v>4364954.1649039099</v>
      </c>
      <c r="I76" s="1">
        <v>6723039.7020364599</v>
      </c>
      <c r="J76" s="1">
        <v>4440066.6070459103</v>
      </c>
      <c r="K76" s="1">
        <v>6140961.4974416196</v>
      </c>
      <c r="L76" s="1">
        <v>8699469.0631748997</v>
      </c>
      <c r="M76" s="1">
        <v>6413370.62393976</v>
      </c>
    </row>
    <row r="77" spans="1:13">
      <c r="A77" s="9" t="s">
        <v>105</v>
      </c>
      <c r="B77" s="9">
        <v>26281121.065574002</v>
      </c>
      <c r="C77" s="9">
        <v>27570304.615713999</v>
      </c>
      <c r="D77" s="9">
        <v>25791307.5279723</v>
      </c>
      <c r="E77" s="9">
        <v>15321302.8245936</v>
      </c>
      <c r="F77" s="9">
        <v>11760272.5695541</v>
      </c>
      <c r="G77" s="9">
        <v>11269523.209610401</v>
      </c>
      <c r="H77" s="1">
        <v>15562486.825789301</v>
      </c>
      <c r="I77" s="1">
        <v>34522177.599242501</v>
      </c>
      <c r="J77" s="1">
        <v>17162753.657128502</v>
      </c>
      <c r="K77" s="1">
        <v>33915193.439170003</v>
      </c>
      <c r="L77" s="1">
        <v>34795627.096658401</v>
      </c>
      <c r="M77" s="1">
        <v>31285933.7700844</v>
      </c>
    </row>
    <row r="78" spans="1:13">
      <c r="A78" s="1" t="s">
        <v>163</v>
      </c>
      <c r="B78" s="1">
        <v>6215632.6145337597</v>
      </c>
      <c r="C78" s="1">
        <v>17078546.774749599</v>
      </c>
      <c r="D78" s="1">
        <v>9595712.4337992705</v>
      </c>
      <c r="E78" s="1">
        <v>4580652.1398568396</v>
      </c>
      <c r="F78" s="1">
        <v>8647628.5958381407</v>
      </c>
      <c r="G78" s="1">
        <v>2491767.7875375999</v>
      </c>
      <c r="H78" s="1">
        <v>6758855.6752151903</v>
      </c>
      <c r="I78" s="1">
        <v>5281887.4320385801</v>
      </c>
      <c r="J78" s="1">
        <v>5086016.4052109905</v>
      </c>
      <c r="K78" s="1">
        <v>8305108.15629726</v>
      </c>
      <c r="L78" s="1">
        <v>9128448.4635341298</v>
      </c>
      <c r="M78" s="1">
        <v>8362704.8090667101</v>
      </c>
    </row>
    <row r="79" spans="1:13">
      <c r="A79" s="1" t="s">
        <v>191</v>
      </c>
      <c r="B79" s="1">
        <v>311016.17682623799</v>
      </c>
      <c r="C79" s="1">
        <v>1504807.9899554099</v>
      </c>
      <c r="D79" s="1">
        <v>909655.43465928896</v>
      </c>
      <c r="E79" s="1">
        <v>457699.47885182902</v>
      </c>
      <c r="F79" s="1">
        <v>413561.26131846901</v>
      </c>
      <c r="G79" s="1">
        <v>423154.82888020301</v>
      </c>
      <c r="H79" s="1">
        <v>131512.10672954799</v>
      </c>
      <c r="I79" s="1">
        <v>373663.64132044802</v>
      </c>
      <c r="J79" s="1">
        <v>387705.77712568198</v>
      </c>
      <c r="K79" s="1">
        <v>413129.45035308</v>
      </c>
      <c r="L79" s="1">
        <v>353947.52981112001</v>
      </c>
      <c r="M79" s="1">
        <v>172731.883554681</v>
      </c>
    </row>
    <row r="80" spans="1:13">
      <c r="A80" s="1" t="s">
        <v>223</v>
      </c>
      <c r="B80" s="1">
        <v>3608126.5533274501</v>
      </c>
      <c r="C80" s="1">
        <v>4213989.3060566699</v>
      </c>
      <c r="D80" s="1">
        <v>4212846.44066332</v>
      </c>
      <c r="E80" s="1">
        <v>1614242.6105909899</v>
      </c>
      <c r="F80" s="1">
        <v>1666965.2486602999</v>
      </c>
      <c r="G80" s="1">
        <v>2260985.5747842598</v>
      </c>
      <c r="H80" s="1">
        <v>1100428.1158493501</v>
      </c>
      <c r="I80" s="1">
        <v>1540486.90184398</v>
      </c>
      <c r="J80" s="1">
        <v>1182298.4969337101</v>
      </c>
      <c r="K80" s="1">
        <v>2232011.87356378</v>
      </c>
      <c r="L80" s="1">
        <v>1360041.67972683</v>
      </c>
      <c r="M80" s="1">
        <v>1511263.99790512</v>
      </c>
    </row>
    <row r="81" spans="1:13">
      <c r="A81" s="23" t="s">
        <v>181</v>
      </c>
      <c r="B81" s="23">
        <v>178708.835695944</v>
      </c>
      <c r="C81" s="23">
        <v>329128.84607574902</v>
      </c>
      <c r="D81" s="23">
        <v>202427.04572252501</v>
      </c>
      <c r="E81" s="23">
        <v>104696.395399138</v>
      </c>
      <c r="F81" s="23">
        <v>54478.991413130898</v>
      </c>
      <c r="G81" s="23">
        <v>151977.715707322</v>
      </c>
      <c r="H81" s="1">
        <v>160131.510321982</v>
      </c>
      <c r="I81" s="1">
        <v>38222.103941974397</v>
      </c>
      <c r="J81" s="1">
        <v>49139.997598247603</v>
      </c>
      <c r="K81" s="1">
        <v>70042.633710713999</v>
      </c>
      <c r="L81" s="1">
        <v>148970.826169682</v>
      </c>
      <c r="M81" s="1">
        <v>291207.15817390499</v>
      </c>
    </row>
    <row r="82" spans="1:13">
      <c r="A82" s="1" t="s">
        <v>81</v>
      </c>
      <c r="B82" s="1">
        <v>1302948.8899743301</v>
      </c>
      <c r="C82" s="1">
        <v>13358324.2256655</v>
      </c>
      <c r="D82" s="1">
        <v>14924895.2644928</v>
      </c>
      <c r="E82" s="1">
        <v>3477657.8899605898</v>
      </c>
      <c r="F82" s="1">
        <v>4021129.2152594798</v>
      </c>
      <c r="G82" s="1">
        <v>3807896.0494500902</v>
      </c>
      <c r="H82" s="1">
        <v>2023592.7585594801</v>
      </c>
      <c r="I82" s="1">
        <v>1804509.6989188399</v>
      </c>
      <c r="J82" s="1">
        <v>2174198.7599241398</v>
      </c>
      <c r="K82" s="1">
        <v>2800907.76278537</v>
      </c>
      <c r="L82" s="1">
        <v>3099873.84572786</v>
      </c>
      <c r="M82" s="1">
        <v>3100839.6444192398</v>
      </c>
    </row>
    <row r="83" spans="1:13">
      <c r="A83" s="1" t="s">
        <v>49</v>
      </c>
      <c r="B83" s="1">
        <v>2224356.5696565299</v>
      </c>
      <c r="C83" s="1">
        <v>8284672.3620464997</v>
      </c>
      <c r="D83" s="1">
        <v>13047459.487720899</v>
      </c>
      <c r="E83" s="1">
        <v>2969519.8131475402</v>
      </c>
      <c r="F83" s="1">
        <v>3507664.7551200702</v>
      </c>
      <c r="G83" s="1">
        <v>2165356.7114458098</v>
      </c>
      <c r="H83" s="1">
        <v>3109931.0564453402</v>
      </c>
      <c r="I83" s="1">
        <v>3351016.1815126901</v>
      </c>
      <c r="J83" s="1">
        <v>4106296.4074314302</v>
      </c>
      <c r="K83" s="1">
        <v>5304420.0701040197</v>
      </c>
      <c r="L83" s="1">
        <v>4868574.8910565898</v>
      </c>
      <c r="M83" s="1">
        <v>5337017.9689588603</v>
      </c>
    </row>
    <row r="84" spans="1:13">
      <c r="A84" s="1" t="s">
        <v>136</v>
      </c>
      <c r="B84" s="1">
        <v>19421995.3765448</v>
      </c>
      <c r="C84" s="1">
        <v>96412565.2379466</v>
      </c>
      <c r="D84" s="1">
        <v>48841494.988132201</v>
      </c>
      <c r="E84" s="1">
        <v>18008887.354709499</v>
      </c>
      <c r="F84" s="1">
        <v>15351492.778171901</v>
      </c>
      <c r="G84" s="1">
        <v>25741065.450866401</v>
      </c>
      <c r="H84" s="1">
        <v>20574032.6656744</v>
      </c>
      <c r="I84" s="1">
        <v>20784787.0208042</v>
      </c>
      <c r="J84" s="1">
        <v>20985565.115250099</v>
      </c>
      <c r="K84" s="1">
        <v>29642349.090162098</v>
      </c>
      <c r="L84" s="1">
        <v>27797061.105920698</v>
      </c>
      <c r="M84" s="1">
        <v>30006543.993548799</v>
      </c>
    </row>
    <row r="85" spans="1:13">
      <c r="A85" s="1" t="s">
        <v>31</v>
      </c>
      <c r="B85" s="1">
        <v>8331188.9041259</v>
      </c>
      <c r="C85" s="1">
        <v>3284465.6895492999</v>
      </c>
      <c r="D85" s="1">
        <v>6790400.9439834002</v>
      </c>
      <c r="E85" s="1">
        <v>2024747.3602346601</v>
      </c>
      <c r="F85" s="1">
        <v>1473024.0769428699</v>
      </c>
      <c r="G85" s="1">
        <v>2947278.6410210002</v>
      </c>
      <c r="H85" s="1">
        <v>8804772.1574421506</v>
      </c>
      <c r="I85" s="1">
        <v>2246880.0352721498</v>
      </c>
      <c r="J85" s="1">
        <v>8667198.2338215206</v>
      </c>
      <c r="K85" s="1">
        <v>11000374.8704214</v>
      </c>
      <c r="L85" s="1">
        <v>10267891.885560401</v>
      </c>
      <c r="M85" s="1">
        <v>10010026.271987701</v>
      </c>
    </row>
    <row r="86" spans="1:13">
      <c r="A86" s="1" t="s">
        <v>158</v>
      </c>
      <c r="B86" s="1">
        <v>1494145.95353131</v>
      </c>
      <c r="C86" s="1">
        <v>1221055.3351261001</v>
      </c>
      <c r="D86" s="1">
        <v>467980.20091294002</v>
      </c>
      <c r="E86" s="1">
        <v>358499.78635178303</v>
      </c>
      <c r="F86" s="1">
        <v>55636.863043140998</v>
      </c>
      <c r="G86" s="1">
        <v>638686.41483135498</v>
      </c>
      <c r="H86" s="1">
        <v>242028.72614113899</v>
      </c>
      <c r="I86" s="1">
        <v>239722.492673689</v>
      </c>
      <c r="J86" s="1">
        <v>281956.14162061899</v>
      </c>
      <c r="K86" s="1">
        <v>393490.55144821701</v>
      </c>
      <c r="L86" s="1">
        <v>238071.193418401</v>
      </c>
      <c r="M86" s="1">
        <v>338112.21447707701</v>
      </c>
    </row>
    <row r="87" spans="1:13">
      <c r="A87" s="1" t="s">
        <v>111</v>
      </c>
      <c r="B87" s="1">
        <v>1275263.40300142</v>
      </c>
      <c r="C87" s="1">
        <v>2545751.6212330302</v>
      </c>
      <c r="D87" s="1">
        <v>2452503.2123002401</v>
      </c>
      <c r="E87" s="1">
        <v>608831.87717222294</v>
      </c>
      <c r="F87" s="1">
        <v>615434.14619633101</v>
      </c>
      <c r="G87" s="1">
        <v>602090.72759807704</v>
      </c>
      <c r="H87" s="1">
        <v>647262.614540198</v>
      </c>
      <c r="I87" s="1">
        <v>595646.545270968</v>
      </c>
      <c r="J87" s="1">
        <v>471529.906006039</v>
      </c>
      <c r="K87" s="1">
        <v>1052212.5219175301</v>
      </c>
      <c r="L87" s="1">
        <v>604561.28515390202</v>
      </c>
      <c r="M87" s="1">
        <v>1886066.0964232399</v>
      </c>
    </row>
    <row r="88" spans="1:13">
      <c r="A88" s="1" t="s">
        <v>197</v>
      </c>
      <c r="B88" s="1">
        <v>2588830.3711701301</v>
      </c>
      <c r="C88" s="1">
        <v>8065778.11742815</v>
      </c>
      <c r="D88" s="1">
        <v>16516456.813148599</v>
      </c>
      <c r="E88" s="1">
        <v>3949441.8922407301</v>
      </c>
      <c r="F88" s="1">
        <v>2640334.0620148499</v>
      </c>
      <c r="G88" s="1">
        <v>420962.10569037602</v>
      </c>
      <c r="H88" s="1">
        <v>3724705.7906313599</v>
      </c>
      <c r="I88" s="1">
        <v>3990683.3209528602</v>
      </c>
      <c r="J88" s="1">
        <v>3892261.3477079398</v>
      </c>
      <c r="K88" s="1">
        <v>5617011.7349413102</v>
      </c>
      <c r="L88" s="1">
        <v>4124902.2893438102</v>
      </c>
      <c r="M88" s="1">
        <v>197224.243124553</v>
      </c>
    </row>
    <row r="89" spans="1:13">
      <c r="A89" s="1" t="s">
        <v>152</v>
      </c>
      <c r="B89" s="1">
        <v>2491943.8110579499</v>
      </c>
      <c r="C89" s="1">
        <v>9265361.7900461107</v>
      </c>
      <c r="D89" s="1">
        <v>12508904.5679508</v>
      </c>
      <c r="E89" s="1">
        <v>2383088.2705660402</v>
      </c>
      <c r="F89" s="1">
        <v>1968833.0686756</v>
      </c>
      <c r="G89" s="1">
        <v>1703514.2810955299</v>
      </c>
      <c r="H89" s="1">
        <v>9340005.6560967397</v>
      </c>
      <c r="I89" s="1">
        <v>8797412.3419106491</v>
      </c>
      <c r="J89" s="1">
        <v>9313113.2366013099</v>
      </c>
      <c r="K89" s="1">
        <v>13218123.9376623</v>
      </c>
      <c r="L89" s="1">
        <v>6871907.0060331402</v>
      </c>
      <c r="M89" s="1">
        <v>2200825.5904240799</v>
      </c>
    </row>
    <row r="90" spans="1:13">
      <c r="A90" s="1" t="s">
        <v>150</v>
      </c>
      <c r="B90" s="1">
        <v>2483644.8631942701</v>
      </c>
      <c r="C90" s="1">
        <v>3696586.2923693098</v>
      </c>
      <c r="D90" s="1">
        <v>6302925.2383723501</v>
      </c>
      <c r="E90" s="1">
        <v>1316073.19651977</v>
      </c>
      <c r="F90" s="1">
        <v>1292980.09763339</v>
      </c>
      <c r="G90" s="1">
        <v>271532.94359031302</v>
      </c>
      <c r="H90" s="1">
        <v>1164299.2946884001</v>
      </c>
      <c r="I90" s="1">
        <v>1099105.3789554101</v>
      </c>
      <c r="J90" s="1">
        <v>1114892.5985153001</v>
      </c>
      <c r="K90" s="1">
        <v>1800859.9014697</v>
      </c>
      <c r="L90" s="1">
        <v>1102878.9928487199</v>
      </c>
      <c r="M90" s="1">
        <v>994830.47749462305</v>
      </c>
    </row>
    <row r="91" spans="1:13">
      <c r="A91" s="1" t="s">
        <v>91</v>
      </c>
      <c r="B91" s="1">
        <v>1109072.0477056301</v>
      </c>
      <c r="C91" s="1">
        <v>228733.199831982</v>
      </c>
      <c r="D91" s="1">
        <v>1487749.8733758</v>
      </c>
      <c r="E91" s="1">
        <v>125323.770320642</v>
      </c>
      <c r="F91" s="1">
        <v>229212.19009793401</v>
      </c>
      <c r="G91" s="1">
        <v>279118.70241519401</v>
      </c>
      <c r="H91" s="1">
        <v>405116.12020388001</v>
      </c>
      <c r="I91" s="1">
        <v>283152.24289052701</v>
      </c>
      <c r="J91" s="1">
        <v>512444.27290663298</v>
      </c>
      <c r="K91" s="1">
        <v>746053.89419642906</v>
      </c>
      <c r="L91" s="1">
        <v>2763812.02903029</v>
      </c>
      <c r="M91" s="1">
        <v>7874665.7165068798</v>
      </c>
    </row>
    <row r="92" spans="1:13">
      <c r="A92" s="1" t="s">
        <v>95</v>
      </c>
      <c r="B92" s="1">
        <v>2208267.24520711</v>
      </c>
      <c r="C92" s="1">
        <v>1345983.7602755199</v>
      </c>
      <c r="D92" s="1">
        <v>1680921.5915918001</v>
      </c>
      <c r="E92" s="1">
        <v>322486.59565629798</v>
      </c>
      <c r="F92" s="1">
        <v>276637.83036951203</v>
      </c>
      <c r="G92" s="1">
        <v>267514.27308767801</v>
      </c>
      <c r="H92" s="1">
        <v>1327451.6628440199</v>
      </c>
      <c r="I92" s="1">
        <v>2789621.9903941099</v>
      </c>
      <c r="J92" s="1">
        <v>1481771.43303161</v>
      </c>
      <c r="K92" s="1">
        <v>1639925.03552706</v>
      </c>
      <c r="L92" s="1">
        <v>5253390.3939475203</v>
      </c>
      <c r="M92" s="1">
        <v>1356918.63831251</v>
      </c>
    </row>
    <row r="93" spans="1:13">
      <c r="A93" s="23" t="s">
        <v>101</v>
      </c>
      <c r="B93" s="23">
        <v>2426272.2461899598</v>
      </c>
      <c r="C93" s="23">
        <v>2599570.3167333398</v>
      </c>
      <c r="D93" s="23">
        <v>5582585.1567933699</v>
      </c>
      <c r="E93" s="23">
        <v>646767.65047369897</v>
      </c>
      <c r="F93" s="23">
        <v>369164.00072009501</v>
      </c>
      <c r="G93" s="23">
        <v>640301.85057244496</v>
      </c>
      <c r="H93" s="1">
        <v>1654149.71444534</v>
      </c>
      <c r="I93" s="1">
        <v>1294959.24880423</v>
      </c>
      <c r="J93" s="1">
        <v>2046129.55294074</v>
      </c>
      <c r="K93" s="1">
        <v>2219306.1087549799</v>
      </c>
      <c r="L93" s="1">
        <v>2126011.4666624698</v>
      </c>
      <c r="M93" s="1">
        <v>2085411.00528162</v>
      </c>
    </row>
    <row r="94" spans="1:13">
      <c r="A94" s="1" t="s">
        <v>120</v>
      </c>
      <c r="B94" s="1">
        <v>180972.822623669</v>
      </c>
      <c r="C94" s="1">
        <v>280693.93334455998</v>
      </c>
      <c r="D94" s="1">
        <v>2876135.3375074002</v>
      </c>
      <c r="E94" s="1">
        <v>146525.19410334801</v>
      </c>
      <c r="F94" s="1">
        <v>167790.19307488101</v>
      </c>
      <c r="G94" s="1">
        <v>151979.33831722999</v>
      </c>
      <c r="H94" s="1">
        <v>101307.061988696</v>
      </c>
      <c r="I94" s="1">
        <v>155210.023366548</v>
      </c>
      <c r="J94" s="1">
        <v>127630.547781639</v>
      </c>
      <c r="K94" s="1">
        <v>198343.26701683301</v>
      </c>
      <c r="L94" s="1">
        <v>156883.526656795</v>
      </c>
      <c r="M94" s="1">
        <v>118734.858012203</v>
      </c>
    </row>
    <row r="95" spans="1:13">
      <c r="A95" s="1" t="s">
        <v>203</v>
      </c>
      <c r="B95" s="1">
        <v>6095424.2884202097</v>
      </c>
      <c r="C95" s="1">
        <v>7843780.8223021403</v>
      </c>
      <c r="D95" s="1">
        <v>5716816.3576859403</v>
      </c>
      <c r="E95" s="1">
        <v>557972.42307805002</v>
      </c>
      <c r="F95" s="1">
        <v>820034.76492364099</v>
      </c>
      <c r="G95" s="1">
        <v>879122.80528212502</v>
      </c>
      <c r="H95" s="1">
        <v>745759.00725346606</v>
      </c>
      <c r="I95" s="1">
        <v>1442248.2209957901</v>
      </c>
      <c r="J95" s="1">
        <v>958068.72221336002</v>
      </c>
      <c r="K95" s="1">
        <v>550190.40218298696</v>
      </c>
      <c r="L95" s="1">
        <v>3136017.1284201001</v>
      </c>
      <c r="M95" s="1">
        <v>2992414.2863929099</v>
      </c>
    </row>
    <row r="96" spans="1:13">
      <c r="A96" s="1" t="s">
        <v>57</v>
      </c>
      <c r="B96" s="1">
        <v>7807957.4605044601</v>
      </c>
      <c r="C96" s="1">
        <v>5308855.7249043901</v>
      </c>
      <c r="D96" s="1">
        <v>27047348.7252868</v>
      </c>
      <c r="E96" s="1">
        <v>1799630.96436248</v>
      </c>
      <c r="F96" s="1">
        <v>1110217.61932053</v>
      </c>
      <c r="G96" s="1">
        <v>1525034.4866829501</v>
      </c>
      <c r="H96" s="1">
        <v>1865917.1539680201</v>
      </c>
      <c r="I96" s="1">
        <v>1843356.10646064</v>
      </c>
      <c r="J96" s="1">
        <v>1781575.35737686</v>
      </c>
      <c r="K96" s="1">
        <v>2716406.3343108399</v>
      </c>
      <c r="L96" s="1">
        <v>2671986.8394819801</v>
      </c>
      <c r="M96" s="1">
        <v>3505414.6703101699</v>
      </c>
    </row>
    <row r="97" spans="1:13">
      <c r="A97" s="1" t="s">
        <v>214</v>
      </c>
      <c r="B97" s="1">
        <v>2014775.14479788</v>
      </c>
      <c r="C97" s="1">
        <v>184675.85439010401</v>
      </c>
      <c r="D97" s="1">
        <v>2714074.3292044001</v>
      </c>
      <c r="E97" s="1">
        <v>168537.52133524499</v>
      </c>
      <c r="F97" s="1">
        <v>183095.10694248701</v>
      </c>
      <c r="G97" s="1">
        <v>164292.82089197601</v>
      </c>
      <c r="H97" s="1">
        <v>167833.997458417</v>
      </c>
      <c r="I97" s="1">
        <v>122357.47483663</v>
      </c>
      <c r="J97" s="1">
        <v>120573.03243031399</v>
      </c>
      <c r="K97" s="1">
        <v>185271.71849267499</v>
      </c>
      <c r="L97" s="1">
        <v>194073.127387655</v>
      </c>
      <c r="M97" s="1">
        <v>217352.87161433499</v>
      </c>
    </row>
    <row r="98" spans="1:13">
      <c r="A98" s="1" t="s">
        <v>35</v>
      </c>
      <c r="B98" s="1">
        <v>4248528.3999029202</v>
      </c>
      <c r="C98" s="1">
        <v>2424088.46533034</v>
      </c>
      <c r="D98" s="1">
        <v>31425719.638112299</v>
      </c>
      <c r="E98" s="1">
        <v>1000958.7365607501</v>
      </c>
      <c r="F98" s="1">
        <v>492709.28330973</v>
      </c>
      <c r="G98" s="1">
        <v>1106841.2186050201</v>
      </c>
      <c r="H98" s="1">
        <v>1899095.96850563</v>
      </c>
      <c r="I98" s="1">
        <v>1779466.3673726199</v>
      </c>
      <c r="J98" s="1">
        <v>1972213.8245934399</v>
      </c>
      <c r="K98" s="1">
        <v>2583311.5345594301</v>
      </c>
      <c r="L98" s="1">
        <v>3751436.27254991</v>
      </c>
      <c r="M98" s="1">
        <v>2868133.1832359298</v>
      </c>
    </row>
    <row r="99" spans="1:13">
      <c r="A99" s="1" t="s">
        <v>107</v>
      </c>
      <c r="B99" s="1">
        <v>2551869.48841456</v>
      </c>
      <c r="C99" s="1">
        <v>8360236.3956815396</v>
      </c>
      <c r="D99" s="1">
        <v>12676478.642913699</v>
      </c>
      <c r="E99" s="1">
        <v>466626.05704203399</v>
      </c>
      <c r="F99" s="1">
        <v>616548.531482158</v>
      </c>
      <c r="G99" s="1">
        <v>457647.86156701902</v>
      </c>
      <c r="H99" s="1">
        <v>766251.59858262597</v>
      </c>
      <c r="I99" s="1">
        <v>525623.82084735401</v>
      </c>
      <c r="J99" s="1">
        <v>362215.50939120102</v>
      </c>
      <c r="K99" s="1">
        <v>637762.58416528604</v>
      </c>
      <c r="L99" s="1">
        <v>322161.176511842</v>
      </c>
      <c r="M99" s="1">
        <v>3676306.1293732701</v>
      </c>
    </row>
    <row r="100" spans="1:13">
      <c r="A100" s="1" t="s">
        <v>179</v>
      </c>
      <c r="B100" s="1">
        <v>167792997.404515</v>
      </c>
      <c r="C100" s="1">
        <v>20136827.609914199</v>
      </c>
      <c r="D100" s="1">
        <v>62088212.332338601</v>
      </c>
      <c r="E100" s="1">
        <v>4286462.0910571003</v>
      </c>
      <c r="F100" s="1">
        <v>6157536.2416930804</v>
      </c>
      <c r="G100" s="1">
        <v>3854543.6652096398</v>
      </c>
      <c r="H100" s="1">
        <v>16577353.6085265</v>
      </c>
      <c r="I100" s="1">
        <v>15194817.8758034</v>
      </c>
      <c r="J100" s="1">
        <v>19963468.955487799</v>
      </c>
      <c r="K100" s="1">
        <v>19882761.642846301</v>
      </c>
      <c r="L100" s="1">
        <v>18038480.807192001</v>
      </c>
      <c r="M100" s="1">
        <v>20027229.811249401</v>
      </c>
    </row>
    <row r="101" spans="1:13">
      <c r="A101" s="1" t="s">
        <v>134</v>
      </c>
      <c r="B101" s="1">
        <v>3729489.4912217599</v>
      </c>
      <c r="C101" s="1">
        <v>4101890.7369022099</v>
      </c>
      <c r="D101" s="1">
        <v>52443706.457425602</v>
      </c>
      <c r="E101" s="1">
        <v>702038.45052966103</v>
      </c>
      <c r="F101" s="1">
        <v>860712.07715849497</v>
      </c>
      <c r="G101" s="1">
        <v>910977.07074960601</v>
      </c>
      <c r="H101" s="1">
        <v>829299.78974368202</v>
      </c>
      <c r="I101" s="1">
        <v>795213.62252976303</v>
      </c>
      <c r="J101" s="1">
        <v>827151.53958790505</v>
      </c>
      <c r="K101" s="1">
        <v>1257210.0355664601</v>
      </c>
      <c r="L101" s="1">
        <v>631494.59299836901</v>
      </c>
      <c r="M101" s="1">
        <v>6712866.8444083799</v>
      </c>
    </row>
    <row r="102" spans="1:13">
      <c r="A102" s="1" t="s">
        <v>162</v>
      </c>
      <c r="B102" s="1">
        <v>20338678.439171299</v>
      </c>
      <c r="C102" s="1">
        <v>43243675.753670096</v>
      </c>
      <c r="D102" s="1">
        <v>27532457.5286946</v>
      </c>
      <c r="E102" s="1">
        <v>191178.675817571</v>
      </c>
      <c r="F102" s="1">
        <v>109507.764537189</v>
      </c>
      <c r="G102" s="1">
        <v>252733.17265977699</v>
      </c>
      <c r="H102" s="1">
        <v>84686.492374092195</v>
      </c>
      <c r="I102" s="1">
        <v>99789.516532660797</v>
      </c>
      <c r="J102" s="1">
        <v>204416.26810514601</v>
      </c>
      <c r="K102" s="1">
        <v>375265.08887110598</v>
      </c>
      <c r="L102" s="1">
        <v>436486.326589506</v>
      </c>
      <c r="M102" s="1">
        <v>262525.78207582101</v>
      </c>
    </row>
    <row r="103" spans="1:13">
      <c r="A103" s="1" t="s">
        <v>126</v>
      </c>
      <c r="B103" s="1">
        <v>31998607.222282</v>
      </c>
      <c r="C103" s="1">
        <v>96322813.427753896</v>
      </c>
      <c r="D103" s="1">
        <v>78950140.611884996</v>
      </c>
      <c r="E103" s="1">
        <v>231319.823846477</v>
      </c>
      <c r="F103" s="1">
        <v>175072.872882845</v>
      </c>
      <c r="G103" s="1">
        <v>198046.987628826</v>
      </c>
      <c r="H103" s="1">
        <v>268609.99071600998</v>
      </c>
      <c r="I103" s="1">
        <v>164037.172898697</v>
      </c>
      <c r="J103" s="1">
        <v>205806.82614498</v>
      </c>
      <c r="K103" s="1">
        <v>291737.103920975</v>
      </c>
      <c r="L103" s="1">
        <v>56014111.6979063</v>
      </c>
      <c r="M103" s="1">
        <v>53867093.610733397</v>
      </c>
    </row>
    <row r="104" spans="1:13">
      <c r="A104" s="6" t="s">
        <v>39</v>
      </c>
      <c r="B104" s="1">
        <v>198405473.80647901</v>
      </c>
      <c r="C104" s="1">
        <v>453932604.02150398</v>
      </c>
      <c r="D104" s="1">
        <v>303786559.63412201</v>
      </c>
      <c r="E104" s="1">
        <v>734694.80257174699</v>
      </c>
      <c r="F104" s="1">
        <v>567285.60123848496</v>
      </c>
      <c r="G104" s="1">
        <v>655384.03177960101</v>
      </c>
      <c r="H104" s="1">
        <v>723241.96417431603</v>
      </c>
      <c r="I104" s="1">
        <v>557041.17717509705</v>
      </c>
      <c r="J104" s="1">
        <v>548590.45920344803</v>
      </c>
      <c r="K104" s="1">
        <v>1000240.07697206</v>
      </c>
      <c r="L104" s="1">
        <v>1094794.59683422</v>
      </c>
      <c r="M104" s="1">
        <v>1072157.3218688699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X118"/>
  <sheetViews>
    <sheetView zoomScale="89" workbookViewId="0">
      <selection activeCell="M7" sqref="M7"/>
    </sheetView>
  </sheetViews>
  <sheetFormatPr baseColWidth="10" defaultColWidth="10" defaultRowHeight="15"/>
  <cols>
    <col min="1" max="1" width="27.83203125" style="4" customWidth="1"/>
    <col min="2" max="2" width="33.33203125" style="4" customWidth="1"/>
    <col min="3" max="3" width="18.5" style="4" customWidth="1"/>
    <col min="4" max="4" width="11.1640625" style="4" customWidth="1"/>
    <col min="5" max="5" width="10.83203125" style="4" bestFit="1" customWidth="1"/>
    <col min="6" max="6" width="10.1640625" style="4" bestFit="1" customWidth="1"/>
    <col min="7" max="8" width="11.1640625" style="4" bestFit="1" customWidth="1"/>
    <col min="9" max="9" width="23" style="4" customWidth="1"/>
    <col min="10" max="10" width="10.1640625" style="4" bestFit="1" customWidth="1"/>
    <col min="11" max="16" width="12.83203125" style="4"/>
    <col min="20" max="26" width="12.83203125" style="4"/>
    <col min="27" max="51" width="10" style="4"/>
    <col min="52" max="76" width="12.83203125" style="4"/>
    <col min="77" max="16384" width="10" style="4"/>
  </cols>
  <sheetData>
    <row r="1" spans="1:76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5" t="s">
        <v>236</v>
      </c>
      <c r="H1" s="2" t="s">
        <v>235</v>
      </c>
      <c r="I1" s="5" t="s">
        <v>342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12" t="s">
        <v>345</v>
      </c>
      <c r="R1" s="13" t="s">
        <v>346</v>
      </c>
      <c r="S1" s="13" t="s">
        <v>350</v>
      </c>
      <c r="T1" s="14" t="s">
        <v>360</v>
      </c>
      <c r="U1" s="14" t="s">
        <v>361</v>
      </c>
      <c r="V1" s="14" t="s">
        <v>362</v>
      </c>
      <c r="W1" s="14" t="s">
        <v>365</v>
      </c>
      <c r="X1" s="14" t="s">
        <v>364</v>
      </c>
      <c r="Y1" s="14" t="s">
        <v>363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  <row r="2" spans="1:76" s="28" customFormat="1">
      <c r="A2" s="23" t="s">
        <v>290</v>
      </c>
      <c r="B2" s="23" t="s">
        <v>197</v>
      </c>
      <c r="C2" s="23" t="s">
        <v>198</v>
      </c>
      <c r="D2" s="23">
        <v>-0.11</v>
      </c>
      <c r="E2" s="23">
        <v>251.10181</v>
      </c>
      <c r="F2" s="23">
        <v>2.7210000000000001</v>
      </c>
      <c r="G2" s="23">
        <f>AVERAGE(K2:P2)</f>
        <v>3504046.3791159671</v>
      </c>
      <c r="H2" s="23">
        <f>MAX(K2:P2)</f>
        <v>19741578.003414501</v>
      </c>
      <c r="I2" s="23">
        <f>G2/SUM(G$2:G$104)</f>
        <v>5.9709603829119354E-4</v>
      </c>
      <c r="J2" s="23">
        <v>93.6</v>
      </c>
      <c r="K2" s="23">
        <v>103286.756413382</v>
      </c>
      <c r="L2" s="23">
        <v>151164.65160947599</v>
      </c>
      <c r="M2" s="23">
        <v>92745.514371971905</v>
      </c>
      <c r="N2" s="23">
        <v>799005.89720659505</v>
      </c>
      <c r="O2" s="23">
        <v>136497.451679878</v>
      </c>
      <c r="P2" s="23">
        <v>19741578.003414501</v>
      </c>
      <c r="Q2" s="24">
        <f>AVERAGE(K2:M2)</f>
        <v>115732.30746494328</v>
      </c>
      <c r="R2" s="24">
        <f>AVERAGE(N2:P2)</f>
        <v>6892360.4507669909</v>
      </c>
      <c r="S2" s="25">
        <f>R2/Q2</f>
        <v>59.554333631987511</v>
      </c>
      <c r="T2">
        <f>AVERAGE(B2,H2)</f>
        <v>19741578.003414501</v>
      </c>
      <c r="U2">
        <f t="shared" ref="U2:Y2" si="0">AVERAGE(C2,I2)</f>
        <v>5.9709603829119354E-4</v>
      </c>
      <c r="V2">
        <f t="shared" si="0"/>
        <v>46.744999999999997</v>
      </c>
      <c r="W2">
        <f t="shared" si="0"/>
        <v>51768.929111690995</v>
      </c>
      <c r="X2">
        <f t="shared" si="0"/>
        <v>75583.686304737988</v>
      </c>
      <c r="Y2">
        <f t="shared" si="0"/>
        <v>1798395.9467439696</v>
      </c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</row>
    <row r="3" spans="1:76" s="32" customFormat="1">
      <c r="A3" s="23" t="s">
        <v>336</v>
      </c>
      <c r="B3" s="23" t="s">
        <v>187</v>
      </c>
      <c r="C3" s="23" t="s">
        <v>188</v>
      </c>
      <c r="D3" s="23">
        <v>-0.08</v>
      </c>
      <c r="E3" s="23">
        <v>213.05452</v>
      </c>
      <c r="F3" s="23">
        <v>0.85299999999999998</v>
      </c>
      <c r="G3" s="23">
        <f>AVERAGE(K3:P3)</f>
        <v>415049.85963954282</v>
      </c>
      <c r="H3" s="23">
        <f>MAX(K3:P3)</f>
        <v>2316356.8616386699</v>
      </c>
      <c r="I3" s="23">
        <f>G3/SUM(G$2:G$104)</f>
        <v>7.0725270179389127E-5</v>
      </c>
      <c r="J3" s="23">
        <v>73</v>
      </c>
      <c r="K3" s="23">
        <v>31880.3772036956</v>
      </c>
      <c r="L3" s="23">
        <v>39506.830378395403</v>
      </c>
      <c r="M3" s="23">
        <v>30481.472288430301</v>
      </c>
      <c r="N3" s="23">
        <v>38590.543920358199</v>
      </c>
      <c r="O3" s="23">
        <v>33483.072407707303</v>
      </c>
      <c r="P3" s="23">
        <v>2316356.8616386699</v>
      </c>
      <c r="Q3" s="24">
        <f>AVERAGE(K3:M3)</f>
        <v>33956.226623507107</v>
      </c>
      <c r="R3" s="24">
        <f>AVERAGE(N3:P3)</f>
        <v>796143.49265557842</v>
      </c>
      <c r="S3" s="25">
        <f>R3/Q3</f>
        <v>23.446170903584051</v>
      </c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</row>
    <row r="4" spans="1:76" s="28" customFormat="1">
      <c r="A4" s="23" t="s">
        <v>261</v>
      </c>
      <c r="B4" s="23" t="s">
        <v>152</v>
      </c>
      <c r="C4" s="23" t="s">
        <v>153</v>
      </c>
      <c r="D4" s="23">
        <v>0.49</v>
      </c>
      <c r="E4" s="23">
        <v>135.05456000000001</v>
      </c>
      <c r="F4" s="23">
        <v>3.1579999999999999</v>
      </c>
      <c r="G4" s="23">
        <f>AVERAGE(K4:P4)</f>
        <v>15604927.451943235</v>
      </c>
      <c r="H4" s="23">
        <f>MAX(K4:P4)</f>
        <v>78480000.859953403</v>
      </c>
      <c r="I4" s="23">
        <f>G4/SUM(G$2:G$104)</f>
        <v>2.6591087420844966E-3</v>
      </c>
      <c r="J4" s="23">
        <v>83.7</v>
      </c>
      <c r="K4" s="23">
        <v>2206712.8273052899</v>
      </c>
      <c r="L4" s="23">
        <v>6134457.9184860401</v>
      </c>
      <c r="M4" s="23">
        <v>682425.96021174302</v>
      </c>
      <c r="N4" s="23">
        <v>1155093.23467422</v>
      </c>
      <c r="O4" s="23">
        <v>4970873.9110287204</v>
      </c>
      <c r="P4" s="23">
        <v>78480000.859953403</v>
      </c>
      <c r="Q4" s="24">
        <f>AVERAGE(K4:M4)</f>
        <v>3007865.5686676912</v>
      </c>
      <c r="R4" s="24">
        <f>AVERAGE(N4:P4)</f>
        <v>28201989.335218783</v>
      </c>
      <c r="S4" s="25">
        <f>R4/Q4</f>
        <v>9.3760803770597434</v>
      </c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</row>
    <row r="5" spans="1:76">
      <c r="A5" s="23" t="s">
        <v>298</v>
      </c>
      <c r="B5" s="23" t="s">
        <v>81</v>
      </c>
      <c r="C5" s="23" t="s">
        <v>82</v>
      </c>
      <c r="D5" s="23">
        <v>0.28000000000000003</v>
      </c>
      <c r="E5" s="23">
        <v>149.07019</v>
      </c>
      <c r="F5" s="23">
        <v>2.4279999999999999</v>
      </c>
      <c r="G5" s="23">
        <f>AVERAGE(K5:P5)</f>
        <v>500790.81413732102</v>
      </c>
      <c r="H5" s="23">
        <f>MAX(K5:P5)</f>
        <v>2216584.1648208499</v>
      </c>
      <c r="I5" s="23">
        <f>G5/SUM(G$2:G$104)</f>
        <v>8.5335688738644887E-5</v>
      </c>
      <c r="J5" s="23">
        <v>52.6</v>
      </c>
      <c r="K5" s="23">
        <v>81284.9133505848</v>
      </c>
      <c r="L5" s="23">
        <v>245026.346856169</v>
      </c>
      <c r="M5" s="23">
        <v>223607.802515944</v>
      </c>
      <c r="N5" s="23">
        <v>71674.657043040395</v>
      </c>
      <c r="O5" s="23">
        <v>166567.00023733801</v>
      </c>
      <c r="P5" s="23">
        <v>2216584.1648208499</v>
      </c>
      <c r="Q5" s="24">
        <f>AVERAGE(K5:M5)</f>
        <v>183306.35424089929</v>
      </c>
      <c r="R5" s="24">
        <f>AVERAGE(N5:P5)</f>
        <v>818275.27403374284</v>
      </c>
      <c r="S5" s="25">
        <f>R5/Q5</f>
        <v>4.4639765894769479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spans="1:76" s="11" customFormat="1">
      <c r="A6" s="23" t="s">
        <v>316</v>
      </c>
      <c r="B6" s="23" t="s">
        <v>150</v>
      </c>
      <c r="C6" s="23" t="s">
        <v>151</v>
      </c>
      <c r="D6" s="23">
        <v>-0.17</v>
      </c>
      <c r="E6" s="23">
        <v>267.09670999999997</v>
      </c>
      <c r="F6" s="23">
        <v>3.35</v>
      </c>
      <c r="G6" s="23">
        <f>AVERAGE(K6:P6)</f>
        <v>363546.84421973332</v>
      </c>
      <c r="H6" s="23">
        <f>MAX(K6:P6)</f>
        <v>1379138.73921771</v>
      </c>
      <c r="I6" s="23">
        <f>G6/SUM(G$2:G$104)</f>
        <v>6.1949060295153242E-5</v>
      </c>
      <c r="J6" s="23">
        <v>91.3</v>
      </c>
      <c r="K6" s="23">
        <v>131739.99493574401</v>
      </c>
      <c r="L6" s="23">
        <v>226501.27520236999</v>
      </c>
      <c r="M6" s="23">
        <v>114027.709847322</v>
      </c>
      <c r="N6" s="23">
        <v>132180.05662481199</v>
      </c>
      <c r="O6" s="23">
        <v>197693.289490442</v>
      </c>
      <c r="P6" s="23">
        <v>1379138.73921771</v>
      </c>
      <c r="Q6" s="24">
        <f>AVERAGE(K6:M6)</f>
        <v>157422.99332847865</v>
      </c>
      <c r="R6" s="24">
        <f>AVERAGE(N6:P6)</f>
        <v>569670.69511098799</v>
      </c>
      <c r="S6" s="25">
        <f>R6/Q6</f>
        <v>3.6187261026241173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</row>
    <row r="7" spans="1:76">
      <c r="A7" s="23" t="s">
        <v>337</v>
      </c>
      <c r="B7" s="23" t="s">
        <v>191</v>
      </c>
      <c r="C7" s="23" t="s">
        <v>192</v>
      </c>
      <c r="D7" s="23">
        <v>0.1</v>
      </c>
      <c r="E7" s="23">
        <v>136.06368000000001</v>
      </c>
      <c r="F7" s="23">
        <v>3.7549999999999999</v>
      </c>
      <c r="G7" s="23">
        <f>AVERAGE(K7:P7)</f>
        <v>172122.44665256681</v>
      </c>
      <c r="H7" s="23">
        <f>MAX(K7:P7)</f>
        <v>468863.99127260898</v>
      </c>
      <c r="I7" s="23">
        <f>G7/SUM(G$2:G$104)</f>
        <v>2.9329985929913296E-5</v>
      </c>
      <c r="J7" s="23">
        <v>56.9</v>
      </c>
      <c r="K7" s="23">
        <v>72513.2299218064</v>
      </c>
      <c r="L7" s="23">
        <v>92852.277949640906</v>
      </c>
      <c r="M7" s="23">
        <v>59456.871963949503</v>
      </c>
      <c r="N7" s="23">
        <v>172723.50490758801</v>
      </c>
      <c r="O7" s="23">
        <v>166324.80389980701</v>
      </c>
      <c r="P7" s="23">
        <v>468863.99127260898</v>
      </c>
      <c r="Q7" s="24">
        <f>AVERAGE(K7:M7)</f>
        <v>74940.7932784656</v>
      </c>
      <c r="R7" s="24">
        <f>AVERAGE(N7:P7)</f>
        <v>269304.10002666799</v>
      </c>
      <c r="S7" s="25">
        <f>R7/Q7</f>
        <v>3.5935581709948767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spans="1:76" s="28" customFormat="1">
      <c r="A8" s="23" t="s">
        <v>311</v>
      </c>
      <c r="B8" s="23" t="s">
        <v>201</v>
      </c>
      <c r="C8" s="23" t="s">
        <v>202</v>
      </c>
      <c r="D8" s="23">
        <v>-1.02</v>
      </c>
      <c r="E8" s="23">
        <v>104.02628</v>
      </c>
      <c r="F8" s="23">
        <v>1.2030000000000001</v>
      </c>
      <c r="G8" s="23">
        <f>AVERAGE(K8:P8)</f>
        <v>4462871.7047261931</v>
      </c>
      <c r="H8" s="23">
        <f>MAX(K8:P8)</f>
        <v>7717087.1810208</v>
      </c>
      <c r="I8" s="23">
        <f>G8/SUM(G$2:G$104)</f>
        <v>7.6048166205099316E-4</v>
      </c>
      <c r="J8" s="23">
        <v>53.5</v>
      </c>
      <c r="K8" s="23">
        <v>1351073.44505397</v>
      </c>
      <c r="L8" s="23">
        <v>6028908.3670572899</v>
      </c>
      <c r="M8" s="23">
        <v>2018371.2843716701</v>
      </c>
      <c r="N8" s="23">
        <v>5093541.3240706399</v>
      </c>
      <c r="O8" s="23">
        <v>7717087.1810208</v>
      </c>
      <c r="P8" s="23">
        <v>4568248.6267827898</v>
      </c>
      <c r="Q8" s="24">
        <f>AVERAGE(K8:M8)</f>
        <v>3132784.3654943104</v>
      </c>
      <c r="R8" s="24">
        <f>AVERAGE(N8:P8)</f>
        <v>5792959.0439580763</v>
      </c>
      <c r="S8" s="25">
        <f>R8/Q8</f>
        <v>1.8491406902319709</v>
      </c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</row>
    <row r="9" spans="1:76" s="11" customFormat="1">
      <c r="A9" s="23" t="s">
        <v>248</v>
      </c>
      <c r="B9" s="41" t="s">
        <v>85</v>
      </c>
      <c r="C9" s="23" t="s">
        <v>86</v>
      </c>
      <c r="D9" s="23">
        <v>-0.25</v>
      </c>
      <c r="E9" s="23">
        <v>201.20921000000001</v>
      </c>
      <c r="F9" s="23">
        <v>1.7310000000000001</v>
      </c>
      <c r="G9" s="23">
        <f>AVERAGE(K9:P9)</f>
        <v>140920592.13292834</v>
      </c>
      <c r="H9" s="23">
        <f>MAX(K9:P9)</f>
        <v>346931823.82616699</v>
      </c>
      <c r="I9" s="23">
        <f>G9/SUM(G$2:G$104)</f>
        <v>2.4013131726141435E-2</v>
      </c>
      <c r="J9" s="23">
        <v>90.9</v>
      </c>
      <c r="K9" s="23">
        <v>85045916.579038098</v>
      </c>
      <c r="L9" s="23">
        <v>126893017.520513</v>
      </c>
      <c r="M9" s="23">
        <v>86291727.258647397</v>
      </c>
      <c r="N9" s="23">
        <v>43219938.339058504</v>
      </c>
      <c r="O9" s="23">
        <v>157141129.27414599</v>
      </c>
      <c r="P9" s="23">
        <v>346931823.82616699</v>
      </c>
      <c r="Q9" s="24">
        <f>AVERAGE(K9:M9)</f>
        <v>99410220.452732816</v>
      </c>
      <c r="R9" s="24">
        <f>AVERAGE(N9:P9)</f>
        <v>182430963.81312382</v>
      </c>
      <c r="S9" s="25">
        <f>R9/Q9</f>
        <v>1.8351328765020232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</row>
    <row r="10" spans="1:76">
      <c r="A10" s="23" t="s">
        <v>302</v>
      </c>
      <c r="B10" s="23" t="s">
        <v>156</v>
      </c>
      <c r="C10" s="23" t="s">
        <v>157</v>
      </c>
      <c r="D10" s="23">
        <v>-0.12</v>
      </c>
      <c r="E10" s="23">
        <v>306.25583999999998</v>
      </c>
      <c r="F10" s="23">
        <v>0.96799999999999997</v>
      </c>
      <c r="G10" s="23">
        <f>AVERAGE(K10:P10)</f>
        <v>5529185.0449880501</v>
      </c>
      <c r="H10" s="23">
        <f>MAX(K10:P10)</f>
        <v>10162986.552442599</v>
      </c>
      <c r="I10" s="23">
        <f>G10/SUM(G$2:G$104)</f>
        <v>9.4218344398004248E-4</v>
      </c>
      <c r="J10" s="23">
        <v>66.400000000000006</v>
      </c>
      <c r="K10" s="23">
        <v>4290931.5562089495</v>
      </c>
      <c r="L10" s="23">
        <v>5178485.36024886</v>
      </c>
      <c r="M10" s="23">
        <v>2820435.5672334102</v>
      </c>
      <c r="N10" s="23">
        <v>8658289.4000803307</v>
      </c>
      <c r="O10" s="23">
        <v>2063981.8337141499</v>
      </c>
      <c r="P10" s="23">
        <v>10162986.552442599</v>
      </c>
      <c r="Q10" s="24">
        <f>AVERAGE(K10:M10)</f>
        <v>4096617.4945637397</v>
      </c>
      <c r="R10" s="24">
        <f>AVERAGE(N10:P10)</f>
        <v>6961752.5954123596</v>
      </c>
      <c r="S10" s="25">
        <f>R10/Q10</f>
        <v>1.6993904372694517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spans="1:76">
      <c r="A11" s="23" t="s">
        <v>279</v>
      </c>
      <c r="B11" s="23" t="s">
        <v>35</v>
      </c>
      <c r="C11" s="23" t="s">
        <v>36</v>
      </c>
      <c r="D11" s="23">
        <v>-0.36</v>
      </c>
      <c r="E11" s="23">
        <v>290.13779</v>
      </c>
      <c r="F11" s="23">
        <v>2.39</v>
      </c>
      <c r="G11" s="23">
        <f>AVERAGE(K11:P11)</f>
        <v>603485.37443184678</v>
      </c>
      <c r="H11" s="23">
        <f>MAX(K11:P11)</f>
        <v>1196263.10119414</v>
      </c>
      <c r="I11" s="23">
        <f>G11/SUM(G$2:G$104)</f>
        <v>1.0283503334531856E-4</v>
      </c>
      <c r="J11" s="23">
        <v>91</v>
      </c>
      <c r="K11" s="23">
        <v>89219.470706082298</v>
      </c>
      <c r="L11" s="23">
        <v>1196263.10119414</v>
      </c>
      <c r="M11" s="23">
        <v>74519.523964742097</v>
      </c>
      <c r="N11" s="23">
        <v>488390.203504431</v>
      </c>
      <c r="O11" s="23">
        <v>644665.35622476495</v>
      </c>
      <c r="P11" s="23">
        <v>1127854.5909969199</v>
      </c>
      <c r="Q11" s="24">
        <f>AVERAGE(K11:M11)</f>
        <v>453334.0319549882</v>
      </c>
      <c r="R11" s="24">
        <f>AVERAGE(N11:P11)</f>
        <v>753636.7169087053</v>
      </c>
      <c r="S11" s="25">
        <f>R11/Q11</f>
        <v>1.6624313724223871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spans="1:76">
      <c r="A12" s="23" t="s">
        <v>313</v>
      </c>
      <c r="B12" s="23" t="s">
        <v>27</v>
      </c>
      <c r="C12" s="23" t="s">
        <v>28</v>
      </c>
      <c r="D12" s="23">
        <v>1.03</v>
      </c>
      <c r="E12" s="23">
        <v>321.26711</v>
      </c>
      <c r="F12" s="23">
        <v>0.99299999999999999</v>
      </c>
      <c r="G12" s="23">
        <f>AVERAGE(K12:P12)</f>
        <v>3722473.760433346</v>
      </c>
      <c r="H12" s="23">
        <f>MAX(K12:P12)</f>
        <v>5163630.1340012504</v>
      </c>
      <c r="I12" s="23">
        <f>G12/SUM(G$2:G$104)</f>
        <v>6.3431647144990961E-4</v>
      </c>
      <c r="J12" s="23">
        <v>65.5</v>
      </c>
      <c r="K12" s="23">
        <v>2132087.4598790701</v>
      </c>
      <c r="L12" s="23">
        <v>1406157.9705415501</v>
      </c>
      <c r="M12" s="23">
        <v>5163630.1340012504</v>
      </c>
      <c r="N12" s="23">
        <v>4755996.8672558302</v>
      </c>
      <c r="O12" s="23">
        <v>3798459.8601208599</v>
      </c>
      <c r="P12" s="23">
        <v>5078510.27080152</v>
      </c>
      <c r="Q12" s="24">
        <f>AVERAGE(K12:M12)</f>
        <v>2900625.1881406233</v>
      </c>
      <c r="R12" s="24">
        <f>AVERAGE(N12:P12)</f>
        <v>4544322.3327260697</v>
      </c>
      <c r="S12" s="25">
        <f>R12/Q12</f>
        <v>1.5666699549137886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spans="1:76">
      <c r="A13" s="23" t="s">
        <v>274</v>
      </c>
      <c r="B13" s="23" t="s">
        <v>105</v>
      </c>
      <c r="C13" s="23" t="s">
        <v>106</v>
      </c>
      <c r="D13" s="23">
        <v>-0.59</v>
      </c>
      <c r="E13" s="23">
        <v>255.25606999999999</v>
      </c>
      <c r="F13" s="23">
        <v>1.456</v>
      </c>
      <c r="G13" s="23">
        <f>AVERAGE(K13:P13)</f>
        <v>14909789.481158109</v>
      </c>
      <c r="H13" s="23">
        <f>MAX(K13:P13)</f>
        <v>21810289.062261298</v>
      </c>
      <c r="I13" s="23">
        <f>G13/SUM(G$2:G$104)</f>
        <v>2.5406559353821226E-3</v>
      </c>
      <c r="J13" s="23">
        <v>75</v>
      </c>
      <c r="K13" s="23">
        <v>17220206.309937801</v>
      </c>
      <c r="L13" s="23">
        <v>3369537.1697718599</v>
      </c>
      <c r="M13" s="23">
        <v>14407993.367198501</v>
      </c>
      <c r="N13" s="23">
        <v>16095010.343147799</v>
      </c>
      <c r="O13" s="23">
        <v>21810289.062261298</v>
      </c>
      <c r="P13" s="23">
        <v>16555700.634631401</v>
      </c>
      <c r="Q13" s="24">
        <f>AVERAGE(K13:M13)</f>
        <v>11665912.282302722</v>
      </c>
      <c r="R13" s="24">
        <f>AVERAGE(N13:P13)</f>
        <v>18153666.6800135</v>
      </c>
      <c r="S13" s="25">
        <f>R13/Q13</f>
        <v>1.556129194246793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spans="1:76" s="28" customFormat="1">
      <c r="A14" s="23" t="s">
        <v>335</v>
      </c>
      <c r="B14" s="23" t="s">
        <v>51</v>
      </c>
      <c r="C14" s="23" t="s">
        <v>52</v>
      </c>
      <c r="D14" s="23">
        <v>0.86</v>
      </c>
      <c r="E14" s="23">
        <v>137.0478</v>
      </c>
      <c r="F14" s="23">
        <v>2.0939999999999999</v>
      </c>
      <c r="G14" s="23">
        <f>AVERAGE(K14:P14)</f>
        <v>685479.81307094393</v>
      </c>
      <c r="H14" s="23">
        <f>MAX(K14:P14)</f>
        <v>992172.92574486195</v>
      </c>
      <c r="I14" s="23">
        <f>G14/SUM(G$2:G$104)</f>
        <v>1.1680703861474281E-4</v>
      </c>
      <c r="J14" s="23">
        <v>62.4</v>
      </c>
      <c r="K14" s="23">
        <v>542648.68471026805</v>
      </c>
      <c r="L14" s="23">
        <v>658687.92474467796</v>
      </c>
      <c r="M14" s="23">
        <v>478485.62782485998</v>
      </c>
      <c r="N14" s="23">
        <v>697277.281806221</v>
      </c>
      <c r="O14" s="23">
        <v>992172.92574486195</v>
      </c>
      <c r="P14" s="23">
        <v>743606.43359477504</v>
      </c>
      <c r="Q14" s="24">
        <f>AVERAGE(K14:M14)</f>
        <v>559940.74575993535</v>
      </c>
      <c r="R14" s="24">
        <f>AVERAGE(N14:P14)</f>
        <v>811018.88038195262</v>
      </c>
      <c r="S14" s="25">
        <f>R14/Q14</f>
        <v>1.4484012576746157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</row>
    <row r="15" spans="1:76">
      <c r="A15" s="23" t="s">
        <v>252</v>
      </c>
      <c r="B15" s="41" t="s">
        <v>116</v>
      </c>
      <c r="C15" s="23" t="s">
        <v>117</v>
      </c>
      <c r="D15" s="23">
        <v>-0.51</v>
      </c>
      <c r="E15" s="23">
        <v>334.28701000000001</v>
      </c>
      <c r="F15" s="23">
        <v>0.95599999999999996</v>
      </c>
      <c r="G15" s="23">
        <f>AVERAGE(K15:P15)</f>
        <v>109883890.20977797</v>
      </c>
      <c r="H15" s="23">
        <f>MAX(K15:P15)</f>
        <v>194676203.31934699</v>
      </c>
      <c r="I15" s="23">
        <f>G15/SUM(G$2:G$104)</f>
        <v>1.8724419832832205E-2</v>
      </c>
      <c r="J15" s="23">
        <v>72.3</v>
      </c>
      <c r="K15" s="23">
        <v>89013512.696392506</v>
      </c>
      <c r="L15" s="23">
        <v>113878307.81315599</v>
      </c>
      <c r="M15" s="23">
        <v>73068861.047331706</v>
      </c>
      <c r="N15" s="23">
        <v>118751338.926856</v>
      </c>
      <c r="O15" s="23">
        <v>69915117.455584705</v>
      </c>
      <c r="P15" s="23">
        <v>194676203.31934699</v>
      </c>
      <c r="Q15" s="24">
        <f>AVERAGE(K15:M15)</f>
        <v>91986893.852293387</v>
      </c>
      <c r="R15" s="24">
        <f>AVERAGE(N15:P15)</f>
        <v>127780886.56726258</v>
      </c>
      <c r="S15" s="25">
        <f>R15/Q15</f>
        <v>1.3891205715940889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spans="1:76">
      <c r="A16" s="23" t="s">
        <v>264</v>
      </c>
      <c r="B16" s="23" t="s">
        <v>227</v>
      </c>
      <c r="C16" s="23" t="s">
        <v>76</v>
      </c>
      <c r="D16" s="23">
        <v>0.36</v>
      </c>
      <c r="E16" s="23">
        <v>162.11575999999999</v>
      </c>
      <c r="F16" s="23">
        <v>3.3740000000000001</v>
      </c>
      <c r="G16" s="23">
        <f>AVERAGE(K16:P16)</f>
        <v>22348561.12291963</v>
      </c>
      <c r="H16" s="23">
        <f>MAX(K16:P16)</f>
        <v>43317030.823702298</v>
      </c>
      <c r="I16" s="23">
        <f>G16/SUM(G$2:G$104)</f>
        <v>3.8082364969639769E-3</v>
      </c>
      <c r="J16" s="23">
        <v>92.4</v>
      </c>
      <c r="K16" s="23">
        <v>16673748.0502354</v>
      </c>
      <c r="L16" s="23">
        <v>10536904.8508079</v>
      </c>
      <c r="M16" s="23">
        <v>29118050.699228499</v>
      </c>
      <c r="N16" s="23">
        <v>27936293.685975999</v>
      </c>
      <c r="O16" s="23">
        <v>6509338.6275677001</v>
      </c>
      <c r="P16" s="23">
        <v>43317030.823702298</v>
      </c>
      <c r="Q16" s="24">
        <f>AVERAGE(K16:M16)</f>
        <v>18776234.533423934</v>
      </c>
      <c r="R16" s="24">
        <f>AVERAGE(N16:P16)</f>
        <v>25920887.712415334</v>
      </c>
      <c r="S16" s="25">
        <f>R16/Q16</f>
        <v>1.3805157613616865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spans="1:76">
      <c r="A17" s="23" t="s">
        <v>277</v>
      </c>
      <c r="B17" s="23" t="s">
        <v>103</v>
      </c>
      <c r="C17" s="23" t="s">
        <v>104</v>
      </c>
      <c r="D17" s="23">
        <v>-0.11</v>
      </c>
      <c r="E17" s="23">
        <v>117.05784</v>
      </c>
      <c r="F17" s="23">
        <v>0.95599999999999996</v>
      </c>
      <c r="G17" s="23">
        <f>AVERAGE(K17:P17)</f>
        <v>21894112.416708183</v>
      </c>
      <c r="H17" s="23">
        <f>MAX(K17:P17)</f>
        <v>31469626.7621626</v>
      </c>
      <c r="I17" s="23">
        <f>G17/SUM(G$2:G$104)</f>
        <v>3.7307975898471504E-3</v>
      </c>
      <c r="J17" s="23">
        <v>62</v>
      </c>
      <c r="K17" s="23">
        <v>24006441.8850278</v>
      </c>
      <c r="L17" s="23">
        <v>18281720.780819401</v>
      </c>
      <c r="M17" s="23">
        <v>20838678.272666398</v>
      </c>
      <c r="N17" s="23">
        <v>20733107.445384402</v>
      </c>
      <c r="O17" s="23">
        <v>16035099.3541885</v>
      </c>
      <c r="P17" s="23">
        <v>31469626.7621626</v>
      </c>
      <c r="Q17" s="24">
        <f>AVERAGE(K17:M17)</f>
        <v>21042280.312837865</v>
      </c>
      <c r="R17" s="24">
        <f>AVERAGE(N17:P17)</f>
        <v>22745944.5205785</v>
      </c>
      <c r="S17" s="25">
        <f>R17/Q17</f>
        <v>1.0809638585938441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spans="1:76" s="28" customFormat="1">
      <c r="A18" s="23" t="s">
        <v>321</v>
      </c>
      <c r="B18" s="23" t="s">
        <v>109</v>
      </c>
      <c r="C18" s="23" t="s">
        <v>110</v>
      </c>
      <c r="D18" s="23">
        <v>1.24</v>
      </c>
      <c r="E18" s="23">
        <v>164.08393000000001</v>
      </c>
      <c r="F18" s="23">
        <v>1.073</v>
      </c>
      <c r="G18" s="23">
        <f>AVERAGE(K18:P18)</f>
        <v>2434771.3096161415</v>
      </c>
      <c r="H18" s="23">
        <f>MAX(K18:P18)</f>
        <v>3260908.1115109702</v>
      </c>
      <c r="I18" s="23">
        <f>G18/SUM(G$2:G$104)</f>
        <v>4.1488957217616365E-4</v>
      </c>
      <c r="J18" s="23">
        <v>61.6</v>
      </c>
      <c r="K18" s="23">
        <v>2340093.8988134302</v>
      </c>
      <c r="L18" s="23">
        <v>2308628.8945452701</v>
      </c>
      <c r="M18" s="23">
        <v>2854379.2415221701</v>
      </c>
      <c r="N18" s="23">
        <v>2309831.7394654402</v>
      </c>
      <c r="O18" s="23">
        <v>1534785.97183957</v>
      </c>
      <c r="P18" s="23">
        <v>3260908.1115109702</v>
      </c>
      <c r="Q18" s="24">
        <f>AVERAGE(K18:M18)</f>
        <v>2501034.011626957</v>
      </c>
      <c r="R18" s="24">
        <f>AVERAGE(N18:P18)</f>
        <v>2368508.6076053269</v>
      </c>
      <c r="S18" s="25">
        <f>R18/Q18</f>
        <v>0.9470117545760921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</row>
    <row r="19" spans="1:76" s="28" customFormat="1">
      <c r="A19" s="23" t="s">
        <v>341</v>
      </c>
      <c r="B19" s="23" t="s">
        <v>181</v>
      </c>
      <c r="C19" s="23" t="s">
        <v>182</v>
      </c>
      <c r="D19" s="23">
        <v>0.62</v>
      </c>
      <c r="E19" s="23">
        <v>164.04761999999999</v>
      </c>
      <c r="F19" s="23">
        <v>8.3030000000000008</v>
      </c>
      <c r="G19" s="23">
        <f>AVERAGE(K19:P19)</f>
        <v>71664.318401931014</v>
      </c>
      <c r="H19" s="23">
        <f>MAX(K19:P19)</f>
        <v>111720.290938848</v>
      </c>
      <c r="I19" s="23">
        <f>G19/SUM(G$2:G$104)</f>
        <v>1.2211733514619535E-5</v>
      </c>
      <c r="J19" s="23">
        <v>57.7</v>
      </c>
      <c r="K19" s="23">
        <v>86613.910116360305</v>
      </c>
      <c r="L19" s="23">
        <v>111720.290938848</v>
      </c>
      <c r="M19" s="23">
        <v>43786.360478262002</v>
      </c>
      <c r="N19" s="23">
        <v>44996.390368628003</v>
      </c>
      <c r="O19" s="23">
        <v>87825.718190962594</v>
      </c>
      <c r="P19" s="23">
        <v>55043.240318525102</v>
      </c>
      <c r="Q19" s="24">
        <f>AVERAGE(K19:M19)</f>
        <v>80706.853844490106</v>
      </c>
      <c r="R19" s="24">
        <f>AVERAGE(N19:P19)</f>
        <v>62621.7829593719</v>
      </c>
      <c r="S19" s="25">
        <f>R19/Q19</f>
        <v>0.77591654210724903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</row>
    <row r="20" spans="1:76">
      <c r="A20" s="23" t="s">
        <v>293</v>
      </c>
      <c r="B20" s="23" t="s">
        <v>67</v>
      </c>
      <c r="C20" s="23" t="s">
        <v>68</v>
      </c>
      <c r="D20" s="23">
        <v>-0.03</v>
      </c>
      <c r="E20" s="23">
        <v>402.13146</v>
      </c>
      <c r="F20" s="23">
        <v>0.97899999999999998</v>
      </c>
      <c r="G20" s="23">
        <f>AVERAGE(K20:P20)</f>
        <v>3343409.8990321755</v>
      </c>
      <c r="H20" s="23">
        <f>MAX(K20:P20)</f>
        <v>16691060.5743214</v>
      </c>
      <c r="I20" s="23">
        <f>G20/SUM(G$2:G$104)</f>
        <v>5.6972328248672483E-4</v>
      </c>
      <c r="J20" s="23">
        <v>81.3</v>
      </c>
      <c r="K20" s="23">
        <v>16691060.5743214</v>
      </c>
      <c r="L20" s="23">
        <v>946831.46800891706</v>
      </c>
      <c r="M20" s="23">
        <v>579105.28619696503</v>
      </c>
      <c r="N20" s="23">
        <v>599264.19183539203</v>
      </c>
      <c r="O20" s="23">
        <v>398185.832907287</v>
      </c>
      <c r="P20" s="23">
        <v>846012.04092309403</v>
      </c>
      <c r="Q20" s="24">
        <f>AVERAGE(K20:M20)</f>
        <v>6072332.4428424276</v>
      </c>
      <c r="R20" s="24">
        <f>AVERAGE(N20:P20)</f>
        <v>614487.35522192437</v>
      </c>
      <c r="S20" s="25">
        <f>R20/Q20</f>
        <v>0.10119461689654889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spans="1:76">
      <c r="A21" s="9" t="s">
        <v>300</v>
      </c>
      <c r="B21" s="9" t="s">
        <v>101</v>
      </c>
      <c r="C21" s="9" t="s">
        <v>102</v>
      </c>
      <c r="D21" s="9">
        <v>-0.56000000000000005</v>
      </c>
      <c r="E21" s="9">
        <v>175.06323</v>
      </c>
      <c r="F21" s="9">
        <v>1.1140000000000001</v>
      </c>
      <c r="G21" s="9">
        <f>AVERAGE(K21:P21)</f>
        <v>2668508.0051680165</v>
      </c>
      <c r="H21" s="9">
        <f>MAX(K21:P21)</f>
        <v>14864618.5082015</v>
      </c>
      <c r="I21" s="9">
        <f>G21/SUM(G$2:G$104)</f>
        <v>4.5471874103337204E-4</v>
      </c>
      <c r="J21" s="9">
        <v>80.7</v>
      </c>
      <c r="K21" s="9">
        <v>547559.78181953297</v>
      </c>
      <c r="L21" s="9">
        <v>65185.0279553316</v>
      </c>
      <c r="M21" s="9">
        <v>366745.22118847899</v>
      </c>
      <c r="N21" s="9">
        <v>107916.390056894</v>
      </c>
      <c r="O21" s="9">
        <v>59023.101786361403</v>
      </c>
      <c r="P21" s="9">
        <v>14864618.5082015</v>
      </c>
      <c r="Q21" s="19">
        <f>AVERAGE(K21:M21)</f>
        <v>326496.67698778119</v>
      </c>
      <c r="R21" s="19">
        <f>AVERAGE(N21:P21)</f>
        <v>5010519.3333482519</v>
      </c>
      <c r="S21" s="20">
        <f>R21/Q21</f>
        <v>15.34631035015332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spans="1:76">
      <c r="A22" s="9" t="s">
        <v>275</v>
      </c>
      <c r="B22" s="9" t="s">
        <v>173</v>
      </c>
      <c r="C22" s="9" t="s">
        <v>174</v>
      </c>
      <c r="D22" s="9">
        <v>-1.46</v>
      </c>
      <c r="E22" s="9">
        <v>122.03660000000001</v>
      </c>
      <c r="F22" s="9">
        <v>1.0329999999999999</v>
      </c>
      <c r="G22" s="9">
        <f>AVERAGE(K22:P22)</f>
        <v>10538777.04820765</v>
      </c>
      <c r="H22" s="9">
        <f>MAX(K22:P22)</f>
        <v>33575224.958584704</v>
      </c>
      <c r="I22" s="9">
        <f>G22/SUM(G$2:G$104)</f>
        <v>1.7958272645656353E-3</v>
      </c>
      <c r="J22" s="9">
        <v>86.3</v>
      </c>
      <c r="K22" s="9">
        <v>6864104.9099759301</v>
      </c>
      <c r="L22" s="9">
        <v>4424280.3579394603</v>
      </c>
      <c r="M22" s="9">
        <v>7815973.6698646601</v>
      </c>
      <c r="N22" s="9">
        <v>6558873.5234518703</v>
      </c>
      <c r="O22" s="9">
        <v>3994204.8694292698</v>
      </c>
      <c r="P22" s="9">
        <v>33575224.958584704</v>
      </c>
      <c r="Q22" s="19">
        <f>AVERAGE(K22:M22)</f>
        <v>6368119.6459266841</v>
      </c>
      <c r="R22" s="19">
        <f>AVERAGE(N22:P22)</f>
        <v>14709434.450488614</v>
      </c>
      <c r="S22" s="20">
        <f>R22/Q22</f>
        <v>2.3098552270288111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spans="1:76">
      <c r="A23" s="33" t="s">
        <v>330</v>
      </c>
      <c r="B23" s="33" t="s">
        <v>223</v>
      </c>
      <c r="C23" s="33" t="s">
        <v>224</v>
      </c>
      <c r="D23" s="33">
        <v>-0.81</v>
      </c>
      <c r="E23" s="33">
        <v>722.50919999999996</v>
      </c>
      <c r="F23" s="33">
        <v>1.349</v>
      </c>
      <c r="G23" s="33">
        <f>AVERAGE(K23:P23)</f>
        <v>415668.12802798982</v>
      </c>
      <c r="H23" s="33">
        <f>MAX(K23:P23)</f>
        <v>1134446.0017196201</v>
      </c>
      <c r="I23" s="33">
        <f>G23/SUM(G$2:G$104)</f>
        <v>7.0830624265893981E-5</v>
      </c>
      <c r="J23" s="33">
        <v>63.6</v>
      </c>
      <c r="K23" s="33">
        <v>182079.56188759199</v>
      </c>
      <c r="L23" s="33">
        <v>466329.73882743798</v>
      </c>
      <c r="M23" s="33">
        <v>167038.199333981</v>
      </c>
      <c r="N23" s="33">
        <v>143078.20533328201</v>
      </c>
      <c r="O23" s="33">
        <v>1134446.0017196201</v>
      </c>
      <c r="P23" s="33">
        <v>401037.06106602598</v>
      </c>
      <c r="Q23" s="34">
        <f>AVERAGE(K23:M23)</f>
        <v>271815.83334967034</v>
      </c>
      <c r="R23" s="34">
        <f>AVERAGE(N23:P23)</f>
        <v>559520.42270630936</v>
      </c>
      <c r="S23" s="35">
        <f>R23/Q23</f>
        <v>2.0584541224518329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spans="1:76" s="11" customFormat="1">
      <c r="A24" s="37" t="s">
        <v>317</v>
      </c>
      <c r="B24" s="37" t="s">
        <v>171</v>
      </c>
      <c r="C24" s="37" t="s">
        <v>172</v>
      </c>
      <c r="D24" s="37">
        <v>-1.46</v>
      </c>
      <c r="E24" s="37">
        <v>138.03148999999999</v>
      </c>
      <c r="F24" s="37">
        <v>1.06</v>
      </c>
      <c r="G24" s="37">
        <f>AVERAGE(K24:P24)</f>
        <v>2909649.1175723574</v>
      </c>
      <c r="H24" s="37">
        <f>MAX(K24:P24)</f>
        <v>6122651.4505019505</v>
      </c>
      <c r="I24" s="37">
        <f>G24/SUM(G$2:G$104)</f>
        <v>4.9580963633199225E-4</v>
      </c>
      <c r="J24" s="37">
        <v>86.8</v>
      </c>
      <c r="K24" s="37">
        <v>1093322.66032495</v>
      </c>
      <c r="L24" s="37">
        <v>1456154.10940002</v>
      </c>
      <c r="M24" s="37">
        <v>3258387.0312329102</v>
      </c>
      <c r="N24" s="37">
        <v>4301627.4446990304</v>
      </c>
      <c r="O24" s="37">
        <v>1225752.0092752799</v>
      </c>
      <c r="P24" s="37">
        <v>6122651.4505019505</v>
      </c>
      <c r="Q24" s="38">
        <f>AVERAGE(K24:M24)</f>
        <v>1935954.6003192933</v>
      </c>
      <c r="R24" s="38">
        <f>AVERAGE(N24:P24)</f>
        <v>3883343.6348254201</v>
      </c>
      <c r="S24" s="39">
        <f>R24/Q24</f>
        <v>2.0059063545110756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</row>
    <row r="25" spans="1:76">
      <c r="A25" s="37" t="s">
        <v>329</v>
      </c>
      <c r="B25" s="37" t="s">
        <v>55</v>
      </c>
      <c r="C25" s="37" t="s">
        <v>56</v>
      </c>
      <c r="D25" s="37">
        <v>-0.44</v>
      </c>
      <c r="E25" s="37">
        <v>162.04285999999999</v>
      </c>
      <c r="F25" s="37">
        <v>0.98399999999999999</v>
      </c>
      <c r="G25" s="37">
        <f>AVERAGE(K25:P25)</f>
        <v>1626401.9490003556</v>
      </c>
      <c r="H25" s="37">
        <f>MAX(K25:P25)</f>
        <v>4279761.2620572699</v>
      </c>
      <c r="I25" s="37">
        <f>G25/SUM(G$2:G$104)</f>
        <v>2.7714192546223962E-4</v>
      </c>
      <c r="J25" s="37">
        <v>59.3</v>
      </c>
      <c r="K25" s="37">
        <v>1151751.0196825999</v>
      </c>
      <c r="L25" s="37">
        <v>1305286.4451101799</v>
      </c>
      <c r="M25" s="37">
        <v>932074.34157001704</v>
      </c>
      <c r="N25" s="37">
        <v>848913.72233351495</v>
      </c>
      <c r="O25" s="37">
        <v>1240624.9032485499</v>
      </c>
      <c r="P25" s="37">
        <v>4279761.2620572699</v>
      </c>
      <c r="Q25" s="38">
        <f>AVERAGE(K25:M25)</f>
        <v>1129703.9354542654</v>
      </c>
      <c r="R25" s="38">
        <f>AVERAGE(N25:P25)</f>
        <v>2123099.962546445</v>
      </c>
      <c r="S25" s="39">
        <f>R25/Q25</f>
        <v>1.879341919520467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spans="1:76" s="28" customFormat="1">
      <c r="A26" s="33" t="s">
        <v>265</v>
      </c>
      <c r="B26" s="33" t="s">
        <v>167</v>
      </c>
      <c r="C26" s="33" t="s">
        <v>168</v>
      </c>
      <c r="D26" s="33">
        <v>-1.23</v>
      </c>
      <c r="E26" s="33">
        <v>173.99847</v>
      </c>
      <c r="F26" s="33">
        <v>0.96</v>
      </c>
      <c r="G26" s="33">
        <f>AVERAGE(K26:P26)</f>
        <v>12063969.30583871</v>
      </c>
      <c r="H26" s="33">
        <f>MAX(K26:P26)</f>
        <v>33612504.408875003</v>
      </c>
      <c r="I26" s="33">
        <f>G26/SUM(G$2:G$104)</f>
        <v>2.055722869855444E-3</v>
      </c>
      <c r="J26" s="33">
        <v>80</v>
      </c>
      <c r="K26" s="33">
        <v>1338308.09702699</v>
      </c>
      <c r="L26" s="33">
        <v>13776386.9361709</v>
      </c>
      <c r="M26" s="33">
        <v>11279030.746490199</v>
      </c>
      <c r="N26" s="33">
        <v>33612504.408875003</v>
      </c>
      <c r="O26" s="33">
        <v>2805932.70269544</v>
      </c>
      <c r="P26" s="33">
        <v>9571652.9437737204</v>
      </c>
      <c r="Q26" s="34">
        <f>AVERAGE(K26:M26)</f>
        <v>8797908.5932293627</v>
      </c>
      <c r="R26" s="34">
        <f>AVERAGE(N26:P26)</f>
        <v>15330030.018448055</v>
      </c>
      <c r="S26" s="35">
        <f>R26/Q26</f>
        <v>1.7424629792409574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</row>
    <row r="27" spans="1:76" s="36" customFormat="1">
      <c r="A27" s="37" t="s">
        <v>269</v>
      </c>
      <c r="B27" s="37" t="s">
        <v>165</v>
      </c>
      <c r="C27" s="37" t="s">
        <v>166</v>
      </c>
      <c r="D27" s="37">
        <v>0.1</v>
      </c>
      <c r="E27" s="37">
        <v>146.08440999999999</v>
      </c>
      <c r="F27" s="37">
        <v>1.9850000000000001</v>
      </c>
      <c r="G27" s="37">
        <f>AVERAGE(K27:P27)</f>
        <v>5491944.0478404174</v>
      </c>
      <c r="H27" s="37">
        <f>MAX(K27:P27)</f>
        <v>10338510.9661754</v>
      </c>
      <c r="I27" s="37">
        <f>G27/SUM(G$2:G$104)</f>
        <v>9.3583750860903999E-4</v>
      </c>
      <c r="J27" s="37">
        <v>64.3</v>
      </c>
      <c r="K27" s="37">
        <v>10200834.705313301</v>
      </c>
      <c r="L27" s="37">
        <v>2981384.8151360801</v>
      </c>
      <c r="M27" s="37">
        <v>393479.18624869501</v>
      </c>
      <c r="N27" s="37">
        <v>2738752.2762551801</v>
      </c>
      <c r="O27" s="37">
        <v>6298702.3379138503</v>
      </c>
      <c r="P27" s="37">
        <v>10338510.9661754</v>
      </c>
      <c r="Q27" s="38">
        <f>AVERAGE(K27:M27)</f>
        <v>4525232.9022326926</v>
      </c>
      <c r="R27" s="38">
        <f>AVERAGE(N27:P27)</f>
        <v>6458655.193448144</v>
      </c>
      <c r="S27" s="39">
        <f>R27/Q27</f>
        <v>1.4272536536763722</v>
      </c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</row>
    <row r="28" spans="1:76" s="40" customFormat="1">
      <c r="A28" s="33" t="s">
        <v>246</v>
      </c>
      <c r="B28" s="33" t="s">
        <v>175</v>
      </c>
      <c r="C28" s="33" t="s">
        <v>176</v>
      </c>
      <c r="D28" s="33">
        <v>-0.45</v>
      </c>
      <c r="E28" s="33">
        <v>326.19141999999999</v>
      </c>
      <c r="F28" s="33">
        <v>0.94099999999999995</v>
      </c>
      <c r="G28" s="33">
        <f>AVERAGE(K28:P28)</f>
        <v>262083764.87742102</v>
      </c>
      <c r="H28" s="33">
        <f>MAX(K28:P28)</f>
        <v>380037871.039262</v>
      </c>
      <c r="I28" s="33">
        <f>G28/SUM(G$2:G$104)</f>
        <v>4.4659562339534234E-2</v>
      </c>
      <c r="J28" s="33">
        <v>93.6</v>
      </c>
      <c r="K28" s="33">
        <v>262185268.200537</v>
      </c>
      <c r="L28" s="33">
        <v>253588020.00520799</v>
      </c>
      <c r="M28" s="33">
        <v>179895824.35182601</v>
      </c>
      <c r="N28" s="33">
        <v>240457476.81414899</v>
      </c>
      <c r="O28" s="33">
        <v>256338128.853544</v>
      </c>
      <c r="P28" s="33">
        <v>380037871.039262</v>
      </c>
      <c r="Q28" s="34">
        <f>AVERAGE(K28:M28)</f>
        <v>231889704.18585697</v>
      </c>
      <c r="R28" s="34">
        <f>AVERAGE(N28:P28)</f>
        <v>292277825.56898499</v>
      </c>
      <c r="S28" s="35">
        <f>R28/Q28</f>
        <v>1.260417432482158</v>
      </c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</row>
    <row r="29" spans="1:76" s="40" customFormat="1">
      <c r="A29" s="37" t="s">
        <v>256</v>
      </c>
      <c r="B29" s="37" t="s">
        <v>205</v>
      </c>
      <c r="C29" s="37" t="s">
        <v>206</v>
      </c>
      <c r="D29" s="37">
        <v>-0.56000000000000005</v>
      </c>
      <c r="E29" s="37">
        <v>222.16185999999999</v>
      </c>
      <c r="F29" s="37">
        <v>0.99199999999999999</v>
      </c>
      <c r="G29" s="37">
        <f>AVERAGE(K29:P29)</f>
        <v>91312834.563769087</v>
      </c>
      <c r="H29" s="37">
        <f>MAX(K29:P29)</f>
        <v>122172520.615743</v>
      </c>
      <c r="I29" s="37">
        <f>G29/SUM(G$2:G$104)</f>
        <v>1.555987731444386E-2</v>
      </c>
      <c r="J29" s="37">
        <v>86</v>
      </c>
      <c r="K29" s="37">
        <v>69370244.403108299</v>
      </c>
      <c r="L29" s="37">
        <v>66056068.614129603</v>
      </c>
      <c r="M29" s="37">
        <v>108464727.69737101</v>
      </c>
      <c r="N29" s="37">
        <v>89072088.066473201</v>
      </c>
      <c r="O29" s="37">
        <v>122172520.615743</v>
      </c>
      <c r="P29" s="37">
        <v>92741357.985789403</v>
      </c>
      <c r="Q29" s="38">
        <f>AVERAGE(K29:M29)</f>
        <v>81297013.571536303</v>
      </c>
      <c r="R29" s="38">
        <f>AVERAGE(N29:P29)</f>
        <v>101328655.55600186</v>
      </c>
      <c r="S29" s="39">
        <f>R29/Q29</f>
        <v>1.246400711470649</v>
      </c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</row>
    <row r="30" spans="1:76" s="28" customFormat="1">
      <c r="A30" s="9" t="s">
        <v>284</v>
      </c>
      <c r="B30" s="9" t="s">
        <v>146</v>
      </c>
      <c r="C30" s="9" t="s">
        <v>147</v>
      </c>
      <c r="D30" s="9">
        <v>0.37</v>
      </c>
      <c r="E30" s="9">
        <v>332.27165000000002</v>
      </c>
      <c r="F30" s="9">
        <v>0.98099999999999998</v>
      </c>
      <c r="G30" s="9">
        <f>AVERAGE(K30:P30)</f>
        <v>15584449.202700982</v>
      </c>
      <c r="H30" s="9">
        <f>MAX(K30:P30)</f>
        <v>26545158.724823799</v>
      </c>
      <c r="I30" s="9">
        <f>G30/SUM(G$2:G$104)</f>
        <v>2.6556192102202597E-3</v>
      </c>
      <c r="J30" s="9">
        <v>77.900000000000006</v>
      </c>
      <c r="K30" s="9">
        <v>15908805.989374001</v>
      </c>
      <c r="L30" s="9">
        <v>16282605.333792901</v>
      </c>
      <c r="M30" s="9">
        <v>12759615.368504301</v>
      </c>
      <c r="N30" s="9">
        <v>13483627.0197396</v>
      </c>
      <c r="O30" s="9">
        <v>8526882.7799712997</v>
      </c>
      <c r="P30" s="9">
        <v>26545158.724823799</v>
      </c>
      <c r="Q30" s="19">
        <f>AVERAGE(K30:M30)</f>
        <v>14983675.563890399</v>
      </c>
      <c r="R30" s="19">
        <f>AVERAGE(N30:P30)</f>
        <v>16185222.841511568</v>
      </c>
      <c r="S30" s="20">
        <f>R30/Q30</f>
        <v>1.0801904227369159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</row>
    <row r="31" spans="1:76" s="11" customFormat="1">
      <c r="A31" s="9" t="s">
        <v>270</v>
      </c>
      <c r="B31" s="9" t="s">
        <v>118</v>
      </c>
      <c r="C31" s="9" t="s">
        <v>119</v>
      </c>
      <c r="D31" s="9">
        <v>0.28999999999999998</v>
      </c>
      <c r="E31" s="9">
        <v>339.35021</v>
      </c>
      <c r="F31" s="9">
        <v>0.93300000000000005</v>
      </c>
      <c r="G31" s="9">
        <f>AVERAGE(K31:P31)</f>
        <v>28186443.443102017</v>
      </c>
      <c r="H31" s="9">
        <f>MAX(K31:P31)</f>
        <v>46118588.616761602</v>
      </c>
      <c r="I31" s="9">
        <f>G31/SUM(G$2:G$104)</f>
        <v>4.8030225323789895E-3</v>
      </c>
      <c r="J31" s="9">
        <v>61.1</v>
      </c>
      <c r="K31" s="9">
        <v>35629785.965244301</v>
      </c>
      <c r="L31" s="9">
        <v>23109818.8904307</v>
      </c>
      <c r="M31" s="9">
        <v>24138659.151552301</v>
      </c>
      <c r="N31" s="9">
        <v>23282702.014502399</v>
      </c>
      <c r="O31" s="9">
        <v>16839106.0201208</v>
      </c>
      <c r="P31" s="9">
        <v>46118588.616761602</v>
      </c>
      <c r="Q31" s="19">
        <f>AVERAGE(K31:M31)</f>
        <v>27626088.002409101</v>
      </c>
      <c r="R31" s="19">
        <f>AVERAGE(N31:P31)</f>
        <v>28746798.883794934</v>
      </c>
      <c r="S31" s="20">
        <f>R31/Q31</f>
        <v>1.0405671219641415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</row>
    <row r="32" spans="1:76" s="28" customFormat="1">
      <c r="A32" s="9" t="s">
        <v>320</v>
      </c>
      <c r="B32" s="9" t="s">
        <v>53</v>
      </c>
      <c r="C32" s="9" t="s">
        <v>54</v>
      </c>
      <c r="D32" s="9">
        <v>0.86</v>
      </c>
      <c r="E32" s="9">
        <v>313.29835000000003</v>
      </c>
      <c r="F32" s="9">
        <v>1.5</v>
      </c>
      <c r="G32" s="9">
        <f>AVERAGE(K32:P32)</f>
        <v>2952668.927278915</v>
      </c>
      <c r="H32" s="9">
        <f>MAX(K32:P32)</f>
        <v>5656430.9804608896</v>
      </c>
      <c r="I32" s="9">
        <f>G32/SUM(G$2:G$104)</f>
        <v>5.0314029214092214E-4</v>
      </c>
      <c r="J32" s="9">
        <v>55.8</v>
      </c>
      <c r="K32" s="9">
        <v>2190687.8887070301</v>
      </c>
      <c r="L32" s="9">
        <v>5656430.9804608896</v>
      </c>
      <c r="M32" s="9">
        <v>2142161.59410903</v>
      </c>
      <c r="N32" s="9">
        <v>1690561.93359255</v>
      </c>
      <c r="O32" s="9">
        <v>4127665.7973150001</v>
      </c>
      <c r="P32" s="9">
        <v>1908505.3694889899</v>
      </c>
      <c r="Q32" s="19">
        <f>AVERAGE(K32:M32)</f>
        <v>3329760.1544256504</v>
      </c>
      <c r="R32" s="19">
        <f>AVERAGE(N32:P32)</f>
        <v>2575577.70013218</v>
      </c>
      <c r="S32" s="20">
        <f>R32/Q32</f>
        <v>0.77350246885167651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</row>
    <row r="33" spans="1:76">
      <c r="A33" s="29" t="s">
        <v>333</v>
      </c>
      <c r="B33" s="29" t="s">
        <v>148</v>
      </c>
      <c r="C33" s="29" t="s">
        <v>149</v>
      </c>
      <c r="D33" s="29">
        <v>0.99</v>
      </c>
      <c r="E33" s="29">
        <v>136.03864999999999</v>
      </c>
      <c r="F33" s="29">
        <v>2.8849999999999998</v>
      </c>
      <c r="G33" s="29">
        <f>AVERAGE(K33:P33)</f>
        <v>881959.66357150429</v>
      </c>
      <c r="H33" s="29">
        <f>MAX(K33:P33)</f>
        <v>3191055.827085</v>
      </c>
      <c r="I33" s="29">
        <f>G33/SUM(G$2:G$104)</f>
        <v>1.5028757158860387E-4</v>
      </c>
      <c r="J33" s="29">
        <v>66.7</v>
      </c>
      <c r="K33" s="29">
        <v>40581.378245289401</v>
      </c>
      <c r="L33" s="29">
        <v>62814.172325098603</v>
      </c>
      <c r="M33" s="29">
        <v>46958.625066985704</v>
      </c>
      <c r="N33" s="29">
        <v>1905633.53156756</v>
      </c>
      <c r="O33" s="29">
        <v>44714.447139092197</v>
      </c>
      <c r="P33" s="29">
        <v>3191055.827085</v>
      </c>
      <c r="Q33" s="30">
        <f>AVERAGE(K33:M33)</f>
        <v>50118.058545791231</v>
      </c>
      <c r="R33" s="30">
        <f>AVERAGE(N33:P33)</f>
        <v>1713801.2685972173</v>
      </c>
      <c r="S33" s="31">
        <f>R33/Q33</f>
        <v>34.195284460817113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spans="1:76">
      <c r="A34" s="1" t="s">
        <v>245</v>
      </c>
      <c r="B34" s="1" t="s">
        <v>217</v>
      </c>
      <c r="C34" s="1" t="s">
        <v>218</v>
      </c>
      <c r="D34" s="1">
        <v>0.15</v>
      </c>
      <c r="E34" s="1">
        <v>152.13137</v>
      </c>
      <c r="F34" s="1">
        <v>1.778</v>
      </c>
      <c r="G34" s="1">
        <f>AVERAGE(K34:P34)</f>
        <v>92830563.94543159</v>
      </c>
      <c r="H34" s="1">
        <f>MAX(K34:P34)</f>
        <v>508139489.16346103</v>
      </c>
      <c r="I34" s="1">
        <f>G34/SUM(G$2:G$104)</f>
        <v>1.5818501231749844E-2</v>
      </c>
      <c r="J34" s="1">
        <v>52.3</v>
      </c>
      <c r="K34" s="1">
        <v>17010146.912392601</v>
      </c>
      <c r="L34" s="1">
        <v>1468575.3373334799</v>
      </c>
      <c r="M34" s="1">
        <v>11465041.059854999</v>
      </c>
      <c r="N34" s="1">
        <v>4230497.5632024501</v>
      </c>
      <c r="O34" s="1">
        <v>14669633.636344999</v>
      </c>
      <c r="P34" s="1">
        <v>508139489.16346103</v>
      </c>
      <c r="Q34" s="15">
        <f>AVERAGE(K34:M34)</f>
        <v>9981254.4365270268</v>
      </c>
      <c r="R34" s="15">
        <f>AVERAGE(N34:P34)</f>
        <v>175679873.45433617</v>
      </c>
      <c r="S34" s="16">
        <f>R34/Q34</f>
        <v>17.600981376792145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spans="1:76" s="36" customFormat="1">
      <c r="A35" s="1" t="s">
        <v>239</v>
      </c>
      <c r="B35" s="6" t="s">
        <v>140</v>
      </c>
      <c r="C35" s="1" t="s">
        <v>141</v>
      </c>
      <c r="D35" s="1">
        <v>0.82</v>
      </c>
      <c r="E35" s="1">
        <v>113.08416</v>
      </c>
      <c r="F35" s="1">
        <v>1.2789999999999999</v>
      </c>
      <c r="G35" s="1">
        <f>AVERAGE(K35:P35)</f>
        <v>1014373860.6146845</v>
      </c>
      <c r="H35" s="1">
        <f>MAX(K35:P35)</f>
        <v>5464230541.7036104</v>
      </c>
      <c r="I35" s="1">
        <f>G35/SUM(G$2:G$104)</f>
        <v>0.17285119772643465</v>
      </c>
      <c r="J35" s="1">
        <v>86</v>
      </c>
      <c r="K35" s="1">
        <v>126108240.636425</v>
      </c>
      <c r="L35" s="1">
        <v>102224048.47766601</v>
      </c>
      <c r="M35" s="1">
        <v>154097692.86418501</v>
      </c>
      <c r="N35" s="1">
        <v>135306396.723416</v>
      </c>
      <c r="O35" s="1">
        <v>104276243.282804</v>
      </c>
      <c r="P35" s="1">
        <v>5464230541.7036104</v>
      </c>
      <c r="Q35" s="15">
        <f>AVERAGE(K35:M35)</f>
        <v>127476660.65942533</v>
      </c>
      <c r="R35" s="15">
        <f>AVERAGE(N35:P35)</f>
        <v>1901271060.5699434</v>
      </c>
      <c r="S35" s="16">
        <f>R35/Q35</f>
        <v>14.914660069810731</v>
      </c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</row>
    <row r="36" spans="1:76">
      <c r="A36" s="1" t="s">
        <v>257</v>
      </c>
      <c r="B36" s="1" t="s">
        <v>136</v>
      </c>
      <c r="C36" s="1" t="s">
        <v>137</v>
      </c>
      <c r="D36" s="1">
        <v>0.92</v>
      </c>
      <c r="E36" s="1">
        <v>99.104889999999997</v>
      </c>
      <c r="F36" s="1">
        <v>2.5270000000000001</v>
      </c>
      <c r="G36" s="1">
        <f>AVERAGE(K36:P36)</f>
        <v>17556186.646075524</v>
      </c>
      <c r="H36" s="1">
        <f>MAX(K36:P36)</f>
        <v>40609210.830917098</v>
      </c>
      <c r="I36" s="1">
        <f>G36/SUM(G$2:G$104)</f>
        <v>2.9916069479985394E-3</v>
      </c>
      <c r="J36" s="1">
        <v>71.8</v>
      </c>
      <c r="K36" s="1">
        <v>1685428.61755948</v>
      </c>
      <c r="L36" s="1">
        <v>5388249.6430533398</v>
      </c>
      <c r="M36" s="1">
        <v>4285163.9245458301</v>
      </c>
      <c r="N36" s="1">
        <v>40609210.830917098</v>
      </c>
      <c r="O36" s="1">
        <v>25088100.488244399</v>
      </c>
      <c r="P36" s="1">
        <v>28280966.372133002</v>
      </c>
      <c r="Q36" s="15">
        <f>AVERAGE(K36:M36)</f>
        <v>3786280.7283862163</v>
      </c>
      <c r="R36" s="15">
        <f>AVERAGE(N36:P36)</f>
        <v>31326092.563764829</v>
      </c>
      <c r="S36" s="16">
        <f>R36/Q36</f>
        <v>8.2735789580812718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</row>
    <row r="37" spans="1:76" s="28" customFormat="1">
      <c r="A37" s="1" t="s">
        <v>322</v>
      </c>
      <c r="B37" s="1" t="s">
        <v>177</v>
      </c>
      <c r="C37" s="1" t="s">
        <v>178</v>
      </c>
      <c r="D37" s="1">
        <v>0.75</v>
      </c>
      <c r="E37" s="1">
        <v>175.09985</v>
      </c>
      <c r="F37" s="1">
        <v>1.036</v>
      </c>
      <c r="G37" s="1">
        <f>AVERAGE(K37:P37)</f>
        <v>1337359.6183172748</v>
      </c>
      <c r="H37" s="1">
        <f>MAX(K37:P37)</f>
        <v>5240365.43452508</v>
      </c>
      <c r="I37" s="1">
        <f>G37/SUM(G$2:G$104)</f>
        <v>2.2788857322982365E-4</v>
      </c>
      <c r="J37" s="1">
        <v>62.9</v>
      </c>
      <c r="K37" s="1">
        <v>255923.84812252299</v>
      </c>
      <c r="L37" s="1">
        <v>170606.787083103</v>
      </c>
      <c r="M37" s="1">
        <v>464082.87200859201</v>
      </c>
      <c r="N37" s="1">
        <v>1237744.4933009399</v>
      </c>
      <c r="O37" s="1">
        <v>5240365.43452508</v>
      </c>
      <c r="P37" s="1">
        <v>655434.27486341202</v>
      </c>
      <c r="Q37" s="15">
        <f>AVERAGE(K37:M37)</f>
        <v>296871.16907140601</v>
      </c>
      <c r="R37" s="15">
        <f>AVERAGE(N37:P37)</f>
        <v>2377848.067563144</v>
      </c>
      <c r="S37" s="16">
        <f>R37/Q37</f>
        <v>8.0096968493131229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</row>
    <row r="38" spans="1:76" s="28" customFormat="1">
      <c r="A38" s="1" t="s">
        <v>278</v>
      </c>
      <c r="B38" s="1" t="s">
        <v>199</v>
      </c>
      <c r="C38" s="1" t="s">
        <v>200</v>
      </c>
      <c r="D38" s="1">
        <v>0.66</v>
      </c>
      <c r="E38" s="1">
        <v>109.06407</v>
      </c>
      <c r="F38" s="1">
        <v>3.2090000000000001</v>
      </c>
      <c r="G38" s="1">
        <f>AVERAGE(K38:P38)</f>
        <v>6284832.8686356694</v>
      </c>
      <c r="H38" s="1">
        <f>MAX(K38:P38)</f>
        <v>32390540.885599598</v>
      </c>
      <c r="I38" s="1">
        <f>G38/SUM(G$2:G$104)</f>
        <v>1.0709472424652632E-3</v>
      </c>
      <c r="J38" s="1">
        <v>80.2</v>
      </c>
      <c r="K38" s="1">
        <v>2085980.2897431899</v>
      </c>
      <c r="L38" s="1">
        <v>304136.66519505699</v>
      </c>
      <c r="M38" s="1">
        <v>2058406.84144846</v>
      </c>
      <c r="N38" s="1">
        <v>399703.81637215702</v>
      </c>
      <c r="O38" s="1">
        <v>470228.71345555101</v>
      </c>
      <c r="P38" s="1">
        <v>32390540.885599598</v>
      </c>
      <c r="Q38" s="15">
        <f>AVERAGE(K38:M38)</f>
        <v>1482841.2654622355</v>
      </c>
      <c r="R38" s="15">
        <f>AVERAGE(N38:P38)</f>
        <v>11086824.471809102</v>
      </c>
      <c r="S38" s="16">
        <f>R38/Q38</f>
        <v>7.4767439577243522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</row>
    <row r="39" spans="1:76" s="28" customFormat="1">
      <c r="A39" s="1" t="s">
        <v>296</v>
      </c>
      <c r="B39" s="1" t="s">
        <v>89</v>
      </c>
      <c r="C39" s="1" t="s">
        <v>90</v>
      </c>
      <c r="D39" s="1">
        <v>-1.77</v>
      </c>
      <c r="E39" s="1">
        <v>95.987939999999995</v>
      </c>
      <c r="F39" s="1">
        <v>3.1349999999999998</v>
      </c>
      <c r="G39" s="1">
        <f>AVERAGE(K39:P39)</f>
        <v>3375606.4570346014</v>
      </c>
      <c r="H39" s="1">
        <f>MAX(K39:P39)</f>
        <v>15402266.5425785</v>
      </c>
      <c r="I39" s="1">
        <f>G39/SUM(G$2:G$104)</f>
        <v>5.7520963601915469E-4</v>
      </c>
      <c r="J39" s="1">
        <v>79.3</v>
      </c>
      <c r="K39" s="1">
        <v>371756.12566945102</v>
      </c>
      <c r="L39" s="1">
        <v>73631.614264394404</v>
      </c>
      <c r="M39" s="1">
        <v>2328895.4721941901</v>
      </c>
      <c r="N39" s="1">
        <v>1899251.78386328</v>
      </c>
      <c r="O39" s="1">
        <v>177837.203637795</v>
      </c>
      <c r="P39" s="1">
        <v>15402266.5425785</v>
      </c>
      <c r="Q39" s="15">
        <f>AVERAGE(K39:M39)</f>
        <v>924761.07070934528</v>
      </c>
      <c r="R39" s="15">
        <f>AVERAGE(N39:P39)</f>
        <v>5826451.8433598578</v>
      </c>
      <c r="S39" s="16">
        <f>R39/Q39</f>
        <v>6.3004942875575765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</row>
    <row r="40" spans="1:76" s="28" customFormat="1">
      <c r="A40" s="1" t="s">
        <v>288</v>
      </c>
      <c r="B40" s="1" t="s">
        <v>221</v>
      </c>
      <c r="C40" s="1" t="s">
        <v>222</v>
      </c>
      <c r="D40" s="1">
        <v>0.49</v>
      </c>
      <c r="E40" s="1">
        <v>138.07937999999999</v>
      </c>
      <c r="F40" s="1">
        <v>2.2599999999999998</v>
      </c>
      <c r="G40" s="1">
        <f>AVERAGE(K40:P40)</f>
        <v>7240723.4056894602</v>
      </c>
      <c r="H40" s="1">
        <f>MAX(K40:P40)</f>
        <v>21474360.1554664</v>
      </c>
      <c r="I40" s="1">
        <f>G40/SUM(G$2:G$104)</f>
        <v>1.2338327727814619E-3</v>
      </c>
      <c r="J40" s="1">
        <v>64.599999999999994</v>
      </c>
      <c r="K40" s="1">
        <v>1228366.4060807701</v>
      </c>
      <c r="L40" s="1">
        <v>5224380.6422519796</v>
      </c>
      <c r="M40" s="1">
        <v>226392.136436036</v>
      </c>
      <c r="N40" s="1">
        <v>5268535.6308949804</v>
      </c>
      <c r="O40" s="1">
        <v>10022305.463006601</v>
      </c>
      <c r="P40" s="1">
        <v>21474360.1554664</v>
      </c>
      <c r="Q40" s="15">
        <f>AVERAGE(K40:M40)</f>
        <v>2226379.7282562619</v>
      </c>
      <c r="R40" s="15">
        <f>AVERAGE(N40:P40)</f>
        <v>12255067.083122661</v>
      </c>
      <c r="S40" s="16">
        <f>R40/Q40</f>
        <v>5.5044819747442792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</row>
    <row r="41" spans="1:76">
      <c r="A41" s="1" t="s">
        <v>301</v>
      </c>
      <c r="B41" s="1" t="s">
        <v>219</v>
      </c>
      <c r="C41" s="1" t="s">
        <v>220</v>
      </c>
      <c r="D41" s="1">
        <v>1.22</v>
      </c>
      <c r="E41" s="1">
        <v>108.06887999999999</v>
      </c>
      <c r="F41" s="1">
        <v>2.6459999999999999</v>
      </c>
      <c r="G41" s="1">
        <f>AVERAGE(K41:P41)</f>
        <v>3795165.3098542108</v>
      </c>
      <c r="H41" s="1">
        <f>MAX(K41:P41)</f>
        <v>14797117.4023451</v>
      </c>
      <c r="I41" s="1">
        <f>G41/SUM(G$2:G$104)</f>
        <v>6.4670324704601254E-4</v>
      </c>
      <c r="J41" s="1">
        <v>92.7</v>
      </c>
      <c r="K41" s="1">
        <v>1140129.5026346799</v>
      </c>
      <c r="L41" s="1">
        <v>862008.49101361097</v>
      </c>
      <c r="M41" s="1">
        <v>2625937.1953480202</v>
      </c>
      <c r="N41" s="1">
        <v>2264378.8072819798</v>
      </c>
      <c r="O41" s="1">
        <v>1081420.4605018699</v>
      </c>
      <c r="P41" s="1">
        <v>14797117.4023451</v>
      </c>
      <c r="Q41" s="15">
        <f>AVERAGE(K41:M41)</f>
        <v>1542691.729665437</v>
      </c>
      <c r="R41" s="15">
        <f>AVERAGE(N41:P41)</f>
        <v>6047638.890042983</v>
      </c>
      <c r="S41" s="16">
        <f>R41/Q41</f>
        <v>3.9201862392524345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spans="1:76">
      <c r="A42" s="1" t="s">
        <v>283</v>
      </c>
      <c r="B42" s="1" t="s">
        <v>195</v>
      </c>
      <c r="C42" s="1" t="s">
        <v>196</v>
      </c>
      <c r="D42" s="1">
        <v>-1.02</v>
      </c>
      <c r="E42" s="1">
        <v>151.00903</v>
      </c>
      <c r="F42" s="1">
        <v>1.0509999999999999</v>
      </c>
      <c r="G42" s="1">
        <f>AVERAGE(K42:P42)</f>
        <v>10107559.585199164</v>
      </c>
      <c r="H42" s="1">
        <f>MAX(K42:P42)</f>
        <v>29233300.0196824</v>
      </c>
      <c r="I42" s="1">
        <f>G42/SUM(G$2:G$104)</f>
        <v>1.7223470046184752E-3</v>
      </c>
      <c r="J42" s="1">
        <v>83.3</v>
      </c>
      <c r="K42" s="1">
        <v>964793.82138157403</v>
      </c>
      <c r="L42" s="1">
        <v>4066996.2668759199</v>
      </c>
      <c r="M42" s="1">
        <v>7652792.7691385401</v>
      </c>
      <c r="N42" s="1">
        <v>29233300.0196824</v>
      </c>
      <c r="O42" s="1">
        <v>16454558.7332881</v>
      </c>
      <c r="P42" s="1">
        <v>2272915.9008284602</v>
      </c>
      <c r="Q42" s="15">
        <f>AVERAGE(K42:M42)</f>
        <v>4228194.2857986772</v>
      </c>
      <c r="R42" s="15">
        <f>AVERAGE(N42:P42)</f>
        <v>15986924.884599654</v>
      </c>
      <c r="S42" s="16">
        <f>R42/Q42</f>
        <v>3.7810289225107905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</row>
    <row r="43" spans="1:76" s="28" customFormat="1">
      <c r="A43" s="1" t="s">
        <v>312</v>
      </c>
      <c r="B43" s="1" t="s">
        <v>111</v>
      </c>
      <c r="C43" s="1" t="s">
        <v>112</v>
      </c>
      <c r="D43" s="1">
        <v>0.35</v>
      </c>
      <c r="E43" s="1">
        <v>337.33458000000002</v>
      </c>
      <c r="F43" s="1">
        <v>8.2579999999999991</v>
      </c>
      <c r="G43" s="1">
        <f>AVERAGE(K43:P43)</f>
        <v>1774813.6420842595</v>
      </c>
      <c r="H43" s="1">
        <f>MAX(K43:P43)</f>
        <v>7541262.3062927099</v>
      </c>
      <c r="I43" s="1">
        <f>G43/SUM(G$2:G$104)</f>
        <v>3.024315547618508E-4</v>
      </c>
      <c r="J43" s="1">
        <v>75.8</v>
      </c>
      <c r="K43" s="1">
        <v>758110.09435270005</v>
      </c>
      <c r="L43" s="1">
        <v>748033.31547186896</v>
      </c>
      <c r="M43" s="1">
        <v>723348.97910695605</v>
      </c>
      <c r="N43" s="1">
        <v>383546.61611856997</v>
      </c>
      <c r="O43" s="1">
        <v>494580.54116275301</v>
      </c>
      <c r="P43" s="1">
        <v>7541262.3062927099</v>
      </c>
      <c r="Q43" s="15">
        <f>AVERAGE(K43:M43)</f>
        <v>743164.12964384165</v>
      </c>
      <c r="R43" s="15">
        <f>AVERAGE(N43:P43)</f>
        <v>2806463.1545246779</v>
      </c>
      <c r="S43" s="16">
        <f>R43/Q43</f>
        <v>3.776370578959003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</row>
    <row r="44" spans="1:76" s="40" customFormat="1">
      <c r="A44" s="1" t="s">
        <v>297</v>
      </c>
      <c r="B44" s="1" t="s">
        <v>49</v>
      </c>
      <c r="C44" s="1" t="s">
        <v>50</v>
      </c>
      <c r="D44" s="1">
        <v>0.06</v>
      </c>
      <c r="E44" s="1">
        <v>222.14673999999999</v>
      </c>
      <c r="F44" s="1">
        <v>1.1850000000000001</v>
      </c>
      <c r="G44" s="1">
        <f>AVERAGE(K44:P44)</f>
        <v>3873891.8944463618</v>
      </c>
      <c r="H44" s="1">
        <f>MAX(K44:P44)</f>
        <v>15084239.9069367</v>
      </c>
      <c r="I44" s="1">
        <f>G44/SUM(G$2:G$104)</f>
        <v>6.6011840389106253E-4</v>
      </c>
      <c r="J44" s="1">
        <v>68.400000000000006</v>
      </c>
      <c r="K44" s="1">
        <v>1738871.04001147</v>
      </c>
      <c r="L44" s="1">
        <v>1561283.3936689701</v>
      </c>
      <c r="M44" s="1">
        <v>1780794.6804019399</v>
      </c>
      <c r="N44" s="1">
        <v>1594479.5211338401</v>
      </c>
      <c r="O44" s="1">
        <v>1483682.8245252499</v>
      </c>
      <c r="P44" s="1">
        <v>15084239.9069367</v>
      </c>
      <c r="Q44" s="15">
        <f>AVERAGE(K44:M44)</f>
        <v>1693649.7046941267</v>
      </c>
      <c r="R44" s="15">
        <f>AVERAGE(N44:P44)</f>
        <v>6054134.0841985969</v>
      </c>
      <c r="S44" s="16">
        <f>R44/Q44</f>
        <v>3.5746081774873124</v>
      </c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</row>
    <row r="45" spans="1:76" s="28" customFormat="1">
      <c r="A45" s="1" t="s">
        <v>325</v>
      </c>
      <c r="B45" s="1" t="s">
        <v>183</v>
      </c>
      <c r="C45" s="1" t="s">
        <v>184</v>
      </c>
      <c r="D45" s="1">
        <v>0.39</v>
      </c>
      <c r="E45" s="1">
        <v>141.11542</v>
      </c>
      <c r="F45" s="1">
        <v>2.5659999999999998</v>
      </c>
      <c r="G45" s="1">
        <f>AVERAGE(K45:P45)</f>
        <v>870959.92478147883</v>
      </c>
      <c r="H45" s="1">
        <f>MAX(K45:P45)</f>
        <v>1797251.49167805</v>
      </c>
      <c r="I45" s="1">
        <f>G45/SUM(G$2:G$104)</f>
        <v>1.4841319558350682E-4</v>
      </c>
      <c r="J45" s="1">
        <v>60.8</v>
      </c>
      <c r="K45" s="1">
        <v>291118.46472064301</v>
      </c>
      <c r="L45" s="1">
        <v>555867.59639058204</v>
      </c>
      <c r="M45" s="1">
        <v>512621.04942490999</v>
      </c>
      <c r="N45" s="1">
        <v>647471.45263276796</v>
      </c>
      <c r="O45" s="1">
        <v>1421429.49384192</v>
      </c>
      <c r="P45" s="1">
        <v>1797251.49167805</v>
      </c>
      <c r="Q45" s="15">
        <f>AVERAGE(K45:M45)</f>
        <v>453202.37017871166</v>
      </c>
      <c r="R45" s="15">
        <f>AVERAGE(N45:P45)</f>
        <v>1288717.479384246</v>
      </c>
      <c r="S45" s="16">
        <f>R45/Q45</f>
        <v>2.8435806257501808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</row>
    <row r="46" spans="1:76" s="28" customFormat="1">
      <c r="A46" s="1" t="s">
        <v>287</v>
      </c>
      <c r="B46" s="1" t="s">
        <v>95</v>
      </c>
      <c r="C46" s="1" t="s">
        <v>96</v>
      </c>
      <c r="D46" s="1">
        <v>0.53</v>
      </c>
      <c r="E46" s="1">
        <v>166.02670000000001</v>
      </c>
      <c r="F46" s="1">
        <v>1.1539999999999999</v>
      </c>
      <c r="G46" s="1">
        <f>AVERAGE(K46:P46)</f>
        <v>1065409.964417292</v>
      </c>
      <c r="H46" s="1">
        <f>MAX(K46:P46)</f>
        <v>2339454.9499335098</v>
      </c>
      <c r="I46" s="1">
        <f>G46/SUM(G$2:G$104)</f>
        <v>1.8154784500027673E-4</v>
      </c>
      <c r="J46" s="1">
        <v>85.3</v>
      </c>
      <c r="K46" s="1">
        <v>259279.28986251701</v>
      </c>
      <c r="L46" s="1">
        <v>1132607.4482722699</v>
      </c>
      <c r="M46" s="1">
        <v>323919.45478496503</v>
      </c>
      <c r="N46" s="1">
        <v>1565650.01241834</v>
      </c>
      <c r="O46" s="1">
        <v>771548.63123215095</v>
      </c>
      <c r="P46" s="1">
        <v>2339454.9499335098</v>
      </c>
      <c r="Q46" s="15">
        <f>AVERAGE(K46:M46)</f>
        <v>571935.39763991733</v>
      </c>
      <c r="R46" s="15">
        <f>AVERAGE(N46:P46)</f>
        <v>1558884.5311946671</v>
      </c>
      <c r="S46" s="16">
        <f>R46/Q46</f>
        <v>2.7256304429265619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</row>
    <row r="47" spans="1:76">
      <c r="A47" s="1" t="s">
        <v>271</v>
      </c>
      <c r="B47" s="1" t="s">
        <v>209</v>
      </c>
      <c r="C47" s="1" t="s">
        <v>210</v>
      </c>
      <c r="D47" s="1">
        <v>0.62</v>
      </c>
      <c r="E47" s="1">
        <v>157.14676</v>
      </c>
      <c r="F47" s="1">
        <v>2.9649999999999999</v>
      </c>
      <c r="G47" s="1">
        <f>AVERAGE(K47:P47)</f>
        <v>12095126.432693427</v>
      </c>
      <c r="H47" s="1">
        <f>MAX(K47:P47)</f>
        <v>24286150.641264901</v>
      </c>
      <c r="I47" s="1">
        <f>G47/SUM(G$2:G$104)</f>
        <v>2.0610321023816934E-3</v>
      </c>
      <c r="J47" s="1">
        <v>89.7</v>
      </c>
      <c r="K47" s="1">
        <v>3471159.4773728601</v>
      </c>
      <c r="L47" s="1">
        <v>12913933.277265299</v>
      </c>
      <c r="M47" s="1">
        <v>4347529.7318011997</v>
      </c>
      <c r="N47" s="1">
        <v>10459119.905799599</v>
      </c>
      <c r="O47" s="1">
        <v>17092865.562656701</v>
      </c>
      <c r="P47" s="1">
        <v>24286150.641264901</v>
      </c>
      <c r="Q47" s="15">
        <f>AVERAGE(K47:M47)</f>
        <v>6910874.1621464528</v>
      </c>
      <c r="R47" s="15">
        <f>AVERAGE(N47:P47)</f>
        <v>17279378.703240398</v>
      </c>
      <c r="S47" s="16">
        <f>R47/Q47</f>
        <v>2.5003173690943874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</row>
    <row r="48" spans="1:76">
      <c r="A48" s="1" t="s">
        <v>318</v>
      </c>
      <c r="B48" s="1" t="s">
        <v>63</v>
      </c>
      <c r="C48" s="1" t="s">
        <v>64</v>
      </c>
      <c r="D48" s="1">
        <v>-0.33</v>
      </c>
      <c r="E48" s="1">
        <v>205.13133999999999</v>
      </c>
      <c r="F48" s="1">
        <v>1.593</v>
      </c>
      <c r="G48" s="1">
        <f>AVERAGE(K48:P48)</f>
        <v>671326.23290227295</v>
      </c>
      <c r="H48" s="1">
        <f>MAX(K48:P48)</f>
        <v>2206351.1840558401</v>
      </c>
      <c r="I48" s="1">
        <f>G48/SUM(G$2:G$104)</f>
        <v>1.1439524215659139E-4</v>
      </c>
      <c r="J48" s="1">
        <v>86.6</v>
      </c>
      <c r="K48" s="1">
        <v>975676.52449358394</v>
      </c>
      <c r="L48" s="1">
        <v>53167.870003548996</v>
      </c>
      <c r="M48" s="1">
        <v>278463.21050123603</v>
      </c>
      <c r="N48" s="1">
        <v>471986.232908862</v>
      </c>
      <c r="O48" s="1">
        <v>42312.375450566702</v>
      </c>
      <c r="P48" s="1">
        <v>2206351.1840558401</v>
      </c>
      <c r="Q48" s="15">
        <f>AVERAGE(K48:M48)</f>
        <v>435769.201666123</v>
      </c>
      <c r="R48" s="15">
        <f>AVERAGE(N48:P48)</f>
        <v>906883.26413842291</v>
      </c>
      <c r="S48" s="16">
        <f>R48/Q48</f>
        <v>2.0811091299500726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spans="1:76">
      <c r="A49" s="1" t="s">
        <v>266</v>
      </c>
      <c r="B49" s="1" t="s">
        <v>77</v>
      </c>
      <c r="C49" s="1" t="s">
        <v>78</v>
      </c>
      <c r="D49" s="1">
        <v>-0.08</v>
      </c>
      <c r="E49" s="1">
        <v>191.131</v>
      </c>
      <c r="F49" s="1">
        <v>1.89</v>
      </c>
      <c r="G49" s="1">
        <f>AVERAGE(K49:P49)</f>
        <v>5912775.7614600435</v>
      </c>
      <c r="H49" s="1">
        <f>MAX(K49:P49)</f>
        <v>16824640.819970999</v>
      </c>
      <c r="I49" s="1">
        <f>G49/SUM(G$2:G$104)</f>
        <v>1.0075480174901944E-3</v>
      </c>
      <c r="J49" s="1">
        <v>80.3</v>
      </c>
      <c r="K49" s="1">
        <v>10606946.169521701</v>
      </c>
      <c r="L49" s="1">
        <v>469221.41834211</v>
      </c>
      <c r="M49" s="1">
        <v>522912.77615453099</v>
      </c>
      <c r="N49" s="1">
        <v>5585907.7739426903</v>
      </c>
      <c r="O49" s="1">
        <v>1467025.6108282299</v>
      </c>
      <c r="P49" s="1">
        <v>16824640.819970999</v>
      </c>
      <c r="Q49" s="15">
        <f>AVERAGE(K49:M49)</f>
        <v>3866360.1213394473</v>
      </c>
      <c r="R49" s="15">
        <f>AVERAGE(N49:P49)</f>
        <v>7959191.4015806392</v>
      </c>
      <c r="S49" s="16">
        <f>R49/Q49</f>
        <v>2.0585747710493369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spans="1:76" s="36" customFormat="1">
      <c r="A50" s="1" t="s">
        <v>319</v>
      </c>
      <c r="B50" s="1" t="s">
        <v>213</v>
      </c>
      <c r="C50" s="1" t="s">
        <v>82</v>
      </c>
      <c r="D50" s="1">
        <v>0.59</v>
      </c>
      <c r="E50" s="1">
        <v>149.07023000000001</v>
      </c>
      <c r="F50" s="1">
        <v>3.92</v>
      </c>
      <c r="G50" s="1">
        <f>AVERAGE(K50:P50)</f>
        <v>2016598.4910091951</v>
      </c>
      <c r="H50" s="1">
        <f>MAX(K50:P50)</f>
        <v>3948893.1617254899</v>
      </c>
      <c r="I50" s="1">
        <f>G50/SUM(G$2:G$104)</f>
        <v>3.4363214396419361E-4</v>
      </c>
      <c r="J50" s="1">
        <v>65.5</v>
      </c>
      <c r="K50" s="1">
        <v>2096992.7230424499</v>
      </c>
      <c r="L50" s="1">
        <v>465028.574795792</v>
      </c>
      <c r="M50" s="1">
        <v>1693482.4776896101</v>
      </c>
      <c r="N50" s="1">
        <v>1986744.4051787299</v>
      </c>
      <c r="O50" s="1">
        <v>3948893.1617254899</v>
      </c>
      <c r="P50" s="1">
        <v>1908449.6036231001</v>
      </c>
      <c r="Q50" s="15">
        <f>AVERAGE(K50:M50)</f>
        <v>1418501.2585092839</v>
      </c>
      <c r="R50" s="15">
        <f>AVERAGE(N50:P50)</f>
        <v>2614695.7235091068</v>
      </c>
      <c r="S50" s="16">
        <f>R50/Q50</f>
        <v>1.843280510203364</v>
      </c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</row>
    <row r="51" spans="1:76" s="40" customFormat="1">
      <c r="A51" s="1" t="s">
        <v>285</v>
      </c>
      <c r="B51" s="1" t="s">
        <v>57</v>
      </c>
      <c r="C51" s="1" t="s">
        <v>58</v>
      </c>
      <c r="D51" s="1">
        <v>0.1</v>
      </c>
      <c r="E51" s="1">
        <v>116.04083</v>
      </c>
      <c r="F51" s="1">
        <v>2.7349999999999999</v>
      </c>
      <c r="G51" s="1">
        <f>AVERAGE(K51:P51)</f>
        <v>378540.49799524178</v>
      </c>
      <c r="H51" s="1">
        <f>MAX(K51:P51)</f>
        <v>724171.80505985103</v>
      </c>
      <c r="I51" s="1">
        <f>G51/SUM(G$2:G$104)</f>
        <v>6.4504006862705395E-5</v>
      </c>
      <c r="J51" s="1">
        <v>76.2</v>
      </c>
      <c r="K51" s="1">
        <v>84550.751111338905</v>
      </c>
      <c r="L51" s="1">
        <v>675797.17932964803</v>
      </c>
      <c r="M51" s="1">
        <v>58580.822432639397</v>
      </c>
      <c r="N51" s="1">
        <v>134842.15819987099</v>
      </c>
      <c r="O51" s="1">
        <v>593300.27183810202</v>
      </c>
      <c r="P51" s="1">
        <v>724171.80505985103</v>
      </c>
      <c r="Q51" s="15">
        <f>AVERAGE(K51:M51)</f>
        <v>272976.25095787545</v>
      </c>
      <c r="R51" s="15">
        <f>AVERAGE(N51:P51)</f>
        <v>484104.74503260804</v>
      </c>
      <c r="S51" s="16">
        <f>R51/Q51</f>
        <v>1.7734317301738936</v>
      </c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</row>
    <row r="52" spans="1:76">
      <c r="A52" s="1" t="s">
        <v>276</v>
      </c>
      <c r="B52" s="1" t="s">
        <v>59</v>
      </c>
      <c r="C52" s="1" t="s">
        <v>60</v>
      </c>
      <c r="D52" s="1">
        <v>-2.2400000000000002</v>
      </c>
      <c r="E52" s="1">
        <v>97.976680000000002</v>
      </c>
      <c r="F52" s="1">
        <v>5.851</v>
      </c>
      <c r="G52" s="1">
        <f>AVERAGE(K52:P52)</f>
        <v>12398969.947882986</v>
      </c>
      <c r="H52" s="1">
        <f>MAX(K52:P52)</f>
        <v>18203429.084072798</v>
      </c>
      <c r="I52" s="1">
        <f>G52/SUM(G$2:G$104)</f>
        <v>2.1128076040592501E-3</v>
      </c>
      <c r="J52" s="1">
        <v>82.4</v>
      </c>
      <c r="K52" s="1">
        <v>10922793.6847998</v>
      </c>
      <c r="L52" s="1">
        <v>7509488.2756804498</v>
      </c>
      <c r="M52" s="1">
        <v>8632840.3148813508</v>
      </c>
      <c r="N52" s="1">
        <v>11291793.6277053</v>
      </c>
      <c r="O52" s="1">
        <v>18203429.084072798</v>
      </c>
      <c r="P52" s="1">
        <v>17833474.700158201</v>
      </c>
      <c r="Q52" s="15">
        <f>AVERAGE(K52:M52)</f>
        <v>9021707.4251205344</v>
      </c>
      <c r="R52" s="15">
        <f>AVERAGE(N52:P52)</f>
        <v>15776232.470645433</v>
      </c>
      <c r="S52" s="16">
        <f>R52/Q52</f>
        <v>1.7486969735592657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</row>
    <row r="53" spans="1:76">
      <c r="A53" s="1" t="s">
        <v>282</v>
      </c>
      <c r="B53" s="6" t="s">
        <v>99</v>
      </c>
      <c r="C53" s="1" t="s">
        <v>100</v>
      </c>
      <c r="D53" s="1">
        <v>0.02</v>
      </c>
      <c r="E53" s="1">
        <v>192.02700999999999</v>
      </c>
      <c r="F53" s="1">
        <v>4.01</v>
      </c>
      <c r="G53" s="1">
        <f>AVERAGE(K53:P53)</f>
        <v>13700296.82796585</v>
      </c>
      <c r="H53" s="1">
        <f>MAX(K53:P53)</f>
        <v>29272272.178874001</v>
      </c>
      <c r="I53" s="1">
        <f>G53/SUM(G$2:G$104)</f>
        <v>2.3345561314903709E-3</v>
      </c>
      <c r="J53" s="1">
        <v>85.9</v>
      </c>
      <c r="K53" s="1">
        <v>10060557.8476154</v>
      </c>
      <c r="L53" s="1">
        <v>12140298.519419599</v>
      </c>
      <c r="M53" s="1">
        <v>7896737.3172677001</v>
      </c>
      <c r="N53" s="1">
        <v>10904973.471110599</v>
      </c>
      <c r="O53" s="1">
        <v>11926941.633507799</v>
      </c>
      <c r="P53" s="1">
        <v>29272272.178874001</v>
      </c>
      <c r="Q53" s="15">
        <f>AVERAGE(K53:M53)</f>
        <v>10032531.228100901</v>
      </c>
      <c r="R53" s="15">
        <f>AVERAGE(N53:P53)</f>
        <v>17368062.4278308</v>
      </c>
      <c r="S53" s="16">
        <f>R53/Q53</f>
        <v>1.7311745194655597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</row>
    <row r="54" spans="1:76">
      <c r="A54" s="1" t="s">
        <v>327</v>
      </c>
      <c r="B54" s="6" t="s">
        <v>132</v>
      </c>
      <c r="C54" s="1" t="s">
        <v>133</v>
      </c>
      <c r="D54" s="1">
        <v>-0.5</v>
      </c>
      <c r="E54" s="1">
        <v>182.07894999999999</v>
      </c>
      <c r="F54" s="1">
        <v>8.2829999999999995</v>
      </c>
      <c r="G54" s="1">
        <f>AVERAGE(K54:P54)</f>
        <v>177705.89583014787</v>
      </c>
      <c r="H54" s="1">
        <f>MAX(K54:P54)</f>
        <v>258743.10791687801</v>
      </c>
      <c r="I54" s="1">
        <f>G54/SUM(G$2:G$104)</f>
        <v>3.0281416083293562E-5</v>
      </c>
      <c r="J54" s="1">
        <v>72</v>
      </c>
      <c r="K54" s="1">
        <v>151556.07262967501</v>
      </c>
      <c r="L54" s="1">
        <v>121693.562339004</v>
      </c>
      <c r="M54" s="1">
        <v>152239.15512155899</v>
      </c>
      <c r="N54" s="1">
        <v>258743.10791687801</v>
      </c>
      <c r="O54" s="1">
        <v>208413.561811272</v>
      </c>
      <c r="P54" s="1">
        <v>173589.915162499</v>
      </c>
      <c r="Q54" s="15">
        <f>AVERAGE(K54:M54)</f>
        <v>141829.59669674598</v>
      </c>
      <c r="R54" s="15">
        <f>AVERAGE(N54:P54)</f>
        <v>213582.19496354964</v>
      </c>
      <c r="S54" s="16">
        <f>R54/Q54</f>
        <v>1.5059070880686631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spans="1:76">
      <c r="A55" s="1" t="s">
        <v>309</v>
      </c>
      <c r="B55" s="1" t="s">
        <v>79</v>
      </c>
      <c r="C55" s="1" t="s">
        <v>80</v>
      </c>
      <c r="D55" s="1">
        <v>0.36</v>
      </c>
      <c r="E55" s="1">
        <v>127.09976</v>
      </c>
      <c r="F55" s="1">
        <v>1.9219999999999999</v>
      </c>
      <c r="G55" s="1">
        <f>AVERAGE(K55:P55)</f>
        <v>4473531.6192401433</v>
      </c>
      <c r="H55" s="1">
        <f>MAX(K55:P55)</f>
        <v>9333581.9586324394</v>
      </c>
      <c r="I55" s="1">
        <f>G55/SUM(G$2:G$104)</f>
        <v>7.6229813136565112E-4</v>
      </c>
      <c r="J55" s="1">
        <v>66.3</v>
      </c>
      <c r="K55" s="1">
        <v>8956444.9090207703</v>
      </c>
      <c r="L55" s="1">
        <v>591869.99166170403</v>
      </c>
      <c r="M55" s="1">
        <v>1248829.60720443</v>
      </c>
      <c r="N55" s="1">
        <v>780270.68804473605</v>
      </c>
      <c r="O55" s="1">
        <v>9333581.9586324394</v>
      </c>
      <c r="P55" s="1">
        <v>5930192.5608767802</v>
      </c>
      <c r="Q55" s="15">
        <f>AVERAGE(K55:M55)</f>
        <v>3599048.1692956346</v>
      </c>
      <c r="R55" s="15">
        <f>AVERAGE(N55:P55)</f>
        <v>5348015.0691846525</v>
      </c>
      <c r="S55" s="16">
        <f>R55/Q55</f>
        <v>1.4859526234769196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</row>
    <row r="56" spans="1:76">
      <c r="A56" s="1" t="s">
        <v>299</v>
      </c>
      <c r="B56" s="1" t="s">
        <v>97</v>
      </c>
      <c r="C56" s="1" t="s">
        <v>98</v>
      </c>
      <c r="D56" s="1">
        <v>0.52</v>
      </c>
      <c r="E56" s="1">
        <v>131.09469999999999</v>
      </c>
      <c r="F56" s="1">
        <v>5.0960000000000001</v>
      </c>
      <c r="G56" s="1">
        <f>AVERAGE(K56:P56)</f>
        <v>4287270.2557792962</v>
      </c>
      <c r="H56" s="1">
        <f>MAX(K56:P56)</f>
        <v>8590107.2083823793</v>
      </c>
      <c r="I56" s="1">
        <f>G56/SUM(G$2:G$104)</f>
        <v>7.3055884764154514E-4</v>
      </c>
      <c r="J56" s="1">
        <v>56.7</v>
      </c>
      <c r="K56" s="1">
        <v>3775479.3416033098</v>
      </c>
      <c r="L56" s="1">
        <v>4110910.4507444398</v>
      </c>
      <c r="M56" s="1">
        <v>2920235.7927904301</v>
      </c>
      <c r="N56" s="1">
        <v>4527373.6761016101</v>
      </c>
      <c r="O56" s="1">
        <v>1799515.0650536099</v>
      </c>
      <c r="P56" s="1">
        <v>8590107.2083823793</v>
      </c>
      <c r="Q56" s="15">
        <f>AVERAGE(K56:M56)</f>
        <v>3602208.5283793933</v>
      </c>
      <c r="R56" s="15">
        <f>AVERAGE(N56:P56)</f>
        <v>4972331.9831791995</v>
      </c>
      <c r="S56" s="16">
        <f>R56/Q56</f>
        <v>1.3803565074052542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</row>
    <row r="57" spans="1:76">
      <c r="A57" s="1" t="s">
        <v>241</v>
      </c>
      <c r="B57" s="6" t="s">
        <v>37</v>
      </c>
      <c r="C57" s="1" t="s">
        <v>38</v>
      </c>
      <c r="D57" s="1">
        <v>0.45</v>
      </c>
      <c r="E57" s="1">
        <v>191.15223</v>
      </c>
      <c r="F57" s="1">
        <v>2.762</v>
      </c>
      <c r="G57" s="1">
        <f>AVERAGE(K57:P57)</f>
        <v>230223861.37534928</v>
      </c>
      <c r="H57" s="1">
        <f>MAX(K57:P57)</f>
        <v>579349946.17803299</v>
      </c>
      <c r="I57" s="1">
        <f>G57/SUM(G$2:G$104)</f>
        <v>3.9230575361848694E-2</v>
      </c>
      <c r="J57" s="1">
        <v>91.3</v>
      </c>
      <c r="K57" s="1">
        <v>1565264.7190994399</v>
      </c>
      <c r="L57" s="1">
        <v>579349946.17803299</v>
      </c>
      <c r="M57" s="1">
        <v>60910.234879224801</v>
      </c>
      <c r="N57" s="1">
        <v>210029049.031091</v>
      </c>
      <c r="O57" s="1">
        <v>414036343.48354203</v>
      </c>
      <c r="P57" s="1">
        <v>176301654.60545099</v>
      </c>
      <c r="Q57" s="15">
        <f>AVERAGE(K57:M57)</f>
        <v>193658707.04400387</v>
      </c>
      <c r="R57" s="15">
        <f>AVERAGE(N57:P57)</f>
        <v>266789015.70669469</v>
      </c>
      <c r="S57" s="16">
        <f>R57/Q57</f>
        <v>1.3776246871568438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</row>
    <row r="58" spans="1:76">
      <c r="A58" s="1" t="s">
        <v>267</v>
      </c>
      <c r="B58" s="1" t="s">
        <v>134</v>
      </c>
      <c r="C58" s="1" t="s">
        <v>135</v>
      </c>
      <c r="D58" s="1">
        <v>-0.09</v>
      </c>
      <c r="E58" s="1">
        <v>111.04325</v>
      </c>
      <c r="F58" s="1">
        <v>5.1909999999999998</v>
      </c>
      <c r="G58" s="1">
        <f>AVERAGE(K58:P58)</f>
        <v>998951.48409020575</v>
      </c>
      <c r="H58" s="1">
        <f>MAX(K58:P58)</f>
        <v>1462571.1724522701</v>
      </c>
      <c r="I58" s="1">
        <f>G58/SUM(G$2:G$104)</f>
        <v>1.7022319600286026E-4</v>
      </c>
      <c r="J58" s="1">
        <v>87.8</v>
      </c>
      <c r="K58" s="1">
        <v>828187.78082788805</v>
      </c>
      <c r="L58" s="1">
        <v>855219.43231164897</v>
      </c>
      <c r="M58" s="1">
        <v>842889.87473571405</v>
      </c>
      <c r="N58" s="1">
        <v>999832.51343385305</v>
      </c>
      <c r="O58" s="1">
        <v>1005008.13077986</v>
      </c>
      <c r="P58" s="1">
        <v>1462571.1724522701</v>
      </c>
      <c r="Q58" s="15">
        <f>AVERAGE(K58:M58)</f>
        <v>842099.0292917504</v>
      </c>
      <c r="R58" s="15">
        <f>AVERAGE(N58:P58)</f>
        <v>1155803.9388886609</v>
      </c>
      <c r="S58" s="16">
        <f>R58/Q58</f>
        <v>1.3725273378604328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</row>
    <row r="59" spans="1:76" s="11" customFormat="1">
      <c r="A59" s="1" t="s">
        <v>247</v>
      </c>
      <c r="B59" s="6" t="s">
        <v>39</v>
      </c>
      <c r="C59" s="1" t="s">
        <v>40</v>
      </c>
      <c r="D59" s="1">
        <v>-0.1</v>
      </c>
      <c r="E59" s="1">
        <v>149.10517999999999</v>
      </c>
      <c r="F59" s="1">
        <v>4.7850000000000001</v>
      </c>
      <c r="G59" s="1">
        <f>AVERAGE(K59:P59)</f>
        <v>725671.86060495721</v>
      </c>
      <c r="H59" s="1">
        <f>MAX(K59:P59)</f>
        <v>1004247.92137776</v>
      </c>
      <c r="I59" s="1">
        <f>G59/SUM(G$2:G$104)</f>
        <v>1.2365583847549845E-4</v>
      </c>
      <c r="J59" s="1">
        <v>97.5</v>
      </c>
      <c r="K59" s="1">
        <v>580269.60271399899</v>
      </c>
      <c r="L59" s="1">
        <v>805004.62001989502</v>
      </c>
      <c r="M59" s="1">
        <v>557002.89178052195</v>
      </c>
      <c r="N59" s="1">
        <v>659916.65883652901</v>
      </c>
      <c r="O59" s="1">
        <v>747589.46890103805</v>
      </c>
      <c r="P59" s="1">
        <v>1004247.92137776</v>
      </c>
      <c r="Q59" s="15">
        <f>AVERAGE(K59:M59)</f>
        <v>647425.70483813866</v>
      </c>
      <c r="R59" s="15">
        <f>AVERAGE(N59:P59)</f>
        <v>803918.01637177577</v>
      </c>
      <c r="S59" s="16">
        <f>R59/Q59</f>
        <v>1.2417147023421959</v>
      </c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</row>
    <row r="60" spans="1:76">
      <c r="A60" s="1" t="s">
        <v>258</v>
      </c>
      <c r="B60" s="1" t="s">
        <v>126</v>
      </c>
      <c r="C60" s="1" t="s">
        <v>127</v>
      </c>
      <c r="D60" s="1">
        <v>0.71</v>
      </c>
      <c r="E60" s="1">
        <v>105.07905</v>
      </c>
      <c r="F60" s="1">
        <v>5.4749999999999996</v>
      </c>
      <c r="G60" s="1">
        <f>AVERAGE(K60:P60)</f>
        <v>273970.82016198867</v>
      </c>
      <c r="H60" s="1">
        <f>MAX(K60:P60)</f>
        <v>353196.838617965</v>
      </c>
      <c r="I60" s="1">
        <f>G60/SUM(G$2:G$104)</f>
        <v>4.6685138730208153E-5</v>
      </c>
      <c r="J60" s="1">
        <v>88.4</v>
      </c>
      <c r="K60" s="1">
        <v>238221.98198558899</v>
      </c>
      <c r="L60" s="1">
        <v>268457.08678369998</v>
      </c>
      <c r="M60" s="1">
        <v>238968.36079491701</v>
      </c>
      <c r="N60" s="1">
        <v>288025.30955236597</v>
      </c>
      <c r="O60" s="1">
        <v>256955.34323739499</v>
      </c>
      <c r="P60" s="1">
        <v>353196.838617965</v>
      </c>
      <c r="Q60" s="15">
        <f>AVERAGE(K60:M60)</f>
        <v>248549.14318806864</v>
      </c>
      <c r="R60" s="15">
        <f>AVERAGE(N60:P60)</f>
        <v>299392.49713590863</v>
      </c>
      <c r="S60" s="16">
        <f>R60/Q60</f>
        <v>1.2045605681664675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</row>
    <row r="61" spans="1:76">
      <c r="A61" s="1" t="s">
        <v>254</v>
      </c>
      <c r="B61" s="6" t="s">
        <v>142</v>
      </c>
      <c r="C61" s="1" t="s">
        <v>143</v>
      </c>
      <c r="D61" s="1">
        <v>0.76</v>
      </c>
      <c r="E61" s="1">
        <v>117.07907</v>
      </c>
      <c r="F61" s="1">
        <v>8.2609999999999992</v>
      </c>
      <c r="G61" s="1">
        <f>AVERAGE(K61:P61)</f>
        <v>115892457.68121183</v>
      </c>
      <c r="H61" s="1">
        <f>MAX(K61:P61)</f>
        <v>149012692.262826</v>
      </c>
      <c r="I61" s="1">
        <f>G61/SUM(G$2:G$104)</f>
        <v>1.974829093636013E-2</v>
      </c>
      <c r="J61" s="1">
        <v>74.8</v>
      </c>
      <c r="K61" s="1">
        <v>83582403.827752203</v>
      </c>
      <c r="L61" s="1">
        <v>130869548.87076101</v>
      </c>
      <c r="M61" s="1">
        <v>104028901.564063</v>
      </c>
      <c r="N61" s="1">
        <v>134930830.590316</v>
      </c>
      <c r="O61" s="1">
        <v>149012692.262826</v>
      </c>
      <c r="P61" s="1">
        <v>92930368.9715527</v>
      </c>
      <c r="Q61" s="15">
        <f>AVERAGE(K61:M61)</f>
        <v>106160284.75419207</v>
      </c>
      <c r="R61" s="15">
        <f>AVERAGE(N61:P61)</f>
        <v>125624630.60823159</v>
      </c>
      <c r="S61" s="16">
        <f>R61/Q61</f>
        <v>1.1833486590499269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</row>
    <row r="62" spans="1:76">
      <c r="A62" s="1" t="s">
        <v>314</v>
      </c>
      <c r="B62" s="1" t="s">
        <v>160</v>
      </c>
      <c r="C62" s="1" t="s">
        <v>161</v>
      </c>
      <c r="D62" s="1">
        <v>0.43</v>
      </c>
      <c r="E62" s="1">
        <v>159.06847999999999</v>
      </c>
      <c r="F62" s="1">
        <v>1.3180000000000001</v>
      </c>
      <c r="G62" s="1">
        <f>AVERAGE(K62:P62)</f>
        <v>2405328.8153039613</v>
      </c>
      <c r="H62" s="1">
        <f>MAX(K62:P62)</f>
        <v>5090327.9026845796</v>
      </c>
      <c r="I62" s="1">
        <f>G62/SUM(G$2:G$104)</f>
        <v>4.0987251623307168E-4</v>
      </c>
      <c r="J62" s="1">
        <v>73.5</v>
      </c>
      <c r="K62" s="1">
        <v>929932.47262372205</v>
      </c>
      <c r="L62" s="1">
        <v>5090327.9026845796</v>
      </c>
      <c r="M62" s="1">
        <v>637492.36120939802</v>
      </c>
      <c r="N62" s="1">
        <v>2134899.5195060601</v>
      </c>
      <c r="O62" s="1">
        <v>1640475.0439671499</v>
      </c>
      <c r="P62" s="1">
        <v>3998845.5918328599</v>
      </c>
      <c r="Q62" s="15">
        <f>AVERAGE(K62:M62)</f>
        <v>2219250.9121725666</v>
      </c>
      <c r="R62" s="15">
        <f>AVERAGE(N62:P62)</f>
        <v>2591406.7184353564</v>
      </c>
      <c r="S62" s="16">
        <f>R62/Q62</f>
        <v>1.1676943351567501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</row>
    <row r="63" spans="1:76">
      <c r="A63" s="1" t="s">
        <v>323</v>
      </c>
      <c r="B63" s="1" t="s">
        <v>154</v>
      </c>
      <c r="C63" s="1" t="s">
        <v>155</v>
      </c>
      <c r="D63" s="1">
        <v>-0.52</v>
      </c>
      <c r="E63" s="1">
        <v>292.20368999999999</v>
      </c>
      <c r="F63" s="1">
        <v>1.014</v>
      </c>
      <c r="G63" s="1">
        <f>AVERAGE(K63:P63)</f>
        <v>1581331.3141263844</v>
      </c>
      <c r="H63" s="1">
        <f>MAX(K63:P63)</f>
        <v>2688903.57126662</v>
      </c>
      <c r="I63" s="1">
        <f>G63/SUM(G$2:G$104)</f>
        <v>2.6946180521985106E-4</v>
      </c>
      <c r="J63" s="1">
        <v>74.599999999999994</v>
      </c>
      <c r="K63" s="1">
        <v>1934122.65033286</v>
      </c>
      <c r="L63" s="1">
        <v>1200679.923615</v>
      </c>
      <c r="M63" s="1">
        <v>1272258.08421913</v>
      </c>
      <c r="N63" s="1">
        <v>925056.59326174704</v>
      </c>
      <c r="O63" s="1">
        <v>1466967.0620629501</v>
      </c>
      <c r="P63" s="1">
        <v>2688903.57126662</v>
      </c>
      <c r="Q63" s="15">
        <f>AVERAGE(K63:M63)</f>
        <v>1469020.2193889965</v>
      </c>
      <c r="R63" s="15">
        <f>AVERAGE(N63:P63)</f>
        <v>1693642.4088637724</v>
      </c>
      <c r="S63" s="16">
        <f>R63/Q63</f>
        <v>1.1529061251234527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</row>
    <row r="64" spans="1:76">
      <c r="A64" s="1" t="s">
        <v>243</v>
      </c>
      <c r="B64" s="3" t="s">
        <v>73</v>
      </c>
      <c r="C64" s="1" t="s">
        <v>74</v>
      </c>
      <c r="D64" s="1">
        <v>-0.08</v>
      </c>
      <c r="E64" s="1">
        <v>418.17397</v>
      </c>
      <c r="F64" s="1">
        <v>0.94499999999999995</v>
      </c>
      <c r="G64" s="1">
        <f>AVERAGE(K64:P64)</f>
        <v>828440094.59564674</v>
      </c>
      <c r="H64" s="1">
        <f>MAX(K64:P64)</f>
        <v>1066198864.2923</v>
      </c>
      <c r="I64" s="1">
        <f>G64/SUM(G$2:G$104)</f>
        <v>0.14116773721740497</v>
      </c>
      <c r="J64" s="1">
        <v>81.900000000000006</v>
      </c>
      <c r="K64" s="1">
        <v>775661997.52061296</v>
      </c>
      <c r="L64" s="1">
        <v>624707417.04809499</v>
      </c>
      <c r="M64" s="1">
        <v>910120413.22469294</v>
      </c>
      <c r="N64" s="1">
        <v>1066198864.2923</v>
      </c>
      <c r="O64" s="1">
        <v>860827659.56270003</v>
      </c>
      <c r="P64" s="1">
        <v>733124215.92547905</v>
      </c>
      <c r="Q64" s="15">
        <f>AVERAGE(K64:M64)</f>
        <v>770163275.93113363</v>
      </c>
      <c r="R64" s="15">
        <f>AVERAGE(N64:P64)</f>
        <v>886716913.26015961</v>
      </c>
      <c r="S64" s="16">
        <f>R64/Q64</f>
        <v>1.1513362698164382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spans="1:76" s="28" customFormat="1">
      <c r="A65" s="1" t="s">
        <v>334</v>
      </c>
      <c r="B65" s="1" t="s">
        <v>61</v>
      </c>
      <c r="C65" s="1" t="s">
        <v>62</v>
      </c>
      <c r="D65" s="1">
        <v>-1.54</v>
      </c>
      <c r="E65" s="1">
        <v>114.00637</v>
      </c>
      <c r="F65" s="1">
        <v>0.86899999999999999</v>
      </c>
      <c r="G65" s="1">
        <f>AVERAGE(K65:P65)</f>
        <v>447025.66461788799</v>
      </c>
      <c r="H65" s="1">
        <f>MAX(K65:P65)</f>
        <v>655030.67022397998</v>
      </c>
      <c r="I65" s="1">
        <f>G65/SUM(G$2:G$104)</f>
        <v>7.6174006984795967E-5</v>
      </c>
      <c r="J65" s="1">
        <v>66.3</v>
      </c>
      <c r="K65" s="1">
        <v>456743.387735417</v>
      </c>
      <c r="L65" s="1">
        <v>476434.43204363098</v>
      </c>
      <c r="M65" s="1">
        <v>321939.04613601603</v>
      </c>
      <c r="N65" s="1">
        <v>399239.25303395098</v>
      </c>
      <c r="O65" s="1">
        <v>372767.19853433297</v>
      </c>
      <c r="P65" s="1">
        <v>655030.67022397998</v>
      </c>
      <c r="Q65" s="15">
        <f>AVERAGE(K65:M65)</f>
        <v>418372.28863835469</v>
      </c>
      <c r="R65" s="15">
        <f>AVERAGE(N65:P65)</f>
        <v>475679.04059742129</v>
      </c>
      <c r="S65" s="16">
        <f>R65/Q65</f>
        <v>1.1369754965023584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</row>
    <row r="66" spans="1:76" s="11" customFormat="1">
      <c r="A66" s="1" t="s">
        <v>326</v>
      </c>
      <c r="B66" s="1" t="s">
        <v>45</v>
      </c>
      <c r="C66" s="1" t="s">
        <v>46</v>
      </c>
      <c r="D66" s="1">
        <v>2.3199999999999998</v>
      </c>
      <c r="E66" s="1">
        <v>114.06834000000001</v>
      </c>
      <c r="F66" s="1">
        <v>1.0389999999999999</v>
      </c>
      <c r="G66" s="1">
        <f>AVERAGE(K66:P66)</f>
        <v>3365128.5687194229</v>
      </c>
      <c r="H66" s="1">
        <f>MAX(K66:P66)</f>
        <v>4571457.4488638798</v>
      </c>
      <c r="I66" s="1">
        <f>G66/SUM(G$2:G$104)</f>
        <v>5.7342418430825898E-4</v>
      </c>
      <c r="J66" s="1">
        <v>58.9</v>
      </c>
      <c r="K66" s="1">
        <v>4485876.97235764</v>
      </c>
      <c r="L66" s="1">
        <v>3071774.9688746501</v>
      </c>
      <c r="M66" s="1">
        <v>1918765.76307766</v>
      </c>
      <c r="N66" s="1">
        <v>2633706.3245257898</v>
      </c>
      <c r="O66" s="1">
        <v>3509189.9346169201</v>
      </c>
      <c r="P66" s="1">
        <v>4571457.4488638798</v>
      </c>
      <c r="Q66" s="15">
        <f>AVERAGE(K66:M66)</f>
        <v>3158805.9014366497</v>
      </c>
      <c r="R66" s="15">
        <f>AVERAGE(N66:P66)</f>
        <v>3571451.236002197</v>
      </c>
      <c r="S66" s="16">
        <f>R66/Q66</f>
        <v>1.1306333302650451</v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</row>
    <row r="67" spans="1:76">
      <c r="A67" s="1" t="s">
        <v>338</v>
      </c>
      <c r="B67" s="1" t="s">
        <v>91</v>
      </c>
      <c r="C67" s="1" t="s">
        <v>92</v>
      </c>
      <c r="D67" s="1">
        <v>-1.77</v>
      </c>
      <c r="E67" s="1">
        <v>150.01616999999999</v>
      </c>
      <c r="F67" s="1">
        <v>1.677</v>
      </c>
      <c r="G67" s="1">
        <f>AVERAGE(K67:P67)</f>
        <v>822785.67204042582</v>
      </c>
      <c r="H67" s="1">
        <f>MAX(K67:P67)</f>
        <v>1501996.1874398601</v>
      </c>
      <c r="I67" s="1">
        <f>G67/SUM(G$2:G$104)</f>
        <v>1.4020421306810461E-4</v>
      </c>
      <c r="J67" s="1">
        <v>68.8</v>
      </c>
      <c r="K67" s="1">
        <v>362158.13889160397</v>
      </c>
      <c r="L67" s="1">
        <v>1501996.1874398601</v>
      </c>
      <c r="M67" s="1">
        <v>465612.647766751</v>
      </c>
      <c r="N67" s="1">
        <v>663584.26317223499</v>
      </c>
      <c r="O67" s="1">
        <v>1120029.8772565699</v>
      </c>
      <c r="P67" s="1">
        <v>823332.91771553503</v>
      </c>
      <c r="Q67" s="15">
        <f>AVERAGE(K67:M67)</f>
        <v>776588.99136607163</v>
      </c>
      <c r="R67" s="15">
        <f>AVERAGE(N67:P67)</f>
        <v>868982.3527147799</v>
      </c>
      <c r="S67" s="16">
        <f>R67/Q67</f>
        <v>1.1189733081152518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spans="1:76">
      <c r="A68" s="1" t="s">
        <v>308</v>
      </c>
      <c r="B68" s="1" t="s">
        <v>47</v>
      </c>
      <c r="C68" s="1" t="s">
        <v>48</v>
      </c>
      <c r="D68" s="1">
        <v>0.01</v>
      </c>
      <c r="E68" s="1">
        <v>110.07317</v>
      </c>
      <c r="F68" s="1">
        <v>1.034</v>
      </c>
      <c r="G68" s="1">
        <f>AVERAGE(K68:P68)</f>
        <v>6620616.8309575291</v>
      </c>
      <c r="H68" s="1">
        <f>MAX(K68:P68)</f>
        <v>9783820.0427288599</v>
      </c>
      <c r="I68" s="1">
        <f>G68/SUM(G$2:G$104)</f>
        <v>1.1281654559053161E-3</v>
      </c>
      <c r="J68" s="1">
        <v>63.9</v>
      </c>
      <c r="K68" s="1">
        <v>7975564.4509637998</v>
      </c>
      <c r="L68" s="1">
        <v>4484458.9434932498</v>
      </c>
      <c r="M68" s="1">
        <v>6460309.1869031005</v>
      </c>
      <c r="N68" s="1">
        <v>6723384.8676807601</v>
      </c>
      <c r="O68" s="1">
        <v>4296163.4939754102</v>
      </c>
      <c r="P68" s="1">
        <v>9783820.0427288599</v>
      </c>
      <c r="Q68" s="15">
        <f>AVERAGE(K68:M68)</f>
        <v>6306777.52712005</v>
      </c>
      <c r="R68" s="15">
        <f>AVERAGE(N68:P68)</f>
        <v>6934456.1347950101</v>
      </c>
      <c r="S68" s="16">
        <f>R68/Q68</f>
        <v>1.0995244568205953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  <row r="69" spans="1:76">
      <c r="A69" s="1" t="s">
        <v>253</v>
      </c>
      <c r="B69" s="1" t="s">
        <v>179</v>
      </c>
      <c r="C69" s="1" t="s">
        <v>180</v>
      </c>
      <c r="D69" s="1">
        <v>-0.76</v>
      </c>
      <c r="E69" s="1">
        <v>142.05298999999999</v>
      </c>
      <c r="F69" s="1">
        <v>0.99099999999999999</v>
      </c>
      <c r="G69" s="1">
        <f>AVERAGE(K69:P69)</f>
        <v>4723383.3601596272</v>
      </c>
      <c r="H69" s="1">
        <f>MAX(K69:P69)</f>
        <v>13980541.3965795</v>
      </c>
      <c r="I69" s="1">
        <f>G69/SUM(G$2:G$104)</f>
        <v>8.0487333400917872E-4</v>
      </c>
      <c r="J69" s="1">
        <v>90.2</v>
      </c>
      <c r="K69" s="1">
        <v>10949880.364498099</v>
      </c>
      <c r="L69" s="1">
        <v>528550.97771361098</v>
      </c>
      <c r="M69" s="1">
        <v>2035208.4054103999</v>
      </c>
      <c r="N69" s="1">
        <v>343751.503445671</v>
      </c>
      <c r="O69" s="1">
        <v>502367.513310479</v>
      </c>
      <c r="P69" s="1">
        <v>13980541.3965795</v>
      </c>
      <c r="Q69" s="15">
        <f>AVERAGE(K69:M69)</f>
        <v>4504546.582540703</v>
      </c>
      <c r="R69" s="15">
        <f>AVERAGE(N69:P69)</f>
        <v>4942220.1377785504</v>
      </c>
      <c r="S69" s="16">
        <f>R69/Q69</f>
        <v>1.0971626216352692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</row>
    <row r="70" spans="1:76">
      <c r="A70" s="1" t="s">
        <v>339</v>
      </c>
      <c r="B70" s="1" t="s">
        <v>158</v>
      </c>
      <c r="C70" s="1" t="s">
        <v>159</v>
      </c>
      <c r="D70" s="1">
        <v>0.72</v>
      </c>
      <c r="E70" s="1">
        <v>165.06518</v>
      </c>
      <c r="F70" s="1">
        <v>2.988</v>
      </c>
      <c r="G70" s="1">
        <f>AVERAGE(K70:P70)</f>
        <v>57704.088468456212</v>
      </c>
      <c r="H70" s="1">
        <f>MAX(K70:P70)</f>
        <v>73762.808354094799</v>
      </c>
      <c r="I70" s="1">
        <f>G70/SUM(G$2:G$104)</f>
        <v>9.8328842971571454E-6</v>
      </c>
      <c r="J70" s="1">
        <v>75.099999999999994</v>
      </c>
      <c r="K70" s="1">
        <v>61576.051325460801</v>
      </c>
      <c r="L70" s="1">
        <v>46855.241190935703</v>
      </c>
      <c r="M70" s="1">
        <v>57371.6225009888</v>
      </c>
      <c r="N70" s="1">
        <v>60027.169056367798</v>
      </c>
      <c r="O70" s="1">
        <v>46631.638382889403</v>
      </c>
      <c r="P70" s="1">
        <v>73762.808354094799</v>
      </c>
      <c r="Q70" s="15">
        <f>AVERAGE(K70:M70)</f>
        <v>55267.638339128433</v>
      </c>
      <c r="R70" s="15">
        <f>AVERAGE(N70:P70)</f>
        <v>60140.538597784005</v>
      </c>
      <c r="S70" s="16">
        <f>R70/Q70</f>
        <v>1.0881691421072655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</row>
    <row r="71" spans="1:76">
      <c r="A71" s="1" t="s">
        <v>305</v>
      </c>
      <c r="B71" s="1" t="s">
        <v>107</v>
      </c>
      <c r="C71" s="1" t="s">
        <v>108</v>
      </c>
      <c r="D71" s="1">
        <v>0.04</v>
      </c>
      <c r="E71" s="1">
        <v>151.04942</v>
      </c>
      <c r="F71" s="1">
        <v>5.0640000000000001</v>
      </c>
      <c r="G71" s="1">
        <f>AVERAGE(K71:P71)</f>
        <v>583218.63799733506</v>
      </c>
      <c r="H71" s="1">
        <f>MAX(K71:P71)</f>
        <v>823380.67647945997</v>
      </c>
      <c r="I71" s="1">
        <f>G71/SUM(G$2:G$104)</f>
        <v>9.9381543658006908E-5</v>
      </c>
      <c r="J71" s="1">
        <v>53.4</v>
      </c>
      <c r="K71" s="1">
        <v>603151.72781549103</v>
      </c>
      <c r="L71" s="1">
        <v>457524.38551669702</v>
      </c>
      <c r="M71" s="1">
        <v>639974.54349727905</v>
      </c>
      <c r="N71" s="1">
        <v>227562.294465371</v>
      </c>
      <c r="O71" s="1">
        <v>823380.67647945997</v>
      </c>
      <c r="P71" s="1">
        <v>747718.20020971203</v>
      </c>
      <c r="Q71" s="15">
        <f>AVERAGE(K71:M71)</f>
        <v>566883.55227648898</v>
      </c>
      <c r="R71" s="15">
        <f>AVERAGE(N71:P71)</f>
        <v>599553.7237181809</v>
      </c>
      <c r="S71" s="16">
        <f>R71/Q71</f>
        <v>1.057631186000185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</row>
    <row r="72" spans="1:76">
      <c r="A72" s="1" t="s">
        <v>272</v>
      </c>
      <c r="B72" s="1" t="s">
        <v>162</v>
      </c>
      <c r="C72" s="1" t="s">
        <v>98</v>
      </c>
      <c r="D72" s="1">
        <v>-0.13</v>
      </c>
      <c r="E72" s="1">
        <v>131.09460999999999</v>
      </c>
      <c r="F72" s="1">
        <v>4.7830000000000004</v>
      </c>
      <c r="G72" s="1">
        <f>AVERAGE(K72:P72)</f>
        <v>143571.04460249495</v>
      </c>
      <c r="H72" s="1">
        <f>MAX(K72:P72)</f>
        <v>271103.60053573601</v>
      </c>
      <c r="I72" s="1">
        <f>G72/SUM(G$2:G$104)</f>
        <v>2.4464773770233499E-5</v>
      </c>
      <c r="J72" s="1">
        <v>56.9</v>
      </c>
      <c r="K72" s="1">
        <v>105141.347938106</v>
      </c>
      <c r="L72" s="1">
        <v>104416.98060181399</v>
      </c>
      <c r="M72" s="1">
        <v>218850.147277507</v>
      </c>
      <c r="N72" s="1">
        <v>81488.6050280169</v>
      </c>
      <c r="O72" s="1">
        <v>80425.5862337898</v>
      </c>
      <c r="P72" s="1">
        <v>271103.60053573601</v>
      </c>
      <c r="Q72" s="15">
        <f>AVERAGE(K72:M72)</f>
        <v>142802.82527247566</v>
      </c>
      <c r="R72" s="15">
        <f>AVERAGE(N72:P72)</f>
        <v>144339.26393251424</v>
      </c>
      <c r="S72" s="16">
        <f>R72/Q72</f>
        <v>1.0107591615019309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</row>
    <row r="73" spans="1:76">
      <c r="A73" s="1" t="s">
        <v>280</v>
      </c>
      <c r="B73" s="1" t="s">
        <v>193</v>
      </c>
      <c r="C73" s="1" t="s">
        <v>194</v>
      </c>
      <c r="D73" s="1">
        <v>0.16</v>
      </c>
      <c r="E73" s="1">
        <v>145.05278999999999</v>
      </c>
      <c r="F73" s="1">
        <v>1.2709999999999999</v>
      </c>
      <c r="G73" s="1">
        <f>AVERAGE(K73:P73)</f>
        <v>15970349.298011556</v>
      </c>
      <c r="H73" s="1">
        <f>MAX(K73:P73)</f>
        <v>31341745.8253446</v>
      </c>
      <c r="I73" s="1">
        <f>G73/SUM(G$2:G$104)</f>
        <v>2.721377306191658E-3</v>
      </c>
      <c r="J73" s="1">
        <v>75.5</v>
      </c>
      <c r="K73" s="1">
        <v>5214409.0301103396</v>
      </c>
      <c r="L73" s="1">
        <v>31341745.8253446</v>
      </c>
      <c r="M73" s="1">
        <v>11251389.198689099</v>
      </c>
      <c r="N73" s="1">
        <v>18611749.969888199</v>
      </c>
      <c r="O73" s="1">
        <v>17864525.937316298</v>
      </c>
      <c r="P73" s="1">
        <v>11538275.8267208</v>
      </c>
      <c r="Q73" s="15">
        <f>AVERAGE(K73:M73)</f>
        <v>15935848.018048013</v>
      </c>
      <c r="R73" s="15">
        <f>AVERAGE(N73:P73)</f>
        <v>16004850.5779751</v>
      </c>
      <c r="S73" s="16">
        <f>R73/Q73</f>
        <v>1.0043300212106026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</row>
    <row r="74" spans="1:76">
      <c r="A74" s="1" t="s">
        <v>268</v>
      </c>
      <c r="B74" s="1" t="s">
        <v>169</v>
      </c>
      <c r="C74" s="1" t="s">
        <v>170</v>
      </c>
      <c r="D74" s="1">
        <v>-1.1399999999999999</v>
      </c>
      <c r="E74" s="1">
        <v>139.02678</v>
      </c>
      <c r="F74" s="1">
        <v>1.0009999999999999</v>
      </c>
      <c r="G74" s="1">
        <f>AVERAGE(K74:P74)</f>
        <v>5390894.3944492834</v>
      </c>
      <c r="H74" s="1">
        <f>MAX(K74:P74)</f>
        <v>7532722.58008595</v>
      </c>
      <c r="I74" s="1">
        <f>G74/SUM(G$2:G$104)</f>
        <v>9.1861845920656986E-4</v>
      </c>
      <c r="J74" s="1">
        <v>89.1</v>
      </c>
      <c r="K74" s="1">
        <v>7386422.9986329498</v>
      </c>
      <c r="L74" s="1">
        <v>1325442.5033445</v>
      </c>
      <c r="M74" s="1">
        <v>7532722.58008595</v>
      </c>
      <c r="N74" s="1">
        <v>6715831.7840877697</v>
      </c>
      <c r="O74" s="1">
        <v>2834649.8656071802</v>
      </c>
      <c r="P74" s="1">
        <v>6550296.6349373497</v>
      </c>
      <c r="Q74" s="15">
        <f>AVERAGE(K74:M74)</f>
        <v>5414862.6940211328</v>
      </c>
      <c r="R74" s="15">
        <f>AVERAGE(N74:P74)</f>
        <v>5366926.094877433</v>
      </c>
      <c r="S74" s="16">
        <f>R74/Q74</f>
        <v>0.99114721797163396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</row>
    <row r="75" spans="1:76" s="28" customFormat="1">
      <c r="A75" s="1" t="s">
        <v>240</v>
      </c>
      <c r="B75" s="6" t="s">
        <v>128</v>
      </c>
      <c r="C75" s="1" t="s">
        <v>129</v>
      </c>
      <c r="D75" s="1">
        <v>-0.53</v>
      </c>
      <c r="E75" s="1">
        <v>301.29791999999998</v>
      </c>
      <c r="F75" s="1">
        <v>1.5880000000000001</v>
      </c>
      <c r="G75" s="1">
        <f>AVERAGE(K75:P75)</f>
        <v>1030525155.483943</v>
      </c>
      <c r="H75" s="1">
        <f>MAX(K75:P75)</f>
        <v>1469741296.37463</v>
      </c>
      <c r="I75" s="1">
        <f>G75/SUM(G$2:G$104)</f>
        <v>0.17560340849544284</v>
      </c>
      <c r="J75" s="1">
        <v>66.3</v>
      </c>
      <c r="K75" s="1">
        <v>936327034.16108894</v>
      </c>
      <c r="L75" s="1">
        <v>1469741296.37463</v>
      </c>
      <c r="M75" s="1">
        <v>708853390.60435498</v>
      </c>
      <c r="N75" s="1">
        <v>663960710.94703805</v>
      </c>
      <c r="O75" s="1">
        <v>947624538.23538601</v>
      </c>
      <c r="P75" s="1">
        <v>1456643962.5811601</v>
      </c>
      <c r="Q75" s="15">
        <f>AVERAGE(K75:M75)</f>
        <v>1038307240.3800246</v>
      </c>
      <c r="R75" s="15">
        <f>AVERAGE(N75:P75)</f>
        <v>1022743070.5878614</v>
      </c>
      <c r="S75" s="16">
        <f>R75/Q75</f>
        <v>0.98501005368462369</v>
      </c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</row>
    <row r="76" spans="1:76">
      <c r="A76" s="1" t="s">
        <v>286</v>
      </c>
      <c r="B76" s="1" t="s">
        <v>185</v>
      </c>
      <c r="C76" s="1" t="s">
        <v>186</v>
      </c>
      <c r="D76" s="1">
        <v>-1.02</v>
      </c>
      <c r="E76" s="1">
        <v>320.16059000000001</v>
      </c>
      <c r="F76" s="1">
        <v>0.96399999999999997</v>
      </c>
      <c r="G76" s="1">
        <f>AVERAGE(K76:P76)</f>
        <v>20372574.162391987</v>
      </c>
      <c r="H76" s="1">
        <f>MAX(K76:P76)</f>
        <v>24939834.3692361</v>
      </c>
      <c r="I76" s="1">
        <f>G76/SUM(G$2:G$104)</f>
        <v>3.4715246335371643E-3</v>
      </c>
      <c r="J76" s="1">
        <v>70.2</v>
      </c>
      <c r="K76" s="1">
        <v>18157605.999618299</v>
      </c>
      <c r="L76" s="1">
        <v>24939834.3692361</v>
      </c>
      <c r="M76" s="1">
        <v>18742000.517553002</v>
      </c>
      <c r="N76" s="1">
        <v>20806086.916866101</v>
      </c>
      <c r="O76" s="1">
        <v>23184281.4152961</v>
      </c>
      <c r="P76" s="1">
        <v>16405635.755782301</v>
      </c>
      <c r="Q76" s="15">
        <f>AVERAGE(K76:M76)</f>
        <v>20613146.962135803</v>
      </c>
      <c r="R76" s="15">
        <f>AVERAGE(N76:P76)</f>
        <v>20132001.362648167</v>
      </c>
      <c r="S76" s="16">
        <f>R76/Q76</f>
        <v>0.97665831421221372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</row>
    <row r="77" spans="1:76">
      <c r="A77" s="1" t="s">
        <v>292</v>
      </c>
      <c r="B77" s="1" t="s">
        <v>163</v>
      </c>
      <c r="C77" s="1" t="s">
        <v>164</v>
      </c>
      <c r="D77" s="1">
        <v>1.18</v>
      </c>
      <c r="E77" s="1">
        <v>123.06856000000001</v>
      </c>
      <c r="F77" s="1">
        <v>2.2970000000000002</v>
      </c>
      <c r="G77" s="1">
        <f>AVERAGE(K77:P77)</f>
        <v>4912293.6455182089</v>
      </c>
      <c r="H77" s="1">
        <f>MAX(K77:P77)</f>
        <v>9904525.9135807101</v>
      </c>
      <c r="I77" s="1">
        <f>G77/SUM(G$2:G$104)</f>
        <v>8.3706399896508197E-4</v>
      </c>
      <c r="J77" s="1">
        <v>67.400000000000006</v>
      </c>
      <c r="K77" s="1">
        <v>2602238.6082220101</v>
      </c>
      <c r="L77" s="1">
        <v>9904525.9135807101</v>
      </c>
      <c r="M77" s="1">
        <v>2417261.6829674798</v>
      </c>
      <c r="N77" s="1">
        <v>5229470.7019932</v>
      </c>
      <c r="O77" s="1">
        <v>2492490.5356282</v>
      </c>
      <c r="P77" s="1">
        <v>6827774.4307176499</v>
      </c>
      <c r="Q77" s="15">
        <f>AVERAGE(K77:M77)</f>
        <v>4974675.401590067</v>
      </c>
      <c r="R77" s="15">
        <f>AVERAGE(N77:P77)</f>
        <v>4849911.8894463507</v>
      </c>
      <c r="S77" s="16">
        <f>R77/Q77</f>
        <v>0.97492027075699494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</row>
    <row r="78" spans="1:76">
      <c r="A78" s="1" t="s">
        <v>340</v>
      </c>
      <c r="B78" s="1" t="s">
        <v>144</v>
      </c>
      <c r="C78" s="1" t="s">
        <v>145</v>
      </c>
      <c r="D78" s="1">
        <v>-0.12</v>
      </c>
      <c r="E78" s="1">
        <v>308.23205999999999</v>
      </c>
      <c r="F78" s="1">
        <v>1.0680000000000001</v>
      </c>
      <c r="G78" s="1">
        <f>AVERAGE(K78:P78)</f>
        <v>155318.09346586876</v>
      </c>
      <c r="H78" s="1">
        <f>MAX(K78:P78)</f>
        <v>278532.20284379099</v>
      </c>
      <c r="I78" s="1">
        <f>G78/SUM(G$2:G$104)</f>
        <v>2.6466492805614289E-5</v>
      </c>
      <c r="J78" s="1">
        <v>53.3</v>
      </c>
      <c r="K78" s="1">
        <v>86812.733751769701</v>
      </c>
      <c r="L78" s="1">
        <v>278532.20284379099</v>
      </c>
      <c r="M78" s="1">
        <v>110594.773564249</v>
      </c>
      <c r="N78" s="1">
        <v>146746.095110036</v>
      </c>
      <c r="O78" s="1">
        <v>120661.68109656499</v>
      </c>
      <c r="P78" s="1">
        <v>188561.07442880201</v>
      </c>
      <c r="Q78" s="15">
        <f>AVERAGE(K78:M78)</f>
        <v>158646.57005326988</v>
      </c>
      <c r="R78" s="15">
        <f>AVERAGE(N78:P78)</f>
        <v>151989.61687846767</v>
      </c>
      <c r="S78" s="16">
        <f>R78/Q78</f>
        <v>0.95803909802419962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</row>
    <row r="79" spans="1:76">
      <c r="A79" s="1" t="s">
        <v>250</v>
      </c>
      <c r="B79" s="1" t="s">
        <v>215</v>
      </c>
      <c r="C79" s="1" t="s">
        <v>216</v>
      </c>
      <c r="D79" s="1">
        <v>0.02</v>
      </c>
      <c r="E79" s="1">
        <v>215.18852999999999</v>
      </c>
      <c r="F79" s="1">
        <v>1.752</v>
      </c>
      <c r="G79" s="1">
        <f>AVERAGE(K79:P79)</f>
        <v>63406673.243677795</v>
      </c>
      <c r="H79" s="1">
        <f>MAX(K79:P79)</f>
        <v>165814631.511044</v>
      </c>
      <c r="I79" s="1">
        <f>G79/SUM(G$2:G$104)</f>
        <v>1.0804615378571521E-2</v>
      </c>
      <c r="J79" s="1">
        <v>67.099999999999994</v>
      </c>
      <c r="K79" s="1">
        <v>165814631.511044</v>
      </c>
      <c r="L79" s="1">
        <v>16187840.722288501</v>
      </c>
      <c r="M79" s="1">
        <v>12297465.757241501</v>
      </c>
      <c r="N79" s="1">
        <v>16236033.2607267</v>
      </c>
      <c r="O79" s="1">
        <v>22927034.1935861</v>
      </c>
      <c r="P79" s="1">
        <v>146977034.01718</v>
      </c>
      <c r="Q79" s="15">
        <f>AVERAGE(K79:M79)</f>
        <v>64766645.996857993</v>
      </c>
      <c r="R79" s="15">
        <f>AVERAGE(N79:P79)</f>
        <v>62046700.490497597</v>
      </c>
      <c r="S79" s="16">
        <f>R79/Q79</f>
        <v>0.95800391598953039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</row>
    <row r="80" spans="1:76" s="28" customFormat="1">
      <c r="A80" s="1" t="s">
        <v>249</v>
      </c>
      <c r="B80" s="6" t="s">
        <v>138</v>
      </c>
      <c r="C80" s="1" t="s">
        <v>139</v>
      </c>
      <c r="D80" s="1">
        <v>0.33</v>
      </c>
      <c r="E80" s="1">
        <v>127.13614</v>
      </c>
      <c r="F80" s="1">
        <v>1.9710000000000001</v>
      </c>
      <c r="G80" s="1">
        <f>AVERAGE(K80:P80)</f>
        <v>183824984.91549119</v>
      </c>
      <c r="H80" s="1">
        <f>MAX(K80:P80)</f>
        <v>258977689.16575599</v>
      </c>
      <c r="I80" s="1">
        <f>G80/SUM(G$2:G$104)</f>
        <v>3.1324120275962146E-2</v>
      </c>
      <c r="J80" s="1">
        <v>74.099999999999994</v>
      </c>
      <c r="K80" s="1">
        <v>172789540.289933</v>
      </c>
      <c r="L80" s="1">
        <v>132522652.20696101</v>
      </c>
      <c r="M80" s="1">
        <v>258977689.16575599</v>
      </c>
      <c r="N80" s="1">
        <v>155940121.93991199</v>
      </c>
      <c r="O80" s="1">
        <v>226175852.772562</v>
      </c>
      <c r="P80" s="1">
        <v>156544053.117823</v>
      </c>
      <c r="Q80" s="15">
        <f>AVERAGE(K80:M80)</f>
        <v>188096627.22088334</v>
      </c>
      <c r="R80" s="15">
        <f>AVERAGE(N80:P80)</f>
        <v>179553342.61009899</v>
      </c>
      <c r="S80" s="16">
        <f>R80/Q80</f>
        <v>0.95458034130111269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</row>
    <row r="81" spans="1:76" s="28" customFormat="1">
      <c r="A81" s="1" t="s">
        <v>328</v>
      </c>
      <c r="B81" s="1" t="s">
        <v>29</v>
      </c>
      <c r="C81" s="1" t="s">
        <v>30</v>
      </c>
      <c r="D81" s="1">
        <v>-0.3</v>
      </c>
      <c r="E81" s="1">
        <v>186.03501</v>
      </c>
      <c r="F81" s="1">
        <v>1.2569999999999999</v>
      </c>
      <c r="G81" s="1">
        <f>AVERAGE(K81:P81)</f>
        <v>3969734.8913497888</v>
      </c>
      <c r="H81" s="1">
        <f>MAX(K81:P81)</f>
        <v>4266914.4808926899</v>
      </c>
      <c r="I81" s="1">
        <f>G81/SUM(G$2:G$104)</f>
        <v>6.7645022931725138E-4</v>
      </c>
      <c r="J81" s="1">
        <v>67</v>
      </c>
      <c r="K81" s="1">
        <v>3762918.90814305</v>
      </c>
      <c r="L81" s="1">
        <v>4207814.7714188704</v>
      </c>
      <c r="M81" s="1">
        <v>4221652.48046064</v>
      </c>
      <c r="N81" s="1">
        <v>4266914.4808926899</v>
      </c>
      <c r="O81" s="1">
        <v>3899327.5422982802</v>
      </c>
      <c r="P81" s="1">
        <v>3459781.1648852001</v>
      </c>
      <c r="Q81" s="15">
        <f>AVERAGE(K81:M81)</f>
        <v>4064128.7200075202</v>
      </c>
      <c r="R81" s="15">
        <f>AVERAGE(N81:P81)</f>
        <v>3875341.0626920569</v>
      </c>
      <c r="S81" s="16">
        <f>R81/Q81</f>
        <v>0.95354781545523637</v>
      </c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</row>
    <row r="82" spans="1:76">
      <c r="A82" s="1" t="s">
        <v>242</v>
      </c>
      <c r="B82" s="6" t="s">
        <v>124</v>
      </c>
      <c r="C82" s="1" t="s">
        <v>125</v>
      </c>
      <c r="D82" s="1">
        <v>1.58</v>
      </c>
      <c r="E82" s="1">
        <v>78.014060000000001</v>
      </c>
      <c r="F82" s="1">
        <v>1.5640000000000001</v>
      </c>
      <c r="G82" s="1">
        <f>AVERAGE(K82:P82)</f>
        <v>887878276.09032822</v>
      </c>
      <c r="H82" s="1">
        <f>MAX(K82:P82)</f>
        <v>1226428580.8856299</v>
      </c>
      <c r="I82" s="1">
        <f>G82/SUM(G$2:G$104)</f>
        <v>0.15129611420043482</v>
      </c>
      <c r="J82" s="1">
        <v>90.8</v>
      </c>
      <c r="K82" s="1">
        <v>708795734.61032104</v>
      </c>
      <c r="L82" s="1">
        <v>1226428580.8856299</v>
      </c>
      <c r="M82" s="1">
        <v>799979612.736884</v>
      </c>
      <c r="N82" s="1">
        <v>815004180.57809603</v>
      </c>
      <c r="O82" s="1">
        <v>1029903983.71466</v>
      </c>
      <c r="P82" s="1">
        <v>747157564.01637805</v>
      </c>
      <c r="Q82" s="15">
        <f>AVERAGE(K82:M82)</f>
        <v>911734642.74427831</v>
      </c>
      <c r="R82" s="15">
        <f>AVERAGE(N82:P82)</f>
        <v>864021909.436378</v>
      </c>
      <c r="S82" s="16">
        <f>R82/Q82</f>
        <v>0.94766817989465968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spans="1:76">
      <c r="A83" s="1" t="s">
        <v>262</v>
      </c>
      <c r="B83" s="1" t="s">
        <v>43</v>
      </c>
      <c r="C83" s="1" t="s">
        <v>44</v>
      </c>
      <c r="D83" s="1">
        <v>0.33</v>
      </c>
      <c r="E83" s="1">
        <v>185.21440999999999</v>
      </c>
      <c r="F83" s="1">
        <v>1.474</v>
      </c>
      <c r="G83" s="1">
        <f>AVERAGE(K83:P83)</f>
        <v>39244623.05673828</v>
      </c>
      <c r="H83" s="1">
        <f>MAX(K83:P83)</f>
        <v>69207967.099322796</v>
      </c>
      <c r="I83" s="1">
        <f>G83/SUM(G$2:G$104)</f>
        <v>6.687356962815515E-3</v>
      </c>
      <c r="J83" s="1">
        <v>70</v>
      </c>
      <c r="K83" s="1">
        <v>69207967.099322796</v>
      </c>
      <c r="L83" s="1">
        <v>35456705.418509498</v>
      </c>
      <c r="M83" s="1">
        <v>16670420.9372127</v>
      </c>
      <c r="N83" s="1">
        <v>37710957.481569096</v>
      </c>
      <c r="O83" s="1">
        <v>31593382.7458947</v>
      </c>
      <c r="P83" s="1">
        <v>44828304.657920897</v>
      </c>
      <c r="Q83" s="15">
        <f>AVERAGE(K83:M83)</f>
        <v>40445031.151681669</v>
      </c>
      <c r="R83" s="15">
        <f>AVERAGE(N83:P83)</f>
        <v>38044214.961794898</v>
      </c>
      <c r="S83" s="16">
        <f>R83/Q83</f>
        <v>0.94064002124555302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spans="1:76">
      <c r="A84" s="1" t="s">
        <v>310</v>
      </c>
      <c r="B84" s="1" t="s">
        <v>203</v>
      </c>
      <c r="C84" s="1" t="s">
        <v>204</v>
      </c>
      <c r="D84" s="1">
        <v>0.37</v>
      </c>
      <c r="E84" s="1">
        <v>121.08919</v>
      </c>
      <c r="F84" s="1">
        <v>8.23</v>
      </c>
      <c r="G84" s="1">
        <f>AVERAGE(K84:P84)</f>
        <v>1033739.8992873104</v>
      </c>
      <c r="H84" s="1">
        <f>MAX(K84:P84)</f>
        <v>1866492.5041805899</v>
      </c>
      <c r="I84" s="1">
        <f>G84/SUM(G$2:G$104)</f>
        <v>1.7615120683525711E-4</v>
      </c>
      <c r="J84" s="1">
        <v>78.400000000000006</v>
      </c>
      <c r="K84" s="1">
        <v>801779.65979633399</v>
      </c>
      <c r="L84" s="1">
        <v>1264855.5494945501</v>
      </c>
      <c r="M84" s="1">
        <v>1136382.03437519</v>
      </c>
      <c r="N84" s="1">
        <v>547654.43109138298</v>
      </c>
      <c r="O84" s="1">
        <v>1866492.5041805899</v>
      </c>
      <c r="P84" s="1">
        <v>585275.21678581601</v>
      </c>
      <c r="Q84" s="15">
        <f>AVERAGE(K84:M84)</f>
        <v>1067672.414555358</v>
      </c>
      <c r="R84" s="15">
        <f>AVERAGE(N84:P84)</f>
        <v>999807.38401926297</v>
      </c>
      <c r="S84" s="16">
        <f>R84/Q84</f>
        <v>0.9364364672057599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</row>
    <row r="85" spans="1:76">
      <c r="A85" s="1" t="s">
        <v>303</v>
      </c>
      <c r="B85" s="1" t="s">
        <v>93</v>
      </c>
      <c r="C85" s="1" t="s">
        <v>94</v>
      </c>
      <c r="D85" s="1">
        <v>0.69</v>
      </c>
      <c r="E85" s="1">
        <v>210.12574000000001</v>
      </c>
      <c r="F85" s="1">
        <v>1.081</v>
      </c>
      <c r="G85" s="1">
        <f>AVERAGE(K85:P85)</f>
        <v>2542482.6560501549</v>
      </c>
      <c r="H85" s="1">
        <f>MAX(K85:P85)</f>
        <v>3491046.5075513399</v>
      </c>
      <c r="I85" s="1">
        <f>G85/SUM(G$2:G$104)</f>
        <v>4.332437864976606E-4</v>
      </c>
      <c r="J85" s="1">
        <v>72.599999999999994</v>
      </c>
      <c r="K85" s="1">
        <v>2461547.0686486298</v>
      </c>
      <c r="L85" s="1">
        <v>2728883.1257905401</v>
      </c>
      <c r="M85" s="1">
        <v>2709372.26777016</v>
      </c>
      <c r="N85" s="1">
        <v>2150565.7517301901</v>
      </c>
      <c r="O85" s="1">
        <v>1713481.2148100701</v>
      </c>
      <c r="P85" s="1">
        <v>3491046.5075513399</v>
      </c>
      <c r="Q85" s="15">
        <f>AVERAGE(K85:M85)</f>
        <v>2633267.4874031101</v>
      </c>
      <c r="R85" s="15">
        <f>AVERAGE(N85:P85)</f>
        <v>2451697.8246972002</v>
      </c>
      <c r="S85" s="16">
        <f>R85/Q85</f>
        <v>0.93104777103940506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</row>
    <row r="86" spans="1:76">
      <c r="A86" s="1" t="s">
        <v>260</v>
      </c>
      <c r="B86" s="1" t="s">
        <v>33</v>
      </c>
      <c r="C86" s="1" t="s">
        <v>34</v>
      </c>
      <c r="D86" s="1">
        <v>-0.41</v>
      </c>
      <c r="E86" s="1">
        <v>326.07065999999998</v>
      </c>
      <c r="F86" s="1">
        <v>0.89300000000000002</v>
      </c>
      <c r="G86" s="1">
        <f>AVERAGE(K86:P86)</f>
        <v>49610476.192995518</v>
      </c>
      <c r="H86" s="1">
        <f>MAX(K86:P86)</f>
        <v>77191141.802873299</v>
      </c>
      <c r="I86" s="1">
        <f>G86/SUM(G$2:G$104)</f>
        <v>8.4537176702696951E-3</v>
      </c>
      <c r="J86" s="1">
        <v>91.8</v>
      </c>
      <c r="K86" s="1">
        <v>41238171.458454601</v>
      </c>
      <c r="L86" s="1">
        <v>77191141.802873299</v>
      </c>
      <c r="M86" s="1">
        <v>35843267.370254502</v>
      </c>
      <c r="N86" s="1">
        <v>35921602.008736603</v>
      </c>
      <c r="O86" s="1">
        <v>38148688.036945403</v>
      </c>
      <c r="P86" s="1">
        <v>69319986.480708703</v>
      </c>
      <c r="Q86" s="15">
        <f>AVERAGE(K86:M86)</f>
        <v>51424193.543860793</v>
      </c>
      <c r="R86" s="15">
        <f>AVERAGE(N86:P86)</f>
        <v>47796758.842130244</v>
      </c>
      <c r="S86" s="16">
        <f>R86/Q86</f>
        <v>0.92946054275724066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</row>
    <row r="87" spans="1:76">
      <c r="A87" s="1" t="s">
        <v>295</v>
      </c>
      <c r="B87" s="1" t="s">
        <v>207</v>
      </c>
      <c r="C87" s="1" t="s">
        <v>208</v>
      </c>
      <c r="D87" s="1">
        <v>0.2</v>
      </c>
      <c r="E87" s="1">
        <v>135.10482999999999</v>
      </c>
      <c r="F87" s="1">
        <v>1.8009999999999999</v>
      </c>
      <c r="G87" s="1">
        <f>AVERAGE(K87:P87)</f>
        <v>10891243.760893937</v>
      </c>
      <c r="H87" s="1">
        <f>MAX(K87:P87)</f>
        <v>15937787.0980244</v>
      </c>
      <c r="I87" s="1">
        <f>G87/SUM(G$2:G$104)</f>
        <v>1.8558882497822745E-3</v>
      </c>
      <c r="J87" s="1">
        <v>89.4</v>
      </c>
      <c r="K87" s="1">
        <v>15937787.0980244</v>
      </c>
      <c r="L87" s="1">
        <v>8193380.1459124899</v>
      </c>
      <c r="M87" s="1">
        <v>10350272.512136901</v>
      </c>
      <c r="N87" s="1">
        <v>7895156.6307560699</v>
      </c>
      <c r="O87" s="1">
        <v>14823621.6259121</v>
      </c>
      <c r="P87" s="1">
        <v>8147244.5526216598</v>
      </c>
      <c r="Q87" s="15">
        <f>AVERAGE(K87:M87)</f>
        <v>11493813.252024597</v>
      </c>
      <c r="R87" s="15">
        <f>AVERAGE(N87:P87)</f>
        <v>10288674.269763276</v>
      </c>
      <c r="S87" s="16">
        <f>R87/Q87</f>
        <v>0.89514889829543387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</row>
    <row r="88" spans="1:76">
      <c r="A88" s="1" t="s">
        <v>306</v>
      </c>
      <c r="B88" s="1" t="s">
        <v>189</v>
      </c>
      <c r="C88" s="1" t="s">
        <v>190</v>
      </c>
      <c r="D88" s="1">
        <v>-0.31</v>
      </c>
      <c r="E88" s="1">
        <v>208.01935</v>
      </c>
      <c r="F88" s="1">
        <v>1.2549999999999999</v>
      </c>
      <c r="G88" s="1">
        <f>AVERAGE(K88:P88)</f>
        <v>5709408.4377909144</v>
      </c>
      <c r="H88" s="1">
        <f>MAX(K88:P88)</f>
        <v>7651669.99270448</v>
      </c>
      <c r="I88" s="1">
        <f>G88/SUM(G$2:G$104)</f>
        <v>9.7289384624279357E-4</v>
      </c>
      <c r="J88" s="1">
        <v>83</v>
      </c>
      <c r="K88" s="1">
        <v>6413115.6232178695</v>
      </c>
      <c r="L88" s="1">
        <v>7651669.99270448</v>
      </c>
      <c r="M88" s="1">
        <v>4128036.0498088999</v>
      </c>
      <c r="N88" s="1">
        <v>4933294.7308604</v>
      </c>
      <c r="O88" s="1">
        <v>5632667.0880544502</v>
      </c>
      <c r="P88" s="1">
        <v>5497667.1420993796</v>
      </c>
      <c r="Q88" s="15">
        <f>AVERAGE(K88:M88)</f>
        <v>6064273.8885770841</v>
      </c>
      <c r="R88" s="15">
        <f>AVERAGE(N88:P88)</f>
        <v>5354542.987004743</v>
      </c>
      <c r="S88" s="16">
        <f>R88/Q88</f>
        <v>0.88296522970223701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</row>
    <row r="89" spans="1:76">
      <c r="A89" s="1" t="s">
        <v>263</v>
      </c>
      <c r="B89" s="1" t="s">
        <v>69</v>
      </c>
      <c r="C89" s="1" t="s">
        <v>70</v>
      </c>
      <c r="D89" s="1">
        <v>0.6</v>
      </c>
      <c r="E89" s="1">
        <v>99.068470000000005</v>
      </c>
      <c r="F89" s="1">
        <v>1.248</v>
      </c>
      <c r="G89" s="1">
        <f>AVERAGE(K89:P89)</f>
        <v>47887731.059703372</v>
      </c>
      <c r="H89" s="1">
        <f>MAX(K89:P89)</f>
        <v>67995326.523311406</v>
      </c>
      <c r="I89" s="1">
        <f>G89/SUM(G$2:G$104)</f>
        <v>8.1601586865174061E-3</v>
      </c>
      <c r="J89" s="1">
        <v>79.900000000000006</v>
      </c>
      <c r="K89" s="1">
        <v>42499602.437091403</v>
      </c>
      <c r="L89" s="1">
        <v>67995326.523311406</v>
      </c>
      <c r="M89" s="1">
        <v>42219763.948810399</v>
      </c>
      <c r="N89" s="1">
        <v>38466711.303826697</v>
      </c>
      <c r="O89" s="1">
        <v>43675283.459243298</v>
      </c>
      <c r="P89" s="1">
        <v>52469698.685937002</v>
      </c>
      <c r="Q89" s="15">
        <f>AVERAGE(K89:M89)</f>
        <v>50904897.636404403</v>
      </c>
      <c r="R89" s="15">
        <f>AVERAGE(N89:P89)</f>
        <v>44870564.483002327</v>
      </c>
      <c r="S89" s="16">
        <f>R89/Q89</f>
        <v>0.88145869192188198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</row>
    <row r="90" spans="1:76">
      <c r="A90" s="1" t="s">
        <v>324</v>
      </c>
      <c r="B90" s="1" t="s">
        <v>41</v>
      </c>
      <c r="C90" s="1" t="s">
        <v>42</v>
      </c>
      <c r="D90" s="1">
        <v>3.31</v>
      </c>
      <c r="E90" s="1">
        <v>297.30414999999999</v>
      </c>
      <c r="F90" s="1">
        <v>1.427</v>
      </c>
      <c r="G90" s="1">
        <f>AVERAGE(K90:P90)</f>
        <v>2462269.0801173085</v>
      </c>
      <c r="H90" s="1">
        <f>MAX(K90:P90)</f>
        <v>5088583.7809425704</v>
      </c>
      <c r="I90" s="1">
        <f>G90/SUM(G$2:G$104)</f>
        <v>4.1957524355481406E-4</v>
      </c>
      <c r="J90" s="1">
        <v>62.6</v>
      </c>
      <c r="K90" s="1">
        <v>1348027.80708622</v>
      </c>
      <c r="L90" s="1">
        <v>5088583.7809425704</v>
      </c>
      <c r="M90" s="1">
        <v>1614509.82703827</v>
      </c>
      <c r="N90" s="1">
        <v>2870220.9163165502</v>
      </c>
      <c r="O90" s="1">
        <v>2817910.2091009002</v>
      </c>
      <c r="P90" s="1">
        <v>1034361.94021934</v>
      </c>
      <c r="Q90" s="15">
        <f>AVERAGE(K90:M90)</f>
        <v>2683707.1383556868</v>
      </c>
      <c r="R90" s="15">
        <f>AVERAGE(N90:P90)</f>
        <v>2240831.0218789303</v>
      </c>
      <c r="S90" s="16">
        <f>R90/Q90</f>
        <v>0.83497598894188296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</row>
    <row r="91" spans="1:76">
      <c r="A91" s="1" t="s">
        <v>307</v>
      </c>
      <c r="B91" s="1" t="s">
        <v>225</v>
      </c>
      <c r="C91" s="1" t="s">
        <v>226</v>
      </c>
      <c r="D91" s="1">
        <v>-2.35</v>
      </c>
      <c r="E91" s="1">
        <v>122.10926000000001</v>
      </c>
      <c r="F91" s="1">
        <v>0.96099999999999997</v>
      </c>
      <c r="G91" s="1">
        <f>AVERAGE(K91:P91)</f>
        <v>6697091.3569314266</v>
      </c>
      <c r="H91" s="1">
        <f>MAX(K91:P91)</f>
        <v>8526723.4495845195</v>
      </c>
      <c r="I91" s="1">
        <f>G91/SUM(G$2:G$104)</f>
        <v>1.1411968577615698E-3</v>
      </c>
      <c r="J91" s="1">
        <v>58.4</v>
      </c>
      <c r="K91" s="1">
        <v>8526723.4495845195</v>
      </c>
      <c r="L91" s="1">
        <v>5329727.6580435298</v>
      </c>
      <c r="M91" s="1">
        <v>8060340.7636196101</v>
      </c>
      <c r="N91" s="1">
        <v>6741206.8431226201</v>
      </c>
      <c r="O91" s="1">
        <v>4416544.7454084298</v>
      </c>
      <c r="P91" s="1">
        <v>7108004.68180985</v>
      </c>
      <c r="Q91" s="15">
        <f>AVERAGE(K91:M91)</f>
        <v>7305597.2904158868</v>
      </c>
      <c r="R91" s="15">
        <f>AVERAGE(N91:P91)</f>
        <v>6088585.4234469673</v>
      </c>
      <c r="S91" s="16">
        <f>R91/Q91</f>
        <v>0.83341377595976984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</row>
    <row r="92" spans="1:76">
      <c r="A92" s="1" t="s">
        <v>259</v>
      </c>
      <c r="B92" s="1" t="s">
        <v>113</v>
      </c>
      <c r="C92" s="1" t="s">
        <v>44</v>
      </c>
      <c r="D92" s="1">
        <v>0.01</v>
      </c>
      <c r="E92" s="1">
        <v>185.21435</v>
      </c>
      <c r="F92" s="1">
        <v>1.57</v>
      </c>
      <c r="G92" s="1">
        <f>AVERAGE(K92:P92)</f>
        <v>45106711.846164703</v>
      </c>
      <c r="H92" s="1">
        <f>MAX(K92:P92)</f>
        <v>91943350.881509393</v>
      </c>
      <c r="I92" s="1">
        <f>G92/SUM(G$2:G$104)</f>
        <v>7.6862678257364576E-3</v>
      </c>
      <c r="J92" s="1">
        <v>77.599999999999994</v>
      </c>
      <c r="K92" s="1">
        <v>46330596.424172103</v>
      </c>
      <c r="L92" s="1">
        <v>91943350.881509393</v>
      </c>
      <c r="M92" s="1">
        <v>11206639.6940709</v>
      </c>
      <c r="N92" s="1">
        <v>16722456.159333499</v>
      </c>
      <c r="O92" s="1">
        <v>53703387.926527597</v>
      </c>
      <c r="P92" s="1">
        <v>50733839.991374701</v>
      </c>
      <c r="Q92" s="15">
        <f>AVERAGE(K92:M92)</f>
        <v>49826862.333250798</v>
      </c>
      <c r="R92" s="15">
        <f>AVERAGE(N92:P92)</f>
        <v>40386561.359078601</v>
      </c>
      <c r="S92" s="16">
        <f>R92/Q92</f>
        <v>0.81053792006741654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</row>
    <row r="93" spans="1:76">
      <c r="A93" s="1" t="s">
        <v>281</v>
      </c>
      <c r="B93" s="1" t="s">
        <v>83</v>
      </c>
      <c r="C93" s="1" t="s">
        <v>84</v>
      </c>
      <c r="D93" s="1">
        <v>-0.4</v>
      </c>
      <c r="E93" s="1">
        <v>211.11086</v>
      </c>
      <c r="F93" s="1">
        <v>1.716</v>
      </c>
      <c r="G93" s="1">
        <f>AVERAGE(K93:P93)</f>
        <v>14866931.946809648</v>
      </c>
      <c r="H93" s="1">
        <f>MAX(K93:P93)</f>
        <v>19796127.657793399</v>
      </c>
      <c r="I93" s="1">
        <f>G93/SUM(G$2:G$104)</f>
        <v>2.5333529315968669E-3</v>
      </c>
      <c r="J93" s="1">
        <v>83.4</v>
      </c>
      <c r="K93" s="1">
        <v>19796127.657793399</v>
      </c>
      <c r="L93" s="1">
        <v>17183855.357043099</v>
      </c>
      <c r="M93" s="1">
        <v>15121646.921553999</v>
      </c>
      <c r="N93" s="1">
        <v>8572553.9103820808</v>
      </c>
      <c r="O93" s="1">
        <v>17587229.201823901</v>
      </c>
      <c r="P93" s="1">
        <v>10940178.632261399</v>
      </c>
      <c r="Q93" s="15">
        <f>AVERAGE(K93:M93)</f>
        <v>17367209.978796832</v>
      </c>
      <c r="R93" s="15">
        <f>AVERAGE(N93:P93)</f>
        <v>12366653.914822459</v>
      </c>
      <c r="S93" s="16">
        <f>R93/Q93</f>
        <v>0.71206911933008121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</row>
    <row r="94" spans="1:76">
      <c r="A94" s="1" t="s">
        <v>255</v>
      </c>
      <c r="B94" s="1" t="s">
        <v>114</v>
      </c>
      <c r="C94" s="1" t="s">
        <v>115</v>
      </c>
      <c r="D94" s="1">
        <v>-0.56999999999999995</v>
      </c>
      <c r="E94" s="1">
        <v>266.15503000000001</v>
      </c>
      <c r="F94" s="1">
        <v>0.92900000000000005</v>
      </c>
      <c r="G94" s="1">
        <f>AVERAGE(K94:P94)</f>
        <v>55707247.640900433</v>
      </c>
      <c r="H94" s="1">
        <f>MAX(K94:P94)</f>
        <v>119401283.125065</v>
      </c>
      <c r="I94" s="1">
        <f>G94/SUM(G$2:G$104)</f>
        <v>9.4926188958948284E-3</v>
      </c>
      <c r="J94" s="1">
        <v>88</v>
      </c>
      <c r="K94" s="1">
        <v>51291443.801515803</v>
      </c>
      <c r="L94" s="1">
        <v>119401283.125065</v>
      </c>
      <c r="M94" s="1">
        <v>27301325.0528032</v>
      </c>
      <c r="N94" s="1">
        <v>31612211.981091902</v>
      </c>
      <c r="O94" s="1">
        <v>52445294.007516198</v>
      </c>
      <c r="P94" s="1">
        <v>52191927.877410501</v>
      </c>
      <c r="Q94" s="15">
        <f>AVERAGE(K94:M94)</f>
        <v>65998017.326461323</v>
      </c>
      <c r="R94" s="15">
        <f>AVERAGE(N94:P94)</f>
        <v>45416477.955339529</v>
      </c>
      <c r="S94" s="16">
        <f>R94/Q94</f>
        <v>0.68814912621822344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spans="1:76">
      <c r="A95" s="1" t="s">
        <v>331</v>
      </c>
      <c r="B95" s="1" t="s">
        <v>75</v>
      </c>
      <c r="C95" s="1" t="s">
        <v>76</v>
      </c>
      <c r="D95" s="1">
        <v>0.63</v>
      </c>
      <c r="E95" s="1">
        <v>162.11580000000001</v>
      </c>
      <c r="F95" s="1">
        <v>3.6240000000000001</v>
      </c>
      <c r="G95" s="1">
        <f>AVERAGE(K95:P95)</f>
        <v>1657326.8801613988</v>
      </c>
      <c r="H95" s="1">
        <f>MAX(K95:P95)</f>
        <v>3999611.20010438</v>
      </c>
      <c r="I95" s="1">
        <f>G95/SUM(G$2:G$104)</f>
        <v>2.8241159140922556E-4</v>
      </c>
      <c r="J95" s="1">
        <v>55.7</v>
      </c>
      <c r="K95" s="1">
        <v>806010.83671112102</v>
      </c>
      <c r="L95" s="1">
        <v>3999611.20010438</v>
      </c>
      <c r="M95" s="1">
        <v>1146265.2252651299</v>
      </c>
      <c r="N95" s="1">
        <v>3172218.64981214</v>
      </c>
      <c r="O95" s="1">
        <v>595103.36371804297</v>
      </c>
      <c r="P95" s="1">
        <v>224752.00535758</v>
      </c>
      <c r="Q95" s="15">
        <f>AVERAGE(K95:M95)</f>
        <v>1983962.4206935435</v>
      </c>
      <c r="R95" s="15">
        <f>AVERAGE(N95:P95)</f>
        <v>1330691.3396292543</v>
      </c>
      <c r="S95" s="16">
        <f>R95/Q95</f>
        <v>0.67072406500727866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</row>
    <row r="96" spans="1:76">
      <c r="A96" s="1" t="s">
        <v>251</v>
      </c>
      <c r="B96" s="1" t="s">
        <v>211</v>
      </c>
      <c r="C96" s="1" t="s">
        <v>212</v>
      </c>
      <c r="D96" s="1">
        <v>-0.21</v>
      </c>
      <c r="E96" s="1">
        <v>213.2456</v>
      </c>
      <c r="F96" s="1">
        <v>1.4359999999999999</v>
      </c>
      <c r="G96" s="1">
        <f>AVERAGE(K96:P96)</f>
        <v>106383109.29926491</v>
      </c>
      <c r="H96" s="1">
        <f>MAX(K96:P96)</f>
        <v>208059124.86272901</v>
      </c>
      <c r="I96" s="1">
        <f>G96/SUM(G$2:G$104)</f>
        <v>1.8127880236481271E-2</v>
      </c>
      <c r="J96" s="1">
        <v>57.7</v>
      </c>
      <c r="K96" s="1">
        <v>208059124.86272901</v>
      </c>
      <c r="L96" s="1">
        <v>106344655.63398901</v>
      </c>
      <c r="M96" s="1">
        <v>76774344.684936404</v>
      </c>
      <c r="N96" s="1">
        <v>94202711.760982797</v>
      </c>
      <c r="O96" s="1">
        <v>83779451.975194305</v>
      </c>
      <c r="P96" s="1">
        <v>69138366.877757907</v>
      </c>
      <c r="Q96" s="15">
        <f>AVERAGE(K96:M96)</f>
        <v>130392708.39388482</v>
      </c>
      <c r="R96" s="15">
        <f>AVERAGE(N96:P96)</f>
        <v>82373510.204644993</v>
      </c>
      <c r="S96" s="16">
        <f>R96/Q96</f>
        <v>0.63173402270174916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</row>
    <row r="97" spans="1:76">
      <c r="A97" s="1" t="s">
        <v>273</v>
      </c>
      <c r="B97" s="1" t="s">
        <v>87</v>
      </c>
      <c r="C97" s="1" t="s">
        <v>88</v>
      </c>
      <c r="D97" s="1">
        <v>0.37</v>
      </c>
      <c r="E97" s="1">
        <v>294.18659000000002</v>
      </c>
      <c r="F97" s="1">
        <v>0.90300000000000002</v>
      </c>
      <c r="G97" s="1">
        <f>AVERAGE(K97:P97)</f>
        <v>12419111.043299742</v>
      </c>
      <c r="H97" s="1">
        <f>MAX(K97:P97)</f>
        <v>29007970.0459245</v>
      </c>
      <c r="I97" s="1">
        <f>G97/SUM(G$2:G$104)</f>
        <v>2.1162396842828069E-3</v>
      </c>
      <c r="J97" s="1">
        <v>87.6</v>
      </c>
      <c r="K97" s="1">
        <v>14233206.14679</v>
      </c>
      <c r="L97" s="1">
        <v>29007970.0459245</v>
      </c>
      <c r="M97" s="1">
        <v>4281503.50155506</v>
      </c>
      <c r="N97" s="1">
        <v>5251531.1503429199</v>
      </c>
      <c r="O97" s="1">
        <v>9608402.1627726704</v>
      </c>
      <c r="P97" s="1">
        <v>12132053.252413301</v>
      </c>
      <c r="Q97" s="15">
        <f>AVERAGE(K97:M97)</f>
        <v>15840893.231423186</v>
      </c>
      <c r="R97" s="15">
        <f>AVERAGE(N97:P97)</f>
        <v>8997328.8551762979</v>
      </c>
      <c r="S97" s="16">
        <f>R97/Q97</f>
        <v>0.56798115634846402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</row>
    <row r="98" spans="1:76">
      <c r="A98" s="1" t="s">
        <v>315</v>
      </c>
      <c r="B98" s="1" t="s">
        <v>130</v>
      </c>
      <c r="C98" s="1" t="s">
        <v>131</v>
      </c>
      <c r="D98" s="1">
        <v>0.77</v>
      </c>
      <c r="E98" s="1">
        <v>171.16245000000001</v>
      </c>
      <c r="F98" s="1">
        <v>0.98099999999999998</v>
      </c>
      <c r="G98" s="1">
        <f>AVERAGE(K98:P98)</f>
        <v>2217683.0985469637</v>
      </c>
      <c r="H98" s="1">
        <f>MAX(K98:P98)</f>
        <v>6303900.7352456497</v>
      </c>
      <c r="I98" s="1">
        <f>G98/SUM(G$2:G$104)</f>
        <v>3.7789733612538662E-4</v>
      </c>
      <c r="J98" s="1">
        <v>56.9</v>
      </c>
      <c r="K98" s="1">
        <v>6303900.7352456497</v>
      </c>
      <c r="L98" s="1">
        <v>760437.94122617401</v>
      </c>
      <c r="M98" s="1">
        <v>1433136.61376845</v>
      </c>
      <c r="N98" s="1">
        <v>1732845.7796980001</v>
      </c>
      <c r="O98" s="1">
        <v>1102187.0878105401</v>
      </c>
      <c r="P98" s="1">
        <v>1973590.43353297</v>
      </c>
      <c r="Q98" s="15">
        <f>AVERAGE(K98:M98)</f>
        <v>2832491.7634134241</v>
      </c>
      <c r="R98" s="15">
        <f>AVERAGE(N98:P98)</f>
        <v>1602874.4336805034</v>
      </c>
      <c r="S98" s="16">
        <f>R98/Q98</f>
        <v>0.56588847119854857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</row>
    <row r="99" spans="1:76">
      <c r="A99" s="1" t="s">
        <v>289</v>
      </c>
      <c r="B99" s="1" t="s">
        <v>65</v>
      </c>
      <c r="C99" s="1" t="s">
        <v>66</v>
      </c>
      <c r="D99" s="1">
        <v>0.28999999999999998</v>
      </c>
      <c r="E99" s="1">
        <v>111.06845</v>
      </c>
      <c r="F99" s="1">
        <v>4.6369999999999996</v>
      </c>
      <c r="G99" s="1">
        <f>AVERAGE(K99:P99)</f>
        <v>669179.80763285281</v>
      </c>
      <c r="H99" s="1">
        <f>MAX(K99:P99)</f>
        <v>2081424.9574609899</v>
      </c>
      <c r="I99" s="1">
        <f>G99/SUM(G$2:G$104)</f>
        <v>1.1402948728745E-4</v>
      </c>
      <c r="J99" s="1">
        <v>70.2</v>
      </c>
      <c r="K99" s="1">
        <v>2081424.9574609899</v>
      </c>
      <c r="L99" s="1">
        <v>290897.41034997202</v>
      </c>
      <c r="M99" s="1">
        <v>220785.48696589601</v>
      </c>
      <c r="N99" s="1">
        <v>155663.463378179</v>
      </c>
      <c r="O99" s="1">
        <v>124493.05963980001</v>
      </c>
      <c r="P99" s="1">
        <v>1141814.46800228</v>
      </c>
      <c r="Q99" s="15">
        <f>AVERAGE(K99:M99)</f>
        <v>864369.28492561926</v>
      </c>
      <c r="R99" s="15">
        <f>AVERAGE(N99:P99)</f>
        <v>473990.33034008631</v>
      </c>
      <c r="S99" s="16">
        <f>R99/Q99</f>
        <v>0.54836554075481081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</row>
    <row r="100" spans="1:76">
      <c r="A100" s="1" t="s">
        <v>244</v>
      </c>
      <c r="B100" s="1" t="s">
        <v>71</v>
      </c>
      <c r="C100" s="1" t="s">
        <v>72</v>
      </c>
      <c r="D100" s="1">
        <v>0.5</v>
      </c>
      <c r="E100" s="1">
        <v>129.07903999999999</v>
      </c>
      <c r="F100" s="1">
        <v>4.6589999999999998</v>
      </c>
      <c r="G100" s="1">
        <f>AVERAGE(K100:P100)</f>
        <v>27341788.953508914</v>
      </c>
      <c r="H100" s="1">
        <f>MAX(K100:P100)</f>
        <v>69989141.254427195</v>
      </c>
      <c r="I100" s="1">
        <f>G100/SUM(G$2:G$104)</f>
        <v>4.6590918320130459E-3</v>
      </c>
      <c r="J100" s="1">
        <v>70.900000000000006</v>
      </c>
      <c r="K100" s="1">
        <v>69989141.254427195</v>
      </c>
      <c r="L100" s="1">
        <v>24831203.6598389</v>
      </c>
      <c r="M100" s="1">
        <v>12882934.599970501</v>
      </c>
      <c r="N100" s="1">
        <v>8858728.6221713796</v>
      </c>
      <c r="O100" s="1">
        <v>6685018.5507863201</v>
      </c>
      <c r="P100" s="1">
        <v>40803707.033859201</v>
      </c>
      <c r="Q100" s="15">
        <f>AVERAGE(K100:M100)</f>
        <v>35901093.1714122</v>
      </c>
      <c r="R100" s="15">
        <f>AVERAGE(N100:P100)</f>
        <v>18782484.735605631</v>
      </c>
      <c r="S100" s="16">
        <f>R100/Q100</f>
        <v>0.52317305899091671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  <row r="101" spans="1:76">
      <c r="A101" s="1" t="s">
        <v>291</v>
      </c>
      <c r="B101" s="1" t="s">
        <v>31</v>
      </c>
      <c r="C101" s="1" t="s">
        <v>32</v>
      </c>
      <c r="D101" s="1">
        <v>0.43</v>
      </c>
      <c r="E101" s="1">
        <v>138.04299</v>
      </c>
      <c r="F101" s="1">
        <v>2.3359999999999999</v>
      </c>
      <c r="G101" s="1">
        <f>AVERAGE(K101:P101)</f>
        <v>7159697.0367614226</v>
      </c>
      <c r="H101" s="1">
        <f>MAX(K101:P101)</f>
        <v>18925843.3878037</v>
      </c>
      <c r="I101" s="1">
        <f>G101/SUM(G$2:G$104)</f>
        <v>1.2200257283963194E-3</v>
      </c>
      <c r="J101" s="1">
        <v>83.7</v>
      </c>
      <c r="K101" s="1">
        <v>7390262.8918276504</v>
      </c>
      <c r="L101" s="1">
        <v>18925843.3878037</v>
      </c>
      <c r="M101" s="1">
        <v>6806839.0586534999</v>
      </c>
      <c r="N101" s="1">
        <v>938143.36693650798</v>
      </c>
      <c r="O101" s="1">
        <v>6814448.8450632701</v>
      </c>
      <c r="P101" s="1">
        <v>2082644.6702839099</v>
      </c>
      <c r="Q101" s="15">
        <f>AVERAGE(K101:M101)</f>
        <v>11040981.779428283</v>
      </c>
      <c r="R101" s="15">
        <f>AVERAGE(N101:P101)</f>
        <v>3278412.2940945625</v>
      </c>
      <c r="S101" s="16">
        <f>R101/Q101</f>
        <v>0.29693122944944517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spans="1:76">
      <c r="A102" s="1" t="s">
        <v>304</v>
      </c>
      <c r="B102" s="1" t="s">
        <v>122</v>
      </c>
      <c r="C102" s="1" t="s">
        <v>123</v>
      </c>
      <c r="D102" s="1">
        <v>-1.84</v>
      </c>
      <c r="E102" s="1">
        <v>90.031530000000004</v>
      </c>
      <c r="F102" s="1">
        <v>1.403</v>
      </c>
      <c r="G102" s="1">
        <f>AVERAGE(K102:P102)</f>
        <v>2834583.6682283408</v>
      </c>
      <c r="H102" s="1">
        <f>MAX(K102:P102)</f>
        <v>12871326.619501499</v>
      </c>
      <c r="I102" s="1">
        <f>G102/SUM(G$2:G$104)</f>
        <v>4.8301834376149587E-4</v>
      </c>
      <c r="J102" s="1">
        <v>62.4</v>
      </c>
      <c r="K102" s="1">
        <v>820918.15776194702</v>
      </c>
      <c r="L102" s="1">
        <v>12871326.619501499</v>
      </c>
      <c r="M102" s="1">
        <v>343700.99525908497</v>
      </c>
      <c r="N102" s="1">
        <v>1137462.18727251</v>
      </c>
      <c r="O102" s="1">
        <v>1054829.39385265</v>
      </c>
      <c r="P102" s="1">
        <v>779264.65572235303</v>
      </c>
      <c r="Q102" s="15">
        <f>AVERAGE(K102:M102)</f>
        <v>4678648.5908408435</v>
      </c>
      <c r="R102" s="15">
        <f>AVERAGE(N102:P102)</f>
        <v>990518.74561583763</v>
      </c>
      <c r="S102" s="16">
        <f>R102/Q102</f>
        <v>0.21171043868413769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spans="1:76">
      <c r="A103" s="1" t="s">
        <v>332</v>
      </c>
      <c r="B103" s="1" t="s">
        <v>120</v>
      </c>
      <c r="C103" s="1" t="s">
        <v>121</v>
      </c>
      <c r="D103" s="1">
        <v>0.06</v>
      </c>
      <c r="E103" s="1">
        <v>143.09464</v>
      </c>
      <c r="F103" s="1">
        <v>4.2089999999999996</v>
      </c>
      <c r="G103" s="1">
        <f>AVERAGE(K103:P103)</f>
        <v>744555.9995069704</v>
      </c>
      <c r="H103" s="1">
        <f>MAX(K103:P103)</f>
        <v>3508489.1875067698</v>
      </c>
      <c r="I103" s="1">
        <f>G103/SUM(G$2:G$104)</f>
        <v>1.2687373096463193E-4</v>
      </c>
      <c r="J103" s="1">
        <v>66.2</v>
      </c>
      <c r="K103" s="1">
        <v>141778.81059672101</v>
      </c>
      <c r="L103" s="1">
        <v>3508489.1875067698</v>
      </c>
      <c r="M103" s="1">
        <v>216799.33014860001</v>
      </c>
      <c r="N103" s="1">
        <v>280285.34049436799</v>
      </c>
      <c r="O103" s="1">
        <v>97502.117938996395</v>
      </c>
      <c r="P103" s="1">
        <v>222481.210356367</v>
      </c>
      <c r="Q103" s="15">
        <f>AVERAGE(K103:M103)</f>
        <v>1289022.442750697</v>
      </c>
      <c r="R103" s="15">
        <f>AVERAGE(N103:P103)</f>
        <v>200089.55626324378</v>
      </c>
      <c r="S103" s="16">
        <f>R103/Q103</f>
        <v>0.15522581269901289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spans="1:76" s="28" customFormat="1">
      <c r="A104" s="1" t="s">
        <v>294</v>
      </c>
      <c r="B104" s="1" t="s">
        <v>214</v>
      </c>
      <c r="C104" s="1" t="s">
        <v>121</v>
      </c>
      <c r="D104" s="1">
        <v>1.02</v>
      </c>
      <c r="E104" s="1">
        <v>143.09477000000001</v>
      </c>
      <c r="F104" s="1">
        <v>3.7029999999999998</v>
      </c>
      <c r="G104" s="1">
        <f>AVERAGE(K104:P104)</f>
        <v>2895135.7372243926</v>
      </c>
      <c r="H104" s="1">
        <f>MAX(K104:P104)</f>
        <v>16216040.3818422</v>
      </c>
      <c r="I104" s="1">
        <f>G104/SUM(G$2:G$104)</f>
        <v>4.933365292522368E-4</v>
      </c>
      <c r="J104" s="1">
        <v>66.3</v>
      </c>
      <c r="K104" s="1">
        <v>57329.417046496703</v>
      </c>
      <c r="L104" s="1">
        <v>16216040.3818422</v>
      </c>
      <c r="M104" s="1">
        <v>210026.30201051899</v>
      </c>
      <c r="N104" s="1">
        <v>67278.652095631798</v>
      </c>
      <c r="O104" s="1">
        <v>545643.34595650097</v>
      </c>
      <c r="P104" s="1">
        <v>274496.32439500297</v>
      </c>
      <c r="Q104" s="15">
        <f>AVERAGE(K104:M104)</f>
        <v>5494465.366966405</v>
      </c>
      <c r="R104" s="15">
        <f>AVERAGE(N104:P104)</f>
        <v>295806.1074823786</v>
      </c>
      <c r="S104" s="16">
        <f>R104/Q104</f>
        <v>5.3837104745588484E-2</v>
      </c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</row>
    <row r="105" spans="1:7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spans="1:7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spans="1:7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spans="1:7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spans="1:7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spans="1:7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spans="1:7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spans="1:7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spans="1:7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spans="1:7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spans="1:7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spans="1:7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spans="1:7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spans="1:7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</sheetData>
  <sortState xmlns:xlrd2="http://schemas.microsoft.com/office/spreadsheetml/2017/richdata2" ref="A2:P104">
    <sortCondition descending="1" ref="I2:I104"/>
  </sortState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C68D-CCCC-1B49-9DB6-6F50827E6836}">
  <dimension ref="A1:AP104"/>
  <sheetViews>
    <sheetView topLeftCell="Y1" workbookViewId="0">
      <selection activeCell="AK1" sqref="AK1:AP104"/>
    </sheetView>
  </sheetViews>
  <sheetFormatPr baseColWidth="10" defaultRowHeight="15"/>
  <cols>
    <col min="2" max="2" width="49.33203125" customWidth="1"/>
  </cols>
  <sheetData>
    <row r="1" spans="1:42" s="50" customFormat="1">
      <c r="A1" s="45"/>
      <c r="B1" s="45" t="s">
        <v>0</v>
      </c>
      <c r="C1" s="45" t="s">
        <v>1</v>
      </c>
      <c r="D1" s="45" t="s">
        <v>2</v>
      </c>
      <c r="E1" s="45" t="s">
        <v>3</v>
      </c>
      <c r="F1" s="45" t="s">
        <v>4</v>
      </c>
      <c r="G1" s="46" t="s">
        <v>236</v>
      </c>
      <c r="H1" s="45" t="s">
        <v>235</v>
      </c>
      <c r="I1" s="46" t="s">
        <v>342</v>
      </c>
      <c r="J1" s="46" t="s">
        <v>237</v>
      </c>
      <c r="K1" s="46" t="s">
        <v>238</v>
      </c>
      <c r="L1" s="45" t="s">
        <v>5</v>
      </c>
      <c r="M1" s="45" t="s">
        <v>6</v>
      </c>
      <c r="N1" s="45" t="s">
        <v>7</v>
      </c>
      <c r="O1" s="45" t="s">
        <v>8</v>
      </c>
      <c r="P1" s="45" t="s">
        <v>9</v>
      </c>
      <c r="Q1" s="45" t="s">
        <v>10</v>
      </c>
      <c r="R1" s="45" t="s">
        <v>11</v>
      </c>
      <c r="S1" s="45" t="s">
        <v>15</v>
      </c>
      <c r="T1" s="45" t="s">
        <v>16</v>
      </c>
      <c r="U1" s="45" t="s">
        <v>17</v>
      </c>
      <c r="V1" s="45" t="s">
        <v>18</v>
      </c>
      <c r="W1" s="45" t="s">
        <v>19</v>
      </c>
      <c r="X1" s="45" t="s">
        <v>20</v>
      </c>
      <c r="Y1" s="47" t="s">
        <v>345</v>
      </c>
      <c r="Z1" s="46" t="s">
        <v>346</v>
      </c>
      <c r="AA1" s="46" t="s">
        <v>350</v>
      </c>
      <c r="AB1" s="48" t="s">
        <v>351</v>
      </c>
      <c r="AC1" s="48" t="s">
        <v>352</v>
      </c>
      <c r="AD1" s="48" t="s">
        <v>353</v>
      </c>
      <c r="AE1" s="48" t="s">
        <v>360</v>
      </c>
      <c r="AF1" s="48" t="s">
        <v>361</v>
      </c>
      <c r="AG1" s="49" t="s">
        <v>362</v>
      </c>
      <c r="AH1" s="48" t="s">
        <v>365</v>
      </c>
      <c r="AI1" s="48" t="s">
        <v>364</v>
      </c>
      <c r="AJ1" s="49" t="s">
        <v>363</v>
      </c>
      <c r="AK1" s="2" t="s">
        <v>21</v>
      </c>
      <c r="AL1" s="2" t="s">
        <v>22</v>
      </c>
      <c r="AM1" s="2" t="s">
        <v>23</v>
      </c>
      <c r="AN1" s="2" t="s">
        <v>24</v>
      </c>
      <c r="AO1" s="2" t="s">
        <v>25</v>
      </c>
      <c r="AP1" s="2" t="s">
        <v>26</v>
      </c>
    </row>
    <row r="2" spans="1:42" s="50" customFormat="1">
      <c r="A2" s="51" t="s">
        <v>327</v>
      </c>
      <c r="B2" s="52" t="s">
        <v>132</v>
      </c>
      <c r="C2" s="51" t="s">
        <v>133</v>
      </c>
      <c r="D2" s="51">
        <v>-0.5</v>
      </c>
      <c r="E2" s="51">
        <v>182.07894999999999</v>
      </c>
      <c r="F2" s="51">
        <v>8.2829999999999995</v>
      </c>
      <c r="G2" s="51">
        <f>AVERAGE(M2:X2)</f>
        <v>497601.54712761333</v>
      </c>
      <c r="H2" s="51">
        <f>MAX(M2:X2)</f>
        <v>4396724.1357754003</v>
      </c>
      <c r="I2" s="51">
        <f>G2/SUM(G$2:G$104)</f>
        <v>6.7626509638768286E-5</v>
      </c>
      <c r="J2" s="51" t="e">
        <f>G2/#REF!</f>
        <v>#REF!</v>
      </c>
      <c r="K2" s="51" t="e">
        <f>H2/#REF!</f>
        <v>#REF!</v>
      </c>
      <c r="L2" s="51">
        <v>72</v>
      </c>
      <c r="M2" s="51">
        <v>151556.07262967501</v>
      </c>
      <c r="N2" s="51">
        <v>121693.562339004</v>
      </c>
      <c r="O2" s="51">
        <v>152239.15512155899</v>
      </c>
      <c r="P2" s="51">
        <v>258743.10791687801</v>
      </c>
      <c r="Q2" s="51">
        <v>208413.561811272</v>
      </c>
      <c r="R2" s="51">
        <v>173589.915162499</v>
      </c>
      <c r="S2" s="51">
        <v>65200.880208059498</v>
      </c>
      <c r="T2" s="51">
        <v>54123.206093498702</v>
      </c>
      <c r="U2" s="51">
        <v>56856.296737973098</v>
      </c>
      <c r="V2" s="51">
        <v>176714.96097960701</v>
      </c>
      <c r="W2" s="51">
        <v>155363.71075593401</v>
      </c>
      <c r="X2" s="51">
        <v>4396724.1357754003</v>
      </c>
      <c r="Y2" s="53">
        <f>AVERAGE(M2:O2)</f>
        <v>141829.59669674598</v>
      </c>
      <c r="Z2" s="53">
        <f>AVERAGE(P2:R2)</f>
        <v>213582.19496354964</v>
      </c>
      <c r="AA2" s="54">
        <f>Z2/Y2</f>
        <v>1.5059070880686631</v>
      </c>
      <c r="AB2" s="55">
        <f>AVERAGE(S2:U2)</f>
        <v>58726.794346510433</v>
      </c>
      <c r="AC2" s="55">
        <f>AVERAGE(V2:X2)</f>
        <v>1576267.6025036471</v>
      </c>
      <c r="AD2" s="56">
        <f>AC2/AB2</f>
        <v>26.840688650619484</v>
      </c>
      <c r="AE2" s="50">
        <f>AVERAGE(M2,S2)</f>
        <v>108378.47641886726</v>
      </c>
      <c r="AF2" s="50">
        <f>AVERAGE(N2,T2)</f>
        <v>87908.384216251347</v>
      </c>
      <c r="AG2" s="50">
        <f>AVERAGE(O2)</f>
        <v>152239.15512155899</v>
      </c>
      <c r="AH2" s="50">
        <f>AVERAGE(P2,V2)</f>
        <v>217729.03444824251</v>
      </c>
      <c r="AI2" s="50">
        <f>AVERAGE(Q2,W2)</f>
        <v>181888.636283603</v>
      </c>
      <c r="AJ2" s="50">
        <f>AVERAGE(X2)</f>
        <v>4396724.1357754003</v>
      </c>
      <c r="AK2" s="1">
        <v>443651.28023471899</v>
      </c>
      <c r="AL2" s="1">
        <v>561977.23228753603</v>
      </c>
      <c r="AM2" s="1">
        <v>433703.15546560503</v>
      </c>
      <c r="AN2" s="1">
        <v>395263.87679043598</v>
      </c>
      <c r="AO2" s="1">
        <v>79592.196854951995</v>
      </c>
      <c r="AP2" s="1">
        <v>90418.966198357506</v>
      </c>
    </row>
    <row r="3" spans="1:42" s="50" customFormat="1">
      <c r="A3" s="51" t="s">
        <v>299</v>
      </c>
      <c r="B3" s="51" t="s">
        <v>97</v>
      </c>
      <c r="C3" s="51" t="s">
        <v>98</v>
      </c>
      <c r="D3" s="51">
        <v>0.52</v>
      </c>
      <c r="E3" s="51">
        <v>131.09469999999999</v>
      </c>
      <c r="F3" s="51">
        <v>5.0960000000000001</v>
      </c>
      <c r="G3" s="51">
        <f>AVERAGE(M3:X3)</f>
        <v>5179913.0805209549</v>
      </c>
      <c r="H3" s="51">
        <f>MAX(M3:X3)</f>
        <v>14904895.9755059</v>
      </c>
      <c r="I3" s="51">
        <f>G3/SUM(G$2:G$104)</f>
        <v>7.0397578924326701E-4</v>
      </c>
      <c r="J3" s="51" t="e">
        <f>G3/#REF!</f>
        <v>#REF!</v>
      </c>
      <c r="K3" s="51" t="e">
        <f>H3/#REF!</f>
        <v>#REF!</v>
      </c>
      <c r="L3" s="51">
        <v>56.7</v>
      </c>
      <c r="M3" s="51">
        <v>3775479.3416033098</v>
      </c>
      <c r="N3" s="51">
        <v>4110910.4507444398</v>
      </c>
      <c r="O3" s="51">
        <v>2920235.7927904301</v>
      </c>
      <c r="P3" s="51">
        <v>4527373.6761016101</v>
      </c>
      <c r="Q3" s="51">
        <v>1799515.0650536099</v>
      </c>
      <c r="R3" s="51">
        <v>8590107.2083823793</v>
      </c>
      <c r="S3" s="51">
        <v>380344.39895074599</v>
      </c>
      <c r="T3" s="51">
        <v>672515.88312297396</v>
      </c>
      <c r="U3" s="51">
        <v>306677.01247209002</v>
      </c>
      <c r="V3" s="51">
        <v>7260508.63945348</v>
      </c>
      <c r="W3" s="51">
        <v>14904895.9755059</v>
      </c>
      <c r="X3" s="51">
        <v>12910393.522070499</v>
      </c>
      <c r="Y3" s="53">
        <f>AVERAGE(M3:O3)</f>
        <v>3602208.5283793933</v>
      </c>
      <c r="Z3" s="53">
        <f>AVERAGE(P3:R3)</f>
        <v>4972331.9831791995</v>
      </c>
      <c r="AA3" s="54">
        <f>Z3/Y3</f>
        <v>1.3803565074052542</v>
      </c>
      <c r="AB3" s="55">
        <f>AVERAGE(S3:U3)</f>
        <v>453179.09818193666</v>
      </c>
      <c r="AC3" s="55">
        <f>AVERAGE(V3:X3)</f>
        <v>11691932.712343292</v>
      </c>
      <c r="AD3" s="56">
        <f>AC3/AB3</f>
        <v>25.799805770497741</v>
      </c>
      <c r="AE3" s="50">
        <f>AVERAGE(M3,S3)</f>
        <v>2077911.8702770278</v>
      </c>
      <c r="AF3" s="50">
        <f>AVERAGE(N3,T3)</f>
        <v>2391713.166933707</v>
      </c>
      <c r="AG3" s="50">
        <f>AVERAGE(O3)</f>
        <v>2920235.7927904301</v>
      </c>
      <c r="AH3" s="50">
        <f>AVERAGE(P3,V3)</f>
        <v>5893941.157777545</v>
      </c>
      <c r="AI3" s="50">
        <f>AVERAGE(Q3,W3)</f>
        <v>8352205.5202797549</v>
      </c>
      <c r="AJ3" s="50">
        <f>AVERAGE(X3)</f>
        <v>12910393.522070499</v>
      </c>
      <c r="AK3" s="1">
        <v>9332705.2552955505</v>
      </c>
      <c r="AL3" s="1">
        <v>9363914.9356083795</v>
      </c>
      <c r="AM3" s="1">
        <v>7765744.6111345096</v>
      </c>
      <c r="AN3" s="1">
        <v>13638625.5011298</v>
      </c>
      <c r="AO3" s="1">
        <v>10957140.276974401</v>
      </c>
      <c r="AP3" s="1">
        <v>13627334.220954999</v>
      </c>
    </row>
    <row r="4" spans="1:42" s="62" customFormat="1">
      <c r="A4" s="57" t="s">
        <v>265</v>
      </c>
      <c r="B4" s="57" t="s">
        <v>167</v>
      </c>
      <c r="C4" s="57" t="s">
        <v>168</v>
      </c>
      <c r="D4" s="57">
        <v>-1.23</v>
      </c>
      <c r="E4" s="57">
        <v>173.99847</v>
      </c>
      <c r="F4" s="57">
        <v>0.96</v>
      </c>
      <c r="G4" s="57">
        <f>AVERAGE(M4:X4)</f>
        <v>13596575.617629593</v>
      </c>
      <c r="H4" s="57">
        <f>MAX(M4:X4)</f>
        <v>55611860.787056699</v>
      </c>
      <c r="I4" s="57">
        <f>G4/SUM(G$2:G$104)</f>
        <v>1.8478418271960484E-3</v>
      </c>
      <c r="J4" s="57" t="e">
        <f>G4/#REF!</f>
        <v>#REF!</v>
      </c>
      <c r="K4" s="57" t="e">
        <f>H4/#REF!</f>
        <v>#REF!</v>
      </c>
      <c r="L4" s="57">
        <v>80</v>
      </c>
      <c r="M4" s="57">
        <v>1338308.09702699</v>
      </c>
      <c r="N4" s="57">
        <v>13776386.9361709</v>
      </c>
      <c r="O4" s="57">
        <v>11279030.746490199</v>
      </c>
      <c r="P4" s="57">
        <v>33612504.408875003</v>
      </c>
      <c r="Q4" s="57">
        <v>2805932.70269544</v>
      </c>
      <c r="R4" s="57">
        <v>9571652.9437737204</v>
      </c>
      <c r="S4" s="57">
        <v>430760.637280336</v>
      </c>
      <c r="T4" s="57">
        <v>1920218.03628801</v>
      </c>
      <c r="U4" s="57">
        <v>1638524.0206731299</v>
      </c>
      <c r="V4" s="57">
        <v>19563806.789997801</v>
      </c>
      <c r="W4" s="57">
        <v>55611860.787056699</v>
      </c>
      <c r="X4" s="57">
        <v>11609921.3052269</v>
      </c>
      <c r="Y4" s="58">
        <f>AVERAGE(M4:O4)</f>
        <v>8797908.5932293627</v>
      </c>
      <c r="Z4" s="58">
        <f>AVERAGE(P4:R4)</f>
        <v>15330030.018448055</v>
      </c>
      <c r="AA4" s="59">
        <f>Z4/Y4</f>
        <v>1.7424629792409574</v>
      </c>
      <c r="AB4" s="60">
        <f>AVERAGE(S4:U4)</f>
        <v>1329834.2314138254</v>
      </c>
      <c r="AC4" s="60">
        <f>AVERAGE(V4:X4)</f>
        <v>28928529.627427131</v>
      </c>
      <c r="AD4" s="61">
        <f>AC4/AB4</f>
        <v>21.753485467637194</v>
      </c>
      <c r="AE4" s="62">
        <f>AVERAGE(M4,S4)</f>
        <v>884534.36715366296</v>
      </c>
      <c r="AF4" s="62">
        <f>AVERAGE(N4,T4)</f>
        <v>7848302.4862294551</v>
      </c>
      <c r="AG4" s="62">
        <f>AVERAGE(O4)</f>
        <v>11279030.746490199</v>
      </c>
      <c r="AH4" s="62">
        <f>AVERAGE(P4,V4)</f>
        <v>26588155.599436402</v>
      </c>
      <c r="AI4" s="62">
        <f>AVERAGE(Q4,W4)</f>
        <v>29208896.744876068</v>
      </c>
      <c r="AJ4" s="62">
        <f>AVERAGE(X4)</f>
        <v>11609921.3052269</v>
      </c>
      <c r="AK4" s="1">
        <v>14292529.4288573</v>
      </c>
      <c r="AL4" s="1">
        <v>15936549.122792</v>
      </c>
      <c r="AM4" s="1">
        <v>16415517.262665501</v>
      </c>
      <c r="AN4" s="1">
        <v>19207349.067439701</v>
      </c>
      <c r="AO4" s="1">
        <v>19943360.707338799</v>
      </c>
      <c r="AP4" s="1">
        <v>22342439.493579701</v>
      </c>
    </row>
    <row r="5" spans="1:42" s="68" customFormat="1">
      <c r="A5" s="63" t="s">
        <v>335</v>
      </c>
      <c r="B5" s="63" t="s">
        <v>51</v>
      </c>
      <c r="C5" s="63" t="s">
        <v>52</v>
      </c>
      <c r="D5" s="63">
        <v>0.86</v>
      </c>
      <c r="E5" s="63">
        <v>137.0478</v>
      </c>
      <c r="F5" s="63">
        <v>2.0939999999999999</v>
      </c>
      <c r="G5" s="63">
        <f>AVERAGE(M5:X5)</f>
        <v>1020548.2367217578</v>
      </c>
      <c r="H5" s="63">
        <f>MAX(M5:X5)</f>
        <v>2601483.2746768398</v>
      </c>
      <c r="I5" s="63">
        <f>G5/SUM(G$2:G$104)</f>
        <v>1.3869754940651799E-4</v>
      </c>
      <c r="J5" s="63" t="e">
        <f>G5/#REF!</f>
        <v>#REF!</v>
      </c>
      <c r="K5" s="63" t="e">
        <f>H5/#REF!</f>
        <v>#REF!</v>
      </c>
      <c r="L5" s="63">
        <v>62.4</v>
      </c>
      <c r="M5" s="63">
        <v>542648.68471026805</v>
      </c>
      <c r="N5" s="63">
        <v>658687.92474467796</v>
      </c>
      <c r="O5" s="63">
        <v>478485.62782485998</v>
      </c>
      <c r="P5" s="63">
        <v>697277.281806221</v>
      </c>
      <c r="Q5" s="63">
        <v>992172.92574486195</v>
      </c>
      <c r="R5" s="63">
        <v>743606.43359477504</v>
      </c>
      <c r="S5" s="63">
        <v>684321.29550114099</v>
      </c>
      <c r="T5" s="63">
        <v>571303.58706929197</v>
      </c>
      <c r="U5" s="63">
        <v>361191.51459033898</v>
      </c>
      <c r="V5" s="63">
        <v>2601483.2746768398</v>
      </c>
      <c r="W5" s="63">
        <v>1579406.8403632899</v>
      </c>
      <c r="X5" s="63">
        <v>2335993.4500345299</v>
      </c>
      <c r="Y5" s="64">
        <f>AVERAGE(M5:O5)</f>
        <v>559940.74575993535</v>
      </c>
      <c r="Z5" s="64">
        <f>AVERAGE(P5:R5)</f>
        <v>811018.88038195262</v>
      </c>
      <c r="AA5" s="65">
        <f>Z5/Y5</f>
        <v>1.4484012576746157</v>
      </c>
      <c r="AB5" s="66">
        <f>AVERAGE(S5:U5)</f>
        <v>538938.79905359063</v>
      </c>
      <c r="AC5" s="66">
        <f>AVERAGE(V5:X5)</f>
        <v>2172294.5216915533</v>
      </c>
      <c r="AD5" s="67">
        <f>AC5/AB5</f>
        <v>4.0306886895251086</v>
      </c>
      <c r="AE5" s="68">
        <f>AVERAGE(M5,S5)</f>
        <v>613484.99010570452</v>
      </c>
      <c r="AF5" s="68">
        <f>AVERAGE(N5,T5)</f>
        <v>614995.75590698491</v>
      </c>
      <c r="AG5" s="68">
        <f>AVERAGE(O5)</f>
        <v>478485.62782485998</v>
      </c>
      <c r="AH5" s="68">
        <f>AVERAGE(P5,V5)</f>
        <v>1649380.2782415305</v>
      </c>
      <c r="AI5" s="68">
        <f>AVERAGE(Q5,W5)</f>
        <v>1285789.883054076</v>
      </c>
      <c r="AJ5" s="68">
        <f>AVERAGE(X5)</f>
        <v>2335993.4500345299</v>
      </c>
      <c r="AK5" s="1">
        <v>1711803.4748485901</v>
      </c>
      <c r="AL5" s="1">
        <v>1102158.1779489301</v>
      </c>
      <c r="AM5" s="1">
        <v>1156995.7065149399</v>
      </c>
      <c r="AN5" s="1">
        <v>1365011.32903821</v>
      </c>
      <c r="AO5" s="1">
        <v>1887840.7290523399</v>
      </c>
      <c r="AP5" s="1">
        <v>1013992.86641716</v>
      </c>
    </row>
    <row r="6" spans="1:42" s="62" customFormat="1">
      <c r="A6" s="57" t="s">
        <v>314</v>
      </c>
      <c r="B6" s="57" t="s">
        <v>160</v>
      </c>
      <c r="C6" s="57" t="s">
        <v>161</v>
      </c>
      <c r="D6" s="57">
        <v>0.43</v>
      </c>
      <c r="E6" s="57">
        <v>159.06847999999999</v>
      </c>
      <c r="F6" s="57">
        <v>1.3180000000000001</v>
      </c>
      <c r="G6" s="57">
        <f>AVERAGE(M6:X6)</f>
        <v>2908447.2800174188</v>
      </c>
      <c r="H6" s="57">
        <f>MAX(M6:X6)</f>
        <v>6099136.6036811098</v>
      </c>
      <c r="I6" s="57">
        <f>G6/SUM(G$2:G$104)</f>
        <v>3.9527236028770902E-4</v>
      </c>
      <c r="J6" s="57" t="e">
        <f>G6/#REF!</f>
        <v>#REF!</v>
      </c>
      <c r="K6" s="57" t="e">
        <f>H6/#REF!</f>
        <v>#REF!</v>
      </c>
      <c r="L6" s="57">
        <v>73.5</v>
      </c>
      <c r="M6" s="57">
        <v>929932.47262372205</v>
      </c>
      <c r="N6" s="57">
        <v>5090327.9026845796</v>
      </c>
      <c r="O6" s="57">
        <v>637492.36120939802</v>
      </c>
      <c r="P6" s="57">
        <v>2134899.5195060601</v>
      </c>
      <c r="Q6" s="57">
        <v>1640475.0439671499</v>
      </c>
      <c r="R6" s="57">
        <v>3998845.5918328599</v>
      </c>
      <c r="S6" s="57">
        <v>1326736.4598252601</v>
      </c>
      <c r="T6" s="57">
        <v>517270.684687423</v>
      </c>
      <c r="U6" s="57">
        <v>3114455.4697549399</v>
      </c>
      <c r="V6" s="57">
        <v>4660895.7461362602</v>
      </c>
      <c r="W6" s="57">
        <v>6099136.6036811098</v>
      </c>
      <c r="X6" s="57">
        <v>4750899.50430026</v>
      </c>
      <c r="Y6" s="58">
        <f>AVERAGE(M6:O6)</f>
        <v>2219250.9121725666</v>
      </c>
      <c r="Z6" s="58">
        <f>AVERAGE(P6:R6)</f>
        <v>2591406.7184353564</v>
      </c>
      <c r="AA6" s="59">
        <f>Z6/Y6</f>
        <v>1.1676943351567501</v>
      </c>
      <c r="AB6" s="60">
        <f>AVERAGE(S6:U6)</f>
        <v>1652820.8714225411</v>
      </c>
      <c r="AC6" s="60">
        <f>AVERAGE(V6:X6)</f>
        <v>5170310.6180392094</v>
      </c>
      <c r="AD6" s="61">
        <f>AC6/AB6</f>
        <v>3.1281736015284305</v>
      </c>
      <c r="AE6" s="62">
        <f>AVERAGE(M6,S6)</f>
        <v>1128334.4662244911</v>
      </c>
      <c r="AF6" s="62">
        <f>AVERAGE(N6,T6)</f>
        <v>2803799.2936860011</v>
      </c>
      <c r="AG6" s="62">
        <f>AVERAGE(O6)</f>
        <v>637492.36120939802</v>
      </c>
      <c r="AH6" s="62">
        <f>AVERAGE(P6,V6)</f>
        <v>3397897.6328211604</v>
      </c>
      <c r="AI6" s="62">
        <f>AVERAGE(Q6,W6)</f>
        <v>3869805.82382413</v>
      </c>
      <c r="AJ6" s="62">
        <f>AVERAGE(X6)</f>
        <v>4750899.50430026</v>
      </c>
      <c r="AK6" s="1">
        <v>2154053.9259357601</v>
      </c>
      <c r="AL6" s="1">
        <v>2627371.075067</v>
      </c>
      <c r="AM6" s="1">
        <v>2635832.3670136998</v>
      </c>
      <c r="AN6" s="1">
        <v>3179479.99319256</v>
      </c>
      <c r="AO6" s="1">
        <v>700044.00786912895</v>
      </c>
      <c r="AP6" s="1">
        <v>343998.25052397401</v>
      </c>
    </row>
    <row r="7" spans="1:42" s="50" customFormat="1">
      <c r="A7" s="51" t="s">
        <v>244</v>
      </c>
      <c r="B7" s="51" t="s">
        <v>71</v>
      </c>
      <c r="C7" s="51" t="s">
        <v>72</v>
      </c>
      <c r="D7" s="51">
        <v>0.5</v>
      </c>
      <c r="E7" s="51">
        <v>129.07903999999999</v>
      </c>
      <c r="F7" s="51">
        <v>4.6589999999999998</v>
      </c>
      <c r="G7" s="51">
        <f>AVERAGE(M7:X7)</f>
        <v>15915148.653269326</v>
      </c>
      <c r="H7" s="51">
        <f>MAX(M7:X7)</f>
        <v>69989141.254427195</v>
      </c>
      <c r="I7" s="51">
        <f>G7/SUM(G$2:G$104)</f>
        <v>2.1629473622330345E-3</v>
      </c>
      <c r="J7" s="51" t="e">
        <f>G7/#REF!</f>
        <v>#REF!</v>
      </c>
      <c r="K7" s="51" t="e">
        <f>H7/#REF!</f>
        <v>#REF!</v>
      </c>
      <c r="L7" s="51">
        <v>70.900000000000006</v>
      </c>
      <c r="M7" s="51">
        <v>69989141.254427195</v>
      </c>
      <c r="N7" s="51">
        <v>24831203.6598389</v>
      </c>
      <c r="O7" s="51">
        <v>12882934.599970501</v>
      </c>
      <c r="P7" s="51">
        <v>8858728.6221713796</v>
      </c>
      <c r="Q7" s="51">
        <v>6685018.5507863201</v>
      </c>
      <c r="R7" s="51">
        <v>40803707.033859201</v>
      </c>
      <c r="S7" s="51">
        <v>1968219.53599994</v>
      </c>
      <c r="T7" s="51">
        <v>2355431.3804612402</v>
      </c>
      <c r="U7" s="51">
        <v>2223583.50814232</v>
      </c>
      <c r="V7" s="51">
        <v>5653965.8829884604</v>
      </c>
      <c r="W7" s="51">
        <v>6845615.03777555</v>
      </c>
      <c r="X7" s="51">
        <v>7884234.7728109099</v>
      </c>
      <c r="Y7" s="53">
        <f>AVERAGE(M7:O7)</f>
        <v>35901093.1714122</v>
      </c>
      <c r="Z7" s="53">
        <f>AVERAGE(P7:R7)</f>
        <v>18782484.735605631</v>
      </c>
      <c r="AA7" s="54">
        <f>Z7/Y7</f>
        <v>0.52317305899091671</v>
      </c>
      <c r="AB7" s="55">
        <f>AVERAGE(S7:U7)</f>
        <v>2182411.4748678333</v>
      </c>
      <c r="AC7" s="55">
        <f>AVERAGE(V7:X7)</f>
        <v>6794605.2311916398</v>
      </c>
      <c r="AD7" s="56">
        <f>AC7/AB7</f>
        <v>3.1133474642324819</v>
      </c>
      <c r="AE7" s="50">
        <f>AVERAGE(M7,S7)</f>
        <v>35978680.395213567</v>
      </c>
      <c r="AF7" s="50">
        <f>AVERAGE(N7,T7)</f>
        <v>13593317.520150069</v>
      </c>
      <c r="AG7" s="50">
        <f>AVERAGE(O7)</f>
        <v>12882934.599970501</v>
      </c>
      <c r="AH7" s="50">
        <f>AVERAGE(P7,V7)</f>
        <v>7256347.25257992</v>
      </c>
      <c r="AI7" s="50">
        <f>AVERAGE(Q7,W7)</f>
        <v>6765316.7942809351</v>
      </c>
      <c r="AJ7" s="50">
        <f>AVERAGE(X7)</f>
        <v>7884234.7728109099</v>
      </c>
      <c r="AK7" s="1">
        <v>54031764.992776498</v>
      </c>
      <c r="AL7" s="1">
        <v>51636973.418278202</v>
      </c>
      <c r="AM7" s="1">
        <v>49910345.259391099</v>
      </c>
      <c r="AN7" s="1">
        <v>66003871.069786899</v>
      </c>
      <c r="AO7" s="1">
        <v>66709958.2426918</v>
      </c>
      <c r="AP7" s="1">
        <v>66534907.628762104</v>
      </c>
    </row>
    <row r="8" spans="1:42" s="50" customFormat="1">
      <c r="A8" s="51" t="s">
        <v>333</v>
      </c>
      <c r="B8" s="51" t="s">
        <v>148</v>
      </c>
      <c r="C8" s="51" t="s">
        <v>149</v>
      </c>
      <c r="D8" s="51">
        <v>0.99</v>
      </c>
      <c r="E8" s="51">
        <v>136.03864999999999</v>
      </c>
      <c r="F8" s="51">
        <v>2.8849999999999998</v>
      </c>
      <c r="G8" s="51">
        <f>AVERAGE(M8:X8)</f>
        <v>776853.32442661782</v>
      </c>
      <c r="H8" s="51">
        <f>MAX(M8:X8)</f>
        <v>3191055.827085</v>
      </c>
      <c r="I8" s="51">
        <f>G8/SUM(G$2:G$104)</f>
        <v>1.0557820636914674E-4</v>
      </c>
      <c r="J8" s="51" t="e">
        <f>G8/#REF!</f>
        <v>#REF!</v>
      </c>
      <c r="K8" s="51" t="e">
        <f>H8/#REF!</f>
        <v>#REF!</v>
      </c>
      <c r="L8" s="51">
        <v>66.7</v>
      </c>
      <c r="M8" s="51">
        <v>40581.378245289401</v>
      </c>
      <c r="N8" s="51">
        <v>62814.172325098603</v>
      </c>
      <c r="O8" s="51">
        <v>46958.625066985704</v>
      </c>
      <c r="P8" s="51">
        <v>1905633.53156756</v>
      </c>
      <c r="Q8" s="51">
        <v>44714.447139092197</v>
      </c>
      <c r="R8" s="51">
        <v>3191055.827085</v>
      </c>
      <c r="S8" s="51">
        <v>68009.592921621603</v>
      </c>
      <c r="T8" s="51">
        <v>608810.36041900003</v>
      </c>
      <c r="U8" s="51">
        <v>324119.03380912403</v>
      </c>
      <c r="V8" s="51">
        <v>234126.20320543501</v>
      </c>
      <c r="W8" s="51">
        <v>186615.00576989699</v>
      </c>
      <c r="X8" s="51">
        <v>2608801.7155653099</v>
      </c>
      <c r="Y8" s="53">
        <f>AVERAGE(M8:O8)</f>
        <v>50118.058545791231</v>
      </c>
      <c r="Z8" s="53">
        <f>AVERAGE(P8:R8)</f>
        <v>1713801.2685972173</v>
      </c>
      <c r="AA8" s="54">
        <f>Z8/Y8</f>
        <v>34.195284460817113</v>
      </c>
      <c r="AB8" s="55">
        <f>AVERAGE(S8:U8)</f>
        <v>333646.32904991525</v>
      </c>
      <c r="AC8" s="55">
        <f>AVERAGE(V8:X8)</f>
        <v>1009847.6415135473</v>
      </c>
      <c r="AD8" s="56">
        <f>AC8/AB8</f>
        <v>3.0267008912975895</v>
      </c>
      <c r="AE8" s="50">
        <f>AVERAGE(M8,S8)</f>
        <v>54295.485583455506</v>
      </c>
      <c r="AF8" s="50">
        <f>AVERAGE(N8,T8)</f>
        <v>335812.26637204934</v>
      </c>
      <c r="AG8" s="50">
        <f>AVERAGE(O8)</f>
        <v>46958.625066985704</v>
      </c>
      <c r="AH8" s="50">
        <f>AVERAGE(P8,V8)</f>
        <v>1069879.8673864976</v>
      </c>
      <c r="AI8" s="50">
        <f>AVERAGE(Q8,W8)</f>
        <v>115664.72645449459</v>
      </c>
      <c r="AJ8" s="50">
        <f>AVERAGE(X8)</f>
        <v>2608801.7155653099</v>
      </c>
      <c r="AK8" s="1">
        <v>660932.25354484702</v>
      </c>
      <c r="AL8" s="1">
        <v>674884.654214332</v>
      </c>
      <c r="AM8" s="1">
        <v>740461.13014391903</v>
      </c>
      <c r="AN8" s="1">
        <v>974340.36317563395</v>
      </c>
      <c r="AO8" s="1">
        <v>667643.79405047803</v>
      </c>
      <c r="AP8" s="1">
        <v>83717.631822034804</v>
      </c>
    </row>
    <row r="9" spans="1:42" s="50" customFormat="1">
      <c r="A9" s="51" t="s">
        <v>334</v>
      </c>
      <c r="B9" s="51" t="s">
        <v>61</v>
      </c>
      <c r="C9" s="51" t="s">
        <v>62</v>
      </c>
      <c r="D9" s="51">
        <v>-1.54</v>
      </c>
      <c r="E9" s="51">
        <v>114.00637</v>
      </c>
      <c r="F9" s="51">
        <v>0.86899999999999999</v>
      </c>
      <c r="G9" s="51">
        <f>AVERAGE(M9:X9)</f>
        <v>808522.85929468961</v>
      </c>
      <c r="H9" s="51">
        <f>MAX(M9:X9)</f>
        <v>2216178.7236142899</v>
      </c>
      <c r="I9" s="51">
        <f>G9/SUM(G$2:G$104)</f>
        <v>1.0988225268366054E-4</v>
      </c>
      <c r="J9" s="51" t="e">
        <f>G9/#REF!</f>
        <v>#REF!</v>
      </c>
      <c r="K9" s="51" t="e">
        <f>H9/#REF!</f>
        <v>#REF!</v>
      </c>
      <c r="L9" s="51">
        <v>66.3</v>
      </c>
      <c r="M9" s="51">
        <v>456743.387735417</v>
      </c>
      <c r="N9" s="51">
        <v>476434.43204363098</v>
      </c>
      <c r="O9" s="51">
        <v>321939.04613601603</v>
      </c>
      <c r="P9" s="51">
        <v>399239.25303395098</v>
      </c>
      <c r="Q9" s="51">
        <v>372767.19853433297</v>
      </c>
      <c r="R9" s="51">
        <v>655030.67022397998</v>
      </c>
      <c r="S9" s="51">
        <v>656453.92694949801</v>
      </c>
      <c r="T9" s="51">
        <v>741855.60151959199</v>
      </c>
      <c r="U9" s="51">
        <v>413681.66180192999</v>
      </c>
      <c r="V9" s="51">
        <v>2032417.4393804099</v>
      </c>
      <c r="W9" s="51">
        <v>2216178.7236142899</v>
      </c>
      <c r="X9" s="51">
        <v>959532.97056322801</v>
      </c>
      <c r="Y9" s="53">
        <f>AVERAGE(M9:O9)</f>
        <v>418372.28863835469</v>
      </c>
      <c r="Z9" s="53">
        <f>AVERAGE(P9:R9)</f>
        <v>475679.04059742129</v>
      </c>
      <c r="AA9" s="54">
        <f>Z9/Y9</f>
        <v>1.1369754965023584</v>
      </c>
      <c r="AB9" s="55">
        <f>AVERAGE(S9:U9)</f>
        <v>603997.06342367327</v>
      </c>
      <c r="AC9" s="55">
        <f>AVERAGE(V9:X9)</f>
        <v>1736043.0445193092</v>
      </c>
      <c r="AD9" s="56">
        <f>AC9/AB9</f>
        <v>2.8742574254894402</v>
      </c>
      <c r="AE9" s="50">
        <f>AVERAGE(M9,S9)</f>
        <v>556598.65734245745</v>
      </c>
      <c r="AF9" s="50">
        <f>AVERAGE(N9,T9)</f>
        <v>609145.01678161148</v>
      </c>
      <c r="AG9" s="50">
        <f>AVERAGE(O9)</f>
        <v>321939.04613601603</v>
      </c>
      <c r="AH9" s="50">
        <f>AVERAGE(P9,V9)</f>
        <v>1215828.3462071805</v>
      </c>
      <c r="AI9" s="50">
        <f>AVERAGE(Q9,W9)</f>
        <v>1294472.9610743115</v>
      </c>
      <c r="AJ9" s="50">
        <f>AVERAGE(X9)</f>
        <v>959532.97056322801</v>
      </c>
      <c r="AK9" s="1">
        <v>714701.62472792994</v>
      </c>
      <c r="AL9" s="1">
        <v>621236.46455354895</v>
      </c>
      <c r="AM9" s="1">
        <v>566649.84745583904</v>
      </c>
      <c r="AN9" s="1">
        <v>908149.04096460296</v>
      </c>
      <c r="AO9" s="1">
        <v>1047612.07545395</v>
      </c>
      <c r="AP9" s="1">
        <v>745978.00156057999</v>
      </c>
    </row>
    <row r="10" spans="1:42" s="68" customFormat="1">
      <c r="A10" s="63" t="s">
        <v>273</v>
      </c>
      <c r="B10" s="63" t="s">
        <v>87</v>
      </c>
      <c r="C10" s="63" t="s">
        <v>88</v>
      </c>
      <c r="D10" s="63">
        <v>0.37</v>
      </c>
      <c r="E10" s="63">
        <v>294.18659000000002</v>
      </c>
      <c r="F10" s="63">
        <v>0.90300000000000002</v>
      </c>
      <c r="G10" s="63">
        <f>AVERAGE(M10:X10)</f>
        <v>14667947.906403264</v>
      </c>
      <c r="H10" s="63">
        <f>MAX(M10:X10)</f>
        <v>41930305.588069201</v>
      </c>
      <c r="I10" s="63">
        <f>G10/SUM(G$2:G$104)</f>
        <v>1.993446616473122E-3</v>
      </c>
      <c r="J10" s="63" t="e">
        <f>G10/#REF!</f>
        <v>#REF!</v>
      </c>
      <c r="K10" s="63" t="e">
        <f>H10/#REF!</f>
        <v>#REF!</v>
      </c>
      <c r="L10" s="63">
        <v>87.6</v>
      </c>
      <c r="M10" s="63">
        <v>14233206.14679</v>
      </c>
      <c r="N10" s="63">
        <v>29007970.0459245</v>
      </c>
      <c r="O10" s="63">
        <v>4281503.50155506</v>
      </c>
      <c r="P10" s="63">
        <v>5251531.1503429199</v>
      </c>
      <c r="Q10" s="63">
        <v>9608402.1627726704</v>
      </c>
      <c r="R10" s="63">
        <v>12132053.252413301</v>
      </c>
      <c r="S10" s="63">
        <v>7020534.72528785</v>
      </c>
      <c r="T10" s="63">
        <v>9958507.7309635505</v>
      </c>
      <c r="U10" s="63">
        <v>11629519.5901365</v>
      </c>
      <c r="V10" s="63">
        <v>12087251.6649931</v>
      </c>
      <c r="W10" s="63">
        <v>41930305.588069201</v>
      </c>
      <c r="X10" s="63">
        <v>18874589.317590501</v>
      </c>
      <c r="Y10" s="64">
        <f>AVERAGE(M10:O10)</f>
        <v>15840893.231423186</v>
      </c>
      <c r="Z10" s="64">
        <f>AVERAGE(P10:R10)</f>
        <v>8997328.8551762979</v>
      </c>
      <c r="AA10" s="65">
        <f>Z10/Y10</f>
        <v>0.56798115634846402</v>
      </c>
      <c r="AB10" s="66">
        <f>AVERAGE(S10:U10)</f>
        <v>9536187.3487959672</v>
      </c>
      <c r="AC10" s="66">
        <f>AVERAGE(V10:X10)</f>
        <v>24297382.190217599</v>
      </c>
      <c r="AD10" s="67">
        <f>AC10/AB10</f>
        <v>2.5479136788651044</v>
      </c>
      <c r="AE10" s="68">
        <f>AVERAGE(M10,S10)</f>
        <v>10626870.436038924</v>
      </c>
      <c r="AF10" s="68">
        <f>AVERAGE(N10,T10)</f>
        <v>19483238.888444025</v>
      </c>
      <c r="AG10" s="68">
        <f>AVERAGE(O10)</f>
        <v>4281503.50155506</v>
      </c>
      <c r="AH10" s="68">
        <f>AVERAGE(P10,V10)</f>
        <v>8669391.4076680094</v>
      </c>
      <c r="AI10" s="68">
        <f>AVERAGE(Q10,W10)</f>
        <v>25769353.875420935</v>
      </c>
      <c r="AJ10" s="68">
        <f>AVERAGE(X10)</f>
        <v>18874589.317590501</v>
      </c>
      <c r="AK10" s="1">
        <v>13896372.7207972</v>
      </c>
      <c r="AL10" s="1">
        <v>14046917.1732044</v>
      </c>
      <c r="AM10" s="1">
        <v>17193931.657499101</v>
      </c>
      <c r="AN10" s="1">
        <v>16351522.7329189</v>
      </c>
      <c r="AO10" s="1">
        <v>17561883.0733491</v>
      </c>
      <c r="AP10" s="1">
        <v>9013157.4224137198</v>
      </c>
    </row>
    <row r="11" spans="1:42" s="50" customFormat="1">
      <c r="A11" s="51" t="s">
        <v>276</v>
      </c>
      <c r="B11" s="51" t="s">
        <v>59</v>
      </c>
      <c r="C11" s="51" t="s">
        <v>60</v>
      </c>
      <c r="D11" s="51">
        <v>-2.2400000000000002</v>
      </c>
      <c r="E11" s="51">
        <v>97.976680000000002</v>
      </c>
      <c r="F11" s="51">
        <v>5.851</v>
      </c>
      <c r="G11" s="51">
        <f>AVERAGE(M11:X11)</f>
        <v>9378070.3344045673</v>
      </c>
      <c r="H11" s="51">
        <f>MAX(M11:X11)</f>
        <v>18203429.084072798</v>
      </c>
      <c r="I11" s="51">
        <f>G11/SUM(G$2:G$104)</f>
        <v>1.2745261093410768E-3</v>
      </c>
      <c r="J11" s="51" t="e">
        <f>G11/#REF!</f>
        <v>#REF!</v>
      </c>
      <c r="K11" s="51" t="e">
        <f>H11/#REF!</f>
        <v>#REF!</v>
      </c>
      <c r="L11" s="51">
        <v>82.4</v>
      </c>
      <c r="M11" s="51">
        <v>10922793.6847998</v>
      </c>
      <c r="N11" s="51">
        <v>7509488.2756804498</v>
      </c>
      <c r="O11" s="51">
        <v>8632840.3148813508</v>
      </c>
      <c r="P11" s="51">
        <v>11291793.6277053</v>
      </c>
      <c r="Q11" s="51">
        <v>18203429.084072798</v>
      </c>
      <c r="R11" s="51">
        <v>17833474.700158201</v>
      </c>
      <c r="S11" s="51">
        <v>1380270.9057141801</v>
      </c>
      <c r="T11" s="51">
        <v>1224627.4084763499</v>
      </c>
      <c r="U11" s="51">
        <v>9644170.0553902108</v>
      </c>
      <c r="V11" s="51">
        <v>9367641.5525692496</v>
      </c>
      <c r="W11" s="51">
        <v>8283607.91365135</v>
      </c>
      <c r="X11" s="51">
        <v>8242706.4897555402</v>
      </c>
      <c r="Y11" s="53">
        <f>AVERAGE(M11:O11)</f>
        <v>9021707.4251205344</v>
      </c>
      <c r="Z11" s="53">
        <f>AVERAGE(P11:R11)</f>
        <v>15776232.470645433</v>
      </c>
      <c r="AA11" s="54">
        <f>Z11/Y11</f>
        <v>1.7486969735592657</v>
      </c>
      <c r="AB11" s="55">
        <f>AVERAGE(S11:U11)</f>
        <v>4083022.7898602472</v>
      </c>
      <c r="AC11" s="55">
        <f>AVERAGE(V11:X11)</f>
        <v>8631318.6519920472</v>
      </c>
      <c r="AD11" s="56">
        <f>AC11/AB11</f>
        <v>2.1139530921617702</v>
      </c>
      <c r="AE11" s="50">
        <f>AVERAGE(M11,S11)</f>
        <v>6151532.29525699</v>
      </c>
      <c r="AF11" s="50">
        <f>AVERAGE(N11,T11)</f>
        <v>4367057.8420783998</v>
      </c>
      <c r="AG11" s="50">
        <f>AVERAGE(O11)</f>
        <v>8632840.3148813508</v>
      </c>
      <c r="AH11" s="50">
        <f>AVERAGE(P11,V11)</f>
        <v>10329717.590137275</v>
      </c>
      <c r="AI11" s="50">
        <f>AVERAGE(Q11,W11)</f>
        <v>13243518.498862075</v>
      </c>
      <c r="AJ11" s="50">
        <f>AVERAGE(X11)</f>
        <v>8242706.4897555402</v>
      </c>
      <c r="AK11" s="1">
        <v>8281359.3073805701</v>
      </c>
      <c r="AL11" s="1">
        <v>8753704.0452577509</v>
      </c>
      <c r="AM11" s="1">
        <v>10321394.097682999</v>
      </c>
      <c r="AN11" s="1">
        <v>21147508.187711399</v>
      </c>
      <c r="AO11" s="1">
        <v>1386543.84559273</v>
      </c>
      <c r="AP11" s="1">
        <v>4497458.0237136204</v>
      </c>
    </row>
    <row r="12" spans="1:42" s="62" customFormat="1">
      <c r="A12" s="57" t="s">
        <v>280</v>
      </c>
      <c r="B12" s="57" t="s">
        <v>193</v>
      </c>
      <c r="C12" s="57" t="s">
        <v>194</v>
      </c>
      <c r="D12" s="57">
        <v>0.16</v>
      </c>
      <c r="E12" s="57">
        <v>145.05278999999999</v>
      </c>
      <c r="F12" s="57">
        <v>1.2709999999999999</v>
      </c>
      <c r="G12" s="57">
        <f>AVERAGE(M12:X12)</f>
        <v>9136346.4000774994</v>
      </c>
      <c r="H12" s="57">
        <f>MAX(M12:X12)</f>
        <v>31341745.8253446</v>
      </c>
      <c r="I12" s="57">
        <f>G12/SUM(G$2:G$104)</f>
        <v>1.2416746319510795E-3</v>
      </c>
      <c r="J12" s="57" t="e">
        <f>G12/#REF!</f>
        <v>#REF!</v>
      </c>
      <c r="K12" s="57" t="e">
        <f>H12/#REF!</f>
        <v>#REF!</v>
      </c>
      <c r="L12" s="57">
        <v>75.5</v>
      </c>
      <c r="M12" s="57">
        <v>5214409.0301103396</v>
      </c>
      <c r="N12" s="57">
        <v>31341745.8253446</v>
      </c>
      <c r="O12" s="57">
        <v>11251389.198689099</v>
      </c>
      <c r="P12" s="57">
        <v>18611749.969888199</v>
      </c>
      <c r="Q12" s="57">
        <v>17864525.937316298</v>
      </c>
      <c r="R12" s="57">
        <v>11538275.8267208</v>
      </c>
      <c r="S12" s="57">
        <v>3555277.8356560799</v>
      </c>
      <c r="T12" s="57">
        <v>504862.22654811997</v>
      </c>
      <c r="U12" s="57">
        <v>816810.26495193003</v>
      </c>
      <c r="V12" s="57">
        <v>4263420.71738867</v>
      </c>
      <c r="W12" s="57">
        <v>2322442.9777218401</v>
      </c>
      <c r="X12" s="57">
        <v>2351246.9905940099</v>
      </c>
      <c r="Y12" s="58">
        <f>AVERAGE(M12:O12)</f>
        <v>15935848.018048013</v>
      </c>
      <c r="Z12" s="58">
        <f>AVERAGE(P12:R12)</f>
        <v>16004850.5779751</v>
      </c>
      <c r="AA12" s="59">
        <f>Z12/Y12</f>
        <v>1.0043300212106026</v>
      </c>
      <c r="AB12" s="60">
        <f>AVERAGE(S12:U12)</f>
        <v>1625650.1090520434</v>
      </c>
      <c r="AC12" s="60">
        <f>AVERAGE(V12:X12)</f>
        <v>2979036.89523484</v>
      </c>
      <c r="AD12" s="61">
        <f>AC12/AB12</f>
        <v>1.832520342875005</v>
      </c>
      <c r="AE12" s="62">
        <f>AVERAGE(M12,S12)</f>
        <v>4384843.4328832095</v>
      </c>
      <c r="AF12" s="62">
        <f>AVERAGE(N12,T12)</f>
        <v>15923304.02594636</v>
      </c>
      <c r="AG12" s="62">
        <f>AVERAGE(O12)</f>
        <v>11251389.198689099</v>
      </c>
      <c r="AH12" s="62">
        <f>AVERAGE(P12,V12)</f>
        <v>11437585.343638435</v>
      </c>
      <c r="AI12" s="62">
        <f>AVERAGE(Q12,W12)</f>
        <v>10093484.457519069</v>
      </c>
      <c r="AJ12" s="62">
        <f>AVERAGE(X12)</f>
        <v>2351246.9905940099</v>
      </c>
      <c r="AK12" s="1">
        <v>7034232.1896162499</v>
      </c>
      <c r="AL12" s="1">
        <v>7863712.7261619903</v>
      </c>
      <c r="AM12" s="1">
        <v>7719489.4248872297</v>
      </c>
      <c r="AN12" s="1">
        <v>9827794.6535331495</v>
      </c>
      <c r="AO12" s="1">
        <v>7281269.98307232</v>
      </c>
      <c r="AP12" s="1">
        <v>8671148.3423143197</v>
      </c>
    </row>
    <row r="13" spans="1:42" s="50" customFormat="1">
      <c r="A13" s="51" t="s">
        <v>318</v>
      </c>
      <c r="B13" s="51" t="s">
        <v>63</v>
      </c>
      <c r="C13" s="51" t="s">
        <v>64</v>
      </c>
      <c r="D13" s="51">
        <v>-0.33</v>
      </c>
      <c r="E13" s="51">
        <v>205.13133999999999</v>
      </c>
      <c r="F13" s="51">
        <v>1.593</v>
      </c>
      <c r="G13" s="51">
        <f>AVERAGE(M13:X13)</f>
        <v>1704706.2211376401</v>
      </c>
      <c r="H13" s="51">
        <f>MAX(M13:X13)</f>
        <v>6132005.9282475105</v>
      </c>
      <c r="I13" s="51">
        <f>G13/SUM(G$2:G$104)</f>
        <v>2.3167800092363394E-4</v>
      </c>
      <c r="J13" s="51" t="e">
        <f>G13/#REF!</f>
        <v>#REF!</v>
      </c>
      <c r="K13" s="51" t="e">
        <f>H13/#REF!</f>
        <v>#REF!</v>
      </c>
      <c r="L13" s="51">
        <v>86.6</v>
      </c>
      <c r="M13" s="51">
        <v>975676.52449358394</v>
      </c>
      <c r="N13" s="51">
        <v>53167.870003548996</v>
      </c>
      <c r="O13" s="51">
        <v>278463.21050123603</v>
      </c>
      <c r="P13" s="51">
        <v>471986.232908862</v>
      </c>
      <c r="Q13" s="51">
        <v>42312.375450566702</v>
      </c>
      <c r="R13" s="51">
        <v>2206351.1840558401</v>
      </c>
      <c r="S13" s="51">
        <v>653526.16895676102</v>
      </c>
      <c r="T13" s="51">
        <v>2069130.72917103</v>
      </c>
      <c r="U13" s="51">
        <v>3147589.6791060301</v>
      </c>
      <c r="V13" s="51">
        <v>1735922.41984567</v>
      </c>
      <c r="W13" s="51">
        <v>6132005.9282475105</v>
      </c>
      <c r="X13" s="51">
        <v>2690342.3309110398</v>
      </c>
      <c r="Y13" s="53">
        <f>AVERAGE(M13:O13)</f>
        <v>435769.201666123</v>
      </c>
      <c r="Z13" s="53">
        <f>AVERAGE(P13:R13)</f>
        <v>906883.26413842291</v>
      </c>
      <c r="AA13" s="54">
        <f>Z13/Y13</f>
        <v>2.0811091299500726</v>
      </c>
      <c r="AB13" s="55">
        <f>AVERAGE(S13:U13)</f>
        <v>1956748.8590779405</v>
      </c>
      <c r="AC13" s="55">
        <f>AVERAGE(V13:X13)</f>
        <v>3519423.5596680734</v>
      </c>
      <c r="AD13" s="56">
        <f>AC13/AB13</f>
        <v>1.7986076973242733</v>
      </c>
      <c r="AE13" s="50">
        <f>AVERAGE(M13,S13)</f>
        <v>814601.34672517248</v>
      </c>
      <c r="AF13" s="50">
        <f>AVERAGE(N13,T13)</f>
        <v>1061149.2995872896</v>
      </c>
      <c r="AG13" s="50">
        <f>AVERAGE(O13)</f>
        <v>278463.21050123603</v>
      </c>
      <c r="AH13" s="50">
        <f>AVERAGE(P13,V13)</f>
        <v>1103954.3263772661</v>
      </c>
      <c r="AI13" s="50">
        <f>AVERAGE(Q13,W13)</f>
        <v>3087159.1518490384</v>
      </c>
      <c r="AJ13" s="50">
        <f>AVERAGE(X13)</f>
        <v>2690342.3309110398</v>
      </c>
      <c r="AK13" s="1">
        <v>357282.76372453198</v>
      </c>
      <c r="AL13" s="1">
        <v>325267.48040580301</v>
      </c>
      <c r="AM13" s="1">
        <v>219716.30630996099</v>
      </c>
      <c r="AN13" s="1">
        <v>248784.70072094299</v>
      </c>
      <c r="AO13" s="1">
        <v>260478.58943576601</v>
      </c>
      <c r="AP13" s="1">
        <v>238276.22848600399</v>
      </c>
    </row>
    <row r="14" spans="1:42" s="50" customFormat="1">
      <c r="A14" s="51" t="s">
        <v>254</v>
      </c>
      <c r="B14" s="52" t="s">
        <v>142</v>
      </c>
      <c r="C14" s="51" t="s">
        <v>143</v>
      </c>
      <c r="D14" s="51">
        <v>0.76</v>
      </c>
      <c r="E14" s="51">
        <v>117.07907</v>
      </c>
      <c r="F14" s="51">
        <v>8.2609999999999992</v>
      </c>
      <c r="G14" s="51">
        <f>AVERAGE(M14:X14)</f>
        <v>102256269.76280086</v>
      </c>
      <c r="H14" s="51">
        <f>MAX(M14:X14)</f>
        <v>149012692.262826</v>
      </c>
      <c r="I14" s="51">
        <f>G14/SUM(G$2:G$104)</f>
        <v>1.3897132460010385E-2</v>
      </c>
      <c r="J14" s="51" t="e">
        <f>G14/#REF!</f>
        <v>#REF!</v>
      </c>
      <c r="K14" s="51" t="e">
        <f>H14/#REF!</f>
        <v>#REF!</v>
      </c>
      <c r="L14" s="51">
        <v>74.8</v>
      </c>
      <c r="M14" s="51">
        <v>83582403.827752203</v>
      </c>
      <c r="N14" s="51">
        <v>130869548.87076101</v>
      </c>
      <c r="O14" s="51">
        <v>104028901.564063</v>
      </c>
      <c r="P14" s="51">
        <v>134930830.590316</v>
      </c>
      <c r="Q14" s="51">
        <v>149012692.262826</v>
      </c>
      <c r="R14" s="51">
        <v>92930368.9715527</v>
      </c>
      <c r="S14" s="51">
        <v>73126654.008899495</v>
      </c>
      <c r="T14" s="51">
        <v>70067262.199112698</v>
      </c>
      <c r="U14" s="51">
        <v>54523873.733038701</v>
      </c>
      <c r="V14" s="51">
        <v>115170817.87123901</v>
      </c>
      <c r="W14" s="51">
        <v>82235192.748603702</v>
      </c>
      <c r="X14" s="51">
        <v>136596690.50544599</v>
      </c>
      <c r="Y14" s="53">
        <f>AVERAGE(M14:O14)</f>
        <v>106160284.75419207</v>
      </c>
      <c r="Z14" s="53">
        <f>AVERAGE(P14:R14)</f>
        <v>125624630.60823159</v>
      </c>
      <c r="AA14" s="54">
        <f>Z14/Y14</f>
        <v>1.1833486590499269</v>
      </c>
      <c r="AB14" s="55">
        <f>AVERAGE(S14:U14)</f>
        <v>65905929.980350293</v>
      </c>
      <c r="AC14" s="55">
        <f>AVERAGE(V14:X14)</f>
        <v>111334233.70842957</v>
      </c>
      <c r="AD14" s="56">
        <f>AC14/AB14</f>
        <v>1.6892900796881802</v>
      </c>
      <c r="AE14" s="50">
        <f>AVERAGE(M14,S14)</f>
        <v>78354528.918325841</v>
      </c>
      <c r="AF14" s="50">
        <f>AVERAGE(N14,T14)</f>
        <v>100468405.53493685</v>
      </c>
      <c r="AG14" s="50">
        <f>AVERAGE(O14)</f>
        <v>104028901.564063</v>
      </c>
      <c r="AH14" s="50">
        <f>AVERAGE(P14,V14)</f>
        <v>125050824.2307775</v>
      </c>
      <c r="AI14" s="50">
        <f>AVERAGE(Q14,W14)</f>
        <v>115623942.50571485</v>
      </c>
      <c r="AJ14" s="50">
        <f>AVERAGE(X14)</f>
        <v>136596690.50544599</v>
      </c>
      <c r="AK14" s="1">
        <v>131666882.17732599</v>
      </c>
      <c r="AL14" s="1">
        <v>139918593.528505</v>
      </c>
      <c r="AM14" s="1">
        <v>101966130.215386</v>
      </c>
      <c r="AN14" s="1">
        <v>105734855.426819</v>
      </c>
      <c r="AO14" s="1">
        <v>34128368.733025603</v>
      </c>
      <c r="AP14" s="1">
        <v>59389352.866768204</v>
      </c>
    </row>
    <row r="15" spans="1:42" s="68" customFormat="1">
      <c r="A15" s="63" t="s">
        <v>255</v>
      </c>
      <c r="B15" s="63" t="s">
        <v>114</v>
      </c>
      <c r="C15" s="63" t="s">
        <v>115</v>
      </c>
      <c r="D15" s="63">
        <v>-0.56999999999999995</v>
      </c>
      <c r="E15" s="63">
        <v>266.15503000000001</v>
      </c>
      <c r="F15" s="63">
        <v>0.92900000000000005</v>
      </c>
      <c r="G15" s="63">
        <f>AVERAGE(M15:X15)</f>
        <v>63898683.005378135</v>
      </c>
      <c r="H15" s="63">
        <f>MAX(M15:X15)</f>
        <v>148571507.947786</v>
      </c>
      <c r="I15" s="63">
        <f>G15/SUM(G$2:G$104)</f>
        <v>8.6841468381921878E-3</v>
      </c>
      <c r="J15" s="63" t="e">
        <f>G15/#REF!</f>
        <v>#REF!</v>
      </c>
      <c r="K15" s="63" t="e">
        <f>H15/#REF!</f>
        <v>#REF!</v>
      </c>
      <c r="L15" s="63">
        <v>88</v>
      </c>
      <c r="M15" s="63">
        <v>51291443.801515803</v>
      </c>
      <c r="N15" s="63">
        <v>119401283.125065</v>
      </c>
      <c r="O15" s="63">
        <v>27301325.0528032</v>
      </c>
      <c r="P15" s="63">
        <v>31612211.981091902</v>
      </c>
      <c r="Q15" s="63">
        <v>52445294.007516198</v>
      </c>
      <c r="R15" s="63">
        <v>52191927.877410501</v>
      </c>
      <c r="S15" s="63">
        <v>60799456.801003799</v>
      </c>
      <c r="T15" s="63">
        <v>55471589.970117398</v>
      </c>
      <c r="U15" s="63">
        <v>46278419.118840002</v>
      </c>
      <c r="V15" s="63">
        <v>51288031.532295801</v>
      </c>
      <c r="W15" s="63">
        <v>148571507.947786</v>
      </c>
      <c r="X15" s="63">
        <v>70131704.849092096</v>
      </c>
      <c r="Y15" s="64">
        <f>AVERAGE(M15:O15)</f>
        <v>65998017.326461323</v>
      </c>
      <c r="Z15" s="64">
        <f>AVERAGE(P15:R15)</f>
        <v>45416477.955339529</v>
      </c>
      <c r="AA15" s="65">
        <f>Z15/Y15</f>
        <v>0.68814912621822344</v>
      </c>
      <c r="AB15" s="66">
        <f>AVERAGE(S15:U15)</f>
        <v>54183155.29665374</v>
      </c>
      <c r="AC15" s="66">
        <f>AVERAGE(V15:X15)</f>
        <v>89997081.443057969</v>
      </c>
      <c r="AD15" s="67">
        <f>AC15/AB15</f>
        <v>1.6609789693922834</v>
      </c>
      <c r="AE15" s="68">
        <f>AVERAGE(M15,S15)</f>
        <v>56045450.301259801</v>
      </c>
      <c r="AF15" s="68">
        <f>AVERAGE(N15,T15)</f>
        <v>87436436.547591195</v>
      </c>
      <c r="AG15" s="68">
        <f>AVERAGE(O15)</f>
        <v>27301325.0528032</v>
      </c>
      <c r="AH15" s="68">
        <f>AVERAGE(P15,V15)</f>
        <v>41450121.756693855</v>
      </c>
      <c r="AI15" s="68">
        <f>AVERAGE(Q15,W15)</f>
        <v>100508400.9776511</v>
      </c>
      <c r="AJ15" s="68">
        <f>AVERAGE(X15)</f>
        <v>70131704.849092096</v>
      </c>
      <c r="AK15" s="1">
        <v>76915090.317421302</v>
      </c>
      <c r="AL15" s="1">
        <v>75480208.918474793</v>
      </c>
      <c r="AM15" s="1">
        <v>51243654.006872997</v>
      </c>
      <c r="AN15" s="1">
        <v>100638027.92345101</v>
      </c>
      <c r="AO15" s="1">
        <v>89641708.344837993</v>
      </c>
      <c r="AP15" s="1">
        <v>83188374.923989594</v>
      </c>
    </row>
    <row r="16" spans="1:42" s="74" customFormat="1">
      <c r="A16" s="69" t="s">
        <v>325</v>
      </c>
      <c r="B16" s="69" t="s">
        <v>183</v>
      </c>
      <c r="C16" s="69" t="s">
        <v>184</v>
      </c>
      <c r="D16" s="69">
        <v>0.39</v>
      </c>
      <c r="E16" s="69">
        <v>141.11542</v>
      </c>
      <c r="F16" s="69">
        <v>2.5659999999999998</v>
      </c>
      <c r="G16" s="69">
        <f>AVERAGE(M16:X16)</f>
        <v>713311.3106904045</v>
      </c>
      <c r="H16" s="69">
        <f>MAX(M16:X16)</f>
        <v>1797251.49167805</v>
      </c>
      <c r="I16" s="69">
        <f>G16/SUM(G$2:G$104)</f>
        <v>9.694253264746366E-5</v>
      </c>
      <c r="J16" s="69" t="e">
        <f>G16/#REF!</f>
        <v>#REF!</v>
      </c>
      <c r="K16" s="69" t="e">
        <f>H16/#REF!</f>
        <v>#REF!</v>
      </c>
      <c r="L16" s="69">
        <v>60.8</v>
      </c>
      <c r="M16" s="69">
        <v>291118.46472064301</v>
      </c>
      <c r="N16" s="69">
        <v>555867.59639058204</v>
      </c>
      <c r="O16" s="69">
        <v>512621.04942490999</v>
      </c>
      <c r="P16" s="69">
        <v>647471.45263276796</v>
      </c>
      <c r="Q16" s="69">
        <v>1421429.49384192</v>
      </c>
      <c r="R16" s="69">
        <v>1797251.49167805</v>
      </c>
      <c r="S16" s="69">
        <v>464275.60317795502</v>
      </c>
      <c r="T16" s="69">
        <v>272606.945430825</v>
      </c>
      <c r="U16" s="69">
        <v>563210.82053506596</v>
      </c>
      <c r="V16" s="69">
        <v>502943.16647228401</v>
      </c>
      <c r="W16" s="69">
        <v>401380.69334242202</v>
      </c>
      <c r="X16" s="69">
        <v>1129558.95063743</v>
      </c>
      <c r="Y16" s="70">
        <f>AVERAGE(M16:O16)</f>
        <v>453202.37017871166</v>
      </c>
      <c r="Z16" s="70">
        <f>AVERAGE(P16:R16)</f>
        <v>1288717.479384246</v>
      </c>
      <c r="AA16" s="71">
        <f>Z16/Y16</f>
        <v>2.8435806257501808</v>
      </c>
      <c r="AB16" s="72">
        <f>AVERAGE(S16:U16)</f>
        <v>433364.45638128201</v>
      </c>
      <c r="AC16" s="72">
        <f>AVERAGE(V16:X16)</f>
        <v>677960.93681737862</v>
      </c>
      <c r="AD16" s="73">
        <f>AC16/AB16</f>
        <v>1.564412878893086</v>
      </c>
      <c r="AE16" s="74">
        <f>AVERAGE(M16,S16)</f>
        <v>377697.03394929902</v>
      </c>
      <c r="AF16" s="74">
        <f>AVERAGE(N16,T16)</f>
        <v>414237.27091070352</v>
      </c>
      <c r="AG16" s="74">
        <f>AVERAGE(O16)</f>
        <v>512621.04942490999</v>
      </c>
      <c r="AH16" s="74">
        <f>AVERAGE(P16,V16)</f>
        <v>575207.30955252599</v>
      </c>
      <c r="AI16" s="74">
        <f>AVERAGE(Q16,W16)</f>
        <v>911405.09359217109</v>
      </c>
      <c r="AJ16" s="74">
        <f>AVERAGE(X16)</f>
        <v>1129558.95063743</v>
      </c>
      <c r="AK16" s="1">
        <v>847546.2765414</v>
      </c>
      <c r="AL16" s="1">
        <v>735790.23651192803</v>
      </c>
      <c r="AM16" s="1">
        <v>922814.30140915397</v>
      </c>
      <c r="AN16" s="1">
        <v>425129.051726998</v>
      </c>
      <c r="AO16" s="1">
        <v>1164927.3299358899</v>
      </c>
      <c r="AP16" s="1">
        <v>660482.10289338802</v>
      </c>
    </row>
    <row r="17" spans="1:42" s="49" customFormat="1">
      <c r="A17" s="63" t="s">
        <v>270</v>
      </c>
      <c r="B17" s="63" t="s">
        <v>118</v>
      </c>
      <c r="C17" s="63" t="s">
        <v>119</v>
      </c>
      <c r="D17" s="63">
        <v>0.28999999999999998</v>
      </c>
      <c r="E17" s="63">
        <v>339.35021</v>
      </c>
      <c r="F17" s="63">
        <v>0.93300000000000005</v>
      </c>
      <c r="G17" s="63">
        <f>AVERAGE(M17:X17)</f>
        <v>27915495.571229771</v>
      </c>
      <c r="H17" s="63">
        <f>MAX(M17:X17)</f>
        <v>46118588.616761602</v>
      </c>
      <c r="I17" s="63">
        <f>G17/SUM(G$2:G$104)</f>
        <v>3.7938538198206552E-3</v>
      </c>
      <c r="J17" s="63" t="e">
        <f>G17/#REF!</f>
        <v>#REF!</v>
      </c>
      <c r="K17" s="63" t="e">
        <f>H17/#REF!</f>
        <v>#REF!</v>
      </c>
      <c r="L17" s="63">
        <v>61.1</v>
      </c>
      <c r="M17" s="63">
        <v>35629785.965244301</v>
      </c>
      <c r="N17" s="63">
        <v>23109818.8904307</v>
      </c>
      <c r="O17" s="63">
        <v>24138659.151552301</v>
      </c>
      <c r="P17" s="63">
        <v>23282702.014502399</v>
      </c>
      <c r="Q17" s="63">
        <v>16839106.0201208</v>
      </c>
      <c r="R17" s="63">
        <v>46118588.616761602</v>
      </c>
      <c r="S17" s="63">
        <v>27698777.330611601</v>
      </c>
      <c r="T17" s="63">
        <v>23555553.234427199</v>
      </c>
      <c r="U17" s="63">
        <v>15646194.117578</v>
      </c>
      <c r="V17" s="63">
        <v>32715280.855003901</v>
      </c>
      <c r="W17" s="63">
        <v>34000771.025528401</v>
      </c>
      <c r="X17" s="63">
        <v>32250709.632996</v>
      </c>
      <c r="Y17" s="64">
        <f>AVERAGE(M17:O17)</f>
        <v>27626088.002409101</v>
      </c>
      <c r="Z17" s="64">
        <f>AVERAGE(P17:R17)</f>
        <v>28746798.883794934</v>
      </c>
      <c r="AA17" s="65">
        <f>Z17/Y17</f>
        <v>1.0405671219641415</v>
      </c>
      <c r="AB17" s="66">
        <f>AVERAGE(S17:U17)</f>
        <v>22300174.8942056</v>
      </c>
      <c r="AC17" s="66">
        <f>AVERAGE(V17:X17)</f>
        <v>32988920.504509434</v>
      </c>
      <c r="AD17" s="67">
        <f>AC17/AB17</f>
        <v>1.4793121875058102</v>
      </c>
      <c r="AE17" s="49">
        <f>AVERAGE(M17,S17)</f>
        <v>31664281.647927951</v>
      </c>
      <c r="AF17" s="49">
        <f>AVERAGE(N17,T17)</f>
        <v>23332686.062428951</v>
      </c>
      <c r="AG17" s="49">
        <f>AVERAGE(O17)</f>
        <v>24138659.151552301</v>
      </c>
      <c r="AH17" s="49">
        <f>AVERAGE(P17,V17)</f>
        <v>27998991.43475315</v>
      </c>
      <c r="AI17" s="49">
        <f>AVERAGE(Q17,W17)</f>
        <v>25419938.5228246</v>
      </c>
      <c r="AJ17" s="49">
        <f>AVERAGE(X17)</f>
        <v>32250709.632996</v>
      </c>
      <c r="AK17" s="1">
        <v>27756715.262814701</v>
      </c>
      <c r="AL17" s="1">
        <v>34995365.420851402</v>
      </c>
      <c r="AM17" s="1">
        <v>33006215.351778999</v>
      </c>
      <c r="AN17" s="1">
        <v>33286270.055330899</v>
      </c>
      <c r="AO17" s="1">
        <v>32549922.2759577</v>
      </c>
      <c r="AP17" s="1">
        <v>31706242.091442101</v>
      </c>
    </row>
    <row r="18" spans="1:42" s="50" customFormat="1">
      <c r="A18" s="51" t="s">
        <v>336</v>
      </c>
      <c r="B18" s="51" t="s">
        <v>187</v>
      </c>
      <c r="C18" s="51" t="s">
        <v>188</v>
      </c>
      <c r="D18" s="51">
        <v>-0.08</v>
      </c>
      <c r="E18" s="51">
        <v>213.05452</v>
      </c>
      <c r="F18" s="51">
        <v>0.85299999999999998</v>
      </c>
      <c r="G18" s="51">
        <f>AVERAGE(M18:X18)</f>
        <v>232166.9283801869</v>
      </c>
      <c r="H18" s="51">
        <f>MAX(M18:X18)</f>
        <v>2316356.8616386699</v>
      </c>
      <c r="I18" s="51">
        <f>G18/SUM(G$2:G$104)</f>
        <v>3.1552633046535526E-5</v>
      </c>
      <c r="J18" s="51" t="e">
        <f>G18/#REF!</f>
        <v>#REF!</v>
      </c>
      <c r="K18" s="51" t="e">
        <f>H18/#REF!</f>
        <v>#REF!</v>
      </c>
      <c r="L18" s="51">
        <v>73</v>
      </c>
      <c r="M18" s="51">
        <v>31880.3772036956</v>
      </c>
      <c r="N18" s="51">
        <v>39506.830378395403</v>
      </c>
      <c r="O18" s="51">
        <v>30481.472288430301</v>
      </c>
      <c r="P18" s="51">
        <v>38590.543920358199</v>
      </c>
      <c r="Q18" s="51">
        <v>33483.072407707303</v>
      </c>
      <c r="R18" s="51">
        <v>2316356.8616386699</v>
      </c>
      <c r="S18" s="51">
        <v>34493.901222016502</v>
      </c>
      <c r="T18" s="51">
        <v>34127.685458780397</v>
      </c>
      <c r="U18" s="51">
        <v>50981.784414128801</v>
      </c>
      <c r="V18" s="51">
        <v>36586.834322660703</v>
      </c>
      <c r="W18" s="51">
        <v>48036.7476033938</v>
      </c>
      <c r="X18" s="51">
        <v>91477.029704005894</v>
      </c>
      <c r="Y18" s="53">
        <f>AVERAGE(M18:O18)</f>
        <v>33956.226623507107</v>
      </c>
      <c r="Z18" s="53">
        <f>AVERAGE(P18:R18)</f>
        <v>796143.49265557842</v>
      </c>
      <c r="AA18" s="54">
        <f>Z18/Y18</f>
        <v>23.446170903584051</v>
      </c>
      <c r="AB18" s="55">
        <f>AVERAGE(S18:U18)</f>
        <v>39867.790364975233</v>
      </c>
      <c r="AC18" s="55">
        <f>AVERAGE(V18:X18)</f>
        <v>58700.203876686799</v>
      </c>
      <c r="AD18" s="56">
        <f>AC18/AB18</f>
        <v>1.4723716398452891</v>
      </c>
      <c r="AE18" s="50">
        <f>AVERAGE(M18,S18)</f>
        <v>33187.139212856055</v>
      </c>
      <c r="AF18" s="50">
        <f>AVERAGE(N18,T18)</f>
        <v>36817.2579185879</v>
      </c>
      <c r="AG18" s="50">
        <f>AVERAGE(O18)</f>
        <v>30481.472288430301</v>
      </c>
      <c r="AH18" s="50">
        <f>AVERAGE(P18,V18)</f>
        <v>37588.689121509451</v>
      </c>
      <c r="AI18" s="50">
        <f>AVERAGE(Q18,W18)</f>
        <v>40759.910005550555</v>
      </c>
      <c r="AJ18" s="50">
        <f>AVERAGE(X18)</f>
        <v>91477.029704005894</v>
      </c>
      <c r="AK18" s="1">
        <v>89046.378736833998</v>
      </c>
      <c r="AL18" s="1">
        <v>105406.825961404</v>
      </c>
      <c r="AM18" s="1">
        <v>88660.475627818305</v>
      </c>
      <c r="AN18" s="1">
        <v>263767.75626701501</v>
      </c>
      <c r="AO18" s="1">
        <v>133941.59417488801</v>
      </c>
      <c r="AP18" s="1">
        <v>157680.59939384501</v>
      </c>
    </row>
    <row r="19" spans="1:42" s="62" customFormat="1">
      <c r="A19" s="57" t="s">
        <v>281</v>
      </c>
      <c r="B19" s="57" t="s">
        <v>83</v>
      </c>
      <c r="C19" s="57" t="s">
        <v>84</v>
      </c>
      <c r="D19" s="57">
        <v>-0.4</v>
      </c>
      <c r="E19" s="57">
        <v>211.11086</v>
      </c>
      <c r="F19" s="57">
        <v>1.716</v>
      </c>
      <c r="G19" s="57">
        <f>AVERAGE(M19:X19)</f>
        <v>13759310.144101864</v>
      </c>
      <c r="H19" s="57">
        <f>MAX(M19:X19)</f>
        <v>30948621.939132899</v>
      </c>
      <c r="I19" s="57">
        <f>G19/SUM(G$2:G$104)</f>
        <v>1.8699582536552592E-3</v>
      </c>
      <c r="J19" s="57" t="e">
        <f>G19/#REF!</f>
        <v>#REF!</v>
      </c>
      <c r="K19" s="57" t="e">
        <f>H19/#REF!</f>
        <v>#REF!</v>
      </c>
      <c r="L19" s="57">
        <v>83.4</v>
      </c>
      <c r="M19" s="57">
        <v>19796127.657793399</v>
      </c>
      <c r="N19" s="57">
        <v>17183855.357043099</v>
      </c>
      <c r="O19" s="57">
        <v>15121646.921553999</v>
      </c>
      <c r="P19" s="57">
        <v>8572553.9103820808</v>
      </c>
      <c r="Q19" s="57">
        <v>17587229.201823901</v>
      </c>
      <c r="R19" s="57">
        <v>10940178.632261399</v>
      </c>
      <c r="S19" s="57">
        <v>7983107.7614274798</v>
      </c>
      <c r="T19" s="57">
        <v>11438587.423640599</v>
      </c>
      <c r="U19" s="57">
        <v>11771132.4153242</v>
      </c>
      <c r="V19" s="57">
        <v>3616051.21300143</v>
      </c>
      <c r="W19" s="57">
        <v>10152629.2958379</v>
      </c>
      <c r="X19" s="57">
        <v>30948621.939132899</v>
      </c>
      <c r="Y19" s="58">
        <f>AVERAGE(M19:O19)</f>
        <v>17367209.978796832</v>
      </c>
      <c r="Z19" s="58">
        <f>AVERAGE(P19:R19)</f>
        <v>12366653.914822459</v>
      </c>
      <c r="AA19" s="59">
        <f>Z19/Y19</f>
        <v>0.71206911933008121</v>
      </c>
      <c r="AB19" s="60">
        <f>AVERAGE(S19:U19)</f>
        <v>10397609.200130759</v>
      </c>
      <c r="AC19" s="60">
        <f>AVERAGE(V19:X19)</f>
        <v>14905767.48265741</v>
      </c>
      <c r="AD19" s="61">
        <f>AC19/AB19</f>
        <v>1.4335764304807646</v>
      </c>
      <c r="AE19" s="62">
        <f>AVERAGE(M19,S19)</f>
        <v>13889617.70961044</v>
      </c>
      <c r="AF19" s="62">
        <f>AVERAGE(N19,T19)</f>
        <v>14311221.390341848</v>
      </c>
      <c r="AG19" s="62">
        <f>AVERAGE(O19)</f>
        <v>15121646.921553999</v>
      </c>
      <c r="AH19" s="62">
        <f>AVERAGE(P19,V19)</f>
        <v>6094302.5616917554</v>
      </c>
      <c r="AI19" s="62">
        <f>AVERAGE(Q19,W19)</f>
        <v>13869929.2488309</v>
      </c>
      <c r="AJ19" s="62">
        <f>AVERAGE(X19)</f>
        <v>30948621.939132899</v>
      </c>
      <c r="AK19" s="1">
        <v>13859632.1116168</v>
      </c>
      <c r="AL19" s="1">
        <v>19481639.616632499</v>
      </c>
      <c r="AM19" s="1">
        <v>10709988.200942799</v>
      </c>
      <c r="AN19" s="1">
        <v>15639563.652088299</v>
      </c>
      <c r="AO19" s="1">
        <v>24258656.873440102</v>
      </c>
      <c r="AP19" s="1">
        <v>36651193.347721599</v>
      </c>
    </row>
    <row r="20" spans="1:42" s="62" customFormat="1">
      <c r="A20" s="57" t="s">
        <v>260</v>
      </c>
      <c r="B20" s="57" t="s">
        <v>33</v>
      </c>
      <c r="C20" s="57" t="s">
        <v>34</v>
      </c>
      <c r="D20" s="57">
        <v>-0.41</v>
      </c>
      <c r="E20" s="57">
        <v>326.07065999999998</v>
      </c>
      <c r="F20" s="57">
        <v>0.89300000000000002</v>
      </c>
      <c r="G20" s="57">
        <f>AVERAGE(M20:X20)</f>
        <v>50382033.23642195</v>
      </c>
      <c r="H20" s="57">
        <f>MAX(M20:X20)</f>
        <v>78894570.953776196</v>
      </c>
      <c r="I20" s="57">
        <f>G20/SUM(G$2:G$104)</f>
        <v>6.8471673288625114E-3</v>
      </c>
      <c r="J20" s="57" t="e">
        <f>G20/#REF!</f>
        <v>#REF!</v>
      </c>
      <c r="K20" s="57" t="e">
        <f>H20/#REF!</f>
        <v>#REF!</v>
      </c>
      <c r="L20" s="57">
        <v>91.8</v>
      </c>
      <c r="M20" s="57">
        <v>41238171.458454601</v>
      </c>
      <c r="N20" s="57">
        <v>77191141.802873299</v>
      </c>
      <c r="O20" s="57">
        <v>35843267.370254502</v>
      </c>
      <c r="P20" s="57">
        <v>35921602.008736603</v>
      </c>
      <c r="Q20" s="57">
        <v>38148688.036945403</v>
      </c>
      <c r="R20" s="57">
        <v>69319986.480708703</v>
      </c>
      <c r="S20" s="57">
        <v>46648031.042706899</v>
      </c>
      <c r="T20" s="57">
        <v>45090913.359678</v>
      </c>
      <c r="U20" s="57">
        <v>40680194.848269597</v>
      </c>
      <c r="V20" s="57">
        <v>42729258.7147374</v>
      </c>
      <c r="W20" s="57">
        <v>78894570.953776196</v>
      </c>
      <c r="X20" s="57">
        <v>52878572.759922102</v>
      </c>
      <c r="Y20" s="58">
        <f>AVERAGE(M20:O20)</f>
        <v>51424193.543860793</v>
      </c>
      <c r="Z20" s="58">
        <f>AVERAGE(P20:R20)</f>
        <v>47796758.842130244</v>
      </c>
      <c r="AA20" s="59">
        <f>Z20/Y20</f>
        <v>0.92946054275724066</v>
      </c>
      <c r="AB20" s="60">
        <f>AVERAGE(S20:U20)</f>
        <v>44139713.083551504</v>
      </c>
      <c r="AC20" s="60">
        <f>AVERAGE(V20:X20)</f>
        <v>58167467.47614523</v>
      </c>
      <c r="AD20" s="61">
        <f>AC20/AB20</f>
        <v>1.3178034792849869</v>
      </c>
      <c r="AE20" s="62">
        <f>AVERAGE(M20,S20)</f>
        <v>43943101.25058075</v>
      </c>
      <c r="AF20" s="62">
        <f>AVERAGE(N20,T20)</f>
        <v>61141027.581275649</v>
      </c>
      <c r="AG20" s="62">
        <f>AVERAGE(O20)</f>
        <v>35843267.370254502</v>
      </c>
      <c r="AH20" s="62">
        <f>AVERAGE(P20,V20)</f>
        <v>39325430.361736998</v>
      </c>
      <c r="AI20" s="62">
        <f>AVERAGE(Q20,W20)</f>
        <v>58521629.495360799</v>
      </c>
      <c r="AJ20" s="62">
        <f>AVERAGE(X20)</f>
        <v>52878572.759922102</v>
      </c>
      <c r="AK20" s="1">
        <v>21413602.524877101</v>
      </c>
      <c r="AL20" s="1">
        <v>81590297.972262606</v>
      </c>
      <c r="AM20" s="1">
        <v>52064429.975308299</v>
      </c>
      <c r="AN20" s="1">
        <v>42901587.507037602</v>
      </c>
      <c r="AO20" s="1">
        <v>55514999.502908297</v>
      </c>
      <c r="AP20" s="1">
        <v>39229178.132908396</v>
      </c>
    </row>
    <row r="21" spans="1:42" s="50" customFormat="1">
      <c r="A21" s="51" t="s">
        <v>278</v>
      </c>
      <c r="B21" s="51" t="s">
        <v>199</v>
      </c>
      <c r="C21" s="51" t="s">
        <v>200</v>
      </c>
      <c r="D21" s="51">
        <v>0.66</v>
      </c>
      <c r="E21" s="51">
        <v>109.06407</v>
      </c>
      <c r="F21" s="51">
        <v>3.2090000000000001</v>
      </c>
      <c r="G21" s="51">
        <f>AVERAGE(M21:X21)</f>
        <v>4222676.6278520506</v>
      </c>
      <c r="H21" s="51">
        <f>MAX(M21:X21)</f>
        <v>32390540.885599598</v>
      </c>
      <c r="I21" s="51">
        <f>G21/SUM(G$2:G$104)</f>
        <v>5.7388262420655857E-4</v>
      </c>
      <c r="J21" s="51" t="e">
        <f>G21/#REF!</f>
        <v>#REF!</v>
      </c>
      <c r="K21" s="51" t="e">
        <f>H21/#REF!</f>
        <v>#REF!</v>
      </c>
      <c r="L21" s="51">
        <v>80.2</v>
      </c>
      <c r="M21" s="51">
        <v>2085980.2897431899</v>
      </c>
      <c r="N21" s="51">
        <v>304136.66519505699</v>
      </c>
      <c r="O21" s="51">
        <v>2058406.84144846</v>
      </c>
      <c r="P21" s="51">
        <v>399703.81637215702</v>
      </c>
      <c r="Q21" s="51">
        <v>470228.71345555101</v>
      </c>
      <c r="R21" s="51">
        <v>32390540.885599598</v>
      </c>
      <c r="S21" s="51">
        <v>760866.10122865904</v>
      </c>
      <c r="T21" s="51">
        <v>607199.49033008097</v>
      </c>
      <c r="U21" s="51">
        <v>4259495.29154245</v>
      </c>
      <c r="V21" s="51">
        <v>1144635.6413001199</v>
      </c>
      <c r="W21" s="51">
        <v>1803068.7910825899</v>
      </c>
      <c r="X21" s="51">
        <v>4387857.0069266902</v>
      </c>
      <c r="Y21" s="53">
        <f>AVERAGE(M21:O21)</f>
        <v>1482841.2654622355</v>
      </c>
      <c r="Z21" s="53">
        <f>AVERAGE(P21:R21)</f>
        <v>11086824.471809102</v>
      </c>
      <c r="AA21" s="54">
        <f>Z21/Y21</f>
        <v>7.4767439577243522</v>
      </c>
      <c r="AB21" s="55">
        <f>AVERAGE(S21:U21)</f>
        <v>1875853.6277003966</v>
      </c>
      <c r="AC21" s="55">
        <f>AVERAGE(V21:X21)</f>
        <v>2445187.1464364664</v>
      </c>
      <c r="AD21" s="56">
        <f>AC21/AB21</f>
        <v>1.3035063665569759</v>
      </c>
      <c r="AE21" s="50">
        <f>AVERAGE(M21,S21)</f>
        <v>1423423.1954859244</v>
      </c>
      <c r="AF21" s="50">
        <f>AVERAGE(N21,T21)</f>
        <v>455668.07776256895</v>
      </c>
      <c r="AG21" s="50">
        <f>AVERAGE(O21)</f>
        <v>2058406.84144846</v>
      </c>
      <c r="AH21" s="50">
        <f>AVERAGE(P21,V21)</f>
        <v>772169.7288361385</v>
      </c>
      <c r="AI21" s="50">
        <f>AVERAGE(Q21,W21)</f>
        <v>1136648.7522690704</v>
      </c>
      <c r="AJ21" s="50">
        <f>AVERAGE(X21)</f>
        <v>4387857.0069266902</v>
      </c>
      <c r="AK21" s="1">
        <v>3554793.5899007702</v>
      </c>
      <c r="AL21" s="1">
        <v>2979504.8304788899</v>
      </c>
      <c r="AM21" s="1">
        <v>2270094.5792851201</v>
      </c>
      <c r="AN21" s="1">
        <v>4822052.1130445497</v>
      </c>
      <c r="AO21" s="1">
        <v>6806317.9570641397</v>
      </c>
      <c r="AP21" s="1">
        <v>5219277.2238215003</v>
      </c>
    </row>
    <row r="22" spans="1:42">
      <c r="A22" s="44" t="s">
        <v>315</v>
      </c>
      <c r="B22" s="44" t="s">
        <v>130</v>
      </c>
      <c r="C22" s="44" t="s">
        <v>131</v>
      </c>
      <c r="D22" s="44">
        <v>0.77</v>
      </c>
      <c r="E22" s="44">
        <v>171.16245000000001</v>
      </c>
      <c r="F22" s="44">
        <v>0.98099999999999998</v>
      </c>
      <c r="G22" s="44">
        <f>AVERAGE(M22:X22)</f>
        <v>1864779.1919560682</v>
      </c>
      <c r="H22" s="44">
        <f>MAX(M22:X22)</f>
        <v>6303900.7352456497</v>
      </c>
      <c r="I22" s="44">
        <f>G22/SUM(G$2:G$104)</f>
        <v>2.5343270881481039E-4</v>
      </c>
      <c r="J22" s="44" t="e">
        <f>G22/#REF!</f>
        <v>#REF!</v>
      </c>
      <c r="K22" s="44" t="e">
        <f>H22/#REF!</f>
        <v>#REF!</v>
      </c>
      <c r="L22" s="44">
        <v>56.9</v>
      </c>
      <c r="M22" s="44">
        <v>6303900.7352456497</v>
      </c>
      <c r="N22" s="44">
        <v>760437.94122617401</v>
      </c>
      <c r="O22" s="44">
        <v>1433136.61376845</v>
      </c>
      <c r="P22" s="44">
        <v>1732845.7796980001</v>
      </c>
      <c r="Q22" s="44">
        <v>1102187.0878105401</v>
      </c>
      <c r="R22" s="44">
        <v>1973590.43353297</v>
      </c>
      <c r="S22" s="44">
        <v>1047022.13159528</v>
      </c>
      <c r="T22" s="44">
        <v>2110214.5647060298</v>
      </c>
      <c r="U22" s="44">
        <v>800184.28000847599</v>
      </c>
      <c r="V22" s="44">
        <v>631451.769014708</v>
      </c>
      <c r="W22" s="44">
        <v>903803.43253880995</v>
      </c>
      <c r="X22" s="44">
        <v>3578575.5343277301</v>
      </c>
      <c r="Y22" s="15">
        <f>AVERAGE(M22:O22)</f>
        <v>2832491.7634134241</v>
      </c>
      <c r="Z22" s="15">
        <f>AVERAGE(P22:R22)</f>
        <v>1602874.4336805034</v>
      </c>
      <c r="AA22" s="16">
        <f>Z22/Y22</f>
        <v>0.56588847119854857</v>
      </c>
      <c r="AB22" s="17">
        <f>AVERAGE(S22:U22)</f>
        <v>1319140.3254365951</v>
      </c>
      <c r="AC22" s="17">
        <f>AVERAGE(V22:X22)</f>
        <v>1704610.2452937495</v>
      </c>
      <c r="AD22" s="18">
        <f>AC22/AB22</f>
        <v>1.2922129756965588</v>
      </c>
      <c r="AE22">
        <f>AVERAGE(M22,S22)</f>
        <v>3675461.4334204649</v>
      </c>
      <c r="AF22">
        <f>AVERAGE(N22,T22)</f>
        <v>1435326.252966102</v>
      </c>
      <c r="AG22">
        <f>AVERAGE(O22)</f>
        <v>1433136.61376845</v>
      </c>
      <c r="AH22">
        <f>AVERAGE(P22,V22)</f>
        <v>1182148.774356354</v>
      </c>
      <c r="AI22">
        <f>AVERAGE(Q22,W22)</f>
        <v>1002995.260174675</v>
      </c>
      <c r="AJ22">
        <f>AVERAGE(X22)</f>
        <v>3578575.5343277301</v>
      </c>
      <c r="AK22" s="1">
        <v>1374351.2639486799</v>
      </c>
      <c r="AL22" s="1">
        <v>1063173.9601646001</v>
      </c>
      <c r="AM22" s="1">
        <v>1447106.4134021101</v>
      </c>
      <c r="AN22" s="1">
        <v>1666208.18189884</v>
      </c>
      <c r="AO22" s="1">
        <v>1304608.0211602999</v>
      </c>
      <c r="AP22" s="1">
        <v>1379805.3919655499</v>
      </c>
    </row>
    <row r="23" spans="1:42">
      <c r="A23" s="1" t="s">
        <v>311</v>
      </c>
      <c r="B23" s="1" t="s">
        <v>201</v>
      </c>
      <c r="C23" s="1" t="s">
        <v>202</v>
      </c>
      <c r="D23" s="1">
        <v>-1.02</v>
      </c>
      <c r="E23" s="1">
        <v>104.02628</v>
      </c>
      <c r="F23" s="1">
        <v>1.2030000000000001</v>
      </c>
      <c r="G23" s="1">
        <f>AVERAGE(M23:X23)</f>
        <v>3282630.2580479584</v>
      </c>
      <c r="H23" s="1">
        <f>MAX(M23:X23)</f>
        <v>7717087.1810208</v>
      </c>
      <c r="I23" s="1">
        <f>G23/SUM(G$2:G$104)</f>
        <v>4.4612567639276473E-4</v>
      </c>
      <c r="J23" s="1" t="e">
        <f>G23/#REF!</f>
        <v>#REF!</v>
      </c>
      <c r="K23" s="1" t="e">
        <f>H23/#REF!</f>
        <v>#REF!</v>
      </c>
      <c r="L23" s="1">
        <v>53.5</v>
      </c>
      <c r="M23" s="1">
        <v>1351073.44505397</v>
      </c>
      <c r="N23" s="1">
        <v>6028908.3670572899</v>
      </c>
      <c r="O23" s="1">
        <v>2018371.2843716701</v>
      </c>
      <c r="P23" s="1">
        <v>5093541.3240706399</v>
      </c>
      <c r="Q23" s="1">
        <v>7717087.1810208</v>
      </c>
      <c r="R23" s="1">
        <v>4568248.6267827898</v>
      </c>
      <c r="S23" s="1">
        <v>1450473.1589418501</v>
      </c>
      <c r="T23" s="1">
        <v>2501833.7525431798</v>
      </c>
      <c r="U23" s="1">
        <v>1619320.9803176699</v>
      </c>
      <c r="V23" s="1">
        <v>1955216.6317439501</v>
      </c>
      <c r="W23" s="1">
        <v>758577.68264562404</v>
      </c>
      <c r="X23" s="1">
        <v>4328910.6620260598</v>
      </c>
      <c r="Y23" s="15">
        <f>AVERAGE(M23:O23)</f>
        <v>3132784.3654943104</v>
      </c>
      <c r="Z23" s="15">
        <f>AVERAGE(P23:R23)</f>
        <v>5792959.0439580763</v>
      </c>
      <c r="AA23" s="16">
        <f>Z23/Y23</f>
        <v>1.8491406902319709</v>
      </c>
      <c r="AB23" s="17">
        <f>AVERAGE(S23:U23)</f>
        <v>1857209.2972675667</v>
      </c>
      <c r="AC23" s="17">
        <f>AVERAGE(V23:X23)</f>
        <v>2347568.3254718781</v>
      </c>
      <c r="AD23" s="18">
        <f>AC23/AB23</f>
        <v>1.2640300309317618</v>
      </c>
      <c r="AE23">
        <f>AVERAGE(M23,S23)</f>
        <v>1400773.30199791</v>
      </c>
      <c r="AF23">
        <f>AVERAGE(N23,T23)</f>
        <v>4265371.0598002346</v>
      </c>
      <c r="AG23">
        <f>AVERAGE(O23)</f>
        <v>2018371.2843716701</v>
      </c>
      <c r="AH23">
        <f>AVERAGE(P23,V23)</f>
        <v>3524378.9779072949</v>
      </c>
      <c r="AI23">
        <f>AVERAGE(Q23,W23)</f>
        <v>4237832.4318332123</v>
      </c>
      <c r="AJ23">
        <f>AVERAGE(X23)</f>
        <v>4328910.6620260598</v>
      </c>
      <c r="AK23" s="1">
        <v>5203040.6487728897</v>
      </c>
      <c r="AL23" s="1">
        <v>1708984.7164384599</v>
      </c>
      <c r="AM23" s="1">
        <v>2775827.3476378499</v>
      </c>
      <c r="AN23" s="1">
        <v>3727099.1069458402</v>
      </c>
      <c r="AO23" s="1">
        <v>5822666.4838858899</v>
      </c>
      <c r="AP23" s="1">
        <v>2236123.3666460598</v>
      </c>
    </row>
    <row r="24" spans="1:42">
      <c r="A24" s="9" t="s">
        <v>252</v>
      </c>
      <c r="B24" s="10" t="s">
        <v>116</v>
      </c>
      <c r="C24" s="9" t="s">
        <v>117</v>
      </c>
      <c r="D24" s="9">
        <v>-0.51</v>
      </c>
      <c r="E24" s="9">
        <v>334.28701000000001</v>
      </c>
      <c r="F24" s="9">
        <v>0.95599999999999996</v>
      </c>
      <c r="G24" s="9">
        <f>AVERAGE(M24:X24)</f>
        <v>125335677.82292712</v>
      </c>
      <c r="H24" s="9">
        <f>MAX(M24:X24)</f>
        <v>195300689.55720401</v>
      </c>
      <c r="I24" s="9">
        <f>G24/SUM(G$2:G$104)</f>
        <v>1.7033738084821521E-2</v>
      </c>
      <c r="J24" s="9" t="e">
        <f>G24/#REF!</f>
        <v>#REF!</v>
      </c>
      <c r="K24" s="9" t="e">
        <f>H24/#REF!</f>
        <v>#REF!</v>
      </c>
      <c r="L24" s="9">
        <v>72.3</v>
      </c>
      <c r="M24" s="9">
        <v>89013512.696392506</v>
      </c>
      <c r="N24" s="9">
        <v>113878307.81315599</v>
      </c>
      <c r="O24" s="9">
        <v>73068861.047331706</v>
      </c>
      <c r="P24" s="9">
        <v>118751338.926856</v>
      </c>
      <c r="Q24" s="9">
        <v>69915117.455584705</v>
      </c>
      <c r="R24" s="9">
        <v>194676203.31934699</v>
      </c>
      <c r="S24" s="9">
        <v>119745243.908245</v>
      </c>
      <c r="T24" s="9">
        <v>195300689.55720401</v>
      </c>
      <c r="U24" s="9">
        <v>60537212.756062701</v>
      </c>
      <c r="V24" s="9">
        <v>147027989.736871</v>
      </c>
      <c r="W24" s="9">
        <v>161162117.04520899</v>
      </c>
      <c r="X24" s="9">
        <v>160951539.61286601</v>
      </c>
      <c r="Y24" s="19">
        <f>AVERAGE(M24:O24)</f>
        <v>91986893.852293387</v>
      </c>
      <c r="Z24" s="19">
        <f>AVERAGE(P24:R24)</f>
        <v>127780886.56726258</v>
      </c>
      <c r="AA24" s="20">
        <f>Z24/Y24</f>
        <v>1.3891205715940889</v>
      </c>
      <c r="AB24" s="21">
        <f>AVERAGE(S24:U24)</f>
        <v>125194382.07383722</v>
      </c>
      <c r="AC24" s="21">
        <f>AVERAGE(V24:X24)</f>
        <v>156380548.79831532</v>
      </c>
      <c r="AD24" s="22">
        <f>AC24/AB24</f>
        <v>1.2491019661416205</v>
      </c>
      <c r="AE24">
        <f>AVERAGE(M24,S24)</f>
        <v>104379378.30231875</v>
      </c>
      <c r="AF24">
        <f>AVERAGE(N24,T24)</f>
        <v>154589498.68518001</v>
      </c>
      <c r="AG24">
        <f>AVERAGE(O24)</f>
        <v>73068861.047331706</v>
      </c>
      <c r="AH24">
        <f>AVERAGE(P24,V24)</f>
        <v>132889664.33186349</v>
      </c>
      <c r="AI24">
        <f>AVERAGE(Q24,W24)</f>
        <v>115538617.25039685</v>
      </c>
      <c r="AJ24">
        <f>AVERAGE(X24)</f>
        <v>160951539.61286601</v>
      </c>
      <c r="AK24" s="1">
        <v>119798555.696271</v>
      </c>
      <c r="AL24" s="1">
        <v>154373677.89735201</v>
      </c>
      <c r="AM24" s="1">
        <v>149558108.53367299</v>
      </c>
      <c r="AN24" s="1">
        <v>163959095.42968601</v>
      </c>
      <c r="AO24" s="1">
        <v>179465586.634507</v>
      </c>
      <c r="AP24" s="1">
        <v>170035318.62585601</v>
      </c>
    </row>
    <row r="25" spans="1:42">
      <c r="A25" s="1" t="s">
        <v>289</v>
      </c>
      <c r="B25" s="1" t="s">
        <v>65</v>
      </c>
      <c r="C25" s="1" t="s">
        <v>66</v>
      </c>
      <c r="D25" s="1">
        <v>0.28999999999999998</v>
      </c>
      <c r="E25" s="1">
        <v>111.06845</v>
      </c>
      <c r="F25" s="1">
        <v>4.6369999999999996</v>
      </c>
      <c r="G25" s="1">
        <f>AVERAGE(M25:X25)</f>
        <v>389877.38956204924</v>
      </c>
      <c r="H25" s="1">
        <f>MAX(M25:X25)</f>
        <v>2081424.9574609899</v>
      </c>
      <c r="I25" s="1">
        <f>G25/SUM(G$2:G$104)</f>
        <v>5.2986264201453518E-5</v>
      </c>
      <c r="J25" s="1" t="e">
        <f>G25/#REF!</f>
        <v>#REF!</v>
      </c>
      <c r="K25" s="1" t="e">
        <f>H25/#REF!</f>
        <v>#REF!</v>
      </c>
      <c r="L25" s="1">
        <v>70.2</v>
      </c>
      <c r="M25" s="1">
        <v>2081424.9574609899</v>
      </c>
      <c r="N25" s="1">
        <v>290897.41034997202</v>
      </c>
      <c r="O25" s="1">
        <v>220785.48696589601</v>
      </c>
      <c r="P25" s="1">
        <v>155663.463378179</v>
      </c>
      <c r="Q25" s="1">
        <v>124493.05963980001</v>
      </c>
      <c r="R25" s="1">
        <v>1141814.46800228</v>
      </c>
      <c r="S25" s="1">
        <v>155171.504540302</v>
      </c>
      <c r="T25" s="1">
        <v>63549.821817230099</v>
      </c>
      <c r="U25" s="1">
        <v>78913.742807360497</v>
      </c>
      <c r="V25" s="1">
        <v>81207.876396963096</v>
      </c>
      <c r="W25" s="1">
        <v>179464.08645266001</v>
      </c>
      <c r="X25" s="1">
        <v>105142.79693295799</v>
      </c>
      <c r="Y25" s="15">
        <f>AVERAGE(M25:O25)</f>
        <v>864369.28492561926</v>
      </c>
      <c r="Z25" s="15">
        <f>AVERAGE(P25:R25)</f>
        <v>473990.33034008631</v>
      </c>
      <c r="AA25" s="16">
        <f>Z25/Y25</f>
        <v>0.54836554075481081</v>
      </c>
      <c r="AB25" s="17">
        <f>AVERAGE(S25:U25)</f>
        <v>99211.689721630872</v>
      </c>
      <c r="AC25" s="17">
        <f>AVERAGE(V25:X25)</f>
        <v>121938.25326086038</v>
      </c>
      <c r="AD25" s="18">
        <f>AC25/AB25</f>
        <v>1.2290714290120037</v>
      </c>
      <c r="AE25">
        <f>AVERAGE(M25,S25)</f>
        <v>1118298.231000646</v>
      </c>
      <c r="AF25">
        <f>AVERAGE(N25,T25)</f>
        <v>177223.61608360105</v>
      </c>
      <c r="AG25">
        <f>AVERAGE(O25)</f>
        <v>220785.48696589601</v>
      </c>
      <c r="AH25">
        <f>AVERAGE(P25,V25)</f>
        <v>118435.66988757104</v>
      </c>
      <c r="AI25">
        <f>AVERAGE(Q25,W25)</f>
        <v>151978.57304623001</v>
      </c>
      <c r="AJ25">
        <f>AVERAGE(X25)</f>
        <v>105142.79693295799</v>
      </c>
      <c r="AK25" s="1">
        <v>1395086.7651175901</v>
      </c>
      <c r="AL25" s="1">
        <v>1341205.3141999601</v>
      </c>
      <c r="AM25" s="1">
        <v>1494054.5473494299</v>
      </c>
      <c r="AN25" s="1">
        <v>2121987.8748653401</v>
      </c>
      <c r="AO25" s="1">
        <v>3040836.7130031399</v>
      </c>
      <c r="AP25" s="1">
        <v>2852494.9675215902</v>
      </c>
    </row>
    <row r="26" spans="1:42">
      <c r="A26" s="9" t="s">
        <v>284</v>
      </c>
      <c r="B26" s="9" t="s">
        <v>146</v>
      </c>
      <c r="C26" s="9" t="s">
        <v>147</v>
      </c>
      <c r="D26" s="9">
        <v>0.37</v>
      </c>
      <c r="E26" s="9">
        <v>332.27165000000002</v>
      </c>
      <c r="F26" s="9">
        <v>0.98099999999999998</v>
      </c>
      <c r="G26" s="9">
        <f>AVERAGE(M26:X26)</f>
        <v>16889611.690727878</v>
      </c>
      <c r="H26" s="9">
        <f>MAX(M26:X26)</f>
        <v>28911667.5919315</v>
      </c>
      <c r="I26" s="9">
        <f>G26/SUM(G$2:G$104)</f>
        <v>2.2953817052846523E-3</v>
      </c>
      <c r="J26" s="9" t="e">
        <f>G26/#REF!</f>
        <v>#REF!</v>
      </c>
      <c r="K26" s="9" t="e">
        <f>H26/#REF!</f>
        <v>#REF!</v>
      </c>
      <c r="L26" s="9">
        <v>77.900000000000006</v>
      </c>
      <c r="M26" s="9">
        <v>15908805.989374001</v>
      </c>
      <c r="N26" s="9">
        <v>16282605.333792901</v>
      </c>
      <c r="O26" s="9">
        <v>12759615.368504301</v>
      </c>
      <c r="P26" s="9">
        <v>13483627.0197396</v>
      </c>
      <c r="Q26" s="9">
        <v>8526882.7799712997</v>
      </c>
      <c r="R26" s="9">
        <v>26545158.724823799</v>
      </c>
      <c r="S26" s="9">
        <v>14403745.3138783</v>
      </c>
      <c r="T26" s="9">
        <v>28911667.5919315</v>
      </c>
      <c r="U26" s="9">
        <v>6287487.0714170402</v>
      </c>
      <c r="V26" s="9">
        <v>23810642.8361286</v>
      </c>
      <c r="W26" s="9">
        <v>16589743.5790742</v>
      </c>
      <c r="X26" s="9">
        <v>19165358.680098999</v>
      </c>
      <c r="Y26" s="19">
        <f>AVERAGE(M26:O26)</f>
        <v>14983675.563890399</v>
      </c>
      <c r="Z26" s="19">
        <f>AVERAGE(P26:R26)</f>
        <v>16185222.841511568</v>
      </c>
      <c r="AA26" s="20">
        <f>Z26/Y26</f>
        <v>1.0801904227369159</v>
      </c>
      <c r="AB26" s="21">
        <f>AVERAGE(S26:U26)</f>
        <v>16534299.992408946</v>
      </c>
      <c r="AC26" s="21">
        <f>AVERAGE(V26:X26)</f>
        <v>19855248.365100596</v>
      </c>
      <c r="AD26" s="22">
        <f>AC26/AB26</f>
        <v>1.2008520695896607</v>
      </c>
      <c r="AE26">
        <f>AVERAGE(M26,S26)</f>
        <v>15156275.651626151</v>
      </c>
      <c r="AF26">
        <f>AVERAGE(N26,T26)</f>
        <v>22597136.462862201</v>
      </c>
      <c r="AG26">
        <f>AVERAGE(O26)</f>
        <v>12759615.368504301</v>
      </c>
      <c r="AH26">
        <f>AVERAGE(P26,V26)</f>
        <v>18647134.927934099</v>
      </c>
      <c r="AI26">
        <f>AVERAGE(Q26,W26)</f>
        <v>12558313.179522749</v>
      </c>
      <c r="AJ26">
        <f>AVERAGE(X26)</f>
        <v>19165358.680098999</v>
      </c>
      <c r="AK26" s="1">
        <v>17071090.607005998</v>
      </c>
      <c r="AL26" s="1">
        <v>21496772.515034501</v>
      </c>
      <c r="AM26" s="1">
        <v>14726645.4445001</v>
      </c>
      <c r="AN26" s="1">
        <v>20496594.642966598</v>
      </c>
      <c r="AO26" s="1">
        <v>20001364.0313875</v>
      </c>
      <c r="AP26" s="1">
        <v>18094205.055075198</v>
      </c>
    </row>
    <row r="27" spans="1:42">
      <c r="A27" s="1" t="s">
        <v>340</v>
      </c>
      <c r="B27" s="1" t="s">
        <v>144</v>
      </c>
      <c r="C27" s="1" t="s">
        <v>145</v>
      </c>
      <c r="D27" s="1">
        <v>-0.12</v>
      </c>
      <c r="E27" s="1">
        <v>308.23205999999999</v>
      </c>
      <c r="F27" s="1">
        <v>1.0680000000000001</v>
      </c>
      <c r="G27" s="1">
        <f>AVERAGE(M27:X27)</f>
        <v>227623.36953330223</v>
      </c>
      <c r="H27" s="1">
        <f>MAX(M27:X27)</f>
        <v>403408.61374371097</v>
      </c>
      <c r="I27" s="1">
        <f>G27/SUM(G$2:G$104)</f>
        <v>3.0935140942809494E-5</v>
      </c>
      <c r="J27" s="1" t="e">
        <f>G27/#REF!</f>
        <v>#REF!</v>
      </c>
      <c r="K27" s="1" t="e">
        <f>H27/#REF!</f>
        <v>#REF!</v>
      </c>
      <c r="L27" s="1">
        <v>53.3</v>
      </c>
      <c r="M27" s="1">
        <v>86812.733751769701</v>
      </c>
      <c r="N27" s="1">
        <v>278532.20284379099</v>
      </c>
      <c r="O27" s="1">
        <v>110594.773564249</v>
      </c>
      <c r="P27" s="1">
        <v>146746.095110036</v>
      </c>
      <c r="Q27" s="1">
        <v>120661.68109656499</v>
      </c>
      <c r="R27" s="1">
        <v>188561.07442880201</v>
      </c>
      <c r="S27" s="1">
        <v>229984.458812364</v>
      </c>
      <c r="T27" s="1">
        <v>195298.916514749</v>
      </c>
      <c r="U27" s="1">
        <v>403408.61374371097</v>
      </c>
      <c r="V27" s="1">
        <v>310524.87282267702</v>
      </c>
      <c r="W27" s="1">
        <v>323071.63639051799</v>
      </c>
      <c r="X27" s="1">
        <v>337283.37532039499</v>
      </c>
      <c r="Y27" s="15">
        <f>AVERAGE(M27:O27)</f>
        <v>158646.57005326988</v>
      </c>
      <c r="Z27" s="15">
        <f>AVERAGE(P27:R27)</f>
        <v>151989.61687846767</v>
      </c>
      <c r="AA27" s="16">
        <f>Z27/Y27</f>
        <v>0.95803909802419962</v>
      </c>
      <c r="AB27" s="17">
        <f>AVERAGE(S27:U27)</f>
        <v>276230.66302360798</v>
      </c>
      <c r="AC27" s="17">
        <f>AVERAGE(V27:X27)</f>
        <v>323626.62817786331</v>
      </c>
      <c r="AD27" s="18">
        <f>AC27/AB27</f>
        <v>1.1715811149836202</v>
      </c>
      <c r="AE27">
        <f>AVERAGE(M27,S27)</f>
        <v>158398.59628206684</v>
      </c>
      <c r="AF27">
        <f>AVERAGE(N27,T27)</f>
        <v>236915.55967926999</v>
      </c>
      <c r="AG27">
        <f>AVERAGE(O27)</f>
        <v>110594.773564249</v>
      </c>
      <c r="AH27">
        <f>AVERAGE(P27,V27)</f>
        <v>228635.48396635649</v>
      </c>
      <c r="AI27">
        <f>AVERAGE(Q27,W27)</f>
        <v>221866.65874354148</v>
      </c>
      <c r="AJ27">
        <f>AVERAGE(X27)</f>
        <v>337283.37532039499</v>
      </c>
      <c r="AK27" s="1">
        <v>86716.829684845696</v>
      </c>
      <c r="AL27" s="1">
        <v>98289.113888427499</v>
      </c>
      <c r="AM27" s="1">
        <v>347336.78266131302</v>
      </c>
      <c r="AN27" s="1">
        <v>245053.38106171601</v>
      </c>
      <c r="AO27" s="1">
        <v>203427.86722953699</v>
      </c>
      <c r="AP27" s="1">
        <v>214853.08724164101</v>
      </c>
    </row>
    <row r="28" spans="1:42">
      <c r="A28" s="1" t="s">
        <v>307</v>
      </c>
      <c r="B28" s="1" t="s">
        <v>225</v>
      </c>
      <c r="C28" s="1" t="s">
        <v>226</v>
      </c>
      <c r="D28" s="1">
        <v>-2.35</v>
      </c>
      <c r="E28" s="1">
        <v>122.10926000000001</v>
      </c>
      <c r="F28" s="1">
        <v>0.96099999999999997</v>
      </c>
      <c r="G28" s="1">
        <f>AVERAGE(M28:X28)</f>
        <v>7037504.1909519257</v>
      </c>
      <c r="H28" s="1">
        <f>MAX(M28:X28)</f>
        <v>9535315.3847707808</v>
      </c>
      <c r="I28" s="1">
        <f>G28/SUM(G$2:G$104)</f>
        <v>9.5643160225189017E-4</v>
      </c>
      <c r="J28" s="1" t="e">
        <f>G28/#REF!</f>
        <v>#REF!</v>
      </c>
      <c r="K28" s="1" t="e">
        <f>H28/#REF!</f>
        <v>#REF!</v>
      </c>
      <c r="L28" s="1">
        <v>58.4</v>
      </c>
      <c r="M28" s="1">
        <v>8526723.4495845195</v>
      </c>
      <c r="N28" s="1">
        <v>5329727.6580435298</v>
      </c>
      <c r="O28" s="1">
        <v>8060340.7636196101</v>
      </c>
      <c r="P28" s="1">
        <v>6741206.8431226201</v>
      </c>
      <c r="Q28" s="1">
        <v>4416544.7454084298</v>
      </c>
      <c r="R28" s="1">
        <v>7108004.68180985</v>
      </c>
      <c r="S28" s="1">
        <v>6007270.4581570895</v>
      </c>
      <c r="T28" s="1">
        <v>9535315.3847707808</v>
      </c>
      <c r="U28" s="1">
        <v>5154117.1818432901</v>
      </c>
      <c r="V28" s="1">
        <v>7701921.6378228897</v>
      </c>
      <c r="W28" s="1">
        <v>8547106.1717804801</v>
      </c>
      <c r="X28" s="1">
        <v>7321771.3154600104</v>
      </c>
      <c r="Y28" s="15">
        <f>AVERAGE(M28:O28)</f>
        <v>7305597.2904158868</v>
      </c>
      <c r="Z28" s="15">
        <f>AVERAGE(P28:R28)</f>
        <v>6088585.4234469673</v>
      </c>
      <c r="AA28" s="16">
        <f>Z28/Y28</f>
        <v>0.83341377595976984</v>
      </c>
      <c r="AB28" s="17">
        <f>AVERAGE(S28:U28)</f>
        <v>6898901.0082570538</v>
      </c>
      <c r="AC28" s="17">
        <f>AVERAGE(V28:X28)</f>
        <v>7856933.041687794</v>
      </c>
      <c r="AD28" s="18">
        <f>AC28/AB28</f>
        <v>1.1388673402160874</v>
      </c>
      <c r="AE28">
        <f>AVERAGE(M28,S28)</f>
        <v>7266996.953870805</v>
      </c>
      <c r="AF28">
        <f>AVERAGE(N28,T28)</f>
        <v>7432521.5214071553</v>
      </c>
      <c r="AG28">
        <f>AVERAGE(O28)</f>
        <v>8060340.7636196101</v>
      </c>
      <c r="AH28">
        <f>AVERAGE(P28,V28)</f>
        <v>7221564.2404727545</v>
      </c>
      <c r="AI28">
        <f>AVERAGE(Q28,W28)</f>
        <v>6481825.4585944545</v>
      </c>
      <c r="AJ28">
        <f>AVERAGE(X28)</f>
        <v>7321771.3154600104</v>
      </c>
      <c r="AK28" s="1">
        <v>6483276.8124324903</v>
      </c>
      <c r="AL28" s="1">
        <v>8273213.3597473102</v>
      </c>
      <c r="AM28" s="1">
        <v>6133989.9481121004</v>
      </c>
      <c r="AN28" s="1">
        <v>7964075.0182202104</v>
      </c>
      <c r="AO28" s="1">
        <v>8131723.0919045098</v>
      </c>
      <c r="AP28" s="1">
        <v>7624365.2207521703</v>
      </c>
    </row>
    <row r="29" spans="1:42">
      <c r="A29" s="1" t="s">
        <v>251</v>
      </c>
      <c r="B29" s="1" t="s">
        <v>211</v>
      </c>
      <c r="C29" s="1" t="s">
        <v>212</v>
      </c>
      <c r="D29" s="1">
        <v>-0.21</v>
      </c>
      <c r="E29" s="1">
        <v>213.2456</v>
      </c>
      <c r="F29" s="1">
        <v>1.4359999999999999</v>
      </c>
      <c r="G29" s="1">
        <f>AVERAGE(M29:X29)</f>
        <v>104207261.0650966</v>
      </c>
      <c r="H29" s="1">
        <f>MAX(M29:X29)</f>
        <v>208059124.86272901</v>
      </c>
      <c r="I29" s="1">
        <f>G29/SUM(G$2:G$104)</f>
        <v>1.4162281820721717E-2</v>
      </c>
      <c r="J29" s="1" t="e">
        <f>G29/#REF!</f>
        <v>#REF!</v>
      </c>
      <c r="K29" s="1" t="e">
        <f>H29/#REF!</f>
        <v>#REF!</v>
      </c>
      <c r="L29" s="1">
        <v>57.7</v>
      </c>
      <c r="M29" s="1">
        <v>208059124.86272901</v>
      </c>
      <c r="N29" s="1">
        <v>106344655.63398901</v>
      </c>
      <c r="O29" s="1">
        <v>76774344.684936404</v>
      </c>
      <c r="P29" s="1">
        <v>94202711.760982797</v>
      </c>
      <c r="Q29" s="1">
        <v>83779451.975194305</v>
      </c>
      <c r="R29" s="1">
        <v>69138366.877757907</v>
      </c>
      <c r="S29" s="1">
        <v>94971160.639188796</v>
      </c>
      <c r="T29" s="1">
        <v>123643264.60301401</v>
      </c>
      <c r="U29" s="1">
        <v>68593565.925326899</v>
      </c>
      <c r="V29" s="1">
        <v>82505674.286496505</v>
      </c>
      <c r="W29" s="1">
        <v>65981247.408354603</v>
      </c>
      <c r="X29" s="1">
        <v>176493564.123189</v>
      </c>
      <c r="Y29" s="15">
        <f>AVERAGE(M29:O29)</f>
        <v>130392708.39388482</v>
      </c>
      <c r="Z29" s="15">
        <f>AVERAGE(P29:R29)</f>
        <v>82373510.204644993</v>
      </c>
      <c r="AA29" s="16">
        <f>Z29/Y29</f>
        <v>0.63173402270174916</v>
      </c>
      <c r="AB29" s="17">
        <f>AVERAGE(S29:U29)</f>
        <v>95735997.055843234</v>
      </c>
      <c r="AC29" s="17">
        <f>AVERAGE(V29:X29)</f>
        <v>108326828.60601337</v>
      </c>
      <c r="AD29" s="18">
        <f>AC29/AB29</f>
        <v>1.1315161688118822</v>
      </c>
      <c r="AE29">
        <f>AVERAGE(M29,S29)</f>
        <v>151515142.75095892</v>
      </c>
      <c r="AF29">
        <f>AVERAGE(N29,T29)</f>
        <v>114993960.11850151</v>
      </c>
      <c r="AG29">
        <f>AVERAGE(O29)</f>
        <v>76774344.684936404</v>
      </c>
      <c r="AH29">
        <f>AVERAGE(P29,V29)</f>
        <v>88354193.023739651</v>
      </c>
      <c r="AI29">
        <f>AVERAGE(Q29,W29)</f>
        <v>74880349.691774458</v>
      </c>
      <c r="AJ29">
        <f>AVERAGE(X29)</f>
        <v>176493564.123189</v>
      </c>
      <c r="AK29" s="1">
        <v>77501086.687700704</v>
      </c>
      <c r="AL29" s="1">
        <v>92966294.623041198</v>
      </c>
      <c r="AM29" s="1">
        <v>116762088.428958</v>
      </c>
      <c r="AN29" s="1">
        <v>121771167.078936</v>
      </c>
      <c r="AO29" s="1">
        <v>143200497.70719999</v>
      </c>
      <c r="AP29" s="1">
        <v>165169496.99917901</v>
      </c>
    </row>
    <row r="30" spans="1:42">
      <c r="A30" s="1" t="s">
        <v>286</v>
      </c>
      <c r="B30" s="1" t="s">
        <v>185</v>
      </c>
      <c r="C30" s="1" t="s">
        <v>186</v>
      </c>
      <c r="D30" s="1">
        <v>-1.02</v>
      </c>
      <c r="E30" s="1">
        <v>320.16059000000001</v>
      </c>
      <c r="F30" s="1">
        <v>0.96399999999999997</v>
      </c>
      <c r="G30" s="1">
        <f>AVERAGE(M30:X30)</f>
        <v>20393399.792549778</v>
      </c>
      <c r="H30" s="1">
        <f>MAX(M30:X30)</f>
        <v>24939834.3692361</v>
      </c>
      <c r="I30" s="1">
        <f>G30/SUM(G$2:G$104)</f>
        <v>2.771563825713818E-3</v>
      </c>
      <c r="J30" s="1" t="e">
        <f>G30/#REF!</f>
        <v>#REF!</v>
      </c>
      <c r="K30" s="1" t="e">
        <f>H30/#REF!</f>
        <v>#REF!</v>
      </c>
      <c r="L30" s="1">
        <v>70.2</v>
      </c>
      <c r="M30" s="1">
        <v>18157605.999618299</v>
      </c>
      <c r="N30" s="1">
        <v>24939834.3692361</v>
      </c>
      <c r="O30" s="1">
        <v>18742000.517553002</v>
      </c>
      <c r="P30" s="1">
        <v>20806086.916866101</v>
      </c>
      <c r="Q30" s="1">
        <v>23184281.4152961</v>
      </c>
      <c r="R30" s="1">
        <v>16405635.755782301</v>
      </c>
      <c r="S30" s="1">
        <v>21592898.5430547</v>
      </c>
      <c r="T30" s="1">
        <v>20677783.8121024</v>
      </c>
      <c r="U30" s="1">
        <v>15959454.320927</v>
      </c>
      <c r="V30" s="1">
        <v>22485673.292498998</v>
      </c>
      <c r="W30" s="1">
        <v>20732007.750904199</v>
      </c>
      <c r="X30" s="1">
        <v>21037534.8167581</v>
      </c>
      <c r="Y30" s="15">
        <f>AVERAGE(M30:O30)</f>
        <v>20613146.962135803</v>
      </c>
      <c r="Z30" s="15">
        <f>AVERAGE(P30:R30)</f>
        <v>20132001.362648167</v>
      </c>
      <c r="AA30" s="16">
        <f>Z30/Y30</f>
        <v>0.97665831421221372</v>
      </c>
      <c r="AB30" s="17">
        <f>AVERAGE(S30:U30)</f>
        <v>19410045.558694702</v>
      </c>
      <c r="AC30" s="17">
        <f>AVERAGE(V30:X30)</f>
        <v>21418405.286720429</v>
      </c>
      <c r="AD30" s="18">
        <f>AC30/AB30</f>
        <v>1.1034701192201006</v>
      </c>
      <c r="AE30">
        <f>AVERAGE(M30,S30)</f>
        <v>19875252.2713365</v>
      </c>
      <c r="AF30">
        <f>AVERAGE(N30,T30)</f>
        <v>22808809.090669252</v>
      </c>
      <c r="AG30">
        <f>AVERAGE(O30)</f>
        <v>18742000.517553002</v>
      </c>
      <c r="AH30">
        <f>AVERAGE(P30,V30)</f>
        <v>21645880.10468255</v>
      </c>
      <c r="AI30">
        <f>AVERAGE(Q30,W30)</f>
        <v>21958144.583100148</v>
      </c>
      <c r="AJ30">
        <f>AVERAGE(X30)</f>
        <v>21037534.8167581</v>
      </c>
      <c r="AK30" s="1">
        <v>19012195.686115</v>
      </c>
      <c r="AL30" s="1">
        <v>24551883.477019999</v>
      </c>
      <c r="AM30" s="1">
        <v>23228386.1494244</v>
      </c>
      <c r="AN30" s="1">
        <v>17204846.7247499</v>
      </c>
      <c r="AO30" s="1">
        <v>16643603.960549301</v>
      </c>
      <c r="AP30" s="1">
        <v>14703300.384529199</v>
      </c>
    </row>
    <row r="31" spans="1:42">
      <c r="A31" s="1" t="s">
        <v>245</v>
      </c>
      <c r="B31" s="1" t="s">
        <v>217</v>
      </c>
      <c r="C31" s="1" t="s">
        <v>218</v>
      </c>
      <c r="D31" s="1">
        <v>0.15</v>
      </c>
      <c r="E31" s="1">
        <v>152.13137</v>
      </c>
      <c r="F31" s="1">
        <v>1.778</v>
      </c>
      <c r="G31" s="1">
        <f>AVERAGE(M31:X31)</f>
        <v>47969154.792352863</v>
      </c>
      <c r="H31" s="1">
        <f>MAX(M31:X31)</f>
        <v>508139489.16346103</v>
      </c>
      <c r="I31" s="1">
        <f>G31/SUM(G$2:G$104)</f>
        <v>6.5192452227176784E-3</v>
      </c>
      <c r="J31" s="1" t="e">
        <f>G31/#REF!</f>
        <v>#REF!</v>
      </c>
      <c r="K31" s="1" t="e">
        <f>H31/#REF!</f>
        <v>#REF!</v>
      </c>
      <c r="L31" s="1">
        <v>52.3</v>
      </c>
      <c r="M31" s="1">
        <v>17010146.912392601</v>
      </c>
      <c r="N31" s="1">
        <v>1468575.3373334799</v>
      </c>
      <c r="O31" s="1">
        <v>11465041.059854999</v>
      </c>
      <c r="P31" s="1">
        <v>4230497.5632024501</v>
      </c>
      <c r="Q31" s="1">
        <v>14669633.636344999</v>
      </c>
      <c r="R31" s="1">
        <v>508139489.16346103</v>
      </c>
      <c r="S31" s="1">
        <v>1326911.4940241801</v>
      </c>
      <c r="T31" s="1">
        <v>1323689.81915684</v>
      </c>
      <c r="U31" s="1">
        <v>6218955.2155438904</v>
      </c>
      <c r="V31" s="1">
        <v>2442047.2505428898</v>
      </c>
      <c r="W31" s="1">
        <v>3460978.4594034599</v>
      </c>
      <c r="X31" s="1">
        <v>3873891.5969735002</v>
      </c>
      <c r="Y31" s="15">
        <f>AVERAGE(M31:O31)</f>
        <v>9981254.4365270268</v>
      </c>
      <c r="Z31" s="15">
        <f>AVERAGE(P31:R31)</f>
        <v>175679873.45433617</v>
      </c>
      <c r="AA31" s="16">
        <f>Z31/Y31</f>
        <v>17.600981376792145</v>
      </c>
      <c r="AB31" s="17">
        <f>AVERAGE(S31:U31)</f>
        <v>2956518.8429083037</v>
      </c>
      <c r="AC31" s="17">
        <f>AVERAGE(V31:X31)</f>
        <v>3258972.43563995</v>
      </c>
      <c r="AD31" s="18">
        <f>AC31/AB31</f>
        <v>1.1023005801086405</v>
      </c>
      <c r="AE31">
        <f>AVERAGE(M31,S31)</f>
        <v>9168529.2032083906</v>
      </c>
      <c r="AF31">
        <f>AVERAGE(N31,T31)</f>
        <v>1396132.5782451599</v>
      </c>
      <c r="AG31">
        <f>AVERAGE(O31)</f>
        <v>11465041.059854999</v>
      </c>
      <c r="AH31">
        <f>AVERAGE(P31,V31)</f>
        <v>3336272.4068726702</v>
      </c>
      <c r="AI31">
        <f>AVERAGE(Q31,W31)</f>
        <v>9065306.047874229</v>
      </c>
      <c r="AJ31">
        <f>AVERAGE(X31)</f>
        <v>3873891.5969735002</v>
      </c>
      <c r="AK31" s="1">
        <v>20640246.864264201</v>
      </c>
      <c r="AL31" s="1">
        <v>17381826.555375699</v>
      </c>
      <c r="AM31" s="1">
        <v>16628134.5026723</v>
      </c>
      <c r="AN31" s="1">
        <v>23501807.4048068</v>
      </c>
      <c r="AO31" s="1">
        <v>28994821.056187201</v>
      </c>
      <c r="AP31" s="1">
        <v>35286141.232632004</v>
      </c>
    </row>
    <row r="32" spans="1:42">
      <c r="A32" s="1" t="s">
        <v>263</v>
      </c>
      <c r="B32" s="1" t="s">
        <v>69</v>
      </c>
      <c r="C32" s="1" t="s">
        <v>70</v>
      </c>
      <c r="D32" s="1">
        <v>0.6</v>
      </c>
      <c r="E32" s="1">
        <v>99.068470000000005</v>
      </c>
      <c r="F32" s="1">
        <v>1.248</v>
      </c>
      <c r="G32" s="1">
        <f>AVERAGE(M32:X32)</f>
        <v>35470050.92335818</v>
      </c>
      <c r="H32" s="1">
        <f>MAX(M32:X32)</f>
        <v>67995326.523311406</v>
      </c>
      <c r="I32" s="1">
        <f>G32/SUM(G$2:G$104)</f>
        <v>4.8205552303898225E-3</v>
      </c>
      <c r="J32" s="1" t="e">
        <f>G32/#REF!</f>
        <v>#REF!</v>
      </c>
      <c r="K32" s="1" t="e">
        <f>H32/#REF!</f>
        <v>#REF!</v>
      </c>
      <c r="L32" s="1">
        <v>79.900000000000006</v>
      </c>
      <c r="M32" s="1">
        <v>42499602.437091403</v>
      </c>
      <c r="N32" s="1">
        <v>67995326.523311406</v>
      </c>
      <c r="O32" s="1">
        <v>42219763.948810399</v>
      </c>
      <c r="P32" s="1">
        <v>38466711.303826697</v>
      </c>
      <c r="Q32" s="1">
        <v>43675283.459243298</v>
      </c>
      <c r="R32" s="1">
        <v>52469698.685937002</v>
      </c>
      <c r="S32" s="1">
        <v>33071056.2841908</v>
      </c>
      <c r="T32" s="1">
        <v>15389230.270602301</v>
      </c>
      <c r="U32" s="1">
        <v>17662601.531920299</v>
      </c>
      <c r="V32" s="1">
        <v>24971623.684854899</v>
      </c>
      <c r="W32" s="1">
        <v>21410150.5205599</v>
      </c>
      <c r="X32" s="1">
        <v>25809562.429949701</v>
      </c>
      <c r="Y32" s="15">
        <f>AVERAGE(M32:O32)</f>
        <v>50904897.636404403</v>
      </c>
      <c r="Z32" s="15">
        <f>AVERAGE(P32:R32)</f>
        <v>44870564.483002327</v>
      </c>
      <c r="AA32" s="16">
        <f>Z32/Y32</f>
        <v>0.88145869192188198</v>
      </c>
      <c r="AB32" s="17">
        <f>AVERAGE(S32:U32)</f>
        <v>22040962.695571136</v>
      </c>
      <c r="AC32" s="17">
        <f>AVERAGE(V32:X32)</f>
        <v>24063778.878454834</v>
      </c>
      <c r="AD32" s="18">
        <f>AC32/AB32</f>
        <v>1.0917753099455205</v>
      </c>
      <c r="AE32">
        <f>AVERAGE(M32,S32)</f>
        <v>37785329.3606411</v>
      </c>
      <c r="AF32">
        <f>AVERAGE(N32,T32)</f>
        <v>41692278.396956854</v>
      </c>
      <c r="AG32">
        <f>AVERAGE(O32)</f>
        <v>42219763.948810399</v>
      </c>
      <c r="AH32">
        <f>AVERAGE(P32,V32)</f>
        <v>31719167.4943408</v>
      </c>
      <c r="AI32">
        <f>AVERAGE(Q32,W32)</f>
        <v>32542716.989901599</v>
      </c>
      <c r="AJ32">
        <f>AVERAGE(X32)</f>
        <v>25809562.429949701</v>
      </c>
      <c r="AK32" s="1">
        <v>43742580.589845203</v>
      </c>
      <c r="AL32" s="1">
        <v>39678400.910096496</v>
      </c>
      <c r="AM32" s="1">
        <v>43250826.566914</v>
      </c>
      <c r="AN32" s="1">
        <v>39638542.724728003</v>
      </c>
      <c r="AO32" s="1">
        <v>43351094.216550201</v>
      </c>
      <c r="AP32" s="1">
        <v>44689551.231944896</v>
      </c>
    </row>
    <row r="33" spans="1:42">
      <c r="A33" s="1" t="s">
        <v>308</v>
      </c>
      <c r="B33" s="1" t="s">
        <v>47</v>
      </c>
      <c r="C33" s="1" t="s">
        <v>48</v>
      </c>
      <c r="D33" s="1">
        <v>0.01</v>
      </c>
      <c r="E33" s="1">
        <v>110.07317</v>
      </c>
      <c r="F33" s="1">
        <v>1.034</v>
      </c>
      <c r="G33" s="1">
        <f>AVERAGE(M33:X33)</f>
        <v>6320936.9036341077</v>
      </c>
      <c r="H33" s="1">
        <f>MAX(M33:X33)</f>
        <v>9783820.0427288599</v>
      </c>
      <c r="I33" s="1">
        <f>G33/SUM(G$2:G$104)</f>
        <v>8.5904656628817187E-4</v>
      </c>
      <c r="J33" s="1" t="e">
        <f>G33/#REF!</f>
        <v>#REF!</v>
      </c>
      <c r="K33" s="1" t="e">
        <f>H33/#REF!</f>
        <v>#REF!</v>
      </c>
      <c r="L33" s="1">
        <v>63.9</v>
      </c>
      <c r="M33" s="1">
        <v>7975564.4509637998</v>
      </c>
      <c r="N33" s="1">
        <v>4484458.9434932498</v>
      </c>
      <c r="O33" s="1">
        <v>6460309.1869031005</v>
      </c>
      <c r="P33" s="1">
        <v>6723384.8676807601</v>
      </c>
      <c r="Q33" s="1">
        <v>4296163.4939754102</v>
      </c>
      <c r="R33" s="1">
        <v>9783820.0427288599</v>
      </c>
      <c r="S33" s="1">
        <v>5188190.57205748</v>
      </c>
      <c r="T33" s="1">
        <v>7070163.4367060298</v>
      </c>
      <c r="U33" s="1">
        <v>5097977.1397935804</v>
      </c>
      <c r="V33" s="1">
        <v>5031195.1322374502</v>
      </c>
      <c r="W33" s="1">
        <v>6977793.9083286803</v>
      </c>
      <c r="X33" s="1">
        <v>6762221.6687409002</v>
      </c>
      <c r="Y33" s="15">
        <f>AVERAGE(M33:O33)</f>
        <v>6306777.52712005</v>
      </c>
      <c r="Z33" s="15">
        <f>AVERAGE(P33:R33)</f>
        <v>6934456.1347950101</v>
      </c>
      <c r="AA33" s="16">
        <f>Z33/Y33</f>
        <v>1.0995244568205953</v>
      </c>
      <c r="AB33" s="17">
        <f>AVERAGE(S33:U33)</f>
        <v>5785443.7161856964</v>
      </c>
      <c r="AC33" s="17">
        <f>AVERAGE(V33:X33)</f>
        <v>6257070.2364356769</v>
      </c>
      <c r="AD33" s="18">
        <f>AC33/AB33</f>
        <v>1.0815195071262262</v>
      </c>
      <c r="AE33">
        <f>AVERAGE(M33,S33)</f>
        <v>6581877.5115106404</v>
      </c>
      <c r="AF33">
        <f>AVERAGE(N33,T33)</f>
        <v>5777311.1900996398</v>
      </c>
      <c r="AG33">
        <f>AVERAGE(O33)</f>
        <v>6460309.1869031005</v>
      </c>
      <c r="AH33">
        <f>AVERAGE(P33,V33)</f>
        <v>5877289.9999591056</v>
      </c>
      <c r="AI33">
        <f>AVERAGE(Q33,W33)</f>
        <v>5636978.7011520453</v>
      </c>
      <c r="AJ33">
        <f>AVERAGE(X33)</f>
        <v>6762221.6687409002</v>
      </c>
      <c r="AK33" s="1">
        <v>4256521.5599342203</v>
      </c>
      <c r="AL33" s="1">
        <v>8207056.18990904</v>
      </c>
      <c r="AM33" s="1">
        <v>6391163.6547802202</v>
      </c>
      <c r="AN33" s="1">
        <v>6503086.71252455</v>
      </c>
      <c r="AO33" s="1">
        <v>7976066.7856995398</v>
      </c>
      <c r="AP33" s="1">
        <v>7503020.3638257096</v>
      </c>
    </row>
    <row r="34" spans="1:42">
      <c r="A34" s="1" t="s">
        <v>283</v>
      </c>
      <c r="B34" s="1" t="s">
        <v>195</v>
      </c>
      <c r="C34" s="1" t="s">
        <v>196</v>
      </c>
      <c r="D34" s="1">
        <v>-1.02</v>
      </c>
      <c r="E34" s="1">
        <v>151.00903</v>
      </c>
      <c r="F34" s="1">
        <v>1.0509999999999999</v>
      </c>
      <c r="G34" s="1">
        <f>AVERAGE(M34:X34)</f>
        <v>5836472.640327326</v>
      </c>
      <c r="H34" s="1">
        <f>MAX(M34:X34)</f>
        <v>29233300.0196824</v>
      </c>
      <c r="I34" s="1">
        <f>G34/SUM(G$2:G$104)</f>
        <v>7.9320547845137569E-4</v>
      </c>
      <c r="J34" s="1" t="e">
        <f>G34/#REF!</f>
        <v>#REF!</v>
      </c>
      <c r="K34" s="1" t="e">
        <f>H34/#REF!</f>
        <v>#REF!</v>
      </c>
      <c r="L34" s="1">
        <v>83.3</v>
      </c>
      <c r="M34" s="1">
        <v>964793.82138157403</v>
      </c>
      <c r="N34" s="1">
        <v>4066996.2668759199</v>
      </c>
      <c r="O34" s="1">
        <v>7652792.7691385401</v>
      </c>
      <c r="P34" s="1">
        <v>29233300.0196824</v>
      </c>
      <c r="Q34" s="1">
        <v>16454558.7332881</v>
      </c>
      <c r="R34" s="1">
        <v>2272915.9008284602</v>
      </c>
      <c r="S34" s="1">
        <v>1234830.86024454</v>
      </c>
      <c r="T34" s="1">
        <v>1476600.2663778099</v>
      </c>
      <c r="U34" s="1">
        <v>1824790.71376938</v>
      </c>
      <c r="V34" s="1">
        <v>1811386.4241489</v>
      </c>
      <c r="W34" s="1">
        <v>1595257.9844524099</v>
      </c>
      <c r="X34" s="1">
        <v>1449447.9237398801</v>
      </c>
      <c r="Y34" s="15">
        <f>AVERAGE(M34:O34)</f>
        <v>4228194.2857986772</v>
      </c>
      <c r="Z34" s="15">
        <f>AVERAGE(P34:R34)</f>
        <v>15986924.884599654</v>
      </c>
      <c r="AA34" s="16">
        <f>Z34/Y34</f>
        <v>3.7810289225107905</v>
      </c>
      <c r="AB34" s="17">
        <f>AVERAGE(S34:U34)</f>
        <v>1512073.9467972433</v>
      </c>
      <c r="AC34" s="17">
        <f>AVERAGE(V34:X34)</f>
        <v>1618697.4441137302</v>
      </c>
      <c r="AD34" s="18">
        <f>AC34/AB34</f>
        <v>1.070514737418979</v>
      </c>
      <c r="AE34">
        <f>AVERAGE(M34,S34)</f>
        <v>1099812.340813057</v>
      </c>
      <c r="AF34">
        <f>AVERAGE(N34,T34)</f>
        <v>2771798.2666268647</v>
      </c>
      <c r="AG34">
        <f>AVERAGE(O34)</f>
        <v>7652792.7691385401</v>
      </c>
      <c r="AH34">
        <f>AVERAGE(P34,V34)</f>
        <v>15522343.221915649</v>
      </c>
      <c r="AI34">
        <f>AVERAGE(Q34,W34)</f>
        <v>9024908.3588702548</v>
      </c>
      <c r="AJ34">
        <f>AVERAGE(X34)</f>
        <v>1449447.9237398801</v>
      </c>
      <c r="AK34" s="1">
        <v>5460582.2090759799</v>
      </c>
      <c r="AL34" s="1">
        <v>5230779.5936402604</v>
      </c>
      <c r="AM34" s="1">
        <v>6001441.8565686103</v>
      </c>
      <c r="AN34" s="1">
        <v>5851347.2266662801</v>
      </c>
      <c r="AO34" s="1">
        <v>6433537.9757824</v>
      </c>
      <c r="AP34" s="1">
        <v>6792936.0414307797</v>
      </c>
    </row>
    <row r="35" spans="1:42">
      <c r="A35" s="23" t="s">
        <v>293</v>
      </c>
      <c r="B35" s="23" t="s">
        <v>67</v>
      </c>
      <c r="C35" s="23" t="s">
        <v>68</v>
      </c>
      <c r="D35" s="23">
        <v>-0.03</v>
      </c>
      <c r="E35" s="23">
        <v>402.13146</v>
      </c>
      <c r="F35" s="23">
        <v>0.97899999999999998</v>
      </c>
      <c r="G35" s="23">
        <f>AVERAGE(M35:X35)</f>
        <v>2076095.0524496769</v>
      </c>
      <c r="H35" s="23">
        <f>MAX(M35:X35)</f>
        <v>16691060.5743214</v>
      </c>
      <c r="I35" s="23">
        <f>G35/SUM(G$2:G$104)</f>
        <v>2.821515786796397E-4</v>
      </c>
      <c r="J35" s="23" t="e">
        <f>G35/#REF!</f>
        <v>#REF!</v>
      </c>
      <c r="K35" s="23" t="e">
        <f>H35/#REF!</f>
        <v>#REF!</v>
      </c>
      <c r="L35" s="23">
        <v>81.3</v>
      </c>
      <c r="M35" s="23">
        <v>16691060.5743214</v>
      </c>
      <c r="N35" s="23">
        <v>946831.46800891706</v>
      </c>
      <c r="O35" s="23">
        <v>579105.28619696503</v>
      </c>
      <c r="P35" s="23">
        <v>599264.19183539203</v>
      </c>
      <c r="Q35" s="23">
        <v>398185.832907287</v>
      </c>
      <c r="R35" s="23">
        <v>846012.04092309403</v>
      </c>
      <c r="S35" s="23">
        <v>770688.59068054403</v>
      </c>
      <c r="T35" s="23">
        <v>695145.69755273196</v>
      </c>
      <c r="U35" s="23">
        <v>895958.010796619</v>
      </c>
      <c r="V35" s="23">
        <v>464796.93146810401</v>
      </c>
      <c r="W35" s="23">
        <v>1049060.2583993201</v>
      </c>
      <c r="X35" s="23">
        <v>977031.74630575301</v>
      </c>
      <c r="Y35" s="24">
        <f>AVERAGE(M35:O35)</f>
        <v>6072332.4428424276</v>
      </c>
      <c r="Z35" s="24">
        <f>AVERAGE(P35:R35)</f>
        <v>614487.35522192437</v>
      </c>
      <c r="AA35" s="25">
        <f>Z35/Y35</f>
        <v>0.10119461689654889</v>
      </c>
      <c r="AB35" s="26">
        <f>AVERAGE(S35:U35)</f>
        <v>787264.09967663174</v>
      </c>
      <c r="AC35" s="26">
        <f>AVERAGE(V35:X35)</f>
        <v>830296.31205772574</v>
      </c>
      <c r="AD35" s="27">
        <f>AC35/AB35</f>
        <v>1.0546604530789216</v>
      </c>
      <c r="AE35">
        <f>AVERAGE(M35,S35)</f>
        <v>8730874.5825009719</v>
      </c>
      <c r="AF35">
        <f>AVERAGE(N35,T35)</f>
        <v>820988.58278082451</v>
      </c>
      <c r="AG35">
        <f>AVERAGE(O35)</f>
        <v>579105.28619696503</v>
      </c>
      <c r="AH35">
        <f>AVERAGE(P35,V35)</f>
        <v>532030.56165174802</v>
      </c>
      <c r="AI35">
        <f>AVERAGE(Q35,W35)</f>
        <v>723623.0456533035</v>
      </c>
      <c r="AJ35">
        <f>AVERAGE(X35)</f>
        <v>977031.74630575301</v>
      </c>
      <c r="AK35" s="1">
        <v>1018692.78269598</v>
      </c>
      <c r="AL35" s="1">
        <v>1543401.18747533</v>
      </c>
      <c r="AM35" s="1">
        <v>1109367.38146035</v>
      </c>
      <c r="AN35" s="1">
        <v>1486489.64561652</v>
      </c>
      <c r="AO35" s="1">
        <v>1542547.83124143</v>
      </c>
      <c r="AP35" s="1">
        <v>2343532.59673703</v>
      </c>
    </row>
    <row r="36" spans="1:42">
      <c r="A36" s="23" t="s">
        <v>277</v>
      </c>
      <c r="B36" s="23" t="s">
        <v>103</v>
      </c>
      <c r="C36" s="23" t="s">
        <v>104</v>
      </c>
      <c r="D36" s="23">
        <v>-0.11</v>
      </c>
      <c r="E36" s="23">
        <v>117.05784</v>
      </c>
      <c r="F36" s="23">
        <v>0.95599999999999996</v>
      </c>
      <c r="G36" s="23">
        <f>AVERAGE(M36:X36)</f>
        <v>22072049.088524975</v>
      </c>
      <c r="H36" s="23">
        <f>MAX(M36:X36)</f>
        <v>31469626.7621626</v>
      </c>
      <c r="I36" s="23">
        <f>G36/SUM(G$2:G$104)</f>
        <v>2.9997005617221268E-3</v>
      </c>
      <c r="J36" s="23" t="e">
        <f>G36/#REF!</f>
        <v>#REF!</v>
      </c>
      <c r="K36" s="23" t="e">
        <f>H36/#REF!</f>
        <v>#REF!</v>
      </c>
      <c r="L36" s="23">
        <v>62</v>
      </c>
      <c r="M36" s="23">
        <v>24006441.8850278</v>
      </c>
      <c r="N36" s="23">
        <v>18281720.780819401</v>
      </c>
      <c r="O36" s="23">
        <v>20838678.272666398</v>
      </c>
      <c r="P36" s="23">
        <v>20733107.445384402</v>
      </c>
      <c r="Q36" s="23">
        <v>16035099.3541885</v>
      </c>
      <c r="R36" s="23">
        <v>31469626.7621626</v>
      </c>
      <c r="S36" s="23">
        <v>21543479.074461602</v>
      </c>
      <c r="T36" s="23">
        <v>25488606.7427762</v>
      </c>
      <c r="U36" s="23">
        <v>18020075.512719199</v>
      </c>
      <c r="V36" s="23">
        <v>16124591.713482199</v>
      </c>
      <c r="W36" s="23">
        <v>26956889.695226401</v>
      </c>
      <c r="X36" s="23">
        <v>25366271.823385</v>
      </c>
      <c r="Y36" s="24">
        <f>AVERAGE(M36:O36)</f>
        <v>21042280.312837865</v>
      </c>
      <c r="Z36" s="24">
        <f>AVERAGE(P36:R36)</f>
        <v>22745944.5205785</v>
      </c>
      <c r="AA36" s="25">
        <f>Z36/Y36</f>
        <v>1.0809638585938441</v>
      </c>
      <c r="AB36" s="26">
        <f>AVERAGE(S36:U36)</f>
        <v>21684053.776652332</v>
      </c>
      <c r="AC36" s="26">
        <f>AVERAGE(V36:X36)</f>
        <v>22815917.744031202</v>
      </c>
      <c r="AD36" s="27">
        <f>AC36/AB36</f>
        <v>1.0521979874721381</v>
      </c>
      <c r="AE36">
        <f>AVERAGE(M36,S36)</f>
        <v>22774960.479744703</v>
      </c>
      <c r="AF36">
        <f>AVERAGE(N36,T36)</f>
        <v>21885163.761797801</v>
      </c>
      <c r="AG36">
        <f>AVERAGE(O36)</f>
        <v>20838678.272666398</v>
      </c>
      <c r="AH36">
        <f>AVERAGE(P36,V36)</f>
        <v>18428849.5794333</v>
      </c>
      <c r="AI36">
        <f>AVERAGE(Q36,W36)</f>
        <v>21495994.524707451</v>
      </c>
      <c r="AJ36">
        <f>AVERAGE(X36)</f>
        <v>25366271.823385</v>
      </c>
      <c r="AK36" s="1">
        <v>19362215.035803601</v>
      </c>
      <c r="AL36" s="1">
        <v>30757522.1540916</v>
      </c>
      <c r="AM36" s="1">
        <v>21940839.172272801</v>
      </c>
      <c r="AN36" s="1">
        <v>30350683.040635101</v>
      </c>
      <c r="AO36" s="1">
        <v>31398788.356416501</v>
      </c>
      <c r="AP36" s="1">
        <v>25990539.546331499</v>
      </c>
    </row>
    <row r="37" spans="1:42">
      <c r="A37" s="1" t="s">
        <v>322</v>
      </c>
      <c r="B37" s="1" t="s">
        <v>177</v>
      </c>
      <c r="C37" s="1" t="s">
        <v>178</v>
      </c>
      <c r="D37" s="1">
        <v>0.75</v>
      </c>
      <c r="E37" s="1">
        <v>175.09985</v>
      </c>
      <c r="F37" s="1">
        <v>1.036</v>
      </c>
      <c r="G37" s="1">
        <f>AVERAGE(M37:X37)</f>
        <v>803861.20151885506</v>
      </c>
      <c r="H37" s="1">
        <f>MAX(M37:X37)</f>
        <v>5240365.43452508</v>
      </c>
      <c r="I37" s="1">
        <f>G37/SUM(G$2:G$104)</f>
        <v>1.09248710351789E-4</v>
      </c>
      <c r="J37" s="1" t="e">
        <f>G37/#REF!</f>
        <v>#REF!</v>
      </c>
      <c r="K37" s="1" t="e">
        <f>H37/#REF!</f>
        <v>#REF!</v>
      </c>
      <c r="L37" s="1">
        <v>62.9</v>
      </c>
      <c r="M37" s="1">
        <v>255923.84812252299</v>
      </c>
      <c r="N37" s="1">
        <v>170606.787083103</v>
      </c>
      <c r="O37" s="1">
        <v>464082.87200859201</v>
      </c>
      <c r="P37" s="1">
        <v>1237744.4933009399</v>
      </c>
      <c r="Q37" s="1">
        <v>5240365.43452508</v>
      </c>
      <c r="R37" s="1">
        <v>655434.27486341202</v>
      </c>
      <c r="S37" s="1">
        <v>301284.77542837098</v>
      </c>
      <c r="T37" s="1">
        <v>270716.07999714097</v>
      </c>
      <c r="U37" s="1">
        <v>223121.97591231001</v>
      </c>
      <c r="V37" s="1">
        <v>232396.62890444501</v>
      </c>
      <c r="W37" s="1">
        <v>338623.89150520897</v>
      </c>
      <c r="X37" s="1">
        <v>256033.356575135</v>
      </c>
      <c r="Y37" s="15">
        <f>AVERAGE(M37:O37)</f>
        <v>296871.16907140601</v>
      </c>
      <c r="Z37" s="15">
        <f>AVERAGE(P37:R37)</f>
        <v>2377848.067563144</v>
      </c>
      <c r="AA37" s="16">
        <f>Z37/Y37</f>
        <v>8.0096968493131229</v>
      </c>
      <c r="AB37" s="17">
        <f>AVERAGE(S37:U37)</f>
        <v>265040.94377927395</v>
      </c>
      <c r="AC37" s="17">
        <f>AVERAGE(V37:X37)</f>
        <v>275684.62566159636</v>
      </c>
      <c r="AD37" s="18">
        <f>AC37/AB37</f>
        <v>1.0401586325891838</v>
      </c>
      <c r="AE37">
        <f>AVERAGE(M37,S37)</f>
        <v>278604.31177544699</v>
      </c>
      <c r="AF37">
        <f>AVERAGE(N37,T37)</f>
        <v>220661.433540122</v>
      </c>
      <c r="AG37">
        <f>AVERAGE(O37)</f>
        <v>464082.87200859201</v>
      </c>
      <c r="AH37">
        <f>AVERAGE(P37,V37)</f>
        <v>735070.5611026925</v>
      </c>
      <c r="AI37">
        <f>AVERAGE(Q37,W37)</f>
        <v>2789494.6630151444</v>
      </c>
      <c r="AJ37">
        <f>AVERAGE(X37)</f>
        <v>256033.356575135</v>
      </c>
      <c r="AK37" s="1">
        <v>635800.22275452502</v>
      </c>
      <c r="AL37" s="1">
        <v>986102.30101962795</v>
      </c>
      <c r="AM37" s="1">
        <v>1091396.2403450401</v>
      </c>
      <c r="AN37" s="1">
        <v>1331983.1016134601</v>
      </c>
      <c r="AO37" s="1">
        <v>1138756.6017519</v>
      </c>
      <c r="AP37" s="1">
        <v>1428377.78105009</v>
      </c>
    </row>
    <row r="38" spans="1:42">
      <c r="A38" s="1" t="s">
        <v>268</v>
      </c>
      <c r="B38" s="1" t="s">
        <v>169</v>
      </c>
      <c r="C38" s="1" t="s">
        <v>170</v>
      </c>
      <c r="D38" s="1">
        <v>-1.1399999999999999</v>
      </c>
      <c r="E38" s="1">
        <v>139.02678</v>
      </c>
      <c r="F38" s="1">
        <v>1.0009999999999999</v>
      </c>
      <c r="G38" s="1">
        <f>AVERAGE(M38:X38)</f>
        <v>10053640.098314971</v>
      </c>
      <c r="H38" s="1">
        <f>MAX(M38:X38)</f>
        <v>23103364.639623102</v>
      </c>
      <c r="I38" s="1">
        <f>G38/SUM(G$2:G$104)</f>
        <v>1.3663393792444172E-3</v>
      </c>
      <c r="J38" s="1" t="e">
        <f>G38/#REF!</f>
        <v>#REF!</v>
      </c>
      <c r="K38" s="1" t="e">
        <f>H38/#REF!</f>
        <v>#REF!</v>
      </c>
      <c r="L38" s="1">
        <v>89.1</v>
      </c>
      <c r="M38" s="1">
        <v>7386422.9986329498</v>
      </c>
      <c r="N38" s="1">
        <v>1325442.5033445</v>
      </c>
      <c r="O38" s="1">
        <v>7532722.58008595</v>
      </c>
      <c r="P38" s="1">
        <v>6715831.7840877697</v>
      </c>
      <c r="Q38" s="1">
        <v>2834649.8656071802</v>
      </c>
      <c r="R38" s="1">
        <v>6550296.6349373497</v>
      </c>
      <c r="S38" s="1">
        <v>9014379.6039450392</v>
      </c>
      <c r="T38" s="1">
        <v>15591631.9084944</v>
      </c>
      <c r="U38" s="1">
        <v>18771467.170781799</v>
      </c>
      <c r="V38" s="1">
        <v>12850370.782695999</v>
      </c>
      <c r="W38" s="1">
        <v>23103364.639623102</v>
      </c>
      <c r="X38" s="1">
        <v>8967100.7075436208</v>
      </c>
      <c r="Y38" s="15">
        <f>AVERAGE(M38:O38)</f>
        <v>5414862.6940211328</v>
      </c>
      <c r="Z38" s="15">
        <f>AVERAGE(P38:R38)</f>
        <v>5366926.094877433</v>
      </c>
      <c r="AA38" s="16">
        <f>Z38/Y38</f>
        <v>0.99114721797163396</v>
      </c>
      <c r="AB38" s="17">
        <f>AVERAGE(S38:U38)</f>
        <v>14459159.561073745</v>
      </c>
      <c r="AC38" s="17">
        <f>AVERAGE(V38:X38)</f>
        <v>14973612.043287573</v>
      </c>
      <c r="AD38" s="18">
        <f>AC38/AB38</f>
        <v>1.0355796946593503</v>
      </c>
      <c r="AE38">
        <f>AVERAGE(M38,S38)</f>
        <v>8200401.301288994</v>
      </c>
      <c r="AF38">
        <f>AVERAGE(N38,T38)</f>
        <v>8458537.2059194501</v>
      </c>
      <c r="AG38">
        <f>AVERAGE(O38)</f>
        <v>7532722.58008595</v>
      </c>
      <c r="AH38">
        <f>AVERAGE(P38,V38)</f>
        <v>9783101.2833918855</v>
      </c>
      <c r="AI38">
        <f>AVERAGE(Q38,W38)</f>
        <v>12969007.252615141</v>
      </c>
      <c r="AJ38">
        <f>AVERAGE(X38)</f>
        <v>8967100.7075436208</v>
      </c>
      <c r="AK38" s="1">
        <v>9850519.4579064306</v>
      </c>
      <c r="AL38" s="1">
        <v>9658331.1499404106</v>
      </c>
      <c r="AM38" s="1">
        <v>12924186.6818546</v>
      </c>
      <c r="AN38" s="1">
        <v>15642745.513466099</v>
      </c>
      <c r="AO38" s="1">
        <v>12879915.5113203</v>
      </c>
      <c r="AP38" s="1">
        <v>12967532.2281499</v>
      </c>
    </row>
    <row r="39" spans="1:42">
      <c r="A39" s="1" t="s">
        <v>328</v>
      </c>
      <c r="B39" s="1" t="s">
        <v>29</v>
      </c>
      <c r="C39" s="1" t="s">
        <v>30</v>
      </c>
      <c r="D39" s="1">
        <v>-0.3</v>
      </c>
      <c r="E39" s="1">
        <v>186.03501</v>
      </c>
      <c r="F39" s="1">
        <v>1.2569999999999999</v>
      </c>
      <c r="G39" s="1">
        <f>AVERAGE(M39:X39)</f>
        <v>3650412.3339077015</v>
      </c>
      <c r="H39" s="1">
        <f>MAX(M39:X39)</f>
        <v>4266914.4808926899</v>
      </c>
      <c r="I39" s="1">
        <f>G39/SUM(G$2:G$104)</f>
        <v>4.9610907825649851E-4</v>
      </c>
      <c r="J39" s="1" t="e">
        <f>G39/#REF!</f>
        <v>#REF!</v>
      </c>
      <c r="K39" s="1" t="e">
        <f>H39/#REF!</f>
        <v>#REF!</v>
      </c>
      <c r="L39" s="1">
        <v>67</v>
      </c>
      <c r="M39" s="1">
        <v>3762918.90814305</v>
      </c>
      <c r="N39" s="1">
        <v>4207814.7714188704</v>
      </c>
      <c r="O39" s="1">
        <v>4221652.48046064</v>
      </c>
      <c r="P39" s="1">
        <v>4266914.4808926899</v>
      </c>
      <c r="Q39" s="1">
        <v>3899327.5422982802</v>
      </c>
      <c r="R39" s="1">
        <v>3459781.1648852001</v>
      </c>
      <c r="S39" s="1">
        <v>3775133.7755263401</v>
      </c>
      <c r="T39" s="1">
        <v>3547996.7685724101</v>
      </c>
      <c r="U39" s="1">
        <v>2549356.3657035199</v>
      </c>
      <c r="V39" s="1">
        <v>3237213.5725627001</v>
      </c>
      <c r="W39" s="1">
        <v>3595897.2258093501</v>
      </c>
      <c r="X39" s="1">
        <v>3280940.95061936</v>
      </c>
      <c r="Y39" s="15">
        <f>AVERAGE(M39:O39)</f>
        <v>4064128.7200075202</v>
      </c>
      <c r="Z39" s="15">
        <f>AVERAGE(P39:R39)</f>
        <v>3875341.0626920569</v>
      </c>
      <c r="AA39" s="16">
        <f>Z39/Y39</f>
        <v>0.95354781545523637</v>
      </c>
      <c r="AB39" s="17">
        <f>AVERAGE(S39:U39)</f>
        <v>3290828.9699340896</v>
      </c>
      <c r="AC39" s="17">
        <f>AVERAGE(V39:X39)</f>
        <v>3371350.5829971372</v>
      </c>
      <c r="AD39" s="18">
        <f>AC39/AB39</f>
        <v>1.0244684891857689</v>
      </c>
      <c r="AE39">
        <f>AVERAGE(M39,S39)</f>
        <v>3769026.3418346951</v>
      </c>
      <c r="AF39">
        <f>AVERAGE(N39,T39)</f>
        <v>3877905.76999564</v>
      </c>
      <c r="AG39">
        <f>AVERAGE(O39)</f>
        <v>4221652.48046064</v>
      </c>
      <c r="AH39">
        <f>AVERAGE(P39,V39)</f>
        <v>3752064.026727695</v>
      </c>
      <c r="AI39">
        <f>AVERAGE(Q39,W39)</f>
        <v>3747612.3840538152</v>
      </c>
      <c r="AJ39">
        <f>AVERAGE(X39)</f>
        <v>3280940.95061936</v>
      </c>
      <c r="AK39" s="1">
        <v>3505248.0713815</v>
      </c>
      <c r="AL39" s="1">
        <v>3803474.6896120501</v>
      </c>
      <c r="AM39" s="1">
        <v>3647265.72337873</v>
      </c>
      <c r="AN39" s="1">
        <v>4276719.1778311599</v>
      </c>
      <c r="AO39" s="1">
        <v>3512260.2401153399</v>
      </c>
      <c r="AP39" s="1">
        <v>3614019.8759733099</v>
      </c>
    </row>
    <row r="40" spans="1:42">
      <c r="A40" s="6" t="s">
        <v>246</v>
      </c>
      <c r="B40" s="6" t="s">
        <v>175</v>
      </c>
      <c r="C40" s="1" t="s">
        <v>176</v>
      </c>
      <c r="D40" s="1">
        <v>-0.45</v>
      </c>
      <c r="E40" s="1">
        <v>326.19141999999999</v>
      </c>
      <c r="F40" s="1">
        <v>0.94099999999999995</v>
      </c>
      <c r="G40" s="1">
        <f>AVERAGE(M40:X40)</f>
        <v>292793361.52625853</v>
      </c>
      <c r="H40" s="1">
        <f>MAX(M40:X40)</f>
        <v>401071302.60845</v>
      </c>
      <c r="I40" s="1">
        <f>G40/SUM(G$2:G$104)</f>
        <v>3.9792064955828793E-2</v>
      </c>
      <c r="J40" s="1" t="e">
        <f>G40/#REF!</f>
        <v>#REF!</v>
      </c>
      <c r="K40" s="1" t="e">
        <f>H40/#REF!</f>
        <v>#REF!</v>
      </c>
      <c r="L40" s="1">
        <v>93.6</v>
      </c>
      <c r="M40" s="1">
        <v>262185268.200537</v>
      </c>
      <c r="N40" s="1">
        <v>253588020.00520799</v>
      </c>
      <c r="O40" s="1">
        <v>179895824.35182601</v>
      </c>
      <c r="P40" s="1">
        <v>240457476.81414899</v>
      </c>
      <c r="Q40" s="1">
        <v>256338128.853544</v>
      </c>
      <c r="R40" s="1">
        <v>380037871.039262</v>
      </c>
      <c r="S40" s="1">
        <v>367811358.09240198</v>
      </c>
      <c r="T40" s="1">
        <v>299547622.90816897</v>
      </c>
      <c r="U40" s="1">
        <v>300421377.254291</v>
      </c>
      <c r="V40" s="1">
        <v>273020925.59365201</v>
      </c>
      <c r="W40" s="1">
        <v>401071302.60845</v>
      </c>
      <c r="X40" s="1">
        <v>299145162.59361202</v>
      </c>
      <c r="Y40" s="15">
        <f>AVERAGE(M40:O40)</f>
        <v>231889704.18585697</v>
      </c>
      <c r="Z40" s="15">
        <f>AVERAGE(P40:R40)</f>
        <v>292277825.56898499</v>
      </c>
      <c r="AA40" s="16">
        <f>Z40/Y40</f>
        <v>1.260417432482158</v>
      </c>
      <c r="AB40" s="17">
        <f>AVERAGE(S40:U40)</f>
        <v>322593452.75162071</v>
      </c>
      <c r="AC40" s="17">
        <f>AVERAGE(V40:X40)</f>
        <v>324412463.5985713</v>
      </c>
      <c r="AD40" s="18">
        <f>AC40/AB40</f>
        <v>1.005638709748865</v>
      </c>
      <c r="AE40">
        <f>AVERAGE(M40,S40)</f>
        <v>314998313.14646947</v>
      </c>
      <c r="AF40">
        <f>AVERAGE(N40,T40)</f>
        <v>276567821.45668846</v>
      </c>
      <c r="AG40">
        <f>AVERAGE(O40)</f>
        <v>179895824.35182601</v>
      </c>
      <c r="AH40">
        <f>AVERAGE(P40,V40)</f>
        <v>256739201.20390052</v>
      </c>
      <c r="AI40">
        <f>AVERAGE(Q40,W40)</f>
        <v>328704715.73099697</v>
      </c>
      <c r="AJ40">
        <f>AVERAGE(X40)</f>
        <v>299145162.59361202</v>
      </c>
      <c r="AK40" s="1">
        <v>347629953.34464401</v>
      </c>
      <c r="AL40" s="1">
        <v>356129671.10424203</v>
      </c>
      <c r="AM40" s="1">
        <v>249105972.79944301</v>
      </c>
      <c r="AN40" s="1">
        <v>416969869.01737303</v>
      </c>
      <c r="AO40" s="1">
        <v>410968932.13262898</v>
      </c>
      <c r="AP40" s="1">
        <v>394967847.34107602</v>
      </c>
    </row>
    <row r="41" spans="1:42">
      <c r="A41" s="1" t="s">
        <v>259</v>
      </c>
      <c r="B41" s="1" t="s">
        <v>113</v>
      </c>
      <c r="C41" s="1" t="s">
        <v>44</v>
      </c>
      <c r="D41" s="1">
        <v>0.01</v>
      </c>
      <c r="E41" s="1">
        <v>185.21435</v>
      </c>
      <c r="F41" s="1">
        <v>1.57</v>
      </c>
      <c r="G41" s="1">
        <f>AVERAGE(M41:X41)</f>
        <v>33636479.767631069</v>
      </c>
      <c r="H41" s="1">
        <f>MAX(M41:X41)</f>
        <v>91943350.881509393</v>
      </c>
      <c r="I41" s="1">
        <f>G41/SUM(G$2:G$104)</f>
        <v>4.5713638479435237E-3</v>
      </c>
      <c r="J41" s="1" t="e">
        <f>G41/#REF!</f>
        <v>#REF!</v>
      </c>
      <c r="K41" s="1" t="e">
        <f>H41/#REF!</f>
        <v>#REF!</v>
      </c>
      <c r="L41" s="1">
        <v>77.599999999999994</v>
      </c>
      <c r="M41" s="1">
        <v>46330596.424172103</v>
      </c>
      <c r="N41" s="1">
        <v>91943350.881509393</v>
      </c>
      <c r="O41" s="1">
        <v>11206639.6940709</v>
      </c>
      <c r="P41" s="1">
        <v>16722456.159333499</v>
      </c>
      <c r="Q41" s="1">
        <v>53703387.926527597</v>
      </c>
      <c r="R41" s="1">
        <v>50733839.991374701</v>
      </c>
      <c r="S41" s="1">
        <v>25533082.854965702</v>
      </c>
      <c r="T41" s="1">
        <v>19576925.699219901</v>
      </c>
      <c r="U41" s="1">
        <v>21626267.161574099</v>
      </c>
      <c r="V41" s="1">
        <v>20973173.313157499</v>
      </c>
      <c r="W41" s="1">
        <v>19467764.413334198</v>
      </c>
      <c r="X41" s="1">
        <v>25820272.692333199</v>
      </c>
      <c r="Y41" s="15">
        <f>AVERAGE(M41:O41)</f>
        <v>49826862.333250798</v>
      </c>
      <c r="Z41" s="15">
        <f>AVERAGE(P41:R41)</f>
        <v>40386561.359078601</v>
      </c>
      <c r="AA41" s="16">
        <f>Z41/Y41</f>
        <v>0.81053792006741654</v>
      </c>
      <c r="AB41" s="17">
        <f>AVERAGE(S41:U41)</f>
        <v>22245425.238586564</v>
      </c>
      <c r="AC41" s="17">
        <f>AVERAGE(V41:X41)</f>
        <v>22087070.139608297</v>
      </c>
      <c r="AD41" s="18">
        <f>AC41/AB41</f>
        <v>0.99288145327500477</v>
      </c>
      <c r="AE41">
        <f>AVERAGE(M41,S41)</f>
        <v>35931839.639568903</v>
      </c>
      <c r="AF41">
        <f>AVERAGE(N41,T41)</f>
        <v>55760138.290364645</v>
      </c>
      <c r="AG41">
        <f>AVERAGE(O41)</f>
        <v>11206639.6940709</v>
      </c>
      <c r="AH41">
        <f>AVERAGE(P41,V41)</f>
        <v>18847814.736245498</v>
      </c>
      <c r="AI41">
        <f>AVERAGE(Q41,W41)</f>
        <v>36585576.169930898</v>
      </c>
      <c r="AJ41">
        <f>AVERAGE(X41)</f>
        <v>25820272.692333199</v>
      </c>
      <c r="AK41" s="1">
        <v>40168017.638825402</v>
      </c>
      <c r="AL41" s="1">
        <v>53393945.534856498</v>
      </c>
      <c r="AM41" s="1">
        <v>53109755.328533098</v>
      </c>
      <c r="AN41" s="1">
        <v>69497776.249951005</v>
      </c>
      <c r="AO41" s="1">
        <v>12809958.7422447</v>
      </c>
      <c r="AP41" s="1">
        <v>51529030.449506901</v>
      </c>
    </row>
    <row r="42" spans="1:42">
      <c r="A42" s="1" t="s">
        <v>306</v>
      </c>
      <c r="B42" s="1" t="s">
        <v>189</v>
      </c>
      <c r="C42" s="1" t="s">
        <v>190</v>
      </c>
      <c r="D42" s="1">
        <v>-0.31</v>
      </c>
      <c r="E42" s="1">
        <v>208.01935</v>
      </c>
      <c r="F42" s="1">
        <v>1.2549999999999999</v>
      </c>
      <c r="G42" s="1">
        <f>AVERAGE(M42:X42)</f>
        <v>6894768.4175081402</v>
      </c>
      <c r="H42" s="1">
        <f>MAX(M42:X42)</f>
        <v>10420486.0795752</v>
      </c>
      <c r="I42" s="1">
        <f>G42/SUM(G$2:G$104)</f>
        <v>9.3703310517262418E-4</v>
      </c>
      <c r="J42" s="1" t="e">
        <f>G42/#REF!</f>
        <v>#REF!</v>
      </c>
      <c r="K42" s="1" t="e">
        <f>H42/#REF!</f>
        <v>#REF!</v>
      </c>
      <c r="L42" s="1">
        <v>83</v>
      </c>
      <c r="M42" s="1">
        <v>6413115.6232178695</v>
      </c>
      <c r="N42" s="1">
        <v>7651669.99270448</v>
      </c>
      <c r="O42" s="1">
        <v>4128036.0498088999</v>
      </c>
      <c r="P42" s="1">
        <v>4933294.7308604</v>
      </c>
      <c r="Q42" s="1">
        <v>5632667.0880544502</v>
      </c>
      <c r="R42" s="1">
        <v>5497667.1420993796</v>
      </c>
      <c r="S42" s="1">
        <v>10420486.0795752</v>
      </c>
      <c r="T42" s="1">
        <v>7208383.0452570198</v>
      </c>
      <c r="U42" s="1">
        <v>7089314.2047666004</v>
      </c>
      <c r="V42" s="1">
        <v>5585740.0302418601</v>
      </c>
      <c r="W42" s="1">
        <v>8346481.2386903698</v>
      </c>
      <c r="X42" s="1">
        <v>9830365.7848211396</v>
      </c>
      <c r="Y42" s="15">
        <f>AVERAGE(M42:O42)</f>
        <v>6064273.8885770841</v>
      </c>
      <c r="Z42" s="15">
        <f>AVERAGE(P42:R42)</f>
        <v>5354542.987004743</v>
      </c>
      <c r="AA42" s="16">
        <f>Z42/Y42</f>
        <v>0.88296522970223701</v>
      </c>
      <c r="AB42" s="17">
        <f>AVERAGE(S42:U42)</f>
        <v>8239394.4431996075</v>
      </c>
      <c r="AC42" s="17">
        <f>AVERAGE(V42:X42)</f>
        <v>7920862.3512511225</v>
      </c>
      <c r="AD42" s="18">
        <f>AC42/AB42</f>
        <v>0.96134035163089127</v>
      </c>
      <c r="AE42">
        <f>AVERAGE(M42,S42)</f>
        <v>8416800.8513965346</v>
      </c>
      <c r="AF42">
        <f>AVERAGE(N42,T42)</f>
        <v>7430026.5189807499</v>
      </c>
      <c r="AG42">
        <f>AVERAGE(O42)</f>
        <v>4128036.0498088999</v>
      </c>
      <c r="AH42">
        <f>AVERAGE(P42,V42)</f>
        <v>5259517.3805511296</v>
      </c>
      <c r="AI42">
        <f>AVERAGE(Q42,W42)</f>
        <v>6989574.1633724105</v>
      </c>
      <c r="AJ42">
        <f>AVERAGE(X42)</f>
        <v>9830365.7848211396</v>
      </c>
      <c r="AK42" s="1">
        <v>6847347.8511041803</v>
      </c>
      <c r="AL42" s="1">
        <v>7176699.4516001698</v>
      </c>
      <c r="AM42" s="1">
        <v>7101239.6756766001</v>
      </c>
      <c r="AN42" s="1">
        <v>7621859.5501536103</v>
      </c>
      <c r="AO42" s="1">
        <v>6747211.0074060401</v>
      </c>
      <c r="AP42" s="1">
        <v>6983826.1994913202</v>
      </c>
    </row>
    <row r="43" spans="1:42">
      <c r="A43" s="1" t="s">
        <v>303</v>
      </c>
      <c r="B43" s="1" t="s">
        <v>93</v>
      </c>
      <c r="C43" s="1" t="s">
        <v>94</v>
      </c>
      <c r="D43" s="1">
        <v>0.69</v>
      </c>
      <c r="E43" s="1">
        <v>210.12574000000001</v>
      </c>
      <c r="F43" s="1">
        <v>1.081</v>
      </c>
      <c r="G43" s="1">
        <f>AVERAGE(M43:X43)</f>
        <v>2200290.4382095006</v>
      </c>
      <c r="H43" s="1">
        <f>MAX(M43:X43)</f>
        <v>3491046.5075513399</v>
      </c>
      <c r="I43" s="1">
        <f>G43/SUM(G$2:G$104)</f>
        <v>2.9903034543721837E-4</v>
      </c>
      <c r="J43" s="1" t="e">
        <f>G43/#REF!</f>
        <v>#REF!</v>
      </c>
      <c r="K43" s="1" t="e">
        <f>H43/#REF!</f>
        <v>#REF!</v>
      </c>
      <c r="L43" s="1">
        <v>72.599999999999994</v>
      </c>
      <c r="M43" s="1">
        <v>2461547.0686486298</v>
      </c>
      <c r="N43" s="1">
        <v>2728883.1257905401</v>
      </c>
      <c r="O43" s="1">
        <v>2709372.26777016</v>
      </c>
      <c r="P43" s="1">
        <v>2150565.7517301901</v>
      </c>
      <c r="Q43" s="1">
        <v>1713481.2148100701</v>
      </c>
      <c r="R43" s="1">
        <v>3491046.5075513399</v>
      </c>
      <c r="S43" s="1">
        <v>895714.84027996205</v>
      </c>
      <c r="T43" s="1">
        <v>2596258.9264361099</v>
      </c>
      <c r="U43" s="1">
        <v>2235545.7676585801</v>
      </c>
      <c r="V43" s="1">
        <v>1290361.5774399401</v>
      </c>
      <c r="W43" s="1">
        <v>2177446.0280975699</v>
      </c>
      <c r="X43" s="1">
        <v>1953262.1823009099</v>
      </c>
      <c r="Y43" s="15">
        <f>AVERAGE(M43:O43)</f>
        <v>2633267.4874031101</v>
      </c>
      <c r="Z43" s="15">
        <f>AVERAGE(P43:R43)</f>
        <v>2451697.8246972002</v>
      </c>
      <c r="AA43" s="16">
        <f>Z43/Y43</f>
        <v>0.93104777103940506</v>
      </c>
      <c r="AB43" s="17">
        <f>AVERAGE(S43:U43)</f>
        <v>1909173.1781248841</v>
      </c>
      <c r="AC43" s="17">
        <f>AVERAGE(V43:X43)</f>
        <v>1807023.2626128066</v>
      </c>
      <c r="AD43" s="18">
        <f>AC43/AB43</f>
        <v>0.94649520709671542</v>
      </c>
      <c r="AE43">
        <f>AVERAGE(M43,S43)</f>
        <v>1678630.9544642959</v>
      </c>
      <c r="AF43">
        <f>AVERAGE(N43,T43)</f>
        <v>2662571.0261133248</v>
      </c>
      <c r="AG43">
        <f>AVERAGE(O43)</f>
        <v>2709372.26777016</v>
      </c>
      <c r="AH43">
        <f>AVERAGE(P43,V43)</f>
        <v>1720463.6645850651</v>
      </c>
      <c r="AI43">
        <f>AVERAGE(Q43,W43)</f>
        <v>1945463.62145382</v>
      </c>
      <c r="AJ43">
        <f>AVERAGE(X43)</f>
        <v>1953262.1823009099</v>
      </c>
      <c r="AK43" s="1">
        <v>3000030.2475091899</v>
      </c>
      <c r="AL43" s="1">
        <v>2464478.3628986902</v>
      </c>
      <c r="AM43" s="1">
        <v>3003306.5402373401</v>
      </c>
      <c r="AN43" s="1">
        <v>4251105.8791777501</v>
      </c>
      <c r="AO43" s="1">
        <v>3169262.1371724699</v>
      </c>
      <c r="AP43" s="1">
        <v>3140165.69661198</v>
      </c>
    </row>
    <row r="44" spans="1:42">
      <c r="A44" s="1" t="s">
        <v>326</v>
      </c>
      <c r="B44" s="1" t="s">
        <v>45</v>
      </c>
      <c r="C44" s="1" t="s">
        <v>46</v>
      </c>
      <c r="D44" s="1">
        <v>2.3199999999999998</v>
      </c>
      <c r="E44" s="1">
        <v>114.06834000000001</v>
      </c>
      <c r="F44" s="1">
        <v>1.0389999999999999</v>
      </c>
      <c r="G44" s="1">
        <f>AVERAGE(M44:X44)</f>
        <v>3471990.7805792303</v>
      </c>
      <c r="H44" s="1">
        <f>MAX(M44:X44)</f>
        <v>4571457.4488638798</v>
      </c>
      <c r="I44" s="1">
        <f>G44/SUM(G$2:G$104)</f>
        <v>4.7186070731476291E-4</v>
      </c>
      <c r="J44" s="1" t="e">
        <f>G44/#REF!</f>
        <v>#REF!</v>
      </c>
      <c r="K44" s="1" t="e">
        <f>H44/#REF!</f>
        <v>#REF!</v>
      </c>
      <c r="L44" s="1">
        <v>58.9</v>
      </c>
      <c r="M44" s="1">
        <v>4485876.97235764</v>
      </c>
      <c r="N44" s="1">
        <v>3071774.9688746501</v>
      </c>
      <c r="O44" s="1">
        <v>1918765.76307766</v>
      </c>
      <c r="P44" s="1">
        <v>2633706.3245257898</v>
      </c>
      <c r="Q44" s="1">
        <v>3509189.9346169201</v>
      </c>
      <c r="R44" s="1">
        <v>4571457.4488638798</v>
      </c>
      <c r="S44" s="1">
        <v>3555942.7994054598</v>
      </c>
      <c r="T44" s="1">
        <v>4292774.6731586503</v>
      </c>
      <c r="U44" s="1">
        <v>3189721.4940420799</v>
      </c>
      <c r="V44" s="1">
        <v>2066205.1344509099</v>
      </c>
      <c r="W44" s="1">
        <v>3903178.5756486799</v>
      </c>
      <c r="X44" s="1">
        <v>4465295.2779284501</v>
      </c>
      <c r="Y44" s="15">
        <f>AVERAGE(M44:O44)</f>
        <v>3158805.9014366497</v>
      </c>
      <c r="Z44" s="15">
        <f>AVERAGE(P44:R44)</f>
        <v>3571451.236002197</v>
      </c>
      <c r="AA44" s="16">
        <f>Z44/Y44</f>
        <v>1.1306333302650451</v>
      </c>
      <c r="AB44" s="17">
        <f>AVERAGE(S44:U44)</f>
        <v>3679479.6555353967</v>
      </c>
      <c r="AC44" s="17">
        <f>AVERAGE(V44:X44)</f>
        <v>3478226.3293426801</v>
      </c>
      <c r="AD44" s="18">
        <f>AC44/AB44</f>
        <v>0.94530386222140084</v>
      </c>
      <c r="AE44">
        <f>AVERAGE(M44,S44)</f>
        <v>4020909.8858815497</v>
      </c>
      <c r="AF44">
        <f>AVERAGE(N44,T44)</f>
        <v>3682274.8210166502</v>
      </c>
      <c r="AG44">
        <f>AVERAGE(O44)</f>
        <v>1918765.76307766</v>
      </c>
      <c r="AH44">
        <f>AVERAGE(P44,V44)</f>
        <v>2349955.72948835</v>
      </c>
      <c r="AI44">
        <f>AVERAGE(Q44,W44)</f>
        <v>3706184.2551328</v>
      </c>
      <c r="AJ44">
        <f>AVERAGE(X44)</f>
        <v>4465295.2779284501</v>
      </c>
      <c r="AK44" s="1">
        <v>2354972.7546900101</v>
      </c>
      <c r="AL44" s="1">
        <v>3853340.3318015798</v>
      </c>
      <c r="AM44" s="1">
        <v>4974918.0454829503</v>
      </c>
      <c r="AN44" s="1">
        <v>4499136.0719090002</v>
      </c>
      <c r="AO44" s="1">
        <v>2780634.12379226</v>
      </c>
      <c r="AP44" s="1">
        <v>3179929.08882441</v>
      </c>
    </row>
    <row r="45" spans="1:42">
      <c r="A45" s="23" t="s">
        <v>275</v>
      </c>
      <c r="B45" s="23" t="s">
        <v>173</v>
      </c>
      <c r="C45" s="23" t="s">
        <v>174</v>
      </c>
      <c r="D45" s="23">
        <v>-1.46</v>
      </c>
      <c r="E45" s="23">
        <v>122.03660000000001</v>
      </c>
      <c r="F45" s="23">
        <v>1.0329999999999999</v>
      </c>
      <c r="G45" s="23">
        <f>AVERAGE(M45:X45)</f>
        <v>10513620.142168695</v>
      </c>
      <c r="H45" s="23">
        <f>MAX(M45:X45)</f>
        <v>33575224.958584704</v>
      </c>
      <c r="I45" s="23">
        <f>G45/SUM(G$2:G$104)</f>
        <v>1.428852940644855E-3</v>
      </c>
      <c r="J45" s="23" t="e">
        <f>G45/#REF!</f>
        <v>#REF!</v>
      </c>
      <c r="K45" s="23" t="e">
        <f>H45/#REF!</f>
        <v>#REF!</v>
      </c>
      <c r="L45" s="23">
        <v>86.3</v>
      </c>
      <c r="M45" s="23">
        <v>6864104.9099759301</v>
      </c>
      <c r="N45" s="23">
        <v>4424280.3579394603</v>
      </c>
      <c r="O45" s="23">
        <v>7815973.6698646601</v>
      </c>
      <c r="P45" s="23">
        <v>6558873.5234518703</v>
      </c>
      <c r="Q45" s="23">
        <v>3994204.8694292698</v>
      </c>
      <c r="R45" s="23">
        <v>33575224.958584704</v>
      </c>
      <c r="S45" s="23">
        <v>8372514.3863566099</v>
      </c>
      <c r="T45" s="23">
        <v>10180681.7409245</v>
      </c>
      <c r="U45" s="23">
        <v>13910659.4978773</v>
      </c>
      <c r="V45" s="23">
        <v>13896730.2166052</v>
      </c>
      <c r="W45" s="23">
        <v>8510915.5007335208</v>
      </c>
      <c r="X45" s="23">
        <v>8059278.07428132</v>
      </c>
      <c r="Y45" s="24">
        <f>AVERAGE(M45:O45)</f>
        <v>6368119.6459266841</v>
      </c>
      <c r="Z45" s="24">
        <f>AVERAGE(P45:R45)</f>
        <v>14709434.450488614</v>
      </c>
      <c r="AA45" s="25">
        <f>Z45/Y45</f>
        <v>2.3098552270288111</v>
      </c>
      <c r="AB45" s="26">
        <f>AVERAGE(S45:U45)</f>
        <v>10821285.208386136</v>
      </c>
      <c r="AC45" s="26">
        <f>AVERAGE(V45:X45)</f>
        <v>10155641.263873346</v>
      </c>
      <c r="AD45" s="27">
        <f>AC45/AB45</f>
        <v>0.93848753344039593</v>
      </c>
      <c r="AE45">
        <f>AVERAGE(M45,S45)</f>
        <v>7618309.64816627</v>
      </c>
      <c r="AF45">
        <f>AVERAGE(N45,T45)</f>
        <v>7302481.0494319797</v>
      </c>
      <c r="AG45">
        <f>AVERAGE(O45)</f>
        <v>7815973.6698646601</v>
      </c>
      <c r="AH45">
        <f>AVERAGE(P45,V45)</f>
        <v>10227801.870028535</v>
      </c>
      <c r="AI45">
        <f>AVERAGE(Q45,W45)</f>
        <v>6252560.1850813953</v>
      </c>
      <c r="AJ45">
        <f>AVERAGE(X45)</f>
        <v>8059278.07428132</v>
      </c>
      <c r="AK45" s="1">
        <v>9913447.8260999192</v>
      </c>
      <c r="AL45" s="1">
        <v>7524427.5620258404</v>
      </c>
      <c r="AM45" s="1">
        <v>9244921.9996131808</v>
      </c>
      <c r="AN45" s="1">
        <v>8683281.1983232498</v>
      </c>
      <c r="AO45" s="1">
        <v>13337931.3979923</v>
      </c>
      <c r="AP45" s="1">
        <v>9211425.7899011895</v>
      </c>
    </row>
    <row r="46" spans="1:42">
      <c r="A46" s="1" t="s">
        <v>240</v>
      </c>
      <c r="B46" s="6" t="s">
        <v>128</v>
      </c>
      <c r="C46" s="1" t="s">
        <v>129</v>
      </c>
      <c r="D46" s="1">
        <v>-0.53</v>
      </c>
      <c r="E46" s="1">
        <v>301.29791999999998</v>
      </c>
      <c r="F46" s="1">
        <v>1.5880000000000001</v>
      </c>
      <c r="G46" s="1">
        <f>AVERAGE(M46:X46)</f>
        <v>1018187387.8253614</v>
      </c>
      <c r="H46" s="1">
        <f>MAX(M46:X46)</f>
        <v>1469741296.37463</v>
      </c>
      <c r="I46" s="1">
        <f>G46/SUM(G$2:G$104)</f>
        <v>0.13837669837305669</v>
      </c>
      <c r="J46" s="1" t="e">
        <f>G46/#REF!</f>
        <v>#REF!</v>
      </c>
      <c r="K46" s="1" t="e">
        <f>H46/#REF!</f>
        <v>#REF!</v>
      </c>
      <c r="L46" s="1">
        <v>66.3</v>
      </c>
      <c r="M46" s="1">
        <v>936327034.16108894</v>
      </c>
      <c r="N46" s="1">
        <v>1469741296.37463</v>
      </c>
      <c r="O46" s="1">
        <v>708853390.60435498</v>
      </c>
      <c r="P46" s="1">
        <v>663960710.94703805</v>
      </c>
      <c r="Q46" s="1">
        <v>947624538.23538601</v>
      </c>
      <c r="R46" s="1">
        <v>1456643962.5811601</v>
      </c>
      <c r="S46" s="1">
        <v>1175213389.1489501</v>
      </c>
      <c r="T46" s="1">
        <v>1049293930.7678699</v>
      </c>
      <c r="U46" s="1">
        <v>902895625.26337302</v>
      </c>
      <c r="V46" s="1">
        <v>890700702.25749695</v>
      </c>
      <c r="W46" s="1">
        <v>1366031174.21175</v>
      </c>
      <c r="X46" s="1">
        <v>650962899.35123801</v>
      </c>
      <c r="Y46" s="15">
        <f>AVERAGE(M46:O46)</f>
        <v>1038307240.3800246</v>
      </c>
      <c r="Z46" s="15">
        <f>AVERAGE(P46:R46)</f>
        <v>1022743070.5878614</v>
      </c>
      <c r="AA46" s="16">
        <f>Z46/Y46</f>
        <v>0.98501005368462369</v>
      </c>
      <c r="AB46" s="17">
        <f>AVERAGE(S46:U46)</f>
        <v>1042467648.3933977</v>
      </c>
      <c r="AC46" s="17">
        <f>AVERAGE(V46:X46)</f>
        <v>969231591.94016171</v>
      </c>
      <c r="AD46" s="18">
        <f>AC46/AB46</f>
        <v>0.92974740600717543</v>
      </c>
      <c r="AE46">
        <f>AVERAGE(M46,S46)</f>
        <v>1055770211.6550195</v>
      </c>
      <c r="AF46">
        <f>AVERAGE(N46,T46)</f>
        <v>1259517613.57125</v>
      </c>
      <c r="AG46">
        <f>AVERAGE(O46)</f>
        <v>708853390.60435498</v>
      </c>
      <c r="AH46">
        <f>AVERAGE(P46,V46)</f>
        <v>777330706.6022675</v>
      </c>
      <c r="AI46">
        <f>AVERAGE(Q46,W46)</f>
        <v>1156827856.223568</v>
      </c>
      <c r="AJ46">
        <f>AVERAGE(X46)</f>
        <v>650962899.35123801</v>
      </c>
      <c r="AK46" s="1">
        <v>1557459508.32376</v>
      </c>
      <c r="AL46" s="1">
        <v>1543174165.2176399</v>
      </c>
      <c r="AM46" s="1">
        <v>1342899020.8628099</v>
      </c>
      <c r="AN46" s="1">
        <v>1155593919.1128099</v>
      </c>
      <c r="AO46" s="1">
        <v>1481491505.40991</v>
      </c>
      <c r="AP46" s="1">
        <v>2136824568.0936401</v>
      </c>
    </row>
    <row r="47" spans="1:42">
      <c r="A47" s="23" t="s">
        <v>321</v>
      </c>
      <c r="B47" s="23" t="s">
        <v>109</v>
      </c>
      <c r="C47" s="23" t="s">
        <v>110</v>
      </c>
      <c r="D47" s="23">
        <v>1.24</v>
      </c>
      <c r="E47" s="23">
        <v>164.08393000000001</v>
      </c>
      <c r="F47" s="23">
        <v>1.073</v>
      </c>
      <c r="G47" s="23">
        <f>AVERAGE(M47:X47)</f>
        <v>2448877.8493783083</v>
      </c>
      <c r="H47" s="23">
        <f>MAX(M47:X47)</f>
        <v>3260908.1115109702</v>
      </c>
      <c r="I47" s="23">
        <f>G47/SUM(G$2:G$104)</f>
        <v>3.3281460325258343E-4</v>
      </c>
      <c r="J47" s="23" t="e">
        <f>G47/#REF!</f>
        <v>#REF!</v>
      </c>
      <c r="K47" s="23" t="e">
        <f>H47/#REF!</f>
        <v>#REF!</v>
      </c>
      <c r="L47" s="23">
        <v>61.6</v>
      </c>
      <c r="M47" s="23">
        <v>2340093.8988134302</v>
      </c>
      <c r="N47" s="23">
        <v>2308628.8945452701</v>
      </c>
      <c r="O47" s="23">
        <v>2854379.2415221701</v>
      </c>
      <c r="P47" s="23">
        <v>2309831.7394654402</v>
      </c>
      <c r="Q47" s="23">
        <v>1534785.97183957</v>
      </c>
      <c r="R47" s="23">
        <v>3260908.1115109702</v>
      </c>
      <c r="S47" s="23">
        <v>2970577.9057908198</v>
      </c>
      <c r="T47" s="23">
        <v>2679401.8692196398</v>
      </c>
      <c r="U47" s="23">
        <v>2113694.03918313</v>
      </c>
      <c r="V47" s="23">
        <v>1791534.88451062</v>
      </c>
      <c r="W47" s="23">
        <v>3008215.3580986699</v>
      </c>
      <c r="X47" s="23">
        <v>2214482.27803997</v>
      </c>
      <c r="Y47" s="24">
        <f>AVERAGE(M47:O47)</f>
        <v>2501034.011626957</v>
      </c>
      <c r="Z47" s="24">
        <f>AVERAGE(P47:R47)</f>
        <v>2368508.6076053269</v>
      </c>
      <c r="AA47" s="25">
        <f>Z47/Y47</f>
        <v>0.9470117545760921</v>
      </c>
      <c r="AB47" s="26">
        <f>AVERAGE(S47:U47)</f>
        <v>2587891.271397863</v>
      </c>
      <c r="AC47" s="26">
        <f>AVERAGE(V47:X47)</f>
        <v>2338077.5068830866</v>
      </c>
      <c r="AD47" s="27">
        <f>AC47/AB47</f>
        <v>0.90346821472919214</v>
      </c>
      <c r="AE47">
        <f>AVERAGE(M47,S47)</f>
        <v>2655335.902302125</v>
      </c>
      <c r="AF47">
        <f>AVERAGE(N47,T47)</f>
        <v>2494015.3818824552</v>
      </c>
      <c r="AG47">
        <f>AVERAGE(O47)</f>
        <v>2854379.2415221701</v>
      </c>
      <c r="AH47">
        <f>AVERAGE(P47,V47)</f>
        <v>2050683.3119880301</v>
      </c>
      <c r="AI47">
        <f>AVERAGE(Q47,W47)</f>
        <v>2271500.6649691202</v>
      </c>
      <c r="AJ47">
        <f>AVERAGE(X47)</f>
        <v>2214482.27803997</v>
      </c>
      <c r="AK47" s="1">
        <v>2810688.2607799498</v>
      </c>
      <c r="AL47" s="1">
        <v>2616366.3783603902</v>
      </c>
      <c r="AM47" s="1">
        <v>2736639.7691589198</v>
      </c>
      <c r="AN47" s="1">
        <v>3507967.2381774802</v>
      </c>
      <c r="AO47" s="1">
        <v>1930703.8414425501</v>
      </c>
      <c r="AP47" s="1">
        <v>3914739.9925718699</v>
      </c>
    </row>
    <row r="48" spans="1:42">
      <c r="A48" s="1" t="s">
        <v>250</v>
      </c>
      <c r="B48" s="1" t="s">
        <v>215</v>
      </c>
      <c r="C48" s="1" t="s">
        <v>216</v>
      </c>
      <c r="D48" s="1">
        <v>0.02</v>
      </c>
      <c r="E48" s="1">
        <v>215.18852999999999</v>
      </c>
      <c r="F48" s="1">
        <v>1.752</v>
      </c>
      <c r="G48" s="1">
        <f>AVERAGE(M48:X48)</f>
        <v>38317106.986546777</v>
      </c>
      <c r="H48" s="1">
        <f>MAX(M48:X48)</f>
        <v>165814631.511044</v>
      </c>
      <c r="I48" s="1">
        <f>G48/SUM(G$2:G$104)</f>
        <v>5.2074842208858262E-3</v>
      </c>
      <c r="J48" s="1" t="e">
        <f>G48/#REF!</f>
        <v>#REF!</v>
      </c>
      <c r="K48" s="1" t="e">
        <f>H48/#REF!</f>
        <v>#REF!</v>
      </c>
      <c r="L48" s="1">
        <v>67.099999999999994</v>
      </c>
      <c r="M48" s="1">
        <v>165814631.511044</v>
      </c>
      <c r="N48" s="1">
        <v>16187840.722288501</v>
      </c>
      <c r="O48" s="1">
        <v>12297465.757241501</v>
      </c>
      <c r="P48" s="1">
        <v>16236033.2607267</v>
      </c>
      <c r="Q48" s="1">
        <v>22927034.1935861</v>
      </c>
      <c r="R48" s="1">
        <v>146977034.01718</v>
      </c>
      <c r="S48" s="1">
        <v>12381010.7423405</v>
      </c>
      <c r="T48" s="1">
        <v>20561439.6640612</v>
      </c>
      <c r="U48" s="1">
        <v>8948839.7624895703</v>
      </c>
      <c r="V48" s="1">
        <v>9012051.0295075197</v>
      </c>
      <c r="W48" s="1">
        <v>9187363.0367271006</v>
      </c>
      <c r="X48" s="1">
        <v>19274540.141368601</v>
      </c>
      <c r="Y48" s="15">
        <f>AVERAGE(M48:O48)</f>
        <v>64766645.996857993</v>
      </c>
      <c r="Z48" s="15">
        <f>AVERAGE(P48:R48)</f>
        <v>62046700.490497597</v>
      </c>
      <c r="AA48" s="16">
        <f>Z48/Y48</f>
        <v>0.95800391598953039</v>
      </c>
      <c r="AB48" s="17">
        <f>AVERAGE(S48:U48)</f>
        <v>13963763.389630424</v>
      </c>
      <c r="AC48" s="17">
        <f>AVERAGE(V48:X48)</f>
        <v>12491318.069201073</v>
      </c>
      <c r="AD48" s="18">
        <f>AC48/AB48</f>
        <v>0.89455240114403556</v>
      </c>
      <c r="AE48">
        <f>AVERAGE(M48,S48)</f>
        <v>89097821.12669225</v>
      </c>
      <c r="AF48">
        <f>AVERAGE(N48,T48)</f>
        <v>18374640.19317485</v>
      </c>
      <c r="AG48">
        <f>AVERAGE(O48)</f>
        <v>12297465.757241501</v>
      </c>
      <c r="AH48">
        <f>AVERAGE(P48,V48)</f>
        <v>12624042.14511711</v>
      </c>
      <c r="AI48">
        <f>AVERAGE(Q48,W48)</f>
        <v>16057198.6151566</v>
      </c>
      <c r="AJ48">
        <f>AVERAGE(X48)</f>
        <v>19274540.141368601</v>
      </c>
      <c r="AK48" s="1">
        <v>85236230.079179004</v>
      </c>
      <c r="AL48" s="1">
        <v>76893574.743497998</v>
      </c>
      <c r="AM48" s="1">
        <v>69858555.005074203</v>
      </c>
      <c r="AN48" s="1">
        <v>86798030.458350107</v>
      </c>
      <c r="AO48" s="1">
        <v>113783444.05395401</v>
      </c>
      <c r="AP48" s="1">
        <v>153655470.42561901</v>
      </c>
    </row>
    <row r="49" spans="1:42">
      <c r="A49" s="1" t="s">
        <v>323</v>
      </c>
      <c r="B49" s="1" t="s">
        <v>154</v>
      </c>
      <c r="C49" s="1" t="s">
        <v>155</v>
      </c>
      <c r="D49" s="1">
        <v>-0.52</v>
      </c>
      <c r="E49" s="1">
        <v>292.20368999999999</v>
      </c>
      <c r="F49" s="1">
        <v>1.014</v>
      </c>
      <c r="G49" s="1">
        <f>AVERAGE(M49:X49)</f>
        <v>1453752.252206106</v>
      </c>
      <c r="H49" s="1">
        <f>MAX(M49:X49)</f>
        <v>2688903.57126662</v>
      </c>
      <c r="I49" s="1">
        <f>G49/SUM(G$2:G$104)</f>
        <v>1.975721162116574E-4</v>
      </c>
      <c r="J49" s="1" t="e">
        <f>G49/#REF!</f>
        <v>#REF!</v>
      </c>
      <c r="K49" s="1" t="e">
        <f>H49/#REF!</f>
        <v>#REF!</v>
      </c>
      <c r="L49" s="1">
        <v>74.599999999999994</v>
      </c>
      <c r="M49" s="1">
        <v>1934122.65033286</v>
      </c>
      <c r="N49" s="1">
        <v>1200679.923615</v>
      </c>
      <c r="O49" s="1">
        <v>1272258.08421913</v>
      </c>
      <c r="P49" s="1">
        <v>925056.59326174704</v>
      </c>
      <c r="Q49" s="1">
        <v>1466967.0620629501</v>
      </c>
      <c r="R49" s="1">
        <v>2688903.57126662</v>
      </c>
      <c r="S49" s="1">
        <v>794194.47478096804</v>
      </c>
      <c r="T49" s="1">
        <v>1616771.87073666</v>
      </c>
      <c r="U49" s="1">
        <v>1825016.50252313</v>
      </c>
      <c r="V49" s="1">
        <v>798127.31188010704</v>
      </c>
      <c r="W49" s="1">
        <v>1117772.81647062</v>
      </c>
      <c r="X49" s="1">
        <v>1805156.16532348</v>
      </c>
      <c r="Y49" s="15">
        <f>AVERAGE(M49:O49)</f>
        <v>1469020.2193889965</v>
      </c>
      <c r="Z49" s="15">
        <f>AVERAGE(P49:R49)</f>
        <v>1693642.4088637724</v>
      </c>
      <c r="AA49" s="16">
        <f>Z49/Y49</f>
        <v>1.1529061251234527</v>
      </c>
      <c r="AB49" s="17">
        <f>AVERAGE(S49:U49)</f>
        <v>1411994.2826802526</v>
      </c>
      <c r="AC49" s="17">
        <f>AVERAGE(V49:X49)</f>
        <v>1240352.0978914024</v>
      </c>
      <c r="AD49" s="18">
        <f>AC49/AB49</f>
        <v>0.87843988683648322</v>
      </c>
      <c r="AE49">
        <f>AVERAGE(M49,S49)</f>
        <v>1364158.5625569141</v>
      </c>
      <c r="AF49">
        <f>AVERAGE(N49,T49)</f>
        <v>1408725.8971758299</v>
      </c>
      <c r="AG49">
        <f>AVERAGE(O49)</f>
        <v>1272258.08421913</v>
      </c>
      <c r="AH49">
        <f>AVERAGE(P49,V49)</f>
        <v>861591.9525709271</v>
      </c>
      <c r="AI49">
        <f>AVERAGE(Q49,W49)</f>
        <v>1292369.939266785</v>
      </c>
      <c r="AJ49">
        <f>AVERAGE(X49)</f>
        <v>1805156.16532348</v>
      </c>
      <c r="AK49" s="1">
        <v>1225200.4628131301</v>
      </c>
      <c r="AL49" s="1">
        <v>1636973.3519453299</v>
      </c>
      <c r="AM49" s="1">
        <v>1398897.6942010699</v>
      </c>
      <c r="AN49" s="1">
        <v>2026281.8465828099</v>
      </c>
      <c r="AO49" s="1">
        <v>1724538.28575098</v>
      </c>
      <c r="AP49" s="1">
        <v>1855133.28170207</v>
      </c>
    </row>
    <row r="50" spans="1:42">
      <c r="A50" s="1" t="s">
        <v>248</v>
      </c>
      <c r="B50" s="6" t="s">
        <v>85</v>
      </c>
      <c r="C50" s="1" t="s">
        <v>86</v>
      </c>
      <c r="D50" s="1">
        <v>-0.25</v>
      </c>
      <c r="E50" s="1">
        <v>201.20921000000001</v>
      </c>
      <c r="F50" s="1">
        <v>1.7310000000000001</v>
      </c>
      <c r="G50" s="1">
        <f>AVERAGE(M50:X50)</f>
        <v>111423152.07773435</v>
      </c>
      <c r="H50" s="1">
        <f>MAX(M50:X50)</f>
        <v>346931823.82616699</v>
      </c>
      <c r="I50" s="1">
        <f>G50/SUM(G$2:G$104)</f>
        <v>1.5142957073713447E-2</v>
      </c>
      <c r="J50" s="1" t="e">
        <f>G50/#REF!</f>
        <v>#REF!</v>
      </c>
      <c r="K50" s="1" t="e">
        <f>H50/#REF!</f>
        <v>#REF!</v>
      </c>
      <c r="L50" s="1">
        <v>90.9</v>
      </c>
      <c r="M50" s="1">
        <v>85045916.579038098</v>
      </c>
      <c r="N50" s="1">
        <v>126893017.520513</v>
      </c>
      <c r="O50" s="1">
        <v>86291727.258647397</v>
      </c>
      <c r="P50" s="1">
        <v>43219938.339058504</v>
      </c>
      <c r="Q50" s="1">
        <v>157141129.27414599</v>
      </c>
      <c r="R50" s="1">
        <v>346931823.82616699</v>
      </c>
      <c r="S50" s="1">
        <v>81098150.937127203</v>
      </c>
      <c r="T50" s="1">
        <v>94023768.486671701</v>
      </c>
      <c r="U50" s="1">
        <v>90869378.267894506</v>
      </c>
      <c r="V50" s="1">
        <v>65664160.005948998</v>
      </c>
      <c r="W50" s="1">
        <v>77218175.415744096</v>
      </c>
      <c r="X50" s="1">
        <v>82680639.021855697</v>
      </c>
      <c r="Y50" s="15">
        <f>AVERAGE(M50:O50)</f>
        <v>99410220.452732816</v>
      </c>
      <c r="Z50" s="15">
        <f>AVERAGE(P50:R50)</f>
        <v>182430963.81312382</v>
      </c>
      <c r="AA50" s="16">
        <f>Z50/Y50</f>
        <v>1.8351328765020232</v>
      </c>
      <c r="AB50" s="17">
        <f>AVERAGE(S50:U50)</f>
        <v>88663765.897231147</v>
      </c>
      <c r="AC50" s="17">
        <f>AVERAGE(V50:X50)</f>
        <v>75187658.147849604</v>
      </c>
      <c r="AD50" s="18">
        <f>AC50/AB50</f>
        <v>0.84800884991732139</v>
      </c>
      <c r="AE50">
        <f>AVERAGE(M50,S50)</f>
        <v>83072033.758082658</v>
      </c>
      <c r="AF50">
        <f>AVERAGE(N50,T50)</f>
        <v>110458393.00359234</v>
      </c>
      <c r="AG50">
        <f>AVERAGE(O50)</f>
        <v>86291727.258647397</v>
      </c>
      <c r="AH50">
        <f>AVERAGE(P50,V50)</f>
        <v>54442049.172503754</v>
      </c>
      <c r="AI50">
        <f>AVERAGE(Q50,W50)</f>
        <v>117179652.34494504</v>
      </c>
      <c r="AJ50">
        <f>AVERAGE(X50)</f>
        <v>82680639.021855697</v>
      </c>
      <c r="AK50" s="1">
        <v>100106511.674768</v>
      </c>
      <c r="AL50" s="1">
        <v>111336709.08182199</v>
      </c>
      <c r="AM50" s="1">
        <v>109995061.192552</v>
      </c>
      <c r="AN50" s="1">
        <v>120788281.30387899</v>
      </c>
      <c r="AO50" s="1">
        <v>161878067.47100899</v>
      </c>
      <c r="AP50" s="1">
        <v>236733932.43725201</v>
      </c>
    </row>
    <row r="51" spans="1:42">
      <c r="A51" s="1" t="s">
        <v>243</v>
      </c>
      <c r="B51" s="3" t="s">
        <v>73</v>
      </c>
      <c r="C51" s="1" t="s">
        <v>74</v>
      </c>
      <c r="D51" s="1">
        <v>-0.08</v>
      </c>
      <c r="E51" s="1">
        <v>418.17397</v>
      </c>
      <c r="F51" s="1">
        <v>0.94499999999999995</v>
      </c>
      <c r="G51" s="1">
        <f>AVERAGE(M51:X51)</f>
        <v>893611937.90111578</v>
      </c>
      <c r="H51" s="1">
        <f>MAX(M51:X51)</f>
        <v>1178620379.96807</v>
      </c>
      <c r="I51" s="1">
        <f>G51/SUM(G$2:G$104)</f>
        <v>0.12144627901707479</v>
      </c>
      <c r="J51" s="1" t="e">
        <f>G51/#REF!</f>
        <v>#REF!</v>
      </c>
      <c r="K51" s="1" t="e">
        <f>H51/#REF!</f>
        <v>#REF!</v>
      </c>
      <c r="L51" s="1">
        <v>81.900000000000006</v>
      </c>
      <c r="M51" s="1">
        <v>775661997.52061296</v>
      </c>
      <c r="N51" s="1">
        <v>624707417.04809499</v>
      </c>
      <c r="O51" s="1">
        <v>910120413.22469294</v>
      </c>
      <c r="P51" s="1">
        <v>1066198864.2923</v>
      </c>
      <c r="Q51" s="1">
        <v>860827659.56270003</v>
      </c>
      <c r="R51" s="1">
        <v>733124215.92547905</v>
      </c>
      <c r="S51" s="1">
        <v>1178620379.96807</v>
      </c>
      <c r="T51" s="1">
        <v>932483506.02367604</v>
      </c>
      <c r="U51" s="1">
        <v>1019381797.12024</v>
      </c>
      <c r="V51" s="1">
        <v>754798133.23324895</v>
      </c>
      <c r="W51" s="1">
        <v>967396492.46607399</v>
      </c>
      <c r="X51" s="1">
        <v>900022378.42819905</v>
      </c>
      <c r="Y51" s="15">
        <f>AVERAGE(M51:O51)</f>
        <v>770163275.93113363</v>
      </c>
      <c r="Z51" s="15">
        <f>AVERAGE(P51:R51)</f>
        <v>886716913.26015961</v>
      </c>
      <c r="AA51" s="16">
        <f>Z51/Y51</f>
        <v>1.1513362698164382</v>
      </c>
      <c r="AB51" s="17">
        <f>AVERAGE(S51:U51)</f>
        <v>1043495227.7039953</v>
      </c>
      <c r="AC51" s="17">
        <f>AVERAGE(V51:X51)</f>
        <v>874072334.70917404</v>
      </c>
      <c r="AD51" s="18">
        <f>AC51/AB51</f>
        <v>0.83763903418360341</v>
      </c>
      <c r="AE51">
        <f>AVERAGE(M51,S51)</f>
        <v>977141188.74434149</v>
      </c>
      <c r="AF51">
        <f>AVERAGE(N51,T51)</f>
        <v>778595461.53588557</v>
      </c>
      <c r="AG51">
        <f>AVERAGE(O51)</f>
        <v>910120413.22469294</v>
      </c>
      <c r="AH51">
        <f>AVERAGE(P51,V51)</f>
        <v>910498498.76277447</v>
      </c>
      <c r="AI51">
        <f>AVERAGE(Q51,W51)</f>
        <v>914112076.01438701</v>
      </c>
      <c r="AJ51">
        <f>AVERAGE(X51)</f>
        <v>900022378.42819905</v>
      </c>
      <c r="AK51" s="1">
        <v>788450187.36380303</v>
      </c>
      <c r="AL51" s="1">
        <v>884049867.82968605</v>
      </c>
      <c r="AM51" s="1">
        <v>732334656.48290801</v>
      </c>
      <c r="AN51" s="1">
        <v>1000261693.46192</v>
      </c>
      <c r="AO51" s="1">
        <v>1115625264.2694399</v>
      </c>
      <c r="AP51" s="1">
        <v>1088782200.81462</v>
      </c>
    </row>
    <row r="52" spans="1:42">
      <c r="A52" s="1" t="s">
        <v>242</v>
      </c>
      <c r="B52" s="6" t="s">
        <v>124</v>
      </c>
      <c r="C52" s="1" t="s">
        <v>125</v>
      </c>
      <c r="D52" s="1">
        <v>1.58</v>
      </c>
      <c r="E52" s="1">
        <v>78.014060000000001</v>
      </c>
      <c r="F52" s="1">
        <v>1.5640000000000001</v>
      </c>
      <c r="G52" s="1">
        <f>AVERAGE(M52:X52)</f>
        <v>962474953.62678623</v>
      </c>
      <c r="H52" s="1">
        <f>MAX(M52:X52)</f>
        <v>1226428580.8856299</v>
      </c>
      <c r="I52" s="1">
        <f>G52/SUM(G$2:G$104)</f>
        <v>0.13080510320805422</v>
      </c>
      <c r="J52" s="1" t="e">
        <f>G52/#REF!</f>
        <v>#REF!</v>
      </c>
      <c r="K52" s="1" t="e">
        <f>H52/#REF!</f>
        <v>#REF!</v>
      </c>
      <c r="L52" s="1">
        <v>90.8</v>
      </c>
      <c r="M52" s="1">
        <v>708795734.61032104</v>
      </c>
      <c r="N52" s="1">
        <v>1226428580.8856299</v>
      </c>
      <c r="O52" s="1">
        <v>799979612.736884</v>
      </c>
      <c r="P52" s="1">
        <v>815004180.57809603</v>
      </c>
      <c r="Q52" s="1">
        <v>1029903983.71466</v>
      </c>
      <c r="R52" s="1">
        <v>747157564.01637805</v>
      </c>
      <c r="S52" s="1">
        <v>1208869684.6382401</v>
      </c>
      <c r="T52" s="1">
        <v>1091482078.9177899</v>
      </c>
      <c r="U52" s="1">
        <v>1093464123.03596</v>
      </c>
      <c r="V52" s="1">
        <v>915368068.50403798</v>
      </c>
      <c r="W52" s="1">
        <v>922083607.05687201</v>
      </c>
      <c r="X52" s="1">
        <v>991162224.82656598</v>
      </c>
      <c r="Y52" s="15">
        <f>AVERAGE(M52:O52)</f>
        <v>911734642.74427831</v>
      </c>
      <c r="Z52" s="15">
        <f>AVERAGE(P52:R52)</f>
        <v>864021909.436378</v>
      </c>
      <c r="AA52" s="16">
        <f>Z52/Y52</f>
        <v>0.94766817989465968</v>
      </c>
      <c r="AB52" s="17">
        <f>AVERAGE(S52:U52)</f>
        <v>1131271962.1973302</v>
      </c>
      <c r="AC52" s="17">
        <f>AVERAGE(V52:X52)</f>
        <v>942871300.12915862</v>
      </c>
      <c r="AD52" s="18">
        <f>AC52/AB52</f>
        <v>0.83346121148248831</v>
      </c>
      <c r="AE52">
        <f>AVERAGE(M52,S52)</f>
        <v>958832709.62428057</v>
      </c>
      <c r="AF52">
        <f>AVERAGE(N52,T52)</f>
        <v>1158955329.90171</v>
      </c>
      <c r="AG52">
        <f>AVERAGE(O52)</f>
        <v>799979612.736884</v>
      </c>
      <c r="AH52">
        <f>AVERAGE(P52,V52)</f>
        <v>865186124.541067</v>
      </c>
      <c r="AI52">
        <f>AVERAGE(Q52,W52)</f>
        <v>975993795.38576603</v>
      </c>
      <c r="AJ52">
        <f>AVERAGE(X52)</f>
        <v>991162224.82656598</v>
      </c>
      <c r="AK52" s="1">
        <v>1092620913.4879401</v>
      </c>
      <c r="AL52" s="1">
        <v>1029962814.53432</v>
      </c>
      <c r="AM52" s="1">
        <v>1029436975.01011</v>
      </c>
      <c r="AN52" s="1">
        <v>935220460.74024701</v>
      </c>
      <c r="AO52" s="1">
        <v>1133154158.6359501</v>
      </c>
      <c r="AP52" s="1">
        <v>1094901700.4535899</v>
      </c>
    </row>
    <row r="53" spans="1:42">
      <c r="A53" s="1" t="s">
        <v>239</v>
      </c>
      <c r="B53" s="6" t="s">
        <v>140</v>
      </c>
      <c r="C53" s="1" t="s">
        <v>141</v>
      </c>
      <c r="D53" s="1">
        <v>0.82</v>
      </c>
      <c r="E53" s="1">
        <v>113.08416</v>
      </c>
      <c r="F53" s="1">
        <v>1.2789999999999999</v>
      </c>
      <c r="G53" s="1">
        <f>AVERAGE(M53:X53)</f>
        <v>2160885661.8591323</v>
      </c>
      <c r="H53" s="1">
        <f>MAX(M53:X53)</f>
        <v>5464230541.7036104</v>
      </c>
      <c r="I53" s="1">
        <f>G53/SUM(G$2:G$104)</f>
        <v>0.29367504157400853</v>
      </c>
      <c r="J53" s="1" t="e">
        <f>G53/#REF!</f>
        <v>#REF!</v>
      </c>
      <c r="K53" s="1" t="e">
        <f>H53/#REF!</f>
        <v>#REF!</v>
      </c>
      <c r="L53" s="1">
        <v>86</v>
      </c>
      <c r="M53" s="1">
        <v>126108240.636425</v>
      </c>
      <c r="N53" s="1">
        <v>102224048.47766601</v>
      </c>
      <c r="O53" s="1">
        <v>154097692.86418501</v>
      </c>
      <c r="P53" s="1">
        <v>135306396.723416</v>
      </c>
      <c r="Q53" s="1">
        <v>104276243.282804</v>
      </c>
      <c r="R53" s="1">
        <v>5464230541.7036104</v>
      </c>
      <c r="S53" s="1">
        <v>4184600125.3590002</v>
      </c>
      <c r="T53" s="1">
        <v>4365337983.2404203</v>
      </c>
      <c r="U53" s="1">
        <v>2283907543.6216102</v>
      </c>
      <c r="V53" s="1">
        <v>3443614003.5573001</v>
      </c>
      <c r="W53" s="1">
        <v>2780150407.4153199</v>
      </c>
      <c r="X53" s="1">
        <v>2786774715.4278302</v>
      </c>
      <c r="Y53" s="15">
        <f>AVERAGE(M53:O53)</f>
        <v>127476660.65942533</v>
      </c>
      <c r="Z53" s="15">
        <f>AVERAGE(P53:R53)</f>
        <v>1901271060.5699434</v>
      </c>
      <c r="AA53" s="16">
        <f>Z53/Y53</f>
        <v>14.914660069810731</v>
      </c>
      <c r="AB53" s="17">
        <f>AVERAGE(S53:U53)</f>
        <v>3611281884.0736771</v>
      </c>
      <c r="AC53" s="17">
        <f>AVERAGE(V53:X53)</f>
        <v>3003513042.1334834</v>
      </c>
      <c r="AD53" s="18">
        <f>AC53/AB53</f>
        <v>0.83170274117327969</v>
      </c>
      <c r="AE53">
        <f>AVERAGE(M53,S53)</f>
        <v>2155354182.9977126</v>
      </c>
      <c r="AF53">
        <f>AVERAGE(N53,T53)</f>
        <v>2233781015.8590431</v>
      </c>
      <c r="AG53">
        <f>AVERAGE(O53)</f>
        <v>154097692.86418501</v>
      </c>
      <c r="AH53">
        <f>AVERAGE(P53,V53)</f>
        <v>1789460200.140358</v>
      </c>
      <c r="AI53">
        <f>AVERAGE(Q53,W53)</f>
        <v>1442213325.349062</v>
      </c>
      <c r="AJ53">
        <f>AVERAGE(X53)</f>
        <v>2786774715.4278302</v>
      </c>
      <c r="AK53" s="1">
        <v>2320490764.28122</v>
      </c>
      <c r="AL53" s="1">
        <v>2171838476.7976298</v>
      </c>
      <c r="AM53" s="1">
        <v>2241950352.7348299</v>
      </c>
      <c r="AN53" s="1">
        <v>2551099982.2723999</v>
      </c>
      <c r="AO53" s="1">
        <v>2478103143.7344499</v>
      </c>
      <c r="AP53" s="1">
        <v>2586903100.5553098</v>
      </c>
    </row>
    <row r="54" spans="1:42">
      <c r="A54" s="9" t="s">
        <v>302</v>
      </c>
      <c r="B54" s="9" t="s">
        <v>156</v>
      </c>
      <c r="C54" s="9" t="s">
        <v>157</v>
      </c>
      <c r="D54" s="9">
        <v>-0.12</v>
      </c>
      <c r="E54" s="9">
        <v>306.25583999999998</v>
      </c>
      <c r="F54" s="9">
        <v>0.96799999999999997</v>
      </c>
      <c r="G54" s="9">
        <f>AVERAGE(M54:X54)</f>
        <v>5717438.1295803478</v>
      </c>
      <c r="H54" s="9">
        <f>MAX(M54:X54)</f>
        <v>14747097.838503901</v>
      </c>
      <c r="I54" s="9">
        <f>G54/SUM(G$2:G$104)</f>
        <v>7.7702810011554804E-4</v>
      </c>
      <c r="J54" s="9" t="e">
        <f>G54/#REF!</f>
        <v>#REF!</v>
      </c>
      <c r="K54" s="9" t="e">
        <f>H54/#REF!</f>
        <v>#REF!</v>
      </c>
      <c r="L54" s="9">
        <v>66.400000000000006</v>
      </c>
      <c r="M54" s="9">
        <v>4290931.5562089495</v>
      </c>
      <c r="N54" s="9">
        <v>5178485.36024886</v>
      </c>
      <c r="O54" s="9">
        <v>2820435.5672334102</v>
      </c>
      <c r="P54" s="9">
        <v>8658289.4000803307</v>
      </c>
      <c r="Q54" s="9">
        <v>2063981.8337141499</v>
      </c>
      <c r="R54" s="9">
        <v>10162986.552442599</v>
      </c>
      <c r="S54" s="9">
        <v>2918055.0105902599</v>
      </c>
      <c r="T54" s="9">
        <v>14747097.838503901</v>
      </c>
      <c r="U54" s="9">
        <v>1847560.2762764399</v>
      </c>
      <c r="V54" s="9">
        <v>7690929.8488542996</v>
      </c>
      <c r="W54" s="9">
        <v>4608257.38476652</v>
      </c>
      <c r="X54" s="9">
        <v>3622246.9260444501</v>
      </c>
      <c r="Y54" s="19">
        <f>AVERAGE(M54:O54)</f>
        <v>4096617.4945637397</v>
      </c>
      <c r="Z54" s="19">
        <f>AVERAGE(P54:R54)</f>
        <v>6961752.5954123596</v>
      </c>
      <c r="AA54" s="20">
        <f>Z54/Y54</f>
        <v>1.6993904372694517</v>
      </c>
      <c r="AB54" s="21">
        <f>AVERAGE(S54:U54)</f>
        <v>6504237.7084568664</v>
      </c>
      <c r="AC54" s="21">
        <f>AVERAGE(V54:X54)</f>
        <v>5307144.7198884226</v>
      </c>
      <c r="AD54" s="22">
        <f>AC54/AB54</f>
        <v>0.81595183905840751</v>
      </c>
      <c r="AE54">
        <f>AVERAGE(M54,S54)</f>
        <v>3604493.2833996047</v>
      </c>
      <c r="AF54">
        <f>AVERAGE(N54,T54)</f>
        <v>9962791.5993763804</v>
      </c>
      <c r="AG54">
        <f>AVERAGE(O54)</f>
        <v>2820435.5672334102</v>
      </c>
      <c r="AH54">
        <f>AVERAGE(P54,V54)</f>
        <v>8174609.6244673152</v>
      </c>
      <c r="AI54">
        <f>AVERAGE(Q54,W54)</f>
        <v>3336119.6092403349</v>
      </c>
      <c r="AJ54">
        <f>AVERAGE(X54)</f>
        <v>3622246.9260444501</v>
      </c>
      <c r="AK54" s="1">
        <v>5832859.5071100201</v>
      </c>
      <c r="AL54" s="1">
        <v>8336507.1793109197</v>
      </c>
      <c r="AM54" s="1">
        <v>7749983.9241191698</v>
      </c>
      <c r="AN54" s="1">
        <v>9375869.3491140194</v>
      </c>
      <c r="AO54" s="1">
        <v>8195372.12186494</v>
      </c>
      <c r="AP54" s="1">
        <v>7503429.1051716404</v>
      </c>
    </row>
    <row r="55" spans="1:42">
      <c r="A55" s="1" t="s">
        <v>295</v>
      </c>
      <c r="B55" s="1" t="s">
        <v>207</v>
      </c>
      <c r="C55" s="1" t="s">
        <v>208</v>
      </c>
      <c r="D55" s="1">
        <v>0.2</v>
      </c>
      <c r="E55" s="1">
        <v>135.10482999999999</v>
      </c>
      <c r="F55" s="1">
        <v>1.8009999999999999</v>
      </c>
      <c r="G55" s="1">
        <f>AVERAGE(M55:X55)</f>
        <v>8454676.9443273228</v>
      </c>
      <c r="H55" s="1">
        <f>MAX(M55:X55)</f>
        <v>15937787.0980244</v>
      </c>
      <c r="I55" s="1">
        <f>G55/SUM(G$2:G$104)</f>
        <v>1.1490323837791282E-3</v>
      </c>
      <c r="J55" s="1" t="e">
        <f>G55/#REF!</f>
        <v>#REF!</v>
      </c>
      <c r="K55" s="1" t="e">
        <f>H55/#REF!</f>
        <v>#REF!</v>
      </c>
      <c r="L55" s="1">
        <v>89.4</v>
      </c>
      <c r="M55" s="1">
        <v>15937787.0980244</v>
      </c>
      <c r="N55" s="1">
        <v>8193380.1459124899</v>
      </c>
      <c r="O55" s="1">
        <v>10350272.512136901</v>
      </c>
      <c r="P55" s="1">
        <v>7895156.6307560699</v>
      </c>
      <c r="Q55" s="1">
        <v>14823621.6259121</v>
      </c>
      <c r="R55" s="1">
        <v>8147244.5526216598</v>
      </c>
      <c r="S55" s="1">
        <v>5915559.9148562597</v>
      </c>
      <c r="T55" s="1">
        <v>9727905.0440755207</v>
      </c>
      <c r="U55" s="1">
        <v>4327012.8683920801</v>
      </c>
      <c r="V55" s="1">
        <v>3717258.11936309</v>
      </c>
      <c r="W55" s="1">
        <v>4047709.1214772202</v>
      </c>
      <c r="X55" s="1">
        <v>8373215.6984000998</v>
      </c>
      <c r="Y55" s="15">
        <f>AVERAGE(M55:O55)</f>
        <v>11493813.252024597</v>
      </c>
      <c r="Z55" s="15">
        <f>AVERAGE(P55:R55)</f>
        <v>10288674.269763276</v>
      </c>
      <c r="AA55" s="16">
        <f>Z55/Y55</f>
        <v>0.89514889829543387</v>
      </c>
      <c r="AB55" s="17">
        <f>AVERAGE(S55:U55)</f>
        <v>6656825.9424412875</v>
      </c>
      <c r="AC55" s="17">
        <f>AVERAGE(V55:X55)</f>
        <v>5379394.3130801367</v>
      </c>
      <c r="AD55" s="18">
        <f>AC55/AB55</f>
        <v>0.80810199329131438</v>
      </c>
      <c r="AE55">
        <f>AVERAGE(M55,S55)</f>
        <v>10926673.50644033</v>
      </c>
      <c r="AF55">
        <f>AVERAGE(N55,T55)</f>
        <v>8960642.5949940048</v>
      </c>
      <c r="AG55">
        <f>AVERAGE(O55)</f>
        <v>10350272.512136901</v>
      </c>
      <c r="AH55">
        <f>AVERAGE(P55,V55)</f>
        <v>5806207.3750595804</v>
      </c>
      <c r="AI55">
        <f>AVERAGE(Q55,W55)</f>
        <v>9435665.3736946601</v>
      </c>
      <c r="AJ55">
        <f>AVERAGE(X55)</f>
        <v>8373215.6984000998</v>
      </c>
      <c r="AK55" s="1">
        <v>6054460.73851093</v>
      </c>
      <c r="AL55" s="1">
        <v>7041208.3943720898</v>
      </c>
      <c r="AM55" s="1">
        <v>6533385.5590082798</v>
      </c>
      <c r="AN55" s="1">
        <v>9281296.8471405897</v>
      </c>
      <c r="AO55" s="1">
        <v>10421818.680994701</v>
      </c>
      <c r="AP55" s="1">
        <v>12701125.1458991</v>
      </c>
    </row>
    <row r="56" spans="1:42">
      <c r="A56" s="1" t="s">
        <v>249</v>
      </c>
      <c r="B56" s="6" t="s">
        <v>138</v>
      </c>
      <c r="C56" s="1" t="s">
        <v>139</v>
      </c>
      <c r="D56" s="1">
        <v>0.33</v>
      </c>
      <c r="E56" s="1">
        <v>127.13614</v>
      </c>
      <c r="F56" s="1">
        <v>1.9710000000000001</v>
      </c>
      <c r="G56" s="1">
        <f>AVERAGE(M56:X56)</f>
        <v>131508546.4871598</v>
      </c>
      <c r="H56" s="1">
        <f>MAX(M56:X56)</f>
        <v>258977689.16575599</v>
      </c>
      <c r="I56" s="1">
        <f>G56/SUM(G$2:G$104)</f>
        <v>1.7872661445551195E-2</v>
      </c>
      <c r="J56" s="1" t="e">
        <f>G56/#REF!</f>
        <v>#REF!</v>
      </c>
      <c r="K56" s="1" t="e">
        <f>H56/#REF!</f>
        <v>#REF!</v>
      </c>
      <c r="L56" s="1">
        <v>74.099999999999994</v>
      </c>
      <c r="M56" s="1">
        <v>172789540.289933</v>
      </c>
      <c r="N56" s="1">
        <v>132522652.20696101</v>
      </c>
      <c r="O56" s="1">
        <v>258977689.16575599</v>
      </c>
      <c r="P56" s="1">
        <v>155940121.93991199</v>
      </c>
      <c r="Q56" s="1">
        <v>226175852.772562</v>
      </c>
      <c r="R56" s="1">
        <v>156544053.117823</v>
      </c>
      <c r="S56" s="1">
        <v>106235204.653336</v>
      </c>
      <c r="T56" s="1">
        <v>87736498.481425405</v>
      </c>
      <c r="U56" s="1">
        <v>69131733.5164354</v>
      </c>
      <c r="V56" s="1">
        <v>51591913.352301203</v>
      </c>
      <c r="W56" s="1">
        <v>69970868.770102307</v>
      </c>
      <c r="X56" s="1">
        <v>90486429.579370499</v>
      </c>
      <c r="Y56" s="15">
        <f>AVERAGE(M56:O56)</f>
        <v>188096627.22088334</v>
      </c>
      <c r="Z56" s="15">
        <f>AVERAGE(P56:R56)</f>
        <v>179553342.61009899</v>
      </c>
      <c r="AA56" s="16">
        <f>Z56/Y56</f>
        <v>0.95458034130111269</v>
      </c>
      <c r="AB56" s="17">
        <f>AVERAGE(S56:U56)</f>
        <v>87701145.550398931</v>
      </c>
      <c r="AC56" s="17">
        <f>AVERAGE(V56:X56)</f>
        <v>70683070.567258</v>
      </c>
      <c r="AD56" s="18">
        <f>AC56/AB56</f>
        <v>0.80595378912854443</v>
      </c>
      <c r="AE56">
        <f>AVERAGE(M56,S56)</f>
        <v>139512372.47163451</v>
      </c>
      <c r="AF56">
        <f>AVERAGE(N56,T56)</f>
        <v>110129575.34419321</v>
      </c>
      <c r="AG56">
        <f>AVERAGE(O56)</f>
        <v>258977689.16575599</v>
      </c>
      <c r="AH56">
        <f>AVERAGE(P56,V56)</f>
        <v>103766017.6461066</v>
      </c>
      <c r="AI56">
        <f>AVERAGE(Q56,W56)</f>
        <v>148073360.77133214</v>
      </c>
      <c r="AJ56">
        <f>AVERAGE(X56)</f>
        <v>90486429.579370499</v>
      </c>
      <c r="AK56" s="1">
        <v>105546953.84172601</v>
      </c>
      <c r="AL56" s="1">
        <v>101035912.164553</v>
      </c>
      <c r="AM56" s="1">
        <v>122780830.515274</v>
      </c>
      <c r="AN56" s="1">
        <v>138166340.78140399</v>
      </c>
      <c r="AO56" s="1">
        <v>174518575.46175</v>
      </c>
      <c r="AP56" s="1">
        <v>185724232.53922701</v>
      </c>
    </row>
    <row r="57" spans="1:42">
      <c r="A57" s="1" t="s">
        <v>309</v>
      </c>
      <c r="B57" s="1" t="s">
        <v>79</v>
      </c>
      <c r="C57" s="1" t="s">
        <v>80</v>
      </c>
      <c r="D57" s="1">
        <v>0.36</v>
      </c>
      <c r="E57" s="1">
        <v>127.09976</v>
      </c>
      <c r="F57" s="1">
        <v>1.9219999999999999</v>
      </c>
      <c r="G57" s="1">
        <f>AVERAGE(M57:X57)</f>
        <v>4021752.1294542491</v>
      </c>
      <c r="H57" s="1">
        <f>MAX(M57:X57)</f>
        <v>9333581.9586324394</v>
      </c>
      <c r="I57" s="1">
        <f>G57/SUM(G$2:G$104)</f>
        <v>5.4657599180961609E-4</v>
      </c>
      <c r="J57" s="1" t="e">
        <f>G57/#REF!</f>
        <v>#REF!</v>
      </c>
      <c r="K57" s="1" t="e">
        <f>H57/#REF!</f>
        <v>#REF!</v>
      </c>
      <c r="L57" s="1">
        <v>66.3</v>
      </c>
      <c r="M57" s="1">
        <v>8956444.9090207703</v>
      </c>
      <c r="N57" s="1">
        <v>591869.99166170403</v>
      </c>
      <c r="O57" s="1">
        <v>1248829.60720443</v>
      </c>
      <c r="P57" s="1">
        <v>780270.68804473605</v>
      </c>
      <c r="Q57" s="1">
        <v>9333581.9586324394</v>
      </c>
      <c r="R57" s="1">
        <v>5930192.5608767802</v>
      </c>
      <c r="S57" s="1">
        <v>2181457.7490785699</v>
      </c>
      <c r="T57" s="1">
        <v>8410998.1543814391</v>
      </c>
      <c r="U57" s="1">
        <v>1432747.2847929101</v>
      </c>
      <c r="V57" s="1">
        <v>973977.60020147695</v>
      </c>
      <c r="W57" s="1">
        <v>1164841.04866371</v>
      </c>
      <c r="X57" s="1">
        <v>7255814.0008920198</v>
      </c>
      <c r="Y57" s="15">
        <f>AVERAGE(M57:O57)</f>
        <v>3599048.1692956346</v>
      </c>
      <c r="Z57" s="15">
        <f>AVERAGE(P57:R57)</f>
        <v>5348015.0691846525</v>
      </c>
      <c r="AA57" s="16">
        <f>Z57/Y57</f>
        <v>1.4859526234769196</v>
      </c>
      <c r="AB57" s="17">
        <f>AVERAGE(S57:U57)</f>
        <v>4008401.0627509728</v>
      </c>
      <c r="AC57" s="17">
        <f>AVERAGE(V57:X57)</f>
        <v>3131544.2165857353</v>
      </c>
      <c r="AD57" s="18">
        <f>AC57/AB57</f>
        <v>0.78124523159280646</v>
      </c>
      <c r="AE57">
        <f>AVERAGE(M57,S57)</f>
        <v>5568951.3290496701</v>
      </c>
      <c r="AF57">
        <f>AVERAGE(N57,T57)</f>
        <v>4501434.0730215712</v>
      </c>
      <c r="AG57">
        <f>AVERAGE(O57)</f>
        <v>1248829.60720443</v>
      </c>
      <c r="AH57">
        <f>AVERAGE(P57,V57)</f>
        <v>877124.1441231065</v>
      </c>
      <c r="AI57">
        <f>AVERAGE(Q57,W57)</f>
        <v>5249211.5036480743</v>
      </c>
      <c r="AJ57">
        <f>AVERAGE(X57)</f>
        <v>7255814.0008920198</v>
      </c>
      <c r="AK57" s="1">
        <v>3439943.6135955998</v>
      </c>
      <c r="AL57" s="1">
        <v>2641312.3886523098</v>
      </c>
      <c r="AM57" s="1">
        <v>3245475.9004768301</v>
      </c>
      <c r="AN57" s="1">
        <v>2654208.6233282099</v>
      </c>
      <c r="AO57" s="1">
        <v>3667462.5919232699</v>
      </c>
      <c r="AP57" s="1">
        <v>2532447.5919138701</v>
      </c>
    </row>
    <row r="58" spans="1:42">
      <c r="A58" s="1" t="s">
        <v>264</v>
      </c>
      <c r="B58" s="1" t="s">
        <v>227</v>
      </c>
      <c r="C58" s="1" t="s">
        <v>76</v>
      </c>
      <c r="D58" s="1">
        <v>0.36</v>
      </c>
      <c r="E58" s="1">
        <v>162.11575999999999</v>
      </c>
      <c r="F58" s="1">
        <v>3.3740000000000001</v>
      </c>
      <c r="G58" s="1">
        <f>AVERAGE(M58:X58)</f>
        <v>32530974.974064838</v>
      </c>
      <c r="H58" s="1">
        <f>MAX(M58:X58)</f>
        <v>65150120.706920199</v>
      </c>
      <c r="I58" s="1">
        <f>G58/SUM(G$2:G$104)</f>
        <v>4.4211202825660267E-3</v>
      </c>
      <c r="J58" s="1" t="e">
        <f>G58/#REF!</f>
        <v>#REF!</v>
      </c>
      <c r="K58" s="1" t="e">
        <f>H58/#REF!</f>
        <v>#REF!</v>
      </c>
      <c r="L58" s="1">
        <v>92.4</v>
      </c>
      <c r="M58" s="1">
        <v>16673748.0502354</v>
      </c>
      <c r="N58" s="1">
        <v>10536904.8508079</v>
      </c>
      <c r="O58" s="1">
        <v>29118050.699228499</v>
      </c>
      <c r="P58" s="1">
        <v>27936293.685975999</v>
      </c>
      <c r="Q58" s="1">
        <v>6509338.6275677001</v>
      </c>
      <c r="R58" s="1">
        <v>43317030.823702298</v>
      </c>
      <c r="S58" s="1">
        <v>34975010.511782996</v>
      </c>
      <c r="T58" s="1">
        <v>47179586.903648898</v>
      </c>
      <c r="U58" s="1">
        <v>65150120.706920199</v>
      </c>
      <c r="V58" s="1">
        <v>21197384.855955701</v>
      </c>
      <c r="W58" s="1">
        <v>54725089.0742229</v>
      </c>
      <c r="X58" s="1">
        <v>33053140.898729499</v>
      </c>
      <c r="Y58" s="15">
        <f>AVERAGE(M58:O58)</f>
        <v>18776234.533423934</v>
      </c>
      <c r="Z58" s="15">
        <f>AVERAGE(P58:R58)</f>
        <v>25920887.712415334</v>
      </c>
      <c r="AA58" s="16">
        <f>Z58/Y58</f>
        <v>1.3805157613616865</v>
      </c>
      <c r="AB58" s="17">
        <f>AVERAGE(S58:U58)</f>
        <v>49101572.707450695</v>
      </c>
      <c r="AC58" s="17">
        <f>AVERAGE(V58:X58)</f>
        <v>36325204.942969367</v>
      </c>
      <c r="AD58" s="18">
        <f>AC58/AB58</f>
        <v>0.73979717837953007</v>
      </c>
      <c r="AE58">
        <f>AVERAGE(M58,S58)</f>
        <v>25824379.281009197</v>
      </c>
      <c r="AF58">
        <f>AVERAGE(N58,T58)</f>
        <v>28858245.877228398</v>
      </c>
      <c r="AG58">
        <f>AVERAGE(O58)</f>
        <v>29118050.699228499</v>
      </c>
      <c r="AH58">
        <f>AVERAGE(P58,V58)</f>
        <v>24566839.270965852</v>
      </c>
      <c r="AI58">
        <f>AVERAGE(Q58,W58)</f>
        <v>30617213.850895301</v>
      </c>
      <c r="AJ58">
        <f>AVERAGE(X58)</f>
        <v>33053140.898729499</v>
      </c>
      <c r="AK58" s="1">
        <v>33554669.653692096</v>
      </c>
      <c r="AL58" s="1">
        <v>31500991.935499001</v>
      </c>
      <c r="AM58" s="1">
        <v>35212662.270548202</v>
      </c>
      <c r="AN58" s="1">
        <v>40780297.590693399</v>
      </c>
      <c r="AO58" s="1">
        <v>65051120.8822053</v>
      </c>
      <c r="AP58" s="1">
        <v>37512624.972219899</v>
      </c>
    </row>
    <row r="59" spans="1:42">
      <c r="A59" s="9" t="s">
        <v>320</v>
      </c>
      <c r="B59" s="9" t="s">
        <v>53</v>
      </c>
      <c r="C59" s="9" t="s">
        <v>54</v>
      </c>
      <c r="D59" s="9">
        <v>0.86</v>
      </c>
      <c r="E59" s="9">
        <v>313.29835000000003</v>
      </c>
      <c r="F59" s="9">
        <v>1.5</v>
      </c>
      <c r="G59" s="9">
        <f>AVERAGE(M59:X59)</f>
        <v>2868547.5327594844</v>
      </c>
      <c r="H59" s="9">
        <f>MAX(M59:X59)</f>
        <v>5656430.9804608896</v>
      </c>
      <c r="I59" s="9">
        <f>G59/SUM(G$2:G$104)</f>
        <v>3.8984978743177869E-4</v>
      </c>
      <c r="J59" s="9" t="e">
        <f>G59/#REF!</f>
        <v>#REF!</v>
      </c>
      <c r="K59" s="9" t="e">
        <f>H59/#REF!</f>
        <v>#REF!</v>
      </c>
      <c r="L59" s="9">
        <v>55.8</v>
      </c>
      <c r="M59" s="9">
        <v>2190687.8887070301</v>
      </c>
      <c r="N59" s="9">
        <v>5656430.9804608896</v>
      </c>
      <c r="O59" s="9">
        <v>2142161.59410903</v>
      </c>
      <c r="P59" s="9">
        <v>1690561.93359255</v>
      </c>
      <c r="Q59" s="9">
        <v>4127665.7973150001</v>
      </c>
      <c r="R59" s="9">
        <v>1908505.3694889899</v>
      </c>
      <c r="S59" s="9">
        <v>4956417.3969735997</v>
      </c>
      <c r="T59" s="9">
        <v>2834934.4720209101</v>
      </c>
      <c r="U59" s="9">
        <v>1830502.39867749</v>
      </c>
      <c r="V59" s="9">
        <v>2512715.0294605698</v>
      </c>
      <c r="W59" s="9">
        <v>1993952.45258693</v>
      </c>
      <c r="X59" s="9">
        <v>2578035.0797208301</v>
      </c>
      <c r="Y59" s="19">
        <f>AVERAGE(M59:O59)</f>
        <v>3329760.1544256504</v>
      </c>
      <c r="Z59" s="19">
        <f>AVERAGE(P59:R59)</f>
        <v>2575577.70013218</v>
      </c>
      <c r="AA59" s="20">
        <f>Z59/Y59</f>
        <v>0.77350246885167651</v>
      </c>
      <c r="AB59" s="21">
        <f>AVERAGE(S59:U59)</f>
        <v>3207284.755890667</v>
      </c>
      <c r="AC59" s="21">
        <f>AVERAGE(V59:X59)</f>
        <v>2361567.5205894434</v>
      </c>
      <c r="AD59" s="22">
        <f>AC59/AB59</f>
        <v>0.73631364232691376</v>
      </c>
      <c r="AE59">
        <f>AVERAGE(M59,S59)</f>
        <v>3573552.6428403147</v>
      </c>
      <c r="AF59">
        <f>AVERAGE(N59,T59)</f>
        <v>4245682.7262408994</v>
      </c>
      <c r="AG59">
        <f>AVERAGE(O59)</f>
        <v>2142161.59410903</v>
      </c>
      <c r="AH59">
        <f>AVERAGE(P59,V59)</f>
        <v>2101638.4815265602</v>
      </c>
      <c r="AI59">
        <f>AVERAGE(Q59,W59)</f>
        <v>3060809.1249509649</v>
      </c>
      <c r="AJ59">
        <f>AVERAGE(X59)</f>
        <v>2578035.0797208301</v>
      </c>
      <c r="AK59" s="1">
        <v>2953820.9294402599</v>
      </c>
      <c r="AL59" s="1">
        <v>3031119.5659983</v>
      </c>
      <c r="AM59" s="1">
        <v>3704780.5439514201</v>
      </c>
      <c r="AN59" s="1">
        <v>3229171.72451771</v>
      </c>
      <c r="AO59" s="1">
        <v>4616039.395246</v>
      </c>
      <c r="AP59" s="1">
        <v>3021678.9781154399</v>
      </c>
    </row>
    <row r="60" spans="1:42">
      <c r="A60" s="1" t="s">
        <v>256</v>
      </c>
      <c r="B60" s="1" t="s">
        <v>205</v>
      </c>
      <c r="C60" s="1" t="s">
        <v>206</v>
      </c>
      <c r="D60" s="1">
        <v>-0.56000000000000005</v>
      </c>
      <c r="E60" s="1">
        <v>222.16185999999999</v>
      </c>
      <c r="F60" s="1">
        <v>0.99199999999999999</v>
      </c>
      <c r="G60" s="1">
        <f>AVERAGE(M60:X60)</f>
        <v>76563328.359409437</v>
      </c>
      <c r="H60" s="1">
        <f>MAX(M60:X60)</f>
        <v>122172520.615743</v>
      </c>
      <c r="I60" s="1">
        <f>G60/SUM(G$2:G$104)</f>
        <v>1.0405334736521478E-2</v>
      </c>
      <c r="J60" s="1" t="e">
        <f>G60/#REF!</f>
        <v>#REF!</v>
      </c>
      <c r="K60" s="1" t="e">
        <f>H60/#REF!</f>
        <v>#REF!</v>
      </c>
      <c r="L60" s="1">
        <v>86</v>
      </c>
      <c r="M60" s="1">
        <v>69370244.403108299</v>
      </c>
      <c r="N60" s="1">
        <v>66056068.614129603</v>
      </c>
      <c r="O60" s="1">
        <v>108464727.69737101</v>
      </c>
      <c r="P60" s="1">
        <v>89072088.066473201</v>
      </c>
      <c r="Q60" s="1">
        <v>122172520.615743</v>
      </c>
      <c r="R60" s="1">
        <v>92741357.985789403</v>
      </c>
      <c r="S60" s="1">
        <v>52854314.277475402</v>
      </c>
      <c r="T60" s="1">
        <v>109688591.641582</v>
      </c>
      <c r="U60" s="1">
        <v>53724448.511659198</v>
      </c>
      <c r="V60" s="1">
        <v>51010613.739413999</v>
      </c>
      <c r="W60" s="1">
        <v>47336932.676207297</v>
      </c>
      <c r="X60" s="1">
        <v>56268032.083961003</v>
      </c>
      <c r="Y60" s="15">
        <f>AVERAGE(M60:O60)</f>
        <v>81297013.571536303</v>
      </c>
      <c r="Z60" s="15">
        <f>AVERAGE(P60:R60)</f>
        <v>101328655.55600186</v>
      </c>
      <c r="AA60" s="16">
        <f>Z60/Y60</f>
        <v>1.246400711470649</v>
      </c>
      <c r="AB60" s="17">
        <f>AVERAGE(S60:U60)</f>
        <v>72089118.143572196</v>
      </c>
      <c r="AC60" s="17">
        <f>AVERAGE(V60:X60)</f>
        <v>51538526.166527428</v>
      </c>
      <c r="AD60" s="18">
        <f>AC60/AB60</f>
        <v>0.714927959915998</v>
      </c>
      <c r="AE60">
        <f>AVERAGE(M60,S60)</f>
        <v>61112279.34029185</v>
      </c>
      <c r="AF60">
        <f>AVERAGE(N60,T60)</f>
        <v>87872330.127855808</v>
      </c>
      <c r="AG60">
        <f>AVERAGE(O60)</f>
        <v>108464727.69737101</v>
      </c>
      <c r="AH60">
        <f>AVERAGE(P60,V60)</f>
        <v>70041350.902943596</v>
      </c>
      <c r="AI60">
        <f>AVERAGE(Q60,W60)</f>
        <v>84754726.645975143</v>
      </c>
      <c r="AJ60">
        <f>AVERAGE(X60)</f>
        <v>56268032.083961003</v>
      </c>
      <c r="AK60" s="1">
        <v>69544495.624395207</v>
      </c>
      <c r="AL60" s="1">
        <v>70969053.749521598</v>
      </c>
      <c r="AM60" s="1">
        <v>77304811.734819904</v>
      </c>
      <c r="AN60" s="1">
        <v>77903366.333064899</v>
      </c>
      <c r="AO60" s="1">
        <v>75089298.172346294</v>
      </c>
      <c r="AP60" s="1">
        <v>84439804.624669597</v>
      </c>
    </row>
    <row r="61" spans="1:42">
      <c r="A61" s="1" t="s">
        <v>266</v>
      </c>
      <c r="B61" s="1" t="s">
        <v>77</v>
      </c>
      <c r="C61" s="1" t="s">
        <v>78</v>
      </c>
      <c r="D61" s="1">
        <v>-0.08</v>
      </c>
      <c r="E61" s="1">
        <v>191.131</v>
      </c>
      <c r="F61" s="1">
        <v>1.89</v>
      </c>
      <c r="G61" s="1">
        <f>AVERAGE(M61:X61)</f>
        <v>25492334.283765066</v>
      </c>
      <c r="H61" s="1">
        <f>MAX(M61:X61)</f>
        <v>55430049.531221002</v>
      </c>
      <c r="I61" s="1">
        <f>G61/SUM(G$2:G$104)</f>
        <v>3.4645342244356424E-3</v>
      </c>
      <c r="J61" s="1" t="e">
        <f>G61/#REF!</f>
        <v>#REF!</v>
      </c>
      <c r="K61" s="1" t="e">
        <f>H61/#REF!</f>
        <v>#REF!</v>
      </c>
      <c r="L61" s="1">
        <v>80.3</v>
      </c>
      <c r="M61" s="1">
        <v>10606946.169521701</v>
      </c>
      <c r="N61" s="1">
        <v>469221.41834211</v>
      </c>
      <c r="O61" s="1">
        <v>522912.77615453099</v>
      </c>
      <c r="P61" s="1">
        <v>5585907.7739426903</v>
      </c>
      <c r="Q61" s="1">
        <v>1467025.6108282299</v>
      </c>
      <c r="R61" s="1">
        <v>16824640.819970999</v>
      </c>
      <c r="S61" s="1">
        <v>50840926.4320103</v>
      </c>
      <c r="T61" s="1">
        <v>52306091.692527801</v>
      </c>
      <c r="U61" s="1">
        <v>55430049.531221002</v>
      </c>
      <c r="V61" s="1">
        <v>31984499.586511299</v>
      </c>
      <c r="W61" s="1">
        <v>41421706.038389601</v>
      </c>
      <c r="X61" s="1">
        <v>38448083.555760503</v>
      </c>
      <c r="Y61" s="15">
        <f>AVERAGE(M61:O61)</f>
        <v>3866360.1213394473</v>
      </c>
      <c r="Z61" s="15">
        <f>AVERAGE(P61:R61)</f>
        <v>7959191.4015806392</v>
      </c>
      <c r="AA61" s="16">
        <f>Z61/Y61</f>
        <v>2.0585747710493369</v>
      </c>
      <c r="AB61" s="17">
        <f>AVERAGE(S61:U61)</f>
        <v>52859022.551919699</v>
      </c>
      <c r="AC61" s="17">
        <f>AVERAGE(V61:X61)</f>
        <v>37284763.060220473</v>
      </c>
      <c r="AD61" s="18">
        <f>AC61/AB61</f>
        <v>0.70536232529835896</v>
      </c>
      <c r="AE61">
        <f>AVERAGE(M61,S61)</f>
        <v>30723936.300765999</v>
      </c>
      <c r="AF61">
        <f>AVERAGE(N61,T61)</f>
        <v>26387656.555434957</v>
      </c>
      <c r="AG61">
        <f>AVERAGE(O61)</f>
        <v>522912.77615453099</v>
      </c>
      <c r="AH61">
        <f>AVERAGE(P61,V61)</f>
        <v>18785203.680226997</v>
      </c>
      <c r="AI61">
        <f>AVERAGE(Q61,W61)</f>
        <v>21444365.824608915</v>
      </c>
      <c r="AJ61">
        <f>AVERAGE(X61)</f>
        <v>38448083.555760503</v>
      </c>
      <c r="AK61" s="1">
        <v>16940861.006337501</v>
      </c>
      <c r="AL61" s="1">
        <v>15421044.997648999</v>
      </c>
      <c r="AM61" s="1">
        <v>17533647.7974707</v>
      </c>
      <c r="AN61" s="1">
        <v>28312966.746302798</v>
      </c>
      <c r="AO61" s="1">
        <v>29688820.628230698</v>
      </c>
      <c r="AP61" s="1">
        <v>31472174.829531401</v>
      </c>
    </row>
    <row r="62" spans="1:42">
      <c r="A62" s="1" t="s">
        <v>319</v>
      </c>
      <c r="B62" s="1" t="s">
        <v>213</v>
      </c>
      <c r="C62" s="1" t="s">
        <v>82</v>
      </c>
      <c r="D62" s="1">
        <v>0.59</v>
      </c>
      <c r="E62" s="1">
        <v>149.07023000000001</v>
      </c>
      <c r="F62" s="1">
        <v>3.92</v>
      </c>
      <c r="G62" s="1">
        <f>AVERAGE(M62:X62)</f>
        <v>2779657.2541973917</v>
      </c>
      <c r="H62" s="1">
        <f>MAX(M62:X62)</f>
        <v>6056270.3378464999</v>
      </c>
      <c r="I62" s="1">
        <f>G62/SUM(G$2:G$104)</f>
        <v>3.7776915923704658E-4</v>
      </c>
      <c r="J62" s="1" t="e">
        <f>G62/#REF!</f>
        <v>#REF!</v>
      </c>
      <c r="K62" s="1" t="e">
        <f>H62/#REF!</f>
        <v>#REF!</v>
      </c>
      <c r="L62" s="1">
        <v>65.5</v>
      </c>
      <c r="M62" s="1">
        <v>2096992.7230424499</v>
      </c>
      <c r="N62" s="1">
        <v>465028.574795792</v>
      </c>
      <c r="O62" s="1">
        <v>1693482.4776896101</v>
      </c>
      <c r="P62" s="1">
        <v>1986744.4051787299</v>
      </c>
      <c r="Q62" s="1">
        <v>3948893.1617254899</v>
      </c>
      <c r="R62" s="1">
        <v>1908449.6036231001</v>
      </c>
      <c r="S62" s="1">
        <v>6056270.3378464999</v>
      </c>
      <c r="T62" s="1">
        <v>4455081.7613815796</v>
      </c>
      <c r="U62" s="1">
        <v>1958849.5457023301</v>
      </c>
      <c r="V62" s="1">
        <v>2680087.3108461099</v>
      </c>
      <c r="W62" s="1">
        <v>2905314.8721835599</v>
      </c>
      <c r="X62" s="1">
        <v>3200692.27635345</v>
      </c>
      <c r="Y62" s="15">
        <f>AVERAGE(M62:O62)</f>
        <v>1418501.2585092839</v>
      </c>
      <c r="Z62" s="15">
        <f>AVERAGE(P62:R62)</f>
        <v>2614695.7235091068</v>
      </c>
      <c r="AA62" s="16">
        <f>Z62/Y62</f>
        <v>1.843280510203364</v>
      </c>
      <c r="AB62" s="17">
        <f>AVERAGE(S62:U62)</f>
        <v>4156733.8816434704</v>
      </c>
      <c r="AC62" s="17">
        <f>AVERAGE(V62:X62)</f>
        <v>2928698.1531277071</v>
      </c>
      <c r="AD62" s="18">
        <f>AC62/AB62</f>
        <v>0.70456715212419896</v>
      </c>
      <c r="AE62">
        <f>AVERAGE(M62,S62)</f>
        <v>4076631.5304444749</v>
      </c>
      <c r="AF62">
        <f>AVERAGE(N62,T62)</f>
        <v>2460055.1680886857</v>
      </c>
      <c r="AG62">
        <f>AVERAGE(O62)</f>
        <v>1693482.4776896101</v>
      </c>
      <c r="AH62">
        <f>AVERAGE(P62,V62)</f>
        <v>2333415.8580124201</v>
      </c>
      <c r="AI62">
        <f>AVERAGE(Q62,W62)</f>
        <v>3427104.0169545249</v>
      </c>
      <c r="AJ62">
        <f>AVERAGE(X62)</f>
        <v>3200692.27635345</v>
      </c>
      <c r="AK62" s="1">
        <v>3373398.9817722999</v>
      </c>
      <c r="AL62" s="1">
        <v>3450968.3434769199</v>
      </c>
      <c r="AM62" s="1">
        <v>3003349.0743811699</v>
      </c>
      <c r="AN62" s="1">
        <v>4365826.2408082997</v>
      </c>
      <c r="AO62" s="1">
        <v>4071889.3979976601</v>
      </c>
      <c r="AP62" s="1">
        <v>4559092.9302461399</v>
      </c>
    </row>
    <row r="63" spans="1:42">
      <c r="A63" s="23" t="s">
        <v>317</v>
      </c>
      <c r="B63" s="23" t="s">
        <v>171</v>
      </c>
      <c r="C63" s="23" t="s">
        <v>172</v>
      </c>
      <c r="D63" s="23">
        <v>-1.46</v>
      </c>
      <c r="E63" s="23">
        <v>138.03148999999999</v>
      </c>
      <c r="F63" s="23">
        <v>1.06</v>
      </c>
      <c r="G63" s="23">
        <f>AVERAGE(M63:X63)</f>
        <v>3300040.5276885997</v>
      </c>
      <c r="H63" s="23">
        <f>MAX(M63:X63)</f>
        <v>6231690.41771961</v>
      </c>
      <c r="I63" s="23">
        <f>G63/SUM(G$2:G$104)</f>
        <v>4.4849181808678248E-4</v>
      </c>
      <c r="J63" s="23" t="e">
        <f>G63/#REF!</f>
        <v>#REF!</v>
      </c>
      <c r="K63" s="23" t="e">
        <f>H63/#REF!</f>
        <v>#REF!</v>
      </c>
      <c r="L63" s="23">
        <v>86.8</v>
      </c>
      <c r="M63" s="23">
        <v>1093322.66032495</v>
      </c>
      <c r="N63" s="23">
        <v>1456154.10940002</v>
      </c>
      <c r="O63" s="23">
        <v>3258387.0312329102</v>
      </c>
      <c r="P63" s="23">
        <v>4301627.4446990304</v>
      </c>
      <c r="Q63" s="23">
        <v>1225752.0092752799</v>
      </c>
      <c r="R63" s="23">
        <v>6122651.4505019505</v>
      </c>
      <c r="S63" s="23">
        <v>2066859.3376978401</v>
      </c>
      <c r="T63" s="23">
        <v>4731029.7235713201</v>
      </c>
      <c r="U63" s="23">
        <v>6231690.41771961</v>
      </c>
      <c r="V63" s="23">
        <v>3006544.8025945001</v>
      </c>
      <c r="W63" s="23">
        <v>2566714.0574324299</v>
      </c>
      <c r="X63" s="23">
        <v>3539753.2878133501</v>
      </c>
      <c r="Y63" s="24">
        <f>AVERAGE(M63:O63)</f>
        <v>1935954.6003192933</v>
      </c>
      <c r="Z63" s="24">
        <f>AVERAGE(P63:R63)</f>
        <v>3883343.6348254201</v>
      </c>
      <c r="AA63" s="25">
        <f>Z63/Y63</f>
        <v>2.0059063545110756</v>
      </c>
      <c r="AB63" s="26">
        <f>AVERAGE(S63:U63)</f>
        <v>4343193.1596629238</v>
      </c>
      <c r="AC63" s="26">
        <f>AVERAGE(V63:X63)</f>
        <v>3037670.71594676</v>
      </c>
      <c r="AD63" s="27">
        <f>AC63/AB63</f>
        <v>0.69940953678019568</v>
      </c>
      <c r="AE63">
        <f>AVERAGE(M63,S63)</f>
        <v>1580090.999011395</v>
      </c>
      <c r="AF63">
        <f>AVERAGE(N63,T63)</f>
        <v>3093591.91648567</v>
      </c>
      <c r="AG63">
        <f>AVERAGE(O63)</f>
        <v>3258387.0312329102</v>
      </c>
      <c r="AH63">
        <f>AVERAGE(P63,V63)</f>
        <v>3654086.123646765</v>
      </c>
      <c r="AI63">
        <f>AVERAGE(Q63,W63)</f>
        <v>1896233.0333538549</v>
      </c>
      <c r="AJ63">
        <f>AVERAGE(X63)</f>
        <v>3539753.2878133501</v>
      </c>
      <c r="AK63" s="1">
        <v>2127527.6586551801</v>
      </c>
      <c r="AL63" s="1">
        <v>2753958.4069237299</v>
      </c>
      <c r="AM63" s="1">
        <v>2656433.6876620199</v>
      </c>
      <c r="AN63" s="1">
        <v>3904862.3943012599</v>
      </c>
      <c r="AO63" s="1">
        <v>7083535.7703356901</v>
      </c>
      <c r="AP63" s="1">
        <v>4323071.5184156103</v>
      </c>
    </row>
    <row r="64" spans="1:42">
      <c r="A64" s="1" t="s">
        <v>329</v>
      </c>
      <c r="B64" s="1" t="s">
        <v>55</v>
      </c>
      <c r="C64" s="1" t="s">
        <v>56</v>
      </c>
      <c r="D64" s="1">
        <v>-0.44</v>
      </c>
      <c r="E64" s="1">
        <v>162.04285999999999</v>
      </c>
      <c r="F64" s="1">
        <v>0.98399999999999999</v>
      </c>
      <c r="G64" s="1">
        <f>AVERAGE(M64:X64)</f>
        <v>1351726.1564960233</v>
      </c>
      <c r="H64" s="1">
        <f>MAX(M64:X64)</f>
        <v>4279761.2620572699</v>
      </c>
      <c r="I64" s="1">
        <f>G64/SUM(G$2:G$104)</f>
        <v>1.8370626554304134E-4</v>
      </c>
      <c r="J64" s="1" t="e">
        <f>G64/#REF!</f>
        <v>#REF!</v>
      </c>
      <c r="K64" s="1" t="e">
        <f>H64/#REF!</f>
        <v>#REF!</v>
      </c>
      <c r="L64" s="1">
        <v>59.3</v>
      </c>
      <c r="M64" s="1">
        <v>1151751.0196825999</v>
      </c>
      <c r="N64" s="1">
        <v>1305286.4451101799</v>
      </c>
      <c r="O64" s="1">
        <v>932074.34157001704</v>
      </c>
      <c r="P64" s="1">
        <v>848913.72233351495</v>
      </c>
      <c r="Q64" s="1">
        <v>1240624.9032485499</v>
      </c>
      <c r="R64" s="1">
        <v>4279761.2620572699</v>
      </c>
      <c r="S64" s="1">
        <v>1320230.0193264</v>
      </c>
      <c r="T64" s="1">
        <v>1275315.1503183499</v>
      </c>
      <c r="U64" s="1">
        <v>1211066.23147298</v>
      </c>
      <c r="V64" s="1">
        <v>860848.99323653302</v>
      </c>
      <c r="W64" s="1">
        <v>1136740.2818090201</v>
      </c>
      <c r="X64" s="1">
        <v>658101.50778686302</v>
      </c>
      <c r="Y64" s="15">
        <f>AVERAGE(M64:O64)</f>
        <v>1129703.9354542654</v>
      </c>
      <c r="Z64" s="15">
        <f>AVERAGE(P64:R64)</f>
        <v>2123099.962546445</v>
      </c>
      <c r="AA64" s="16">
        <f>Z64/Y64</f>
        <v>1.879341919520467</v>
      </c>
      <c r="AB64" s="17">
        <f>AVERAGE(S64:U64)</f>
        <v>1268870.4670392433</v>
      </c>
      <c r="AC64" s="17">
        <f>AVERAGE(V64:X64)</f>
        <v>885230.26094413875</v>
      </c>
      <c r="AD64" s="18">
        <f>AC64/AB64</f>
        <v>0.69765219062093642</v>
      </c>
      <c r="AE64">
        <f>AVERAGE(M64,S64)</f>
        <v>1235990.5195045001</v>
      </c>
      <c r="AF64">
        <f>AVERAGE(N64,T64)</f>
        <v>1290300.7977142651</v>
      </c>
      <c r="AG64">
        <f>AVERAGE(O64)</f>
        <v>932074.34157001704</v>
      </c>
      <c r="AH64">
        <f>AVERAGE(P64,V64)</f>
        <v>854881.35778502398</v>
      </c>
      <c r="AI64">
        <f>AVERAGE(Q64,W64)</f>
        <v>1188682.5925287851</v>
      </c>
      <c r="AJ64">
        <f>AVERAGE(X64)</f>
        <v>658101.50778686302</v>
      </c>
      <c r="AK64" s="1">
        <v>1114805.3612875501</v>
      </c>
      <c r="AL64" s="1">
        <v>1134850.24919629</v>
      </c>
      <c r="AM64" s="1">
        <v>1343059.0778590699</v>
      </c>
      <c r="AN64" s="1">
        <v>1377364.01426173</v>
      </c>
      <c r="AO64" s="1">
        <v>2507930.2988065602</v>
      </c>
      <c r="AP64" s="1">
        <v>1365777.4467255101</v>
      </c>
    </row>
    <row r="65" spans="1:42">
      <c r="A65" s="1" t="s">
        <v>301</v>
      </c>
      <c r="B65" s="1" t="s">
        <v>219</v>
      </c>
      <c r="C65" s="1" t="s">
        <v>220</v>
      </c>
      <c r="D65" s="1">
        <v>1.22</v>
      </c>
      <c r="E65" s="1">
        <v>108.06887999999999</v>
      </c>
      <c r="F65" s="1">
        <v>2.6459999999999999</v>
      </c>
      <c r="G65" s="1">
        <f>AVERAGE(M65:X65)</f>
        <v>2642912.8343176688</v>
      </c>
      <c r="H65" s="1">
        <f>MAX(M65:X65)</f>
        <v>14797117.4023451</v>
      </c>
      <c r="I65" s="1">
        <f>G65/SUM(G$2:G$104)</f>
        <v>3.5918491671926308E-4</v>
      </c>
      <c r="J65" s="1" t="e">
        <f>G65/#REF!</f>
        <v>#REF!</v>
      </c>
      <c r="K65" s="1" t="e">
        <f>H65/#REF!</f>
        <v>#REF!</v>
      </c>
      <c r="L65" s="1">
        <v>92.7</v>
      </c>
      <c r="M65" s="1">
        <v>1140129.5026346799</v>
      </c>
      <c r="N65" s="1">
        <v>862008.49101361097</v>
      </c>
      <c r="O65" s="1">
        <v>2625937.1953480202</v>
      </c>
      <c r="P65" s="1">
        <v>2264378.8072819798</v>
      </c>
      <c r="Q65" s="1">
        <v>1081420.4605018699</v>
      </c>
      <c r="R65" s="1">
        <v>14797117.4023451</v>
      </c>
      <c r="S65" s="1">
        <v>507148.42006111902</v>
      </c>
      <c r="T65" s="1">
        <v>1246134.4330613399</v>
      </c>
      <c r="U65" s="1">
        <v>3524659.36997825</v>
      </c>
      <c r="V65" s="1">
        <v>988780.32691448205</v>
      </c>
      <c r="W65" s="1">
        <v>1167873.2286972799</v>
      </c>
      <c r="X65" s="1">
        <v>1509366.37397429</v>
      </c>
      <c r="Y65" s="15">
        <f>AVERAGE(M65:O65)</f>
        <v>1542691.729665437</v>
      </c>
      <c r="Z65" s="15">
        <f>AVERAGE(P65:R65)</f>
        <v>6047638.890042983</v>
      </c>
      <c r="AA65" s="16">
        <f>Z65/Y65</f>
        <v>3.9201862392524345</v>
      </c>
      <c r="AB65" s="17">
        <f>AVERAGE(S65:U65)</f>
        <v>1759314.0743669029</v>
      </c>
      <c r="AC65" s="17">
        <f>AVERAGE(V65:X65)</f>
        <v>1222006.6431953507</v>
      </c>
      <c r="AD65" s="18">
        <f>AC65/AB65</f>
        <v>0.69459266028727429</v>
      </c>
      <c r="AE65">
        <f>AVERAGE(M65,S65)</f>
        <v>823638.9613478994</v>
      </c>
      <c r="AF65">
        <f>AVERAGE(N65,T65)</f>
        <v>1054071.4620374753</v>
      </c>
      <c r="AG65">
        <f>AVERAGE(O65)</f>
        <v>2625937.1953480202</v>
      </c>
      <c r="AH65">
        <f>AVERAGE(P65,V65)</f>
        <v>1626579.5670982311</v>
      </c>
      <c r="AI65">
        <f>AVERAGE(Q65,W65)</f>
        <v>1124646.8445995748</v>
      </c>
      <c r="AJ65">
        <f>AVERAGE(X65)</f>
        <v>1509366.37397429</v>
      </c>
      <c r="AK65" s="1">
        <v>1569602.04330592</v>
      </c>
      <c r="AL65" s="1">
        <v>1493903.5436490399</v>
      </c>
      <c r="AM65" s="1">
        <v>1563190.17008952</v>
      </c>
      <c r="AN65" s="1">
        <v>2496528.30982011</v>
      </c>
      <c r="AO65" s="1">
        <v>2346487.8867359799</v>
      </c>
      <c r="AP65" s="1">
        <v>3310282.2536884602</v>
      </c>
    </row>
    <row r="66" spans="1:42">
      <c r="A66" s="1" t="s">
        <v>269</v>
      </c>
      <c r="B66" s="1" t="s">
        <v>165</v>
      </c>
      <c r="C66" s="1" t="s">
        <v>166</v>
      </c>
      <c r="D66" s="1">
        <v>0.1</v>
      </c>
      <c r="E66" s="1">
        <v>146.08440999999999</v>
      </c>
      <c r="F66" s="1">
        <v>1.9850000000000001</v>
      </c>
      <c r="G66" s="1">
        <f>AVERAGE(M66:X66)</f>
        <v>10857484.917912122</v>
      </c>
      <c r="H66" s="1">
        <f>MAX(M66:X66)</f>
        <v>48599374.272675999</v>
      </c>
      <c r="I66" s="1">
        <f>G66/SUM(G$2:G$104)</f>
        <v>1.4755858632120793E-3</v>
      </c>
      <c r="J66" s="1" t="e">
        <f>G66/#REF!</f>
        <v>#REF!</v>
      </c>
      <c r="K66" s="1" t="e">
        <f>H66/#REF!</f>
        <v>#REF!</v>
      </c>
      <c r="L66" s="1">
        <v>64.3</v>
      </c>
      <c r="M66" s="1">
        <v>10200834.705313301</v>
      </c>
      <c r="N66" s="1">
        <v>2981384.8151360801</v>
      </c>
      <c r="O66" s="1">
        <v>393479.18624869501</v>
      </c>
      <c r="P66" s="1">
        <v>2738752.2762551801</v>
      </c>
      <c r="Q66" s="1">
        <v>6298702.3379138503</v>
      </c>
      <c r="R66" s="1">
        <v>10338510.9661754</v>
      </c>
      <c r="S66" s="1">
        <v>2260250.49595983</v>
      </c>
      <c r="T66" s="1">
        <v>48599374.272675999</v>
      </c>
      <c r="U66" s="1">
        <v>6749356.7276794603</v>
      </c>
      <c r="V66" s="1">
        <v>2479311.5435685199</v>
      </c>
      <c r="W66" s="1">
        <v>35224324.075093597</v>
      </c>
      <c r="X66" s="1">
        <v>2025537.61292554</v>
      </c>
      <c r="Y66" s="15">
        <f>AVERAGE(M66:O66)</f>
        <v>4525232.9022326926</v>
      </c>
      <c r="Z66" s="15">
        <f>AVERAGE(P66:R66)</f>
        <v>6458655.193448144</v>
      </c>
      <c r="AA66" s="16">
        <f>Z66/Y66</f>
        <v>1.4272536536763722</v>
      </c>
      <c r="AB66" s="17">
        <f>AVERAGE(S66:U66)</f>
        <v>19202993.832105096</v>
      </c>
      <c r="AC66" s="17">
        <f>AVERAGE(V66:X66)</f>
        <v>13243057.743862553</v>
      </c>
      <c r="AD66" s="18">
        <f>AC66/AB66</f>
        <v>0.68963505689002269</v>
      </c>
      <c r="AE66">
        <f>AVERAGE(M66,S66)</f>
        <v>6230542.6006365651</v>
      </c>
      <c r="AF66">
        <f>AVERAGE(N66,T66)</f>
        <v>25790379.54390604</v>
      </c>
      <c r="AG66">
        <f>AVERAGE(O66)</f>
        <v>393479.18624869501</v>
      </c>
      <c r="AH66">
        <f>AVERAGE(P66,V66)</f>
        <v>2609031.90991185</v>
      </c>
      <c r="AI66">
        <f>AVERAGE(Q66,W66)</f>
        <v>20761513.206503723</v>
      </c>
      <c r="AJ66">
        <f>AVERAGE(X66)</f>
        <v>2025537.61292554</v>
      </c>
      <c r="AK66" s="1">
        <v>8325498.1639597099</v>
      </c>
      <c r="AL66" s="1">
        <v>9788221.1724425592</v>
      </c>
      <c r="AM66" s="1">
        <v>8051369.8507998995</v>
      </c>
      <c r="AN66" s="1">
        <v>11186941.4838071</v>
      </c>
      <c r="AO66" s="1">
        <v>12890796.2398575</v>
      </c>
      <c r="AP66" s="1">
        <v>13376840.682651401</v>
      </c>
    </row>
    <row r="67" spans="1:42">
      <c r="A67" s="1" t="s">
        <v>262</v>
      </c>
      <c r="B67" s="1" t="s">
        <v>43</v>
      </c>
      <c r="C67" s="1" t="s">
        <v>44</v>
      </c>
      <c r="D67" s="1">
        <v>0.33</v>
      </c>
      <c r="E67" s="1">
        <v>185.21440999999999</v>
      </c>
      <c r="F67" s="1">
        <v>1.474</v>
      </c>
      <c r="G67" s="1">
        <f>AVERAGE(M67:X67)</f>
        <v>36631057.512580432</v>
      </c>
      <c r="H67" s="1">
        <f>MAX(M67:X67)</f>
        <v>69207967.099322796</v>
      </c>
      <c r="I67" s="1">
        <f>G67/SUM(G$2:G$104)</f>
        <v>4.9783417641133124E-3</v>
      </c>
      <c r="J67" s="1" t="e">
        <f>G67/#REF!</f>
        <v>#REF!</v>
      </c>
      <c r="K67" s="1" t="e">
        <f>H67/#REF!</f>
        <v>#REF!</v>
      </c>
      <c r="L67" s="1">
        <v>70</v>
      </c>
      <c r="M67" s="1">
        <v>69207967.099322796</v>
      </c>
      <c r="N67" s="1">
        <v>35456705.418509498</v>
      </c>
      <c r="O67" s="1">
        <v>16670420.9372127</v>
      </c>
      <c r="P67" s="1">
        <v>37710957.481569096</v>
      </c>
      <c r="Q67" s="1">
        <v>31593382.7458947</v>
      </c>
      <c r="R67" s="1">
        <v>44828304.657920897</v>
      </c>
      <c r="S67" s="1">
        <v>28259784.442142799</v>
      </c>
      <c r="T67" s="1">
        <v>57188790.194501102</v>
      </c>
      <c r="U67" s="1">
        <v>35452441.505864702</v>
      </c>
      <c r="V67" s="1">
        <v>8800140.1553639807</v>
      </c>
      <c r="W67" s="1">
        <v>8411044.0496306904</v>
      </c>
      <c r="X67" s="1">
        <v>65992751.463032201</v>
      </c>
      <c r="Y67" s="15">
        <f>AVERAGE(M67:O67)</f>
        <v>40445031.151681669</v>
      </c>
      <c r="Z67" s="15">
        <f>AVERAGE(P67:R67)</f>
        <v>38044214.961794898</v>
      </c>
      <c r="AA67" s="16">
        <f>Z67/Y67</f>
        <v>0.94064002124555302</v>
      </c>
      <c r="AB67" s="17">
        <f>AVERAGE(S67:U67)</f>
        <v>40300338.714169532</v>
      </c>
      <c r="AC67" s="17">
        <f>AVERAGE(V67:X67)</f>
        <v>27734645.222675622</v>
      </c>
      <c r="AD67" s="18">
        <f>AC67/AB67</f>
        <v>0.68819881191033683</v>
      </c>
      <c r="AE67">
        <f>AVERAGE(M67,S67)</f>
        <v>48733875.770732798</v>
      </c>
      <c r="AF67">
        <f>AVERAGE(N67,T67)</f>
        <v>46322747.8065053</v>
      </c>
      <c r="AG67">
        <f>AVERAGE(O67)</f>
        <v>16670420.9372127</v>
      </c>
      <c r="AH67">
        <f>AVERAGE(P67,V67)</f>
        <v>23255548.818466537</v>
      </c>
      <c r="AI67">
        <f>AVERAGE(Q67,W67)</f>
        <v>20002213.397762693</v>
      </c>
      <c r="AJ67">
        <f>AVERAGE(X67)</f>
        <v>65992751.463032201</v>
      </c>
      <c r="AK67" s="1">
        <v>29976932.434176601</v>
      </c>
      <c r="AL67" s="1">
        <v>58763182.386537701</v>
      </c>
      <c r="AM67" s="1">
        <v>51143215.3304478</v>
      </c>
      <c r="AN67" s="1">
        <v>70431105.589701697</v>
      </c>
      <c r="AO67" s="1">
        <v>70018017.270932704</v>
      </c>
      <c r="AP67" s="1">
        <v>57998929.6204165</v>
      </c>
    </row>
    <row r="68" spans="1:42">
      <c r="A68" s="1" t="s">
        <v>296</v>
      </c>
      <c r="B68" s="1" t="s">
        <v>89</v>
      </c>
      <c r="C68" s="1" t="s">
        <v>90</v>
      </c>
      <c r="D68" s="1">
        <v>-1.77</v>
      </c>
      <c r="E68" s="1">
        <v>95.987939999999995</v>
      </c>
      <c r="F68" s="1">
        <v>3.1349999999999998</v>
      </c>
      <c r="G68" s="1">
        <f>AVERAGE(M68:X68)</f>
        <v>3526159.219489418</v>
      </c>
      <c r="H68" s="1">
        <f>MAX(M68:X68)</f>
        <v>15402266.5425785</v>
      </c>
      <c r="I68" s="1">
        <f>G68/SUM(G$2:G$104)</f>
        <v>4.7922246588891259E-4</v>
      </c>
      <c r="J68" s="1" t="e">
        <f>G68/#REF!</f>
        <v>#REF!</v>
      </c>
      <c r="K68" s="1" t="e">
        <f>H68/#REF!</f>
        <v>#REF!</v>
      </c>
      <c r="L68" s="1">
        <v>79.3</v>
      </c>
      <c r="M68" s="1">
        <v>371756.12566945102</v>
      </c>
      <c r="N68" s="1">
        <v>73631.614264394404</v>
      </c>
      <c r="O68" s="1">
        <v>2328895.4721941901</v>
      </c>
      <c r="P68" s="1">
        <v>1899251.78386328</v>
      </c>
      <c r="Q68" s="1">
        <v>177837.203637795</v>
      </c>
      <c r="R68" s="1">
        <v>15402266.5425785</v>
      </c>
      <c r="S68" s="1">
        <v>350801.95985487802</v>
      </c>
      <c r="T68" s="1">
        <v>2478581.8516460098</v>
      </c>
      <c r="U68" s="1">
        <v>10514493.342313301</v>
      </c>
      <c r="V68" s="1">
        <v>2714207.6646868498</v>
      </c>
      <c r="W68" s="1">
        <v>3371444.3992313398</v>
      </c>
      <c r="X68" s="1">
        <v>2630742.6739330301</v>
      </c>
      <c r="Y68" s="15">
        <f>AVERAGE(M68:O68)</f>
        <v>924761.07070934528</v>
      </c>
      <c r="Z68" s="15">
        <f>AVERAGE(P68:R68)</f>
        <v>5826451.8433598578</v>
      </c>
      <c r="AA68" s="16">
        <f>Z68/Y68</f>
        <v>6.3004942875575765</v>
      </c>
      <c r="AB68" s="17">
        <f>AVERAGE(S68:U68)</f>
        <v>4447959.0512713967</v>
      </c>
      <c r="AC68" s="17">
        <f>AVERAGE(V68:X68)</f>
        <v>2905464.9126170739</v>
      </c>
      <c r="AD68" s="18">
        <f>AC68/AB68</f>
        <v>0.6532130532511492</v>
      </c>
      <c r="AE68">
        <f>AVERAGE(M68,S68)</f>
        <v>361279.04276216449</v>
      </c>
      <c r="AF68">
        <f>AVERAGE(N68,T68)</f>
        <v>1276106.7329552022</v>
      </c>
      <c r="AG68">
        <f>AVERAGE(O68)</f>
        <v>2328895.4721941901</v>
      </c>
      <c r="AH68">
        <f>AVERAGE(P68,V68)</f>
        <v>2306729.7242750647</v>
      </c>
      <c r="AI68">
        <f>AVERAGE(Q68,W68)</f>
        <v>1774640.8014345674</v>
      </c>
      <c r="AJ68">
        <f>AVERAGE(X68)</f>
        <v>2630742.6739330301</v>
      </c>
      <c r="AK68" s="1">
        <v>4446615.3235403197</v>
      </c>
      <c r="AL68" s="1">
        <v>4278459.5619250704</v>
      </c>
      <c r="AM68" s="1">
        <v>4632011.2812556401</v>
      </c>
      <c r="AN68" s="1">
        <v>5664689.8283534702</v>
      </c>
      <c r="AO68" s="1">
        <v>246095.367562128</v>
      </c>
      <c r="AP68" s="1">
        <v>115068.34045052899</v>
      </c>
    </row>
    <row r="69" spans="1:42">
      <c r="A69" s="9" t="s">
        <v>313</v>
      </c>
      <c r="B69" s="9" t="s">
        <v>27</v>
      </c>
      <c r="C69" s="9" t="s">
        <v>28</v>
      </c>
      <c r="D69" s="9">
        <v>1.03</v>
      </c>
      <c r="E69" s="9">
        <v>321.26711</v>
      </c>
      <c r="F69" s="9">
        <v>0.99299999999999999</v>
      </c>
      <c r="G69" s="9">
        <f>AVERAGE(M69:X69)</f>
        <v>3568404.4647238604</v>
      </c>
      <c r="H69" s="9">
        <f>MAX(M69:X69)</f>
        <v>5163630.1340012504</v>
      </c>
      <c r="I69" s="9">
        <f>G69/SUM(G$2:G$104)</f>
        <v>4.8496380351241973E-4</v>
      </c>
      <c r="J69" s="9" t="e">
        <f>G69/#REF!</f>
        <v>#REF!</v>
      </c>
      <c r="K69" s="9" t="e">
        <f>H69/#REF!</f>
        <v>#REF!</v>
      </c>
      <c r="L69" s="9">
        <v>65.5</v>
      </c>
      <c r="M69" s="9">
        <v>2132087.4598790701</v>
      </c>
      <c r="N69" s="9">
        <v>1406157.9705415501</v>
      </c>
      <c r="O69" s="9">
        <v>5163630.1340012504</v>
      </c>
      <c r="P69" s="9">
        <v>4755996.8672558302</v>
      </c>
      <c r="Q69" s="9">
        <v>3798459.8601208599</v>
      </c>
      <c r="R69" s="9">
        <v>5078510.27080152</v>
      </c>
      <c r="S69" s="9">
        <v>3662418.3619409502</v>
      </c>
      <c r="T69" s="9">
        <v>4321471.78463786</v>
      </c>
      <c r="U69" s="9">
        <v>4613620.3009993499</v>
      </c>
      <c r="V69" s="9">
        <v>3764436.1452335999</v>
      </c>
      <c r="W69" s="9">
        <v>722801.97418366105</v>
      </c>
      <c r="X69" s="9">
        <v>3401262.4470908199</v>
      </c>
      <c r="Y69" s="19">
        <f>AVERAGE(M69:O69)</f>
        <v>2900625.1881406233</v>
      </c>
      <c r="Z69" s="19">
        <f>AVERAGE(P69:R69)</f>
        <v>4544322.3327260697</v>
      </c>
      <c r="AA69" s="20">
        <f>Z69/Y69</f>
        <v>1.5666699549137886</v>
      </c>
      <c r="AB69" s="21">
        <f>AVERAGE(S69:U69)</f>
        <v>4199170.1491927197</v>
      </c>
      <c r="AC69" s="21">
        <f>AVERAGE(V69:X69)</f>
        <v>2629500.1888360269</v>
      </c>
      <c r="AD69" s="22">
        <f>AC69/AB69</f>
        <v>0.62619519938756041</v>
      </c>
      <c r="AE69">
        <f>AVERAGE(M69,S69)</f>
        <v>2897252.9109100103</v>
      </c>
      <c r="AF69">
        <f>AVERAGE(N69,T69)</f>
        <v>2863814.8775897049</v>
      </c>
      <c r="AG69">
        <f>AVERAGE(O69)</f>
        <v>5163630.1340012504</v>
      </c>
      <c r="AH69">
        <f>AVERAGE(P69,V69)</f>
        <v>4260216.5062447153</v>
      </c>
      <c r="AI69">
        <f>AVERAGE(Q69,W69)</f>
        <v>2260630.9171522604</v>
      </c>
      <c r="AJ69">
        <f>AVERAGE(X69)</f>
        <v>3401262.4470908199</v>
      </c>
      <c r="AK69" s="1">
        <v>3077863.9257633998</v>
      </c>
      <c r="AL69" s="1">
        <v>1948861.81327987</v>
      </c>
      <c r="AM69" s="1">
        <v>2225743.1626480999</v>
      </c>
      <c r="AN69" s="1">
        <v>4184489.78250197</v>
      </c>
      <c r="AO69" s="1">
        <v>4279805.5244767601</v>
      </c>
      <c r="AP69" s="1">
        <v>1523719.2855628601</v>
      </c>
    </row>
    <row r="70" spans="1:42">
      <c r="A70" s="1" t="s">
        <v>331</v>
      </c>
      <c r="B70" s="1" t="s">
        <v>75</v>
      </c>
      <c r="C70" s="1" t="s">
        <v>76</v>
      </c>
      <c r="D70" s="1">
        <v>0.63</v>
      </c>
      <c r="E70" s="1">
        <v>162.11580000000001</v>
      </c>
      <c r="F70" s="1">
        <v>3.6240000000000001</v>
      </c>
      <c r="G70" s="1">
        <f>AVERAGE(M70:X70)</f>
        <v>1326120.1778212425</v>
      </c>
      <c r="H70" s="1">
        <f>MAX(M70:X70)</f>
        <v>3999611.20010438</v>
      </c>
      <c r="I70" s="1">
        <f>G70/SUM(G$2:G$104)</f>
        <v>1.8022628648418188E-4</v>
      </c>
      <c r="J70" s="1" t="e">
        <f>G70/#REF!</f>
        <v>#REF!</v>
      </c>
      <c r="K70" s="1" t="e">
        <f>H70/#REF!</f>
        <v>#REF!</v>
      </c>
      <c r="L70" s="1">
        <v>55.7</v>
      </c>
      <c r="M70" s="1">
        <v>806010.83671112102</v>
      </c>
      <c r="N70" s="1">
        <v>3999611.20010438</v>
      </c>
      <c r="O70" s="1">
        <v>1146265.2252651299</v>
      </c>
      <c r="P70" s="1">
        <v>3172218.64981214</v>
      </c>
      <c r="Q70" s="1">
        <v>595103.36371804297</v>
      </c>
      <c r="R70" s="1">
        <v>224752.00535758</v>
      </c>
      <c r="S70" s="1">
        <v>446969.61415553902</v>
      </c>
      <c r="T70" s="1">
        <v>363933.88176534203</v>
      </c>
      <c r="U70" s="1">
        <v>2891853.2258007699</v>
      </c>
      <c r="V70" s="1">
        <v>830978.52158323105</v>
      </c>
      <c r="W70" s="1">
        <v>900663.20554350095</v>
      </c>
      <c r="X70" s="1">
        <v>535082.40403813496</v>
      </c>
      <c r="Y70" s="15">
        <f>AVERAGE(M70:O70)</f>
        <v>1983962.4206935435</v>
      </c>
      <c r="Z70" s="15">
        <f>AVERAGE(P70:R70)</f>
        <v>1330691.3396292543</v>
      </c>
      <c r="AA70" s="16">
        <f>Z70/Y70</f>
        <v>0.67072406500727866</v>
      </c>
      <c r="AB70" s="17">
        <f>AVERAGE(S70:U70)</f>
        <v>1234252.2405738838</v>
      </c>
      <c r="AC70" s="17">
        <f>AVERAGE(V70:X70)</f>
        <v>755574.71038828895</v>
      </c>
      <c r="AD70" s="18">
        <f>AC70/AB70</f>
        <v>0.61217203870496795</v>
      </c>
      <c r="AE70">
        <f>AVERAGE(M70,S70)</f>
        <v>626490.22543333005</v>
      </c>
      <c r="AF70">
        <f>AVERAGE(N70,T70)</f>
        <v>2181772.5409348612</v>
      </c>
      <c r="AG70">
        <f>AVERAGE(O70)</f>
        <v>1146265.2252651299</v>
      </c>
      <c r="AH70">
        <f>AVERAGE(P70,V70)</f>
        <v>2001598.5856976856</v>
      </c>
      <c r="AI70">
        <f>AVERAGE(Q70,W70)</f>
        <v>747883.28463077196</v>
      </c>
      <c r="AJ70">
        <f>AVERAGE(X70)</f>
        <v>535082.40403813496</v>
      </c>
      <c r="AK70" s="1">
        <v>215087.054256715</v>
      </c>
      <c r="AL70" s="1">
        <v>1012312.70537254</v>
      </c>
      <c r="AM70" s="1">
        <v>7417408.9139716504</v>
      </c>
      <c r="AN70" s="1">
        <v>252149.44394694199</v>
      </c>
      <c r="AO70" s="1">
        <v>1216060.9079684101</v>
      </c>
      <c r="AP70" s="1">
        <v>2588199.3650071602</v>
      </c>
    </row>
    <row r="71" spans="1:42">
      <c r="A71" s="1" t="s">
        <v>271</v>
      </c>
      <c r="B71" s="1" t="s">
        <v>209</v>
      </c>
      <c r="C71" s="1" t="s">
        <v>210</v>
      </c>
      <c r="D71" s="1">
        <v>0.62</v>
      </c>
      <c r="E71" s="1">
        <v>157.14676</v>
      </c>
      <c r="F71" s="1">
        <v>2.9649999999999999</v>
      </c>
      <c r="G71" s="1">
        <f>AVERAGE(M71:X71)</f>
        <v>13445568.101097448</v>
      </c>
      <c r="H71" s="1">
        <f>MAX(M71:X71)</f>
        <v>45907837.372474499</v>
      </c>
      <c r="I71" s="1">
        <f>G71/SUM(G$2:G$104)</f>
        <v>1.8273191593481757E-3</v>
      </c>
      <c r="J71" s="1" t="e">
        <f>G71/#REF!</f>
        <v>#REF!</v>
      </c>
      <c r="K71" s="1" t="e">
        <f>H71/#REF!</f>
        <v>#REF!</v>
      </c>
      <c r="L71" s="1">
        <v>89.7</v>
      </c>
      <c r="M71" s="1">
        <v>3471159.4773728601</v>
      </c>
      <c r="N71" s="1">
        <v>12913933.277265299</v>
      </c>
      <c r="O71" s="1">
        <v>4347529.7318011997</v>
      </c>
      <c r="P71" s="1">
        <v>10459119.905799599</v>
      </c>
      <c r="Q71" s="1">
        <v>17092865.562656701</v>
      </c>
      <c r="R71" s="1">
        <v>24286150.641264901</v>
      </c>
      <c r="S71" s="1">
        <v>3669687.20759658</v>
      </c>
      <c r="T71" s="1">
        <v>45907837.372474499</v>
      </c>
      <c r="U71" s="1">
        <v>5630110.1304310001</v>
      </c>
      <c r="V71" s="1">
        <v>3192727.3279567799</v>
      </c>
      <c r="W71" s="1">
        <v>4183099.8738921401</v>
      </c>
      <c r="X71" s="1">
        <v>26192596.7046578</v>
      </c>
      <c r="Y71" s="15">
        <f>AVERAGE(M71:O71)</f>
        <v>6910874.1621464528</v>
      </c>
      <c r="Z71" s="15">
        <f>AVERAGE(P71:R71)</f>
        <v>17279378.703240398</v>
      </c>
      <c r="AA71" s="16">
        <f>Z71/Y71</f>
        <v>2.5003173690943874</v>
      </c>
      <c r="AB71" s="17">
        <f>AVERAGE(S71:U71)</f>
        <v>18402544.903500691</v>
      </c>
      <c r="AC71" s="17">
        <f>AVERAGE(V71:X71)</f>
        <v>11189474.63550224</v>
      </c>
      <c r="AD71" s="18">
        <f>AC71/AB71</f>
        <v>0.60803952356468272</v>
      </c>
      <c r="AE71">
        <f>AVERAGE(M71,S71)</f>
        <v>3570423.3424847201</v>
      </c>
      <c r="AF71">
        <f>AVERAGE(N71,T71)</f>
        <v>29410885.324869901</v>
      </c>
      <c r="AG71">
        <f>AVERAGE(O71)</f>
        <v>4347529.7318011997</v>
      </c>
      <c r="AH71">
        <f>AVERAGE(P71,V71)</f>
        <v>6825923.6168781891</v>
      </c>
      <c r="AI71">
        <f>AVERAGE(Q71,W71)</f>
        <v>10637982.71827442</v>
      </c>
      <c r="AJ71">
        <f>AVERAGE(X71)</f>
        <v>26192596.7046578</v>
      </c>
      <c r="AK71" s="1">
        <v>18259012.783886101</v>
      </c>
      <c r="AL71" s="1">
        <v>20392117.537507601</v>
      </c>
      <c r="AM71" s="1">
        <v>8735381.0957977809</v>
      </c>
      <c r="AN71" s="1">
        <v>20050876.4586269</v>
      </c>
      <c r="AO71" s="1">
        <v>17179475.078072801</v>
      </c>
      <c r="AP71" s="1">
        <v>28778558.8567717</v>
      </c>
    </row>
    <row r="72" spans="1:42">
      <c r="A72" s="1" t="s">
        <v>324</v>
      </c>
      <c r="B72" s="1" t="s">
        <v>41</v>
      </c>
      <c r="C72" s="1" t="s">
        <v>42</v>
      </c>
      <c r="D72" s="1">
        <v>3.31</v>
      </c>
      <c r="E72" s="1">
        <v>297.30414999999999</v>
      </c>
      <c r="F72" s="1">
        <v>1.427</v>
      </c>
      <c r="G72" s="1">
        <f>AVERAGE(M72:X72)</f>
        <v>2578648.0882785241</v>
      </c>
      <c r="H72" s="1">
        <f>MAX(M72:X72)</f>
        <v>5088583.7809425704</v>
      </c>
      <c r="I72" s="1">
        <f>G72/SUM(G$2:G$104)</f>
        <v>3.5045102010552396E-4</v>
      </c>
      <c r="J72" s="1" t="e">
        <f>G72/#REF!</f>
        <v>#REF!</v>
      </c>
      <c r="K72" s="1" t="e">
        <f>H72/#REF!</f>
        <v>#REF!</v>
      </c>
      <c r="L72" s="1">
        <v>62.6</v>
      </c>
      <c r="M72" s="1">
        <v>1348027.80708622</v>
      </c>
      <c r="N72" s="1">
        <v>5088583.7809425704</v>
      </c>
      <c r="O72" s="1">
        <v>1614509.82703827</v>
      </c>
      <c r="P72" s="1">
        <v>2870220.9163165502</v>
      </c>
      <c r="Q72" s="1">
        <v>2817910.2091009002</v>
      </c>
      <c r="R72" s="1">
        <v>1034361.94021934</v>
      </c>
      <c r="S72" s="1">
        <v>4393444.32488879</v>
      </c>
      <c r="T72" s="1">
        <v>3565846.77795558</v>
      </c>
      <c r="U72" s="1">
        <v>2132042.06952726</v>
      </c>
      <c r="V72" s="1">
        <v>3453927.9555966202</v>
      </c>
      <c r="W72" s="1">
        <v>374855.535352604</v>
      </c>
      <c r="X72" s="1">
        <v>2250045.9153175801</v>
      </c>
      <c r="Y72" s="15">
        <f>AVERAGE(M72:O72)</f>
        <v>2683707.1383556868</v>
      </c>
      <c r="Z72" s="15">
        <f>AVERAGE(P72:R72)</f>
        <v>2240831.0218789303</v>
      </c>
      <c r="AA72" s="16">
        <f>Z72/Y72</f>
        <v>0.83497598894188296</v>
      </c>
      <c r="AB72" s="17">
        <f>AVERAGE(S72:U72)</f>
        <v>3363777.7241238765</v>
      </c>
      <c r="AC72" s="17">
        <f>AVERAGE(V72:X72)</f>
        <v>2026276.4687556017</v>
      </c>
      <c r="AD72" s="18">
        <f>AC72/AB72</f>
        <v>0.60238120201101042</v>
      </c>
      <c r="AE72">
        <f>AVERAGE(M72,S72)</f>
        <v>2870736.065987505</v>
      </c>
      <c r="AF72">
        <f>AVERAGE(N72,T72)</f>
        <v>4327215.2794490755</v>
      </c>
      <c r="AG72">
        <f>AVERAGE(O72)</f>
        <v>1614509.82703827</v>
      </c>
      <c r="AH72">
        <f>AVERAGE(P72,V72)</f>
        <v>3162074.4359565852</v>
      </c>
      <c r="AI72">
        <f>AVERAGE(Q72,W72)</f>
        <v>1596382.8722267521</v>
      </c>
      <c r="AJ72">
        <f>AVERAGE(X72)</f>
        <v>2250045.9153175801</v>
      </c>
      <c r="AK72" s="1">
        <v>2142360.1233658898</v>
      </c>
      <c r="AL72" s="1">
        <v>2840393.0503996299</v>
      </c>
      <c r="AM72" s="1">
        <v>2710962.5904574501</v>
      </c>
      <c r="AN72" s="1">
        <v>4803916.0632336996</v>
      </c>
      <c r="AO72" s="1">
        <v>3707572.86426064</v>
      </c>
      <c r="AP72" s="1">
        <v>3076422.7937637698</v>
      </c>
    </row>
    <row r="73" spans="1:42">
      <c r="A73" s="1" t="s">
        <v>304</v>
      </c>
      <c r="B73" s="1" t="s">
        <v>122</v>
      </c>
      <c r="C73" s="1" t="s">
        <v>123</v>
      </c>
      <c r="D73" s="1">
        <v>-1.84</v>
      </c>
      <c r="E73" s="1">
        <v>90.031530000000004</v>
      </c>
      <c r="F73" s="1">
        <v>1.403</v>
      </c>
      <c r="G73" s="1">
        <f>AVERAGE(M73:X73)</f>
        <v>2976629.992703272</v>
      </c>
      <c r="H73" s="1">
        <f>MAX(M73:X73)</f>
        <v>12871326.619501499</v>
      </c>
      <c r="I73" s="1">
        <f>G73/SUM(G$2:G$104)</f>
        <v>4.0453872793319524E-4</v>
      </c>
      <c r="J73" s="1" t="e">
        <f>G73/#REF!</f>
        <v>#REF!</v>
      </c>
      <c r="K73" s="1" t="e">
        <f>H73/#REF!</f>
        <v>#REF!</v>
      </c>
      <c r="L73" s="1">
        <v>62.4</v>
      </c>
      <c r="M73" s="1">
        <v>820918.15776194702</v>
      </c>
      <c r="N73" s="1">
        <v>12871326.619501499</v>
      </c>
      <c r="O73" s="1">
        <v>343700.99525908497</v>
      </c>
      <c r="P73" s="1">
        <v>1137462.18727251</v>
      </c>
      <c r="Q73" s="1">
        <v>1054829.39385265</v>
      </c>
      <c r="R73" s="1">
        <v>779264.65572235303</v>
      </c>
      <c r="S73" s="1">
        <v>1508132.5025154899</v>
      </c>
      <c r="T73" s="1">
        <v>8357909.3672754997</v>
      </c>
      <c r="U73" s="1">
        <v>1852098.83850673</v>
      </c>
      <c r="V73" s="1">
        <v>1623418.76952985</v>
      </c>
      <c r="W73" s="1">
        <v>1157569.7729587101</v>
      </c>
      <c r="X73" s="1">
        <v>4212928.6522829402</v>
      </c>
      <c r="Y73" s="15">
        <f>AVERAGE(M73:O73)</f>
        <v>4678648.5908408435</v>
      </c>
      <c r="Z73" s="15">
        <f>AVERAGE(P73:R73)</f>
        <v>990518.74561583763</v>
      </c>
      <c r="AA73" s="16">
        <f>Z73/Y73</f>
        <v>0.21171043868413769</v>
      </c>
      <c r="AB73" s="17">
        <f>AVERAGE(S73:U73)</f>
        <v>3906046.9027659069</v>
      </c>
      <c r="AC73" s="17">
        <f>AVERAGE(V73:X73)</f>
        <v>2331305.7315905001</v>
      </c>
      <c r="AD73" s="18">
        <f>AC73/AB73</f>
        <v>0.59684529900029659</v>
      </c>
      <c r="AE73">
        <f>AVERAGE(M73,S73)</f>
        <v>1164525.3301387185</v>
      </c>
      <c r="AF73">
        <f>AVERAGE(N73,T73)</f>
        <v>10614617.9933885</v>
      </c>
      <c r="AG73">
        <f>AVERAGE(O73)</f>
        <v>343700.99525908497</v>
      </c>
      <c r="AH73">
        <f>AVERAGE(P73,V73)</f>
        <v>1380440.4784011799</v>
      </c>
      <c r="AI73">
        <f>AVERAGE(Q73,W73)</f>
        <v>1106199.58340568</v>
      </c>
      <c r="AJ73">
        <f>AVERAGE(X73)</f>
        <v>4212928.6522829402</v>
      </c>
      <c r="AK73" s="1">
        <v>1837173.91370664</v>
      </c>
      <c r="AL73" s="1">
        <v>1865512.0136742101</v>
      </c>
      <c r="AM73" s="1">
        <v>1720042.1511985499</v>
      </c>
      <c r="AN73" s="1">
        <v>2413777.3053691699</v>
      </c>
      <c r="AO73" s="1">
        <v>4394840.2541814102</v>
      </c>
      <c r="AP73" s="1">
        <v>3860919.5070261401</v>
      </c>
    </row>
    <row r="74" spans="1:42">
      <c r="A74" s="1" t="s">
        <v>282</v>
      </c>
      <c r="B74" s="6" t="s">
        <v>99</v>
      </c>
      <c r="C74" s="1" t="s">
        <v>100</v>
      </c>
      <c r="D74" s="1">
        <v>0.02</v>
      </c>
      <c r="E74" s="1">
        <v>192.02700999999999</v>
      </c>
      <c r="F74" s="1">
        <v>4.01</v>
      </c>
      <c r="G74" s="1">
        <f>AVERAGE(M74:X74)</f>
        <v>16232311.307694273</v>
      </c>
      <c r="H74" s="1">
        <f>MAX(M74:X74)</f>
        <v>29272272.178874001</v>
      </c>
      <c r="I74" s="1">
        <f>G74/SUM(G$2:G$104)</f>
        <v>2.2060513345384608E-3</v>
      </c>
      <c r="J74" s="1" t="e">
        <f>G74/#REF!</f>
        <v>#REF!</v>
      </c>
      <c r="K74" s="1" t="e">
        <f>H74/#REF!</f>
        <v>#REF!</v>
      </c>
      <c r="L74" s="1">
        <v>85.9</v>
      </c>
      <c r="M74" s="1">
        <v>10060557.8476154</v>
      </c>
      <c r="N74" s="1">
        <v>12140298.519419599</v>
      </c>
      <c r="O74" s="1">
        <v>7896737.3172677001</v>
      </c>
      <c r="P74" s="1">
        <v>10904973.471110599</v>
      </c>
      <c r="Q74" s="1">
        <v>11926941.633507799</v>
      </c>
      <c r="R74" s="1">
        <v>29272272.178874001</v>
      </c>
      <c r="S74" s="1">
        <v>21362331.024709001</v>
      </c>
      <c r="T74" s="1">
        <v>24914449.105774</v>
      </c>
      <c r="U74" s="1">
        <v>25047753.924795602</v>
      </c>
      <c r="V74" s="1">
        <v>12824940.4777552</v>
      </c>
      <c r="W74" s="1">
        <v>16246526.1623039</v>
      </c>
      <c r="X74" s="1">
        <v>12189954.029198499</v>
      </c>
      <c r="Y74" s="15">
        <f>AVERAGE(M74:O74)</f>
        <v>10032531.228100901</v>
      </c>
      <c r="Z74" s="15">
        <f>AVERAGE(P74:R74)</f>
        <v>17368062.4278308</v>
      </c>
      <c r="AA74" s="16">
        <f>Z74/Y74</f>
        <v>1.7311745194655597</v>
      </c>
      <c r="AB74" s="17">
        <f>AVERAGE(S74:U74)</f>
        <v>23774844.685092866</v>
      </c>
      <c r="AC74" s="17">
        <f>AVERAGE(V74:X74)</f>
        <v>13753806.889752531</v>
      </c>
      <c r="AD74" s="18">
        <f>AC74/AB74</f>
        <v>0.57850249168510215</v>
      </c>
      <c r="AE74">
        <f>AVERAGE(M74,S74)</f>
        <v>15711444.4361622</v>
      </c>
      <c r="AF74">
        <f>AVERAGE(N74,T74)</f>
        <v>18527373.812596798</v>
      </c>
      <c r="AG74">
        <f>AVERAGE(O74)</f>
        <v>7896737.3172677001</v>
      </c>
      <c r="AH74">
        <f>AVERAGE(P74,V74)</f>
        <v>11864956.974432901</v>
      </c>
      <c r="AI74">
        <f>AVERAGE(Q74,W74)</f>
        <v>14086733.897905849</v>
      </c>
      <c r="AJ74">
        <f>AVERAGE(X74)</f>
        <v>12189954.029198499</v>
      </c>
      <c r="AK74" s="1">
        <v>9420453.6776375398</v>
      </c>
      <c r="AL74" s="1">
        <v>8753586.0354373995</v>
      </c>
      <c r="AM74" s="1">
        <v>7570965.8672834896</v>
      </c>
      <c r="AN74" s="1">
        <v>23922734.823314302</v>
      </c>
      <c r="AO74" s="1">
        <v>34466205.587965399</v>
      </c>
      <c r="AP74" s="1">
        <v>28134394.733229101</v>
      </c>
    </row>
    <row r="75" spans="1:42">
      <c r="A75" s="1" t="s">
        <v>241</v>
      </c>
      <c r="B75" s="6" t="s">
        <v>37</v>
      </c>
      <c r="C75" s="1" t="s">
        <v>38</v>
      </c>
      <c r="D75" s="1">
        <v>0.45</v>
      </c>
      <c r="E75" s="1">
        <v>191.15223</v>
      </c>
      <c r="F75" s="1">
        <v>2.762</v>
      </c>
      <c r="G75" s="1">
        <f>AVERAGE(M75:X75)</f>
        <v>433278352.67516536</v>
      </c>
      <c r="H75" s="1">
        <f>MAX(M75:X75)</f>
        <v>1441621464.3700299</v>
      </c>
      <c r="I75" s="1">
        <f>G75/SUM(G$2:G$104)</f>
        <v>5.8884669596781312E-2</v>
      </c>
      <c r="J75" s="1" t="e">
        <f>G75/#REF!</f>
        <v>#REF!</v>
      </c>
      <c r="K75" s="1" t="e">
        <f>H75/#REF!</f>
        <v>#REF!</v>
      </c>
      <c r="L75" s="1">
        <v>91.3</v>
      </c>
      <c r="M75" s="1">
        <v>1565264.7190994399</v>
      </c>
      <c r="N75" s="1">
        <v>579349946.17803299</v>
      </c>
      <c r="O75" s="1">
        <v>60910.234879224801</v>
      </c>
      <c r="P75" s="1">
        <v>210029049.031091</v>
      </c>
      <c r="Q75" s="1">
        <v>414036343.48354203</v>
      </c>
      <c r="R75" s="1">
        <v>176301654.60545099</v>
      </c>
      <c r="S75" s="1">
        <v>96888343.038318306</v>
      </c>
      <c r="T75" s="1">
        <v>1441621464.3700299</v>
      </c>
      <c r="U75" s="1">
        <v>932887498.88284004</v>
      </c>
      <c r="V75" s="1">
        <v>507545441.54708201</v>
      </c>
      <c r="W75" s="1">
        <v>448388519.42212898</v>
      </c>
      <c r="X75" s="1">
        <v>390665796.58948898</v>
      </c>
      <c r="Y75" s="15">
        <f>AVERAGE(M75:O75)</f>
        <v>193658707.04400387</v>
      </c>
      <c r="Z75" s="15">
        <f>AVERAGE(P75:R75)</f>
        <v>266789015.70669469</v>
      </c>
      <c r="AA75" s="16">
        <f>Z75/Y75</f>
        <v>1.3776246871568438</v>
      </c>
      <c r="AB75" s="17">
        <f>AVERAGE(S75:U75)</f>
        <v>823799102.09706271</v>
      </c>
      <c r="AC75" s="17">
        <f>AVERAGE(V75:X75)</f>
        <v>448866585.85290003</v>
      </c>
      <c r="AD75" s="18">
        <f>AC75/AB75</f>
        <v>0.54487384692489393</v>
      </c>
      <c r="AE75">
        <f>AVERAGE(M75,S75)</f>
        <v>49226803.878708877</v>
      </c>
      <c r="AF75">
        <f>AVERAGE(N75,T75)</f>
        <v>1010485705.2740314</v>
      </c>
      <c r="AG75">
        <f>AVERAGE(O75)</f>
        <v>60910.234879224801</v>
      </c>
      <c r="AH75">
        <f>AVERAGE(P75,V75)</f>
        <v>358787245.28908652</v>
      </c>
      <c r="AI75">
        <f>AVERAGE(Q75,W75)</f>
        <v>431212431.4528355</v>
      </c>
      <c r="AJ75">
        <f>AVERAGE(X75)</f>
        <v>390665796.58948898</v>
      </c>
      <c r="AK75" s="1">
        <v>403939140.20670301</v>
      </c>
      <c r="AL75" s="1">
        <v>422752280.15963399</v>
      </c>
      <c r="AM75" s="1">
        <v>388336756.19495797</v>
      </c>
      <c r="AN75" s="1">
        <v>539828694.27386701</v>
      </c>
      <c r="AO75" s="1">
        <v>585909255.30306304</v>
      </c>
      <c r="AP75" s="1">
        <v>826075200.06988597</v>
      </c>
    </row>
    <row r="76" spans="1:42">
      <c r="A76" s="1" t="s">
        <v>288</v>
      </c>
      <c r="B76" s="1" t="s">
        <v>221</v>
      </c>
      <c r="C76" s="1" t="s">
        <v>222</v>
      </c>
      <c r="D76" s="1">
        <v>0.49</v>
      </c>
      <c r="E76" s="1">
        <v>138.07937999999999</v>
      </c>
      <c r="F76" s="1">
        <v>2.2599999999999998</v>
      </c>
      <c r="G76" s="1">
        <f>AVERAGE(M76:X76)</f>
        <v>5060986.299091951</v>
      </c>
      <c r="H76" s="1">
        <f>MAX(M76:X76)</f>
        <v>21474360.1554664</v>
      </c>
      <c r="I76" s="1">
        <f>G76/SUM(G$2:G$104)</f>
        <v>6.8781305185420171E-4</v>
      </c>
      <c r="J76" s="1" t="e">
        <f>G76/#REF!</f>
        <v>#REF!</v>
      </c>
      <c r="K76" s="1" t="e">
        <f>H76/#REF!</f>
        <v>#REF!</v>
      </c>
      <c r="L76" s="1">
        <v>64.599999999999994</v>
      </c>
      <c r="M76" s="1">
        <v>1228366.4060807701</v>
      </c>
      <c r="N76" s="1">
        <v>5224380.6422519796</v>
      </c>
      <c r="O76" s="1">
        <v>226392.136436036</v>
      </c>
      <c r="P76" s="1">
        <v>5268535.6308949804</v>
      </c>
      <c r="Q76" s="1">
        <v>10022305.463006601</v>
      </c>
      <c r="R76" s="1">
        <v>21474360.1554664</v>
      </c>
      <c r="S76" s="1">
        <v>2069535.2228957401</v>
      </c>
      <c r="T76" s="1">
        <v>3512339.6608524099</v>
      </c>
      <c r="U76" s="1">
        <v>5792644.4431240195</v>
      </c>
      <c r="V76" s="1">
        <v>2302225.2824174198</v>
      </c>
      <c r="W76" s="1">
        <v>1497709.9931347701</v>
      </c>
      <c r="X76" s="1">
        <v>2113040.5525422902</v>
      </c>
      <c r="Y76" s="15">
        <f>AVERAGE(M76:O76)</f>
        <v>2226379.7282562619</v>
      </c>
      <c r="Z76" s="15">
        <f>AVERAGE(P76:R76)</f>
        <v>12255067.083122661</v>
      </c>
      <c r="AA76" s="16">
        <f>Z76/Y76</f>
        <v>5.5044819747442792</v>
      </c>
      <c r="AB76" s="17">
        <f>AVERAGE(S76:U76)</f>
        <v>3791506.4422907233</v>
      </c>
      <c r="AC76" s="17">
        <f>AVERAGE(V76:X76)</f>
        <v>1970991.9426981602</v>
      </c>
      <c r="AD76" s="18">
        <f>AC76/AB76</f>
        <v>0.5198440178588597</v>
      </c>
      <c r="AE76">
        <f>AVERAGE(M76,S76)</f>
        <v>1648950.814488255</v>
      </c>
      <c r="AF76">
        <f>AVERAGE(N76,T76)</f>
        <v>4368360.1515521947</v>
      </c>
      <c r="AG76">
        <f>AVERAGE(O76)</f>
        <v>226392.136436036</v>
      </c>
      <c r="AH76">
        <f>AVERAGE(P76,V76)</f>
        <v>3785380.4566561999</v>
      </c>
      <c r="AI76">
        <f>AVERAGE(Q76,W76)</f>
        <v>5760007.7280706856</v>
      </c>
      <c r="AJ76">
        <f>AVERAGE(X76)</f>
        <v>2113040.5525422902</v>
      </c>
      <c r="AK76" s="1">
        <v>4364954.1649039099</v>
      </c>
      <c r="AL76" s="1">
        <v>6723039.7020364599</v>
      </c>
      <c r="AM76" s="1">
        <v>4440066.6070459103</v>
      </c>
      <c r="AN76" s="1">
        <v>6140961.4974416196</v>
      </c>
      <c r="AO76" s="1">
        <v>8699469.0631748997</v>
      </c>
      <c r="AP76" s="1">
        <v>6413370.62393976</v>
      </c>
    </row>
    <row r="77" spans="1:42">
      <c r="A77" s="9" t="s">
        <v>274</v>
      </c>
      <c r="B77" s="9" t="s">
        <v>105</v>
      </c>
      <c r="C77" s="9" t="s">
        <v>106</v>
      </c>
      <c r="D77" s="9">
        <v>-0.59</v>
      </c>
      <c r="E77" s="9">
        <v>255.25606999999999</v>
      </c>
      <c r="F77" s="9">
        <v>1.456</v>
      </c>
      <c r="G77" s="9">
        <f>AVERAGE(M77:X77)</f>
        <v>17287714.058330588</v>
      </c>
      <c r="H77" s="9">
        <f>MAX(M77:X77)</f>
        <v>27570304.615713999</v>
      </c>
      <c r="I77" s="9">
        <f>G77/SUM(G$2:G$104)</f>
        <v>2.3494857846535953E-3</v>
      </c>
      <c r="J77" s="9" t="e">
        <f>G77/#REF!</f>
        <v>#REF!</v>
      </c>
      <c r="K77" s="9" t="e">
        <f>H77/#REF!</f>
        <v>#REF!</v>
      </c>
      <c r="L77" s="9">
        <v>75</v>
      </c>
      <c r="M77" s="9">
        <v>17220206.309937801</v>
      </c>
      <c r="N77" s="9">
        <v>3369537.1697718599</v>
      </c>
      <c r="O77" s="9">
        <v>14407993.367198501</v>
      </c>
      <c r="P77" s="9">
        <v>16095010.343147799</v>
      </c>
      <c r="Q77" s="9">
        <v>21810289.062261298</v>
      </c>
      <c r="R77" s="9">
        <v>16555700.634631401</v>
      </c>
      <c r="S77" s="9">
        <v>26281121.065574002</v>
      </c>
      <c r="T77" s="9">
        <v>27570304.615713999</v>
      </c>
      <c r="U77" s="9">
        <v>25791307.5279723</v>
      </c>
      <c r="V77" s="9">
        <v>15321302.8245936</v>
      </c>
      <c r="W77" s="9">
        <v>11760272.5695541</v>
      </c>
      <c r="X77" s="9">
        <v>11269523.209610401</v>
      </c>
      <c r="Y77" s="19">
        <f>AVERAGE(M77:O77)</f>
        <v>11665912.282302722</v>
      </c>
      <c r="Z77" s="19">
        <f>AVERAGE(P77:R77)</f>
        <v>18153666.6800135</v>
      </c>
      <c r="AA77" s="20">
        <f>Z77/Y77</f>
        <v>1.556129194246793</v>
      </c>
      <c r="AB77" s="21">
        <f>AVERAGE(S77:U77)</f>
        <v>26547577.736420099</v>
      </c>
      <c r="AC77" s="21">
        <f>AVERAGE(V77:X77)</f>
        <v>12783699.534586035</v>
      </c>
      <c r="AD77" s="22">
        <f>AC77/AB77</f>
        <v>0.48153920713633808</v>
      </c>
      <c r="AE77">
        <f>AVERAGE(M77,S77)</f>
        <v>21750663.687755901</v>
      </c>
      <c r="AF77">
        <f>AVERAGE(N77,T77)</f>
        <v>15469920.89274293</v>
      </c>
      <c r="AG77">
        <f>AVERAGE(O77)</f>
        <v>14407993.367198501</v>
      </c>
      <c r="AH77">
        <f>AVERAGE(P77,V77)</f>
        <v>15708156.5838707</v>
      </c>
      <c r="AI77">
        <f>AVERAGE(Q77,W77)</f>
        <v>16785280.815907698</v>
      </c>
      <c r="AJ77">
        <f>AVERAGE(X77)</f>
        <v>11269523.209610401</v>
      </c>
      <c r="AK77" s="1">
        <v>15562486.825789301</v>
      </c>
      <c r="AL77" s="1">
        <v>34522177.599242501</v>
      </c>
      <c r="AM77" s="1">
        <v>17162753.657128502</v>
      </c>
      <c r="AN77" s="1">
        <v>33915193.439170003</v>
      </c>
      <c r="AO77" s="1">
        <v>34795627.096658401</v>
      </c>
      <c r="AP77" s="1">
        <v>31285933.7700844</v>
      </c>
    </row>
    <row r="78" spans="1:42">
      <c r="A78" s="1" t="s">
        <v>292</v>
      </c>
      <c r="B78" s="1" t="s">
        <v>163</v>
      </c>
      <c r="C78" s="1" t="s">
        <v>164</v>
      </c>
      <c r="D78" s="1">
        <v>1.18</v>
      </c>
      <c r="E78" s="1">
        <v>123.06856000000001</v>
      </c>
      <c r="F78" s="1">
        <v>2.2970000000000002</v>
      </c>
      <c r="G78" s="1">
        <f>AVERAGE(M78:X78)</f>
        <v>6506975.1849520383</v>
      </c>
      <c r="H78" s="1">
        <f>MAX(M78:X78)</f>
        <v>17078546.774749599</v>
      </c>
      <c r="I78" s="1">
        <f>G78/SUM(G$2:G$104)</f>
        <v>8.8433008820917674E-4</v>
      </c>
      <c r="J78" s="1" t="e">
        <f>G78/#REF!</f>
        <v>#REF!</v>
      </c>
      <c r="K78" s="1" t="e">
        <f>H78/#REF!</f>
        <v>#REF!</v>
      </c>
      <c r="L78" s="1">
        <v>67.400000000000006</v>
      </c>
      <c r="M78" s="1">
        <v>2602238.6082220101</v>
      </c>
      <c r="N78" s="1">
        <v>9904525.9135807101</v>
      </c>
      <c r="O78" s="1">
        <v>2417261.6829674798</v>
      </c>
      <c r="P78" s="1">
        <v>5229470.7019932</v>
      </c>
      <c r="Q78" s="1">
        <v>2492490.5356282</v>
      </c>
      <c r="R78" s="1">
        <v>6827774.4307176499</v>
      </c>
      <c r="S78" s="1">
        <v>6215632.6145337597</v>
      </c>
      <c r="T78" s="1">
        <v>17078546.774749599</v>
      </c>
      <c r="U78" s="1">
        <v>9595712.4337992705</v>
      </c>
      <c r="V78" s="1">
        <v>4580652.1398568396</v>
      </c>
      <c r="W78" s="1">
        <v>8647628.5958381407</v>
      </c>
      <c r="X78" s="1">
        <v>2491767.7875375999</v>
      </c>
      <c r="Y78" s="15">
        <f>AVERAGE(M78:O78)</f>
        <v>4974675.401590067</v>
      </c>
      <c r="Z78" s="15">
        <f>AVERAGE(P78:R78)</f>
        <v>4849911.8894463507</v>
      </c>
      <c r="AA78" s="16">
        <f>Z78/Y78</f>
        <v>0.97492027075699494</v>
      </c>
      <c r="AB78" s="17">
        <f>AVERAGE(S78:U78)</f>
        <v>10963297.274360877</v>
      </c>
      <c r="AC78" s="17">
        <f>AVERAGE(V78:X78)</f>
        <v>5240016.1744108601</v>
      </c>
      <c r="AD78" s="18">
        <f>AC78/AB78</f>
        <v>0.47795987313646343</v>
      </c>
      <c r="AE78">
        <f>AVERAGE(M78,S78)</f>
        <v>4408935.6113778846</v>
      </c>
      <c r="AF78">
        <f>AVERAGE(N78,T78)</f>
        <v>13491536.344165154</v>
      </c>
      <c r="AG78">
        <f>AVERAGE(O78)</f>
        <v>2417261.6829674798</v>
      </c>
      <c r="AH78">
        <f>AVERAGE(P78,V78)</f>
        <v>4905061.4209250193</v>
      </c>
      <c r="AI78">
        <f>AVERAGE(Q78,W78)</f>
        <v>5570059.5657331701</v>
      </c>
      <c r="AJ78">
        <f>AVERAGE(X78)</f>
        <v>2491767.7875375999</v>
      </c>
      <c r="AK78" s="1">
        <v>6758855.6752151903</v>
      </c>
      <c r="AL78" s="1">
        <v>5281887.4320385801</v>
      </c>
      <c r="AM78" s="1">
        <v>5086016.4052109905</v>
      </c>
      <c r="AN78" s="1">
        <v>8305108.15629726</v>
      </c>
      <c r="AO78" s="1">
        <v>9128448.4635341298</v>
      </c>
      <c r="AP78" s="1">
        <v>8362704.8090667101</v>
      </c>
    </row>
    <row r="79" spans="1:42">
      <c r="A79" s="1" t="s">
        <v>337</v>
      </c>
      <c r="B79" s="1" t="s">
        <v>191</v>
      </c>
      <c r="C79" s="1" t="s">
        <v>192</v>
      </c>
      <c r="D79" s="1">
        <v>0.1</v>
      </c>
      <c r="E79" s="1">
        <v>136.06368000000001</v>
      </c>
      <c r="F79" s="1">
        <v>3.7549999999999999</v>
      </c>
      <c r="G79" s="1">
        <f>AVERAGE(M79:X79)</f>
        <v>421052.48753390322</v>
      </c>
      <c r="H79" s="1">
        <f>MAX(M79:X79)</f>
        <v>1504807.9899554099</v>
      </c>
      <c r="I79" s="1">
        <f>G79/SUM(G$2:G$104)</f>
        <v>5.7223114098028393E-5</v>
      </c>
      <c r="J79" s="1" t="e">
        <f>G79/#REF!</f>
        <v>#REF!</v>
      </c>
      <c r="K79" s="1" t="e">
        <f>H79/#REF!</f>
        <v>#REF!</v>
      </c>
      <c r="L79" s="1">
        <v>56.9</v>
      </c>
      <c r="M79" s="1">
        <v>72513.2299218064</v>
      </c>
      <c r="N79" s="1">
        <v>92852.277949640906</v>
      </c>
      <c r="O79" s="1">
        <v>59456.871963949503</v>
      </c>
      <c r="P79" s="1">
        <v>172723.50490758801</v>
      </c>
      <c r="Q79" s="1">
        <v>166324.80389980701</v>
      </c>
      <c r="R79" s="1">
        <v>468863.99127260898</v>
      </c>
      <c r="S79" s="1">
        <v>311016.17682623799</v>
      </c>
      <c r="T79" s="1">
        <v>1504807.9899554099</v>
      </c>
      <c r="U79" s="1">
        <v>909655.43465928896</v>
      </c>
      <c r="V79" s="1">
        <v>457699.47885182902</v>
      </c>
      <c r="W79" s="1">
        <v>413561.26131846901</v>
      </c>
      <c r="X79" s="1">
        <v>423154.82888020301</v>
      </c>
      <c r="Y79" s="15">
        <f>AVERAGE(M79:O79)</f>
        <v>74940.7932784656</v>
      </c>
      <c r="Z79" s="15">
        <f>AVERAGE(P79:R79)</f>
        <v>269304.10002666799</v>
      </c>
      <c r="AA79" s="16">
        <f>Z79/Y79</f>
        <v>3.5935581709948767</v>
      </c>
      <c r="AB79" s="17">
        <f>AVERAGE(S79:U79)</f>
        <v>908493.20048031223</v>
      </c>
      <c r="AC79" s="17">
        <f>AVERAGE(V79:X79)</f>
        <v>431471.85635016701</v>
      </c>
      <c r="AD79" s="18">
        <f>AC79/AB79</f>
        <v>0.47493129956509494</v>
      </c>
      <c r="AE79">
        <f>AVERAGE(M79,S79)</f>
        <v>191764.70337402221</v>
      </c>
      <c r="AF79">
        <f>AVERAGE(N79,T79)</f>
        <v>798830.13395252544</v>
      </c>
      <c r="AG79">
        <f>AVERAGE(O79)</f>
        <v>59456.871963949503</v>
      </c>
      <c r="AH79">
        <f>AVERAGE(P79,V79)</f>
        <v>315211.49187970848</v>
      </c>
      <c r="AI79">
        <f>AVERAGE(Q79,W79)</f>
        <v>289943.032609138</v>
      </c>
      <c r="AJ79">
        <f>AVERAGE(X79)</f>
        <v>423154.82888020301</v>
      </c>
      <c r="AK79" s="1">
        <v>131512.10672954799</v>
      </c>
      <c r="AL79" s="1">
        <v>373663.64132044802</v>
      </c>
      <c r="AM79" s="1">
        <v>387705.77712568198</v>
      </c>
      <c r="AN79" s="1">
        <v>413129.45035308</v>
      </c>
      <c r="AO79" s="1">
        <v>353947.52981112001</v>
      </c>
      <c r="AP79" s="1">
        <v>172731.883554681</v>
      </c>
    </row>
    <row r="80" spans="1:42">
      <c r="A80" s="1" t="s">
        <v>330</v>
      </c>
      <c r="B80" s="1" t="s">
        <v>223</v>
      </c>
      <c r="C80" s="1" t="s">
        <v>224</v>
      </c>
      <c r="D80" s="1">
        <v>-0.81</v>
      </c>
      <c r="E80" s="1">
        <v>722.50919999999996</v>
      </c>
      <c r="F80" s="1">
        <v>1.349</v>
      </c>
      <c r="G80" s="1">
        <f>AVERAGE(M80:X80)</f>
        <v>1672597.041854244</v>
      </c>
      <c r="H80" s="1">
        <f>MAX(M80:X80)</f>
        <v>4213989.3060566699</v>
      </c>
      <c r="I80" s="1">
        <f>G80/SUM(G$2:G$104)</f>
        <v>2.2731420476014525E-4</v>
      </c>
      <c r="J80" s="1" t="e">
        <f>G80/#REF!</f>
        <v>#REF!</v>
      </c>
      <c r="K80" s="1" t="e">
        <f>H80/#REF!</f>
        <v>#REF!</v>
      </c>
      <c r="L80" s="1">
        <v>63.6</v>
      </c>
      <c r="M80" s="1">
        <v>182079.56188759199</v>
      </c>
      <c r="N80" s="1">
        <v>466329.73882743798</v>
      </c>
      <c r="O80" s="1">
        <v>167038.199333981</v>
      </c>
      <c r="P80" s="1">
        <v>143078.20533328201</v>
      </c>
      <c r="Q80" s="1">
        <v>1134446.0017196201</v>
      </c>
      <c r="R80" s="1">
        <v>401037.06106602598</v>
      </c>
      <c r="S80" s="1">
        <v>3608126.5533274501</v>
      </c>
      <c r="T80" s="1">
        <v>4213989.3060566699</v>
      </c>
      <c r="U80" s="1">
        <v>4212846.44066332</v>
      </c>
      <c r="V80" s="1">
        <v>1614242.6105909899</v>
      </c>
      <c r="W80" s="1">
        <v>1666965.2486602999</v>
      </c>
      <c r="X80" s="1">
        <v>2260985.5747842598</v>
      </c>
      <c r="Y80" s="15">
        <f>AVERAGE(M80:O80)</f>
        <v>271815.83334967034</v>
      </c>
      <c r="Z80" s="15">
        <f>AVERAGE(P80:R80)</f>
        <v>559520.42270630936</v>
      </c>
      <c r="AA80" s="16">
        <f>Z80/Y80</f>
        <v>2.0584541224518329</v>
      </c>
      <c r="AB80" s="17">
        <f>AVERAGE(S80:U80)</f>
        <v>4011654.100015813</v>
      </c>
      <c r="AC80" s="17">
        <f>AVERAGE(V80:X80)</f>
        <v>1847397.8113451831</v>
      </c>
      <c r="AD80" s="18">
        <f>AC80/AB80</f>
        <v>0.46050775198636917</v>
      </c>
      <c r="AE80">
        <f>AVERAGE(M80,S80)</f>
        <v>1895103.0576075211</v>
      </c>
      <c r="AF80">
        <f>AVERAGE(N80,T80)</f>
        <v>2340159.522442054</v>
      </c>
      <c r="AG80">
        <f>AVERAGE(O80)</f>
        <v>167038.199333981</v>
      </c>
      <c r="AH80">
        <f>AVERAGE(P80,V80)</f>
        <v>878660.40796213597</v>
      </c>
      <c r="AI80">
        <f>AVERAGE(Q80,W80)</f>
        <v>1400705.62518996</v>
      </c>
      <c r="AJ80">
        <f>AVERAGE(X80)</f>
        <v>2260985.5747842598</v>
      </c>
      <c r="AK80" s="1">
        <v>1100428.1158493501</v>
      </c>
      <c r="AL80" s="1">
        <v>1540486.90184398</v>
      </c>
      <c r="AM80" s="1">
        <v>1182298.4969337101</v>
      </c>
      <c r="AN80" s="1">
        <v>2232011.87356378</v>
      </c>
      <c r="AO80" s="1">
        <v>1360041.67972683</v>
      </c>
      <c r="AP80" s="1">
        <v>1511263.99790512</v>
      </c>
    </row>
    <row r="81" spans="1:42">
      <c r="A81" s="23" t="s">
        <v>341</v>
      </c>
      <c r="B81" s="23" t="s">
        <v>181</v>
      </c>
      <c r="C81" s="23" t="s">
        <v>182</v>
      </c>
      <c r="D81" s="23">
        <v>0.62</v>
      </c>
      <c r="E81" s="23">
        <v>164.04761999999999</v>
      </c>
      <c r="F81" s="23">
        <v>8.3030000000000008</v>
      </c>
      <c r="G81" s="23">
        <f>AVERAGE(M81:X81)</f>
        <v>120950.31170211628</v>
      </c>
      <c r="H81" s="23">
        <f>MAX(M81:X81)</f>
        <v>329128.84607574902</v>
      </c>
      <c r="I81" s="23">
        <f>G81/SUM(G$2:G$104)</f>
        <v>1.6437745154432809E-5</v>
      </c>
      <c r="J81" s="23" t="e">
        <f>G81/#REF!</f>
        <v>#REF!</v>
      </c>
      <c r="K81" s="23" t="e">
        <f>H81/#REF!</f>
        <v>#REF!</v>
      </c>
      <c r="L81" s="23">
        <v>57.7</v>
      </c>
      <c r="M81" s="23">
        <v>86613.910116360305</v>
      </c>
      <c r="N81" s="23">
        <v>111720.290938848</v>
      </c>
      <c r="O81" s="23">
        <v>43786.360478262002</v>
      </c>
      <c r="P81" s="23">
        <v>44996.390368628003</v>
      </c>
      <c r="Q81" s="23">
        <v>87825.718190962594</v>
      </c>
      <c r="R81" s="23">
        <v>55043.240318525102</v>
      </c>
      <c r="S81" s="23">
        <v>178708.835695944</v>
      </c>
      <c r="T81" s="23">
        <v>329128.84607574902</v>
      </c>
      <c r="U81" s="23">
        <v>202427.04572252501</v>
      </c>
      <c r="V81" s="23">
        <v>104696.395399138</v>
      </c>
      <c r="W81" s="23">
        <v>54478.991413130898</v>
      </c>
      <c r="X81" s="23">
        <v>151977.715707322</v>
      </c>
      <c r="Y81" s="24">
        <f>AVERAGE(M81:O81)</f>
        <v>80706.853844490106</v>
      </c>
      <c r="Z81" s="24">
        <f>AVERAGE(P81:R81)</f>
        <v>62621.7829593719</v>
      </c>
      <c r="AA81" s="25">
        <f>Z81/Y81</f>
        <v>0.77591654210724903</v>
      </c>
      <c r="AB81" s="26">
        <f>AVERAGE(S81:U81)</f>
        <v>236754.90916473934</v>
      </c>
      <c r="AC81" s="26">
        <f>AVERAGE(V81:X81)</f>
        <v>103717.70083986362</v>
      </c>
      <c r="AD81" s="27">
        <f>AC81/AB81</f>
        <v>0.43808046559953079</v>
      </c>
      <c r="AE81">
        <f>AVERAGE(M81,S81)</f>
        <v>132661.37290615216</v>
      </c>
      <c r="AF81">
        <f>AVERAGE(N81,T81)</f>
        <v>220424.56850729851</v>
      </c>
      <c r="AG81">
        <f>AVERAGE(O81)</f>
        <v>43786.360478262002</v>
      </c>
      <c r="AH81">
        <f>AVERAGE(P81,V81)</f>
        <v>74846.392883883003</v>
      </c>
      <c r="AI81">
        <f>AVERAGE(Q81,W81)</f>
        <v>71152.354802046742</v>
      </c>
      <c r="AJ81">
        <f>AVERAGE(X81)</f>
        <v>151977.715707322</v>
      </c>
      <c r="AK81" s="1">
        <v>160131.510321982</v>
      </c>
      <c r="AL81" s="1">
        <v>38222.103941974397</v>
      </c>
      <c r="AM81" s="1">
        <v>49139.997598247603</v>
      </c>
      <c r="AN81" s="1">
        <v>70042.633710713999</v>
      </c>
      <c r="AO81" s="1">
        <v>148970.826169682</v>
      </c>
      <c r="AP81" s="1">
        <v>291207.15817390499</v>
      </c>
    </row>
    <row r="82" spans="1:42">
      <c r="A82" s="1" t="s">
        <v>298</v>
      </c>
      <c r="B82" s="1" t="s">
        <v>81</v>
      </c>
      <c r="C82" s="1" t="s">
        <v>82</v>
      </c>
      <c r="D82" s="1">
        <v>0.28000000000000003</v>
      </c>
      <c r="E82" s="1">
        <v>149.07019</v>
      </c>
      <c r="F82" s="1">
        <v>2.4279999999999999</v>
      </c>
      <c r="G82" s="1">
        <f>AVERAGE(M82:X82)</f>
        <v>3658133.0349688926</v>
      </c>
      <c r="H82" s="1">
        <f>MAX(M82:X82)</f>
        <v>14924895.2644928</v>
      </c>
      <c r="I82" s="1">
        <f>G82/SUM(G$2:G$104)</f>
        <v>4.9715835969010055E-4</v>
      </c>
      <c r="J82" s="1" t="e">
        <f>G82/#REF!</f>
        <v>#REF!</v>
      </c>
      <c r="K82" s="1" t="e">
        <f>H82/#REF!</f>
        <v>#REF!</v>
      </c>
      <c r="L82" s="1">
        <v>52.6</v>
      </c>
      <c r="M82" s="1">
        <v>81284.9133505848</v>
      </c>
      <c r="N82" s="1">
        <v>245026.346856169</v>
      </c>
      <c r="O82" s="1">
        <v>223607.802515944</v>
      </c>
      <c r="P82" s="1">
        <v>71674.657043040395</v>
      </c>
      <c r="Q82" s="1">
        <v>166567.00023733801</v>
      </c>
      <c r="R82" s="1">
        <v>2216584.1648208499</v>
      </c>
      <c r="S82" s="1">
        <v>1302948.8899743301</v>
      </c>
      <c r="T82" s="1">
        <v>13358324.2256655</v>
      </c>
      <c r="U82" s="1">
        <v>14924895.2644928</v>
      </c>
      <c r="V82" s="1">
        <v>3477657.8899605898</v>
      </c>
      <c r="W82" s="1">
        <v>4021129.2152594798</v>
      </c>
      <c r="X82" s="1">
        <v>3807896.0494500902</v>
      </c>
      <c r="Y82" s="15">
        <f>AVERAGE(M82:O82)</f>
        <v>183306.35424089929</v>
      </c>
      <c r="Z82" s="15">
        <f>AVERAGE(P82:R82)</f>
        <v>818275.27403374284</v>
      </c>
      <c r="AA82" s="16">
        <f>Z82/Y82</f>
        <v>4.4639765894769479</v>
      </c>
      <c r="AB82" s="17">
        <f>AVERAGE(S82:U82)</f>
        <v>9862056.1267108768</v>
      </c>
      <c r="AC82" s="17">
        <f>AVERAGE(V82:X82)</f>
        <v>3768894.3848900534</v>
      </c>
      <c r="AD82" s="18">
        <f>AC82/AB82</f>
        <v>0.38216111695837901</v>
      </c>
      <c r="AE82">
        <f>AVERAGE(M82,S82)</f>
        <v>692116.9016624575</v>
      </c>
      <c r="AF82">
        <f>AVERAGE(N82,T82)</f>
        <v>6801675.2862608349</v>
      </c>
      <c r="AG82">
        <f>AVERAGE(O82)</f>
        <v>223607.802515944</v>
      </c>
      <c r="AH82">
        <f>AVERAGE(P82,V82)</f>
        <v>1774666.273501815</v>
      </c>
      <c r="AI82">
        <f>AVERAGE(Q82,W82)</f>
        <v>2093848.1077484088</v>
      </c>
      <c r="AJ82">
        <f>AVERAGE(X82)</f>
        <v>3807896.0494500902</v>
      </c>
      <c r="AK82" s="1">
        <v>2023592.7585594801</v>
      </c>
      <c r="AL82" s="1">
        <v>1804509.6989188399</v>
      </c>
      <c r="AM82" s="1">
        <v>2174198.7599241398</v>
      </c>
      <c r="AN82" s="1">
        <v>2800907.76278537</v>
      </c>
      <c r="AO82" s="1">
        <v>3099873.84572786</v>
      </c>
      <c r="AP82" s="1">
        <v>3100839.6444192398</v>
      </c>
    </row>
    <row r="83" spans="1:42">
      <c r="A83" s="1" t="s">
        <v>297</v>
      </c>
      <c r="B83" s="1" t="s">
        <v>49</v>
      </c>
      <c r="C83" s="1" t="s">
        <v>50</v>
      </c>
      <c r="D83" s="1">
        <v>0.06</v>
      </c>
      <c r="E83" s="1">
        <v>222.14673999999999</v>
      </c>
      <c r="F83" s="1">
        <v>1.1850000000000001</v>
      </c>
      <c r="G83" s="1">
        <f>AVERAGE(M83:X83)</f>
        <v>4620198.4221512927</v>
      </c>
      <c r="H83" s="1">
        <f>MAX(M83:X83)</f>
        <v>15084239.9069367</v>
      </c>
      <c r="I83" s="1">
        <f>G83/SUM(G$2:G$104)</f>
        <v>6.2790780079409003E-4</v>
      </c>
      <c r="J83" s="1" t="e">
        <f>G83/#REF!</f>
        <v>#REF!</v>
      </c>
      <c r="K83" s="1" t="e">
        <f>H83/#REF!</f>
        <v>#REF!</v>
      </c>
      <c r="L83" s="1">
        <v>68.400000000000006</v>
      </c>
      <c r="M83" s="1">
        <v>1738871.04001147</v>
      </c>
      <c r="N83" s="1">
        <v>1561283.3936689701</v>
      </c>
      <c r="O83" s="1">
        <v>1780794.6804019399</v>
      </c>
      <c r="P83" s="1">
        <v>1594479.5211338401</v>
      </c>
      <c r="Q83" s="1">
        <v>1483682.8245252499</v>
      </c>
      <c r="R83" s="1">
        <v>15084239.9069367</v>
      </c>
      <c r="S83" s="1">
        <v>2224356.5696565299</v>
      </c>
      <c r="T83" s="1">
        <v>8284672.3620464997</v>
      </c>
      <c r="U83" s="1">
        <v>13047459.487720899</v>
      </c>
      <c r="V83" s="1">
        <v>2969519.8131475402</v>
      </c>
      <c r="W83" s="1">
        <v>3507664.7551200702</v>
      </c>
      <c r="X83" s="1">
        <v>2165356.7114458098</v>
      </c>
      <c r="Y83" s="15">
        <f>AVERAGE(M83:O83)</f>
        <v>1693649.7046941267</v>
      </c>
      <c r="Z83" s="15">
        <f>AVERAGE(P83:R83)</f>
        <v>6054134.0841985969</v>
      </c>
      <c r="AA83" s="16">
        <f>Z83/Y83</f>
        <v>3.5746081774873124</v>
      </c>
      <c r="AB83" s="17">
        <f>AVERAGE(S83:U83)</f>
        <v>7852162.8064746438</v>
      </c>
      <c r="AC83" s="17">
        <f>AVERAGE(V83:X83)</f>
        <v>2880847.0932378066</v>
      </c>
      <c r="AD83" s="18">
        <f>AC83/AB83</f>
        <v>0.36688580767356882</v>
      </c>
      <c r="AE83">
        <f>AVERAGE(M83,S83)</f>
        <v>1981613.8048339998</v>
      </c>
      <c r="AF83">
        <f>AVERAGE(N83,T83)</f>
        <v>4922977.8778577354</v>
      </c>
      <c r="AG83">
        <f>AVERAGE(O83)</f>
        <v>1780794.6804019399</v>
      </c>
      <c r="AH83">
        <f>AVERAGE(P83,V83)</f>
        <v>2281999.6671406901</v>
      </c>
      <c r="AI83">
        <f>AVERAGE(Q83,W83)</f>
        <v>2495673.7898226599</v>
      </c>
      <c r="AJ83">
        <f>AVERAGE(X83)</f>
        <v>2165356.7114458098</v>
      </c>
      <c r="AK83" s="1">
        <v>3109931.0564453402</v>
      </c>
      <c r="AL83" s="1">
        <v>3351016.1815126901</v>
      </c>
      <c r="AM83" s="1">
        <v>4106296.4074314302</v>
      </c>
      <c r="AN83" s="1">
        <v>5304420.0701040197</v>
      </c>
      <c r="AO83" s="1">
        <v>4868574.8910565898</v>
      </c>
      <c r="AP83" s="1">
        <v>5337017.9689588603</v>
      </c>
    </row>
    <row r="84" spans="1:42">
      <c r="A84" s="1" t="s">
        <v>257</v>
      </c>
      <c r="B84" s="1" t="s">
        <v>136</v>
      </c>
      <c r="C84" s="1" t="s">
        <v>137</v>
      </c>
      <c r="D84" s="1">
        <v>0.92</v>
      </c>
      <c r="E84" s="1">
        <v>99.104889999999997</v>
      </c>
      <c r="F84" s="1">
        <v>2.5270000000000001</v>
      </c>
      <c r="G84" s="1">
        <f>AVERAGE(M84:X84)</f>
        <v>27426218.421902046</v>
      </c>
      <c r="H84" s="1">
        <f>MAX(M84:X84)</f>
        <v>96412565.2379466</v>
      </c>
      <c r="I84" s="1">
        <f>G84/SUM(G$2:G$104)</f>
        <v>3.7273586369860352E-3</v>
      </c>
      <c r="J84" s="1" t="e">
        <f>G84/#REF!</f>
        <v>#REF!</v>
      </c>
      <c r="K84" s="1" t="e">
        <f>H84/#REF!</f>
        <v>#REF!</v>
      </c>
      <c r="L84" s="1">
        <v>71.8</v>
      </c>
      <c r="M84" s="1">
        <v>1685428.61755948</v>
      </c>
      <c r="N84" s="1">
        <v>5388249.6430533398</v>
      </c>
      <c r="O84" s="1">
        <v>4285163.9245458301</v>
      </c>
      <c r="P84" s="1">
        <v>40609210.830917098</v>
      </c>
      <c r="Q84" s="1">
        <v>25088100.488244399</v>
      </c>
      <c r="R84" s="1">
        <v>28280966.372133002</v>
      </c>
      <c r="S84" s="1">
        <v>19421995.3765448</v>
      </c>
      <c r="T84" s="1">
        <v>96412565.2379466</v>
      </c>
      <c r="U84" s="1">
        <v>48841494.988132201</v>
      </c>
      <c r="V84" s="1">
        <v>18008887.354709499</v>
      </c>
      <c r="W84" s="1">
        <v>15351492.778171901</v>
      </c>
      <c r="X84" s="1">
        <v>25741065.450866401</v>
      </c>
      <c r="Y84" s="15">
        <f>AVERAGE(M84:O84)</f>
        <v>3786280.7283862163</v>
      </c>
      <c r="Z84" s="15">
        <f>AVERAGE(P84:R84)</f>
        <v>31326092.563764829</v>
      </c>
      <c r="AA84" s="16">
        <f>Z84/Y84</f>
        <v>8.2735789580812718</v>
      </c>
      <c r="AB84" s="17">
        <f>AVERAGE(S84:U84)</f>
        <v>54892018.534207873</v>
      </c>
      <c r="AC84" s="17">
        <f>AVERAGE(V84:X84)</f>
        <v>19700481.861249268</v>
      </c>
      <c r="AD84" s="18">
        <f>AC84/AB84</f>
        <v>0.35889519801448416</v>
      </c>
      <c r="AE84">
        <f>AVERAGE(M84,S84)</f>
        <v>10553711.997052141</v>
      </c>
      <c r="AF84">
        <f>AVERAGE(N84,T84)</f>
        <v>50900407.440499969</v>
      </c>
      <c r="AG84">
        <f>AVERAGE(O84)</f>
        <v>4285163.9245458301</v>
      </c>
      <c r="AH84">
        <f>AVERAGE(P84,V84)</f>
        <v>29309049.092813298</v>
      </c>
      <c r="AI84">
        <f>AVERAGE(Q84,W84)</f>
        <v>20219796.633208148</v>
      </c>
      <c r="AJ84">
        <f>AVERAGE(X84)</f>
        <v>25741065.450866401</v>
      </c>
      <c r="AK84" s="1">
        <v>20574032.6656744</v>
      </c>
      <c r="AL84" s="1">
        <v>20784787.0208042</v>
      </c>
      <c r="AM84" s="1">
        <v>20985565.115250099</v>
      </c>
      <c r="AN84" s="1">
        <v>29642349.090162098</v>
      </c>
      <c r="AO84" s="1">
        <v>27797061.105920698</v>
      </c>
      <c r="AP84" s="1">
        <v>30006543.993548799</v>
      </c>
    </row>
    <row r="85" spans="1:42">
      <c r="A85" s="1" t="s">
        <v>291</v>
      </c>
      <c r="B85" s="1" t="s">
        <v>31</v>
      </c>
      <c r="C85" s="1" t="s">
        <v>32</v>
      </c>
      <c r="D85" s="1">
        <v>0.43</v>
      </c>
      <c r="E85" s="1">
        <v>138.04299</v>
      </c>
      <c r="F85" s="1">
        <v>2.3359999999999999</v>
      </c>
      <c r="G85" s="1">
        <f>AVERAGE(M85:X85)</f>
        <v>5650773.9863688052</v>
      </c>
      <c r="H85" s="1">
        <f>MAX(M85:X85)</f>
        <v>18925843.3878037</v>
      </c>
      <c r="I85" s="1">
        <f>G85/SUM(G$2:G$104)</f>
        <v>7.6796811356711508E-4</v>
      </c>
      <c r="J85" s="1" t="e">
        <f>G85/#REF!</f>
        <v>#REF!</v>
      </c>
      <c r="K85" s="1" t="e">
        <f>H85/#REF!</f>
        <v>#REF!</v>
      </c>
      <c r="L85" s="1">
        <v>83.7</v>
      </c>
      <c r="M85" s="1">
        <v>7390262.8918276504</v>
      </c>
      <c r="N85" s="1">
        <v>18925843.3878037</v>
      </c>
      <c r="O85" s="1">
        <v>6806839.0586534999</v>
      </c>
      <c r="P85" s="1">
        <v>938143.36693650798</v>
      </c>
      <c r="Q85" s="1">
        <v>6814448.8450632701</v>
      </c>
      <c r="R85" s="1">
        <v>2082644.6702839099</v>
      </c>
      <c r="S85" s="1">
        <v>8331188.9041259</v>
      </c>
      <c r="T85" s="1">
        <v>3284465.6895492999</v>
      </c>
      <c r="U85" s="1">
        <v>6790400.9439834002</v>
      </c>
      <c r="V85" s="1">
        <v>2024747.3602346601</v>
      </c>
      <c r="W85" s="1">
        <v>1473024.0769428699</v>
      </c>
      <c r="X85" s="1">
        <v>2947278.6410210002</v>
      </c>
      <c r="Y85" s="15">
        <f>AVERAGE(M85:O85)</f>
        <v>11040981.779428283</v>
      </c>
      <c r="Z85" s="15">
        <f>AVERAGE(P85:R85)</f>
        <v>3278412.2940945625</v>
      </c>
      <c r="AA85" s="16">
        <f>Z85/Y85</f>
        <v>0.29693122944944517</v>
      </c>
      <c r="AB85" s="17">
        <f>AVERAGE(S85:U85)</f>
        <v>6135351.8458862007</v>
      </c>
      <c r="AC85" s="17">
        <f>AVERAGE(V85:X85)</f>
        <v>2148350.0260661766</v>
      </c>
      <c r="AD85" s="18">
        <f>AC85/AB85</f>
        <v>0.35015922151337764</v>
      </c>
      <c r="AE85">
        <f>AVERAGE(M85,S85)</f>
        <v>7860725.8979767747</v>
      </c>
      <c r="AF85">
        <f>AVERAGE(N85,T85)</f>
        <v>11105154.5386765</v>
      </c>
      <c r="AG85">
        <f>AVERAGE(O85)</f>
        <v>6806839.0586534999</v>
      </c>
      <c r="AH85">
        <f>AVERAGE(P85,V85)</f>
        <v>1481445.3635855841</v>
      </c>
      <c r="AI85">
        <f>AVERAGE(Q85,W85)</f>
        <v>4143736.4610030698</v>
      </c>
      <c r="AJ85">
        <f>AVERAGE(X85)</f>
        <v>2947278.6410210002</v>
      </c>
      <c r="AK85" s="1">
        <v>8804772.1574421506</v>
      </c>
      <c r="AL85" s="1">
        <v>2246880.0352721498</v>
      </c>
      <c r="AM85" s="1">
        <v>8667198.2338215206</v>
      </c>
      <c r="AN85" s="1">
        <v>11000374.8704214</v>
      </c>
      <c r="AO85" s="1">
        <v>10267891.885560401</v>
      </c>
      <c r="AP85" s="1">
        <v>10010026.271987701</v>
      </c>
    </row>
    <row r="86" spans="1:42">
      <c r="A86" s="1" t="s">
        <v>339</v>
      </c>
      <c r="B86" s="1" t="s">
        <v>158</v>
      </c>
      <c r="C86" s="1" t="s">
        <v>159</v>
      </c>
      <c r="D86" s="1">
        <v>0.72</v>
      </c>
      <c r="E86" s="1">
        <v>165.06518</v>
      </c>
      <c r="F86" s="1">
        <v>2.988</v>
      </c>
      <c r="G86" s="1">
        <f>AVERAGE(M86:X86)</f>
        <v>381852.42371728056</v>
      </c>
      <c r="H86" s="1">
        <f>MAX(M86:X86)</f>
        <v>1494145.95353131</v>
      </c>
      <c r="I86" s="1">
        <f>G86/SUM(G$2:G$104)</f>
        <v>5.1895631679941566E-5</v>
      </c>
      <c r="J86" s="1" t="e">
        <f>G86/#REF!</f>
        <v>#REF!</v>
      </c>
      <c r="K86" s="1" t="e">
        <f>H86/#REF!</f>
        <v>#REF!</v>
      </c>
      <c r="L86" s="1">
        <v>75.099999999999994</v>
      </c>
      <c r="M86" s="1">
        <v>61576.051325460801</v>
      </c>
      <c r="N86" s="1">
        <v>46855.241190935703</v>
      </c>
      <c r="O86" s="1">
        <v>57371.6225009888</v>
      </c>
      <c r="P86" s="1">
        <v>60027.169056367798</v>
      </c>
      <c r="Q86" s="1">
        <v>46631.638382889403</v>
      </c>
      <c r="R86" s="1">
        <v>73762.808354094799</v>
      </c>
      <c r="S86" s="1">
        <v>1494145.95353131</v>
      </c>
      <c r="T86" s="1">
        <v>1221055.3351261001</v>
      </c>
      <c r="U86" s="1">
        <v>467980.20091294002</v>
      </c>
      <c r="V86" s="1">
        <v>358499.78635178303</v>
      </c>
      <c r="W86" s="1">
        <v>55636.863043140998</v>
      </c>
      <c r="X86" s="1">
        <v>638686.41483135498</v>
      </c>
      <c r="Y86" s="15">
        <f>AVERAGE(M86:O86)</f>
        <v>55267.638339128433</v>
      </c>
      <c r="Z86" s="15">
        <f>AVERAGE(P86:R86)</f>
        <v>60140.538597784005</v>
      </c>
      <c r="AA86" s="16">
        <f>Z86/Y86</f>
        <v>1.0881691421072655</v>
      </c>
      <c r="AB86" s="17">
        <f>AVERAGE(S86:U86)</f>
        <v>1061060.4965234499</v>
      </c>
      <c r="AC86" s="17">
        <f>AVERAGE(V86:X86)</f>
        <v>350941.0214087597</v>
      </c>
      <c r="AD86" s="18">
        <f>AC86/AB86</f>
        <v>0.33074553482917618</v>
      </c>
      <c r="AE86">
        <f>AVERAGE(M86,S86)</f>
        <v>777861.00242838543</v>
      </c>
      <c r="AF86">
        <f>AVERAGE(N86,T86)</f>
        <v>633955.28815851791</v>
      </c>
      <c r="AG86">
        <f>AVERAGE(O86)</f>
        <v>57371.6225009888</v>
      </c>
      <c r="AH86">
        <f>AVERAGE(P86,V86)</f>
        <v>209263.4777040754</v>
      </c>
      <c r="AI86">
        <f>AVERAGE(Q86,W86)</f>
        <v>51134.250713015201</v>
      </c>
      <c r="AJ86">
        <f>AVERAGE(X86)</f>
        <v>638686.41483135498</v>
      </c>
      <c r="AK86" s="1">
        <v>242028.72614113899</v>
      </c>
      <c r="AL86" s="1">
        <v>239722.492673689</v>
      </c>
      <c r="AM86" s="1">
        <v>281956.14162061899</v>
      </c>
      <c r="AN86" s="1">
        <v>393490.55144821701</v>
      </c>
      <c r="AO86" s="1">
        <v>238071.193418401</v>
      </c>
      <c r="AP86" s="1">
        <v>338112.21447707701</v>
      </c>
    </row>
    <row r="87" spans="1:42">
      <c r="A87" s="1" t="s">
        <v>312</v>
      </c>
      <c r="B87" s="1" t="s">
        <v>111</v>
      </c>
      <c r="C87" s="1" t="s">
        <v>112</v>
      </c>
      <c r="D87" s="1">
        <v>0.35</v>
      </c>
      <c r="E87" s="1">
        <v>337.33458000000002</v>
      </c>
      <c r="F87" s="1">
        <v>8.2579999999999991</v>
      </c>
      <c r="G87" s="1">
        <f>AVERAGE(M87:X87)</f>
        <v>1562396.403333907</v>
      </c>
      <c r="H87" s="1">
        <f>MAX(M87:X87)</f>
        <v>7541262.3062927099</v>
      </c>
      <c r="I87" s="1">
        <f>G87/SUM(G$2:G$104)</f>
        <v>2.1233739332112705E-4</v>
      </c>
      <c r="J87" s="1" t="e">
        <f>G87/#REF!</f>
        <v>#REF!</v>
      </c>
      <c r="K87" s="1" t="e">
        <f>H87/#REF!</f>
        <v>#REF!</v>
      </c>
      <c r="L87" s="1">
        <v>75.8</v>
      </c>
      <c r="M87" s="1">
        <v>758110.09435270005</v>
      </c>
      <c r="N87" s="1">
        <v>748033.31547186896</v>
      </c>
      <c r="O87" s="1">
        <v>723348.97910695605</v>
      </c>
      <c r="P87" s="1">
        <v>383546.61611856997</v>
      </c>
      <c r="Q87" s="1">
        <v>494580.54116275301</v>
      </c>
      <c r="R87" s="1">
        <v>7541262.3062927099</v>
      </c>
      <c r="S87" s="1">
        <v>1275263.40300142</v>
      </c>
      <c r="T87" s="1">
        <v>2545751.6212330302</v>
      </c>
      <c r="U87" s="1">
        <v>2452503.2123002401</v>
      </c>
      <c r="V87" s="1">
        <v>608831.87717222294</v>
      </c>
      <c r="W87" s="1">
        <v>615434.14619633101</v>
      </c>
      <c r="X87" s="1">
        <v>602090.72759807704</v>
      </c>
      <c r="Y87" s="15">
        <f>AVERAGE(M87:O87)</f>
        <v>743164.12964384165</v>
      </c>
      <c r="Z87" s="15">
        <f>AVERAGE(P87:R87)</f>
        <v>2806463.1545246779</v>
      </c>
      <c r="AA87" s="16">
        <f>Z87/Y87</f>
        <v>3.776370578959003</v>
      </c>
      <c r="AB87" s="17">
        <f>AVERAGE(S87:U87)</f>
        <v>2091172.7455115635</v>
      </c>
      <c r="AC87" s="17">
        <f>AVERAGE(V87:X87)</f>
        <v>608785.58365554363</v>
      </c>
      <c r="AD87" s="18">
        <f>AC87/AB87</f>
        <v>0.29112161344022131</v>
      </c>
      <c r="AE87">
        <f>AVERAGE(M87,S87)</f>
        <v>1016686.74867706</v>
      </c>
      <c r="AF87">
        <f>AVERAGE(N87,T87)</f>
        <v>1646892.4683524496</v>
      </c>
      <c r="AG87">
        <f>AVERAGE(O87)</f>
        <v>723348.97910695605</v>
      </c>
      <c r="AH87">
        <f>AVERAGE(P87,V87)</f>
        <v>496189.24664539646</v>
      </c>
      <c r="AI87">
        <f>AVERAGE(Q87,W87)</f>
        <v>555007.34367954195</v>
      </c>
      <c r="AJ87">
        <f>AVERAGE(X87)</f>
        <v>602090.72759807704</v>
      </c>
      <c r="AK87" s="1">
        <v>647262.614540198</v>
      </c>
      <c r="AL87" s="1">
        <v>595646.545270968</v>
      </c>
      <c r="AM87" s="1">
        <v>471529.906006039</v>
      </c>
      <c r="AN87" s="1">
        <v>1052212.5219175301</v>
      </c>
      <c r="AO87" s="1">
        <v>604561.28515390202</v>
      </c>
      <c r="AP87" s="1">
        <v>1886066.0964232399</v>
      </c>
    </row>
    <row r="88" spans="1:42">
      <c r="A88" s="1" t="s">
        <v>290</v>
      </c>
      <c r="B88" s="1" t="s">
        <v>197</v>
      </c>
      <c r="C88" s="1" t="s">
        <v>198</v>
      </c>
      <c r="D88" s="1">
        <v>-0.11</v>
      </c>
      <c r="E88" s="1">
        <v>251.10181</v>
      </c>
      <c r="F88" s="1">
        <v>2.7210000000000001</v>
      </c>
      <c r="G88" s="1">
        <f>AVERAGE(M88:X88)</f>
        <v>4600506.8030323861</v>
      </c>
      <c r="H88" s="1">
        <f>MAX(M88:X88)</f>
        <v>19741578.003414501</v>
      </c>
      <c r="I88" s="1">
        <f>G88/SUM(G$2:G$104)</f>
        <v>6.2523161243045907E-4</v>
      </c>
      <c r="J88" s="1" t="e">
        <f>G88/#REF!</f>
        <v>#REF!</v>
      </c>
      <c r="K88" s="1" t="e">
        <f>H88/#REF!</f>
        <v>#REF!</v>
      </c>
      <c r="L88" s="1">
        <v>93.6</v>
      </c>
      <c r="M88" s="1">
        <v>103286.756413382</v>
      </c>
      <c r="N88" s="1">
        <v>151164.65160947599</v>
      </c>
      <c r="O88" s="1">
        <v>92745.514371971905</v>
      </c>
      <c r="P88" s="1">
        <v>799005.89720659505</v>
      </c>
      <c r="Q88" s="1">
        <v>136497.451679878</v>
      </c>
      <c r="R88" s="1">
        <v>19741578.003414501</v>
      </c>
      <c r="S88" s="1">
        <v>2588830.3711701301</v>
      </c>
      <c r="T88" s="1">
        <v>8065778.11742815</v>
      </c>
      <c r="U88" s="1">
        <v>16516456.813148599</v>
      </c>
      <c r="V88" s="1">
        <v>3949441.8922407301</v>
      </c>
      <c r="W88" s="1">
        <v>2640334.0620148499</v>
      </c>
      <c r="X88" s="1">
        <v>420962.10569037602</v>
      </c>
      <c r="Y88" s="15">
        <f>AVERAGE(M88:O88)</f>
        <v>115732.30746494328</v>
      </c>
      <c r="Z88" s="15">
        <f>AVERAGE(P88:R88)</f>
        <v>6892360.4507669909</v>
      </c>
      <c r="AA88" s="16">
        <f>Z88/Y88</f>
        <v>59.554333631987511</v>
      </c>
      <c r="AB88" s="17">
        <f>AVERAGE(S88:U88)</f>
        <v>9057021.7672489602</v>
      </c>
      <c r="AC88" s="17">
        <f>AVERAGE(V88:X88)</f>
        <v>2336912.686648652</v>
      </c>
      <c r="AD88" s="18">
        <f>AC88/AB88</f>
        <v>0.25802220053165237</v>
      </c>
      <c r="AE88">
        <f>AVERAGE(M88,S88)</f>
        <v>1346058.5637917561</v>
      </c>
      <c r="AF88">
        <f>AVERAGE(N88,T88)</f>
        <v>4108471.3845188129</v>
      </c>
      <c r="AG88">
        <f>AVERAGE(O88)</f>
        <v>92745.514371971905</v>
      </c>
      <c r="AH88">
        <f>AVERAGE(P88,V88)</f>
        <v>2374223.8947236626</v>
      </c>
      <c r="AI88">
        <f>AVERAGE(Q88,W88)</f>
        <v>1388415.7568473639</v>
      </c>
      <c r="AJ88">
        <f>AVERAGE(X88)</f>
        <v>420962.10569037602</v>
      </c>
      <c r="AK88" s="1">
        <v>3724705.7906313599</v>
      </c>
      <c r="AL88" s="1">
        <v>3990683.3209528602</v>
      </c>
      <c r="AM88" s="1">
        <v>3892261.3477079398</v>
      </c>
      <c r="AN88" s="1">
        <v>5617011.7349413102</v>
      </c>
      <c r="AO88" s="1">
        <v>4124902.2893438102</v>
      </c>
      <c r="AP88" s="1">
        <v>197224.243124553</v>
      </c>
    </row>
    <row r="89" spans="1:42">
      <c r="A89" s="1" t="s">
        <v>261</v>
      </c>
      <c r="B89" s="1" t="s">
        <v>152</v>
      </c>
      <c r="C89" s="1" t="s">
        <v>153</v>
      </c>
      <c r="D89" s="1">
        <v>0.49</v>
      </c>
      <c r="E89" s="1">
        <v>135.05456000000001</v>
      </c>
      <c r="F89" s="1">
        <v>3.1579999999999999</v>
      </c>
      <c r="G89" s="1">
        <f>AVERAGE(M89:X89)</f>
        <v>10329267.541754289</v>
      </c>
      <c r="H89" s="1">
        <f>MAX(M89:X89)</f>
        <v>78480000.859953403</v>
      </c>
      <c r="I89" s="1">
        <f>G89/SUM(G$2:G$104)</f>
        <v>1.403798511090078E-3</v>
      </c>
      <c r="J89" s="1" t="e">
        <f>G89/#REF!</f>
        <v>#REF!</v>
      </c>
      <c r="K89" s="1" t="e">
        <f>H89/#REF!</f>
        <v>#REF!</v>
      </c>
      <c r="L89" s="1">
        <v>83.7</v>
      </c>
      <c r="M89" s="1">
        <v>2206712.8273052899</v>
      </c>
      <c r="N89" s="1">
        <v>6134457.9184860401</v>
      </c>
      <c r="O89" s="1">
        <v>682425.96021174302</v>
      </c>
      <c r="P89" s="1">
        <v>1155093.23467422</v>
      </c>
      <c r="Q89" s="1">
        <v>4970873.9110287204</v>
      </c>
      <c r="R89" s="1">
        <v>78480000.859953403</v>
      </c>
      <c r="S89" s="1">
        <v>2491943.8110579499</v>
      </c>
      <c r="T89" s="1">
        <v>9265361.7900461107</v>
      </c>
      <c r="U89" s="1">
        <v>12508904.5679508</v>
      </c>
      <c r="V89" s="1">
        <v>2383088.2705660402</v>
      </c>
      <c r="W89" s="1">
        <v>1968833.0686756</v>
      </c>
      <c r="X89" s="1">
        <v>1703514.2810955299</v>
      </c>
      <c r="Y89" s="15">
        <f>AVERAGE(M89:O89)</f>
        <v>3007865.5686676912</v>
      </c>
      <c r="Z89" s="15">
        <f>AVERAGE(P89:R89)</f>
        <v>28201989.335218783</v>
      </c>
      <c r="AA89" s="16">
        <f>Z89/Y89</f>
        <v>9.3760803770597434</v>
      </c>
      <c r="AB89" s="17">
        <f>AVERAGE(S89:U89)</f>
        <v>8088736.7230182858</v>
      </c>
      <c r="AC89" s="17">
        <f>AVERAGE(V89:X89)</f>
        <v>2018478.5401123902</v>
      </c>
      <c r="AD89" s="18">
        <f>AC89/AB89</f>
        <v>0.2495418764673554</v>
      </c>
      <c r="AE89">
        <f>AVERAGE(M89,S89)</f>
        <v>2349328.3191816201</v>
      </c>
      <c r="AF89">
        <f>AVERAGE(N89,T89)</f>
        <v>7699909.8542660754</v>
      </c>
      <c r="AG89">
        <f>AVERAGE(O89)</f>
        <v>682425.96021174302</v>
      </c>
      <c r="AH89">
        <f>AVERAGE(P89,V89)</f>
        <v>1769090.7526201301</v>
      </c>
      <c r="AI89">
        <f>AVERAGE(Q89,W89)</f>
        <v>3469853.4898521602</v>
      </c>
      <c r="AJ89">
        <f>AVERAGE(X89)</f>
        <v>1703514.2810955299</v>
      </c>
      <c r="AK89" s="1">
        <v>9340005.6560967397</v>
      </c>
      <c r="AL89" s="1">
        <v>8797412.3419106491</v>
      </c>
      <c r="AM89" s="1">
        <v>9313113.2366013099</v>
      </c>
      <c r="AN89" s="1">
        <v>13218123.9376623</v>
      </c>
      <c r="AO89" s="1">
        <v>6871907.0060331402</v>
      </c>
      <c r="AP89" s="1">
        <v>2200825.5904240799</v>
      </c>
    </row>
    <row r="90" spans="1:42">
      <c r="A90" s="1" t="s">
        <v>316</v>
      </c>
      <c r="B90" s="1" t="s">
        <v>150</v>
      </c>
      <c r="C90" s="1" t="s">
        <v>151</v>
      </c>
      <c r="D90" s="1">
        <v>-0.17</v>
      </c>
      <c r="E90" s="1">
        <v>267.09670999999997</v>
      </c>
      <c r="F90" s="1">
        <v>3.35</v>
      </c>
      <c r="G90" s="1">
        <f>AVERAGE(M90:X90)</f>
        <v>1462085.3080831503</v>
      </c>
      <c r="H90" s="1">
        <f>MAX(M90:X90)</f>
        <v>6302925.2383723501</v>
      </c>
      <c r="I90" s="1">
        <f>G90/SUM(G$2:G$104)</f>
        <v>1.9870461969128346E-4</v>
      </c>
      <c r="J90" s="1" t="e">
        <f>G90/#REF!</f>
        <v>#REF!</v>
      </c>
      <c r="K90" s="1" t="e">
        <f>H90/#REF!</f>
        <v>#REF!</v>
      </c>
      <c r="L90" s="1">
        <v>91.3</v>
      </c>
      <c r="M90" s="1">
        <v>131739.99493574401</v>
      </c>
      <c r="N90" s="1">
        <v>226501.27520236999</v>
      </c>
      <c r="O90" s="1">
        <v>114027.709847322</v>
      </c>
      <c r="P90" s="1">
        <v>132180.05662481199</v>
      </c>
      <c r="Q90" s="1">
        <v>197693.289490442</v>
      </c>
      <c r="R90" s="1">
        <v>1379138.73921771</v>
      </c>
      <c r="S90" s="1">
        <v>2483644.8631942701</v>
      </c>
      <c r="T90" s="1">
        <v>3696586.2923693098</v>
      </c>
      <c r="U90" s="1">
        <v>6302925.2383723501</v>
      </c>
      <c r="V90" s="1">
        <v>1316073.19651977</v>
      </c>
      <c r="W90" s="1">
        <v>1292980.09763339</v>
      </c>
      <c r="X90" s="1">
        <v>271532.94359031302</v>
      </c>
      <c r="Y90" s="15">
        <f>AVERAGE(M90:O90)</f>
        <v>157422.99332847865</v>
      </c>
      <c r="Z90" s="15">
        <f>AVERAGE(P90:R90)</f>
        <v>569670.69511098799</v>
      </c>
      <c r="AA90" s="16">
        <f>Z90/Y90</f>
        <v>3.6187261026241173</v>
      </c>
      <c r="AB90" s="17">
        <f>AVERAGE(S90:U90)</f>
        <v>4161052.1313119768</v>
      </c>
      <c r="AC90" s="17">
        <f>AVERAGE(V90:X90)</f>
        <v>960195.41258115775</v>
      </c>
      <c r="AD90" s="18">
        <f>AC90/AB90</f>
        <v>0.23075784255517337</v>
      </c>
      <c r="AE90">
        <f>AVERAGE(M90,S90)</f>
        <v>1307692.429065007</v>
      </c>
      <c r="AF90">
        <f>AVERAGE(N90,T90)</f>
        <v>1961543.7837858398</v>
      </c>
      <c r="AG90">
        <f>AVERAGE(O90)</f>
        <v>114027.709847322</v>
      </c>
      <c r="AH90">
        <f>AVERAGE(P90,V90)</f>
        <v>724126.62657229102</v>
      </c>
      <c r="AI90">
        <f>AVERAGE(Q90,W90)</f>
        <v>745336.69356191601</v>
      </c>
      <c r="AJ90">
        <f>AVERAGE(X90)</f>
        <v>271532.94359031302</v>
      </c>
      <c r="AK90" s="1">
        <v>1164299.2946884001</v>
      </c>
      <c r="AL90" s="1">
        <v>1099105.3789554101</v>
      </c>
      <c r="AM90" s="1">
        <v>1114892.5985153001</v>
      </c>
      <c r="AN90" s="1">
        <v>1800859.9014697</v>
      </c>
      <c r="AO90" s="1">
        <v>1102878.9928487199</v>
      </c>
      <c r="AP90" s="1">
        <v>994830.47749462305</v>
      </c>
    </row>
    <row r="91" spans="1:42">
      <c r="A91" s="1" t="s">
        <v>338</v>
      </c>
      <c r="B91" s="1" t="s">
        <v>91</v>
      </c>
      <c r="C91" s="1" t="s">
        <v>92</v>
      </c>
      <c r="D91" s="1">
        <v>-1.77</v>
      </c>
      <c r="E91" s="1">
        <v>150.01616999999999</v>
      </c>
      <c r="F91" s="1">
        <v>1.677</v>
      </c>
      <c r="G91" s="1">
        <f>AVERAGE(M91:X91)</f>
        <v>699660.31799914467</v>
      </c>
      <c r="H91" s="1">
        <f>MAX(M91:X91)</f>
        <v>1501996.1874398601</v>
      </c>
      <c r="I91" s="1">
        <f>G91/SUM(G$2:G$104)</f>
        <v>9.5087295271006138E-5</v>
      </c>
      <c r="J91" s="1" t="e">
        <f>G91/#REF!</f>
        <v>#REF!</v>
      </c>
      <c r="K91" s="1" t="e">
        <f>H91/#REF!</f>
        <v>#REF!</v>
      </c>
      <c r="L91" s="1">
        <v>68.8</v>
      </c>
      <c r="M91" s="1">
        <v>362158.13889160397</v>
      </c>
      <c r="N91" s="1">
        <v>1501996.1874398601</v>
      </c>
      <c r="O91" s="1">
        <v>465612.647766751</v>
      </c>
      <c r="P91" s="1">
        <v>663584.26317223499</v>
      </c>
      <c r="Q91" s="1">
        <v>1120029.8772565699</v>
      </c>
      <c r="R91" s="1">
        <v>823332.91771553503</v>
      </c>
      <c r="S91" s="1">
        <v>1109072.0477056301</v>
      </c>
      <c r="T91" s="1">
        <v>228733.199831982</v>
      </c>
      <c r="U91" s="1">
        <v>1487749.8733758</v>
      </c>
      <c r="V91" s="1">
        <v>125323.770320642</v>
      </c>
      <c r="W91" s="1">
        <v>229212.19009793401</v>
      </c>
      <c r="X91" s="1">
        <v>279118.70241519401</v>
      </c>
      <c r="Y91" s="15">
        <f>AVERAGE(M91:O91)</f>
        <v>776588.99136607163</v>
      </c>
      <c r="Z91" s="15">
        <f>AVERAGE(P91:R91)</f>
        <v>868982.3527147799</v>
      </c>
      <c r="AA91" s="16">
        <f>Z91/Y91</f>
        <v>1.1189733081152518</v>
      </c>
      <c r="AB91" s="17">
        <f>AVERAGE(S91:U91)</f>
        <v>941851.70697113732</v>
      </c>
      <c r="AC91" s="17">
        <f>AVERAGE(V91:X91)</f>
        <v>211218.22094459002</v>
      </c>
      <c r="AD91" s="18">
        <f>AC91/AB91</f>
        <v>0.22425846805951877</v>
      </c>
      <c r="AE91">
        <f>AVERAGE(M91,S91)</f>
        <v>735615.09329861705</v>
      </c>
      <c r="AF91">
        <f>AVERAGE(N91,T91)</f>
        <v>865364.69363592099</v>
      </c>
      <c r="AG91">
        <f>AVERAGE(O91)</f>
        <v>465612.647766751</v>
      </c>
      <c r="AH91">
        <f>AVERAGE(P91,V91)</f>
        <v>394454.01674643852</v>
      </c>
      <c r="AI91">
        <f>AVERAGE(Q91,W91)</f>
        <v>674621.03367725201</v>
      </c>
      <c r="AJ91">
        <f>AVERAGE(X91)</f>
        <v>279118.70241519401</v>
      </c>
      <c r="AK91" s="1">
        <v>405116.12020388001</v>
      </c>
      <c r="AL91" s="1">
        <v>283152.24289052701</v>
      </c>
      <c r="AM91" s="1">
        <v>512444.27290663298</v>
      </c>
      <c r="AN91" s="1">
        <v>746053.89419642906</v>
      </c>
      <c r="AO91" s="1">
        <v>2763812.02903029</v>
      </c>
      <c r="AP91" s="1">
        <v>7874665.7165068798</v>
      </c>
    </row>
    <row r="92" spans="1:42">
      <c r="A92" s="1" t="s">
        <v>287</v>
      </c>
      <c r="B92" s="1" t="s">
        <v>95</v>
      </c>
      <c r="C92" s="1" t="s">
        <v>96</v>
      </c>
      <c r="D92" s="1">
        <v>0.53</v>
      </c>
      <c r="E92" s="1">
        <v>166.02670000000001</v>
      </c>
      <c r="F92" s="1">
        <v>1.1539999999999999</v>
      </c>
      <c r="G92" s="1">
        <f>AVERAGE(M92:X92)</f>
        <v>1041189.2568909726</v>
      </c>
      <c r="H92" s="1">
        <f>MAX(M92:X92)</f>
        <v>2339454.9499335098</v>
      </c>
      <c r="I92" s="1">
        <f>G92/SUM(G$2:G$104)</f>
        <v>1.4150276606527857E-4</v>
      </c>
      <c r="J92" s="1" t="e">
        <f>G92/#REF!</f>
        <v>#REF!</v>
      </c>
      <c r="K92" s="1" t="e">
        <f>H92/#REF!</f>
        <v>#REF!</v>
      </c>
      <c r="L92" s="1">
        <v>85.3</v>
      </c>
      <c r="M92" s="1">
        <v>259279.28986251701</v>
      </c>
      <c r="N92" s="1">
        <v>1132607.4482722699</v>
      </c>
      <c r="O92" s="1">
        <v>323919.45478496503</v>
      </c>
      <c r="P92" s="1">
        <v>1565650.01241834</v>
      </c>
      <c r="Q92" s="1">
        <v>771548.63123215095</v>
      </c>
      <c r="R92" s="1">
        <v>2339454.9499335098</v>
      </c>
      <c r="S92" s="1">
        <v>2208267.24520711</v>
      </c>
      <c r="T92" s="1">
        <v>1345983.7602755199</v>
      </c>
      <c r="U92" s="1">
        <v>1680921.5915918001</v>
      </c>
      <c r="V92" s="1">
        <v>322486.59565629798</v>
      </c>
      <c r="W92" s="1">
        <v>276637.83036951203</v>
      </c>
      <c r="X92" s="1">
        <v>267514.27308767801</v>
      </c>
      <c r="Y92" s="15">
        <f>AVERAGE(M92:O92)</f>
        <v>571935.39763991733</v>
      </c>
      <c r="Z92" s="15">
        <f>AVERAGE(P92:R92)</f>
        <v>1558884.5311946671</v>
      </c>
      <c r="AA92" s="16">
        <f>Z92/Y92</f>
        <v>2.7256304429265619</v>
      </c>
      <c r="AB92" s="17">
        <f>AVERAGE(S92:U92)</f>
        <v>1745057.5323581435</v>
      </c>
      <c r="AC92" s="17">
        <f>AVERAGE(V92:X92)</f>
        <v>288879.56637116265</v>
      </c>
      <c r="AD92" s="18">
        <f>AC92/AB92</f>
        <v>0.16554157156113464</v>
      </c>
      <c r="AE92">
        <f>AVERAGE(M92,S92)</f>
        <v>1233773.2675348134</v>
      </c>
      <c r="AF92">
        <f>AVERAGE(N92,T92)</f>
        <v>1239295.6042738948</v>
      </c>
      <c r="AG92">
        <f>AVERAGE(O92)</f>
        <v>323919.45478496503</v>
      </c>
      <c r="AH92">
        <f>AVERAGE(P92,V92)</f>
        <v>944068.30403731903</v>
      </c>
      <c r="AI92">
        <f>AVERAGE(Q92,W92)</f>
        <v>524093.23080083146</v>
      </c>
      <c r="AJ92">
        <f>AVERAGE(X92)</f>
        <v>267514.27308767801</v>
      </c>
      <c r="AK92" s="1">
        <v>1327451.6628440199</v>
      </c>
      <c r="AL92" s="1">
        <v>2789621.9903941099</v>
      </c>
      <c r="AM92" s="1">
        <v>1481771.43303161</v>
      </c>
      <c r="AN92" s="1">
        <v>1639925.03552706</v>
      </c>
      <c r="AO92" s="1">
        <v>5253390.3939475203</v>
      </c>
      <c r="AP92" s="1">
        <v>1356918.63831251</v>
      </c>
    </row>
    <row r="93" spans="1:42">
      <c r="A93" s="23" t="s">
        <v>300</v>
      </c>
      <c r="B93" s="23" t="s">
        <v>101</v>
      </c>
      <c r="C93" s="23" t="s">
        <v>102</v>
      </c>
      <c r="D93" s="23">
        <v>-0.56000000000000005</v>
      </c>
      <c r="E93" s="23">
        <v>175.06323</v>
      </c>
      <c r="F93" s="23">
        <v>1.1140000000000001</v>
      </c>
      <c r="G93" s="23">
        <f>AVERAGE(M93:X93)</f>
        <v>2356309.1043742509</v>
      </c>
      <c r="H93" s="23">
        <f>MAX(M93:X93)</f>
        <v>14864618.5082015</v>
      </c>
      <c r="I93" s="23">
        <f>G93/SUM(G$2:G$104)</f>
        <v>3.2023405328765312E-4</v>
      </c>
      <c r="J93" s="23" t="e">
        <f>G93/#REF!</f>
        <v>#REF!</v>
      </c>
      <c r="K93" s="23" t="e">
        <f>H93/#REF!</f>
        <v>#REF!</v>
      </c>
      <c r="L93" s="23">
        <v>80.7</v>
      </c>
      <c r="M93" s="23">
        <v>547559.78181953297</v>
      </c>
      <c r="N93" s="23">
        <v>65185.0279553316</v>
      </c>
      <c r="O93" s="23">
        <v>366745.22118847899</v>
      </c>
      <c r="P93" s="23">
        <v>107916.390056894</v>
      </c>
      <c r="Q93" s="23">
        <v>59023.101786361403</v>
      </c>
      <c r="R93" s="23">
        <v>14864618.5082015</v>
      </c>
      <c r="S93" s="23">
        <v>2426272.2461899598</v>
      </c>
      <c r="T93" s="23">
        <v>2599570.3167333398</v>
      </c>
      <c r="U93" s="23">
        <v>5582585.1567933699</v>
      </c>
      <c r="V93" s="23">
        <v>646767.65047369897</v>
      </c>
      <c r="W93" s="23">
        <v>369164.00072009501</v>
      </c>
      <c r="X93" s="23">
        <v>640301.85057244496</v>
      </c>
      <c r="Y93" s="24">
        <f>AVERAGE(M93:O93)</f>
        <v>326496.67698778119</v>
      </c>
      <c r="Z93" s="24">
        <f>AVERAGE(P93:R93)</f>
        <v>5010519.3333482519</v>
      </c>
      <c r="AA93" s="25">
        <f>Z93/Y93</f>
        <v>15.34631035015332</v>
      </c>
      <c r="AB93" s="26">
        <f>AVERAGE(S93:U93)</f>
        <v>3536142.5732388892</v>
      </c>
      <c r="AC93" s="26">
        <f>AVERAGE(V93:X93)</f>
        <v>552077.83392207965</v>
      </c>
      <c r="AD93" s="27">
        <f>AC93/AB93</f>
        <v>0.15612431413262001</v>
      </c>
      <c r="AE93">
        <f>AVERAGE(M93,S93)</f>
        <v>1486916.0140047465</v>
      </c>
      <c r="AF93">
        <f>AVERAGE(N93,T93)</f>
        <v>1332377.6723443356</v>
      </c>
      <c r="AG93">
        <f>AVERAGE(O93)</f>
        <v>366745.22118847899</v>
      </c>
      <c r="AH93">
        <f>AVERAGE(P93,V93)</f>
        <v>377342.02026529651</v>
      </c>
      <c r="AI93">
        <f>AVERAGE(Q93,W93)</f>
        <v>214093.55125322822</v>
      </c>
      <c r="AJ93">
        <f>AVERAGE(X93)</f>
        <v>640301.85057244496</v>
      </c>
      <c r="AK93" s="1">
        <v>1654149.71444534</v>
      </c>
      <c r="AL93" s="1">
        <v>1294959.24880423</v>
      </c>
      <c r="AM93" s="1">
        <v>2046129.55294074</v>
      </c>
      <c r="AN93" s="1">
        <v>2219306.1087549799</v>
      </c>
      <c r="AO93" s="1">
        <v>2126011.4666624698</v>
      </c>
      <c r="AP93" s="1">
        <v>2085411.00528162</v>
      </c>
    </row>
    <row r="94" spans="1:42">
      <c r="A94" s="1" t="s">
        <v>332</v>
      </c>
      <c r="B94" s="1" t="s">
        <v>120</v>
      </c>
      <c r="C94" s="1" t="s">
        <v>121</v>
      </c>
      <c r="D94" s="1">
        <v>0.06</v>
      </c>
      <c r="E94" s="1">
        <v>143.09464</v>
      </c>
      <c r="F94" s="1">
        <v>4.2089999999999996</v>
      </c>
      <c r="G94" s="1">
        <f>AVERAGE(M94:X94)</f>
        <v>689286.068001076</v>
      </c>
      <c r="H94" s="1">
        <f>MAX(M94:X94)</f>
        <v>3508489.1875067698</v>
      </c>
      <c r="I94" s="1">
        <f>G94/SUM(G$2:G$104)</f>
        <v>9.3677383421778178E-5</v>
      </c>
      <c r="J94" s="1" t="e">
        <f>G94/#REF!</f>
        <v>#REF!</v>
      </c>
      <c r="K94" s="1" t="e">
        <f>H94/#REF!</f>
        <v>#REF!</v>
      </c>
      <c r="L94" s="1">
        <v>66.2</v>
      </c>
      <c r="M94" s="1">
        <v>141778.81059672101</v>
      </c>
      <c r="N94" s="1">
        <v>3508489.1875067698</v>
      </c>
      <c r="O94" s="1">
        <v>216799.33014860001</v>
      </c>
      <c r="P94" s="1">
        <v>280285.34049436799</v>
      </c>
      <c r="Q94" s="1">
        <v>97502.117938996395</v>
      </c>
      <c r="R94" s="1">
        <v>222481.210356367</v>
      </c>
      <c r="S94" s="1">
        <v>180972.822623669</v>
      </c>
      <c r="T94" s="1">
        <v>280693.93334455998</v>
      </c>
      <c r="U94" s="1">
        <v>2876135.3375074002</v>
      </c>
      <c r="V94" s="1">
        <v>146525.19410334801</v>
      </c>
      <c r="W94" s="1">
        <v>167790.19307488101</v>
      </c>
      <c r="X94" s="1">
        <v>151979.33831722999</v>
      </c>
      <c r="Y94" s="15">
        <f>AVERAGE(M94:O94)</f>
        <v>1289022.442750697</v>
      </c>
      <c r="Z94" s="15">
        <f>AVERAGE(P94:R94)</f>
        <v>200089.55626324378</v>
      </c>
      <c r="AA94" s="16">
        <f>Z94/Y94</f>
        <v>0.15522581269901289</v>
      </c>
      <c r="AB94" s="17">
        <f>AVERAGE(S94:U94)</f>
        <v>1112600.6978252097</v>
      </c>
      <c r="AC94" s="17">
        <f>AVERAGE(V94:X94)</f>
        <v>155431.57516515302</v>
      </c>
      <c r="AD94" s="18">
        <f>AC94/AB94</f>
        <v>0.139701130395634</v>
      </c>
      <c r="AE94">
        <f>AVERAGE(M94,S94)</f>
        <v>161375.816610195</v>
      </c>
      <c r="AF94">
        <f>AVERAGE(N94,T94)</f>
        <v>1894591.5604256648</v>
      </c>
      <c r="AG94">
        <f>AVERAGE(O94)</f>
        <v>216799.33014860001</v>
      </c>
      <c r="AH94">
        <f>AVERAGE(P94,V94)</f>
        <v>213405.267298858</v>
      </c>
      <c r="AI94">
        <f>AVERAGE(Q94,W94)</f>
        <v>132646.1555069387</v>
      </c>
      <c r="AJ94">
        <f>AVERAGE(X94)</f>
        <v>151979.33831722999</v>
      </c>
      <c r="AK94" s="1">
        <v>101307.061988696</v>
      </c>
      <c r="AL94" s="1">
        <v>155210.023366548</v>
      </c>
      <c r="AM94" s="1">
        <v>127630.547781639</v>
      </c>
      <c r="AN94" s="1">
        <v>198343.26701683301</v>
      </c>
      <c r="AO94" s="1">
        <v>156883.526656795</v>
      </c>
      <c r="AP94" s="1">
        <v>118734.858012203</v>
      </c>
    </row>
    <row r="95" spans="1:42">
      <c r="A95" s="1" t="s">
        <v>310</v>
      </c>
      <c r="B95" s="1" t="s">
        <v>203</v>
      </c>
      <c r="C95" s="1" t="s">
        <v>204</v>
      </c>
      <c r="D95" s="1">
        <v>0.37</v>
      </c>
      <c r="E95" s="1">
        <v>121.08919</v>
      </c>
      <c r="F95" s="1">
        <v>8.23</v>
      </c>
      <c r="G95" s="1">
        <f>AVERAGE(M95:X95)</f>
        <v>2342965.9047846636</v>
      </c>
      <c r="H95" s="1">
        <f>MAX(M95:X95)</f>
        <v>7843780.8223021403</v>
      </c>
      <c r="I95" s="1">
        <f>G95/SUM(G$2:G$104)</f>
        <v>3.1842064651497315E-4</v>
      </c>
      <c r="J95" s="1" t="e">
        <f>G95/#REF!</f>
        <v>#REF!</v>
      </c>
      <c r="K95" s="1" t="e">
        <f>H95/#REF!</f>
        <v>#REF!</v>
      </c>
      <c r="L95" s="1">
        <v>78.400000000000006</v>
      </c>
      <c r="M95" s="1">
        <v>801779.65979633399</v>
      </c>
      <c r="N95" s="1">
        <v>1264855.5494945501</v>
      </c>
      <c r="O95" s="1">
        <v>1136382.03437519</v>
      </c>
      <c r="P95" s="1">
        <v>547654.43109138298</v>
      </c>
      <c r="Q95" s="1">
        <v>1866492.5041805899</v>
      </c>
      <c r="R95" s="1">
        <v>585275.21678581601</v>
      </c>
      <c r="S95" s="1">
        <v>6095424.2884202097</v>
      </c>
      <c r="T95" s="1">
        <v>7843780.8223021403</v>
      </c>
      <c r="U95" s="1">
        <v>5716816.3576859403</v>
      </c>
      <c r="V95" s="1">
        <v>557972.42307805002</v>
      </c>
      <c r="W95" s="1">
        <v>820034.76492364099</v>
      </c>
      <c r="X95" s="1">
        <v>879122.80528212502</v>
      </c>
      <c r="Y95" s="15">
        <f>AVERAGE(M95:O95)</f>
        <v>1067672.414555358</v>
      </c>
      <c r="Z95" s="15">
        <f>AVERAGE(P95:R95)</f>
        <v>999807.38401926297</v>
      </c>
      <c r="AA95" s="16">
        <f>Z95/Y95</f>
        <v>0.9364364672057599</v>
      </c>
      <c r="AB95" s="17">
        <f>AVERAGE(S95:U95)</f>
        <v>6552007.1561360965</v>
      </c>
      <c r="AC95" s="17">
        <f>AVERAGE(V95:X95)</f>
        <v>752376.66442793852</v>
      </c>
      <c r="AD95" s="18">
        <f>AC95/AB95</f>
        <v>0.1148314778202465</v>
      </c>
      <c r="AE95">
        <f>AVERAGE(M95,S95)</f>
        <v>3448601.9741082718</v>
      </c>
      <c r="AF95">
        <f>AVERAGE(N95,T95)</f>
        <v>4554318.185898345</v>
      </c>
      <c r="AG95">
        <f>AVERAGE(O95)</f>
        <v>1136382.03437519</v>
      </c>
      <c r="AH95">
        <f>AVERAGE(P95,V95)</f>
        <v>552813.4270847165</v>
      </c>
      <c r="AI95">
        <f>AVERAGE(Q95,W95)</f>
        <v>1343263.6345521156</v>
      </c>
      <c r="AJ95">
        <f>AVERAGE(X95)</f>
        <v>879122.80528212502</v>
      </c>
      <c r="AK95" s="1">
        <v>745759.00725346606</v>
      </c>
      <c r="AL95" s="1">
        <v>1442248.2209957901</v>
      </c>
      <c r="AM95" s="1">
        <v>958068.72221336002</v>
      </c>
      <c r="AN95" s="1">
        <v>550190.40218298696</v>
      </c>
      <c r="AO95" s="1">
        <v>3136017.1284201001</v>
      </c>
      <c r="AP95" s="1">
        <v>2992414.2863929099</v>
      </c>
    </row>
    <row r="96" spans="1:42">
      <c r="A96" s="1" t="s">
        <v>285</v>
      </c>
      <c r="B96" s="1" t="s">
        <v>57</v>
      </c>
      <c r="C96" s="1" t="s">
        <v>58</v>
      </c>
      <c r="D96" s="1">
        <v>0.1</v>
      </c>
      <c r="E96" s="1">
        <v>116.04083</v>
      </c>
      <c r="F96" s="1">
        <v>2.7349999999999999</v>
      </c>
      <c r="G96" s="1">
        <f>AVERAGE(M96:X96)</f>
        <v>3905857.3307527546</v>
      </c>
      <c r="H96" s="1">
        <f>MAX(M96:X96)</f>
        <v>27047348.7252868</v>
      </c>
      <c r="I96" s="1">
        <f>G96/SUM(G$2:G$104)</f>
        <v>5.3082531585872368E-4</v>
      </c>
      <c r="J96" s="1" t="e">
        <f>G96/#REF!</f>
        <v>#REF!</v>
      </c>
      <c r="K96" s="1" t="e">
        <f>H96/#REF!</f>
        <v>#REF!</v>
      </c>
      <c r="L96" s="1">
        <v>76.2</v>
      </c>
      <c r="M96" s="1">
        <v>84550.751111338905</v>
      </c>
      <c r="N96" s="1">
        <v>675797.17932964803</v>
      </c>
      <c r="O96" s="1">
        <v>58580.822432639397</v>
      </c>
      <c r="P96" s="1">
        <v>134842.15819987099</v>
      </c>
      <c r="Q96" s="1">
        <v>593300.27183810202</v>
      </c>
      <c r="R96" s="1">
        <v>724171.80505985103</v>
      </c>
      <c r="S96" s="1">
        <v>7807957.4605044601</v>
      </c>
      <c r="T96" s="1">
        <v>5308855.7249043901</v>
      </c>
      <c r="U96" s="1">
        <v>27047348.7252868</v>
      </c>
      <c r="V96" s="1">
        <v>1799630.96436248</v>
      </c>
      <c r="W96" s="1">
        <v>1110217.61932053</v>
      </c>
      <c r="X96" s="1">
        <v>1525034.4866829501</v>
      </c>
      <c r="Y96" s="15">
        <f>AVERAGE(M96:O96)</f>
        <v>272976.25095787545</v>
      </c>
      <c r="Z96" s="15">
        <f>AVERAGE(P96:R96)</f>
        <v>484104.74503260804</v>
      </c>
      <c r="AA96" s="16">
        <f>Z96/Y96</f>
        <v>1.7734317301738936</v>
      </c>
      <c r="AB96" s="17">
        <f>AVERAGE(S96:U96)</f>
        <v>13388053.970231883</v>
      </c>
      <c r="AC96" s="17">
        <f>AVERAGE(V96:X96)</f>
        <v>1478294.3567886532</v>
      </c>
      <c r="AD96" s="18">
        <f>AC96/AB96</f>
        <v>0.11041891226877455</v>
      </c>
      <c r="AE96">
        <f>AVERAGE(M96,S96)</f>
        <v>3946254.1058078995</v>
      </c>
      <c r="AF96">
        <f>AVERAGE(N96,T96)</f>
        <v>2992326.4521170189</v>
      </c>
      <c r="AG96">
        <f>AVERAGE(O96)</f>
        <v>58580.822432639397</v>
      </c>
      <c r="AH96">
        <f>AVERAGE(P96,V96)</f>
        <v>967236.56128117547</v>
      </c>
      <c r="AI96">
        <f>AVERAGE(Q96,W96)</f>
        <v>851758.945579316</v>
      </c>
      <c r="AJ96">
        <f>AVERAGE(X96)</f>
        <v>1525034.4866829501</v>
      </c>
      <c r="AK96" s="1">
        <v>1865917.1539680201</v>
      </c>
      <c r="AL96" s="1">
        <v>1843356.10646064</v>
      </c>
      <c r="AM96" s="1">
        <v>1781575.35737686</v>
      </c>
      <c r="AN96" s="1">
        <v>2716406.3343108399</v>
      </c>
      <c r="AO96" s="1">
        <v>2671986.8394819801</v>
      </c>
      <c r="AP96" s="1">
        <v>3505414.6703101699</v>
      </c>
    </row>
    <row r="97" spans="1:42">
      <c r="A97" s="1" t="s">
        <v>294</v>
      </c>
      <c r="B97" s="1" t="s">
        <v>214</v>
      </c>
      <c r="C97" s="1" t="s">
        <v>121</v>
      </c>
      <c r="D97" s="1">
        <v>1.02</v>
      </c>
      <c r="E97" s="1">
        <v>143.09477000000001</v>
      </c>
      <c r="F97" s="1">
        <v>3.7029999999999998</v>
      </c>
      <c r="G97" s="1">
        <f>AVERAGE(M97:X97)</f>
        <v>1900022.1000757038</v>
      </c>
      <c r="H97" s="1">
        <f>MAX(M97:X97)</f>
        <v>16216040.3818422</v>
      </c>
      <c r="I97" s="1">
        <f>G97/SUM(G$2:G$104)</f>
        <v>2.5822239421552628E-4</v>
      </c>
      <c r="J97" s="1" t="e">
        <f>G97/#REF!</f>
        <v>#REF!</v>
      </c>
      <c r="K97" s="1" t="e">
        <f>H97/#REF!</f>
        <v>#REF!</v>
      </c>
      <c r="L97" s="1">
        <v>66.3</v>
      </c>
      <c r="M97" s="1">
        <v>57329.417046496703</v>
      </c>
      <c r="N97" s="1">
        <v>16216040.3818422</v>
      </c>
      <c r="O97" s="1">
        <v>210026.30201051899</v>
      </c>
      <c r="P97" s="1">
        <v>67278.652095631798</v>
      </c>
      <c r="Q97" s="1">
        <v>545643.34595650097</v>
      </c>
      <c r="R97" s="1">
        <v>274496.32439500297</v>
      </c>
      <c r="S97" s="1">
        <v>2014775.14479788</v>
      </c>
      <c r="T97" s="1">
        <v>184675.85439010401</v>
      </c>
      <c r="U97" s="1">
        <v>2714074.3292044001</v>
      </c>
      <c r="V97" s="1">
        <v>168537.52133524499</v>
      </c>
      <c r="W97" s="1">
        <v>183095.10694248701</v>
      </c>
      <c r="X97" s="1">
        <v>164292.82089197601</v>
      </c>
      <c r="Y97" s="15">
        <f>AVERAGE(M97:O97)</f>
        <v>5494465.366966405</v>
      </c>
      <c r="Z97" s="15">
        <f>AVERAGE(P97:R97)</f>
        <v>295806.1074823786</v>
      </c>
      <c r="AA97" s="16">
        <f>Z97/Y97</f>
        <v>5.3837104745588484E-2</v>
      </c>
      <c r="AB97" s="17">
        <f>AVERAGE(S97:U97)</f>
        <v>1637841.7761307948</v>
      </c>
      <c r="AC97" s="17">
        <f>AVERAGE(V97:X97)</f>
        <v>171975.14972323601</v>
      </c>
      <c r="AD97" s="18">
        <f>AC97/AB97</f>
        <v>0.10500107655667859</v>
      </c>
      <c r="AE97">
        <f>AVERAGE(M97,S97)</f>
        <v>1036052.2809221883</v>
      </c>
      <c r="AF97">
        <f>AVERAGE(N97,T97)</f>
        <v>8200358.1181161515</v>
      </c>
      <c r="AG97">
        <f>AVERAGE(O97)</f>
        <v>210026.30201051899</v>
      </c>
      <c r="AH97">
        <f>AVERAGE(P97,V97)</f>
        <v>117908.0867154384</v>
      </c>
      <c r="AI97">
        <f>AVERAGE(Q97,W97)</f>
        <v>364369.22644949402</v>
      </c>
      <c r="AJ97">
        <f>AVERAGE(X97)</f>
        <v>164292.82089197601</v>
      </c>
      <c r="AK97" s="1">
        <v>167833.997458417</v>
      </c>
      <c r="AL97" s="1">
        <v>122357.47483663</v>
      </c>
      <c r="AM97" s="1">
        <v>120573.03243031399</v>
      </c>
      <c r="AN97" s="1">
        <v>185271.71849267499</v>
      </c>
      <c r="AO97" s="1">
        <v>194073.127387655</v>
      </c>
      <c r="AP97" s="1">
        <v>217352.87161433499</v>
      </c>
    </row>
    <row r="98" spans="1:42">
      <c r="A98" s="1" t="s">
        <v>279</v>
      </c>
      <c r="B98" s="1" t="s">
        <v>35</v>
      </c>
      <c r="C98" s="1" t="s">
        <v>36</v>
      </c>
      <c r="D98" s="1">
        <v>-0.36</v>
      </c>
      <c r="E98" s="1">
        <v>290.13779</v>
      </c>
      <c r="F98" s="1">
        <v>2.39</v>
      </c>
      <c r="G98" s="1">
        <f>AVERAGE(M98:X98)</f>
        <v>3693313.1657010112</v>
      </c>
      <c r="H98" s="1">
        <f>MAX(M98:X98)</f>
        <v>31425719.638112299</v>
      </c>
      <c r="I98" s="1">
        <f>G98/SUM(G$2:G$104)</f>
        <v>5.0193951333357711E-4</v>
      </c>
      <c r="J98" s="1" t="e">
        <f>G98/#REF!</f>
        <v>#REF!</v>
      </c>
      <c r="K98" s="1" t="e">
        <f>H98/#REF!</f>
        <v>#REF!</v>
      </c>
      <c r="L98" s="1">
        <v>91</v>
      </c>
      <c r="M98" s="1">
        <v>89219.470706082298</v>
      </c>
      <c r="N98" s="1">
        <v>1196263.10119414</v>
      </c>
      <c r="O98" s="1">
        <v>74519.523964742097</v>
      </c>
      <c r="P98" s="1">
        <v>488390.203504431</v>
      </c>
      <c r="Q98" s="1">
        <v>644665.35622476495</v>
      </c>
      <c r="R98" s="1">
        <v>1127854.5909969199</v>
      </c>
      <c r="S98" s="1">
        <v>4248528.3999029202</v>
      </c>
      <c r="T98" s="1">
        <v>2424088.46533034</v>
      </c>
      <c r="U98" s="1">
        <v>31425719.638112299</v>
      </c>
      <c r="V98" s="1">
        <v>1000958.7365607501</v>
      </c>
      <c r="W98" s="1">
        <v>492709.28330973</v>
      </c>
      <c r="X98" s="1">
        <v>1106841.2186050201</v>
      </c>
      <c r="Y98" s="15">
        <f>AVERAGE(M98:O98)</f>
        <v>453334.0319549882</v>
      </c>
      <c r="Z98" s="15">
        <f>AVERAGE(P98:R98)</f>
        <v>753636.7169087053</v>
      </c>
      <c r="AA98" s="16">
        <f>Z98/Y98</f>
        <v>1.6624313724223871</v>
      </c>
      <c r="AB98" s="17">
        <f>AVERAGE(S98:U98)</f>
        <v>12699445.501115186</v>
      </c>
      <c r="AC98" s="17">
        <f>AVERAGE(V98:X98)</f>
        <v>866836.41282516671</v>
      </c>
      <c r="AD98" s="18">
        <f>AC98/AB98</f>
        <v>6.8257815882516018E-2</v>
      </c>
      <c r="AE98">
        <f>AVERAGE(M98,S98)</f>
        <v>2168873.9353045011</v>
      </c>
      <c r="AF98">
        <f>AVERAGE(N98,T98)</f>
        <v>1810175.78326224</v>
      </c>
      <c r="AG98">
        <f>AVERAGE(O98)</f>
        <v>74519.523964742097</v>
      </c>
      <c r="AH98">
        <f>AVERAGE(P98,V98)</f>
        <v>744674.47003259056</v>
      </c>
      <c r="AI98">
        <f>AVERAGE(Q98,W98)</f>
        <v>568687.31976724742</v>
      </c>
      <c r="AJ98">
        <f>AVERAGE(X98)</f>
        <v>1106841.2186050201</v>
      </c>
      <c r="AK98" s="1">
        <v>1899095.96850563</v>
      </c>
      <c r="AL98" s="1">
        <v>1779466.3673726199</v>
      </c>
      <c r="AM98" s="1">
        <v>1972213.8245934399</v>
      </c>
      <c r="AN98" s="1">
        <v>2583311.5345594301</v>
      </c>
      <c r="AO98" s="1">
        <v>3751436.27254991</v>
      </c>
      <c r="AP98" s="1">
        <v>2868133.1832359298</v>
      </c>
    </row>
    <row r="99" spans="1:42">
      <c r="A99" s="1" t="s">
        <v>305</v>
      </c>
      <c r="B99" s="1" t="s">
        <v>107</v>
      </c>
      <c r="C99" s="1" t="s">
        <v>108</v>
      </c>
      <c r="D99" s="1">
        <v>0.04</v>
      </c>
      <c r="E99" s="1">
        <v>151.04942</v>
      </c>
      <c r="F99" s="1">
        <v>5.0640000000000001</v>
      </c>
      <c r="G99" s="1">
        <f>AVERAGE(M99:X99)</f>
        <v>2385726.5670904182</v>
      </c>
      <c r="H99" s="1">
        <f>MAX(M99:X99)</f>
        <v>12676478.642913699</v>
      </c>
      <c r="I99" s="1">
        <f>G99/SUM(G$2:G$104)</f>
        <v>3.242320318659086E-4</v>
      </c>
      <c r="J99" s="1" t="e">
        <f>G99/#REF!</f>
        <v>#REF!</v>
      </c>
      <c r="K99" s="1" t="e">
        <f>H99/#REF!</f>
        <v>#REF!</v>
      </c>
      <c r="L99" s="1">
        <v>53.4</v>
      </c>
      <c r="M99" s="1">
        <v>603151.72781549103</v>
      </c>
      <c r="N99" s="1">
        <v>457524.38551669702</v>
      </c>
      <c r="O99" s="1">
        <v>639974.54349727905</v>
      </c>
      <c r="P99" s="1">
        <v>227562.294465371</v>
      </c>
      <c r="Q99" s="1">
        <v>823380.67647945997</v>
      </c>
      <c r="R99" s="1">
        <v>747718.20020971203</v>
      </c>
      <c r="S99" s="1">
        <v>2551869.48841456</v>
      </c>
      <c r="T99" s="1">
        <v>8360236.3956815396</v>
      </c>
      <c r="U99" s="1">
        <v>12676478.642913699</v>
      </c>
      <c r="V99" s="1">
        <v>466626.05704203399</v>
      </c>
      <c r="W99" s="1">
        <v>616548.531482158</v>
      </c>
      <c r="X99" s="1">
        <v>457647.86156701902</v>
      </c>
      <c r="Y99" s="15">
        <f>AVERAGE(M99:O99)</f>
        <v>566883.55227648898</v>
      </c>
      <c r="Z99" s="15">
        <f>AVERAGE(P99:R99)</f>
        <v>599553.7237181809</v>
      </c>
      <c r="AA99" s="16">
        <f>Z99/Y99</f>
        <v>1.057631186000185</v>
      </c>
      <c r="AB99" s="17">
        <f>AVERAGE(S99:U99)</f>
        <v>7862861.5090032667</v>
      </c>
      <c r="AC99" s="17">
        <f>AVERAGE(V99:X99)</f>
        <v>513607.48336373706</v>
      </c>
      <c r="AD99" s="18">
        <f>AC99/AB99</f>
        <v>6.5320682906043495E-2</v>
      </c>
      <c r="AE99">
        <f>AVERAGE(M99,S99)</f>
        <v>1577510.6081150256</v>
      </c>
      <c r="AF99">
        <f>AVERAGE(N99,T99)</f>
        <v>4408880.3905991185</v>
      </c>
      <c r="AG99">
        <f>AVERAGE(O99)</f>
        <v>639974.54349727905</v>
      </c>
      <c r="AH99">
        <f>AVERAGE(P99,V99)</f>
        <v>347094.17575370253</v>
      </c>
      <c r="AI99">
        <f>AVERAGE(Q99,W99)</f>
        <v>719964.60398080898</v>
      </c>
      <c r="AJ99">
        <f>AVERAGE(X99)</f>
        <v>457647.86156701902</v>
      </c>
      <c r="AK99" s="1">
        <v>766251.59858262597</v>
      </c>
      <c r="AL99" s="1">
        <v>525623.82084735401</v>
      </c>
      <c r="AM99" s="1">
        <v>362215.50939120102</v>
      </c>
      <c r="AN99" s="1">
        <v>637762.58416528604</v>
      </c>
      <c r="AO99" s="1">
        <v>322161.176511842</v>
      </c>
      <c r="AP99" s="1">
        <v>3676306.1293732701</v>
      </c>
    </row>
    <row r="100" spans="1:42">
      <c r="A100" s="1" t="s">
        <v>253</v>
      </c>
      <c r="B100" s="1" t="s">
        <v>179</v>
      </c>
      <c r="C100" s="1" t="s">
        <v>180</v>
      </c>
      <c r="D100" s="1">
        <v>-0.76</v>
      </c>
      <c r="E100" s="1">
        <v>142.05298999999999</v>
      </c>
      <c r="F100" s="1">
        <v>0.99099999999999999</v>
      </c>
      <c r="G100" s="1">
        <f>AVERAGE(M100:X100)</f>
        <v>24388073.292140454</v>
      </c>
      <c r="H100" s="1">
        <f>MAX(M100:X100)</f>
        <v>167792997.404515</v>
      </c>
      <c r="I100" s="1">
        <f>G100/SUM(G$2:G$104)</f>
        <v>3.3144596978894737E-3</v>
      </c>
      <c r="J100" s="1" t="e">
        <f>G100/#REF!</f>
        <v>#REF!</v>
      </c>
      <c r="K100" s="1" t="e">
        <f>H100/#REF!</f>
        <v>#REF!</v>
      </c>
      <c r="L100" s="1">
        <v>90.2</v>
      </c>
      <c r="M100" s="1">
        <v>10949880.364498099</v>
      </c>
      <c r="N100" s="1">
        <v>528550.97771361098</v>
      </c>
      <c r="O100" s="1">
        <v>2035208.4054103999</v>
      </c>
      <c r="P100" s="1">
        <v>343751.503445671</v>
      </c>
      <c r="Q100" s="1">
        <v>502367.513310479</v>
      </c>
      <c r="R100" s="1">
        <v>13980541.3965795</v>
      </c>
      <c r="S100" s="1">
        <v>167792997.404515</v>
      </c>
      <c r="T100" s="1">
        <v>20136827.609914199</v>
      </c>
      <c r="U100" s="1">
        <v>62088212.332338601</v>
      </c>
      <c r="V100" s="1">
        <v>4286462.0910571003</v>
      </c>
      <c r="W100" s="1">
        <v>6157536.2416930804</v>
      </c>
      <c r="X100" s="1">
        <v>3854543.6652096398</v>
      </c>
      <c r="Y100" s="15">
        <f>AVERAGE(M100:O100)</f>
        <v>4504546.582540703</v>
      </c>
      <c r="Z100" s="15">
        <f>AVERAGE(P100:R100)</f>
        <v>4942220.1377785504</v>
      </c>
      <c r="AA100" s="16">
        <f>Z100/Y100</f>
        <v>1.0971626216352692</v>
      </c>
      <c r="AB100" s="17">
        <f>AVERAGE(S100:U100)</f>
        <v>83339345.782255933</v>
      </c>
      <c r="AC100" s="17">
        <f>AVERAGE(V100:X100)</f>
        <v>4766180.6659866069</v>
      </c>
      <c r="AD100" s="18">
        <f>AC100/AB100</f>
        <v>5.7190041765379333E-2</v>
      </c>
      <c r="AE100">
        <f>AVERAGE(M100,S100)</f>
        <v>89371438.884506553</v>
      </c>
      <c r="AF100">
        <f>AVERAGE(N100,T100)</f>
        <v>10332689.293813905</v>
      </c>
      <c r="AG100">
        <f>AVERAGE(O100)</f>
        <v>2035208.4054103999</v>
      </c>
      <c r="AH100">
        <f>AVERAGE(P100,V100)</f>
        <v>2315106.7972513856</v>
      </c>
      <c r="AI100">
        <f>AVERAGE(Q100,W100)</f>
        <v>3329951.8775017797</v>
      </c>
      <c r="AJ100">
        <f>AVERAGE(X100)</f>
        <v>3854543.6652096398</v>
      </c>
      <c r="AK100" s="1">
        <v>16577353.6085265</v>
      </c>
      <c r="AL100" s="1">
        <v>15194817.8758034</v>
      </c>
      <c r="AM100" s="1">
        <v>19963468.955487799</v>
      </c>
      <c r="AN100" s="1">
        <v>19882761.642846301</v>
      </c>
      <c r="AO100" s="1">
        <v>18038480.807192001</v>
      </c>
      <c r="AP100" s="1">
        <v>20027229.811249401</v>
      </c>
    </row>
    <row r="101" spans="1:42">
      <c r="A101" s="1" t="s">
        <v>267</v>
      </c>
      <c r="B101" s="1" t="s">
        <v>134</v>
      </c>
      <c r="C101" s="1" t="s">
        <v>135</v>
      </c>
      <c r="D101" s="1">
        <v>-0.09</v>
      </c>
      <c r="E101" s="1">
        <v>111.04325</v>
      </c>
      <c r="F101" s="1">
        <v>5.1909999999999998</v>
      </c>
      <c r="G101" s="1">
        <f>AVERAGE(M101:X101)</f>
        <v>5728543.5990440482</v>
      </c>
      <c r="H101" s="1">
        <f>MAX(M101:X101)</f>
        <v>52443706.457425602</v>
      </c>
      <c r="I101" s="1">
        <f>G101/SUM(G$2:G$104)</f>
        <v>7.785373883041906E-4</v>
      </c>
      <c r="J101" s="1" t="e">
        <f>G101/#REF!</f>
        <v>#REF!</v>
      </c>
      <c r="K101" s="1" t="e">
        <f>H101/#REF!</f>
        <v>#REF!</v>
      </c>
      <c r="L101" s="1">
        <v>87.8</v>
      </c>
      <c r="M101" s="1">
        <v>828187.78082788805</v>
      </c>
      <c r="N101" s="1">
        <v>855219.43231164897</v>
      </c>
      <c r="O101" s="1">
        <v>842889.87473571405</v>
      </c>
      <c r="P101" s="1">
        <v>999832.51343385305</v>
      </c>
      <c r="Q101" s="1">
        <v>1005008.13077986</v>
      </c>
      <c r="R101" s="1">
        <v>1462571.1724522701</v>
      </c>
      <c r="S101" s="1">
        <v>3729489.4912217599</v>
      </c>
      <c r="T101" s="1">
        <v>4101890.7369022099</v>
      </c>
      <c r="U101" s="1">
        <v>52443706.457425602</v>
      </c>
      <c r="V101" s="1">
        <v>702038.45052966103</v>
      </c>
      <c r="W101" s="1">
        <v>860712.07715849497</v>
      </c>
      <c r="X101" s="1">
        <v>910977.07074960601</v>
      </c>
      <c r="Y101" s="15">
        <f>AVERAGE(M101:O101)</f>
        <v>842099.0292917504</v>
      </c>
      <c r="Z101" s="15">
        <f>AVERAGE(P101:R101)</f>
        <v>1155803.9388886609</v>
      </c>
      <c r="AA101" s="16">
        <f>Z101/Y101</f>
        <v>1.3725273378604328</v>
      </c>
      <c r="AB101" s="17">
        <f>AVERAGE(S101:U101)</f>
        <v>20091695.561849859</v>
      </c>
      <c r="AC101" s="17">
        <f>AVERAGE(V101:X101)</f>
        <v>824575.86614592059</v>
      </c>
      <c r="AD101" s="18">
        <f>AC101/AB101</f>
        <v>4.1040631120831159E-2</v>
      </c>
      <c r="AE101">
        <f>AVERAGE(M101,S101)</f>
        <v>2278838.6360248239</v>
      </c>
      <c r="AF101">
        <f>AVERAGE(N101,T101)</f>
        <v>2478555.0846069297</v>
      </c>
      <c r="AG101">
        <f>AVERAGE(O101)</f>
        <v>842889.87473571405</v>
      </c>
      <c r="AH101">
        <f>AVERAGE(P101,V101)</f>
        <v>850935.4819817571</v>
      </c>
      <c r="AI101">
        <f>AVERAGE(Q101,W101)</f>
        <v>932860.10396917746</v>
      </c>
      <c r="AJ101">
        <f>AVERAGE(X101)</f>
        <v>910977.07074960601</v>
      </c>
      <c r="AK101" s="1">
        <v>829299.78974368202</v>
      </c>
      <c r="AL101" s="1">
        <v>795213.62252976303</v>
      </c>
      <c r="AM101" s="1">
        <v>827151.53958790505</v>
      </c>
      <c r="AN101" s="1">
        <v>1257210.0355664601</v>
      </c>
      <c r="AO101" s="1">
        <v>631494.59299836901</v>
      </c>
      <c r="AP101" s="1">
        <v>6712866.8444083799</v>
      </c>
    </row>
    <row r="102" spans="1:42">
      <c r="A102" s="1" t="s">
        <v>272</v>
      </c>
      <c r="B102" s="1" t="s">
        <v>162</v>
      </c>
      <c r="C102" s="1" t="s">
        <v>98</v>
      </c>
      <c r="D102" s="1">
        <v>-0.13</v>
      </c>
      <c r="E102" s="1">
        <v>131.09460999999999</v>
      </c>
      <c r="F102" s="1">
        <v>4.7830000000000004</v>
      </c>
      <c r="G102" s="1">
        <f>AVERAGE(M102:X102)</f>
        <v>7710804.8001804575</v>
      </c>
      <c r="H102" s="1">
        <f>MAX(M102:X102)</f>
        <v>43243675.753670096</v>
      </c>
      <c r="I102" s="1">
        <f>G102/SUM(G$2:G$104)</f>
        <v>1.0479364828187196E-3</v>
      </c>
      <c r="J102" s="1" t="e">
        <f>G102/#REF!</f>
        <v>#REF!</v>
      </c>
      <c r="K102" s="1" t="e">
        <f>H102/#REF!</f>
        <v>#REF!</v>
      </c>
      <c r="L102" s="1">
        <v>56.9</v>
      </c>
      <c r="M102" s="1">
        <v>105141.347938106</v>
      </c>
      <c r="N102" s="1">
        <v>104416.98060181399</v>
      </c>
      <c r="O102" s="1">
        <v>218850.147277507</v>
      </c>
      <c r="P102" s="1">
        <v>81488.6050280169</v>
      </c>
      <c r="Q102" s="1">
        <v>80425.5862337898</v>
      </c>
      <c r="R102" s="1">
        <v>271103.60053573601</v>
      </c>
      <c r="S102" s="1">
        <v>20338678.439171299</v>
      </c>
      <c r="T102" s="1">
        <v>43243675.753670096</v>
      </c>
      <c r="U102" s="1">
        <v>27532457.5286946</v>
      </c>
      <c r="V102" s="1">
        <v>191178.675817571</v>
      </c>
      <c r="W102" s="1">
        <v>109507.764537189</v>
      </c>
      <c r="X102" s="1">
        <v>252733.17265977699</v>
      </c>
      <c r="Y102" s="15">
        <f>AVERAGE(M102:O102)</f>
        <v>142802.82527247566</v>
      </c>
      <c r="Z102" s="15">
        <f>AVERAGE(P102:R102)</f>
        <v>144339.26393251424</v>
      </c>
      <c r="AA102" s="16">
        <f>Z102/Y102</f>
        <v>1.0107591615019309</v>
      </c>
      <c r="AB102" s="17">
        <f>AVERAGE(S102:U102)</f>
        <v>30371603.907178666</v>
      </c>
      <c r="AC102" s="17">
        <f>AVERAGE(V102:X102)</f>
        <v>184473.20433817897</v>
      </c>
      <c r="AD102" s="18">
        <f>AC102/AB102</f>
        <v>6.0738710047043868E-3</v>
      </c>
      <c r="AE102">
        <f>AVERAGE(M102,S102)</f>
        <v>10221909.893554702</v>
      </c>
      <c r="AF102">
        <f>AVERAGE(N102,T102)</f>
        <v>21674046.367135957</v>
      </c>
      <c r="AG102">
        <f>AVERAGE(O102)</f>
        <v>218850.147277507</v>
      </c>
      <c r="AH102">
        <f>AVERAGE(P102,V102)</f>
        <v>136333.64042279395</v>
      </c>
      <c r="AI102">
        <f>AVERAGE(Q102,W102)</f>
        <v>94966.67538548939</v>
      </c>
      <c r="AJ102">
        <f>AVERAGE(X102)</f>
        <v>252733.17265977699</v>
      </c>
      <c r="AK102" s="1">
        <v>84686.492374092195</v>
      </c>
      <c r="AL102" s="1">
        <v>99789.516532660797</v>
      </c>
      <c r="AM102" s="1">
        <v>204416.26810514601</v>
      </c>
      <c r="AN102" s="1">
        <v>375265.08887110598</v>
      </c>
      <c r="AO102" s="1">
        <v>436486.326589506</v>
      </c>
      <c r="AP102" s="1">
        <v>262525.78207582101</v>
      </c>
    </row>
    <row r="103" spans="1:42">
      <c r="A103" s="1" t="s">
        <v>258</v>
      </c>
      <c r="B103" s="1" t="s">
        <v>126</v>
      </c>
      <c r="C103" s="1" t="s">
        <v>127</v>
      </c>
      <c r="D103" s="1">
        <v>0.71</v>
      </c>
      <c r="E103" s="1">
        <v>105.07905</v>
      </c>
      <c r="F103" s="1">
        <v>5.4749999999999996</v>
      </c>
      <c r="G103" s="1">
        <f>AVERAGE(M103:X103)</f>
        <v>17459985.488937579</v>
      </c>
      <c r="H103" s="1">
        <f>MAX(M103:X103)</f>
        <v>96322813.427753896</v>
      </c>
      <c r="I103" s="1">
        <f>G103/SUM(G$2:G$104)</f>
        <v>2.3728983235206426E-3</v>
      </c>
      <c r="J103" s="1" t="e">
        <f>G103/#REF!</f>
        <v>#REF!</v>
      </c>
      <c r="K103" s="1" t="e">
        <f>H103/#REF!</f>
        <v>#REF!</v>
      </c>
      <c r="L103" s="1">
        <v>88.4</v>
      </c>
      <c r="M103" s="1">
        <v>238221.98198558899</v>
      </c>
      <c r="N103" s="1">
        <v>268457.08678369998</v>
      </c>
      <c r="O103" s="1">
        <v>238968.36079491701</v>
      </c>
      <c r="P103" s="1">
        <v>288025.30955236597</v>
      </c>
      <c r="Q103" s="1">
        <v>256955.34323739499</v>
      </c>
      <c r="R103" s="1">
        <v>353196.838617965</v>
      </c>
      <c r="S103" s="1">
        <v>31998607.222282</v>
      </c>
      <c r="T103" s="1">
        <v>96322813.427753896</v>
      </c>
      <c r="U103" s="1">
        <v>78950140.611884996</v>
      </c>
      <c r="V103" s="1">
        <v>231319.823846477</v>
      </c>
      <c r="W103" s="1">
        <v>175072.872882845</v>
      </c>
      <c r="X103" s="1">
        <v>198046.987628826</v>
      </c>
      <c r="Y103" s="15">
        <f>AVERAGE(M103:O103)</f>
        <v>248549.14318806864</v>
      </c>
      <c r="Z103" s="15">
        <f>AVERAGE(P103:R103)</f>
        <v>299392.49713590863</v>
      </c>
      <c r="AA103" s="16">
        <f>Z103/Y103</f>
        <v>1.2045605681664675</v>
      </c>
      <c r="AB103" s="17">
        <f>AVERAGE(S103:U103)</f>
        <v>69090520.42064029</v>
      </c>
      <c r="AC103" s="17">
        <f>AVERAGE(V103:X103)</f>
        <v>201479.89478604929</v>
      </c>
      <c r="AD103" s="18">
        <f>AC103/AB103</f>
        <v>2.9161727768062758E-3</v>
      </c>
      <c r="AE103">
        <f>AVERAGE(M103,S103)</f>
        <v>16118414.602133794</v>
      </c>
      <c r="AF103">
        <f>AVERAGE(N103,T103)</f>
        <v>48295635.257268801</v>
      </c>
      <c r="AG103">
        <f>AVERAGE(O103)</f>
        <v>238968.36079491701</v>
      </c>
      <c r="AH103">
        <f>AVERAGE(P103,V103)</f>
        <v>259672.5666994215</v>
      </c>
      <c r="AI103">
        <f>AVERAGE(Q103,W103)</f>
        <v>216014.10806011999</v>
      </c>
      <c r="AJ103">
        <f>AVERAGE(X103)</f>
        <v>198046.987628826</v>
      </c>
      <c r="AK103" s="1">
        <v>268609.99071600998</v>
      </c>
      <c r="AL103" s="1">
        <v>164037.172898697</v>
      </c>
      <c r="AM103" s="1">
        <v>205806.82614498</v>
      </c>
      <c r="AN103" s="1">
        <v>291737.103920975</v>
      </c>
      <c r="AO103" s="1">
        <v>56014111.6979063</v>
      </c>
      <c r="AP103" s="1">
        <v>53867093.610733397</v>
      </c>
    </row>
    <row r="104" spans="1:42">
      <c r="A104" s="1" t="s">
        <v>247</v>
      </c>
      <c r="B104" s="6" t="s">
        <v>39</v>
      </c>
      <c r="C104" s="1" t="s">
        <v>40</v>
      </c>
      <c r="D104" s="1">
        <v>-0.1</v>
      </c>
      <c r="E104" s="1">
        <v>149.10517999999999</v>
      </c>
      <c r="F104" s="1">
        <v>4.7850000000000001</v>
      </c>
      <c r="G104" s="1">
        <f>AVERAGE(M104:X104)</f>
        <v>80203002.755110383</v>
      </c>
      <c r="H104" s="1">
        <f>MAX(M104:X104)</f>
        <v>453932604.02150398</v>
      </c>
      <c r="I104" s="1">
        <f>G104/SUM(G$2:G$104)</f>
        <v>1.0899984475903667E-2</v>
      </c>
      <c r="J104" s="1" t="e">
        <f>G104/#REF!</f>
        <v>#REF!</v>
      </c>
      <c r="K104" s="1" t="e">
        <f>H104/#REF!</f>
        <v>#REF!</v>
      </c>
      <c r="L104" s="1">
        <v>97.5</v>
      </c>
      <c r="M104" s="1">
        <v>580269.60271399899</v>
      </c>
      <c r="N104" s="1">
        <v>805004.62001989502</v>
      </c>
      <c r="O104" s="1">
        <v>557002.89178052195</v>
      </c>
      <c r="P104" s="1">
        <v>659916.65883652901</v>
      </c>
      <c r="Q104" s="1">
        <v>747589.46890103805</v>
      </c>
      <c r="R104" s="1">
        <v>1004247.92137776</v>
      </c>
      <c r="S104" s="1">
        <v>198405473.80647901</v>
      </c>
      <c r="T104" s="1">
        <v>453932604.02150398</v>
      </c>
      <c r="U104" s="1">
        <v>303786559.63412201</v>
      </c>
      <c r="V104" s="1">
        <v>734694.80257174699</v>
      </c>
      <c r="W104" s="1">
        <v>567285.60123848496</v>
      </c>
      <c r="X104" s="1">
        <v>655384.03177960101</v>
      </c>
      <c r="Y104" s="15">
        <f>AVERAGE(M104:O104)</f>
        <v>647425.70483813866</v>
      </c>
      <c r="Z104" s="15">
        <f>AVERAGE(P104:R104)</f>
        <v>803918.01637177577</v>
      </c>
      <c r="AA104" s="16">
        <f>Z104/Y104</f>
        <v>1.2417147023421959</v>
      </c>
      <c r="AB104" s="17">
        <f>AVERAGE(S104:U104)</f>
        <v>318708212.48736835</v>
      </c>
      <c r="AC104" s="17">
        <f>AVERAGE(V104:X104)</f>
        <v>652454.81186327769</v>
      </c>
      <c r="AD104" s="18">
        <f>AC104/AB104</f>
        <v>2.0471854389040476E-3</v>
      </c>
      <c r="AE104">
        <f>AVERAGE(M104,S104)</f>
        <v>99492871.704596505</v>
      </c>
      <c r="AF104">
        <f>AVERAGE(N104,T104)</f>
        <v>227368804.32076195</v>
      </c>
      <c r="AG104">
        <f>AVERAGE(O104)</f>
        <v>557002.89178052195</v>
      </c>
      <c r="AH104">
        <f>AVERAGE(P104,V104)</f>
        <v>697305.73070413806</v>
      </c>
      <c r="AI104">
        <f>AVERAGE(Q104,W104)</f>
        <v>657437.53506976156</v>
      </c>
      <c r="AJ104">
        <f>AVERAGE(X104)</f>
        <v>655384.03177960101</v>
      </c>
      <c r="AK104" s="1">
        <v>723241.96417431603</v>
      </c>
      <c r="AL104" s="1">
        <v>557041.17717509705</v>
      </c>
      <c r="AM104" s="1">
        <v>548590.45920344803</v>
      </c>
      <c r="AN104" s="1">
        <v>1000240.07697206</v>
      </c>
      <c r="AO104" s="1">
        <v>1094794.59683422</v>
      </c>
      <c r="AP104" s="1">
        <v>1072157.3218688699</v>
      </c>
    </row>
  </sheetData>
  <autoFilter ref="A1:AJ104" xr:uid="{F113C68D-CCCC-1B49-9DB6-6F50827E6836}">
    <sortState xmlns:xlrd2="http://schemas.microsoft.com/office/spreadsheetml/2017/richdata2" ref="A2:AJ104">
      <sortCondition descending="1" ref="AD2:AD104"/>
    </sortState>
  </autoFilter>
  <phoneticPr fontId="8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16"/>
  <sheetViews>
    <sheetView workbookViewId="0">
      <selection activeCell="P11" sqref="P11"/>
    </sheetView>
  </sheetViews>
  <sheetFormatPr baseColWidth="10" defaultColWidth="8.83203125" defaultRowHeight="15"/>
  <cols>
    <col min="3" max="4" width="21.33203125" customWidth="1"/>
  </cols>
  <sheetData>
    <row r="1" spans="1:105">
      <c r="A1" t="s">
        <v>228</v>
      </c>
      <c r="B1" t="s">
        <v>229</v>
      </c>
      <c r="C1" s="1" t="s">
        <v>27</v>
      </c>
      <c r="D1" s="1" t="s">
        <v>29</v>
      </c>
      <c r="E1" s="1" t="s">
        <v>31</v>
      </c>
      <c r="F1" s="1" t="s">
        <v>33</v>
      </c>
      <c r="G1" s="1" t="s">
        <v>35</v>
      </c>
      <c r="H1" s="1" t="s">
        <v>37</v>
      </c>
      <c r="I1" s="1" t="s">
        <v>39</v>
      </c>
      <c r="J1" s="1" t="s">
        <v>41</v>
      </c>
      <c r="K1" s="1" t="s">
        <v>43</v>
      </c>
      <c r="L1" s="1" t="s">
        <v>45</v>
      </c>
      <c r="M1" s="1" t="s">
        <v>47</v>
      </c>
      <c r="N1" s="1" t="s">
        <v>49</v>
      </c>
      <c r="O1" s="1" t="s">
        <v>51</v>
      </c>
      <c r="P1" s="1" t="s">
        <v>53</v>
      </c>
      <c r="Q1" s="1" t="s">
        <v>55</v>
      </c>
      <c r="R1" s="1" t="s">
        <v>57</v>
      </c>
      <c r="S1" s="1" t="s">
        <v>59</v>
      </c>
      <c r="T1" s="1" t="s">
        <v>61</v>
      </c>
      <c r="U1" s="1" t="s">
        <v>63</v>
      </c>
      <c r="V1" s="1" t="s">
        <v>65</v>
      </c>
      <c r="W1" s="1" t="s">
        <v>67</v>
      </c>
      <c r="X1" s="1" t="s">
        <v>69</v>
      </c>
      <c r="Y1" s="1" t="s">
        <v>71</v>
      </c>
      <c r="Z1" s="3" t="s">
        <v>73</v>
      </c>
      <c r="AA1" s="1" t="s">
        <v>75</v>
      </c>
      <c r="AB1" s="1" t="s">
        <v>77</v>
      </c>
      <c r="AC1" s="1" t="s">
        <v>79</v>
      </c>
      <c r="AD1" s="1" t="s">
        <v>81</v>
      </c>
      <c r="AE1" s="1" t="s">
        <v>83</v>
      </c>
      <c r="AF1" s="1" t="s">
        <v>85</v>
      </c>
      <c r="AG1" s="1" t="s">
        <v>87</v>
      </c>
      <c r="AH1" s="1" t="s">
        <v>89</v>
      </c>
      <c r="AI1" s="1" t="s">
        <v>91</v>
      </c>
      <c r="AJ1" s="1" t="s">
        <v>93</v>
      </c>
      <c r="AK1" s="1" t="s">
        <v>95</v>
      </c>
      <c r="AL1" s="1" t="s">
        <v>97</v>
      </c>
      <c r="AM1" s="1" t="s">
        <v>99</v>
      </c>
      <c r="AN1" s="1" t="s">
        <v>101</v>
      </c>
      <c r="AO1" s="1" t="s">
        <v>103</v>
      </c>
      <c r="AP1" s="1" t="s">
        <v>105</v>
      </c>
      <c r="AQ1" s="1" t="s">
        <v>107</v>
      </c>
      <c r="AR1" s="1" t="s">
        <v>109</v>
      </c>
      <c r="AS1" s="1" t="s">
        <v>111</v>
      </c>
      <c r="AT1" s="1" t="s">
        <v>113</v>
      </c>
      <c r="AU1" s="1" t="s">
        <v>114</v>
      </c>
      <c r="AV1" s="1" t="s">
        <v>116</v>
      </c>
      <c r="AW1" s="1" t="s">
        <v>118</v>
      </c>
      <c r="AX1" s="1" t="s">
        <v>120</v>
      </c>
      <c r="AY1" s="1" t="s">
        <v>122</v>
      </c>
      <c r="AZ1" s="1" t="s">
        <v>124</v>
      </c>
      <c r="BA1" s="1" t="s">
        <v>126</v>
      </c>
      <c r="BB1" s="1" t="s">
        <v>128</v>
      </c>
      <c r="BC1" s="1" t="s">
        <v>130</v>
      </c>
      <c r="BD1" s="1" t="s">
        <v>132</v>
      </c>
      <c r="BE1" s="1" t="s">
        <v>134</v>
      </c>
      <c r="BF1" s="1" t="s">
        <v>136</v>
      </c>
      <c r="BG1" s="1" t="s">
        <v>138</v>
      </c>
      <c r="BH1" s="1" t="s">
        <v>140</v>
      </c>
      <c r="BI1" s="1" t="s">
        <v>142</v>
      </c>
      <c r="BJ1" s="1" t="s">
        <v>144</v>
      </c>
      <c r="BK1" s="1" t="s">
        <v>146</v>
      </c>
      <c r="BL1" s="1" t="s">
        <v>148</v>
      </c>
      <c r="BM1" s="1" t="s">
        <v>150</v>
      </c>
      <c r="BN1" s="1" t="s">
        <v>152</v>
      </c>
      <c r="BO1" s="1" t="s">
        <v>154</v>
      </c>
      <c r="BP1" s="1" t="s">
        <v>156</v>
      </c>
      <c r="BQ1" s="1" t="s">
        <v>158</v>
      </c>
      <c r="BR1" s="1" t="s">
        <v>160</v>
      </c>
      <c r="BS1" s="1" t="s">
        <v>162</v>
      </c>
      <c r="BT1" s="1" t="s">
        <v>163</v>
      </c>
      <c r="BU1" s="1" t="s">
        <v>165</v>
      </c>
      <c r="BV1" s="1" t="s">
        <v>167</v>
      </c>
      <c r="BW1" s="1" t="s">
        <v>169</v>
      </c>
      <c r="BX1" s="1" t="s">
        <v>171</v>
      </c>
      <c r="BY1" s="1" t="s">
        <v>173</v>
      </c>
      <c r="BZ1" s="1" t="s">
        <v>175</v>
      </c>
      <c r="CA1" s="1" t="s">
        <v>177</v>
      </c>
      <c r="CB1" s="1" t="s">
        <v>179</v>
      </c>
      <c r="CC1" s="1" t="s">
        <v>181</v>
      </c>
      <c r="CD1" s="1" t="s">
        <v>183</v>
      </c>
      <c r="CE1" s="1" t="s">
        <v>185</v>
      </c>
      <c r="CF1" s="1" t="s">
        <v>187</v>
      </c>
      <c r="CG1" s="1" t="s">
        <v>189</v>
      </c>
      <c r="CH1" s="1" t="s">
        <v>191</v>
      </c>
      <c r="CI1" s="1" t="s">
        <v>193</v>
      </c>
      <c r="CJ1" s="1" t="s">
        <v>195</v>
      </c>
      <c r="CK1" s="1" t="s">
        <v>197</v>
      </c>
      <c r="CL1" s="1" t="s">
        <v>199</v>
      </c>
      <c r="CM1" s="1" t="s">
        <v>201</v>
      </c>
      <c r="CN1" s="1" t="s">
        <v>203</v>
      </c>
      <c r="CO1" s="1" t="s">
        <v>205</v>
      </c>
      <c r="CP1" s="1" t="s">
        <v>207</v>
      </c>
      <c r="CQ1" s="1" t="s">
        <v>209</v>
      </c>
      <c r="CR1" s="1" t="s">
        <v>211</v>
      </c>
      <c r="CS1" s="1" t="s">
        <v>213</v>
      </c>
      <c r="CT1" s="1" t="s">
        <v>214</v>
      </c>
      <c r="CU1" s="1" t="s">
        <v>215</v>
      </c>
      <c r="CV1" s="1" t="s">
        <v>217</v>
      </c>
      <c r="CW1" s="1" t="s">
        <v>219</v>
      </c>
      <c r="CX1" s="1" t="s">
        <v>221</v>
      </c>
      <c r="CY1" s="1" t="s">
        <v>223</v>
      </c>
      <c r="CZ1" s="1" t="s">
        <v>225</v>
      </c>
      <c r="DA1" s="1" t="s">
        <v>227</v>
      </c>
    </row>
    <row r="2" spans="1:105">
      <c r="A2" s="2" t="s">
        <v>6</v>
      </c>
      <c r="B2" t="s">
        <v>230</v>
      </c>
      <c r="C2" s="1">
        <v>2132087.4598790701</v>
      </c>
      <c r="D2" s="1">
        <v>3762918.90814305</v>
      </c>
      <c r="E2" s="1">
        <v>7390262.8918276504</v>
      </c>
      <c r="F2" s="1">
        <v>41238171.458454601</v>
      </c>
      <c r="G2" s="1">
        <v>89219.470706082298</v>
      </c>
      <c r="H2" s="1">
        <v>1565264.7190994399</v>
      </c>
      <c r="I2" s="1">
        <v>580269.60271399899</v>
      </c>
      <c r="J2" s="1">
        <v>1348027.80708622</v>
      </c>
      <c r="K2" s="1">
        <v>69207967.099322796</v>
      </c>
      <c r="L2" s="1">
        <v>4485876.97235764</v>
      </c>
      <c r="M2" s="1">
        <v>7975564.4509637998</v>
      </c>
      <c r="N2" s="1">
        <v>1738871.04001147</v>
      </c>
      <c r="O2" s="1">
        <v>542648.68471026805</v>
      </c>
      <c r="P2" s="1">
        <v>2190687.8887070301</v>
      </c>
      <c r="Q2" s="1">
        <v>1151751.0196825999</v>
      </c>
      <c r="R2" s="1">
        <v>84550.751111338905</v>
      </c>
      <c r="S2" s="1">
        <v>10922793.6847998</v>
      </c>
      <c r="T2" s="1">
        <v>456743.387735417</v>
      </c>
      <c r="U2" s="1">
        <v>975676.52449358394</v>
      </c>
      <c r="V2" s="1">
        <v>2081424.9574609899</v>
      </c>
      <c r="W2" s="1">
        <v>16691060.5743214</v>
      </c>
      <c r="X2" s="1">
        <v>42499602.437091403</v>
      </c>
      <c r="Y2" s="1">
        <v>69989141.254427195</v>
      </c>
      <c r="Z2" s="1">
        <v>775661997.52061296</v>
      </c>
      <c r="AA2" s="1">
        <v>806010.83671112102</v>
      </c>
      <c r="AB2" s="1">
        <v>10606946.169521701</v>
      </c>
      <c r="AC2" s="1">
        <v>8956444.9090207703</v>
      </c>
      <c r="AD2" s="1">
        <v>81284.9133505848</v>
      </c>
      <c r="AE2" s="1">
        <v>19796127.657793399</v>
      </c>
      <c r="AF2" s="1">
        <v>85045916.579038098</v>
      </c>
      <c r="AG2" s="1">
        <v>14233206.14679</v>
      </c>
      <c r="AH2" s="1">
        <v>371756.12566945102</v>
      </c>
      <c r="AI2" s="1">
        <v>362158.13889160397</v>
      </c>
      <c r="AJ2" s="1">
        <v>2461547.0686486298</v>
      </c>
      <c r="AK2" s="1">
        <v>259279.28986251701</v>
      </c>
      <c r="AL2" s="1">
        <v>3775479.3416033098</v>
      </c>
      <c r="AM2" s="1">
        <v>10060557.8476154</v>
      </c>
      <c r="AN2" s="1">
        <v>547559.78181953297</v>
      </c>
      <c r="AO2" s="1">
        <v>24006441.8850278</v>
      </c>
      <c r="AP2" s="1">
        <v>17220206.309937801</v>
      </c>
      <c r="AQ2" s="1">
        <v>603151.72781549103</v>
      </c>
      <c r="AR2" s="1">
        <v>2340093.8988134302</v>
      </c>
      <c r="AS2" s="1">
        <v>758110.09435270005</v>
      </c>
      <c r="AT2" s="1">
        <v>46330596.424172103</v>
      </c>
      <c r="AU2" s="1">
        <v>51291443.801515803</v>
      </c>
      <c r="AV2" s="1">
        <v>89013512.696392506</v>
      </c>
      <c r="AW2" s="1">
        <v>35629785.965244301</v>
      </c>
      <c r="AX2" s="1">
        <v>141778.81059672101</v>
      </c>
      <c r="AY2" s="1">
        <v>820918.15776194702</v>
      </c>
      <c r="AZ2" s="1">
        <v>708795734.61032104</v>
      </c>
      <c r="BA2" s="1">
        <v>238221.98198558899</v>
      </c>
      <c r="BB2" s="1">
        <v>936327034.16108894</v>
      </c>
      <c r="BC2" s="1">
        <v>6303900.7352456497</v>
      </c>
      <c r="BD2" s="1">
        <v>151556.07262967501</v>
      </c>
      <c r="BE2" s="1">
        <v>828187.78082788805</v>
      </c>
      <c r="BF2" s="1">
        <v>1685428.61755948</v>
      </c>
      <c r="BG2" s="1">
        <v>172789540.289933</v>
      </c>
      <c r="BH2" s="1">
        <v>126108240.636425</v>
      </c>
      <c r="BI2" s="1">
        <v>83582403.827752203</v>
      </c>
      <c r="BJ2" s="1">
        <v>86812.733751769701</v>
      </c>
      <c r="BK2" s="1">
        <v>15908805.989374001</v>
      </c>
      <c r="BL2" s="1">
        <v>40581.378245289401</v>
      </c>
      <c r="BM2" s="1">
        <v>131739.99493574401</v>
      </c>
      <c r="BN2" s="1">
        <v>2206712.8273052899</v>
      </c>
      <c r="BO2" s="1">
        <v>1934122.65033286</v>
      </c>
      <c r="BP2" s="1">
        <v>4290931.5562089495</v>
      </c>
      <c r="BQ2" s="1">
        <v>61576.051325460801</v>
      </c>
      <c r="BR2" s="1">
        <v>929932.47262372205</v>
      </c>
      <c r="BS2" s="1">
        <v>105141.347938106</v>
      </c>
      <c r="BT2" s="1">
        <v>2602238.6082220101</v>
      </c>
      <c r="BU2" s="1">
        <v>10200834.705313301</v>
      </c>
      <c r="BV2" s="1">
        <v>1338308.09702699</v>
      </c>
      <c r="BW2" s="1">
        <v>7386422.9986329498</v>
      </c>
      <c r="BX2" s="1">
        <v>1093322.66032495</v>
      </c>
      <c r="BY2" s="1">
        <v>6864104.9099759301</v>
      </c>
      <c r="BZ2" s="1">
        <v>262185268.200537</v>
      </c>
      <c r="CA2" s="1">
        <v>255923.84812252299</v>
      </c>
      <c r="CB2" s="1">
        <v>10949880.364498099</v>
      </c>
      <c r="CC2" s="1">
        <v>86613.910116360305</v>
      </c>
      <c r="CD2" s="1">
        <v>291118.46472064301</v>
      </c>
      <c r="CE2" s="1">
        <v>18157605.999618299</v>
      </c>
      <c r="CF2" s="1">
        <v>31880.3772036956</v>
      </c>
      <c r="CG2" s="1">
        <v>6413115.6232178695</v>
      </c>
      <c r="CH2" s="1">
        <v>72513.2299218064</v>
      </c>
      <c r="CI2" s="1">
        <v>5214409.0301103396</v>
      </c>
      <c r="CJ2" s="1">
        <v>964793.82138157403</v>
      </c>
      <c r="CK2" s="1">
        <v>103286.756413382</v>
      </c>
      <c r="CL2" s="1">
        <v>2085980.2897431899</v>
      </c>
      <c r="CM2" s="1">
        <v>1351073.44505397</v>
      </c>
      <c r="CN2" s="1">
        <v>801779.65979633399</v>
      </c>
      <c r="CO2" s="1">
        <v>69370244.403108299</v>
      </c>
      <c r="CP2" s="1">
        <v>15937787.0980244</v>
      </c>
      <c r="CQ2" s="1">
        <v>3471159.4773728601</v>
      </c>
      <c r="CR2" s="1">
        <v>208059124.86272901</v>
      </c>
      <c r="CS2" s="1">
        <v>2096992.7230424499</v>
      </c>
      <c r="CT2" s="1">
        <v>57329.417046496703</v>
      </c>
      <c r="CU2" s="1">
        <v>165814631.511044</v>
      </c>
      <c r="CV2" s="1">
        <v>17010146.912392601</v>
      </c>
      <c r="CW2" s="1">
        <v>1140129.5026346799</v>
      </c>
      <c r="CX2" s="1">
        <v>1228366.4060807701</v>
      </c>
      <c r="CY2" s="1">
        <v>182079.56188759199</v>
      </c>
      <c r="CZ2" s="1">
        <v>8526723.4495845195</v>
      </c>
      <c r="DA2" s="1">
        <v>16673748.0502354</v>
      </c>
    </row>
    <row r="3" spans="1:105">
      <c r="A3" s="2" t="s">
        <v>7</v>
      </c>
      <c r="B3" t="s">
        <v>230</v>
      </c>
      <c r="C3" s="1">
        <v>1406157.9705415501</v>
      </c>
      <c r="D3" s="1">
        <v>4207814.7714188704</v>
      </c>
      <c r="E3" s="1">
        <v>18925843.3878037</v>
      </c>
      <c r="F3" s="1">
        <v>77191141.802873299</v>
      </c>
      <c r="G3" s="1">
        <v>1196263.10119414</v>
      </c>
      <c r="H3" s="1">
        <v>579349946.17803299</v>
      </c>
      <c r="I3" s="1">
        <v>805004.62001989502</v>
      </c>
      <c r="J3" s="1">
        <v>5088583.7809425704</v>
      </c>
      <c r="K3" s="1">
        <v>35456705.418509498</v>
      </c>
      <c r="L3" s="1">
        <v>3071774.9688746501</v>
      </c>
      <c r="M3" s="1">
        <v>4484458.9434932498</v>
      </c>
      <c r="N3" s="1">
        <v>1561283.3936689701</v>
      </c>
      <c r="O3" s="1">
        <v>658687.92474467796</v>
      </c>
      <c r="P3" s="1">
        <v>5656430.9804608896</v>
      </c>
      <c r="Q3" s="1">
        <v>1305286.4451101799</v>
      </c>
      <c r="R3" s="1">
        <v>675797.17932964803</v>
      </c>
      <c r="S3" s="1">
        <v>7509488.2756804498</v>
      </c>
      <c r="T3" s="1">
        <v>476434.43204363098</v>
      </c>
      <c r="U3" s="1">
        <v>53167.870003548996</v>
      </c>
      <c r="V3" s="1">
        <v>290897.41034997202</v>
      </c>
      <c r="W3" s="1">
        <v>946831.46800891706</v>
      </c>
      <c r="X3" s="1">
        <v>67995326.523311406</v>
      </c>
      <c r="Y3" s="1">
        <v>24831203.6598389</v>
      </c>
      <c r="Z3" s="1">
        <v>624707417.04809499</v>
      </c>
      <c r="AA3" s="1">
        <v>3999611.20010438</v>
      </c>
      <c r="AB3" s="1">
        <v>469221.41834211</v>
      </c>
      <c r="AC3" s="1">
        <v>591869.99166170403</v>
      </c>
      <c r="AD3" s="1">
        <v>245026.346856169</v>
      </c>
      <c r="AE3" s="1">
        <v>17183855.357043099</v>
      </c>
      <c r="AF3" s="1">
        <v>126893017.520513</v>
      </c>
      <c r="AG3" s="1">
        <v>29007970.0459245</v>
      </c>
      <c r="AH3" s="1">
        <v>73631.614264394404</v>
      </c>
      <c r="AI3" s="1">
        <v>1501996.1874398601</v>
      </c>
      <c r="AJ3" s="1">
        <v>2728883.1257905401</v>
      </c>
      <c r="AK3" s="1">
        <v>1132607.4482722699</v>
      </c>
      <c r="AL3" s="1">
        <v>4110910.4507444398</v>
      </c>
      <c r="AM3" s="1">
        <v>12140298.519419599</v>
      </c>
      <c r="AN3" s="1">
        <v>65185.0279553316</v>
      </c>
      <c r="AO3" s="1">
        <v>18281720.780819401</v>
      </c>
      <c r="AP3" s="1">
        <v>3369537.1697718599</v>
      </c>
      <c r="AQ3" s="1">
        <v>457524.38551669702</v>
      </c>
      <c r="AR3" s="1">
        <v>2308628.8945452701</v>
      </c>
      <c r="AS3" s="1">
        <v>748033.31547186896</v>
      </c>
      <c r="AT3" s="1">
        <v>91943350.881509393</v>
      </c>
      <c r="AU3" s="1">
        <v>119401283.125065</v>
      </c>
      <c r="AV3" s="1">
        <v>113878307.81315599</v>
      </c>
      <c r="AW3" s="1">
        <v>23109818.8904307</v>
      </c>
      <c r="AX3" s="1">
        <v>3508489.1875067698</v>
      </c>
      <c r="AY3" s="1">
        <v>12871326.619501499</v>
      </c>
      <c r="AZ3" s="1">
        <v>1226428580.8856299</v>
      </c>
      <c r="BA3" s="1">
        <v>268457.08678369998</v>
      </c>
      <c r="BB3" s="1">
        <v>1469741296.37463</v>
      </c>
      <c r="BC3" s="1">
        <v>760437.94122617401</v>
      </c>
      <c r="BD3" s="1">
        <v>121693.562339004</v>
      </c>
      <c r="BE3" s="1">
        <v>855219.43231164897</v>
      </c>
      <c r="BF3" s="1">
        <v>5388249.6430533398</v>
      </c>
      <c r="BG3" s="1">
        <v>132522652.20696101</v>
      </c>
      <c r="BH3" s="1">
        <v>102224048.47766601</v>
      </c>
      <c r="BI3" s="1">
        <v>130869548.87076101</v>
      </c>
      <c r="BJ3" s="1">
        <v>278532.20284379099</v>
      </c>
      <c r="BK3" s="1">
        <v>16282605.333792901</v>
      </c>
      <c r="BL3" s="1">
        <v>62814.172325098603</v>
      </c>
      <c r="BM3" s="1">
        <v>226501.27520236999</v>
      </c>
      <c r="BN3" s="1">
        <v>6134457.9184860401</v>
      </c>
      <c r="BO3" s="1">
        <v>1200679.923615</v>
      </c>
      <c r="BP3" s="1">
        <v>5178485.36024886</v>
      </c>
      <c r="BQ3" s="1">
        <v>46855.241190935703</v>
      </c>
      <c r="BR3" s="1">
        <v>5090327.9026845796</v>
      </c>
      <c r="BS3" s="1">
        <v>104416.98060181399</v>
      </c>
      <c r="BT3" s="1">
        <v>9904525.9135807101</v>
      </c>
      <c r="BU3" s="1">
        <v>2981384.8151360801</v>
      </c>
      <c r="BV3" s="1">
        <v>13776386.9361709</v>
      </c>
      <c r="BW3" s="1">
        <v>1325442.5033445</v>
      </c>
      <c r="BX3" s="1">
        <v>1456154.10940002</v>
      </c>
      <c r="BY3" s="1">
        <v>4424280.3579394603</v>
      </c>
      <c r="BZ3" s="1">
        <v>253588020.00520799</v>
      </c>
      <c r="CA3" s="1">
        <v>170606.787083103</v>
      </c>
      <c r="CB3" s="1">
        <v>528550.97771361098</v>
      </c>
      <c r="CC3" s="1">
        <v>111720.290938848</v>
      </c>
      <c r="CD3" s="1">
        <v>555867.59639058204</v>
      </c>
      <c r="CE3" s="1">
        <v>24939834.3692361</v>
      </c>
      <c r="CF3" s="1">
        <v>39506.830378395403</v>
      </c>
      <c r="CG3" s="1">
        <v>7651669.99270448</v>
      </c>
      <c r="CH3" s="1">
        <v>92852.277949640906</v>
      </c>
      <c r="CI3" s="1">
        <v>31341745.8253446</v>
      </c>
      <c r="CJ3" s="1">
        <v>4066996.2668759199</v>
      </c>
      <c r="CK3" s="1">
        <v>151164.65160947599</v>
      </c>
      <c r="CL3" s="1">
        <v>304136.66519505699</v>
      </c>
      <c r="CM3" s="1">
        <v>6028908.3670572899</v>
      </c>
      <c r="CN3" s="1">
        <v>1264855.5494945501</v>
      </c>
      <c r="CO3" s="1">
        <v>66056068.614129603</v>
      </c>
      <c r="CP3" s="1">
        <v>8193380.1459124899</v>
      </c>
      <c r="CQ3" s="1">
        <v>12913933.277265299</v>
      </c>
      <c r="CR3" s="1">
        <v>106344655.63398901</v>
      </c>
      <c r="CS3" s="1">
        <v>465028.574795792</v>
      </c>
      <c r="CT3" s="1">
        <v>16216040.3818422</v>
      </c>
      <c r="CU3" s="1">
        <v>16187840.722288501</v>
      </c>
      <c r="CV3" s="1">
        <v>1468575.3373334799</v>
      </c>
      <c r="CW3" s="1">
        <v>862008.49101361097</v>
      </c>
      <c r="CX3" s="1">
        <v>5224380.6422519796</v>
      </c>
      <c r="CY3" s="1">
        <v>466329.73882743798</v>
      </c>
      <c r="CZ3" s="1">
        <v>5329727.6580435298</v>
      </c>
      <c r="DA3" s="1">
        <v>10536904.8508079</v>
      </c>
    </row>
    <row r="4" spans="1:105">
      <c r="A4" s="2" t="s">
        <v>8</v>
      </c>
      <c r="B4" t="s">
        <v>230</v>
      </c>
      <c r="C4" s="1">
        <v>5163630.1340012504</v>
      </c>
      <c r="D4" s="1">
        <v>4221652.48046064</v>
      </c>
      <c r="E4" s="1">
        <v>6806839.0586534999</v>
      </c>
      <c r="F4" s="1">
        <v>35843267.370254502</v>
      </c>
      <c r="G4" s="1">
        <v>74519.523964742097</v>
      </c>
      <c r="H4" s="1">
        <v>60910.234879224801</v>
      </c>
      <c r="I4" s="1">
        <v>557002.89178052195</v>
      </c>
      <c r="J4" s="1">
        <v>1614509.82703827</v>
      </c>
      <c r="K4" s="1">
        <v>16670420.9372127</v>
      </c>
      <c r="L4" s="1">
        <v>1918765.76307766</v>
      </c>
      <c r="M4" s="1">
        <v>6460309.1869031005</v>
      </c>
      <c r="N4" s="1">
        <v>1780794.6804019399</v>
      </c>
      <c r="O4" s="1">
        <v>478485.62782485998</v>
      </c>
      <c r="P4" s="1">
        <v>2142161.59410903</v>
      </c>
      <c r="Q4" s="1">
        <v>932074.34157001704</v>
      </c>
      <c r="R4" s="1">
        <v>58580.822432639397</v>
      </c>
      <c r="S4" s="1">
        <v>8632840.3148813508</v>
      </c>
      <c r="T4" s="1">
        <v>321939.04613601603</v>
      </c>
      <c r="U4" s="1">
        <v>278463.21050123603</v>
      </c>
      <c r="V4" s="1">
        <v>220785.48696589601</v>
      </c>
      <c r="W4" s="1">
        <v>579105.28619696503</v>
      </c>
      <c r="X4" s="1">
        <v>42219763.948810399</v>
      </c>
      <c r="Y4" s="1">
        <v>12882934.599970501</v>
      </c>
      <c r="Z4" s="1">
        <v>910120413.22469294</v>
      </c>
      <c r="AA4" s="1">
        <v>1146265.2252651299</v>
      </c>
      <c r="AB4" s="1">
        <v>522912.77615453099</v>
      </c>
      <c r="AC4" s="1">
        <v>1248829.60720443</v>
      </c>
      <c r="AD4" s="1">
        <v>223607.802515944</v>
      </c>
      <c r="AE4" s="1">
        <v>15121646.921553999</v>
      </c>
      <c r="AF4" s="1">
        <v>86291727.258647397</v>
      </c>
      <c r="AG4" s="1">
        <v>4281503.50155506</v>
      </c>
      <c r="AH4" s="1">
        <v>2328895.4721941901</v>
      </c>
      <c r="AI4" s="1">
        <v>465612.647766751</v>
      </c>
      <c r="AJ4" s="1">
        <v>2709372.26777016</v>
      </c>
      <c r="AK4" s="1">
        <v>323919.45478496503</v>
      </c>
      <c r="AL4" s="1">
        <v>2920235.7927904301</v>
      </c>
      <c r="AM4" s="1">
        <v>7896737.3172677001</v>
      </c>
      <c r="AN4" s="1">
        <v>366745.22118847899</v>
      </c>
      <c r="AO4" s="1">
        <v>20838678.272666398</v>
      </c>
      <c r="AP4" s="1">
        <v>14407993.367198501</v>
      </c>
      <c r="AQ4" s="1">
        <v>639974.54349727905</v>
      </c>
      <c r="AR4" s="1">
        <v>2854379.2415221701</v>
      </c>
      <c r="AS4" s="1">
        <v>723348.97910695605</v>
      </c>
      <c r="AT4" s="1">
        <v>11206639.6940709</v>
      </c>
      <c r="AU4" s="1">
        <v>27301325.0528032</v>
      </c>
      <c r="AV4" s="1">
        <v>73068861.047331706</v>
      </c>
      <c r="AW4" s="1">
        <v>24138659.151552301</v>
      </c>
      <c r="AX4" s="1">
        <v>216799.33014860001</v>
      </c>
      <c r="AY4" s="1">
        <v>343700.99525908497</v>
      </c>
      <c r="AZ4" s="1">
        <v>799979612.736884</v>
      </c>
      <c r="BA4" s="1">
        <v>238968.36079491701</v>
      </c>
      <c r="BB4" s="1">
        <v>708853390.60435498</v>
      </c>
      <c r="BC4" s="1">
        <v>1433136.61376845</v>
      </c>
      <c r="BD4" s="1">
        <v>152239.15512155899</v>
      </c>
      <c r="BE4" s="1">
        <v>842889.87473571405</v>
      </c>
      <c r="BF4" s="1">
        <v>4285163.9245458301</v>
      </c>
      <c r="BG4" s="1">
        <v>258977689.16575599</v>
      </c>
      <c r="BH4" s="1">
        <v>154097692.86418501</v>
      </c>
      <c r="BI4" s="1">
        <v>104028901.564063</v>
      </c>
      <c r="BJ4" s="1">
        <v>110594.773564249</v>
      </c>
      <c r="BK4" s="1">
        <v>12759615.368504301</v>
      </c>
      <c r="BL4" s="1">
        <v>46958.625066985704</v>
      </c>
      <c r="BM4" s="1">
        <v>114027.709847322</v>
      </c>
      <c r="BN4" s="1">
        <v>682425.96021174302</v>
      </c>
      <c r="BO4" s="1">
        <v>1272258.08421913</v>
      </c>
      <c r="BP4" s="1">
        <v>2820435.5672334102</v>
      </c>
      <c r="BQ4" s="1">
        <v>57371.6225009888</v>
      </c>
      <c r="BR4" s="1">
        <v>637492.36120939802</v>
      </c>
      <c r="BS4" s="1">
        <v>218850.147277507</v>
      </c>
      <c r="BT4" s="1">
        <v>2417261.6829674798</v>
      </c>
      <c r="BU4" s="1">
        <v>393479.18624869501</v>
      </c>
      <c r="BV4" s="1">
        <v>11279030.746490199</v>
      </c>
      <c r="BW4" s="1">
        <v>7532722.58008595</v>
      </c>
      <c r="BX4" s="1">
        <v>3258387.0312329102</v>
      </c>
      <c r="BY4" s="1">
        <v>7815973.6698646601</v>
      </c>
      <c r="BZ4" s="1">
        <v>179895824.35182601</v>
      </c>
      <c r="CA4" s="1">
        <v>464082.87200859201</v>
      </c>
      <c r="CB4" s="1">
        <v>2035208.4054103999</v>
      </c>
      <c r="CC4" s="1">
        <v>43786.360478262002</v>
      </c>
      <c r="CD4" s="1">
        <v>512621.04942490999</v>
      </c>
      <c r="CE4" s="1">
        <v>18742000.517553002</v>
      </c>
      <c r="CF4" s="1">
        <v>30481.472288430301</v>
      </c>
      <c r="CG4" s="1">
        <v>4128036.0498088999</v>
      </c>
      <c r="CH4" s="1">
        <v>59456.871963949503</v>
      </c>
      <c r="CI4" s="1">
        <v>11251389.198689099</v>
      </c>
      <c r="CJ4" s="1">
        <v>7652792.7691385401</v>
      </c>
      <c r="CK4" s="1">
        <v>92745.514371971905</v>
      </c>
      <c r="CL4" s="1">
        <v>2058406.84144846</v>
      </c>
      <c r="CM4" s="1">
        <v>2018371.2843716701</v>
      </c>
      <c r="CN4" s="1">
        <v>1136382.03437519</v>
      </c>
      <c r="CO4" s="1">
        <v>108464727.69737101</v>
      </c>
      <c r="CP4" s="1">
        <v>10350272.512136901</v>
      </c>
      <c r="CQ4" s="1">
        <v>4347529.7318011997</v>
      </c>
      <c r="CR4" s="1">
        <v>76774344.684936404</v>
      </c>
      <c r="CS4" s="1">
        <v>1693482.4776896101</v>
      </c>
      <c r="CT4" s="1">
        <v>210026.30201051899</v>
      </c>
      <c r="CU4" s="1">
        <v>12297465.757241501</v>
      </c>
      <c r="CV4" s="1">
        <v>11465041.059854999</v>
      </c>
      <c r="CW4" s="1">
        <v>2625937.1953480202</v>
      </c>
      <c r="CX4" s="1">
        <v>226392.136436036</v>
      </c>
      <c r="CY4" s="1">
        <v>167038.199333981</v>
      </c>
      <c r="CZ4" s="1">
        <v>8060340.7636196101</v>
      </c>
      <c r="DA4" s="1">
        <v>29118050.699228499</v>
      </c>
    </row>
    <row r="5" spans="1:105">
      <c r="A5" s="2" t="s">
        <v>9</v>
      </c>
      <c r="B5" t="s">
        <v>231</v>
      </c>
      <c r="C5" s="1">
        <v>4755996.8672558302</v>
      </c>
      <c r="D5" s="1">
        <v>4266914.4808926899</v>
      </c>
      <c r="E5" s="1">
        <v>938143.36693650798</v>
      </c>
      <c r="F5" s="1">
        <v>35921602.008736603</v>
      </c>
      <c r="G5" s="1">
        <v>488390.203504431</v>
      </c>
      <c r="H5" s="1">
        <v>210029049.031091</v>
      </c>
      <c r="I5" s="1">
        <v>659916.65883652901</v>
      </c>
      <c r="J5" s="1">
        <v>2870220.9163165502</v>
      </c>
      <c r="K5" s="1">
        <v>37710957.481569096</v>
      </c>
      <c r="L5" s="1">
        <v>2633706.3245257898</v>
      </c>
      <c r="M5" s="1">
        <v>6723384.8676807601</v>
      </c>
      <c r="N5" s="1">
        <v>1594479.5211338401</v>
      </c>
      <c r="O5" s="1">
        <v>697277.281806221</v>
      </c>
      <c r="P5" s="1">
        <v>1690561.93359255</v>
      </c>
      <c r="Q5" s="1">
        <v>848913.72233351495</v>
      </c>
      <c r="R5" s="1">
        <v>134842.15819987099</v>
      </c>
      <c r="S5" s="1">
        <v>11291793.6277053</v>
      </c>
      <c r="T5" s="1">
        <v>399239.25303395098</v>
      </c>
      <c r="U5" s="1">
        <v>471986.232908862</v>
      </c>
      <c r="V5" s="1">
        <v>155663.463378179</v>
      </c>
      <c r="W5" s="1">
        <v>599264.19183539203</v>
      </c>
      <c r="X5" s="1">
        <v>38466711.303826697</v>
      </c>
      <c r="Y5" s="1">
        <v>8858728.6221713796</v>
      </c>
      <c r="Z5" s="1">
        <v>1066198864.2923</v>
      </c>
      <c r="AA5" s="1">
        <v>3172218.64981214</v>
      </c>
      <c r="AB5" s="1">
        <v>5585907.7739426903</v>
      </c>
      <c r="AC5" s="1">
        <v>780270.68804473605</v>
      </c>
      <c r="AD5" s="1">
        <v>71674.657043040395</v>
      </c>
      <c r="AE5" s="1">
        <v>8572553.9103820808</v>
      </c>
      <c r="AF5" s="1">
        <v>43219938.339058504</v>
      </c>
      <c r="AG5" s="1">
        <v>5251531.1503429199</v>
      </c>
      <c r="AH5" s="1">
        <v>1899251.78386328</v>
      </c>
      <c r="AI5" s="1">
        <v>663584.26317223499</v>
      </c>
      <c r="AJ5" s="1">
        <v>2150565.7517301901</v>
      </c>
      <c r="AK5" s="1">
        <v>1565650.01241834</v>
      </c>
      <c r="AL5" s="1">
        <v>4527373.6761016101</v>
      </c>
      <c r="AM5" s="1">
        <v>10904973.471110599</v>
      </c>
      <c r="AN5" s="1">
        <v>107916.390056894</v>
      </c>
      <c r="AO5" s="1">
        <v>20733107.445384402</v>
      </c>
      <c r="AP5" s="1">
        <v>16095010.343147799</v>
      </c>
      <c r="AQ5" s="1">
        <v>227562.294465371</v>
      </c>
      <c r="AR5" s="1">
        <v>2309831.7394654402</v>
      </c>
      <c r="AS5" s="1">
        <v>383546.61611856997</v>
      </c>
      <c r="AT5" s="1">
        <v>16722456.159333499</v>
      </c>
      <c r="AU5" s="1">
        <v>31612211.981091902</v>
      </c>
      <c r="AV5" s="1">
        <v>118751338.926856</v>
      </c>
      <c r="AW5" s="1">
        <v>23282702.014502399</v>
      </c>
      <c r="AX5" s="1">
        <v>280285.34049436799</v>
      </c>
      <c r="AY5" s="1">
        <v>1137462.18727251</v>
      </c>
      <c r="AZ5" s="1">
        <v>815004180.57809603</v>
      </c>
      <c r="BA5" s="1">
        <v>288025.30955236597</v>
      </c>
      <c r="BB5" s="1">
        <v>663960710.94703805</v>
      </c>
      <c r="BC5" s="1">
        <v>1732845.7796980001</v>
      </c>
      <c r="BD5" s="1">
        <v>258743.10791687801</v>
      </c>
      <c r="BE5" s="1">
        <v>999832.51343385305</v>
      </c>
      <c r="BF5" s="1">
        <v>40609210.830917098</v>
      </c>
      <c r="BG5" s="1">
        <v>155940121.93991199</v>
      </c>
      <c r="BH5" s="1">
        <v>135306396.723416</v>
      </c>
      <c r="BI5" s="1">
        <v>134930830.590316</v>
      </c>
      <c r="BJ5" s="1">
        <v>146746.095110036</v>
      </c>
      <c r="BK5" s="1">
        <v>13483627.0197396</v>
      </c>
      <c r="BL5" s="1">
        <v>1905633.53156756</v>
      </c>
      <c r="BM5" s="1">
        <v>132180.05662481199</v>
      </c>
      <c r="BN5" s="1">
        <v>1155093.23467422</v>
      </c>
      <c r="BO5" s="1">
        <v>925056.59326174704</v>
      </c>
      <c r="BP5" s="1">
        <v>8658289.4000803307</v>
      </c>
      <c r="BQ5" s="1">
        <v>60027.169056367798</v>
      </c>
      <c r="BR5" s="1">
        <v>2134899.5195060601</v>
      </c>
      <c r="BS5" s="1">
        <v>81488.6050280169</v>
      </c>
      <c r="BT5" s="1">
        <v>5229470.7019932</v>
      </c>
      <c r="BU5" s="1">
        <v>2738752.2762551801</v>
      </c>
      <c r="BV5" s="1">
        <v>33612504.408875003</v>
      </c>
      <c r="BW5" s="1">
        <v>6715831.7840877697</v>
      </c>
      <c r="BX5" s="1">
        <v>4301627.4446990304</v>
      </c>
      <c r="BY5" s="1">
        <v>6558873.5234518703</v>
      </c>
      <c r="BZ5" s="1">
        <v>240457476.81414899</v>
      </c>
      <c r="CA5" s="1">
        <v>1237744.4933009399</v>
      </c>
      <c r="CB5" s="1">
        <v>343751.503445671</v>
      </c>
      <c r="CC5" s="1">
        <v>44996.390368628003</v>
      </c>
      <c r="CD5" s="1">
        <v>647471.45263276796</v>
      </c>
      <c r="CE5" s="1">
        <v>20806086.916866101</v>
      </c>
      <c r="CF5" s="1">
        <v>38590.543920358199</v>
      </c>
      <c r="CG5" s="1">
        <v>4933294.7308604</v>
      </c>
      <c r="CH5" s="1">
        <v>172723.50490758801</v>
      </c>
      <c r="CI5" s="1">
        <v>18611749.969888199</v>
      </c>
      <c r="CJ5" s="1">
        <v>29233300.0196824</v>
      </c>
      <c r="CK5" s="1">
        <v>799005.89720659505</v>
      </c>
      <c r="CL5" s="1">
        <v>399703.81637215702</v>
      </c>
      <c r="CM5" s="1">
        <v>5093541.3240706399</v>
      </c>
      <c r="CN5" s="1">
        <v>547654.43109138298</v>
      </c>
      <c r="CO5" s="1">
        <v>89072088.066473201</v>
      </c>
      <c r="CP5" s="1">
        <v>7895156.6307560699</v>
      </c>
      <c r="CQ5" s="1">
        <v>10459119.905799599</v>
      </c>
      <c r="CR5" s="1">
        <v>94202711.760982797</v>
      </c>
      <c r="CS5" s="1">
        <v>1986744.4051787299</v>
      </c>
      <c r="CT5" s="1">
        <v>67278.652095631798</v>
      </c>
      <c r="CU5" s="1">
        <v>16236033.2607267</v>
      </c>
      <c r="CV5" s="1">
        <v>4230497.5632024501</v>
      </c>
      <c r="CW5" s="1">
        <v>2264378.8072819798</v>
      </c>
      <c r="CX5" s="1">
        <v>5268535.6308949804</v>
      </c>
      <c r="CY5" s="1">
        <v>143078.20533328201</v>
      </c>
      <c r="CZ5" s="1">
        <v>6741206.8431226201</v>
      </c>
      <c r="DA5" s="1">
        <v>27936293.685975999</v>
      </c>
    </row>
    <row r="6" spans="1:105">
      <c r="A6" s="2" t="s">
        <v>10</v>
      </c>
      <c r="B6" t="s">
        <v>231</v>
      </c>
      <c r="C6" s="1">
        <v>3798459.8601208599</v>
      </c>
      <c r="D6" s="1">
        <v>3899327.5422982802</v>
      </c>
      <c r="E6" s="1">
        <v>6814448.8450632701</v>
      </c>
      <c r="F6" s="1">
        <v>38148688.036945403</v>
      </c>
      <c r="G6" s="1">
        <v>644665.35622476495</v>
      </c>
      <c r="H6" s="1">
        <v>414036343.48354203</v>
      </c>
      <c r="I6" s="1">
        <v>747589.46890103805</v>
      </c>
      <c r="J6" s="1">
        <v>2817910.2091009002</v>
      </c>
      <c r="K6" s="1">
        <v>31593382.7458947</v>
      </c>
      <c r="L6" s="1">
        <v>3509189.9346169201</v>
      </c>
      <c r="M6" s="1">
        <v>4296163.4939754102</v>
      </c>
      <c r="N6" s="1">
        <v>1483682.8245252499</v>
      </c>
      <c r="O6" s="1">
        <v>992172.92574486195</v>
      </c>
      <c r="P6" s="1">
        <v>4127665.7973150001</v>
      </c>
      <c r="Q6" s="1">
        <v>1240624.9032485499</v>
      </c>
      <c r="R6" s="1">
        <v>593300.27183810202</v>
      </c>
      <c r="S6" s="1">
        <v>18203429.084072798</v>
      </c>
      <c r="T6" s="1">
        <v>372767.19853433297</v>
      </c>
      <c r="U6" s="1">
        <v>42312.375450566702</v>
      </c>
      <c r="V6" s="1">
        <v>124493.05963980001</v>
      </c>
      <c r="W6" s="1">
        <v>398185.832907287</v>
      </c>
      <c r="X6" s="1">
        <v>43675283.459243298</v>
      </c>
      <c r="Y6" s="1">
        <v>6685018.5507863201</v>
      </c>
      <c r="Z6" s="1">
        <v>860827659.56270003</v>
      </c>
      <c r="AA6" s="1">
        <v>595103.36371804297</v>
      </c>
      <c r="AB6" s="1">
        <v>1467025.6108282299</v>
      </c>
      <c r="AC6" s="1">
        <v>9333581.9586324394</v>
      </c>
      <c r="AD6" s="1">
        <v>166567.00023733801</v>
      </c>
      <c r="AE6" s="1">
        <v>17587229.201823901</v>
      </c>
      <c r="AF6" s="1">
        <v>157141129.27414599</v>
      </c>
      <c r="AG6" s="1">
        <v>9608402.1627726704</v>
      </c>
      <c r="AH6" s="1">
        <v>177837.203637795</v>
      </c>
      <c r="AI6" s="1">
        <v>1120029.8772565699</v>
      </c>
      <c r="AJ6" s="1">
        <v>1713481.2148100701</v>
      </c>
      <c r="AK6" s="1">
        <v>771548.63123215095</v>
      </c>
      <c r="AL6" s="1">
        <v>1799515.0650536099</v>
      </c>
      <c r="AM6" s="1">
        <v>11926941.633507799</v>
      </c>
      <c r="AN6" s="1">
        <v>59023.101786361403</v>
      </c>
      <c r="AO6" s="1">
        <v>16035099.3541885</v>
      </c>
      <c r="AP6" s="1">
        <v>21810289.062261298</v>
      </c>
      <c r="AQ6" s="1">
        <v>823380.67647945997</v>
      </c>
      <c r="AR6" s="1">
        <v>1534785.97183957</v>
      </c>
      <c r="AS6" s="1">
        <v>494580.54116275301</v>
      </c>
      <c r="AT6" s="1">
        <v>53703387.926527597</v>
      </c>
      <c r="AU6" s="1">
        <v>52445294.007516198</v>
      </c>
      <c r="AV6" s="1">
        <v>69915117.455584705</v>
      </c>
      <c r="AW6" s="1">
        <v>16839106.0201208</v>
      </c>
      <c r="AX6" s="1">
        <v>97502.117938996395</v>
      </c>
      <c r="AY6" s="1">
        <v>1054829.39385265</v>
      </c>
      <c r="AZ6" s="1">
        <v>1029903983.71466</v>
      </c>
      <c r="BA6" s="1">
        <v>256955.34323739499</v>
      </c>
      <c r="BB6" s="1">
        <v>947624538.23538601</v>
      </c>
      <c r="BC6" s="1">
        <v>1102187.0878105401</v>
      </c>
      <c r="BD6" s="1">
        <v>208413.561811272</v>
      </c>
      <c r="BE6" s="1">
        <v>1005008.13077986</v>
      </c>
      <c r="BF6" s="1">
        <v>25088100.488244399</v>
      </c>
      <c r="BG6" s="1">
        <v>226175852.772562</v>
      </c>
      <c r="BH6" s="1">
        <v>104276243.282804</v>
      </c>
      <c r="BI6" s="1">
        <v>149012692.262826</v>
      </c>
      <c r="BJ6" s="1">
        <v>120661.68109656499</v>
      </c>
      <c r="BK6" s="1">
        <v>8526882.7799712997</v>
      </c>
      <c r="BL6" s="1">
        <v>44714.447139092197</v>
      </c>
      <c r="BM6" s="1">
        <v>197693.289490442</v>
      </c>
      <c r="BN6" s="1">
        <v>4970873.9110287204</v>
      </c>
      <c r="BO6" s="1">
        <v>1466967.0620629501</v>
      </c>
      <c r="BP6" s="1">
        <v>2063981.8337141499</v>
      </c>
      <c r="BQ6" s="1">
        <v>46631.638382889403</v>
      </c>
      <c r="BR6" s="1">
        <v>1640475.0439671499</v>
      </c>
      <c r="BS6" s="1">
        <v>80425.5862337898</v>
      </c>
      <c r="BT6" s="1">
        <v>2492490.5356282</v>
      </c>
      <c r="BU6" s="1">
        <v>6298702.3379138503</v>
      </c>
      <c r="BV6" s="1">
        <v>2805932.70269544</v>
      </c>
      <c r="BW6" s="1">
        <v>2834649.8656071802</v>
      </c>
      <c r="BX6" s="1">
        <v>1225752.0092752799</v>
      </c>
      <c r="BY6" s="1">
        <v>3994204.8694292698</v>
      </c>
      <c r="BZ6" s="1">
        <v>256338128.853544</v>
      </c>
      <c r="CA6" s="1">
        <v>5240365.43452508</v>
      </c>
      <c r="CB6" s="1">
        <v>502367.513310479</v>
      </c>
      <c r="CC6" s="1">
        <v>87825.718190962594</v>
      </c>
      <c r="CD6" s="1">
        <v>1421429.49384192</v>
      </c>
      <c r="CE6" s="1">
        <v>23184281.4152961</v>
      </c>
      <c r="CF6" s="1">
        <v>33483.072407707303</v>
      </c>
      <c r="CG6" s="1">
        <v>5632667.0880544502</v>
      </c>
      <c r="CH6" s="1">
        <v>166324.80389980701</v>
      </c>
      <c r="CI6" s="1">
        <v>17864525.937316298</v>
      </c>
      <c r="CJ6" s="1">
        <v>16454558.7332881</v>
      </c>
      <c r="CK6" s="1">
        <v>136497.451679878</v>
      </c>
      <c r="CL6" s="1">
        <v>470228.71345555101</v>
      </c>
      <c r="CM6" s="1">
        <v>7717087.1810208</v>
      </c>
      <c r="CN6" s="1">
        <v>1866492.5041805899</v>
      </c>
      <c r="CO6" s="1">
        <v>122172520.615743</v>
      </c>
      <c r="CP6" s="1">
        <v>14823621.6259121</v>
      </c>
      <c r="CQ6" s="1">
        <v>17092865.562656701</v>
      </c>
      <c r="CR6" s="1">
        <v>83779451.975194305</v>
      </c>
      <c r="CS6" s="1">
        <v>3948893.1617254899</v>
      </c>
      <c r="CT6" s="1">
        <v>545643.34595650097</v>
      </c>
      <c r="CU6" s="1">
        <v>22927034.1935861</v>
      </c>
      <c r="CV6" s="1">
        <v>14669633.636344999</v>
      </c>
      <c r="CW6" s="1">
        <v>1081420.4605018699</v>
      </c>
      <c r="CX6" s="1">
        <v>10022305.463006601</v>
      </c>
      <c r="CY6" s="1">
        <v>1134446.0017196201</v>
      </c>
      <c r="CZ6" s="1">
        <v>4416544.7454084298</v>
      </c>
      <c r="DA6" s="1">
        <v>6509338.6275677001</v>
      </c>
    </row>
    <row r="7" spans="1:105">
      <c r="A7" s="2" t="s">
        <v>11</v>
      </c>
      <c r="B7" t="s">
        <v>231</v>
      </c>
      <c r="C7" s="1">
        <v>5078510.27080152</v>
      </c>
      <c r="D7" s="1">
        <v>3459781.1648852001</v>
      </c>
      <c r="E7" s="1">
        <v>2082644.6702839099</v>
      </c>
      <c r="F7" s="1">
        <v>69319986.480708703</v>
      </c>
      <c r="G7" s="1">
        <v>1127854.5909969199</v>
      </c>
      <c r="H7" s="1">
        <v>176301654.60545099</v>
      </c>
      <c r="I7" s="1">
        <v>1004247.92137776</v>
      </c>
      <c r="J7" s="1">
        <v>1034361.94021934</v>
      </c>
      <c r="K7" s="1">
        <v>44828304.657920897</v>
      </c>
      <c r="L7" s="1">
        <v>4571457.4488638798</v>
      </c>
      <c r="M7" s="1">
        <v>9783820.0427288599</v>
      </c>
      <c r="N7" s="1">
        <v>15084239.9069367</v>
      </c>
      <c r="O7" s="1">
        <v>743606.43359477504</v>
      </c>
      <c r="P7" s="1">
        <v>1908505.3694889899</v>
      </c>
      <c r="Q7" s="1">
        <v>4279761.2620572699</v>
      </c>
      <c r="R7" s="1">
        <v>724171.80505985103</v>
      </c>
      <c r="S7" s="1">
        <v>17833474.700158201</v>
      </c>
      <c r="T7" s="1">
        <v>655030.67022397998</v>
      </c>
      <c r="U7" s="1">
        <v>2206351.1840558401</v>
      </c>
      <c r="V7" s="1">
        <v>1141814.46800228</v>
      </c>
      <c r="W7" s="1">
        <v>846012.04092309403</v>
      </c>
      <c r="X7" s="1">
        <v>52469698.685937002</v>
      </c>
      <c r="Y7" s="1">
        <v>40803707.033859201</v>
      </c>
      <c r="Z7" s="1">
        <v>733124215.92547905</v>
      </c>
      <c r="AA7" s="1">
        <v>224752.00535758</v>
      </c>
      <c r="AB7" s="1">
        <v>16824640.819970999</v>
      </c>
      <c r="AC7" s="1">
        <v>5930192.5608767802</v>
      </c>
      <c r="AD7" s="1">
        <v>2216584.1648208499</v>
      </c>
      <c r="AE7" s="1">
        <v>10940178.632261399</v>
      </c>
      <c r="AF7" s="1">
        <v>346931823.82616699</v>
      </c>
      <c r="AG7" s="1">
        <v>12132053.252413301</v>
      </c>
      <c r="AH7" s="1">
        <v>15402266.5425785</v>
      </c>
      <c r="AI7" s="1">
        <v>823332.91771553503</v>
      </c>
      <c r="AJ7" s="1">
        <v>3491046.5075513399</v>
      </c>
      <c r="AK7" s="1">
        <v>2339454.9499335098</v>
      </c>
      <c r="AL7" s="1">
        <v>8590107.2083823793</v>
      </c>
      <c r="AM7" s="1">
        <v>29272272.178874001</v>
      </c>
      <c r="AN7" s="1">
        <v>14864618.5082015</v>
      </c>
      <c r="AO7" s="1">
        <v>31469626.7621626</v>
      </c>
      <c r="AP7" s="1">
        <v>16555700.634631401</v>
      </c>
      <c r="AQ7" s="1">
        <v>747718.20020971203</v>
      </c>
      <c r="AR7" s="1">
        <v>3260908.1115109702</v>
      </c>
      <c r="AS7" s="1">
        <v>7541262.3062927099</v>
      </c>
      <c r="AT7" s="1">
        <v>50733839.991374701</v>
      </c>
      <c r="AU7" s="1">
        <v>52191927.877410501</v>
      </c>
      <c r="AV7" s="1">
        <v>194676203.31934699</v>
      </c>
      <c r="AW7" s="1">
        <v>46118588.616761602</v>
      </c>
      <c r="AX7" s="1">
        <v>222481.210356367</v>
      </c>
      <c r="AY7" s="1">
        <v>779264.65572235303</v>
      </c>
      <c r="AZ7" s="1">
        <v>747157564.01637805</v>
      </c>
      <c r="BA7" s="1">
        <v>353196.838617965</v>
      </c>
      <c r="BB7" s="1">
        <v>1456643962.5811601</v>
      </c>
      <c r="BC7" s="1">
        <v>1973590.43353297</v>
      </c>
      <c r="BD7" s="1">
        <v>173589.915162499</v>
      </c>
      <c r="BE7" s="1">
        <v>1462571.1724522701</v>
      </c>
      <c r="BF7" s="1">
        <v>28280966.372133002</v>
      </c>
      <c r="BG7" s="1">
        <v>156544053.117823</v>
      </c>
      <c r="BH7" s="1">
        <v>5464230541.7036104</v>
      </c>
      <c r="BI7" s="1">
        <v>92930368.9715527</v>
      </c>
      <c r="BJ7" s="1">
        <v>188561.07442880201</v>
      </c>
      <c r="BK7" s="1">
        <v>26545158.724823799</v>
      </c>
      <c r="BL7" s="1">
        <v>3191055.827085</v>
      </c>
      <c r="BM7" s="1">
        <v>1379138.73921771</v>
      </c>
      <c r="BN7" s="1">
        <v>78480000.859953403</v>
      </c>
      <c r="BO7" s="1">
        <v>2688903.57126662</v>
      </c>
      <c r="BP7" s="1">
        <v>10162986.552442599</v>
      </c>
      <c r="BQ7" s="1">
        <v>73762.808354094799</v>
      </c>
      <c r="BR7" s="1">
        <v>3998845.5918328599</v>
      </c>
      <c r="BS7" s="1">
        <v>271103.60053573601</v>
      </c>
      <c r="BT7" s="1">
        <v>6827774.4307176499</v>
      </c>
      <c r="BU7" s="1">
        <v>10338510.9661754</v>
      </c>
      <c r="BV7" s="1">
        <v>9571652.9437737204</v>
      </c>
      <c r="BW7" s="1">
        <v>6550296.6349373497</v>
      </c>
      <c r="BX7" s="1">
        <v>6122651.4505019505</v>
      </c>
      <c r="BY7" s="1">
        <v>33575224.958584704</v>
      </c>
      <c r="BZ7" s="1">
        <v>380037871.039262</v>
      </c>
      <c r="CA7" s="1">
        <v>655434.27486341202</v>
      </c>
      <c r="CB7" s="1">
        <v>13980541.3965795</v>
      </c>
      <c r="CC7" s="1">
        <v>55043.240318525102</v>
      </c>
      <c r="CD7" s="1">
        <v>1797251.49167805</v>
      </c>
      <c r="CE7" s="1">
        <v>16405635.755782301</v>
      </c>
      <c r="CF7" s="1">
        <v>2316356.8616386699</v>
      </c>
      <c r="CG7" s="1">
        <v>5497667.1420993796</v>
      </c>
      <c r="CH7" s="1">
        <v>468863.99127260898</v>
      </c>
      <c r="CI7" s="1">
        <v>11538275.8267208</v>
      </c>
      <c r="CJ7" s="1">
        <v>2272915.9008284602</v>
      </c>
      <c r="CK7" s="1">
        <v>19741578.003414501</v>
      </c>
      <c r="CL7" s="1">
        <v>32390540.885599598</v>
      </c>
      <c r="CM7" s="1">
        <v>4568248.6267827898</v>
      </c>
      <c r="CN7" s="1">
        <v>585275.21678581601</v>
      </c>
      <c r="CO7" s="1">
        <v>92741357.985789403</v>
      </c>
      <c r="CP7" s="1">
        <v>8147244.5526216598</v>
      </c>
      <c r="CQ7" s="1">
        <v>24286150.641264901</v>
      </c>
      <c r="CR7" s="1">
        <v>69138366.877757907</v>
      </c>
      <c r="CS7" s="1">
        <v>1908449.6036231001</v>
      </c>
      <c r="CT7" s="1">
        <v>274496.32439500297</v>
      </c>
      <c r="CU7" s="1">
        <v>146977034.01718</v>
      </c>
      <c r="CV7" s="1">
        <v>508139489.16346103</v>
      </c>
      <c r="CW7" s="1">
        <v>14797117.4023451</v>
      </c>
      <c r="CX7" s="1">
        <v>21474360.1554664</v>
      </c>
      <c r="CY7" s="1">
        <v>401037.06106602598</v>
      </c>
      <c r="CZ7" s="1">
        <v>7108004.68180985</v>
      </c>
      <c r="DA7" s="1">
        <v>43317030.823702298</v>
      </c>
    </row>
    <row r="8" spans="1:105">
      <c r="A8" s="2" t="s">
        <v>12</v>
      </c>
      <c r="B8" t="s">
        <v>232</v>
      </c>
      <c r="C8" s="1">
        <v>1830626.4592174599</v>
      </c>
      <c r="D8" s="1">
        <v>4391600.0893785097</v>
      </c>
      <c r="E8" s="1">
        <v>1710439.57219143</v>
      </c>
      <c r="F8" s="1">
        <v>54816780.210199803</v>
      </c>
      <c r="G8" s="1">
        <v>1339009.8455908501</v>
      </c>
      <c r="H8" s="1">
        <v>551003892.71817803</v>
      </c>
      <c r="I8" s="1">
        <v>990654.99003371305</v>
      </c>
      <c r="J8" s="1">
        <v>3827586.79493711</v>
      </c>
      <c r="K8" s="1">
        <v>28517511.397623599</v>
      </c>
      <c r="L8" s="1">
        <v>4628786.8849156499</v>
      </c>
      <c r="M8" s="1">
        <v>7569530.0156515203</v>
      </c>
      <c r="N8" s="1">
        <v>2272556.5562610002</v>
      </c>
      <c r="O8" s="1">
        <v>537030.01882087498</v>
      </c>
      <c r="P8" s="1">
        <v>4098058.4843691802</v>
      </c>
      <c r="Q8" s="1">
        <v>1039227.56590735</v>
      </c>
      <c r="R8" s="1">
        <v>601459.208045954</v>
      </c>
      <c r="S8" s="1">
        <v>23903610.357688598</v>
      </c>
      <c r="T8" s="1">
        <v>2827727.67911903</v>
      </c>
      <c r="U8" s="1">
        <v>360769.28532387002</v>
      </c>
      <c r="V8" s="1">
        <v>308668.87331546698</v>
      </c>
      <c r="W8" s="1">
        <v>632933.964060219</v>
      </c>
      <c r="X8" s="1">
        <v>49143659.975381598</v>
      </c>
      <c r="Y8" s="1">
        <v>13651674.2727354</v>
      </c>
      <c r="Z8" s="1">
        <v>1140501984.76279</v>
      </c>
      <c r="AA8" s="1">
        <v>1885666.34906541</v>
      </c>
      <c r="AB8" s="1">
        <v>730165.09700345504</v>
      </c>
      <c r="AC8" s="1">
        <v>1309672.5256283199</v>
      </c>
      <c r="AD8" s="1">
        <v>94128.006546793695</v>
      </c>
      <c r="AE8" s="1">
        <v>11425217.8211309</v>
      </c>
      <c r="AF8" s="1">
        <v>71530357.4440303</v>
      </c>
      <c r="AG8" s="1">
        <v>12790860.9606665</v>
      </c>
      <c r="AH8" s="1">
        <v>3892350.9178241901</v>
      </c>
      <c r="AI8" s="1">
        <v>644990.48238780396</v>
      </c>
      <c r="AJ8" s="1">
        <v>13717575.387557801</v>
      </c>
      <c r="AK8" s="1">
        <v>2757645.7867636099</v>
      </c>
      <c r="AL8" s="1">
        <v>3061857.8230682099</v>
      </c>
      <c r="AM8" s="1">
        <v>14528480.893103</v>
      </c>
      <c r="AN8" s="1">
        <v>186536.56683518799</v>
      </c>
      <c r="AO8" s="1">
        <v>30285977.0768696</v>
      </c>
      <c r="AP8" s="1">
        <v>16852794.3664442</v>
      </c>
      <c r="AQ8" s="1">
        <v>712559.69082984899</v>
      </c>
      <c r="AR8" s="1">
        <v>3540824.7604806898</v>
      </c>
      <c r="AS8" s="1">
        <v>466039.47874935798</v>
      </c>
      <c r="AT8" s="1">
        <v>28517511.397623599</v>
      </c>
      <c r="AU8" s="1">
        <v>70274349.306580305</v>
      </c>
      <c r="AV8" s="1">
        <v>142916220.29362699</v>
      </c>
      <c r="AW8" s="1">
        <v>36234005.363817103</v>
      </c>
      <c r="AX8" s="1">
        <v>213993.69583687701</v>
      </c>
      <c r="AY8" s="1">
        <v>217453.891475337</v>
      </c>
      <c r="AZ8" s="1">
        <v>813962475.63442194</v>
      </c>
      <c r="BA8" s="1">
        <v>258205.58067810201</v>
      </c>
      <c r="BB8" s="1">
        <v>951802706.90067005</v>
      </c>
      <c r="BC8" s="1">
        <v>1188633.8734415399</v>
      </c>
      <c r="BD8" s="1">
        <v>393457.82912095299</v>
      </c>
      <c r="BE8" s="1">
        <v>1345515.4918827401</v>
      </c>
      <c r="BF8" s="1">
        <v>12001771.3908925</v>
      </c>
      <c r="BG8" s="1">
        <v>137018210.30506</v>
      </c>
      <c r="BH8" s="1">
        <v>156244464.23883599</v>
      </c>
      <c r="BI8" s="1">
        <v>96892760.957441598</v>
      </c>
      <c r="BJ8" s="1">
        <v>217065.849346595</v>
      </c>
      <c r="BK8" s="1">
        <v>18724764.954335701</v>
      </c>
      <c r="BL8" s="1">
        <v>379467.03298018302</v>
      </c>
      <c r="BM8" s="1">
        <v>172041.77788910901</v>
      </c>
      <c r="BN8" s="1">
        <v>3476407.87696491</v>
      </c>
      <c r="BO8" s="1">
        <v>3393290.3271087199</v>
      </c>
      <c r="BP8" s="1">
        <v>4749280.6071475698</v>
      </c>
      <c r="BQ8" s="1">
        <v>58923.482502391402</v>
      </c>
      <c r="BR8" s="1">
        <v>6402399.0442417599</v>
      </c>
      <c r="BS8" s="1">
        <v>270261.86440096202</v>
      </c>
      <c r="BT8" s="1">
        <v>3799171.0137780602</v>
      </c>
      <c r="BU8" s="1">
        <v>1725093.80303429</v>
      </c>
      <c r="BV8" s="1">
        <v>12579119.741924699</v>
      </c>
      <c r="BW8" s="1">
        <v>12717641.138823099</v>
      </c>
      <c r="BX8" s="1">
        <v>3069003.0299348799</v>
      </c>
      <c r="BY8" s="1">
        <v>6914767.6385479299</v>
      </c>
      <c r="BZ8" s="1">
        <v>438781552.15260398</v>
      </c>
      <c r="CA8" s="1">
        <v>350084.734417692</v>
      </c>
      <c r="CB8" s="1">
        <v>8225991.9150328301</v>
      </c>
      <c r="CC8" s="1">
        <v>56814.690674175901</v>
      </c>
      <c r="CD8" s="1">
        <v>442875.99178935803</v>
      </c>
      <c r="CE8" s="1">
        <v>22155007.124901298</v>
      </c>
      <c r="CF8" s="1">
        <v>34970.531074047904</v>
      </c>
      <c r="CG8" s="1">
        <v>6074609.2088718396</v>
      </c>
      <c r="CH8" s="1">
        <v>215825.986595864</v>
      </c>
      <c r="CI8" s="1">
        <v>10911744.1082379</v>
      </c>
      <c r="CJ8" s="1">
        <v>8089337.6114504198</v>
      </c>
      <c r="CK8" s="1">
        <v>1662532.9383135799</v>
      </c>
      <c r="CL8" s="1">
        <v>872310.23981182405</v>
      </c>
      <c r="CM8" s="1">
        <v>1118514.75727166</v>
      </c>
      <c r="CN8" s="1">
        <v>497450.130923644</v>
      </c>
      <c r="CO8" s="1">
        <v>71657763.168801993</v>
      </c>
      <c r="CP8" s="1">
        <v>5833808.7702136803</v>
      </c>
      <c r="CQ8" s="1">
        <v>5791391.6704077004</v>
      </c>
      <c r="CR8" s="1">
        <v>89967055.864129096</v>
      </c>
      <c r="CS8" s="1">
        <v>3626680.4802345401</v>
      </c>
      <c r="CT8" s="1">
        <v>173629.625545421</v>
      </c>
      <c r="CU8" s="1">
        <v>195487552.564349</v>
      </c>
      <c r="CV8" s="1">
        <v>971037.13842463505</v>
      </c>
      <c r="CW8" s="1">
        <v>1973510.6729206101</v>
      </c>
      <c r="CX8" s="1">
        <v>2680646.7063944498</v>
      </c>
      <c r="CY8" s="1">
        <v>301044.34248727799</v>
      </c>
      <c r="CZ8" s="1">
        <v>6826739.3268638002</v>
      </c>
      <c r="DA8" s="1">
        <v>31700206.978606898</v>
      </c>
    </row>
    <row r="9" spans="1:105">
      <c r="A9" s="2" t="s">
        <v>13</v>
      </c>
      <c r="B9" t="s">
        <v>232</v>
      </c>
      <c r="C9" s="1">
        <v>3165214.994771</v>
      </c>
      <c r="D9" s="1">
        <v>4145391.06718338</v>
      </c>
      <c r="E9" s="1">
        <v>1104923.1475152799</v>
      </c>
      <c r="F9" s="1">
        <v>54919144.454462498</v>
      </c>
      <c r="G9" s="1">
        <v>846963.82230574102</v>
      </c>
      <c r="H9" s="1">
        <v>483783763.84910798</v>
      </c>
      <c r="I9" s="1">
        <v>882019.32428402198</v>
      </c>
      <c r="J9" s="1">
        <v>4019667.85359838</v>
      </c>
      <c r="K9" s="1">
        <v>67584755.891230404</v>
      </c>
      <c r="L9" s="1">
        <v>3607975.3908621198</v>
      </c>
      <c r="M9" s="1">
        <v>5997407.9065080499</v>
      </c>
      <c r="N9" s="1">
        <v>2928110.5596451</v>
      </c>
      <c r="O9" s="1">
        <v>497386.12424277398</v>
      </c>
      <c r="P9" s="1">
        <v>5745502.5530925598</v>
      </c>
      <c r="Q9" s="1">
        <v>1393201.0993760701</v>
      </c>
      <c r="R9" s="1">
        <v>194950.737540156</v>
      </c>
      <c r="S9" s="1">
        <v>33148650.567602001</v>
      </c>
      <c r="T9" s="1">
        <v>1647060.7930646699</v>
      </c>
      <c r="U9" s="1">
        <v>464198.76552624197</v>
      </c>
      <c r="V9" s="1">
        <v>177931.90281833499</v>
      </c>
      <c r="W9" s="1">
        <v>1419567.29124161</v>
      </c>
      <c r="X9" s="1">
        <v>51541541.176763698</v>
      </c>
      <c r="Y9" s="1">
        <v>7978746.1635081396</v>
      </c>
      <c r="Z9" s="1">
        <v>1084893817.9144599</v>
      </c>
      <c r="AA9" s="1">
        <v>486146.80044453999</v>
      </c>
      <c r="AB9" s="1">
        <v>8556324.8557811901</v>
      </c>
      <c r="AC9" s="1">
        <v>1837377.5189540901</v>
      </c>
      <c r="AD9" s="1">
        <v>85825.081756794505</v>
      </c>
      <c r="AE9" s="1">
        <v>21817088.357472599</v>
      </c>
      <c r="AF9" s="1">
        <v>243652458.914709</v>
      </c>
      <c r="AG9" s="1">
        <v>19180035.129248101</v>
      </c>
      <c r="AH9" s="1">
        <v>8517391.8656602502</v>
      </c>
      <c r="AI9" s="1">
        <v>1127080.0697344099</v>
      </c>
      <c r="AJ9" s="1">
        <v>7067352.92296106</v>
      </c>
      <c r="AK9" s="1">
        <v>21578152.8942477</v>
      </c>
      <c r="AL9" s="1">
        <v>3208424.9049871098</v>
      </c>
      <c r="AM9" s="1">
        <v>20534438.390863501</v>
      </c>
      <c r="AN9" s="1">
        <v>1042143.65151177</v>
      </c>
      <c r="AO9" s="1">
        <v>28385187.143358301</v>
      </c>
      <c r="AP9" s="1">
        <v>26522945.221279301</v>
      </c>
      <c r="AQ9" s="1">
        <v>646525.55150610604</v>
      </c>
      <c r="AR9" s="1">
        <v>5281274.2957739998</v>
      </c>
      <c r="AS9" s="1">
        <v>526870.68506450101</v>
      </c>
      <c r="AT9" s="1">
        <v>70800372.060862795</v>
      </c>
      <c r="AU9" s="1">
        <v>89256933.433915704</v>
      </c>
      <c r="AV9" s="1">
        <v>165818884.980048</v>
      </c>
      <c r="AW9" s="1">
        <v>36075018.378432602</v>
      </c>
      <c r="AX9" s="1">
        <v>176530.45957865901</v>
      </c>
      <c r="AY9" s="1">
        <v>825384.58075599396</v>
      </c>
      <c r="AZ9" s="1">
        <v>976844284.87609196</v>
      </c>
      <c r="BA9" s="1">
        <v>277564.89175483299</v>
      </c>
      <c r="BB9" s="1">
        <v>1630815308.0075901</v>
      </c>
      <c r="BC9" s="1">
        <v>1337556.609807</v>
      </c>
      <c r="BD9" s="1">
        <v>153543.27717308101</v>
      </c>
      <c r="BE9" s="1">
        <v>1732864.04347839</v>
      </c>
      <c r="BF9" s="1">
        <v>11938913.898847099</v>
      </c>
      <c r="BG9" s="1">
        <v>157738204.22851801</v>
      </c>
      <c r="BH9" s="1">
        <v>224393811.77142599</v>
      </c>
      <c r="BI9" s="1">
        <v>128478877.250517</v>
      </c>
      <c r="BJ9" s="1">
        <v>252168.471887219</v>
      </c>
      <c r="BK9" s="1">
        <v>21240494.6834669</v>
      </c>
      <c r="BL9" s="1">
        <v>444199.72599535401</v>
      </c>
      <c r="BM9" s="1">
        <v>181508.65207210201</v>
      </c>
      <c r="BN9" s="1">
        <v>4298586.8009786503</v>
      </c>
      <c r="BO9" s="1">
        <v>5169034.2618876901</v>
      </c>
      <c r="BP9" s="1">
        <v>8201834.2885010904</v>
      </c>
      <c r="BQ9" s="1">
        <v>65388.870410014802</v>
      </c>
      <c r="BR9" s="1">
        <v>410297.62366890401</v>
      </c>
      <c r="BS9" s="1">
        <v>140921.47204051801</v>
      </c>
      <c r="BT9" s="1">
        <v>5081682.3578700796</v>
      </c>
      <c r="BU9" s="1">
        <v>4337096.2271095198</v>
      </c>
      <c r="BV9" s="1">
        <v>17474217.9751761</v>
      </c>
      <c r="BW9" s="1">
        <v>49298301.494245201</v>
      </c>
      <c r="BX9" s="1">
        <v>2516587.8829947198</v>
      </c>
      <c r="BY9" s="1">
        <v>10084123.474761801</v>
      </c>
      <c r="BZ9" s="1">
        <v>470692859.93319398</v>
      </c>
      <c r="CA9" s="1">
        <v>395673.67474822898</v>
      </c>
      <c r="CB9" s="1">
        <v>31647049.804177798</v>
      </c>
      <c r="CC9" s="1">
        <v>43380.853304958997</v>
      </c>
      <c r="CD9" s="1">
        <v>472409.637690117</v>
      </c>
      <c r="CE9" s="1">
        <v>17892636.6494646</v>
      </c>
      <c r="CF9" s="1">
        <v>30998.219068934799</v>
      </c>
      <c r="CG9" s="1">
        <v>5165591.0155919697</v>
      </c>
      <c r="CH9" s="1">
        <v>245324.13684774499</v>
      </c>
      <c r="CI9" s="1">
        <v>6014816.3433668399</v>
      </c>
      <c r="CJ9" s="1">
        <v>5348377.0937394798</v>
      </c>
      <c r="CK9" s="1">
        <v>1937933.7000452899</v>
      </c>
      <c r="CL9" s="1">
        <v>652069.301111507</v>
      </c>
      <c r="CM9" s="1">
        <v>1918001.8314060101</v>
      </c>
      <c r="CN9" s="1">
        <v>709262.53235647897</v>
      </c>
      <c r="CO9" s="1">
        <v>52654320.689172097</v>
      </c>
      <c r="CP9" s="1">
        <v>5998492.6148706498</v>
      </c>
      <c r="CQ9" s="1">
        <v>2427434.0760123101</v>
      </c>
      <c r="CR9" s="1">
        <v>86284101.140912294</v>
      </c>
      <c r="CS9" s="1">
        <v>4986426.0073007504</v>
      </c>
      <c r="CT9" s="1">
        <v>262616.79479579697</v>
      </c>
      <c r="CU9" s="1">
        <v>251139114.92006901</v>
      </c>
      <c r="CV9" s="1">
        <v>1966180.76588653</v>
      </c>
      <c r="CW9" s="1">
        <v>2264870.2564706998</v>
      </c>
      <c r="CX9" s="1">
        <v>4539930.7723815003</v>
      </c>
      <c r="CY9" s="1">
        <v>400019.68067247601</v>
      </c>
      <c r="CZ9" s="1">
        <v>7210780.7267203396</v>
      </c>
      <c r="DA9" s="1">
        <v>42187287.793511398</v>
      </c>
    </row>
    <row r="10" spans="1:105">
      <c r="A10" s="2" t="s">
        <v>14</v>
      </c>
      <c r="B10" t="s">
        <v>232</v>
      </c>
      <c r="C10" s="1">
        <v>7287742.2168462398</v>
      </c>
      <c r="D10" s="1">
        <v>2747406.9852475501</v>
      </c>
      <c r="E10" s="1">
        <v>2065098.0023302301</v>
      </c>
      <c r="F10" s="1">
        <v>62820807.334391497</v>
      </c>
      <c r="G10" s="1">
        <v>1444559.6447008001</v>
      </c>
      <c r="H10" s="1">
        <v>1092680051.2072201</v>
      </c>
      <c r="I10" s="1">
        <v>906921.19549100799</v>
      </c>
      <c r="J10" s="1">
        <v>4100126.7821102999</v>
      </c>
      <c r="K10" s="1">
        <v>31121518.746990401</v>
      </c>
      <c r="L10" s="1">
        <v>4679898.53856022</v>
      </c>
      <c r="M10" s="1">
        <v>8297728.5252570901</v>
      </c>
      <c r="N10" s="1">
        <v>5438255.7801383398</v>
      </c>
      <c r="O10" s="1">
        <v>755326.67353072297</v>
      </c>
      <c r="P10" s="1">
        <v>4970880.8221514896</v>
      </c>
      <c r="Q10" s="1">
        <v>1844764.09003923</v>
      </c>
      <c r="R10" s="1">
        <v>750770.80398270499</v>
      </c>
      <c r="S10" s="1">
        <v>13718615.1059554</v>
      </c>
      <c r="T10" s="1">
        <v>927866.38057797402</v>
      </c>
      <c r="U10" s="1">
        <v>301025.69683486101</v>
      </c>
      <c r="V10" s="1">
        <v>21019156.127122901</v>
      </c>
      <c r="W10" s="1">
        <v>892374.40548244701</v>
      </c>
      <c r="X10" s="1">
        <v>43236841.396748297</v>
      </c>
      <c r="Y10" s="1">
        <v>565871671.37648404</v>
      </c>
      <c r="Z10" s="1">
        <v>877823223.32209301</v>
      </c>
      <c r="AA10" s="1">
        <v>738107.14380872296</v>
      </c>
      <c r="AB10" s="1">
        <v>1084450.7324674099</v>
      </c>
      <c r="AC10" s="1">
        <v>2042055.3287408601</v>
      </c>
      <c r="AD10" s="1">
        <v>93898.676805224895</v>
      </c>
      <c r="AE10" s="1">
        <v>12461446.179019799</v>
      </c>
      <c r="AF10" s="1">
        <v>64438365.686814301</v>
      </c>
      <c r="AG10" s="1">
        <v>6560428.8199620703</v>
      </c>
      <c r="AH10" s="1">
        <v>58096.9567742418</v>
      </c>
      <c r="AI10" s="1">
        <v>1463677.1949485</v>
      </c>
      <c r="AJ10" s="1">
        <v>4326637.7777192602</v>
      </c>
      <c r="AK10" s="1">
        <v>383359.501139928</v>
      </c>
      <c r="AL10" s="1">
        <v>7243125.1993982298</v>
      </c>
      <c r="AM10" s="1">
        <v>21898129.0064524</v>
      </c>
      <c r="AN10" s="1">
        <v>129254.075521445</v>
      </c>
      <c r="AO10" s="1">
        <v>33057126.063004099</v>
      </c>
      <c r="AP10" s="1">
        <v>36530842.1714352</v>
      </c>
      <c r="AQ10" s="1">
        <v>297728.25106874201</v>
      </c>
      <c r="AR10" s="1">
        <v>3582246.2718843999</v>
      </c>
      <c r="AS10" s="1">
        <v>1752406.8449062901</v>
      </c>
      <c r="AT10" s="1">
        <v>13268899.5308218</v>
      </c>
      <c r="AU10" s="1">
        <v>50488643.780790299</v>
      </c>
      <c r="AV10" s="1">
        <v>146811314.941892</v>
      </c>
      <c r="AW10" s="1">
        <v>31167795.788312599</v>
      </c>
      <c r="AX10" s="1">
        <v>266333.64481138199</v>
      </c>
      <c r="AY10" s="1">
        <v>1184816.11569687</v>
      </c>
      <c r="AZ10" s="1">
        <v>1117560989.5750501</v>
      </c>
      <c r="BA10" s="1">
        <v>24747024.373856202</v>
      </c>
      <c r="BB10" s="1">
        <v>1362311218.3586099</v>
      </c>
      <c r="BC10" s="1">
        <v>1945607.0257785199</v>
      </c>
      <c r="BD10" s="1">
        <v>167668.58027828499</v>
      </c>
      <c r="BE10" s="1">
        <v>1386801.6448760401</v>
      </c>
      <c r="BF10" s="1">
        <v>16049524.708249399</v>
      </c>
      <c r="BG10" s="1">
        <v>220716332.807482</v>
      </c>
      <c r="BH10" s="1">
        <v>139134108.27869299</v>
      </c>
      <c r="BI10" s="1">
        <v>62375421.031347796</v>
      </c>
      <c r="BJ10" s="1">
        <v>115562.39698417101</v>
      </c>
      <c r="BK10" s="1">
        <v>16746663.622788301</v>
      </c>
      <c r="BL10" s="1">
        <v>100908.977049747</v>
      </c>
      <c r="BM10" s="1">
        <v>69606.770702275593</v>
      </c>
      <c r="BN10" s="1">
        <v>1986493.6838018601</v>
      </c>
      <c r="BO10" s="1">
        <v>1614609.4653720299</v>
      </c>
      <c r="BP10" s="1">
        <v>3660695.6557520898</v>
      </c>
      <c r="BQ10" s="1">
        <v>75257.2231324616</v>
      </c>
      <c r="BR10" s="1">
        <v>267797.524610997</v>
      </c>
      <c r="BS10" s="1">
        <v>139011.37135633201</v>
      </c>
      <c r="BT10" s="1">
        <v>6295205.2916602697</v>
      </c>
      <c r="BU10" s="1">
        <v>455204.47693947901</v>
      </c>
      <c r="BV10" s="1">
        <v>2038732.8733745499</v>
      </c>
      <c r="BW10" s="1">
        <v>5534981.31104015</v>
      </c>
      <c r="BX10" s="1">
        <v>5524659.96880305</v>
      </c>
      <c r="BY10" s="1">
        <v>2815425.1476000799</v>
      </c>
      <c r="BZ10" s="1">
        <v>262678554.19359699</v>
      </c>
      <c r="CA10" s="1">
        <v>3757297.78171892</v>
      </c>
      <c r="CB10" s="1">
        <v>2991437.05934085</v>
      </c>
      <c r="CC10" s="1">
        <v>136985.70094035199</v>
      </c>
      <c r="CD10" s="1">
        <v>5065234.3334760703</v>
      </c>
      <c r="CE10" s="1">
        <v>18426029.425987601</v>
      </c>
      <c r="CF10" s="1">
        <v>289193.25061276898</v>
      </c>
      <c r="CG10" s="1">
        <v>3650263.1102644899</v>
      </c>
      <c r="CH10" s="1">
        <v>210506.40276101499</v>
      </c>
      <c r="CI10" s="1">
        <v>8326781.8892296804</v>
      </c>
      <c r="CJ10" s="1">
        <v>4927098.9809620902</v>
      </c>
      <c r="CK10" s="1">
        <v>151847.78588297599</v>
      </c>
      <c r="CL10" s="1">
        <v>10112369.737867</v>
      </c>
      <c r="CM10" s="1">
        <v>1045808.91780488</v>
      </c>
      <c r="CN10" s="1">
        <v>9115579.3381535392</v>
      </c>
      <c r="CO10" s="1">
        <v>95930435.759015903</v>
      </c>
      <c r="CP10" s="1">
        <v>8834898.2641472798</v>
      </c>
      <c r="CQ10" s="1">
        <v>9625483.0867621396</v>
      </c>
      <c r="CR10" s="1">
        <v>80148559.042345196</v>
      </c>
      <c r="CS10" s="1">
        <v>2629552.9751272402</v>
      </c>
      <c r="CT10" s="1">
        <v>300965.15995968803</v>
      </c>
      <c r="CU10" s="1">
        <v>16357425.1860593</v>
      </c>
      <c r="CV10" s="1">
        <v>50802319.195558302</v>
      </c>
      <c r="CW10" s="1">
        <v>8854419.0513898209</v>
      </c>
      <c r="CX10" s="1">
        <v>3991383.8801046801</v>
      </c>
      <c r="CY10" s="1">
        <v>275878.65081824199</v>
      </c>
      <c r="CZ10" s="1">
        <v>9933454.2905719504</v>
      </c>
      <c r="DA10" s="1">
        <v>36677689.157325201</v>
      </c>
    </row>
    <row r="11" spans="1:105">
      <c r="A11" s="2" t="s">
        <v>15</v>
      </c>
      <c r="B11" t="s">
        <v>233</v>
      </c>
      <c r="C11" s="1">
        <v>3662418.3619409502</v>
      </c>
      <c r="D11" s="1">
        <v>3775133.7755263401</v>
      </c>
      <c r="E11" s="1">
        <v>8331188.9041259</v>
      </c>
      <c r="F11" s="1">
        <v>46648031.042706899</v>
      </c>
      <c r="G11" s="1">
        <v>4248528.3999029202</v>
      </c>
      <c r="H11" s="1">
        <v>96888343.038318306</v>
      </c>
      <c r="I11" s="1">
        <v>198405473.80647901</v>
      </c>
      <c r="J11" s="1">
        <v>4393444.32488879</v>
      </c>
      <c r="K11" s="1">
        <v>28259784.442142799</v>
      </c>
      <c r="L11" s="1">
        <v>3555942.7994054598</v>
      </c>
      <c r="M11" s="1">
        <v>5188190.57205748</v>
      </c>
      <c r="N11" s="1">
        <v>2224356.5696565299</v>
      </c>
      <c r="O11" s="1">
        <v>684321.29550114099</v>
      </c>
      <c r="P11" s="1">
        <v>4956417.3969735997</v>
      </c>
      <c r="Q11" s="1">
        <v>1320230.0193264</v>
      </c>
      <c r="R11" s="1">
        <v>7807957.4605044601</v>
      </c>
      <c r="S11" s="1">
        <v>1380270.9057141801</v>
      </c>
      <c r="T11" s="1">
        <v>656453.92694949801</v>
      </c>
      <c r="U11" s="1">
        <v>653526.16895676102</v>
      </c>
      <c r="V11" s="1">
        <v>155171.504540302</v>
      </c>
      <c r="W11" s="1">
        <v>770688.59068054403</v>
      </c>
      <c r="X11" s="1">
        <v>33071056.2841908</v>
      </c>
      <c r="Y11" s="1">
        <v>1968219.53599994</v>
      </c>
      <c r="Z11" s="1">
        <v>1178620379.96807</v>
      </c>
      <c r="AA11" s="1">
        <v>446969.61415553902</v>
      </c>
      <c r="AB11" s="1">
        <v>50840926.4320103</v>
      </c>
      <c r="AC11" s="1">
        <v>2181457.7490785699</v>
      </c>
      <c r="AD11" s="1">
        <v>1302948.8899743301</v>
      </c>
      <c r="AE11" s="1">
        <v>7983107.7614274798</v>
      </c>
      <c r="AF11" s="1">
        <v>81098150.937127203</v>
      </c>
      <c r="AG11" s="1">
        <v>7020534.72528785</v>
      </c>
      <c r="AH11" s="1">
        <v>350801.95985487802</v>
      </c>
      <c r="AI11" s="1">
        <v>1109072.0477056301</v>
      </c>
      <c r="AJ11" s="1">
        <v>895714.84027996205</v>
      </c>
      <c r="AK11" s="1">
        <v>2208267.24520711</v>
      </c>
      <c r="AL11" s="1">
        <v>380344.39895074599</v>
      </c>
      <c r="AM11" s="1">
        <v>21362331.024709001</v>
      </c>
      <c r="AN11" s="1">
        <v>2426272.2461899598</v>
      </c>
      <c r="AO11" s="1">
        <v>21543479.074461602</v>
      </c>
      <c r="AP11" s="1">
        <v>26281121.065574002</v>
      </c>
      <c r="AQ11" s="1">
        <v>2551869.48841456</v>
      </c>
      <c r="AR11" s="1">
        <v>2970577.9057908198</v>
      </c>
      <c r="AS11" s="1">
        <v>1275263.40300142</v>
      </c>
      <c r="AT11" s="1">
        <v>25533082.854965702</v>
      </c>
      <c r="AU11" s="1">
        <v>60799456.801003799</v>
      </c>
      <c r="AV11" s="1">
        <v>119745243.908245</v>
      </c>
      <c r="AW11" s="1">
        <v>27698777.330611601</v>
      </c>
      <c r="AX11" s="1">
        <v>180972.822623669</v>
      </c>
      <c r="AY11" s="1">
        <v>1508132.5025154899</v>
      </c>
      <c r="AZ11" s="1">
        <v>1208869684.6382401</v>
      </c>
      <c r="BA11" s="1">
        <v>31998607.222282</v>
      </c>
      <c r="BB11" s="1">
        <v>1175213389.1489501</v>
      </c>
      <c r="BC11" s="1">
        <v>1047022.13159528</v>
      </c>
      <c r="BD11" s="1">
        <v>65200.880208059498</v>
      </c>
      <c r="BE11" s="1">
        <v>3729489.4912217599</v>
      </c>
      <c r="BF11" s="1">
        <v>19421995.3765448</v>
      </c>
      <c r="BG11" s="1">
        <v>106235204.653336</v>
      </c>
      <c r="BH11" s="1">
        <v>4184600125.3590002</v>
      </c>
      <c r="BI11" s="1">
        <v>73126654.008899495</v>
      </c>
      <c r="BJ11" s="1">
        <v>229984.458812364</v>
      </c>
      <c r="BK11" s="1">
        <v>14403745.3138783</v>
      </c>
      <c r="BL11" s="1">
        <v>68009.592921621603</v>
      </c>
      <c r="BM11" s="1">
        <v>2483644.8631942701</v>
      </c>
      <c r="BN11" s="1">
        <v>2491943.8110579499</v>
      </c>
      <c r="BO11" s="1">
        <v>794194.47478096804</v>
      </c>
      <c r="BP11" s="1">
        <v>2918055.0105902599</v>
      </c>
      <c r="BQ11" s="1">
        <v>1494145.95353131</v>
      </c>
      <c r="BR11" s="1">
        <v>1326736.4598252601</v>
      </c>
      <c r="BS11" s="1">
        <v>20338678.439171299</v>
      </c>
      <c r="BT11" s="1">
        <v>6215632.6145337597</v>
      </c>
      <c r="BU11" s="1">
        <v>2260250.49595983</v>
      </c>
      <c r="BV11" s="1">
        <v>430760.637280336</v>
      </c>
      <c r="BW11" s="1">
        <v>9014379.6039450392</v>
      </c>
      <c r="BX11" s="1">
        <v>2066859.3376978401</v>
      </c>
      <c r="BY11" s="1">
        <v>8372514.3863566099</v>
      </c>
      <c r="BZ11" s="1">
        <v>367811358.09240198</v>
      </c>
      <c r="CA11" s="1">
        <v>301284.77542837098</v>
      </c>
      <c r="CB11" s="1">
        <v>167792997.404515</v>
      </c>
      <c r="CC11" s="1">
        <v>178708.835695944</v>
      </c>
      <c r="CD11" s="1">
        <v>464275.60317795502</v>
      </c>
      <c r="CE11" s="1">
        <v>21592898.5430547</v>
      </c>
      <c r="CF11" s="1">
        <v>34493.901222016502</v>
      </c>
      <c r="CG11" s="1">
        <v>10420486.0795752</v>
      </c>
      <c r="CH11" s="1">
        <v>311016.17682623799</v>
      </c>
      <c r="CI11" s="1">
        <v>3555277.8356560799</v>
      </c>
      <c r="CJ11" s="1">
        <v>1234830.86024454</v>
      </c>
      <c r="CK11" s="1">
        <v>2588830.3711701301</v>
      </c>
      <c r="CL11" s="1">
        <v>760866.10122865904</v>
      </c>
      <c r="CM11" s="1">
        <v>1450473.1589418501</v>
      </c>
      <c r="CN11" s="1">
        <v>6095424.2884202097</v>
      </c>
      <c r="CO11" s="1">
        <v>52854314.277475402</v>
      </c>
      <c r="CP11" s="1">
        <v>5915559.9148562597</v>
      </c>
      <c r="CQ11" s="1">
        <v>3669687.20759658</v>
      </c>
      <c r="CR11" s="1">
        <v>94971160.639188796</v>
      </c>
      <c r="CS11" s="1">
        <v>6056270.3378464999</v>
      </c>
      <c r="CT11" s="1">
        <v>2014775.14479788</v>
      </c>
      <c r="CU11" s="1">
        <v>12381010.7423405</v>
      </c>
      <c r="CV11" s="1">
        <v>1326911.4940241801</v>
      </c>
      <c r="CW11" s="1">
        <v>507148.42006111902</v>
      </c>
      <c r="CX11" s="1">
        <v>2069535.2228957401</v>
      </c>
      <c r="CY11" s="1">
        <v>3608126.5533274501</v>
      </c>
      <c r="CZ11" s="1">
        <v>6007270.4581570895</v>
      </c>
      <c r="DA11" s="1">
        <v>34975010.511782996</v>
      </c>
    </row>
    <row r="12" spans="1:105">
      <c r="A12" s="2" t="s">
        <v>16</v>
      </c>
      <c r="B12" t="s">
        <v>233</v>
      </c>
      <c r="C12" s="1">
        <v>4321471.78463786</v>
      </c>
      <c r="D12" s="1">
        <v>3547996.7685724101</v>
      </c>
      <c r="E12" s="1">
        <v>3284465.6895492999</v>
      </c>
      <c r="F12" s="1">
        <v>45090913.359678</v>
      </c>
      <c r="G12" s="1">
        <v>2424088.46533034</v>
      </c>
      <c r="H12" s="1">
        <v>1441621464.3700299</v>
      </c>
      <c r="I12" s="1">
        <v>453932604.02150398</v>
      </c>
      <c r="J12" s="1">
        <v>3565846.77795558</v>
      </c>
      <c r="K12" s="1">
        <v>57188790.194501102</v>
      </c>
      <c r="L12" s="1">
        <v>4292774.6731586503</v>
      </c>
      <c r="M12" s="1">
        <v>7070163.4367060298</v>
      </c>
      <c r="N12" s="1">
        <v>8284672.3620464997</v>
      </c>
      <c r="O12" s="1">
        <v>571303.58706929197</v>
      </c>
      <c r="P12" s="1">
        <v>2834934.4720209101</v>
      </c>
      <c r="Q12" s="1">
        <v>1275315.1503183499</v>
      </c>
      <c r="R12" s="1">
        <v>5308855.7249043901</v>
      </c>
      <c r="S12" s="1">
        <v>1224627.4084763499</v>
      </c>
      <c r="T12" s="1">
        <v>741855.60151959199</v>
      </c>
      <c r="U12" s="1">
        <v>2069130.72917103</v>
      </c>
      <c r="V12" s="1">
        <v>63549.821817230099</v>
      </c>
      <c r="W12" s="1">
        <v>695145.69755273196</v>
      </c>
      <c r="X12" s="1">
        <v>15389230.270602301</v>
      </c>
      <c r="Y12" s="1">
        <v>2355431.3804612402</v>
      </c>
      <c r="Z12" s="1">
        <v>932483506.02367604</v>
      </c>
      <c r="AA12" s="1">
        <v>363933.88176534203</v>
      </c>
      <c r="AB12" s="1">
        <v>52306091.692527801</v>
      </c>
      <c r="AC12" s="1">
        <v>8410998.1543814391</v>
      </c>
      <c r="AD12" s="1">
        <v>13358324.2256655</v>
      </c>
      <c r="AE12" s="1">
        <v>11438587.423640599</v>
      </c>
      <c r="AF12" s="1">
        <v>94023768.486671701</v>
      </c>
      <c r="AG12" s="1">
        <v>9958507.7309635505</v>
      </c>
      <c r="AH12" s="1">
        <v>2478581.8516460098</v>
      </c>
      <c r="AI12" s="1">
        <v>228733.199831982</v>
      </c>
      <c r="AJ12" s="1">
        <v>2596258.9264361099</v>
      </c>
      <c r="AK12" s="1">
        <v>1345983.7602755199</v>
      </c>
      <c r="AL12" s="1">
        <v>672515.88312297396</v>
      </c>
      <c r="AM12" s="1">
        <v>24914449.105774</v>
      </c>
      <c r="AN12" s="1">
        <v>2599570.3167333398</v>
      </c>
      <c r="AO12" s="1">
        <v>25488606.7427762</v>
      </c>
      <c r="AP12" s="1">
        <v>27570304.615713999</v>
      </c>
      <c r="AQ12" s="1">
        <v>8360236.3956815396</v>
      </c>
      <c r="AR12" s="1">
        <v>2679401.8692196398</v>
      </c>
      <c r="AS12" s="1">
        <v>2545751.6212330302</v>
      </c>
      <c r="AT12" s="1">
        <v>19576925.699219901</v>
      </c>
      <c r="AU12" s="1">
        <v>55471589.970117398</v>
      </c>
      <c r="AV12" s="1">
        <v>195300689.55720401</v>
      </c>
      <c r="AW12" s="1">
        <v>23555553.234427199</v>
      </c>
      <c r="AX12" s="1">
        <v>280693.93334455998</v>
      </c>
      <c r="AY12" s="1">
        <v>8357909.3672754997</v>
      </c>
      <c r="AZ12" s="1">
        <v>1091482078.9177899</v>
      </c>
      <c r="BA12" s="1">
        <v>96322813.427753896</v>
      </c>
      <c r="BB12" s="1">
        <v>1049293930.7678699</v>
      </c>
      <c r="BC12" s="1">
        <v>2110214.5647060298</v>
      </c>
      <c r="BD12" s="1">
        <v>54123.206093498702</v>
      </c>
      <c r="BE12" s="1">
        <v>4101890.7369022099</v>
      </c>
      <c r="BF12" s="1">
        <v>96412565.2379466</v>
      </c>
      <c r="BG12" s="1">
        <v>87736498.481425405</v>
      </c>
      <c r="BH12" s="1">
        <v>4365337983.2404203</v>
      </c>
      <c r="BI12" s="1">
        <v>70067262.199112698</v>
      </c>
      <c r="BJ12" s="1">
        <v>195298.916514749</v>
      </c>
      <c r="BK12" s="1">
        <v>28911667.5919315</v>
      </c>
      <c r="BL12" s="1">
        <v>608810.36041900003</v>
      </c>
      <c r="BM12" s="1">
        <v>3696586.2923693098</v>
      </c>
      <c r="BN12" s="1">
        <v>9265361.7900461107</v>
      </c>
      <c r="BO12" s="1">
        <v>1616771.87073666</v>
      </c>
      <c r="BP12" s="1">
        <v>14747097.838503901</v>
      </c>
      <c r="BQ12" s="1">
        <v>1221055.3351261001</v>
      </c>
      <c r="BR12" s="1">
        <v>517270.684687423</v>
      </c>
      <c r="BS12" s="1">
        <v>43243675.753670096</v>
      </c>
      <c r="BT12" s="1">
        <v>17078546.774749599</v>
      </c>
      <c r="BU12" s="1">
        <v>48599374.272675999</v>
      </c>
      <c r="BV12" s="1">
        <v>1920218.03628801</v>
      </c>
      <c r="BW12" s="1">
        <v>15591631.9084944</v>
      </c>
      <c r="BX12" s="1">
        <v>4731029.7235713201</v>
      </c>
      <c r="BY12" s="1">
        <v>10180681.7409245</v>
      </c>
      <c r="BZ12" s="1">
        <v>299547622.90816897</v>
      </c>
      <c r="CA12" s="1">
        <v>270716.07999714097</v>
      </c>
      <c r="CB12" s="1">
        <v>20136827.609914199</v>
      </c>
      <c r="CC12" s="1">
        <v>329128.84607574902</v>
      </c>
      <c r="CD12" s="1">
        <v>272606.945430825</v>
      </c>
      <c r="CE12" s="1">
        <v>20677783.8121024</v>
      </c>
      <c r="CF12" s="1">
        <v>34127.685458780397</v>
      </c>
      <c r="CG12" s="1">
        <v>7208383.0452570198</v>
      </c>
      <c r="CH12" s="1">
        <v>1504807.9899554099</v>
      </c>
      <c r="CI12" s="1">
        <v>504862.22654811997</v>
      </c>
      <c r="CJ12" s="1">
        <v>1476600.2663778099</v>
      </c>
      <c r="CK12" s="1">
        <v>8065778.11742815</v>
      </c>
      <c r="CL12" s="1">
        <v>607199.49033008097</v>
      </c>
      <c r="CM12" s="1">
        <v>2501833.7525431798</v>
      </c>
      <c r="CN12" s="1">
        <v>7843780.8223021403</v>
      </c>
      <c r="CO12" s="1">
        <v>109688591.641582</v>
      </c>
      <c r="CP12" s="1">
        <v>9727905.0440755207</v>
      </c>
      <c r="CQ12" s="1">
        <v>45907837.372474499</v>
      </c>
      <c r="CR12" s="1">
        <v>123643264.60301401</v>
      </c>
      <c r="CS12" s="1">
        <v>4455081.7613815796</v>
      </c>
      <c r="CT12" s="1">
        <v>184675.85439010401</v>
      </c>
      <c r="CU12" s="1">
        <v>20561439.6640612</v>
      </c>
      <c r="CV12" s="1">
        <v>1323689.81915684</v>
      </c>
      <c r="CW12" s="1">
        <v>1246134.4330613399</v>
      </c>
      <c r="CX12" s="1">
        <v>3512339.6608524099</v>
      </c>
      <c r="CY12" s="1">
        <v>4213989.3060566699</v>
      </c>
      <c r="CZ12" s="1">
        <v>9535315.3847707808</v>
      </c>
      <c r="DA12" s="1">
        <v>47179586.903648898</v>
      </c>
    </row>
    <row r="13" spans="1:105">
      <c r="A13" s="2" t="s">
        <v>17</v>
      </c>
      <c r="B13" t="s">
        <v>233</v>
      </c>
      <c r="C13" s="1">
        <v>4613620.3009993499</v>
      </c>
      <c r="D13" s="1">
        <v>2549356.3657035199</v>
      </c>
      <c r="E13" s="1">
        <v>6790400.9439834002</v>
      </c>
      <c r="F13" s="1">
        <v>40680194.848269597</v>
      </c>
      <c r="G13" s="1">
        <v>31425719.638112299</v>
      </c>
      <c r="H13" s="1">
        <v>932887498.88284004</v>
      </c>
      <c r="I13" s="1">
        <v>303786559.63412201</v>
      </c>
      <c r="J13" s="1">
        <v>2132042.06952726</v>
      </c>
      <c r="K13" s="1">
        <v>35452441.505864702</v>
      </c>
      <c r="L13" s="1">
        <v>3189721.4940420799</v>
      </c>
      <c r="M13" s="1">
        <v>5097977.1397935804</v>
      </c>
      <c r="N13" s="1">
        <v>13047459.487720899</v>
      </c>
      <c r="O13" s="1">
        <v>361191.51459033898</v>
      </c>
      <c r="P13" s="1">
        <v>1830502.39867749</v>
      </c>
      <c r="Q13" s="1">
        <v>1211066.23147298</v>
      </c>
      <c r="R13" s="1">
        <v>27047348.7252868</v>
      </c>
      <c r="S13" s="1">
        <v>9644170.0553902108</v>
      </c>
      <c r="T13" s="1">
        <v>413681.66180192999</v>
      </c>
      <c r="U13" s="1">
        <v>3147589.6791060301</v>
      </c>
      <c r="V13" s="1">
        <v>78913.742807360497</v>
      </c>
      <c r="W13" s="1">
        <v>895958.010796619</v>
      </c>
      <c r="X13" s="1">
        <v>17662601.531920299</v>
      </c>
      <c r="Y13" s="1">
        <v>2223583.50814232</v>
      </c>
      <c r="Z13" s="1">
        <v>1019381797.12024</v>
      </c>
      <c r="AA13" s="1">
        <v>2891853.2258007699</v>
      </c>
      <c r="AB13" s="1">
        <v>55430049.531221002</v>
      </c>
      <c r="AC13" s="1">
        <v>1432747.2847929101</v>
      </c>
      <c r="AD13" s="1">
        <v>14924895.2644928</v>
      </c>
      <c r="AE13" s="1">
        <v>11771132.4153242</v>
      </c>
      <c r="AF13" s="1">
        <v>90869378.267894506</v>
      </c>
      <c r="AG13" s="1">
        <v>11629519.5901365</v>
      </c>
      <c r="AH13" s="1">
        <v>10514493.342313301</v>
      </c>
      <c r="AI13" s="1">
        <v>1487749.8733758</v>
      </c>
      <c r="AJ13" s="1">
        <v>2235545.7676585801</v>
      </c>
      <c r="AK13" s="1">
        <v>1680921.5915918001</v>
      </c>
      <c r="AL13" s="1">
        <v>306677.01247209002</v>
      </c>
      <c r="AM13" s="1">
        <v>25047753.924795602</v>
      </c>
      <c r="AN13" s="1">
        <v>5582585.1567933699</v>
      </c>
      <c r="AO13" s="1">
        <v>18020075.512719199</v>
      </c>
      <c r="AP13" s="1">
        <v>25791307.5279723</v>
      </c>
      <c r="AQ13" s="1">
        <v>12676478.642913699</v>
      </c>
      <c r="AR13" s="1">
        <v>2113694.03918313</v>
      </c>
      <c r="AS13" s="1">
        <v>2452503.2123002401</v>
      </c>
      <c r="AT13" s="1">
        <v>21626267.161574099</v>
      </c>
      <c r="AU13" s="1">
        <v>46278419.118840002</v>
      </c>
      <c r="AV13" s="1">
        <v>60537212.756062701</v>
      </c>
      <c r="AW13" s="1">
        <v>15646194.117578</v>
      </c>
      <c r="AX13" s="1">
        <v>2876135.3375074002</v>
      </c>
      <c r="AY13" s="1">
        <v>1852098.83850673</v>
      </c>
      <c r="AZ13" s="1">
        <v>1093464123.03596</v>
      </c>
      <c r="BA13" s="1">
        <v>78950140.611884996</v>
      </c>
      <c r="BB13" s="1">
        <v>902895625.26337302</v>
      </c>
      <c r="BC13" s="1">
        <v>800184.28000847599</v>
      </c>
      <c r="BD13" s="1">
        <v>56856.296737973098</v>
      </c>
      <c r="BE13" s="1">
        <v>52443706.457425602</v>
      </c>
      <c r="BF13" s="1">
        <v>48841494.988132201</v>
      </c>
      <c r="BG13" s="1">
        <v>69131733.5164354</v>
      </c>
      <c r="BH13" s="1">
        <v>2283907543.6216102</v>
      </c>
      <c r="BI13" s="1">
        <v>54523873.733038701</v>
      </c>
      <c r="BJ13" s="1">
        <v>403408.61374371097</v>
      </c>
      <c r="BK13" s="1">
        <v>6287487.0714170402</v>
      </c>
      <c r="BL13" s="1">
        <v>324119.03380912403</v>
      </c>
      <c r="BM13" s="1">
        <v>6302925.2383723501</v>
      </c>
      <c r="BN13" s="1">
        <v>12508904.5679508</v>
      </c>
      <c r="BO13" s="1">
        <v>1825016.50252313</v>
      </c>
      <c r="BP13" s="1">
        <v>1847560.2762764399</v>
      </c>
      <c r="BQ13" s="1">
        <v>467980.20091294002</v>
      </c>
      <c r="BR13" s="1">
        <v>3114455.4697549399</v>
      </c>
      <c r="BS13" s="1">
        <v>27532457.5286946</v>
      </c>
      <c r="BT13" s="1">
        <v>9595712.4337992705</v>
      </c>
      <c r="BU13" s="1">
        <v>6749356.7276794603</v>
      </c>
      <c r="BV13" s="1">
        <v>1638524.0206731299</v>
      </c>
      <c r="BW13" s="1">
        <v>18771467.170781799</v>
      </c>
      <c r="BX13" s="1">
        <v>6231690.41771961</v>
      </c>
      <c r="BY13" s="1">
        <v>13910659.4978773</v>
      </c>
      <c r="BZ13" s="1">
        <v>300421377.254291</v>
      </c>
      <c r="CA13" s="1">
        <v>223121.97591231001</v>
      </c>
      <c r="CB13" s="1">
        <v>62088212.332338601</v>
      </c>
      <c r="CC13" s="1">
        <v>202427.04572252501</v>
      </c>
      <c r="CD13" s="1">
        <v>563210.82053506596</v>
      </c>
      <c r="CE13" s="1">
        <v>15959454.320927</v>
      </c>
      <c r="CF13" s="1">
        <v>50981.784414128801</v>
      </c>
      <c r="CG13" s="1">
        <v>7089314.2047666004</v>
      </c>
      <c r="CH13" s="1">
        <v>909655.43465928896</v>
      </c>
      <c r="CI13" s="1">
        <v>816810.26495193003</v>
      </c>
      <c r="CJ13" s="1">
        <v>1824790.71376938</v>
      </c>
      <c r="CK13" s="1">
        <v>16516456.813148599</v>
      </c>
      <c r="CL13" s="1">
        <v>4259495.29154245</v>
      </c>
      <c r="CM13" s="1">
        <v>1619320.9803176699</v>
      </c>
      <c r="CN13" s="1">
        <v>5716816.3576859403</v>
      </c>
      <c r="CO13" s="1">
        <v>53724448.511659198</v>
      </c>
      <c r="CP13" s="1">
        <v>4327012.8683920801</v>
      </c>
      <c r="CQ13" s="1">
        <v>5630110.1304310001</v>
      </c>
      <c r="CR13" s="1">
        <v>68593565.925326899</v>
      </c>
      <c r="CS13" s="1">
        <v>1958849.5457023301</v>
      </c>
      <c r="CT13" s="1">
        <v>2714074.3292044001</v>
      </c>
      <c r="CU13" s="1">
        <v>8948839.7624895703</v>
      </c>
      <c r="CV13" s="1">
        <v>6218955.2155438904</v>
      </c>
      <c r="CW13" s="1">
        <v>3524659.36997825</v>
      </c>
      <c r="CX13" s="1">
        <v>5792644.4431240195</v>
      </c>
      <c r="CY13" s="1">
        <v>4212846.44066332</v>
      </c>
      <c r="CZ13" s="1">
        <v>5154117.1818432901</v>
      </c>
      <c r="DA13" s="1">
        <v>65150120.706920199</v>
      </c>
    </row>
    <row r="14" spans="1:105">
      <c r="A14" s="2" t="s">
        <v>18</v>
      </c>
      <c r="B14" t="s">
        <v>234</v>
      </c>
      <c r="C14" s="1">
        <v>3764436.1452335999</v>
      </c>
      <c r="D14" s="1">
        <v>3237213.5725627001</v>
      </c>
      <c r="E14" s="1">
        <v>2024747.3602346601</v>
      </c>
      <c r="F14" s="1">
        <v>42729258.7147374</v>
      </c>
      <c r="G14" s="1">
        <v>1000958.7365607501</v>
      </c>
      <c r="H14" s="1">
        <v>507545441.54708201</v>
      </c>
      <c r="I14" s="1">
        <v>734694.80257174699</v>
      </c>
      <c r="J14" s="1">
        <v>3453927.9555966202</v>
      </c>
      <c r="K14" s="1">
        <v>8800140.1553639807</v>
      </c>
      <c r="L14" s="1">
        <v>2066205.1344509099</v>
      </c>
      <c r="M14" s="1">
        <v>5031195.1322374502</v>
      </c>
      <c r="N14" s="1">
        <v>2969519.8131475402</v>
      </c>
      <c r="O14" s="1">
        <v>2601483.2746768398</v>
      </c>
      <c r="P14" s="1">
        <v>2512715.0294605698</v>
      </c>
      <c r="Q14" s="1">
        <v>860848.99323653302</v>
      </c>
      <c r="R14" s="1">
        <v>1799630.96436248</v>
      </c>
      <c r="S14" s="1">
        <v>9367641.5525692496</v>
      </c>
      <c r="T14" s="1">
        <v>2032417.4393804099</v>
      </c>
      <c r="U14" s="1">
        <v>1735922.41984567</v>
      </c>
      <c r="V14" s="1">
        <v>81207.876396963096</v>
      </c>
      <c r="W14" s="1">
        <v>464796.93146810401</v>
      </c>
      <c r="X14" s="1">
        <v>24971623.684854899</v>
      </c>
      <c r="Y14" s="1">
        <v>5653965.8829884604</v>
      </c>
      <c r="Z14" s="1">
        <v>754798133.23324895</v>
      </c>
      <c r="AA14" s="1">
        <v>830978.52158323105</v>
      </c>
      <c r="AB14" s="1">
        <v>31984499.586511299</v>
      </c>
      <c r="AC14" s="1">
        <v>973977.60020147695</v>
      </c>
      <c r="AD14" s="1">
        <v>3477657.8899605898</v>
      </c>
      <c r="AE14" s="1">
        <v>3616051.21300143</v>
      </c>
      <c r="AF14" s="1">
        <v>65664160.005948998</v>
      </c>
      <c r="AG14" s="1">
        <v>12087251.6649931</v>
      </c>
      <c r="AH14" s="1">
        <v>2714207.6646868498</v>
      </c>
      <c r="AI14" s="1">
        <v>125323.770320642</v>
      </c>
      <c r="AJ14" s="1">
        <v>1290361.5774399401</v>
      </c>
      <c r="AK14" s="1">
        <v>322486.59565629798</v>
      </c>
      <c r="AL14" s="1">
        <v>7260508.63945348</v>
      </c>
      <c r="AM14" s="1">
        <v>12824940.4777552</v>
      </c>
      <c r="AN14" s="1">
        <v>646767.65047369897</v>
      </c>
      <c r="AO14" s="1">
        <v>16124591.713482199</v>
      </c>
      <c r="AP14" s="1">
        <v>15321302.8245936</v>
      </c>
      <c r="AQ14" s="1">
        <v>466626.05704203399</v>
      </c>
      <c r="AR14" s="1">
        <v>1791534.88451062</v>
      </c>
      <c r="AS14" s="1">
        <v>608831.87717222294</v>
      </c>
      <c r="AT14" s="1">
        <v>20973173.313157499</v>
      </c>
      <c r="AU14" s="1">
        <v>51288031.532295801</v>
      </c>
      <c r="AV14" s="1">
        <v>147027989.736871</v>
      </c>
      <c r="AW14" s="1">
        <v>32715280.855003901</v>
      </c>
      <c r="AX14" s="1">
        <v>146525.19410334801</v>
      </c>
      <c r="AY14" s="1">
        <v>1623418.76952985</v>
      </c>
      <c r="AZ14" s="1">
        <v>915368068.50403798</v>
      </c>
      <c r="BA14" s="1">
        <v>231319.823846477</v>
      </c>
      <c r="BB14" s="1">
        <v>890700702.25749695</v>
      </c>
      <c r="BC14" s="1">
        <v>631451.769014708</v>
      </c>
      <c r="BD14" s="1">
        <v>176714.96097960701</v>
      </c>
      <c r="BE14" s="1">
        <v>702038.45052966103</v>
      </c>
      <c r="BF14" s="1">
        <v>18008887.354709499</v>
      </c>
      <c r="BG14" s="1">
        <v>51591913.352301203</v>
      </c>
      <c r="BH14" s="1">
        <v>3443614003.5573001</v>
      </c>
      <c r="BI14" s="1">
        <v>115170817.87123901</v>
      </c>
      <c r="BJ14" s="1">
        <v>310524.87282267702</v>
      </c>
      <c r="BK14" s="1">
        <v>23810642.8361286</v>
      </c>
      <c r="BL14" s="1">
        <v>234126.20320543501</v>
      </c>
      <c r="BM14" s="1">
        <v>1316073.19651977</v>
      </c>
      <c r="BN14" s="1">
        <v>2383088.2705660402</v>
      </c>
      <c r="BO14" s="1">
        <v>798127.31188010704</v>
      </c>
      <c r="BP14" s="1">
        <v>7690929.8488542996</v>
      </c>
      <c r="BQ14" s="1">
        <v>358499.78635178303</v>
      </c>
      <c r="BR14" s="1">
        <v>4660895.7461362602</v>
      </c>
      <c r="BS14" s="1">
        <v>191178.675817571</v>
      </c>
      <c r="BT14" s="1">
        <v>4580652.1398568396</v>
      </c>
      <c r="BU14" s="1">
        <v>2479311.5435685199</v>
      </c>
      <c r="BV14" s="1">
        <v>19563806.789997801</v>
      </c>
      <c r="BW14" s="1">
        <v>12850370.782695999</v>
      </c>
      <c r="BX14" s="1">
        <v>3006544.8025945001</v>
      </c>
      <c r="BY14" s="1">
        <v>13896730.2166052</v>
      </c>
      <c r="BZ14" s="1">
        <v>273020925.59365201</v>
      </c>
      <c r="CA14" s="1">
        <v>232396.62890444501</v>
      </c>
      <c r="CB14" s="1">
        <v>4286462.0910571003</v>
      </c>
      <c r="CC14" s="1">
        <v>104696.395399138</v>
      </c>
      <c r="CD14" s="1">
        <v>502943.16647228401</v>
      </c>
      <c r="CE14" s="1">
        <v>22485673.292498998</v>
      </c>
      <c r="CF14" s="1">
        <v>36586.834322660703</v>
      </c>
      <c r="CG14" s="1">
        <v>5585740.0302418601</v>
      </c>
      <c r="CH14" s="1">
        <v>457699.47885182902</v>
      </c>
      <c r="CI14" s="1">
        <v>4263420.71738867</v>
      </c>
      <c r="CJ14" s="1">
        <v>1811386.4241489</v>
      </c>
      <c r="CK14" s="1">
        <v>3949441.8922407301</v>
      </c>
      <c r="CL14" s="1">
        <v>1144635.6413001199</v>
      </c>
      <c r="CM14" s="1">
        <v>1955216.6317439501</v>
      </c>
      <c r="CN14" s="1">
        <v>557972.42307805002</v>
      </c>
      <c r="CO14" s="1">
        <v>51010613.739413999</v>
      </c>
      <c r="CP14" s="1">
        <v>3717258.11936309</v>
      </c>
      <c r="CQ14" s="1">
        <v>3192727.3279567799</v>
      </c>
      <c r="CR14" s="1">
        <v>82505674.286496505</v>
      </c>
      <c r="CS14" s="1">
        <v>2680087.3108461099</v>
      </c>
      <c r="CT14" s="1">
        <v>168537.52133524499</v>
      </c>
      <c r="CU14" s="1">
        <v>9012051.0295075197</v>
      </c>
      <c r="CV14" s="1">
        <v>2442047.2505428898</v>
      </c>
      <c r="CW14" s="1">
        <v>988780.32691448205</v>
      </c>
      <c r="CX14" s="1">
        <v>2302225.2824174198</v>
      </c>
      <c r="CY14" s="1">
        <v>1614242.6105909899</v>
      </c>
      <c r="CZ14" s="1">
        <v>7701921.6378228897</v>
      </c>
      <c r="DA14" s="1">
        <v>21197384.855955701</v>
      </c>
    </row>
    <row r="15" spans="1:105">
      <c r="A15" s="2" t="s">
        <v>19</v>
      </c>
      <c r="B15" t="s">
        <v>234</v>
      </c>
      <c r="C15" s="1">
        <v>722801.97418366105</v>
      </c>
      <c r="D15" s="1">
        <v>3595897.2258093501</v>
      </c>
      <c r="E15" s="1">
        <v>1473024.0769428699</v>
      </c>
      <c r="F15" s="1">
        <v>78894570.953776196</v>
      </c>
      <c r="G15" s="1">
        <v>492709.28330973</v>
      </c>
      <c r="H15" s="1">
        <v>448388519.42212898</v>
      </c>
      <c r="I15" s="1">
        <v>567285.60123848496</v>
      </c>
      <c r="J15" s="1">
        <v>374855.535352604</v>
      </c>
      <c r="K15" s="1">
        <v>8411044.0496306904</v>
      </c>
      <c r="L15" s="1">
        <v>3903178.5756486799</v>
      </c>
      <c r="M15" s="1">
        <v>6977793.9083286803</v>
      </c>
      <c r="N15" s="1">
        <v>3507664.7551200702</v>
      </c>
      <c r="O15" s="1">
        <v>1579406.8403632899</v>
      </c>
      <c r="P15" s="1">
        <v>1993952.45258693</v>
      </c>
      <c r="Q15" s="1">
        <v>1136740.2818090201</v>
      </c>
      <c r="R15" s="1">
        <v>1110217.61932053</v>
      </c>
      <c r="S15" s="1">
        <v>8283607.91365135</v>
      </c>
      <c r="T15" s="1">
        <v>2216178.7236142899</v>
      </c>
      <c r="U15" s="1">
        <v>6132005.9282475105</v>
      </c>
      <c r="V15" s="1">
        <v>179464.08645266001</v>
      </c>
      <c r="W15" s="1">
        <v>1049060.2583993201</v>
      </c>
      <c r="X15" s="1">
        <v>21410150.5205599</v>
      </c>
      <c r="Y15" s="1">
        <v>6845615.03777555</v>
      </c>
      <c r="Z15" s="1">
        <v>967396492.46607399</v>
      </c>
      <c r="AA15" s="1">
        <v>900663.20554350095</v>
      </c>
      <c r="AB15" s="1">
        <v>41421706.038389601</v>
      </c>
      <c r="AC15" s="1">
        <v>1164841.04866371</v>
      </c>
      <c r="AD15" s="1">
        <v>4021129.2152594798</v>
      </c>
      <c r="AE15" s="1">
        <v>10152629.2958379</v>
      </c>
      <c r="AF15" s="1">
        <v>77218175.415744096</v>
      </c>
      <c r="AG15" s="1">
        <v>41930305.588069201</v>
      </c>
      <c r="AH15" s="1">
        <v>3371444.3992313398</v>
      </c>
      <c r="AI15" s="1">
        <v>229212.19009793401</v>
      </c>
      <c r="AJ15" s="1">
        <v>2177446.0280975699</v>
      </c>
      <c r="AK15" s="1">
        <v>276637.83036951203</v>
      </c>
      <c r="AL15" s="1">
        <v>14904895.9755059</v>
      </c>
      <c r="AM15" s="1">
        <v>16246526.1623039</v>
      </c>
      <c r="AN15" s="1">
        <v>369164.00072009501</v>
      </c>
      <c r="AO15" s="1">
        <v>26956889.695226401</v>
      </c>
      <c r="AP15" s="1">
        <v>11760272.5695541</v>
      </c>
      <c r="AQ15" s="1">
        <v>616548.531482158</v>
      </c>
      <c r="AR15" s="1">
        <v>3008215.3580986699</v>
      </c>
      <c r="AS15" s="1">
        <v>615434.14619633101</v>
      </c>
      <c r="AT15" s="1">
        <v>19467764.413334198</v>
      </c>
      <c r="AU15" s="1">
        <v>148571507.947786</v>
      </c>
      <c r="AV15" s="1">
        <v>161162117.04520899</v>
      </c>
      <c r="AW15" s="1">
        <v>34000771.025528401</v>
      </c>
      <c r="AX15" s="1">
        <v>167790.19307488101</v>
      </c>
      <c r="AY15" s="1">
        <v>1157569.7729587101</v>
      </c>
      <c r="AZ15" s="1">
        <v>922083607.05687201</v>
      </c>
      <c r="BA15" s="1">
        <v>175072.872882845</v>
      </c>
      <c r="BB15" s="1">
        <v>1366031174.21175</v>
      </c>
      <c r="BC15" s="1">
        <v>903803.43253880995</v>
      </c>
      <c r="BD15" s="1">
        <v>155363.71075593401</v>
      </c>
      <c r="BE15" s="1">
        <v>860712.07715849497</v>
      </c>
      <c r="BF15" s="1">
        <v>15351492.778171901</v>
      </c>
      <c r="BG15" s="1">
        <v>69970868.770102307</v>
      </c>
      <c r="BH15" s="1">
        <v>2780150407.4153199</v>
      </c>
      <c r="BI15" s="1">
        <v>82235192.748603702</v>
      </c>
      <c r="BJ15" s="1">
        <v>323071.63639051799</v>
      </c>
      <c r="BK15" s="1">
        <v>16589743.5790742</v>
      </c>
      <c r="BL15" s="1">
        <v>186615.00576989699</v>
      </c>
      <c r="BM15" s="1">
        <v>1292980.09763339</v>
      </c>
      <c r="BN15" s="1">
        <v>1968833.0686756</v>
      </c>
      <c r="BO15" s="1">
        <v>1117772.81647062</v>
      </c>
      <c r="BP15" s="1">
        <v>4608257.38476652</v>
      </c>
      <c r="BQ15" s="1">
        <v>55636.863043140998</v>
      </c>
      <c r="BR15" s="1">
        <v>6099136.6036811098</v>
      </c>
      <c r="BS15" s="1">
        <v>109507.764537189</v>
      </c>
      <c r="BT15" s="1">
        <v>8647628.5958381407</v>
      </c>
      <c r="BU15" s="1">
        <v>35224324.075093597</v>
      </c>
      <c r="BV15" s="1">
        <v>55611860.787056699</v>
      </c>
      <c r="BW15" s="1">
        <v>23103364.639623102</v>
      </c>
      <c r="BX15" s="1">
        <v>2566714.0574324299</v>
      </c>
      <c r="BY15" s="1">
        <v>8510915.5007335208</v>
      </c>
      <c r="BZ15" s="1">
        <v>401071302.60845</v>
      </c>
      <c r="CA15" s="1">
        <v>338623.89150520897</v>
      </c>
      <c r="CB15" s="1">
        <v>6157536.2416930804</v>
      </c>
      <c r="CC15" s="1">
        <v>54478.991413130898</v>
      </c>
      <c r="CD15" s="1">
        <v>401380.69334242202</v>
      </c>
      <c r="CE15" s="1">
        <v>20732007.750904199</v>
      </c>
      <c r="CF15" s="1">
        <v>48036.7476033938</v>
      </c>
      <c r="CG15" s="1">
        <v>8346481.2386903698</v>
      </c>
      <c r="CH15" s="1">
        <v>413561.26131846901</v>
      </c>
      <c r="CI15" s="1">
        <v>2322442.9777218401</v>
      </c>
      <c r="CJ15" s="1">
        <v>1595257.9844524099</v>
      </c>
      <c r="CK15" s="1">
        <v>2640334.0620148499</v>
      </c>
      <c r="CL15" s="1">
        <v>1803068.7910825899</v>
      </c>
      <c r="CM15" s="1">
        <v>758577.68264562404</v>
      </c>
      <c r="CN15" s="1">
        <v>820034.76492364099</v>
      </c>
      <c r="CO15" s="1">
        <v>47336932.676207297</v>
      </c>
      <c r="CP15" s="1">
        <v>4047709.1214772202</v>
      </c>
      <c r="CQ15" s="1">
        <v>4183099.8738921401</v>
      </c>
      <c r="CR15" s="1">
        <v>65981247.408354603</v>
      </c>
      <c r="CS15" s="1">
        <v>2905314.8721835599</v>
      </c>
      <c r="CT15" s="1">
        <v>183095.10694248701</v>
      </c>
      <c r="CU15" s="1">
        <v>9187363.0367271006</v>
      </c>
      <c r="CV15" s="1">
        <v>3460978.4594034599</v>
      </c>
      <c r="CW15" s="1">
        <v>1167873.2286972799</v>
      </c>
      <c r="CX15" s="1">
        <v>1497709.9931347701</v>
      </c>
      <c r="CY15" s="1">
        <v>1666965.2486602999</v>
      </c>
      <c r="CZ15" s="1">
        <v>8547106.1717804801</v>
      </c>
      <c r="DA15" s="1">
        <v>54725089.0742229</v>
      </c>
    </row>
    <row r="16" spans="1:105">
      <c r="A16" s="2" t="s">
        <v>20</v>
      </c>
      <c r="B16" t="s">
        <v>234</v>
      </c>
      <c r="C16" s="1">
        <v>3401262.4470908199</v>
      </c>
      <c r="D16" s="1">
        <v>3280940.95061936</v>
      </c>
      <c r="E16" s="1">
        <v>2947278.6410210002</v>
      </c>
      <c r="F16" s="1">
        <v>52878572.759922102</v>
      </c>
      <c r="G16" s="1">
        <v>1106841.2186050201</v>
      </c>
      <c r="H16" s="1">
        <v>390665796.58948898</v>
      </c>
      <c r="I16" s="1">
        <v>655384.03177960101</v>
      </c>
      <c r="J16" s="1">
        <v>2250045.9153175801</v>
      </c>
      <c r="K16" s="1">
        <v>65992751.463032201</v>
      </c>
      <c r="L16" s="1">
        <v>4465295.2779284501</v>
      </c>
      <c r="M16" s="1">
        <v>6762221.6687409002</v>
      </c>
      <c r="N16" s="1">
        <v>2165356.7114458098</v>
      </c>
      <c r="O16" s="1">
        <v>2335993.4500345299</v>
      </c>
      <c r="P16" s="1">
        <v>2578035.0797208301</v>
      </c>
      <c r="Q16" s="1">
        <v>658101.50778686302</v>
      </c>
      <c r="R16" s="1">
        <v>1525034.4866829501</v>
      </c>
      <c r="S16" s="1">
        <v>8242706.4897555402</v>
      </c>
      <c r="T16" s="1">
        <v>959532.97056322801</v>
      </c>
      <c r="U16" s="1">
        <v>2690342.3309110398</v>
      </c>
      <c r="V16" s="1">
        <v>105142.79693295799</v>
      </c>
      <c r="W16" s="1">
        <v>977031.74630575301</v>
      </c>
      <c r="X16" s="1">
        <v>25809562.429949701</v>
      </c>
      <c r="Y16" s="1">
        <v>7884234.7728109099</v>
      </c>
      <c r="Z16" s="1">
        <v>900022378.42819905</v>
      </c>
      <c r="AA16" s="1">
        <v>535082.40403813496</v>
      </c>
      <c r="AB16" s="1">
        <v>38448083.555760503</v>
      </c>
      <c r="AC16" s="1">
        <v>7255814.0008920198</v>
      </c>
      <c r="AD16" s="1">
        <v>3807896.0494500902</v>
      </c>
      <c r="AE16" s="1">
        <v>30948621.939132899</v>
      </c>
      <c r="AF16" s="1">
        <v>82680639.021855697</v>
      </c>
      <c r="AG16" s="1">
        <v>18874589.317590501</v>
      </c>
      <c r="AH16" s="1">
        <v>2630742.6739330301</v>
      </c>
      <c r="AI16" s="1">
        <v>279118.70241519401</v>
      </c>
      <c r="AJ16" s="1">
        <v>1953262.1823009099</v>
      </c>
      <c r="AK16" s="1">
        <v>267514.27308767801</v>
      </c>
      <c r="AL16" s="1">
        <v>12910393.522070499</v>
      </c>
      <c r="AM16" s="1">
        <v>12189954.029198499</v>
      </c>
      <c r="AN16" s="1">
        <v>640301.85057244496</v>
      </c>
      <c r="AO16" s="1">
        <v>25366271.823385</v>
      </c>
      <c r="AP16" s="1">
        <v>11269523.209610401</v>
      </c>
      <c r="AQ16" s="1">
        <v>457647.86156701902</v>
      </c>
      <c r="AR16" s="1">
        <v>2214482.27803997</v>
      </c>
      <c r="AS16" s="1">
        <v>602090.72759807704</v>
      </c>
      <c r="AT16" s="1">
        <v>25820272.692333199</v>
      </c>
      <c r="AU16" s="1">
        <v>70131704.849092096</v>
      </c>
      <c r="AV16" s="1">
        <v>160951539.61286601</v>
      </c>
      <c r="AW16" s="1">
        <v>32250709.632996</v>
      </c>
      <c r="AX16" s="1">
        <v>151979.33831722999</v>
      </c>
      <c r="AY16" s="1">
        <v>4212928.6522829402</v>
      </c>
      <c r="AZ16" s="1">
        <v>991162224.82656598</v>
      </c>
      <c r="BA16" s="1">
        <v>198046.987628826</v>
      </c>
      <c r="BB16" s="1">
        <v>650962899.35123801</v>
      </c>
      <c r="BC16" s="1">
        <v>3578575.5343277301</v>
      </c>
      <c r="BD16" s="1">
        <v>4396724.1357754003</v>
      </c>
      <c r="BE16" s="1">
        <v>910977.07074960601</v>
      </c>
      <c r="BF16" s="1">
        <v>25741065.450866401</v>
      </c>
      <c r="BG16" s="1">
        <v>90486429.579370499</v>
      </c>
      <c r="BH16" s="1">
        <v>2786774715.4278302</v>
      </c>
      <c r="BI16" s="1">
        <v>136596690.50544599</v>
      </c>
      <c r="BJ16" s="1">
        <v>337283.37532039499</v>
      </c>
      <c r="BK16" s="1">
        <v>19165358.680098999</v>
      </c>
      <c r="BL16" s="1">
        <v>2608801.7155653099</v>
      </c>
      <c r="BM16" s="1">
        <v>271532.94359031302</v>
      </c>
      <c r="BN16" s="1">
        <v>1703514.2810955299</v>
      </c>
      <c r="BO16" s="1">
        <v>1805156.16532348</v>
      </c>
      <c r="BP16" s="1">
        <v>3622246.9260444501</v>
      </c>
      <c r="BQ16" s="1">
        <v>638686.41483135498</v>
      </c>
      <c r="BR16" s="1">
        <v>4750899.50430026</v>
      </c>
      <c r="BS16" s="1">
        <v>252733.17265977699</v>
      </c>
      <c r="BT16" s="1">
        <v>2491767.7875375999</v>
      </c>
      <c r="BU16" s="1">
        <v>2025537.61292554</v>
      </c>
      <c r="BV16" s="1">
        <v>11609921.3052269</v>
      </c>
      <c r="BW16" s="1">
        <v>8967100.7075436208</v>
      </c>
      <c r="BX16" s="1">
        <v>3539753.2878133501</v>
      </c>
      <c r="BY16" s="1">
        <v>8059278.07428132</v>
      </c>
      <c r="BZ16" s="1">
        <v>299145162.59361202</v>
      </c>
      <c r="CA16" s="1">
        <v>256033.356575135</v>
      </c>
      <c r="CB16" s="1">
        <v>3854543.6652096398</v>
      </c>
      <c r="CC16" s="1">
        <v>151977.715707322</v>
      </c>
      <c r="CD16" s="1">
        <v>1129558.95063743</v>
      </c>
      <c r="CE16" s="1">
        <v>21037534.8167581</v>
      </c>
      <c r="CF16" s="1">
        <v>91477.029704005894</v>
      </c>
      <c r="CG16" s="1">
        <v>9830365.7848211396</v>
      </c>
      <c r="CH16" s="1">
        <v>423154.82888020301</v>
      </c>
      <c r="CI16" s="1">
        <v>2351246.9905940099</v>
      </c>
      <c r="CJ16" s="1">
        <v>1449447.9237398801</v>
      </c>
      <c r="CK16" s="1">
        <v>420962.10569037602</v>
      </c>
      <c r="CL16" s="1">
        <v>4387857.0069266902</v>
      </c>
      <c r="CM16" s="1">
        <v>4328910.6620260598</v>
      </c>
      <c r="CN16" s="1">
        <v>879122.80528212502</v>
      </c>
      <c r="CO16" s="1">
        <v>56268032.083961003</v>
      </c>
      <c r="CP16" s="1">
        <v>8373215.6984000998</v>
      </c>
      <c r="CQ16" s="1">
        <v>26192596.7046578</v>
      </c>
      <c r="CR16" s="1">
        <v>176493564.123189</v>
      </c>
      <c r="CS16" s="1">
        <v>3200692.27635345</v>
      </c>
      <c r="CT16" s="1">
        <v>164292.82089197601</v>
      </c>
      <c r="CU16" s="1">
        <v>19274540.141368601</v>
      </c>
      <c r="CV16" s="1">
        <v>3873891.5969735002</v>
      </c>
      <c r="CW16" s="1">
        <v>1509366.37397429</v>
      </c>
      <c r="CX16" s="1">
        <v>2113040.5525422902</v>
      </c>
      <c r="CY16" s="1">
        <v>2260985.5747842598</v>
      </c>
      <c r="CZ16" s="1">
        <v>7321771.3154600104</v>
      </c>
      <c r="DA16" s="1">
        <v>33053140.898729499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1578-1A2F-8645-8456-037DD0D5CAAA}">
  <sheetPr filterMode="1"/>
  <dimension ref="A1:CM118"/>
  <sheetViews>
    <sheetView topLeftCell="Y1" workbookViewId="0">
      <selection activeCell="B109" sqref="B109"/>
    </sheetView>
  </sheetViews>
  <sheetFormatPr baseColWidth="10" defaultColWidth="10" defaultRowHeight="15"/>
  <cols>
    <col min="1" max="1" width="27.83203125" style="4" customWidth="1"/>
    <col min="2" max="2" width="33.33203125" style="4" customWidth="1"/>
    <col min="3" max="3" width="18.5" style="4" customWidth="1"/>
    <col min="4" max="4" width="11.1640625" style="4" customWidth="1"/>
    <col min="5" max="5" width="10.83203125" style="4" bestFit="1" customWidth="1"/>
    <col min="6" max="6" width="10.1640625" style="4" bestFit="1" customWidth="1"/>
    <col min="7" max="8" width="11.1640625" style="4" bestFit="1" customWidth="1"/>
    <col min="9" max="9" width="23" style="4" customWidth="1"/>
    <col min="10" max="12" width="10.1640625" style="4" bestFit="1" customWidth="1"/>
    <col min="13" max="19" width="10" style="4"/>
    <col min="20" max="24" width="11.1640625" style="4" bestFit="1" customWidth="1"/>
    <col min="25" max="27" width="11.33203125" style="4" bestFit="1" customWidth="1"/>
    <col min="28" max="28" width="28.1640625" style="4" customWidth="1"/>
    <col min="29" max="31" width="10.1640625" bestFit="1" customWidth="1"/>
    <col min="32" max="43" width="10.1640625" style="4" bestFit="1" customWidth="1"/>
    <col min="44" max="16384" width="10" style="4"/>
  </cols>
  <sheetData>
    <row r="1" spans="1:9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5" t="s">
        <v>236</v>
      </c>
      <c r="H1" s="2" t="s">
        <v>235</v>
      </c>
      <c r="I1" s="5" t="s">
        <v>342</v>
      </c>
      <c r="J1" s="5" t="s">
        <v>237</v>
      </c>
      <c r="K1" s="5" t="s">
        <v>238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5" t="s">
        <v>343</v>
      </c>
      <c r="AC1" s="2" t="s">
        <v>6</v>
      </c>
      <c r="AD1" s="2" t="s">
        <v>7</v>
      </c>
      <c r="AE1" s="2" t="s">
        <v>8</v>
      </c>
      <c r="AF1" s="2" t="s">
        <v>9</v>
      </c>
      <c r="AG1" s="2" t="s">
        <v>10</v>
      </c>
      <c r="AH1" s="2" t="s">
        <v>11</v>
      </c>
      <c r="AI1" s="2" t="s">
        <v>12</v>
      </c>
      <c r="AJ1" s="2" t="s">
        <v>13</v>
      </c>
      <c r="AK1" s="2" t="s">
        <v>14</v>
      </c>
      <c r="AL1" s="2" t="s">
        <v>15</v>
      </c>
      <c r="AM1" s="2" t="s">
        <v>16</v>
      </c>
      <c r="AN1" s="2" t="s">
        <v>17</v>
      </c>
      <c r="AO1" s="2" t="s">
        <v>18</v>
      </c>
      <c r="AP1" s="2" t="s">
        <v>19</v>
      </c>
      <c r="AQ1" s="2" t="s">
        <v>20</v>
      </c>
      <c r="AR1" s="5" t="s">
        <v>344</v>
      </c>
      <c r="AS1" s="5" t="s">
        <v>345</v>
      </c>
      <c r="AT1" s="5" t="s">
        <v>346</v>
      </c>
      <c r="AU1" s="5" t="s">
        <v>347</v>
      </c>
      <c r="AV1" s="5" t="s">
        <v>348</v>
      </c>
      <c r="AW1" s="5" t="s">
        <v>349</v>
      </c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1:91" hidden="1">
      <c r="A2" s="8" t="s">
        <v>239</v>
      </c>
      <c r="B2" s="8" t="s">
        <v>140</v>
      </c>
      <c r="C2" s="1" t="s">
        <v>141</v>
      </c>
      <c r="D2" s="1">
        <v>0.82</v>
      </c>
      <c r="E2" s="1">
        <v>113.08416</v>
      </c>
      <c r="F2" s="1">
        <v>1.2789999999999999</v>
      </c>
      <c r="G2" s="1">
        <f t="shared" ref="G2:G33" si="0">AVERAGE(M2:AA2)</f>
        <v>1763360021.7732363</v>
      </c>
      <c r="H2" s="1">
        <f t="shared" ref="H2:H33" si="1">MAX(M2:AA2)</f>
        <v>5464230541.7036104</v>
      </c>
      <c r="I2" s="1">
        <f t="shared" ref="I2:I33" si="2">G2/SUM(G$2:G$104)</f>
        <v>0.24593094352152606</v>
      </c>
      <c r="J2" s="1" t="e">
        <f>G2/#REF!</f>
        <v>#REF!</v>
      </c>
      <c r="K2" s="1" t="e">
        <f>H2/#REF!</f>
        <v>#REF!</v>
      </c>
      <c r="L2" s="1">
        <v>86</v>
      </c>
      <c r="M2" s="1">
        <v>126108240.636425</v>
      </c>
      <c r="N2" s="1">
        <v>102224048.47766601</v>
      </c>
      <c r="O2" s="1">
        <v>154097692.86418501</v>
      </c>
      <c r="P2" s="1">
        <v>135306396.723416</v>
      </c>
      <c r="Q2" s="1">
        <v>104276243.282804</v>
      </c>
      <c r="R2" s="1">
        <v>5464230541.7036104</v>
      </c>
      <c r="S2" s="1">
        <v>156244464.23883599</v>
      </c>
      <c r="T2" s="1">
        <v>224393811.77142599</v>
      </c>
      <c r="U2" s="1">
        <v>139134108.27869299</v>
      </c>
      <c r="V2" s="1">
        <v>4184600125.3590002</v>
      </c>
      <c r="W2" s="1">
        <v>4365337983.2404203</v>
      </c>
      <c r="X2" s="1">
        <v>2283907543.6216102</v>
      </c>
      <c r="Y2" s="1">
        <v>3443614003.5573001</v>
      </c>
      <c r="Z2" s="1">
        <v>2780150407.4153199</v>
      </c>
      <c r="AA2" s="1">
        <v>2786774715.4278302</v>
      </c>
      <c r="AB2" s="1" t="s">
        <v>239</v>
      </c>
      <c r="AC2">
        <f t="shared" ref="AC2:AC33" si="3">M2/SUM(M$2:M$104)</f>
        <v>2.8655698692115122E-2</v>
      </c>
      <c r="AD2">
        <f t="shared" ref="AD2:AQ2" si="4">N2/SUM(N2:N104)</f>
        <v>1.7696141022742331E-2</v>
      </c>
      <c r="AE2">
        <f t="shared" si="4"/>
        <v>3.9092660988081208E-2</v>
      </c>
      <c r="AF2">
        <f t="shared" si="4"/>
        <v>3.0855543938366772E-2</v>
      </c>
      <c r="AG2">
        <f t="shared" si="4"/>
        <v>2.0603887205910502E-2</v>
      </c>
      <c r="AH2">
        <f t="shared" si="4"/>
        <v>0.46921665658498385</v>
      </c>
      <c r="AI2">
        <f t="shared" si="4"/>
        <v>2.822574299640437E-2</v>
      </c>
      <c r="AJ2">
        <f t="shared" si="4"/>
        <v>3.2646273072834284E-2</v>
      </c>
      <c r="AK2">
        <f t="shared" si="4"/>
        <v>2.0323075603846483E-2</v>
      </c>
      <c r="AL2">
        <f t="shared" si="4"/>
        <v>0.42710952204147767</v>
      </c>
      <c r="AM2">
        <f t="shared" si="4"/>
        <v>0.38256435599374455</v>
      </c>
      <c r="AN2">
        <f t="shared" si="4"/>
        <v>0.27623572762022908</v>
      </c>
      <c r="AO2">
        <f t="shared" si="4"/>
        <v>0.43781799578642416</v>
      </c>
      <c r="AP2">
        <f t="shared" si="4"/>
        <v>0.33679036236904714</v>
      </c>
      <c r="AQ2">
        <f t="shared" si="4"/>
        <v>0.37208068419198681</v>
      </c>
      <c r="AR2" s="1"/>
      <c r="AS2" s="1">
        <f t="shared" ref="AS2:AS33" si="5">AVERAGE(AC2:AE2,AL2:AN2)</f>
        <v>0.19522568439306501</v>
      </c>
      <c r="AT2" s="1">
        <f t="shared" ref="AT2:AT33" si="6">AVERAGE(AF2:AH2,AO2:AQ2)</f>
        <v>0.27789418834611984</v>
      </c>
      <c r="AU2" s="1">
        <f t="shared" ref="AU2:AU33" si="7">AVERAGE(AI2:AK2)</f>
        <v>2.7065030557695047E-2</v>
      </c>
      <c r="AV2" s="1">
        <f t="shared" ref="AV2:AV33" si="8">AT2/AS2</f>
        <v>1.423450962459484</v>
      </c>
      <c r="AW2" s="1">
        <f t="shared" ref="AW2:AW33" si="9">AU2/AS2</f>
        <v>0.13863457895838463</v>
      </c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hidden="1">
      <c r="A3" s="1" t="s">
        <v>240</v>
      </c>
      <c r="B3" s="6" t="s">
        <v>128</v>
      </c>
      <c r="C3" s="1" t="s">
        <v>129</v>
      </c>
      <c r="D3" s="1">
        <v>-0.53</v>
      </c>
      <c r="E3" s="1">
        <v>301.29791999999998</v>
      </c>
      <c r="F3" s="1">
        <v>1.5880000000000001</v>
      </c>
      <c r="G3" s="1">
        <f t="shared" si="0"/>
        <v>1077545192.4780805</v>
      </c>
      <c r="H3" s="1">
        <f t="shared" si="1"/>
        <v>1630815308.0075901</v>
      </c>
      <c r="I3" s="1">
        <f t="shared" si="2"/>
        <v>0.15028224673412569</v>
      </c>
      <c r="J3" s="1" t="e">
        <f>G3/#REF!</f>
        <v>#REF!</v>
      </c>
      <c r="K3" s="1" t="e">
        <f>H3/#REF!</f>
        <v>#REF!</v>
      </c>
      <c r="L3" s="1">
        <v>66.3</v>
      </c>
      <c r="M3" s="1">
        <v>936327034.16108894</v>
      </c>
      <c r="N3" s="1">
        <v>1469741296.37463</v>
      </c>
      <c r="O3" s="1">
        <v>708853390.60435498</v>
      </c>
      <c r="P3" s="1">
        <v>663960710.94703805</v>
      </c>
      <c r="Q3" s="1">
        <v>947624538.23538601</v>
      </c>
      <c r="R3" s="1">
        <v>1456643962.5811601</v>
      </c>
      <c r="S3" s="1">
        <v>951802706.90067005</v>
      </c>
      <c r="T3" s="1">
        <v>1630815308.0075901</v>
      </c>
      <c r="U3" s="1">
        <v>1362311218.3586099</v>
      </c>
      <c r="V3" s="1">
        <v>1175213389.1489501</v>
      </c>
      <c r="W3" s="1">
        <v>1049293930.7678699</v>
      </c>
      <c r="X3" s="1">
        <v>902895625.26337302</v>
      </c>
      <c r="Y3" s="1">
        <v>890700702.25749695</v>
      </c>
      <c r="Z3" s="1">
        <v>1366031174.21175</v>
      </c>
      <c r="AA3" s="1">
        <v>650962899.35123801</v>
      </c>
      <c r="AB3" s="1" t="s">
        <v>240</v>
      </c>
      <c r="AC3">
        <f t="shared" si="3"/>
        <v>0.21276250650072168</v>
      </c>
      <c r="AD3">
        <f t="shared" ref="AD3:AD34" si="10">N3/SUM(N$2:N$104)</f>
        <v>0.2544288710427664</v>
      </c>
      <c r="AE3">
        <f t="shared" ref="AE3:AE34" si="11">O3/SUM(O$2:O$104)</f>
        <v>0.17982725616516007</v>
      </c>
      <c r="AF3">
        <f t="shared" ref="AF3:AF34" si="12">P3/SUM(P$2:P$104)</f>
        <v>0.15141094128648933</v>
      </c>
      <c r="AG3">
        <f t="shared" ref="AG3:AG34" si="13">Q3/SUM(Q$2:Q$104)</f>
        <v>0.18724062628917806</v>
      </c>
      <c r="AH3">
        <f t="shared" ref="AH3:AH34" si="14">R3/SUM(R$2:R$104)</f>
        <v>0.12508286477677455</v>
      </c>
      <c r="AI3">
        <f t="shared" ref="AI3:AI34" si="15">S3/SUM(S$2:S$104)</f>
        <v>0.17194425875590597</v>
      </c>
      <c r="AJ3">
        <f t="shared" ref="AJ3:AJ34" si="16">T3/SUM(T$2:T$104)</f>
        <v>0.23726163148744037</v>
      </c>
      <c r="AK3">
        <f t="shared" ref="AK3:AK34" si="17">U3/SUM(U$2:U$104)</f>
        <v>0.19899041456616093</v>
      </c>
      <c r="AL3">
        <f t="shared" ref="AL3:AL34" si="18">V3/SUM(V$2:V$104)</f>
        <v>0.11995048843360892</v>
      </c>
      <c r="AM3">
        <f t="shared" ref="AM3:AM34" si="19">W3/SUM(W$2:W$104)</f>
        <v>9.1956787404208346E-2</v>
      </c>
      <c r="AN3">
        <f t="shared" ref="AN3:AN34" si="20">X3/SUM(X$2:X$104)</f>
        <v>0.10920408346051298</v>
      </c>
      <c r="AO3">
        <f t="shared" ref="AO3:AO34" si="21">Y3/SUM(Y$2:Y$104)</f>
        <v>0.11324288840302628</v>
      </c>
      <c r="AP3">
        <f t="shared" ref="AP3:AP34" si="22">Z3/SUM(Z$2:Z$104)</f>
        <v>0.16548246200748162</v>
      </c>
      <c r="AQ3">
        <f t="shared" ref="AQ3:AQ34" si="23">AA3/SUM(AA$2:AA$104)</f>
        <v>8.6914352865808717E-2</v>
      </c>
      <c r="AR3" s="1"/>
      <c r="AS3" s="1">
        <f t="shared" si="5"/>
        <v>0.16135499883449639</v>
      </c>
      <c r="AT3" s="1">
        <f t="shared" si="6"/>
        <v>0.13822902260479311</v>
      </c>
      <c r="AU3" s="1">
        <f t="shared" si="7"/>
        <v>0.2027321016031691</v>
      </c>
      <c r="AV3" s="1">
        <f t="shared" si="8"/>
        <v>0.85667641909610837</v>
      </c>
      <c r="AW3" s="1">
        <f t="shared" si="9"/>
        <v>1.2564352085001944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>
      <c r="A4" s="1" t="s">
        <v>242</v>
      </c>
      <c r="B4" s="6" t="s">
        <v>124</v>
      </c>
      <c r="C4" s="1" t="s">
        <v>125</v>
      </c>
      <c r="D4" s="1">
        <v>1.58</v>
      </c>
      <c r="E4" s="1">
        <v>78.014060000000001</v>
      </c>
      <c r="F4" s="1">
        <v>1.5640000000000001</v>
      </c>
      <c r="G4" s="1">
        <f t="shared" si="0"/>
        <v>963871146.24046659</v>
      </c>
      <c r="H4" s="1">
        <f t="shared" si="1"/>
        <v>1226428580.8856299</v>
      </c>
      <c r="I4" s="1">
        <f t="shared" si="2"/>
        <v>0.1344284420090909</v>
      </c>
      <c r="J4" s="1" t="e">
        <f>G4/#REF!</f>
        <v>#REF!</v>
      </c>
      <c r="K4" s="1" t="e">
        <f>H4/#REF!</f>
        <v>#REF!</v>
      </c>
      <c r="L4" s="1">
        <v>90.8</v>
      </c>
      <c r="M4" s="1">
        <v>708795734.61032104</v>
      </c>
      <c r="N4" s="1">
        <v>1226428580.8856299</v>
      </c>
      <c r="O4" s="1">
        <v>799979612.736884</v>
      </c>
      <c r="P4" s="1">
        <v>815004180.57809603</v>
      </c>
      <c r="Q4" s="1">
        <v>1029903983.71466</v>
      </c>
      <c r="R4" s="1">
        <v>747157564.01637805</v>
      </c>
      <c r="S4" s="1">
        <v>813962475.63442194</v>
      </c>
      <c r="T4" s="1">
        <v>976844284.87609196</v>
      </c>
      <c r="U4" s="1">
        <v>1117560989.5750501</v>
      </c>
      <c r="V4" s="1">
        <v>1208869684.6382401</v>
      </c>
      <c r="W4" s="1">
        <v>1091482078.9177899</v>
      </c>
      <c r="X4" s="1">
        <v>1093464123.03596</v>
      </c>
      <c r="Y4" s="1">
        <v>915368068.50403798</v>
      </c>
      <c r="Z4" s="1">
        <v>922083607.05687201</v>
      </c>
      <c r="AA4" s="1">
        <v>991162224.82656598</v>
      </c>
      <c r="AB4" s="6" t="s">
        <v>242</v>
      </c>
      <c r="AC4">
        <f t="shared" si="3"/>
        <v>0.16106034706968334</v>
      </c>
      <c r="AD4">
        <f t="shared" si="10"/>
        <v>0.21230868318050972</v>
      </c>
      <c r="AE4">
        <f t="shared" si="11"/>
        <v>0.20294484113829303</v>
      </c>
      <c r="AF4">
        <f t="shared" si="12"/>
        <v>0.18585519910920859</v>
      </c>
      <c r="AG4">
        <f t="shared" si="13"/>
        <v>0.20349817796777206</v>
      </c>
      <c r="AH4">
        <f t="shared" si="14"/>
        <v>6.4158854838625504E-2</v>
      </c>
      <c r="AI4">
        <f t="shared" si="15"/>
        <v>0.14704326171105189</v>
      </c>
      <c r="AJ4">
        <f t="shared" si="16"/>
        <v>0.14211766813866875</v>
      </c>
      <c r="AK4">
        <f t="shared" si="17"/>
        <v>0.1632401771501589</v>
      </c>
      <c r="AL4">
        <f t="shared" si="18"/>
        <v>0.12338568507115721</v>
      </c>
      <c r="AM4">
        <f t="shared" si="19"/>
        <v>9.5654022713251297E-2</v>
      </c>
      <c r="AN4">
        <f t="shared" si="20"/>
        <v>0.13225310214374306</v>
      </c>
      <c r="AO4">
        <f t="shared" si="21"/>
        <v>0.11637907522310365</v>
      </c>
      <c r="AP4">
        <f t="shared" si="22"/>
        <v>0.11170218392750786</v>
      </c>
      <c r="AQ4">
        <f t="shared" si="23"/>
        <v>0.13233661003060412</v>
      </c>
      <c r="AR4" s="1"/>
      <c r="AS4" s="1">
        <f t="shared" si="5"/>
        <v>0.15460111355277295</v>
      </c>
      <c r="AT4" s="1">
        <f t="shared" si="6"/>
        <v>0.13565501684947029</v>
      </c>
      <c r="AU4" s="1">
        <f t="shared" si="7"/>
        <v>0.15080036899995986</v>
      </c>
      <c r="AV4" s="1">
        <f t="shared" si="8"/>
        <v>0.8774517448942214</v>
      </c>
      <c r="AW4" s="1">
        <f t="shared" si="9"/>
        <v>0.97541580092490265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idden="1">
      <c r="A5" s="1" t="s">
        <v>243</v>
      </c>
      <c r="B5" s="3" t="s">
        <v>73</v>
      </c>
      <c r="C5" s="1" t="s">
        <v>74</v>
      </c>
      <c r="D5" s="1">
        <v>-0.08</v>
      </c>
      <c r="E5" s="1">
        <v>418.17397</v>
      </c>
      <c r="F5" s="1">
        <v>0.94499999999999995</v>
      </c>
      <c r="G5" s="1">
        <f t="shared" si="0"/>
        <v>921770818.7208488</v>
      </c>
      <c r="H5" s="1">
        <f t="shared" si="1"/>
        <v>1178620379.96807</v>
      </c>
      <c r="I5" s="1">
        <f t="shared" si="2"/>
        <v>0.12855682580955094</v>
      </c>
      <c r="J5" s="1" t="e">
        <f>G5/#REF!</f>
        <v>#REF!</v>
      </c>
      <c r="K5" s="1" t="e">
        <f>H5/#REF!</f>
        <v>#REF!</v>
      </c>
      <c r="L5" s="1">
        <v>81.900000000000006</v>
      </c>
      <c r="M5" s="1">
        <v>775661997.52061296</v>
      </c>
      <c r="N5" s="1">
        <v>624707417.04809499</v>
      </c>
      <c r="O5" s="1">
        <v>910120413.22469294</v>
      </c>
      <c r="P5" s="1">
        <v>1066198864.2923</v>
      </c>
      <c r="Q5" s="1">
        <v>860827659.56270003</v>
      </c>
      <c r="R5" s="1">
        <v>733124215.92547905</v>
      </c>
      <c r="S5" s="1">
        <v>1140501984.76279</v>
      </c>
      <c r="T5" s="1">
        <v>1084893817.9144599</v>
      </c>
      <c r="U5" s="1">
        <v>877823223.32209301</v>
      </c>
      <c r="V5" s="1">
        <v>1178620379.96807</v>
      </c>
      <c r="W5" s="1">
        <v>932483506.02367604</v>
      </c>
      <c r="X5" s="1">
        <v>1019381797.12024</v>
      </c>
      <c r="Y5" s="1">
        <v>754798133.23324895</v>
      </c>
      <c r="Z5" s="1">
        <v>967396492.46607399</v>
      </c>
      <c r="AA5" s="1">
        <v>900022378.42819905</v>
      </c>
      <c r="AB5" s="1" t="s">
        <v>243</v>
      </c>
      <c r="AC5">
        <f t="shared" si="3"/>
        <v>0.17625443330033078</v>
      </c>
      <c r="AD5">
        <f t="shared" si="10"/>
        <v>0.10814393202643977</v>
      </c>
      <c r="AE5">
        <f t="shared" si="11"/>
        <v>0.2308861872700658</v>
      </c>
      <c r="AF5">
        <f t="shared" si="12"/>
        <v>0.24313814203075657</v>
      </c>
      <c r="AG5">
        <f t="shared" si="13"/>
        <v>0.17009047739910932</v>
      </c>
      <c r="AH5">
        <f t="shared" si="14"/>
        <v>6.2953803071199174E-2</v>
      </c>
      <c r="AI5">
        <f t="shared" si="15"/>
        <v>0.20603300133306168</v>
      </c>
      <c r="AJ5">
        <f t="shared" si="16"/>
        <v>0.15783741786401287</v>
      </c>
      <c r="AK5">
        <f t="shared" si="17"/>
        <v>0.12822210136031137</v>
      </c>
      <c r="AL5">
        <f t="shared" si="18"/>
        <v>0.12029822971754563</v>
      </c>
      <c r="AM5">
        <f t="shared" si="19"/>
        <v>8.1719892784093168E-2</v>
      </c>
      <c r="AN5">
        <f t="shared" si="20"/>
        <v>0.12329293855906587</v>
      </c>
      <c r="AO5">
        <f t="shared" si="21"/>
        <v>9.5964357670209666E-2</v>
      </c>
      <c r="AP5">
        <f t="shared" si="22"/>
        <v>0.11719143481704523</v>
      </c>
      <c r="AQ5">
        <f t="shared" si="23"/>
        <v>0.12016792764041284</v>
      </c>
      <c r="AR5" s="1"/>
      <c r="AS5" s="1">
        <f t="shared" si="5"/>
        <v>0.14009926894292352</v>
      </c>
      <c r="AT5" s="1">
        <f t="shared" si="6"/>
        <v>0.13491769043812213</v>
      </c>
      <c r="AU5" s="1">
        <f t="shared" si="7"/>
        <v>0.16403084018579531</v>
      </c>
      <c r="AV5" s="1">
        <f t="shared" si="8"/>
        <v>0.96301494972887858</v>
      </c>
      <c r="AW5" s="1">
        <f t="shared" si="9"/>
        <v>1.1708186732410539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hidden="1">
      <c r="A6" s="8" t="s">
        <v>241</v>
      </c>
      <c r="B6" s="8" t="s">
        <v>37</v>
      </c>
      <c r="C6" s="1" t="s">
        <v>38</v>
      </c>
      <c r="D6" s="1">
        <v>0.45</v>
      </c>
      <c r="E6" s="1">
        <v>191.15223</v>
      </c>
      <c r="F6" s="1">
        <v>2.762</v>
      </c>
      <c r="G6" s="1">
        <f t="shared" si="0"/>
        <v>488453862.65843266</v>
      </c>
      <c r="H6" s="1">
        <f t="shared" si="1"/>
        <v>1441621464.3700299</v>
      </c>
      <c r="I6" s="1">
        <f t="shared" si="2"/>
        <v>6.8123308812186589E-2</v>
      </c>
      <c r="J6" s="1" t="e">
        <f>G6/#REF!</f>
        <v>#REF!</v>
      </c>
      <c r="K6" s="1" t="e">
        <f>H6/#REF!</f>
        <v>#REF!</v>
      </c>
      <c r="L6" s="1">
        <v>91.3</v>
      </c>
      <c r="M6" s="1">
        <v>1565264.7190994399</v>
      </c>
      <c r="N6" s="1">
        <v>579349946.17803299</v>
      </c>
      <c r="O6" s="1">
        <v>60910.234879224801</v>
      </c>
      <c r="P6" s="1">
        <v>210029049.031091</v>
      </c>
      <c r="Q6" s="1">
        <v>414036343.48354203</v>
      </c>
      <c r="R6" s="1">
        <v>176301654.60545099</v>
      </c>
      <c r="S6" s="1">
        <v>551003892.71817803</v>
      </c>
      <c r="T6" s="1">
        <v>483783763.84910798</v>
      </c>
      <c r="U6" s="1">
        <v>1092680051.2072201</v>
      </c>
      <c r="V6" s="1">
        <v>96888343.038318306</v>
      </c>
      <c r="W6" s="1">
        <v>1441621464.3700299</v>
      </c>
      <c r="X6" s="1">
        <v>932887498.88284004</v>
      </c>
      <c r="Y6" s="1">
        <v>507545441.54708201</v>
      </c>
      <c r="Z6" s="1">
        <v>448388519.42212898</v>
      </c>
      <c r="AA6" s="1">
        <v>390665796.58948898</v>
      </c>
      <c r="AB6" s="1" t="s">
        <v>241</v>
      </c>
      <c r="AC6">
        <f t="shared" si="3"/>
        <v>3.5567663094457797E-4</v>
      </c>
      <c r="AD6">
        <f t="shared" si="10"/>
        <v>0.10029203990413835</v>
      </c>
      <c r="AE6">
        <f t="shared" si="11"/>
        <v>1.5452166210798306E-5</v>
      </c>
      <c r="AF6">
        <f t="shared" si="12"/>
        <v>4.7895448461016461E-2</v>
      </c>
      <c r="AG6">
        <f t="shared" si="13"/>
        <v>8.1809219930819174E-2</v>
      </c>
      <c r="AH6">
        <f t="shared" si="14"/>
        <v>1.5139125681651631E-2</v>
      </c>
      <c r="AI6">
        <f t="shared" si="15"/>
        <v>9.9539489873433515E-2</v>
      </c>
      <c r="AJ6">
        <f t="shared" si="16"/>
        <v>7.0384012545361585E-2</v>
      </c>
      <c r="AK6">
        <f t="shared" si="17"/>
        <v>0.15960586204367763</v>
      </c>
      <c r="AL6">
        <f t="shared" si="18"/>
        <v>9.889101143908386E-3</v>
      </c>
      <c r="AM6">
        <f t="shared" si="19"/>
        <v>0.12633912636796282</v>
      </c>
      <c r="AN6">
        <f t="shared" si="20"/>
        <v>0.11283156262669242</v>
      </c>
      <c r="AO6">
        <f t="shared" si="21"/>
        <v>6.4528872213648392E-2</v>
      </c>
      <c r="AP6">
        <f t="shared" si="22"/>
        <v>5.4318259737139427E-2</v>
      </c>
      <c r="AQ6">
        <f t="shared" si="23"/>
        <v>5.2160368787869109E-2</v>
      </c>
      <c r="AR6" s="1"/>
      <c r="AS6" s="1">
        <f t="shared" si="5"/>
        <v>5.8287159806642889E-2</v>
      </c>
      <c r="AT6" s="1">
        <f t="shared" si="6"/>
        <v>5.2641882468690698E-2</v>
      </c>
      <c r="AU6" s="1">
        <f t="shared" si="7"/>
        <v>0.10984312148749091</v>
      </c>
      <c r="AV6" s="1">
        <f t="shared" si="8"/>
        <v>0.90314715356384878</v>
      </c>
      <c r="AW6" s="1">
        <f t="shared" si="9"/>
        <v>1.8845166217032292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>
      <c r="A7" s="6" t="s">
        <v>246</v>
      </c>
      <c r="B7" s="6" t="s">
        <v>175</v>
      </c>
      <c r="C7" s="1" t="s">
        <v>176</v>
      </c>
      <c r="D7" s="1">
        <v>-0.45</v>
      </c>
      <c r="E7" s="1">
        <v>326.19141999999999</v>
      </c>
      <c r="F7" s="1">
        <v>0.94099999999999995</v>
      </c>
      <c r="G7" s="1">
        <f t="shared" si="0"/>
        <v>312378220.30629981</v>
      </c>
      <c r="H7" s="1">
        <f t="shared" si="1"/>
        <v>470692859.93319398</v>
      </c>
      <c r="I7" s="1">
        <f t="shared" si="2"/>
        <v>4.3566526124511826E-2</v>
      </c>
      <c r="J7" s="1" t="e">
        <f>G7/#REF!</f>
        <v>#REF!</v>
      </c>
      <c r="K7" s="1" t="e">
        <f>H7/#REF!</f>
        <v>#REF!</v>
      </c>
      <c r="L7" s="1">
        <v>93.6</v>
      </c>
      <c r="M7" s="1">
        <v>262185268.200537</v>
      </c>
      <c r="N7" s="1">
        <v>253588020.00520799</v>
      </c>
      <c r="O7" s="1">
        <v>179895824.35182601</v>
      </c>
      <c r="P7" s="1">
        <v>240457476.81414899</v>
      </c>
      <c r="Q7" s="1">
        <v>256338128.853544</v>
      </c>
      <c r="R7" s="1">
        <v>380037871.039262</v>
      </c>
      <c r="S7" s="1">
        <v>438781552.15260398</v>
      </c>
      <c r="T7" s="1">
        <v>470692859.93319398</v>
      </c>
      <c r="U7" s="1">
        <v>262678554.19359699</v>
      </c>
      <c r="V7" s="1">
        <v>367811358.09240198</v>
      </c>
      <c r="W7" s="1">
        <v>299547622.90816897</v>
      </c>
      <c r="X7" s="1">
        <v>300421377.254291</v>
      </c>
      <c r="Y7" s="1">
        <v>273020925.59365201</v>
      </c>
      <c r="Z7" s="1">
        <v>401071302.60845</v>
      </c>
      <c r="AA7" s="1">
        <v>299145162.59361202</v>
      </c>
      <c r="AB7" s="6" t="s">
        <v>246</v>
      </c>
      <c r="AC7">
        <f t="shared" si="3"/>
        <v>5.9576614574511022E-2</v>
      </c>
      <c r="AD7">
        <f t="shared" si="10"/>
        <v>4.3898959496508336E-2</v>
      </c>
      <c r="AE7">
        <f t="shared" si="11"/>
        <v>4.5637324893342636E-2</v>
      </c>
      <c r="AF7">
        <f t="shared" si="12"/>
        <v>5.4834408577992835E-2</v>
      </c>
      <c r="AG7">
        <f t="shared" si="13"/>
        <v>5.0649713944418112E-2</v>
      </c>
      <c r="AH7">
        <f t="shared" si="14"/>
        <v>3.2634073153348694E-2</v>
      </c>
      <c r="AI7">
        <f t="shared" si="15"/>
        <v>7.9266394383682826E-2</v>
      </c>
      <c r="AJ7">
        <f t="shared" si="16"/>
        <v>6.8479462590817858E-2</v>
      </c>
      <c r="AK7">
        <f t="shared" si="17"/>
        <v>3.8368996520194654E-2</v>
      </c>
      <c r="AL7">
        <f t="shared" si="18"/>
        <v>3.7541396704612304E-2</v>
      </c>
      <c r="AM7">
        <f t="shared" si="19"/>
        <v>2.6251402271091764E-2</v>
      </c>
      <c r="AN7">
        <f t="shared" si="20"/>
        <v>3.6335585461974122E-2</v>
      </c>
      <c r="AO7">
        <f t="shared" si="21"/>
        <v>3.4711635603667385E-2</v>
      </c>
      <c r="AP7">
        <f t="shared" si="22"/>
        <v>4.8586202020237251E-2</v>
      </c>
      <c r="AQ7">
        <f t="shared" si="23"/>
        <v>3.9940844932442411E-2</v>
      </c>
      <c r="AR7" s="1"/>
      <c r="AS7" s="1">
        <f t="shared" si="5"/>
        <v>4.1540213900340031E-2</v>
      </c>
      <c r="AT7" s="1">
        <f t="shared" si="6"/>
        <v>4.3559479705351116E-2</v>
      </c>
      <c r="AU7" s="1">
        <f t="shared" si="7"/>
        <v>6.2038284498231781E-2</v>
      </c>
      <c r="AV7" s="1">
        <f t="shared" si="8"/>
        <v>1.0486099038838737</v>
      </c>
      <c r="AW7" s="1">
        <f t="shared" si="9"/>
        <v>1.4934512529730608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</row>
    <row r="8" spans="1:91" hidden="1">
      <c r="A8" s="1" t="s">
        <v>249</v>
      </c>
      <c r="B8" s="6" t="s">
        <v>138</v>
      </c>
      <c r="C8" s="1" t="s">
        <v>139</v>
      </c>
      <c r="D8" s="1">
        <v>0.33</v>
      </c>
      <c r="E8" s="1">
        <v>127.13614</v>
      </c>
      <c r="F8" s="1">
        <v>1.9710000000000001</v>
      </c>
      <c r="G8" s="1">
        <f t="shared" si="0"/>
        <v>139571687.01246518</v>
      </c>
      <c r="H8" s="1">
        <f t="shared" si="1"/>
        <v>258977689.16575599</v>
      </c>
      <c r="I8" s="1">
        <f t="shared" si="2"/>
        <v>1.9465677032503799E-2</v>
      </c>
      <c r="J8" s="1" t="e">
        <f>G8/#REF!</f>
        <v>#REF!</v>
      </c>
      <c r="K8" s="1" t="e">
        <f>H8/#REF!</f>
        <v>#REF!</v>
      </c>
      <c r="L8" s="1">
        <v>74.099999999999994</v>
      </c>
      <c r="M8" s="1">
        <v>172789540.289933</v>
      </c>
      <c r="N8" s="1">
        <v>132522652.20696101</v>
      </c>
      <c r="O8" s="1">
        <v>258977689.16575599</v>
      </c>
      <c r="P8" s="1">
        <v>155940121.93991199</v>
      </c>
      <c r="Q8" s="1">
        <v>226175852.772562</v>
      </c>
      <c r="R8" s="1">
        <v>156544053.117823</v>
      </c>
      <c r="S8" s="1">
        <v>137018210.30506</v>
      </c>
      <c r="T8" s="1">
        <v>157738204.22851801</v>
      </c>
      <c r="U8" s="1">
        <v>220716332.807482</v>
      </c>
      <c r="V8" s="1">
        <v>106235204.653336</v>
      </c>
      <c r="W8" s="1">
        <v>87736498.481425405</v>
      </c>
      <c r="X8" s="1">
        <v>69131733.5164354</v>
      </c>
      <c r="Y8" s="1">
        <v>51591913.352301203</v>
      </c>
      <c r="Z8" s="1">
        <v>69970868.770102307</v>
      </c>
      <c r="AA8" s="1">
        <v>90486429.579370499</v>
      </c>
      <c r="AB8" s="1" t="s">
        <v>249</v>
      </c>
      <c r="AC8">
        <f t="shared" si="3"/>
        <v>3.9263136006888723E-2</v>
      </c>
      <c r="AD8">
        <f t="shared" si="10"/>
        <v>2.2941172621182043E-2</v>
      </c>
      <c r="AE8">
        <f t="shared" si="11"/>
        <v>6.5699406771498742E-2</v>
      </c>
      <c r="AF8">
        <f t="shared" si="12"/>
        <v>3.5560900303234021E-2</v>
      </c>
      <c r="AG8">
        <f t="shared" si="13"/>
        <v>4.4689965926255959E-2</v>
      </c>
      <c r="AH8">
        <f t="shared" si="14"/>
        <v>1.3442528943756131E-2</v>
      </c>
      <c r="AI8">
        <f t="shared" si="15"/>
        <v>2.4752498008416612E-2</v>
      </c>
      <c r="AJ8">
        <f t="shared" si="16"/>
        <v>2.2948781201275716E-2</v>
      </c>
      <c r="AK8">
        <f t="shared" si="17"/>
        <v>3.2239648308703961E-2</v>
      </c>
      <c r="AL8">
        <f t="shared" si="18"/>
        <v>1.0843107136687817E-2</v>
      </c>
      <c r="AM8">
        <f t="shared" si="19"/>
        <v>7.6889480648591694E-3</v>
      </c>
      <c r="AN8">
        <f t="shared" si="20"/>
        <v>8.3613956978655073E-3</v>
      </c>
      <c r="AO8">
        <f t="shared" si="21"/>
        <v>6.5593495900985984E-3</v>
      </c>
      <c r="AP8">
        <f t="shared" si="22"/>
        <v>8.4763450874833918E-3</v>
      </c>
      <c r="AQ8">
        <f t="shared" si="23"/>
        <v>1.2081440398318457E-2</v>
      </c>
      <c r="AR8" s="1"/>
      <c r="AS8" s="1">
        <f t="shared" si="5"/>
        <v>2.5799527716497003E-2</v>
      </c>
      <c r="AT8" s="1">
        <f t="shared" si="6"/>
        <v>2.0135088374857762E-2</v>
      </c>
      <c r="AU8" s="1">
        <f t="shared" si="7"/>
        <v>2.6646975839465431E-2</v>
      </c>
      <c r="AV8" s="1">
        <f t="shared" si="8"/>
        <v>0.78044406843861613</v>
      </c>
      <c r="AW8" s="1">
        <f t="shared" si="9"/>
        <v>1.0328474277622743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</row>
    <row r="9" spans="1:91" hidden="1">
      <c r="A9" s="1" t="s">
        <v>252</v>
      </c>
      <c r="B9" s="6" t="s">
        <v>116</v>
      </c>
      <c r="C9" s="1" t="s">
        <v>117</v>
      </c>
      <c r="D9" s="1">
        <v>-0.51</v>
      </c>
      <c r="E9" s="1">
        <v>334.28701000000001</v>
      </c>
      <c r="F9" s="1">
        <v>0.95599999999999996</v>
      </c>
      <c r="G9" s="1">
        <f t="shared" si="0"/>
        <v>130638303.60604617</v>
      </c>
      <c r="H9" s="1">
        <f t="shared" si="1"/>
        <v>195300689.55720401</v>
      </c>
      <c r="I9" s="1">
        <f t="shared" si="2"/>
        <v>1.8219762764939272E-2</v>
      </c>
      <c r="J9" s="1" t="e">
        <f>G9/#REF!</f>
        <v>#REF!</v>
      </c>
      <c r="K9" s="1" t="e">
        <f>H9/#REF!</f>
        <v>#REF!</v>
      </c>
      <c r="L9" s="1">
        <v>72.3</v>
      </c>
      <c r="M9" s="1">
        <v>89013512.696392506</v>
      </c>
      <c r="N9" s="1">
        <v>113878307.81315599</v>
      </c>
      <c r="O9" s="1">
        <v>73068861.047331706</v>
      </c>
      <c r="P9" s="1">
        <v>118751338.926856</v>
      </c>
      <c r="Q9" s="1">
        <v>69915117.455584705</v>
      </c>
      <c r="R9" s="1">
        <v>194676203.31934699</v>
      </c>
      <c r="S9" s="1">
        <v>142916220.29362699</v>
      </c>
      <c r="T9" s="1">
        <v>165818884.980048</v>
      </c>
      <c r="U9" s="1">
        <v>146811314.941892</v>
      </c>
      <c r="V9" s="1">
        <v>119745243.908245</v>
      </c>
      <c r="W9" s="1">
        <v>195300689.55720401</v>
      </c>
      <c r="X9" s="1">
        <v>60537212.756062701</v>
      </c>
      <c r="Y9" s="1">
        <v>147027989.736871</v>
      </c>
      <c r="Z9" s="1">
        <v>161162117.04520899</v>
      </c>
      <c r="AA9" s="1">
        <v>160951539.61286601</v>
      </c>
      <c r="AB9" s="6" t="s">
        <v>252</v>
      </c>
      <c r="AC9">
        <f t="shared" si="3"/>
        <v>2.02266274311802E-2</v>
      </c>
      <c r="AD9">
        <f t="shared" si="10"/>
        <v>1.9713625360212109E-2</v>
      </c>
      <c r="AE9">
        <f t="shared" si="11"/>
        <v>1.8536657886410454E-2</v>
      </c>
      <c r="AF9">
        <f t="shared" si="12"/>
        <v>2.7080295128156181E-2</v>
      </c>
      <c r="AG9">
        <f t="shared" si="13"/>
        <v>1.3814490709413634E-2</v>
      </c>
      <c r="AH9">
        <f t="shared" si="14"/>
        <v>1.6716958872984036E-2</v>
      </c>
      <c r="AI9">
        <f t="shared" si="15"/>
        <v>2.5817980327668848E-2</v>
      </c>
      <c r="AJ9">
        <f t="shared" si="16"/>
        <v>2.4124411261419985E-2</v>
      </c>
      <c r="AK9">
        <f t="shared" si="17"/>
        <v>2.1444471740083775E-2</v>
      </c>
      <c r="AL9">
        <f t="shared" si="18"/>
        <v>1.2222036122986297E-2</v>
      </c>
      <c r="AM9">
        <f t="shared" si="19"/>
        <v>1.7115532133464832E-2</v>
      </c>
      <c r="AN9">
        <f t="shared" si="20"/>
        <v>7.321899286367139E-3</v>
      </c>
      <c r="AO9">
        <f t="shared" si="21"/>
        <v>1.8693006743673121E-2</v>
      </c>
      <c r="AP9">
        <f t="shared" si="22"/>
        <v>1.9523349404063479E-2</v>
      </c>
      <c r="AQ9">
        <f t="shared" si="23"/>
        <v>2.1489702288946925E-2</v>
      </c>
      <c r="AR9" s="1"/>
      <c r="AS9" s="1">
        <f t="shared" si="5"/>
        <v>1.5856063036770174E-2</v>
      </c>
      <c r="AT9" s="1">
        <f t="shared" si="6"/>
        <v>1.9552967191206225E-2</v>
      </c>
      <c r="AU9" s="1">
        <f t="shared" si="7"/>
        <v>2.3795621109724205E-2</v>
      </c>
      <c r="AV9" s="1">
        <f t="shared" si="8"/>
        <v>1.2331539768644297</v>
      </c>
      <c r="AW9" s="1">
        <f t="shared" si="9"/>
        <v>1.5007269493405906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</row>
    <row r="10" spans="1:91" hidden="1">
      <c r="A10" s="1" t="s">
        <v>248</v>
      </c>
      <c r="B10" s="6" t="s">
        <v>85</v>
      </c>
      <c r="C10" s="1" t="s">
        <v>86</v>
      </c>
      <c r="D10" s="1">
        <v>-0.25</v>
      </c>
      <c r="E10" s="1">
        <v>201.20921000000001</v>
      </c>
      <c r="F10" s="1">
        <v>1.7310000000000001</v>
      </c>
      <c r="G10" s="1">
        <f t="shared" si="0"/>
        <v>114446600.46522437</v>
      </c>
      <c r="H10" s="1">
        <f t="shared" si="1"/>
        <v>346931823.82616699</v>
      </c>
      <c r="I10" s="1">
        <f t="shared" si="2"/>
        <v>1.5961550725721994E-2</v>
      </c>
      <c r="J10" s="1" t="e">
        <f>G10/#REF!</f>
        <v>#REF!</v>
      </c>
      <c r="K10" s="1" t="e">
        <f>H10/#REF!</f>
        <v>#REF!</v>
      </c>
      <c r="L10" s="1">
        <v>90.9</v>
      </c>
      <c r="M10" s="1">
        <v>85045916.579038098</v>
      </c>
      <c r="N10" s="1">
        <v>126893017.520513</v>
      </c>
      <c r="O10" s="1">
        <v>86291727.258647397</v>
      </c>
      <c r="P10" s="1">
        <v>43219938.339058504</v>
      </c>
      <c r="Q10" s="1">
        <v>157141129.27414599</v>
      </c>
      <c r="R10" s="1">
        <v>346931823.82616699</v>
      </c>
      <c r="S10" s="1">
        <v>71530357.4440303</v>
      </c>
      <c r="T10" s="1">
        <v>243652458.914709</v>
      </c>
      <c r="U10" s="1">
        <v>64438365.686814301</v>
      </c>
      <c r="V10" s="1">
        <v>81098150.937127203</v>
      </c>
      <c r="W10" s="1">
        <v>94023768.486671701</v>
      </c>
      <c r="X10" s="1">
        <v>90869378.267894506</v>
      </c>
      <c r="Y10" s="1">
        <v>65664160.005948998</v>
      </c>
      <c r="Z10" s="1">
        <v>77218175.415744096</v>
      </c>
      <c r="AA10" s="1">
        <v>82680639.021855697</v>
      </c>
      <c r="AB10" s="6" t="s">
        <v>248</v>
      </c>
      <c r="AC10">
        <f t="shared" si="3"/>
        <v>1.9325066690207702E-2</v>
      </c>
      <c r="AD10">
        <f t="shared" si="10"/>
        <v>2.196661907139115E-2</v>
      </c>
      <c r="AE10">
        <f t="shared" si="11"/>
        <v>2.1891133975454214E-2</v>
      </c>
      <c r="AF10">
        <f t="shared" si="12"/>
        <v>9.8559620145699661E-3</v>
      </c>
      <c r="AG10">
        <f t="shared" si="13"/>
        <v>3.1049431788533095E-2</v>
      </c>
      <c r="AH10">
        <f t="shared" si="14"/>
        <v>2.9791237612732946E-2</v>
      </c>
      <c r="AI10">
        <f t="shared" si="15"/>
        <v>1.2922041721554313E-2</v>
      </c>
      <c r="AJ10">
        <f t="shared" si="16"/>
        <v>3.5448146478743586E-2</v>
      </c>
      <c r="AK10">
        <f t="shared" si="17"/>
        <v>9.4123992588378419E-3</v>
      </c>
      <c r="AL10">
        <f t="shared" si="18"/>
        <v>8.2774438291717094E-3</v>
      </c>
      <c r="AM10">
        <f t="shared" si="19"/>
        <v>8.2399444389658939E-3</v>
      </c>
      <c r="AN10">
        <f t="shared" si="20"/>
        <v>1.0990536326363822E-2</v>
      </c>
      <c r="AO10">
        <f t="shared" si="21"/>
        <v>8.3484824080473606E-3</v>
      </c>
      <c r="AP10">
        <f t="shared" si="22"/>
        <v>9.354291483791681E-3</v>
      </c>
      <c r="AQ10">
        <f t="shared" si="23"/>
        <v>1.1039237784945897E-2</v>
      </c>
      <c r="AR10" s="1"/>
      <c r="AS10" s="1">
        <f t="shared" si="5"/>
        <v>1.5115124055259081E-2</v>
      </c>
      <c r="AT10" s="1">
        <f t="shared" si="6"/>
        <v>1.6573107182103492E-2</v>
      </c>
      <c r="AU10" s="1">
        <f t="shared" si="7"/>
        <v>1.926086248637858E-2</v>
      </c>
      <c r="AV10" s="1">
        <f t="shared" si="8"/>
        <v>1.0964585617368539</v>
      </c>
      <c r="AW10" s="1">
        <f t="shared" si="9"/>
        <v>1.2742774995404058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</row>
    <row r="11" spans="1:91" hidden="1">
      <c r="A11" s="8" t="s">
        <v>254</v>
      </c>
      <c r="B11" s="8" t="s">
        <v>142</v>
      </c>
      <c r="C11" s="1" t="s">
        <v>143</v>
      </c>
      <c r="D11" s="1">
        <v>0.76</v>
      </c>
      <c r="E11" s="1">
        <v>117.07907</v>
      </c>
      <c r="F11" s="1">
        <v>8.2609999999999992</v>
      </c>
      <c r="G11" s="1">
        <f t="shared" si="0"/>
        <v>100988153.09286112</v>
      </c>
      <c r="H11" s="1">
        <f t="shared" si="1"/>
        <v>149012692.262826</v>
      </c>
      <c r="I11" s="1">
        <f t="shared" si="2"/>
        <v>1.4084538306391023E-2</v>
      </c>
      <c r="J11" s="1" t="e">
        <f>G11/#REF!</f>
        <v>#REF!</v>
      </c>
      <c r="K11" s="1" t="e">
        <f>H11/#REF!</f>
        <v>#REF!</v>
      </c>
      <c r="L11" s="1">
        <v>74.8</v>
      </c>
      <c r="M11" s="1">
        <v>83582403.827752203</v>
      </c>
      <c r="N11" s="1">
        <v>130869548.87076101</v>
      </c>
      <c r="O11" s="1">
        <v>104028901.564063</v>
      </c>
      <c r="P11" s="1">
        <v>134930830.590316</v>
      </c>
      <c r="Q11" s="1">
        <v>149012692.262826</v>
      </c>
      <c r="R11" s="1">
        <v>92930368.9715527</v>
      </c>
      <c r="S11" s="1">
        <v>96892760.957441598</v>
      </c>
      <c r="T11" s="1">
        <v>128478877.250517</v>
      </c>
      <c r="U11" s="1">
        <v>62375421.031347796</v>
      </c>
      <c r="V11" s="1">
        <v>73126654.008899495</v>
      </c>
      <c r="W11" s="1">
        <v>70067262.199112698</v>
      </c>
      <c r="X11" s="1">
        <v>54523873.733038701</v>
      </c>
      <c r="Y11" s="1">
        <v>115170817.87123901</v>
      </c>
      <c r="Z11" s="1">
        <v>82235192.748603702</v>
      </c>
      <c r="AA11" s="1">
        <v>136596690.50544599</v>
      </c>
      <c r="AB11" s="1" t="s">
        <v>254</v>
      </c>
      <c r="AC11">
        <f t="shared" si="3"/>
        <v>1.8992511258292464E-2</v>
      </c>
      <c r="AD11">
        <f t="shared" si="10"/>
        <v>2.2655001703494781E-2</v>
      </c>
      <c r="AE11">
        <f t="shared" si="11"/>
        <v>2.6390833673224794E-2</v>
      </c>
      <c r="AF11">
        <f t="shared" si="12"/>
        <v>3.0769899078979101E-2</v>
      </c>
      <c r="AG11">
        <f t="shared" si="13"/>
        <v>2.9443338261675056E-2</v>
      </c>
      <c r="AH11">
        <f t="shared" si="14"/>
        <v>7.9799848654347038E-3</v>
      </c>
      <c r="AI11">
        <f t="shared" si="15"/>
        <v>1.7503789221077651E-2</v>
      </c>
      <c r="AJ11">
        <f t="shared" si="16"/>
        <v>1.8691943764848677E-2</v>
      </c>
      <c r="AK11">
        <f t="shared" si="17"/>
        <v>9.1110685447643534E-3</v>
      </c>
      <c r="AL11">
        <f t="shared" si="18"/>
        <v>7.4638171645024414E-3</v>
      </c>
      <c r="AM11">
        <f t="shared" si="19"/>
        <v>6.1404723167736673E-3</v>
      </c>
      <c r="AN11">
        <f t="shared" si="20"/>
        <v>6.5945935400854245E-3</v>
      </c>
      <c r="AO11">
        <f t="shared" si="21"/>
        <v>1.4642714485822342E-2</v>
      </c>
      <c r="AP11">
        <f t="shared" si="22"/>
        <v>9.9620582726095783E-3</v>
      </c>
      <c r="AQ11">
        <f t="shared" si="23"/>
        <v>1.8237925649409618E-2</v>
      </c>
      <c r="AR11" s="1"/>
      <c r="AS11" s="1">
        <f t="shared" si="5"/>
        <v>1.470620494272893E-2</v>
      </c>
      <c r="AT11" s="1">
        <f t="shared" si="6"/>
        <v>1.8505986768988403E-2</v>
      </c>
      <c r="AU11" s="1">
        <f t="shared" si="7"/>
        <v>1.5102267176896894E-2</v>
      </c>
      <c r="AV11" s="1">
        <f t="shared" si="8"/>
        <v>1.258379496345736</v>
      </c>
      <c r="AW11" s="1">
        <f t="shared" si="9"/>
        <v>1.0269316411480982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</row>
    <row r="12" spans="1:91" hidden="1">
      <c r="A12" s="1" t="s">
        <v>251</v>
      </c>
      <c r="B12" s="6" t="s">
        <v>211</v>
      </c>
      <c r="C12" s="1" t="s">
        <v>212</v>
      </c>
      <c r="D12" s="1">
        <v>-0.21</v>
      </c>
      <c r="E12" s="1">
        <v>213.2456</v>
      </c>
      <c r="F12" s="1">
        <v>1.4359999999999999</v>
      </c>
      <c r="G12" s="1">
        <f t="shared" si="0"/>
        <v>100459123.25523637</v>
      </c>
      <c r="H12" s="1">
        <f t="shared" si="1"/>
        <v>208059124.86272901</v>
      </c>
      <c r="I12" s="1">
        <f t="shared" si="2"/>
        <v>1.4010755978612456E-2</v>
      </c>
      <c r="J12" s="1" t="e">
        <f>G12/#REF!</f>
        <v>#REF!</v>
      </c>
      <c r="K12" s="1" t="e">
        <f>H12/#REF!</f>
        <v>#REF!</v>
      </c>
      <c r="L12" s="1">
        <v>57.7</v>
      </c>
      <c r="M12" s="1">
        <v>208059124.86272901</v>
      </c>
      <c r="N12" s="1">
        <v>106344655.63398901</v>
      </c>
      <c r="O12" s="1">
        <v>76774344.684936404</v>
      </c>
      <c r="P12" s="1">
        <v>94202711.760982797</v>
      </c>
      <c r="Q12" s="1">
        <v>83779451.975194305</v>
      </c>
      <c r="R12" s="1">
        <v>69138366.877757907</v>
      </c>
      <c r="S12" s="1">
        <v>89967055.864129096</v>
      </c>
      <c r="T12" s="1">
        <v>86284101.140912294</v>
      </c>
      <c r="U12" s="1">
        <v>80148559.042345196</v>
      </c>
      <c r="V12" s="1">
        <v>94971160.639188796</v>
      </c>
      <c r="W12" s="1">
        <v>123643264.60301401</v>
      </c>
      <c r="X12" s="1">
        <v>68593565.925326899</v>
      </c>
      <c r="Y12" s="1">
        <v>82505674.286496505</v>
      </c>
      <c r="Z12" s="1">
        <v>65981247.408354603</v>
      </c>
      <c r="AA12" s="1">
        <v>176493564.123189</v>
      </c>
      <c r="AB12" s="1" t="s">
        <v>251</v>
      </c>
      <c r="AC12">
        <f t="shared" si="3"/>
        <v>4.7277478157834507E-2</v>
      </c>
      <c r="AD12">
        <f t="shared" si="10"/>
        <v>1.8409464809302639E-2</v>
      </c>
      <c r="AE12">
        <f t="shared" si="11"/>
        <v>1.9476692827552843E-2</v>
      </c>
      <c r="AF12">
        <f t="shared" si="12"/>
        <v>2.148217661723659E-2</v>
      </c>
      <c r="AG12">
        <f t="shared" si="13"/>
        <v>1.6553937160819841E-2</v>
      </c>
      <c r="AH12">
        <f t="shared" si="14"/>
        <v>5.9369517996239775E-3</v>
      </c>
      <c r="AI12">
        <f t="shared" si="15"/>
        <v>1.6252652593709459E-2</v>
      </c>
      <c r="AJ12">
        <f t="shared" si="16"/>
        <v>1.2553172948279E-2</v>
      </c>
      <c r="AK12">
        <f t="shared" si="17"/>
        <v>1.1707159697277333E-2</v>
      </c>
      <c r="AL12">
        <f t="shared" si="18"/>
        <v>9.6934201149861086E-3</v>
      </c>
      <c r="AM12">
        <f t="shared" si="19"/>
        <v>1.0835703003391269E-2</v>
      </c>
      <c r="AN12">
        <f t="shared" si="20"/>
        <v>8.2963050086532156E-3</v>
      </c>
      <c r="AO12">
        <f t="shared" si="21"/>
        <v>1.0489697428285054E-2</v>
      </c>
      <c r="AP12">
        <f t="shared" si="22"/>
        <v>7.9930381338184312E-3</v>
      </c>
      <c r="AQ12">
        <f t="shared" si="23"/>
        <v>2.3564820554343491E-2</v>
      </c>
      <c r="AR12" s="1"/>
      <c r="AS12" s="1">
        <f t="shared" si="5"/>
        <v>1.8998177320286764E-2</v>
      </c>
      <c r="AT12" s="1">
        <f t="shared" si="6"/>
        <v>1.4336770282354564E-2</v>
      </c>
      <c r="AU12" s="1">
        <f t="shared" si="7"/>
        <v>1.3504328413088599E-2</v>
      </c>
      <c r="AV12" s="1">
        <f t="shared" si="8"/>
        <v>0.75463924989506104</v>
      </c>
      <c r="AW12" s="1">
        <f t="shared" si="9"/>
        <v>0.71082231655287875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</row>
    <row r="13" spans="1:91" hidden="1">
      <c r="A13" s="1" t="s">
        <v>256</v>
      </c>
      <c r="B13" s="1" t="s">
        <v>205</v>
      </c>
      <c r="C13" s="1" t="s">
        <v>206</v>
      </c>
      <c r="D13" s="1">
        <v>-0.56000000000000005</v>
      </c>
      <c r="E13" s="1">
        <v>222.16185999999999</v>
      </c>
      <c r="F13" s="1">
        <v>0.99199999999999999</v>
      </c>
      <c r="G13" s="1">
        <f t="shared" si="0"/>
        <v>75933497.32866022</v>
      </c>
      <c r="H13" s="1">
        <f t="shared" si="1"/>
        <v>122172520.615743</v>
      </c>
      <c r="I13" s="1">
        <f t="shared" si="2"/>
        <v>1.0590234786057869E-2</v>
      </c>
      <c r="J13" s="1" t="e">
        <f>G13/#REF!</f>
        <v>#REF!</v>
      </c>
      <c r="K13" s="1" t="e">
        <f>H13/#REF!</f>
        <v>#REF!</v>
      </c>
      <c r="L13" s="1">
        <v>86</v>
      </c>
      <c r="M13" s="1">
        <v>69370244.403108299</v>
      </c>
      <c r="N13" s="1">
        <v>66056068.614129603</v>
      </c>
      <c r="O13" s="1">
        <v>108464727.69737101</v>
      </c>
      <c r="P13" s="1">
        <v>89072088.066473201</v>
      </c>
      <c r="Q13" s="1">
        <v>122172520.615743</v>
      </c>
      <c r="R13" s="1">
        <v>92741357.985789403</v>
      </c>
      <c r="S13" s="1">
        <v>71657763.168801993</v>
      </c>
      <c r="T13" s="1">
        <v>52654320.689172097</v>
      </c>
      <c r="U13" s="1">
        <v>95930435.759015903</v>
      </c>
      <c r="V13" s="1">
        <v>52854314.277475402</v>
      </c>
      <c r="W13" s="1">
        <v>109688591.641582</v>
      </c>
      <c r="X13" s="1">
        <v>53724448.511659198</v>
      </c>
      <c r="Y13" s="1">
        <v>51010613.739413999</v>
      </c>
      <c r="Z13" s="1">
        <v>47336932.676207297</v>
      </c>
      <c r="AA13" s="1">
        <v>56268032.083961003</v>
      </c>
      <c r="AB13" s="1" t="s">
        <v>256</v>
      </c>
      <c r="AC13">
        <f t="shared" si="3"/>
        <v>1.576306839094611E-2</v>
      </c>
      <c r="AD13">
        <f t="shared" si="10"/>
        <v>1.1435053913551188E-2</v>
      </c>
      <c r="AE13">
        <f t="shared" si="11"/>
        <v>2.751614738823489E-2</v>
      </c>
      <c r="AF13">
        <f t="shared" si="12"/>
        <v>2.0312178829469254E-2</v>
      </c>
      <c r="AG13">
        <f t="shared" si="13"/>
        <v>2.4140003083939789E-2</v>
      </c>
      <c r="AH13">
        <f t="shared" si="14"/>
        <v>7.9637543820901928E-3</v>
      </c>
      <c r="AI13">
        <f t="shared" si="15"/>
        <v>1.2945057712944442E-2</v>
      </c>
      <c r="AJ13">
        <f t="shared" si="16"/>
        <v>7.6604934784667315E-3</v>
      </c>
      <c r="AK13">
        <f t="shared" si="17"/>
        <v>1.4012390798777127E-2</v>
      </c>
      <c r="AL13">
        <f t="shared" si="18"/>
        <v>5.3946805507362255E-3</v>
      </c>
      <c r="AM13">
        <f t="shared" si="19"/>
        <v>9.6127597868317337E-3</v>
      </c>
      <c r="AN13">
        <f t="shared" si="20"/>
        <v>6.4979040710557113E-3</v>
      </c>
      <c r="AO13">
        <f t="shared" si="21"/>
        <v>6.4854436786919208E-3</v>
      </c>
      <c r="AP13">
        <f t="shared" si="22"/>
        <v>5.7344461173526049E-3</v>
      </c>
      <c r="AQ13">
        <f t="shared" si="23"/>
        <v>7.5127163168346419E-3</v>
      </c>
      <c r="AR13" s="1"/>
      <c r="AS13" s="1">
        <f t="shared" si="5"/>
        <v>1.2703269016892643E-2</v>
      </c>
      <c r="AT13" s="1">
        <f t="shared" si="6"/>
        <v>1.2024757068063068E-2</v>
      </c>
      <c r="AU13" s="1">
        <f t="shared" si="7"/>
        <v>1.1539313996729436E-2</v>
      </c>
      <c r="AV13" s="1">
        <f t="shared" si="8"/>
        <v>0.94658761080102305</v>
      </c>
      <c r="AW13" s="1">
        <f t="shared" si="9"/>
        <v>0.90837358331816831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</row>
    <row r="14" spans="1:91">
      <c r="A14" s="1" t="s">
        <v>255</v>
      </c>
      <c r="B14" s="1" t="s">
        <v>114</v>
      </c>
      <c r="C14" s="1" t="s">
        <v>115</v>
      </c>
      <c r="D14" s="1">
        <v>-0.56999999999999995</v>
      </c>
      <c r="E14" s="1">
        <v>266.15503000000001</v>
      </c>
      <c r="F14" s="1">
        <v>0.92900000000000005</v>
      </c>
      <c r="G14" s="1">
        <f t="shared" si="0"/>
        <v>65120274.839054942</v>
      </c>
      <c r="H14" s="1">
        <f t="shared" si="1"/>
        <v>148571507.947786</v>
      </c>
      <c r="I14" s="1">
        <f t="shared" si="2"/>
        <v>9.082144562540943E-3</v>
      </c>
      <c r="J14" s="1" t="e">
        <f>G14/#REF!</f>
        <v>#REF!</v>
      </c>
      <c r="K14" s="1" t="e">
        <f>H14/#REF!</f>
        <v>#REF!</v>
      </c>
      <c r="L14" s="1">
        <v>88</v>
      </c>
      <c r="M14" s="1">
        <v>51291443.801515803</v>
      </c>
      <c r="N14" s="1">
        <v>119401283.125065</v>
      </c>
      <c r="O14" s="1">
        <v>27301325.0528032</v>
      </c>
      <c r="P14" s="1">
        <v>31612211.981091902</v>
      </c>
      <c r="Q14" s="1">
        <v>52445294.007516198</v>
      </c>
      <c r="R14" s="1">
        <v>52191927.877410501</v>
      </c>
      <c r="S14" s="1">
        <v>70274349.306580305</v>
      </c>
      <c r="T14" s="1">
        <v>89256933.433915704</v>
      </c>
      <c r="U14" s="1">
        <v>50488643.780790299</v>
      </c>
      <c r="V14" s="1">
        <v>60799456.801003799</v>
      </c>
      <c r="W14" s="1">
        <v>55471589.970117398</v>
      </c>
      <c r="X14" s="1">
        <v>46278419.118840002</v>
      </c>
      <c r="Y14" s="1">
        <v>51288031.532295801</v>
      </c>
      <c r="Z14" s="1">
        <v>148571507.947786</v>
      </c>
      <c r="AA14" s="1">
        <v>70131704.849092096</v>
      </c>
      <c r="AB14" s="1" t="s">
        <v>255</v>
      </c>
      <c r="AC14">
        <f t="shared" si="3"/>
        <v>1.1655004872340271E-2</v>
      </c>
      <c r="AD14">
        <f t="shared" si="10"/>
        <v>2.0669714963785373E-2</v>
      </c>
      <c r="AE14">
        <f t="shared" si="11"/>
        <v>6.9260053474992592E-3</v>
      </c>
      <c r="AF14">
        <f t="shared" si="12"/>
        <v>7.2089126559582812E-3</v>
      </c>
      <c r="AG14">
        <f t="shared" si="13"/>
        <v>1.0362637626684367E-2</v>
      </c>
      <c r="AH14">
        <f t="shared" si="14"/>
        <v>4.4817512204981032E-3</v>
      </c>
      <c r="AI14">
        <f t="shared" si="15"/>
        <v>1.2695142400277469E-2</v>
      </c>
      <c r="AJ14">
        <f t="shared" si="16"/>
        <v>1.2985679950459565E-2</v>
      </c>
      <c r="AK14">
        <f t="shared" si="17"/>
        <v>7.3747878028396392E-3</v>
      </c>
      <c r="AL14">
        <f t="shared" si="18"/>
        <v>6.2056173007523354E-3</v>
      </c>
      <c r="AM14">
        <f t="shared" si="19"/>
        <v>4.8613539602984403E-3</v>
      </c>
      <c r="AN14">
        <f t="shared" si="20"/>
        <v>5.5973162373006528E-3</v>
      </c>
      <c r="AO14">
        <f t="shared" si="21"/>
        <v>6.5207143280589918E-3</v>
      </c>
      <c r="AP14">
        <f t="shared" si="22"/>
        <v>1.7998109694349222E-2</v>
      </c>
      <c r="AQ14">
        <f t="shared" si="23"/>
        <v>9.3637467640776163E-3</v>
      </c>
      <c r="AR14" s="1"/>
      <c r="AS14" s="1">
        <f t="shared" si="5"/>
        <v>9.3191687803293888E-3</v>
      </c>
      <c r="AT14" s="1">
        <f t="shared" si="6"/>
        <v>9.3226453816044313E-3</v>
      </c>
      <c r="AU14" s="1">
        <f t="shared" si="7"/>
        <v>1.1018536717858893E-2</v>
      </c>
      <c r="AV14" s="1">
        <f t="shared" si="8"/>
        <v>1.0003730591597806</v>
      </c>
      <c r="AW14" s="1">
        <f t="shared" si="9"/>
        <v>1.1823518789697722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</row>
    <row r="15" spans="1:91" hidden="1">
      <c r="A15" s="8" t="s">
        <v>247</v>
      </c>
      <c r="B15" s="8" t="s">
        <v>39</v>
      </c>
      <c r="C15" s="1" t="s">
        <v>40</v>
      </c>
      <c r="D15" s="1">
        <v>-0.1</v>
      </c>
      <c r="E15" s="1">
        <v>149.10517999999999</v>
      </c>
      <c r="F15" s="1">
        <v>4.7850000000000001</v>
      </c>
      <c r="G15" s="1">
        <f t="shared" si="0"/>
        <v>64347708.57140889</v>
      </c>
      <c r="H15" s="1">
        <f t="shared" si="1"/>
        <v>453932604.02150398</v>
      </c>
      <c r="I15" s="1">
        <f t="shared" si="2"/>
        <v>8.9743968826632766E-3</v>
      </c>
      <c r="J15" s="1" t="e">
        <f>G15/#REF!</f>
        <v>#REF!</v>
      </c>
      <c r="K15" s="1" t="e">
        <f>H15/#REF!</f>
        <v>#REF!</v>
      </c>
      <c r="L15" s="1">
        <v>97.5</v>
      </c>
      <c r="M15" s="1">
        <v>580269.60271399899</v>
      </c>
      <c r="N15" s="1">
        <v>805004.62001989502</v>
      </c>
      <c r="O15" s="1">
        <v>557002.89178052195</v>
      </c>
      <c r="P15" s="1">
        <v>659916.65883652901</v>
      </c>
      <c r="Q15" s="1">
        <v>747589.46890103805</v>
      </c>
      <c r="R15" s="1">
        <v>1004247.92137776</v>
      </c>
      <c r="S15" s="1">
        <v>990654.99003371305</v>
      </c>
      <c r="T15" s="1">
        <v>882019.32428402198</v>
      </c>
      <c r="U15" s="1">
        <v>906921.19549100799</v>
      </c>
      <c r="V15" s="1">
        <v>198405473.80647901</v>
      </c>
      <c r="W15" s="1">
        <v>453932604.02150398</v>
      </c>
      <c r="X15" s="1">
        <v>303786559.63412201</v>
      </c>
      <c r="Y15" s="1">
        <v>734694.80257174699</v>
      </c>
      <c r="Z15" s="1">
        <v>567285.60123848496</v>
      </c>
      <c r="AA15" s="1">
        <v>655384.03177960101</v>
      </c>
      <c r="AB15" s="1" t="s">
        <v>247</v>
      </c>
      <c r="AC15">
        <f t="shared" si="3"/>
        <v>1.3185522858498176E-4</v>
      </c>
      <c r="AD15">
        <f t="shared" si="10"/>
        <v>1.3935542068599965E-4</v>
      </c>
      <c r="AE15">
        <f t="shared" si="11"/>
        <v>1.4130468025207957E-4</v>
      </c>
      <c r="AF15">
        <f t="shared" si="12"/>
        <v>1.5048872747689445E-4</v>
      </c>
      <c r="AG15">
        <f t="shared" si="13"/>
        <v>1.4771580379807994E-4</v>
      </c>
      <c r="AH15">
        <f t="shared" si="14"/>
        <v>8.623535344180057E-5</v>
      </c>
      <c r="AI15">
        <f t="shared" si="15"/>
        <v>1.7896296859551018E-4</v>
      </c>
      <c r="AJ15">
        <f t="shared" si="16"/>
        <v>1.2832191533616803E-4</v>
      </c>
      <c r="AK15">
        <f t="shared" si="17"/>
        <v>1.3247239121104269E-4</v>
      </c>
      <c r="AL15">
        <f t="shared" si="18"/>
        <v>2.0250648699827248E-2</v>
      </c>
      <c r="AM15">
        <f t="shared" si="19"/>
        <v>3.9781211669924876E-2</v>
      </c>
      <c r="AN15">
        <f t="shared" si="20"/>
        <v>3.6742600012919277E-2</v>
      </c>
      <c r="AO15">
        <f t="shared" si="21"/>
        <v>9.3408438240866432E-5</v>
      </c>
      <c r="AP15">
        <f t="shared" si="22"/>
        <v>6.87215780478134E-5</v>
      </c>
      <c r="AQ15">
        <f t="shared" si="23"/>
        <v>8.7504647434559355E-5</v>
      </c>
      <c r="AR15" s="1"/>
      <c r="AS15" s="1">
        <f t="shared" si="5"/>
        <v>1.6197829285365745E-2</v>
      </c>
      <c r="AT15" s="1">
        <f t="shared" si="6"/>
        <v>1.0567909140666902E-4</v>
      </c>
      <c r="AU15" s="1">
        <f t="shared" si="7"/>
        <v>1.4658575838090695E-4</v>
      </c>
      <c r="AV15" s="1">
        <f t="shared" si="8"/>
        <v>6.524274922575392E-3</v>
      </c>
      <c r="AW15" s="1">
        <f t="shared" si="9"/>
        <v>9.0497162180455133E-3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</row>
    <row r="16" spans="1:91" hidden="1">
      <c r="A16" s="6" t="s">
        <v>250</v>
      </c>
      <c r="B16" s="1" t="s">
        <v>215</v>
      </c>
      <c r="C16" s="1" t="s">
        <v>216</v>
      </c>
      <c r="D16" s="1">
        <v>0.02</v>
      </c>
      <c r="E16" s="1">
        <v>215.18852999999999</v>
      </c>
      <c r="F16" s="1">
        <v>1.752</v>
      </c>
      <c r="G16" s="1">
        <f t="shared" si="0"/>
        <v>61519291.767269239</v>
      </c>
      <c r="H16" s="1">
        <f t="shared" si="1"/>
        <v>251139114.92006901</v>
      </c>
      <c r="I16" s="1">
        <f t="shared" si="2"/>
        <v>8.5799254164140235E-3</v>
      </c>
      <c r="J16" s="1" t="e">
        <f>G16/#REF!</f>
        <v>#REF!</v>
      </c>
      <c r="K16" s="1" t="e">
        <f>H16/#REF!</f>
        <v>#REF!</v>
      </c>
      <c r="L16" s="1">
        <v>67.099999999999994</v>
      </c>
      <c r="M16" s="1">
        <v>165814631.511044</v>
      </c>
      <c r="N16" s="1">
        <v>16187840.722288501</v>
      </c>
      <c r="O16" s="1">
        <v>12297465.757241501</v>
      </c>
      <c r="P16" s="1">
        <v>16236033.2607267</v>
      </c>
      <c r="Q16" s="1">
        <v>22927034.1935861</v>
      </c>
      <c r="R16" s="1">
        <v>146977034.01718</v>
      </c>
      <c r="S16" s="1">
        <v>195487552.564349</v>
      </c>
      <c r="T16" s="1">
        <v>251139114.92006901</v>
      </c>
      <c r="U16" s="1">
        <v>16357425.1860593</v>
      </c>
      <c r="V16" s="1">
        <v>12381010.7423405</v>
      </c>
      <c r="W16" s="1">
        <v>20561439.6640612</v>
      </c>
      <c r="X16" s="1">
        <v>8948839.7624895703</v>
      </c>
      <c r="Y16" s="1">
        <v>9012051.0295075197</v>
      </c>
      <c r="Z16" s="1">
        <v>9187363.0367271006</v>
      </c>
      <c r="AA16" s="1">
        <v>19274540.141368601</v>
      </c>
      <c r="AB16" s="1" t="s">
        <v>250</v>
      </c>
      <c r="AC16">
        <f t="shared" si="3"/>
        <v>3.767822067253665E-2</v>
      </c>
      <c r="AD16">
        <f t="shared" si="10"/>
        <v>2.8022986424558888E-3</v>
      </c>
      <c r="AE16">
        <f t="shared" si="11"/>
        <v>3.1197135461598583E-3</v>
      </c>
      <c r="AF16">
        <f t="shared" si="12"/>
        <v>3.7024978108403011E-3</v>
      </c>
      <c r="AG16">
        <f t="shared" si="13"/>
        <v>4.5301404386956998E-3</v>
      </c>
      <c r="AH16">
        <f t="shared" si="14"/>
        <v>1.262100344595222E-2</v>
      </c>
      <c r="AI16">
        <f t="shared" si="15"/>
        <v>3.5315052245581638E-2</v>
      </c>
      <c r="AJ16">
        <f t="shared" si="16"/>
        <v>3.6537353950303997E-2</v>
      </c>
      <c r="AK16">
        <f t="shared" si="17"/>
        <v>2.3893004587679139E-3</v>
      </c>
      <c r="AL16">
        <f t="shared" si="18"/>
        <v>1.2636924490121468E-3</v>
      </c>
      <c r="AM16">
        <f t="shared" si="19"/>
        <v>1.8019392664635713E-3</v>
      </c>
      <c r="AN16">
        <f t="shared" si="20"/>
        <v>1.0823508464919255E-3</v>
      </c>
      <c r="AO16">
        <f t="shared" si="21"/>
        <v>1.1457840848562194E-3</v>
      </c>
      <c r="AP16">
        <f t="shared" si="22"/>
        <v>1.112966880533623E-3</v>
      </c>
      <c r="AQ16">
        <f t="shared" si="23"/>
        <v>2.5734710608587299E-3</v>
      </c>
      <c r="AR16" s="1"/>
      <c r="AS16" s="1">
        <f t="shared" si="5"/>
        <v>7.9580359038533399E-3</v>
      </c>
      <c r="AT16" s="1">
        <f t="shared" si="6"/>
        <v>4.2809772869561316E-3</v>
      </c>
      <c r="AU16" s="1">
        <f t="shared" si="7"/>
        <v>2.4747235551551183E-2</v>
      </c>
      <c r="AV16" s="1">
        <f t="shared" si="8"/>
        <v>0.5379439523366879</v>
      </c>
      <c r="AW16" s="1">
        <f t="shared" si="9"/>
        <v>3.1097164992141324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</row>
    <row r="17" spans="1:91" hidden="1">
      <c r="A17" s="1" t="s">
        <v>244</v>
      </c>
      <c r="B17" s="1" t="s">
        <v>71</v>
      </c>
      <c r="C17" s="1" t="s">
        <v>72</v>
      </c>
      <c r="D17" s="1">
        <v>0.5</v>
      </c>
      <c r="E17" s="1">
        <v>129.07903999999999</v>
      </c>
      <c r="F17" s="1">
        <v>4.6589999999999998</v>
      </c>
      <c r="G17" s="1">
        <f t="shared" si="0"/>
        <v>51898925.04346396</v>
      </c>
      <c r="H17" s="1">
        <f t="shared" si="1"/>
        <v>565871671.37648404</v>
      </c>
      <c r="I17" s="1">
        <f t="shared" si="2"/>
        <v>7.2381994862609012E-3</v>
      </c>
      <c r="J17" s="1" t="e">
        <f>G17/#REF!</f>
        <v>#REF!</v>
      </c>
      <c r="K17" s="1" t="e">
        <f>H17/#REF!</f>
        <v>#REF!</v>
      </c>
      <c r="L17" s="1">
        <v>70.900000000000006</v>
      </c>
      <c r="M17" s="1">
        <v>69989141.254427195</v>
      </c>
      <c r="N17" s="1">
        <v>24831203.6598389</v>
      </c>
      <c r="O17" s="1">
        <v>12882934.599970501</v>
      </c>
      <c r="P17" s="1">
        <v>8858728.6221713796</v>
      </c>
      <c r="Q17" s="1">
        <v>6685018.5507863201</v>
      </c>
      <c r="R17" s="1">
        <v>40803707.033859201</v>
      </c>
      <c r="S17" s="1">
        <v>13651674.2727354</v>
      </c>
      <c r="T17" s="1">
        <v>7978746.1635081396</v>
      </c>
      <c r="U17" s="1">
        <v>565871671.37648404</v>
      </c>
      <c r="V17" s="1">
        <v>1968219.53599994</v>
      </c>
      <c r="W17" s="1">
        <v>2355431.3804612402</v>
      </c>
      <c r="X17" s="1">
        <v>2223583.50814232</v>
      </c>
      <c r="Y17" s="1">
        <v>5653965.8829884604</v>
      </c>
      <c r="Z17" s="1">
        <v>6845615.03777555</v>
      </c>
      <c r="AA17" s="1">
        <v>7884234.7728109099</v>
      </c>
      <c r="AB17" s="1" t="s">
        <v>244</v>
      </c>
      <c r="AC17">
        <f t="shared" si="3"/>
        <v>1.5903700926959547E-2</v>
      </c>
      <c r="AD17">
        <f t="shared" si="10"/>
        <v>4.2985626990203656E-3</v>
      </c>
      <c r="AE17">
        <f t="shared" si="11"/>
        <v>3.2682396828104645E-3</v>
      </c>
      <c r="AF17">
        <f t="shared" si="12"/>
        <v>2.0201623637810776E-3</v>
      </c>
      <c r="AG17">
        <f t="shared" si="13"/>
        <v>1.3208892443149095E-3</v>
      </c>
      <c r="AH17">
        <f t="shared" si="14"/>
        <v>3.5038380691623282E-3</v>
      </c>
      <c r="AI17">
        <f t="shared" si="15"/>
        <v>2.4661907311086546E-3</v>
      </c>
      <c r="AJ17">
        <f t="shared" si="16"/>
        <v>1.1607999524427363E-3</v>
      </c>
      <c r="AK17">
        <f t="shared" si="17"/>
        <v>8.2655884324378898E-2</v>
      </c>
      <c r="AL17">
        <f t="shared" si="18"/>
        <v>2.0089023565220913E-4</v>
      </c>
      <c r="AM17">
        <f t="shared" si="19"/>
        <v>2.0642252504002344E-4</v>
      </c>
      <c r="AN17">
        <f t="shared" si="20"/>
        <v>2.6893961185575876E-4</v>
      </c>
      <c r="AO17">
        <f t="shared" si="21"/>
        <v>7.1884015124160192E-4</v>
      </c>
      <c r="AP17">
        <f t="shared" si="22"/>
        <v>8.2928504985270283E-4</v>
      </c>
      <c r="AQ17">
        <f t="shared" si="23"/>
        <v>1.0526762182666675E-3</v>
      </c>
      <c r="AR17" s="1"/>
      <c r="AS17" s="1">
        <f t="shared" si="5"/>
        <v>4.0244592802230611E-3</v>
      </c>
      <c r="AT17" s="1">
        <f t="shared" si="6"/>
        <v>1.5742818494365481E-3</v>
      </c>
      <c r="AU17" s="1">
        <f t="shared" si="7"/>
        <v>2.8760958335976763E-2</v>
      </c>
      <c r="AV17" s="1">
        <f t="shared" si="8"/>
        <v>0.39117847636646763</v>
      </c>
      <c r="AW17" s="1">
        <f t="shared" si="9"/>
        <v>7.1465397792228744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</row>
    <row r="18" spans="1:91" hidden="1">
      <c r="A18" s="1" t="s">
        <v>260</v>
      </c>
      <c r="B18" s="1" t="s">
        <v>33</v>
      </c>
      <c r="C18" s="1" t="s">
        <v>34</v>
      </c>
      <c r="D18" s="1">
        <v>-0.41</v>
      </c>
      <c r="E18" s="1">
        <v>326.07065999999998</v>
      </c>
      <c r="F18" s="1">
        <v>0.89300000000000002</v>
      </c>
      <c r="G18" s="1">
        <f t="shared" si="0"/>
        <v>51809408.72240781</v>
      </c>
      <c r="H18" s="1">
        <f t="shared" si="1"/>
        <v>78894570.953776196</v>
      </c>
      <c r="I18" s="1">
        <f t="shared" si="2"/>
        <v>7.2257148926293761E-3</v>
      </c>
      <c r="J18" s="1" t="e">
        <f>G18/#REF!</f>
        <v>#REF!</v>
      </c>
      <c r="K18" s="1" t="e">
        <f>H18/#REF!</f>
        <v>#REF!</v>
      </c>
      <c r="L18" s="1">
        <v>91.8</v>
      </c>
      <c r="M18" s="1">
        <v>41238171.458454601</v>
      </c>
      <c r="N18" s="1">
        <v>77191141.802873299</v>
      </c>
      <c r="O18" s="1">
        <v>35843267.370254502</v>
      </c>
      <c r="P18" s="1">
        <v>35921602.008736603</v>
      </c>
      <c r="Q18" s="1">
        <v>38148688.036945403</v>
      </c>
      <c r="R18" s="1">
        <v>69319986.480708703</v>
      </c>
      <c r="S18" s="1">
        <v>54816780.210199803</v>
      </c>
      <c r="T18" s="1">
        <v>54919144.454462498</v>
      </c>
      <c r="U18" s="1">
        <v>62820807.334391497</v>
      </c>
      <c r="V18" s="1">
        <v>46648031.042706899</v>
      </c>
      <c r="W18" s="1">
        <v>45090913.359678</v>
      </c>
      <c r="X18" s="1">
        <v>40680194.848269597</v>
      </c>
      <c r="Y18" s="1">
        <v>42729258.7147374</v>
      </c>
      <c r="Z18" s="1">
        <v>78894570.953776196</v>
      </c>
      <c r="AA18" s="1">
        <v>52878572.759922102</v>
      </c>
      <c r="AB18" s="1" t="s">
        <v>260</v>
      </c>
      <c r="AC18">
        <f t="shared" si="3"/>
        <v>9.3705899786055129E-3</v>
      </c>
      <c r="AD18">
        <f t="shared" si="10"/>
        <v>1.3362661246473605E-2</v>
      </c>
      <c r="AE18">
        <f t="shared" si="11"/>
        <v>9.0929894793783609E-3</v>
      </c>
      <c r="AF18">
        <f t="shared" si="12"/>
        <v>8.1916346599841209E-3</v>
      </c>
      <c r="AG18">
        <f t="shared" si="13"/>
        <v>7.5377788902020225E-3</v>
      </c>
      <c r="AH18">
        <f t="shared" si="14"/>
        <v>5.9525475806248822E-3</v>
      </c>
      <c r="AI18">
        <f t="shared" si="15"/>
        <v>9.9027146826677973E-3</v>
      </c>
      <c r="AJ18">
        <f t="shared" si="16"/>
        <v>7.989994789219591E-3</v>
      </c>
      <c r="AK18">
        <f t="shared" si="17"/>
        <v>9.1761253422790491E-3</v>
      </c>
      <c r="AL18">
        <f t="shared" si="18"/>
        <v>4.7612239272485507E-3</v>
      </c>
      <c r="AM18">
        <f t="shared" si="19"/>
        <v>3.9516244324820926E-3</v>
      </c>
      <c r="AN18">
        <f t="shared" si="20"/>
        <v>4.9202180950921222E-3</v>
      </c>
      <c r="AO18">
        <f t="shared" si="21"/>
        <v>5.4325596285183771E-3</v>
      </c>
      <c r="AP18">
        <f t="shared" si="22"/>
        <v>9.5573718132665828E-3</v>
      </c>
      <c r="AQ18">
        <f t="shared" si="23"/>
        <v>7.0601672329968085E-3</v>
      </c>
      <c r="AR18" s="1"/>
      <c r="AS18" s="1">
        <f t="shared" si="5"/>
        <v>7.5765511932133741E-3</v>
      </c>
      <c r="AT18" s="1">
        <f t="shared" si="6"/>
        <v>7.2886766342654665E-3</v>
      </c>
      <c r="AU18" s="1">
        <f t="shared" si="7"/>
        <v>9.0229449380554803E-3</v>
      </c>
      <c r="AV18" s="1">
        <f t="shared" si="8"/>
        <v>0.96200453852858958</v>
      </c>
      <c r="AW18" s="1">
        <f t="shared" si="9"/>
        <v>1.190903975695129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</row>
    <row r="19" spans="1:91" hidden="1">
      <c r="A19" s="1" t="s">
        <v>245</v>
      </c>
      <c r="B19" s="1" t="s">
        <v>217</v>
      </c>
      <c r="C19" s="1" t="s">
        <v>218</v>
      </c>
      <c r="D19" s="1">
        <v>0.15</v>
      </c>
      <c r="E19" s="1">
        <v>152.13137</v>
      </c>
      <c r="F19" s="1">
        <v>1.778</v>
      </c>
      <c r="G19" s="1">
        <f t="shared" si="0"/>
        <v>41957959.640540257</v>
      </c>
      <c r="H19" s="1">
        <f t="shared" si="1"/>
        <v>508139489.16346103</v>
      </c>
      <c r="I19" s="1">
        <f t="shared" si="2"/>
        <v>5.8517605453364098E-3</v>
      </c>
      <c r="J19" s="1" t="e">
        <f>G19/#REF!</f>
        <v>#REF!</v>
      </c>
      <c r="K19" s="1" t="e">
        <f>H19/#REF!</f>
        <v>#REF!</v>
      </c>
      <c r="L19" s="1">
        <v>52.3</v>
      </c>
      <c r="M19" s="1">
        <v>17010146.912392601</v>
      </c>
      <c r="N19" s="1">
        <v>1468575.3373334799</v>
      </c>
      <c r="O19" s="1">
        <v>11465041.059854999</v>
      </c>
      <c r="P19" s="1">
        <v>4230497.5632024501</v>
      </c>
      <c r="Q19" s="1">
        <v>14669633.636344999</v>
      </c>
      <c r="R19" s="1">
        <v>508139489.16346103</v>
      </c>
      <c r="S19" s="1">
        <v>971037.13842463505</v>
      </c>
      <c r="T19" s="1">
        <v>1966180.76588653</v>
      </c>
      <c r="U19" s="1">
        <v>50802319.195558302</v>
      </c>
      <c r="V19" s="1">
        <v>1326911.4940241801</v>
      </c>
      <c r="W19" s="1">
        <v>1323689.81915684</v>
      </c>
      <c r="X19" s="1">
        <v>6218955.2155438904</v>
      </c>
      <c r="Y19" s="1">
        <v>2442047.2505428898</v>
      </c>
      <c r="Z19" s="1">
        <v>3460978.4594034599</v>
      </c>
      <c r="AA19" s="1">
        <v>3873891.5969735002</v>
      </c>
      <c r="AB19" s="6" t="s">
        <v>245</v>
      </c>
      <c r="AC19">
        <f t="shared" si="3"/>
        <v>3.8652322970347086E-3</v>
      </c>
      <c r="AD19">
        <f t="shared" si="10"/>
        <v>2.542270303220534E-4</v>
      </c>
      <c r="AE19">
        <f t="shared" si="11"/>
        <v>2.9085377920769115E-3</v>
      </c>
      <c r="AF19">
        <f t="shared" si="12"/>
        <v>9.6473120712375459E-4</v>
      </c>
      <c r="AG19">
        <f t="shared" si="13"/>
        <v>2.8985650736913999E-3</v>
      </c>
      <c r="AH19">
        <f t="shared" si="14"/>
        <v>4.3634233651815332E-2</v>
      </c>
      <c r="AI19">
        <f t="shared" si="15"/>
        <v>1.7541898103501011E-4</v>
      </c>
      <c r="AJ19">
        <f t="shared" si="16"/>
        <v>2.8605278232480999E-4</v>
      </c>
      <c r="AK19">
        <f t="shared" si="17"/>
        <v>7.4206058214999438E-3</v>
      </c>
      <c r="AL19">
        <f t="shared" si="18"/>
        <v>1.3543385676675375E-4</v>
      </c>
      <c r="AM19">
        <f t="shared" si="19"/>
        <v>1.1600397154708078E-4</v>
      </c>
      <c r="AN19">
        <f t="shared" si="20"/>
        <v>7.5217476460509483E-4</v>
      </c>
      <c r="AO19">
        <f t="shared" si="21"/>
        <v>3.1047969712748476E-4</v>
      </c>
      <c r="AP19">
        <f t="shared" si="22"/>
        <v>4.1926659305372896E-4</v>
      </c>
      <c r="AQ19">
        <f t="shared" si="23"/>
        <v>5.1722883371510791E-4</v>
      </c>
      <c r="AR19" s="1"/>
      <c r="AS19" s="1">
        <f t="shared" si="5"/>
        <v>1.3386016187254338E-3</v>
      </c>
      <c r="AT19" s="1">
        <f t="shared" si="6"/>
        <v>8.124084176087799E-3</v>
      </c>
      <c r="AU19" s="1">
        <f t="shared" si="7"/>
        <v>2.6273591949532546E-3</v>
      </c>
      <c r="AV19" s="1">
        <f t="shared" si="8"/>
        <v>6.0690828865299347</v>
      </c>
      <c r="AW19" s="1">
        <f t="shared" si="9"/>
        <v>1.9627640951569501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</row>
    <row r="20" spans="1:91" hidden="1">
      <c r="A20" s="1" t="s">
        <v>263</v>
      </c>
      <c r="B20" s="1" t="s">
        <v>69</v>
      </c>
      <c r="C20" s="1" t="s">
        <v>70</v>
      </c>
      <c r="D20" s="1">
        <v>0.6</v>
      </c>
      <c r="E20" s="1">
        <v>99.068470000000005</v>
      </c>
      <c r="F20" s="1">
        <v>1.248</v>
      </c>
      <c r="G20" s="1">
        <f t="shared" si="0"/>
        <v>37970843.575279444</v>
      </c>
      <c r="H20" s="1">
        <f t="shared" si="1"/>
        <v>67995326.523311406</v>
      </c>
      <c r="I20" s="1">
        <f t="shared" si="2"/>
        <v>5.2956884989295849E-3</v>
      </c>
      <c r="J20" s="1" t="e">
        <f>G20/#REF!</f>
        <v>#REF!</v>
      </c>
      <c r="K20" s="1" t="e">
        <f>H20/#REF!</f>
        <v>#REF!</v>
      </c>
      <c r="L20" s="1">
        <v>79.900000000000006</v>
      </c>
      <c r="M20" s="1">
        <v>42499602.437091403</v>
      </c>
      <c r="N20" s="1">
        <v>67995326.523311406</v>
      </c>
      <c r="O20" s="1">
        <v>42219763.948810399</v>
      </c>
      <c r="P20" s="1">
        <v>38466711.303826697</v>
      </c>
      <c r="Q20" s="1">
        <v>43675283.459243298</v>
      </c>
      <c r="R20" s="1">
        <v>52469698.685937002</v>
      </c>
      <c r="S20" s="1">
        <v>49143659.975381598</v>
      </c>
      <c r="T20" s="1">
        <v>51541541.176763698</v>
      </c>
      <c r="U20" s="1">
        <v>43236841.396748297</v>
      </c>
      <c r="V20" s="1">
        <v>33071056.2841908</v>
      </c>
      <c r="W20" s="1">
        <v>15389230.270602301</v>
      </c>
      <c r="X20" s="1">
        <v>17662601.531920299</v>
      </c>
      <c r="Y20" s="1">
        <v>24971623.684854899</v>
      </c>
      <c r="Z20" s="1">
        <v>21410150.5205599</v>
      </c>
      <c r="AA20" s="1">
        <v>25809562.429949701</v>
      </c>
      <c r="AB20" s="1" t="s">
        <v>263</v>
      </c>
      <c r="AC20">
        <f t="shared" si="3"/>
        <v>9.6572261719446145E-3</v>
      </c>
      <c r="AD20">
        <f t="shared" si="10"/>
        <v>1.1770761430044701E-2</v>
      </c>
      <c r="AE20">
        <f t="shared" si="11"/>
        <v>1.0710627059824455E-2</v>
      </c>
      <c r="AF20">
        <f t="shared" si="12"/>
        <v>8.7720265230763379E-3</v>
      </c>
      <c r="AG20">
        <f t="shared" si="13"/>
        <v>8.6297759273882019E-3</v>
      </c>
      <c r="AH20">
        <f t="shared" si="14"/>
        <v>4.5056035614780424E-3</v>
      </c>
      <c r="AI20">
        <f t="shared" si="15"/>
        <v>8.877858957277697E-3</v>
      </c>
      <c r="AJ20">
        <f t="shared" si="16"/>
        <v>7.4985990681656805E-3</v>
      </c>
      <c r="AK20">
        <f t="shared" si="17"/>
        <v>6.3155297248719284E-3</v>
      </c>
      <c r="AL20">
        <f t="shared" si="18"/>
        <v>3.3754630358464057E-3</v>
      </c>
      <c r="AM20">
        <f t="shared" si="19"/>
        <v>1.3486632628024308E-3</v>
      </c>
      <c r="AN20">
        <f t="shared" si="20"/>
        <v>2.136269307162689E-3</v>
      </c>
      <c r="AO20">
        <f t="shared" si="21"/>
        <v>3.1748698378918218E-3</v>
      </c>
      <c r="AP20">
        <f t="shared" si="22"/>
        <v>2.5936482907408459E-3</v>
      </c>
      <c r="AQ20">
        <f t="shared" si="23"/>
        <v>3.4460050159301008E-3</v>
      </c>
      <c r="AR20" s="1"/>
      <c r="AS20" s="1">
        <f t="shared" si="5"/>
        <v>6.4998350446042151E-3</v>
      </c>
      <c r="AT20" s="1">
        <f t="shared" si="6"/>
        <v>5.1869881927508917E-3</v>
      </c>
      <c r="AU20" s="1">
        <f t="shared" si="7"/>
        <v>7.5639959167717692E-3</v>
      </c>
      <c r="AV20" s="1">
        <f t="shared" si="8"/>
        <v>0.79801843541503836</v>
      </c>
      <c r="AW20" s="1">
        <f t="shared" si="9"/>
        <v>1.1637212121330616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</row>
    <row r="21" spans="1:91" hidden="1">
      <c r="A21" s="1" t="s">
        <v>262</v>
      </c>
      <c r="B21" s="6" t="s">
        <v>43</v>
      </c>
      <c r="C21" s="1" t="s">
        <v>44</v>
      </c>
      <c r="D21" s="1">
        <v>0.33</v>
      </c>
      <c r="E21" s="1">
        <v>185.21440999999999</v>
      </c>
      <c r="F21" s="1">
        <v>1.474</v>
      </c>
      <c r="G21" s="1">
        <f t="shared" si="0"/>
        <v>37786431.7457873</v>
      </c>
      <c r="H21" s="1">
        <f t="shared" si="1"/>
        <v>69207967.099322796</v>
      </c>
      <c r="I21" s="1">
        <f t="shared" si="2"/>
        <v>5.2699690912853493E-3</v>
      </c>
      <c r="J21" s="1" t="e">
        <f>G21/#REF!</f>
        <v>#REF!</v>
      </c>
      <c r="K21" s="1" t="e">
        <f>H21/#REF!</f>
        <v>#REF!</v>
      </c>
      <c r="L21" s="1">
        <v>70</v>
      </c>
      <c r="M21" s="1">
        <v>69207967.099322796</v>
      </c>
      <c r="N21" s="1">
        <v>35456705.418509498</v>
      </c>
      <c r="O21" s="1">
        <v>16670420.9372127</v>
      </c>
      <c r="P21" s="1">
        <v>37710957.481569096</v>
      </c>
      <c r="Q21" s="1">
        <v>31593382.7458947</v>
      </c>
      <c r="R21" s="1">
        <v>44828304.657920897</v>
      </c>
      <c r="S21" s="1">
        <v>28517511.397623599</v>
      </c>
      <c r="T21" s="1">
        <v>67584755.891230404</v>
      </c>
      <c r="U21" s="1">
        <v>31121518.746990401</v>
      </c>
      <c r="V21" s="1">
        <v>28259784.442142799</v>
      </c>
      <c r="W21" s="1">
        <v>57188790.194501102</v>
      </c>
      <c r="X21" s="1">
        <v>35452441.505864702</v>
      </c>
      <c r="Y21" s="1">
        <v>8800140.1553639807</v>
      </c>
      <c r="Z21" s="1">
        <v>8411044.0496306904</v>
      </c>
      <c r="AA21" s="1">
        <v>65992751.463032201</v>
      </c>
      <c r="AB21" s="1" t="s">
        <v>262</v>
      </c>
      <c r="AC21">
        <f t="shared" si="3"/>
        <v>1.5726193960707624E-2</v>
      </c>
      <c r="AD21">
        <f t="shared" si="10"/>
        <v>6.137957443789378E-3</v>
      </c>
      <c r="AE21">
        <f t="shared" si="11"/>
        <v>4.2290776851632633E-3</v>
      </c>
      <c r="AF21">
        <f t="shared" si="12"/>
        <v>8.5996828953251274E-3</v>
      </c>
      <c r="AG21">
        <f t="shared" si="13"/>
        <v>6.2425196195854881E-3</v>
      </c>
      <c r="AH21">
        <f t="shared" si="14"/>
        <v>3.8494326092992351E-3</v>
      </c>
      <c r="AI21">
        <f t="shared" si="15"/>
        <v>5.1517213843553502E-3</v>
      </c>
      <c r="AJ21">
        <f t="shared" si="16"/>
        <v>9.8326704242336516E-3</v>
      </c>
      <c r="AK21">
        <f t="shared" si="17"/>
        <v>4.5458657566174263E-3</v>
      </c>
      <c r="AL21">
        <f t="shared" si="18"/>
        <v>2.8843910205263164E-3</v>
      </c>
      <c r="AM21">
        <f t="shared" si="19"/>
        <v>5.0118439339215167E-3</v>
      </c>
      <c r="AN21">
        <f t="shared" si="20"/>
        <v>4.2879279428960342E-3</v>
      </c>
      <c r="AO21">
        <f t="shared" si="21"/>
        <v>1.1188419263834545E-3</v>
      </c>
      <c r="AP21">
        <f t="shared" si="22"/>
        <v>1.0189227769193709E-3</v>
      </c>
      <c r="AQ21">
        <f t="shared" si="23"/>
        <v>8.8111277815677656E-3</v>
      </c>
      <c r="AR21" s="1"/>
      <c r="AS21" s="1">
        <f t="shared" si="5"/>
        <v>6.3795653311673568E-3</v>
      </c>
      <c r="AT21" s="1">
        <f t="shared" si="6"/>
        <v>4.9400879348467409E-3</v>
      </c>
      <c r="AU21" s="1">
        <f t="shared" si="7"/>
        <v>6.5100858550688088E-3</v>
      </c>
      <c r="AV21" s="1">
        <f t="shared" si="8"/>
        <v>0.77436121089817023</v>
      </c>
      <c r="AW21" s="1">
        <f t="shared" si="9"/>
        <v>1.0204591562474945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</row>
    <row r="22" spans="1:91" hidden="1">
      <c r="A22" s="1" t="s">
        <v>259</v>
      </c>
      <c r="B22" s="6" t="s">
        <v>113</v>
      </c>
      <c r="C22" s="1" t="s">
        <v>44</v>
      </c>
      <c r="D22" s="1">
        <v>0.01</v>
      </c>
      <c r="E22" s="1">
        <v>185.21435</v>
      </c>
      <c r="F22" s="1">
        <v>1.57</v>
      </c>
      <c r="G22" s="1">
        <f t="shared" si="0"/>
        <v>34414969.346725397</v>
      </c>
      <c r="H22" s="1">
        <f t="shared" si="1"/>
        <v>91943350.881509393</v>
      </c>
      <c r="I22" s="1">
        <f t="shared" si="2"/>
        <v>4.7997605583648562E-3</v>
      </c>
      <c r="J22" s="1" t="e">
        <f>G22/#REF!</f>
        <v>#REF!</v>
      </c>
      <c r="K22" s="1" t="e">
        <f>H22/#REF!</f>
        <v>#REF!</v>
      </c>
      <c r="L22" s="1">
        <v>77.599999999999994</v>
      </c>
      <c r="M22" s="1">
        <v>46330596.424172103</v>
      </c>
      <c r="N22" s="1">
        <v>91943350.881509393</v>
      </c>
      <c r="O22" s="1">
        <v>11206639.6940709</v>
      </c>
      <c r="P22" s="1">
        <v>16722456.159333499</v>
      </c>
      <c r="Q22" s="1">
        <v>53703387.926527597</v>
      </c>
      <c r="R22" s="1">
        <v>50733839.991374701</v>
      </c>
      <c r="S22" s="1">
        <v>28517511.397623599</v>
      </c>
      <c r="T22" s="1">
        <v>70800372.060862795</v>
      </c>
      <c r="U22" s="1">
        <v>13268899.5308218</v>
      </c>
      <c r="V22" s="1">
        <v>25533082.854965702</v>
      </c>
      <c r="W22" s="1">
        <v>19576925.699219901</v>
      </c>
      <c r="X22" s="1">
        <v>21626267.161574099</v>
      </c>
      <c r="Y22" s="1">
        <v>20973173.313157499</v>
      </c>
      <c r="Z22" s="1">
        <v>19467764.413334198</v>
      </c>
      <c r="AA22" s="1">
        <v>25820272.692333199</v>
      </c>
      <c r="AB22" s="1" t="s">
        <v>259</v>
      </c>
      <c r="AC22">
        <f t="shared" si="3"/>
        <v>1.052774667743314E-2</v>
      </c>
      <c r="AD22">
        <f t="shared" si="10"/>
        <v>1.591643578524625E-2</v>
      </c>
      <c r="AE22">
        <f t="shared" si="11"/>
        <v>2.8429845913527578E-3</v>
      </c>
      <c r="AF22">
        <f t="shared" si="12"/>
        <v>3.8134226708915952E-3</v>
      </c>
      <c r="AG22">
        <f t="shared" si="13"/>
        <v>1.0611223732068426E-2</v>
      </c>
      <c r="AH22">
        <f t="shared" si="14"/>
        <v>4.3565443651739713E-3</v>
      </c>
      <c r="AI22">
        <f t="shared" si="15"/>
        <v>5.1517213843553502E-3</v>
      </c>
      <c r="AJ22">
        <f t="shared" si="16"/>
        <v>1.0300499205885499E-2</v>
      </c>
      <c r="AK22">
        <f t="shared" si="17"/>
        <v>1.9381649236187405E-3</v>
      </c>
      <c r="AL22">
        <f t="shared" si="18"/>
        <v>2.6060848080422653E-3</v>
      </c>
      <c r="AM22">
        <f t="shared" si="19"/>
        <v>1.715659589523923E-3</v>
      </c>
      <c r="AN22">
        <f t="shared" si="20"/>
        <v>2.6156696499254743E-3</v>
      </c>
      <c r="AO22">
        <f t="shared" si="21"/>
        <v>2.6665104439006103E-3</v>
      </c>
      <c r="AP22">
        <f t="shared" si="22"/>
        <v>2.3583455822369097E-3</v>
      </c>
      <c r="AQ22">
        <f t="shared" si="23"/>
        <v>3.4474350137456639E-3</v>
      </c>
      <c r="AR22" s="1"/>
      <c r="AS22" s="1">
        <f t="shared" si="5"/>
        <v>6.0374301835873024E-3</v>
      </c>
      <c r="AT22" s="1">
        <f t="shared" si="6"/>
        <v>4.5422469680028625E-3</v>
      </c>
      <c r="AU22" s="1">
        <f t="shared" si="7"/>
        <v>5.7967951712865297E-3</v>
      </c>
      <c r="AV22" s="1">
        <f t="shared" si="8"/>
        <v>0.75234774231442358</v>
      </c>
      <c r="AW22" s="1">
        <f t="shared" si="9"/>
        <v>0.96014280828374021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</row>
    <row r="23" spans="1:91" hidden="1">
      <c r="A23" s="1" t="s">
        <v>264</v>
      </c>
      <c r="B23" s="6" t="s">
        <v>227</v>
      </c>
      <c r="C23" s="1" t="s">
        <v>76</v>
      </c>
      <c r="D23" s="1">
        <v>0.36</v>
      </c>
      <c r="E23" s="1">
        <v>162.11575999999999</v>
      </c>
      <c r="F23" s="1">
        <v>3.3740000000000001</v>
      </c>
      <c r="G23" s="1">
        <f t="shared" si="0"/>
        <v>33395792.241214767</v>
      </c>
      <c r="H23" s="1">
        <f t="shared" si="1"/>
        <v>65150120.706920199</v>
      </c>
      <c r="I23" s="1">
        <f t="shared" si="2"/>
        <v>4.6576187472322011E-3</v>
      </c>
      <c r="J23" s="1" t="e">
        <f>G23/#REF!</f>
        <v>#REF!</v>
      </c>
      <c r="K23" s="1" t="e">
        <f>H23/#REF!</f>
        <v>#REF!</v>
      </c>
      <c r="L23" s="1">
        <v>92.4</v>
      </c>
      <c r="M23" s="1">
        <v>16673748.0502354</v>
      </c>
      <c r="N23" s="1">
        <v>10536904.8508079</v>
      </c>
      <c r="O23" s="1">
        <v>29118050.699228499</v>
      </c>
      <c r="P23" s="1">
        <v>27936293.685975999</v>
      </c>
      <c r="Q23" s="1">
        <v>6509338.6275677001</v>
      </c>
      <c r="R23" s="1">
        <v>43317030.823702298</v>
      </c>
      <c r="S23" s="1">
        <v>31700206.978606898</v>
      </c>
      <c r="T23" s="1">
        <v>42187287.793511398</v>
      </c>
      <c r="U23" s="1">
        <v>36677689.157325201</v>
      </c>
      <c r="V23" s="1">
        <v>34975010.511782996</v>
      </c>
      <c r="W23" s="1">
        <v>47179586.903648898</v>
      </c>
      <c r="X23" s="1">
        <v>65150120.706920199</v>
      </c>
      <c r="Y23" s="1">
        <v>21197384.855955701</v>
      </c>
      <c r="Z23" s="1">
        <v>54725089.0742229</v>
      </c>
      <c r="AA23" s="1">
        <v>33053140.898729499</v>
      </c>
      <c r="AB23" s="1" t="s">
        <v>264</v>
      </c>
      <c r="AC23">
        <f t="shared" si="3"/>
        <v>3.7887920550196057E-3</v>
      </c>
      <c r="AD23">
        <f t="shared" si="10"/>
        <v>1.8240576161865946E-3</v>
      </c>
      <c r="AE23">
        <f t="shared" si="11"/>
        <v>7.3868859647493266E-3</v>
      </c>
      <c r="AF23">
        <f t="shared" si="12"/>
        <v>6.3706488250128354E-3</v>
      </c>
      <c r="AG23">
        <f t="shared" si="13"/>
        <v>1.286176742134306E-3</v>
      </c>
      <c r="AH23">
        <f t="shared" si="14"/>
        <v>3.7196586456525005E-3</v>
      </c>
      <c r="AI23">
        <f t="shared" si="15"/>
        <v>5.7266790184850687E-3</v>
      </c>
      <c r="AJ23">
        <f t="shared" si="16"/>
        <v>6.1376813675777121E-3</v>
      </c>
      <c r="AK23">
        <f t="shared" si="17"/>
        <v>5.3574458408546227E-3</v>
      </c>
      <c r="AL23">
        <f t="shared" si="18"/>
        <v>3.5697939051707447E-3</v>
      </c>
      <c r="AM23">
        <f t="shared" si="19"/>
        <v>4.1346691479882342E-3</v>
      </c>
      <c r="AN23">
        <f t="shared" si="20"/>
        <v>7.8798246664066804E-3</v>
      </c>
      <c r="AO23">
        <f t="shared" si="21"/>
        <v>2.6950164983534862E-3</v>
      </c>
      <c r="AP23">
        <f t="shared" si="22"/>
        <v>6.6294552017136842E-3</v>
      </c>
      <c r="AQ23">
        <f t="shared" si="23"/>
        <v>4.413142982892802E-3</v>
      </c>
      <c r="AR23" s="1"/>
      <c r="AS23" s="1">
        <f t="shared" si="5"/>
        <v>4.764003892586864E-3</v>
      </c>
      <c r="AT23" s="1">
        <f t="shared" si="6"/>
        <v>4.1856831492932687E-3</v>
      </c>
      <c r="AU23" s="1">
        <f t="shared" si="7"/>
        <v>5.7406020756391339E-3</v>
      </c>
      <c r="AV23" s="1">
        <f t="shared" si="8"/>
        <v>0.87860615643209183</v>
      </c>
      <c r="AW23" s="1">
        <f t="shared" si="9"/>
        <v>1.2049952529576913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</row>
    <row r="24" spans="1:91" hidden="1">
      <c r="A24" s="6" t="s">
        <v>270</v>
      </c>
      <c r="B24" s="6" t="s">
        <v>118</v>
      </c>
      <c r="C24" s="1" t="s">
        <v>119</v>
      </c>
      <c r="D24" s="1">
        <v>0.28999999999999998</v>
      </c>
      <c r="E24" s="1">
        <v>339.35021</v>
      </c>
      <c r="F24" s="1">
        <v>0.93300000000000005</v>
      </c>
      <c r="G24" s="1">
        <f t="shared" si="0"/>
        <v>29230851.092354637</v>
      </c>
      <c r="H24" s="1">
        <f t="shared" si="1"/>
        <v>46118588.616761602</v>
      </c>
      <c r="I24" s="1">
        <f t="shared" si="2"/>
        <v>4.0767459284071625E-3</v>
      </c>
      <c r="J24" s="1" t="e">
        <f>G24/#REF!</f>
        <v>#REF!</v>
      </c>
      <c r="K24" s="1" t="e">
        <f>H24/#REF!</f>
        <v>#REF!</v>
      </c>
      <c r="L24" s="1">
        <v>61.1</v>
      </c>
      <c r="M24" s="1">
        <v>35629785.965244301</v>
      </c>
      <c r="N24" s="1">
        <v>23109818.8904307</v>
      </c>
      <c r="O24" s="1">
        <v>24138659.151552301</v>
      </c>
      <c r="P24" s="1">
        <v>23282702.014502399</v>
      </c>
      <c r="Q24" s="1">
        <v>16839106.0201208</v>
      </c>
      <c r="R24" s="1">
        <v>46118588.616761602</v>
      </c>
      <c r="S24" s="1">
        <v>36234005.363817103</v>
      </c>
      <c r="T24" s="1">
        <v>36075018.378432602</v>
      </c>
      <c r="U24" s="1">
        <v>31167795.788312599</v>
      </c>
      <c r="V24" s="1">
        <v>27698777.330611601</v>
      </c>
      <c r="W24" s="1">
        <v>23555553.234427199</v>
      </c>
      <c r="X24" s="1">
        <v>15646194.117578</v>
      </c>
      <c r="Y24" s="1">
        <v>32715280.855003901</v>
      </c>
      <c r="Z24" s="1">
        <v>34000771.025528401</v>
      </c>
      <c r="AA24" s="1">
        <v>32250709.632996</v>
      </c>
      <c r="AB24" s="1" t="s">
        <v>270</v>
      </c>
      <c r="AC24">
        <f t="shared" si="3"/>
        <v>8.0961910651673082E-3</v>
      </c>
      <c r="AD24">
        <f t="shared" si="10"/>
        <v>4.0005714915942224E-3</v>
      </c>
      <c r="AE24">
        <f t="shared" si="11"/>
        <v>6.1236764897587732E-3</v>
      </c>
      <c r="AF24">
        <f t="shared" si="12"/>
        <v>5.3094343830682586E-3</v>
      </c>
      <c r="AG24">
        <f t="shared" si="13"/>
        <v>3.3272299630701455E-3</v>
      </c>
      <c r="AH24">
        <f t="shared" si="14"/>
        <v>3.9602300437397882E-3</v>
      </c>
      <c r="AI24">
        <f t="shared" si="15"/>
        <v>6.5457149353213995E-3</v>
      </c>
      <c r="AJ24">
        <f t="shared" si="16"/>
        <v>5.2484286076903064E-3</v>
      </c>
      <c r="AK24">
        <f t="shared" si="17"/>
        <v>4.5526253630227042E-3</v>
      </c>
      <c r="AL24">
        <f t="shared" si="18"/>
        <v>2.8271307155772495E-3</v>
      </c>
      <c r="AM24">
        <f t="shared" si="19"/>
        <v>2.0643338700926197E-3</v>
      </c>
      <c r="AN24">
        <f t="shared" si="20"/>
        <v>1.892387381716432E-3</v>
      </c>
      <c r="AO24">
        <f t="shared" si="21"/>
        <v>4.1593914651094979E-3</v>
      </c>
      <c r="AP24">
        <f t="shared" si="22"/>
        <v>4.1188893823772364E-3</v>
      </c>
      <c r="AQ24">
        <f t="shared" si="23"/>
        <v>4.3060050887823607E-3</v>
      </c>
      <c r="AR24" s="1"/>
      <c r="AS24" s="1">
        <f t="shared" si="5"/>
        <v>4.1673818356511008E-3</v>
      </c>
      <c r="AT24" s="1">
        <f t="shared" si="6"/>
        <v>4.1968633876912154E-3</v>
      </c>
      <c r="AU24" s="1">
        <f t="shared" si="7"/>
        <v>5.4489229686781361E-3</v>
      </c>
      <c r="AV24" s="1">
        <f t="shared" si="8"/>
        <v>1.0070743582428434</v>
      </c>
      <c r="AW24" s="1">
        <f t="shared" si="9"/>
        <v>1.3075170895221822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</row>
    <row r="25" spans="1:91" hidden="1">
      <c r="A25" s="1" t="s">
        <v>257</v>
      </c>
      <c r="B25" s="6" t="s">
        <v>136</v>
      </c>
      <c r="C25" s="6" t="s">
        <v>137</v>
      </c>
      <c r="D25" s="1">
        <v>0.92</v>
      </c>
      <c r="E25" s="1">
        <v>99.104889999999997</v>
      </c>
      <c r="F25" s="1">
        <v>2.5270000000000001</v>
      </c>
      <c r="G25" s="1">
        <f t="shared" si="0"/>
        <v>24606988.737387571</v>
      </c>
      <c r="H25" s="1">
        <f t="shared" si="1"/>
        <v>96412565.2379466</v>
      </c>
      <c r="I25" s="1">
        <f t="shared" si="2"/>
        <v>3.431868638670722E-3</v>
      </c>
      <c r="J25" s="1" t="e">
        <f>G25/#REF!</f>
        <v>#REF!</v>
      </c>
      <c r="K25" s="1" t="e">
        <f>H25/#REF!</f>
        <v>#REF!</v>
      </c>
      <c r="L25" s="1">
        <v>71.8</v>
      </c>
      <c r="M25" s="1">
        <v>1685428.61755948</v>
      </c>
      <c r="N25" s="1">
        <v>5388249.6430533398</v>
      </c>
      <c r="O25" s="1">
        <v>4285163.9245458301</v>
      </c>
      <c r="P25" s="1">
        <v>40609210.830917098</v>
      </c>
      <c r="Q25" s="1">
        <v>25088100.488244399</v>
      </c>
      <c r="R25" s="1">
        <v>28280966.372133002</v>
      </c>
      <c r="S25" s="1">
        <v>12001771.3908925</v>
      </c>
      <c r="T25" s="1">
        <v>11938913.898847099</v>
      </c>
      <c r="U25" s="1">
        <v>16049524.708249399</v>
      </c>
      <c r="V25" s="1">
        <v>19421995.3765448</v>
      </c>
      <c r="W25" s="1">
        <v>96412565.2379466</v>
      </c>
      <c r="X25" s="1">
        <v>48841494.988132201</v>
      </c>
      <c r="Y25" s="1">
        <v>18008887.354709499</v>
      </c>
      <c r="Z25" s="1">
        <v>15351492.778171901</v>
      </c>
      <c r="AA25" s="1">
        <v>25741065.450866401</v>
      </c>
      <c r="AB25" s="1" t="s">
        <v>257</v>
      </c>
      <c r="AC25">
        <f t="shared" si="3"/>
        <v>3.8298159095800189E-4</v>
      </c>
      <c r="AD25">
        <f t="shared" si="10"/>
        <v>9.3276706380930857E-4</v>
      </c>
      <c r="AE25">
        <f t="shared" si="11"/>
        <v>1.0870925934515399E-3</v>
      </c>
      <c r="AF25">
        <f t="shared" si="12"/>
        <v>9.2606064416680747E-3</v>
      </c>
      <c r="AG25">
        <f t="shared" si="13"/>
        <v>4.9571443734162494E-3</v>
      </c>
      <c r="AH25">
        <f t="shared" si="14"/>
        <v>2.4285030407936235E-3</v>
      </c>
      <c r="AI25">
        <f t="shared" si="15"/>
        <v>2.1681338691340894E-3</v>
      </c>
      <c r="AJ25">
        <f t="shared" si="16"/>
        <v>1.7369509446715082E-3</v>
      </c>
      <c r="AK25">
        <f t="shared" si="17"/>
        <v>2.3443259750384679E-3</v>
      </c>
      <c r="AL25">
        <f t="shared" si="18"/>
        <v>1.9823445284765833E-3</v>
      </c>
      <c r="AM25">
        <f t="shared" si="19"/>
        <v>8.4492909991314511E-3</v>
      </c>
      <c r="AN25">
        <f t="shared" si="20"/>
        <v>5.9073170206848527E-3</v>
      </c>
      <c r="AO25">
        <f t="shared" si="21"/>
        <v>2.2896337858533148E-3</v>
      </c>
      <c r="AP25">
        <f t="shared" si="22"/>
        <v>1.85969608042647E-3</v>
      </c>
      <c r="AQ25">
        <f t="shared" si="23"/>
        <v>3.4368595321917481E-3</v>
      </c>
      <c r="AR25" s="1"/>
      <c r="AS25" s="1">
        <f t="shared" si="5"/>
        <v>3.123632299418623E-3</v>
      </c>
      <c r="AT25" s="1">
        <f t="shared" si="6"/>
        <v>4.0387405423915803E-3</v>
      </c>
      <c r="AU25" s="1">
        <f t="shared" si="7"/>
        <v>2.0831369296146884E-3</v>
      </c>
      <c r="AV25" s="1">
        <f t="shared" si="8"/>
        <v>1.29296285710174</v>
      </c>
      <c r="AW25" s="1">
        <f t="shared" si="9"/>
        <v>0.66689569383771774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</row>
    <row r="26" spans="1:91" hidden="1">
      <c r="A26" s="1" t="s">
        <v>277</v>
      </c>
      <c r="B26" s="1" t="s">
        <v>103</v>
      </c>
      <c r="C26" s="1" t="s">
        <v>104</v>
      </c>
      <c r="D26" s="1">
        <v>-0.11</v>
      </c>
      <c r="E26" s="1">
        <v>117.05784</v>
      </c>
      <c r="F26" s="1">
        <v>0.95599999999999996</v>
      </c>
      <c r="G26" s="1">
        <f t="shared" si="0"/>
        <v>23772858.623035446</v>
      </c>
      <c r="H26" s="1">
        <f t="shared" si="1"/>
        <v>33057126.063004099</v>
      </c>
      <c r="I26" s="1">
        <f t="shared" si="2"/>
        <v>3.3155348194225972E-3</v>
      </c>
      <c r="J26" s="1" t="e">
        <f>G26/#REF!</f>
        <v>#REF!</v>
      </c>
      <c r="K26" s="1" t="e">
        <f>H26/#REF!</f>
        <v>#REF!</v>
      </c>
      <c r="L26" s="1">
        <v>62</v>
      </c>
      <c r="M26" s="1">
        <v>24006441.8850278</v>
      </c>
      <c r="N26" s="1">
        <v>18281720.780819401</v>
      </c>
      <c r="O26" s="1">
        <v>20838678.272666398</v>
      </c>
      <c r="P26" s="1">
        <v>20733107.445384402</v>
      </c>
      <c r="Q26" s="1">
        <v>16035099.3541885</v>
      </c>
      <c r="R26" s="1">
        <v>31469626.7621626</v>
      </c>
      <c r="S26" s="1">
        <v>30285977.0768696</v>
      </c>
      <c r="T26" s="1">
        <v>28385187.143358301</v>
      </c>
      <c r="U26" s="1">
        <v>33057126.063004099</v>
      </c>
      <c r="V26" s="1">
        <v>21543479.074461602</v>
      </c>
      <c r="W26" s="1">
        <v>25488606.7427762</v>
      </c>
      <c r="X26" s="1">
        <v>18020075.512719199</v>
      </c>
      <c r="Y26" s="1">
        <v>16124591.713482199</v>
      </c>
      <c r="Z26" s="1">
        <v>26956889.695226401</v>
      </c>
      <c r="AA26" s="1">
        <v>25366271.823385</v>
      </c>
      <c r="AB26" s="1" t="s">
        <v>277</v>
      </c>
      <c r="AC26">
        <f t="shared" si="3"/>
        <v>5.455007237080034E-3</v>
      </c>
      <c r="AD26">
        <f t="shared" si="10"/>
        <v>3.1647730049202778E-3</v>
      </c>
      <c r="AE26">
        <f t="shared" si="11"/>
        <v>5.2865125363754069E-3</v>
      </c>
      <c r="AF26">
        <f t="shared" si="12"/>
        <v>4.7280196890294272E-3</v>
      </c>
      <c r="AG26">
        <f t="shared" si="13"/>
        <v>3.1683667154487091E-3</v>
      </c>
      <c r="AH26">
        <f t="shared" si="14"/>
        <v>2.7023151641613519E-3</v>
      </c>
      <c r="AI26">
        <f t="shared" si="15"/>
        <v>5.4711967526734047E-3</v>
      </c>
      <c r="AJ26">
        <f t="shared" si="16"/>
        <v>4.1296618805580672E-3</v>
      </c>
      <c r="AK26">
        <f t="shared" si="17"/>
        <v>4.8285965284559865E-3</v>
      </c>
      <c r="AL26">
        <f t="shared" si="18"/>
        <v>2.1988779751839428E-3</v>
      </c>
      <c r="AM26">
        <f t="shared" si="19"/>
        <v>2.2337405399454851E-3</v>
      </c>
      <c r="AN26">
        <f t="shared" si="20"/>
        <v>2.179505332835909E-3</v>
      </c>
      <c r="AO26">
        <f t="shared" si="21"/>
        <v>2.0500661280789482E-3</v>
      </c>
      <c r="AP26">
        <f t="shared" si="22"/>
        <v>3.2655861440382384E-3</v>
      </c>
      <c r="AQ26">
        <f t="shared" si="23"/>
        <v>3.3868183614533852E-3</v>
      </c>
      <c r="AR26" s="1"/>
      <c r="AS26" s="1">
        <f t="shared" si="5"/>
        <v>3.4197361043901762E-3</v>
      </c>
      <c r="AT26" s="1">
        <f t="shared" si="6"/>
        <v>3.2168620337016765E-3</v>
      </c>
      <c r="AU26" s="1">
        <f t="shared" si="7"/>
        <v>4.8098183872291528E-3</v>
      </c>
      <c r="AV26" s="1">
        <f t="shared" si="8"/>
        <v>0.94067551866705301</v>
      </c>
      <c r="AW26" s="1">
        <f t="shared" si="9"/>
        <v>1.4064881734746788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</row>
    <row r="27" spans="1:91" hidden="1">
      <c r="A27" s="1" t="s">
        <v>253</v>
      </c>
      <c r="B27" s="1" t="s">
        <v>179</v>
      </c>
      <c r="C27" s="1" t="s">
        <v>180</v>
      </c>
      <c r="D27" s="1">
        <v>-0.76</v>
      </c>
      <c r="E27" s="1">
        <v>142.05298999999999</v>
      </c>
      <c r="F27" s="1">
        <v>0.99099999999999999</v>
      </c>
      <c r="G27" s="1">
        <f t="shared" si="0"/>
        <v>22368090.55228246</v>
      </c>
      <c r="H27" s="1">
        <f t="shared" si="1"/>
        <v>167792997.404515</v>
      </c>
      <c r="I27" s="1">
        <f t="shared" si="2"/>
        <v>3.1196157031880209E-3</v>
      </c>
      <c r="J27" s="1" t="e">
        <f>G27/#REF!</f>
        <v>#REF!</v>
      </c>
      <c r="K27" s="1" t="e">
        <f>H27/#REF!</f>
        <v>#REF!</v>
      </c>
      <c r="L27" s="1">
        <v>90.2</v>
      </c>
      <c r="M27" s="1">
        <v>10949880.364498099</v>
      </c>
      <c r="N27" s="1">
        <v>528550.97771361098</v>
      </c>
      <c r="O27" s="1">
        <v>2035208.4054103999</v>
      </c>
      <c r="P27" s="1">
        <v>343751.503445671</v>
      </c>
      <c r="Q27" s="1">
        <v>502367.513310479</v>
      </c>
      <c r="R27" s="1">
        <v>13980541.3965795</v>
      </c>
      <c r="S27" s="1">
        <v>8225991.9150328301</v>
      </c>
      <c r="T27" s="1">
        <v>31647049.804177798</v>
      </c>
      <c r="U27" s="1">
        <v>2991437.05934085</v>
      </c>
      <c r="V27" s="1">
        <v>167792997.404515</v>
      </c>
      <c r="W27" s="1">
        <v>20136827.609914199</v>
      </c>
      <c r="X27" s="1">
        <v>62088212.332338601</v>
      </c>
      <c r="Y27" s="1">
        <v>4286462.0910571003</v>
      </c>
      <c r="Z27" s="1">
        <v>6157536.2416930804</v>
      </c>
      <c r="AA27" s="1">
        <v>3854543.6652096398</v>
      </c>
      <c r="AB27" s="1" t="s">
        <v>253</v>
      </c>
      <c r="AC27">
        <f t="shared" si="3"/>
        <v>2.4881520101798513E-3</v>
      </c>
      <c r="AD27">
        <f t="shared" si="10"/>
        <v>9.1498162894340063E-5</v>
      </c>
      <c r="AE27">
        <f t="shared" si="11"/>
        <v>5.1630696575661467E-4</v>
      </c>
      <c r="AF27">
        <f t="shared" si="12"/>
        <v>7.838978699675891E-5</v>
      </c>
      <c r="AG27">
        <f t="shared" si="13"/>
        <v>9.9262528590438496E-5</v>
      </c>
      <c r="AH27">
        <f t="shared" si="14"/>
        <v>1.2005172258536844E-3</v>
      </c>
      <c r="AI27">
        <f t="shared" si="15"/>
        <v>1.4860349441199929E-3</v>
      </c>
      <c r="AJ27">
        <f t="shared" si="16"/>
        <v>4.6042189029222424E-3</v>
      </c>
      <c r="AK27">
        <f t="shared" si="17"/>
        <v>4.3695397392676911E-4</v>
      </c>
      <c r="AL27">
        <f t="shared" si="18"/>
        <v>1.7126125502183086E-2</v>
      </c>
      <c r="AM27">
        <f t="shared" si="19"/>
        <v>1.7647276146589275E-3</v>
      </c>
      <c r="AN27">
        <f t="shared" si="20"/>
        <v>7.5094907226701414E-3</v>
      </c>
      <c r="AO27">
        <f t="shared" si="21"/>
        <v>5.449769456688404E-4</v>
      </c>
      <c r="AP27">
        <f t="shared" si="22"/>
        <v>7.4593045635554104E-4</v>
      </c>
      <c r="AQ27">
        <f t="shared" si="23"/>
        <v>5.1464556365436612E-4</v>
      </c>
      <c r="AR27" s="1"/>
      <c r="AS27" s="1">
        <f t="shared" si="5"/>
        <v>4.9160501630571597E-3</v>
      </c>
      <c r="AT27" s="1">
        <f t="shared" si="6"/>
        <v>5.306204178532715E-4</v>
      </c>
      <c r="AU27" s="1">
        <f t="shared" si="7"/>
        <v>2.1757359403230016E-3</v>
      </c>
      <c r="AV27" s="1">
        <f t="shared" si="8"/>
        <v>0.10793633104900885</v>
      </c>
      <c r="AW27" s="1">
        <f t="shared" si="9"/>
        <v>0.44257805924624044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</row>
    <row r="28" spans="1:91" hidden="1">
      <c r="A28" s="1" t="s">
        <v>266</v>
      </c>
      <c r="B28" s="1" t="s">
        <v>77</v>
      </c>
      <c r="C28" s="1" t="s">
        <v>78</v>
      </c>
      <c r="D28" s="1">
        <v>-0.08</v>
      </c>
      <c r="E28" s="1">
        <v>191.131</v>
      </c>
      <c r="F28" s="1">
        <v>1.89</v>
      </c>
      <c r="G28" s="1">
        <f t="shared" si="0"/>
        <v>21085263.472695522</v>
      </c>
      <c r="H28" s="1">
        <f t="shared" si="1"/>
        <v>55430049.531221002</v>
      </c>
      <c r="I28" s="1">
        <f t="shared" si="2"/>
        <v>2.9407033596153651E-3</v>
      </c>
      <c r="J28" s="1" t="e">
        <f>G28/#REF!</f>
        <v>#REF!</v>
      </c>
      <c r="K28" s="1" t="e">
        <f>H28/#REF!</f>
        <v>#REF!</v>
      </c>
      <c r="L28" s="1">
        <v>80.3</v>
      </c>
      <c r="M28" s="1">
        <v>10606946.169521701</v>
      </c>
      <c r="N28" s="1">
        <v>469221.41834211</v>
      </c>
      <c r="O28" s="1">
        <v>522912.77615453099</v>
      </c>
      <c r="P28" s="1">
        <v>5585907.7739426903</v>
      </c>
      <c r="Q28" s="1">
        <v>1467025.6108282299</v>
      </c>
      <c r="R28" s="1">
        <v>16824640.819970999</v>
      </c>
      <c r="S28" s="1">
        <v>730165.09700345504</v>
      </c>
      <c r="T28" s="1">
        <v>8556324.8557811901</v>
      </c>
      <c r="U28" s="1">
        <v>1084450.7324674099</v>
      </c>
      <c r="V28" s="1">
        <v>50840926.4320103</v>
      </c>
      <c r="W28" s="1">
        <v>52306091.692527801</v>
      </c>
      <c r="X28" s="1">
        <v>55430049.531221002</v>
      </c>
      <c r="Y28" s="1">
        <v>31984499.586511299</v>
      </c>
      <c r="Z28" s="1">
        <v>41421706.038389601</v>
      </c>
      <c r="AA28" s="1">
        <v>38448083.555760503</v>
      </c>
      <c r="AB28" s="1" t="s">
        <v>266</v>
      </c>
      <c r="AC28">
        <f t="shared" si="3"/>
        <v>2.4102267381050594E-3</v>
      </c>
      <c r="AD28">
        <f t="shared" si="10"/>
        <v>8.1227543944195187E-5</v>
      </c>
      <c r="AE28">
        <f t="shared" si="11"/>
        <v>1.3265644348460303E-4</v>
      </c>
      <c r="AF28">
        <f t="shared" si="12"/>
        <v>1.2738216886144112E-3</v>
      </c>
      <c r="AG28">
        <f t="shared" si="13"/>
        <v>2.8986880675889665E-4</v>
      </c>
      <c r="AH28">
        <f t="shared" si="14"/>
        <v>1.4447416984951656E-3</v>
      </c>
      <c r="AI28">
        <f t="shared" si="15"/>
        <v>1.3190516843822697E-4</v>
      </c>
      <c r="AJ28">
        <f t="shared" si="16"/>
        <v>1.2448298620028251E-3</v>
      </c>
      <c r="AK28">
        <f t="shared" si="17"/>
        <v>1.5840381986303339E-4</v>
      </c>
      <c r="AL28">
        <f t="shared" si="18"/>
        <v>5.1891801218781767E-3</v>
      </c>
      <c r="AM28">
        <f t="shared" si="19"/>
        <v>4.5839397452675035E-3</v>
      </c>
      <c r="AN28">
        <f t="shared" si="20"/>
        <v>6.7041943563101473E-3</v>
      </c>
      <c r="AO28">
        <f t="shared" si="21"/>
        <v>4.06648059008135E-3</v>
      </c>
      <c r="AP28">
        <f t="shared" si="22"/>
        <v>5.0178693028277441E-3</v>
      </c>
      <c r="AQ28">
        <f t="shared" si="23"/>
        <v>5.133457382148595E-3</v>
      </c>
      <c r="AR28" s="1"/>
      <c r="AS28" s="1">
        <f t="shared" si="5"/>
        <v>3.1835708248316142E-3</v>
      </c>
      <c r="AT28" s="1">
        <f t="shared" si="6"/>
        <v>2.8710399114876936E-3</v>
      </c>
      <c r="AU28" s="1">
        <f t="shared" si="7"/>
        <v>5.1171295010136184E-4</v>
      </c>
      <c r="AV28" s="1">
        <f t="shared" si="8"/>
        <v>0.90183007366878642</v>
      </c>
      <c r="AW28" s="1">
        <f t="shared" si="9"/>
        <v>0.16073553197247542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</row>
    <row r="29" spans="1:91" hidden="1">
      <c r="A29" s="1" t="s">
        <v>286</v>
      </c>
      <c r="B29" s="1" t="s">
        <v>185</v>
      </c>
      <c r="C29" s="1" t="s">
        <v>186</v>
      </c>
      <c r="D29" s="1">
        <v>-1.02</v>
      </c>
      <c r="E29" s="1">
        <v>320.16059000000001</v>
      </c>
      <c r="F29" s="1">
        <v>0.96399999999999997</v>
      </c>
      <c r="G29" s="1">
        <f t="shared" si="0"/>
        <v>20212964.714063387</v>
      </c>
      <c r="H29" s="1">
        <f t="shared" si="1"/>
        <v>24939834.3692361</v>
      </c>
      <c r="I29" s="1">
        <f t="shared" si="2"/>
        <v>2.8190462651512802E-3</v>
      </c>
      <c r="J29" s="1" t="e">
        <f>G29/#REF!</f>
        <v>#REF!</v>
      </c>
      <c r="K29" s="1" t="e">
        <f>H29/#REF!</f>
        <v>#REF!</v>
      </c>
      <c r="L29" s="1">
        <v>70.2</v>
      </c>
      <c r="M29" s="1">
        <v>18157605.999618299</v>
      </c>
      <c r="N29" s="1">
        <v>24939834.3692361</v>
      </c>
      <c r="O29" s="1">
        <v>18742000.517553002</v>
      </c>
      <c r="P29" s="1">
        <v>20806086.916866101</v>
      </c>
      <c r="Q29" s="1">
        <v>23184281.4152961</v>
      </c>
      <c r="R29" s="1">
        <v>16405635.755782301</v>
      </c>
      <c r="S29" s="1">
        <v>22155007.124901298</v>
      </c>
      <c r="T29" s="1">
        <v>17892636.6494646</v>
      </c>
      <c r="U29" s="1">
        <v>18426029.425987601</v>
      </c>
      <c r="V29" s="1">
        <v>21592898.5430547</v>
      </c>
      <c r="W29" s="1">
        <v>20677783.8121024</v>
      </c>
      <c r="X29" s="1">
        <v>15959454.320927</v>
      </c>
      <c r="Y29" s="1">
        <v>22485673.292498998</v>
      </c>
      <c r="Z29" s="1">
        <v>20732007.750904199</v>
      </c>
      <c r="AA29" s="1">
        <v>21037534.8167581</v>
      </c>
      <c r="AB29" s="1" t="s">
        <v>286</v>
      </c>
      <c r="AC29">
        <f t="shared" si="3"/>
        <v>4.1259705461699648E-3</v>
      </c>
      <c r="AD29">
        <f t="shared" si="10"/>
        <v>4.3173679056378025E-3</v>
      </c>
      <c r="AE29">
        <f t="shared" si="11"/>
        <v>4.7546115639569607E-3</v>
      </c>
      <c r="AF29">
        <f t="shared" si="12"/>
        <v>4.7446620750764478E-3</v>
      </c>
      <c r="AG29">
        <f t="shared" si="13"/>
        <v>4.5809697798119883E-3</v>
      </c>
      <c r="AH29">
        <f t="shared" si="14"/>
        <v>1.4087614897886893E-3</v>
      </c>
      <c r="AI29">
        <f t="shared" si="15"/>
        <v>4.0023276359735334E-3</v>
      </c>
      <c r="AJ29">
        <f t="shared" si="16"/>
        <v>2.603137303297978E-3</v>
      </c>
      <c r="AK29">
        <f t="shared" si="17"/>
        <v>2.6914578584350834E-3</v>
      </c>
      <c r="AL29">
        <f t="shared" si="18"/>
        <v>2.2039220713886026E-3</v>
      </c>
      <c r="AM29">
        <f t="shared" si="19"/>
        <v>1.812135298074389E-3</v>
      </c>
      <c r="AN29">
        <f t="shared" si="20"/>
        <v>1.9302758069498611E-3</v>
      </c>
      <c r="AO29">
        <f t="shared" si="21"/>
        <v>2.8588083346915765E-3</v>
      </c>
      <c r="AP29">
        <f t="shared" si="22"/>
        <v>2.5114973579995394E-3</v>
      </c>
      <c r="AQ29">
        <f t="shared" si="23"/>
        <v>2.8088601152427145E-3</v>
      </c>
      <c r="AR29" s="1"/>
      <c r="AS29" s="1">
        <f t="shared" si="5"/>
        <v>3.1907138653629297E-3</v>
      </c>
      <c r="AT29" s="1">
        <f t="shared" si="6"/>
        <v>3.1522598587684927E-3</v>
      </c>
      <c r="AU29" s="1">
        <f t="shared" si="7"/>
        <v>3.0989742659021983E-3</v>
      </c>
      <c r="AV29" s="1">
        <f t="shared" si="8"/>
        <v>0.98794814946840648</v>
      </c>
      <c r="AW29" s="1">
        <f t="shared" si="9"/>
        <v>0.97124793907199936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</row>
    <row r="30" spans="1:91" hidden="1">
      <c r="A30" s="1" t="s">
        <v>274</v>
      </c>
      <c r="B30" s="1" t="s">
        <v>105</v>
      </c>
      <c r="C30" s="1" t="s">
        <v>106</v>
      </c>
      <c r="D30" s="1">
        <v>-0.59</v>
      </c>
      <c r="E30" s="1">
        <v>255.25606999999999</v>
      </c>
      <c r="F30" s="1">
        <v>1.456</v>
      </c>
      <c r="G30" s="1">
        <f t="shared" si="0"/>
        <v>19157276.697275054</v>
      </c>
      <c r="H30" s="1">
        <f t="shared" si="1"/>
        <v>36530842.1714352</v>
      </c>
      <c r="I30" s="1">
        <f t="shared" si="2"/>
        <v>2.6718123782380207E-3</v>
      </c>
      <c r="J30" s="1" t="e">
        <f>G30/#REF!</f>
        <v>#REF!</v>
      </c>
      <c r="K30" s="1" t="e">
        <f>H30/#REF!</f>
        <v>#REF!</v>
      </c>
      <c r="L30" s="1">
        <v>75</v>
      </c>
      <c r="M30" s="1">
        <v>17220206.309937801</v>
      </c>
      <c r="N30" s="1">
        <v>3369537.1697718599</v>
      </c>
      <c r="O30" s="1">
        <v>14407993.367198501</v>
      </c>
      <c r="P30" s="1">
        <v>16095010.343147799</v>
      </c>
      <c r="Q30" s="1">
        <v>21810289.062261298</v>
      </c>
      <c r="R30" s="1">
        <v>16555700.634631401</v>
      </c>
      <c r="S30" s="1">
        <v>16852794.3664442</v>
      </c>
      <c r="T30" s="1">
        <v>26522945.221279301</v>
      </c>
      <c r="U30" s="1">
        <v>36530842.1714352</v>
      </c>
      <c r="V30" s="1">
        <v>26281121.065574002</v>
      </c>
      <c r="W30" s="1">
        <v>27570304.615713999</v>
      </c>
      <c r="X30" s="1">
        <v>25791307.5279723</v>
      </c>
      <c r="Y30" s="1">
        <v>15321302.8245936</v>
      </c>
      <c r="Z30" s="1">
        <v>11760272.5695541</v>
      </c>
      <c r="AA30" s="1">
        <v>11269523.209610401</v>
      </c>
      <c r="AB30" s="1" t="s">
        <v>274</v>
      </c>
      <c r="AC30">
        <f t="shared" si="3"/>
        <v>3.9129642991078848E-3</v>
      </c>
      <c r="AD30">
        <f t="shared" si="10"/>
        <v>5.8330506202444558E-4</v>
      </c>
      <c r="AE30">
        <f t="shared" si="11"/>
        <v>3.655128053856295E-3</v>
      </c>
      <c r="AF30">
        <f t="shared" si="12"/>
        <v>3.6703386599424527E-3</v>
      </c>
      <c r="AG30">
        <f t="shared" si="13"/>
        <v>4.3094833647621556E-3</v>
      </c>
      <c r="AH30">
        <f t="shared" si="14"/>
        <v>1.4216476482673639E-3</v>
      </c>
      <c r="AI30">
        <f t="shared" si="15"/>
        <v>3.0444767747507188E-3</v>
      </c>
      <c r="AJ30">
        <f t="shared" si="16"/>
        <v>3.8587307981189545E-3</v>
      </c>
      <c r="AK30">
        <f t="shared" si="17"/>
        <v>5.3359961587216001E-3</v>
      </c>
      <c r="AL30">
        <f t="shared" si="18"/>
        <v>2.6824348135459008E-3</v>
      </c>
      <c r="AM30">
        <f t="shared" si="19"/>
        <v>2.4161739297978869E-3</v>
      </c>
      <c r="AN30">
        <f t="shared" si="20"/>
        <v>3.1194260123022207E-3</v>
      </c>
      <c r="AO30">
        <f t="shared" si="21"/>
        <v>1.9479366992267582E-3</v>
      </c>
      <c r="AP30">
        <f t="shared" si="22"/>
        <v>1.424651864048305E-3</v>
      </c>
      <c r="AQ30">
        <f t="shared" si="23"/>
        <v>1.5046684194224759E-3</v>
      </c>
      <c r="AR30" s="1"/>
      <c r="AS30" s="1">
        <f t="shared" si="5"/>
        <v>2.7282386951057724E-3</v>
      </c>
      <c r="AT30" s="1">
        <f t="shared" si="6"/>
        <v>2.3797877759449185E-3</v>
      </c>
      <c r="AU30" s="1">
        <f t="shared" si="7"/>
        <v>4.0797345771970911E-3</v>
      </c>
      <c r="AV30" s="1">
        <f t="shared" si="8"/>
        <v>0.87227989992739818</v>
      </c>
      <c r="AW30" s="1">
        <f t="shared" si="9"/>
        <v>1.4953730348139211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 spans="1:91" hidden="1">
      <c r="A31" s="1" t="s">
        <v>284</v>
      </c>
      <c r="B31" s="1" t="s">
        <v>146</v>
      </c>
      <c r="C31" s="1" t="s">
        <v>147</v>
      </c>
      <c r="D31" s="1">
        <v>0.37</v>
      </c>
      <c r="E31" s="1">
        <v>332.27165000000002</v>
      </c>
      <c r="F31" s="1">
        <v>0.98099999999999998</v>
      </c>
      <c r="G31" s="1">
        <f t="shared" si="0"/>
        <v>17292484.236621697</v>
      </c>
      <c r="H31" s="1">
        <f t="shared" si="1"/>
        <v>28911667.5919315</v>
      </c>
      <c r="I31" s="1">
        <f t="shared" si="2"/>
        <v>2.4117349331005669E-3</v>
      </c>
      <c r="J31" s="1" t="e">
        <f>G31/#REF!</f>
        <v>#REF!</v>
      </c>
      <c r="K31" s="1" t="e">
        <f>H31/#REF!</f>
        <v>#REF!</v>
      </c>
      <c r="L31" s="1">
        <v>77.900000000000006</v>
      </c>
      <c r="M31" s="1">
        <v>15908805.989374001</v>
      </c>
      <c r="N31" s="1">
        <v>16282605.333792901</v>
      </c>
      <c r="O31" s="1">
        <v>12759615.368504301</v>
      </c>
      <c r="P31" s="1">
        <v>13483627.0197396</v>
      </c>
      <c r="Q31" s="1">
        <v>8526882.7799712997</v>
      </c>
      <c r="R31" s="1">
        <v>26545158.724823799</v>
      </c>
      <c r="S31" s="1">
        <v>18724764.954335701</v>
      </c>
      <c r="T31" s="1">
        <v>21240494.6834669</v>
      </c>
      <c r="U31" s="1">
        <v>16746663.622788301</v>
      </c>
      <c r="V31" s="1">
        <v>14403745.3138783</v>
      </c>
      <c r="W31" s="1">
        <v>28911667.5919315</v>
      </c>
      <c r="X31" s="1">
        <v>6287487.0714170402</v>
      </c>
      <c r="Y31" s="1">
        <v>23810642.8361286</v>
      </c>
      <c r="Z31" s="1">
        <v>16589743.5790742</v>
      </c>
      <c r="AA31" s="1">
        <v>19165358.680098999</v>
      </c>
      <c r="AB31" s="1" t="s">
        <v>284</v>
      </c>
      <c r="AC31">
        <f t="shared" si="3"/>
        <v>3.6149735233967127E-3</v>
      </c>
      <c r="AD31">
        <f t="shared" si="10"/>
        <v>2.818703470420745E-3</v>
      </c>
      <c r="AE31">
        <f t="shared" si="11"/>
        <v>3.2369551332535299E-3</v>
      </c>
      <c r="AF31">
        <f t="shared" si="12"/>
        <v>3.0748335336028081E-3</v>
      </c>
      <c r="AG31">
        <f t="shared" si="13"/>
        <v>1.6848222134362358E-3</v>
      </c>
      <c r="AH31">
        <f t="shared" si="14"/>
        <v>2.2794482279468839E-3</v>
      </c>
      <c r="AI31">
        <f t="shared" si="15"/>
        <v>3.3826504244096629E-3</v>
      </c>
      <c r="AJ31">
        <f t="shared" si="16"/>
        <v>3.0902054925867825E-3</v>
      </c>
      <c r="AK31">
        <f t="shared" si="17"/>
        <v>2.446155835752264E-3</v>
      </c>
      <c r="AL31">
        <f t="shared" si="18"/>
        <v>1.4701468700285792E-3</v>
      </c>
      <c r="AM31">
        <f t="shared" si="19"/>
        <v>2.5337267206976149E-3</v>
      </c>
      <c r="AN31">
        <f t="shared" si="20"/>
        <v>7.6046360586101767E-4</v>
      </c>
      <c r="AO31">
        <f t="shared" si="21"/>
        <v>3.027263774084818E-3</v>
      </c>
      <c r="AP31">
        <f t="shared" si="22"/>
        <v>2.0096990927913148E-3</v>
      </c>
      <c r="AQ31">
        <f t="shared" si="23"/>
        <v>2.5588935233974582E-3</v>
      </c>
      <c r="AR31" s="1"/>
      <c r="AS31" s="1">
        <f t="shared" si="5"/>
        <v>2.4058282206096998E-3</v>
      </c>
      <c r="AT31" s="1">
        <f t="shared" si="6"/>
        <v>2.4391600608765864E-3</v>
      </c>
      <c r="AU31" s="1">
        <f t="shared" si="7"/>
        <v>2.9730039175829034E-3</v>
      </c>
      <c r="AV31" s="1">
        <f t="shared" si="8"/>
        <v>1.013854621864249</v>
      </c>
      <c r="AW31" s="1">
        <f t="shared" si="9"/>
        <v>1.2357507041086526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 spans="1:91" hidden="1">
      <c r="A32" s="1" t="s">
        <v>282</v>
      </c>
      <c r="B32" s="6" t="s">
        <v>99</v>
      </c>
      <c r="C32" s="1" t="s">
        <v>100</v>
      </c>
      <c r="D32" s="1">
        <v>0.02</v>
      </c>
      <c r="E32" s="1">
        <v>192.02700999999999</v>
      </c>
      <c r="F32" s="1">
        <v>4.01</v>
      </c>
      <c r="G32" s="1">
        <f t="shared" si="0"/>
        <v>16783252.26551668</v>
      </c>
      <c r="H32" s="1">
        <f t="shared" si="1"/>
        <v>29272272.178874001</v>
      </c>
      <c r="I32" s="1">
        <f t="shared" si="2"/>
        <v>2.3407137589904464E-3</v>
      </c>
      <c r="J32" s="1" t="e">
        <f>G32/#REF!</f>
        <v>#REF!</v>
      </c>
      <c r="K32" s="1" t="e">
        <f>H32/#REF!</f>
        <v>#REF!</v>
      </c>
      <c r="L32" s="1">
        <v>85.9</v>
      </c>
      <c r="M32" s="1">
        <v>10060557.8476154</v>
      </c>
      <c r="N32" s="1">
        <v>12140298.519419599</v>
      </c>
      <c r="O32" s="1">
        <v>7896737.3172677001</v>
      </c>
      <c r="P32" s="1">
        <v>10904973.471110599</v>
      </c>
      <c r="Q32" s="1">
        <v>11926941.633507799</v>
      </c>
      <c r="R32" s="1">
        <v>29272272.178874001</v>
      </c>
      <c r="S32" s="1">
        <v>14528480.893103</v>
      </c>
      <c r="T32" s="1">
        <v>20534438.390863501</v>
      </c>
      <c r="U32" s="1">
        <v>21898129.0064524</v>
      </c>
      <c r="V32" s="1">
        <v>21362331.024709001</v>
      </c>
      <c r="W32" s="1">
        <v>24914449.105774</v>
      </c>
      <c r="X32" s="1">
        <v>25047753.924795602</v>
      </c>
      <c r="Y32" s="1">
        <v>12824940.4777552</v>
      </c>
      <c r="Z32" s="1">
        <v>16246526.1623039</v>
      </c>
      <c r="AA32" s="1">
        <v>12189954.029198499</v>
      </c>
      <c r="AB32" s="1" t="s">
        <v>282</v>
      </c>
      <c r="AC32">
        <f t="shared" si="3"/>
        <v>2.2860703860504978E-3</v>
      </c>
      <c r="AD32">
        <f t="shared" si="10"/>
        <v>2.1016232271878453E-3</v>
      </c>
      <c r="AE32">
        <f t="shared" si="11"/>
        <v>2.0033036778036302E-3</v>
      </c>
      <c r="AF32">
        <f t="shared" si="12"/>
        <v>2.4867921711963408E-3</v>
      </c>
      <c r="AG32">
        <f t="shared" si="13"/>
        <v>2.356638025996065E-3</v>
      </c>
      <c r="AH32">
        <f t="shared" si="14"/>
        <v>2.5136270473197601E-3</v>
      </c>
      <c r="AI32">
        <f t="shared" si="15"/>
        <v>2.6245868601786166E-3</v>
      </c>
      <c r="AJ32">
        <f t="shared" si="16"/>
        <v>2.9874838250365065E-3</v>
      </c>
      <c r="AK32">
        <f t="shared" si="17"/>
        <v>3.1986213652908345E-3</v>
      </c>
      <c r="AL32">
        <f t="shared" si="18"/>
        <v>2.1803887397418963E-3</v>
      </c>
      <c r="AM32">
        <f t="shared" si="19"/>
        <v>2.1834231882348195E-3</v>
      </c>
      <c r="AN32">
        <f t="shared" si="20"/>
        <v>3.0294941448009384E-3</v>
      </c>
      <c r="AO32">
        <f t="shared" si="21"/>
        <v>1.6305514294722365E-3</v>
      </c>
      <c r="AP32">
        <f t="shared" si="22"/>
        <v>1.9681213717237332E-3</v>
      </c>
      <c r="AQ32">
        <f t="shared" si="23"/>
        <v>1.6275612127321618E-3</v>
      </c>
      <c r="AR32" s="1"/>
      <c r="AS32" s="1">
        <f t="shared" si="5"/>
        <v>2.2973838939699381E-3</v>
      </c>
      <c r="AT32" s="1">
        <f t="shared" si="6"/>
        <v>2.0972152097400495E-3</v>
      </c>
      <c r="AU32" s="1">
        <f t="shared" si="7"/>
        <v>2.9368973501686523E-3</v>
      </c>
      <c r="AV32" s="1">
        <f t="shared" si="8"/>
        <v>0.91287103354590338</v>
      </c>
      <c r="AW32" s="1">
        <f t="shared" si="9"/>
        <v>1.2783659526286739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 spans="1:91" hidden="1">
      <c r="A33" s="1" t="s">
        <v>258</v>
      </c>
      <c r="B33" s="6" t="s">
        <v>126</v>
      </c>
      <c r="C33" s="1" t="s">
        <v>127</v>
      </c>
      <c r="D33" s="1">
        <v>0.71</v>
      </c>
      <c r="E33" s="1">
        <v>105.07905</v>
      </c>
      <c r="F33" s="1">
        <v>5.4749999999999996</v>
      </c>
      <c r="G33" s="1">
        <f t="shared" si="0"/>
        <v>15653508.04756934</v>
      </c>
      <c r="H33" s="1">
        <f t="shared" si="1"/>
        <v>96322813.427753896</v>
      </c>
      <c r="I33" s="1">
        <f t="shared" si="2"/>
        <v>2.1831514585939665E-3</v>
      </c>
      <c r="J33" s="1" t="e">
        <f>G33/#REF!</f>
        <v>#REF!</v>
      </c>
      <c r="K33" s="1" t="e">
        <f>H33/#REF!</f>
        <v>#REF!</v>
      </c>
      <c r="L33" s="1">
        <v>88.4</v>
      </c>
      <c r="M33" s="1">
        <v>238221.98198558899</v>
      </c>
      <c r="N33" s="1">
        <v>268457.08678369998</v>
      </c>
      <c r="O33" s="1">
        <v>238968.36079491701</v>
      </c>
      <c r="P33" s="1">
        <v>288025.30955236597</v>
      </c>
      <c r="Q33" s="1">
        <v>256955.34323739499</v>
      </c>
      <c r="R33" s="1">
        <v>353196.838617965</v>
      </c>
      <c r="S33" s="1">
        <v>258205.58067810201</v>
      </c>
      <c r="T33" s="1">
        <v>277564.89175483299</v>
      </c>
      <c r="U33" s="1">
        <v>24747024.373856202</v>
      </c>
      <c r="V33" s="1">
        <v>31998607.222282</v>
      </c>
      <c r="W33" s="1">
        <v>96322813.427753896</v>
      </c>
      <c r="X33" s="1">
        <v>78950140.611884996</v>
      </c>
      <c r="Y33" s="1">
        <v>231319.823846477</v>
      </c>
      <c r="Z33" s="1">
        <v>175072.872882845</v>
      </c>
      <c r="AA33" s="1">
        <v>198046.987628826</v>
      </c>
      <c r="AB33" s="1" t="s">
        <v>258</v>
      </c>
      <c r="AC33">
        <f t="shared" si="3"/>
        <v>5.4131413642494179E-5</v>
      </c>
      <c r="AD33">
        <f t="shared" si="10"/>
        <v>4.6472963427161256E-5</v>
      </c>
      <c r="AE33">
        <f t="shared" si="11"/>
        <v>6.0623289951957415E-5</v>
      </c>
      <c r="AF33">
        <f t="shared" si="12"/>
        <v>6.5681873211222036E-5</v>
      </c>
      <c r="AG33">
        <f t="shared" si="13"/>
        <v>5.0771669004807484E-5</v>
      </c>
      <c r="AH33">
        <f t="shared" si="14"/>
        <v>3.032921807889871E-5</v>
      </c>
      <c r="AI33">
        <f t="shared" si="15"/>
        <v>4.6645136491472264E-5</v>
      </c>
      <c r="AJ33">
        <f t="shared" si="16"/>
        <v>4.0381948058755869E-5</v>
      </c>
      <c r="AK33">
        <f t="shared" si="17"/>
        <v>3.6147545238346913E-3</v>
      </c>
      <c r="AL33">
        <f t="shared" si="18"/>
        <v>3.2660013925534513E-3</v>
      </c>
      <c r="AM33">
        <f t="shared" si="19"/>
        <v>8.4414254355490975E-3</v>
      </c>
      <c r="AN33">
        <f t="shared" si="20"/>
        <v>9.5489196130334533E-3</v>
      </c>
      <c r="AO33">
        <f t="shared" si="21"/>
        <v>2.940979492983644E-5</v>
      </c>
      <c r="AP33">
        <f t="shared" si="22"/>
        <v>2.1208513086894716E-5</v>
      </c>
      <c r="AQ33">
        <f t="shared" si="23"/>
        <v>2.6442560373159766E-5</v>
      </c>
      <c r="AR33" s="1"/>
      <c r="AS33" s="1">
        <f t="shared" si="5"/>
        <v>3.5695956846929361E-3</v>
      </c>
      <c r="AT33" s="1">
        <f t="shared" si="6"/>
        <v>3.7307271447469856E-5</v>
      </c>
      <c r="AU33" s="1">
        <f t="shared" si="7"/>
        <v>1.2339272027949732E-3</v>
      </c>
      <c r="AV33" s="1">
        <f t="shared" si="8"/>
        <v>1.0451399750243453E-2</v>
      </c>
      <c r="AW33" s="1">
        <f t="shared" si="9"/>
        <v>0.34567702109409015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 spans="1:91">
      <c r="A34" s="1" t="s">
        <v>273</v>
      </c>
      <c r="B34" s="1" t="s">
        <v>87</v>
      </c>
      <c r="C34" s="1" t="s">
        <v>88</v>
      </c>
      <c r="D34" s="1">
        <v>0.37</v>
      </c>
      <c r="E34" s="1">
        <v>294.18659000000002</v>
      </c>
      <c r="F34" s="1">
        <v>0.90300000000000002</v>
      </c>
      <c r="G34" s="1">
        <f t="shared" ref="G34:G65" si="24">AVERAGE(M34:AA34)</f>
        <v>14303113.319114389</v>
      </c>
      <c r="H34" s="1">
        <f t="shared" ref="H34:H65" si="25">MAX(M34:AA34)</f>
        <v>41930305.588069201</v>
      </c>
      <c r="I34" s="1">
        <f t="shared" ref="I34:I65" si="26">G34/SUM(G$2:G$104)</f>
        <v>1.994815641974138E-3</v>
      </c>
      <c r="J34" s="1" t="e">
        <f>G34/#REF!</f>
        <v>#REF!</v>
      </c>
      <c r="K34" s="1" t="e">
        <f>H34/#REF!</f>
        <v>#REF!</v>
      </c>
      <c r="L34" s="1">
        <v>87.6</v>
      </c>
      <c r="M34" s="1">
        <v>14233206.14679</v>
      </c>
      <c r="N34" s="1">
        <v>29007970.0459245</v>
      </c>
      <c r="O34" s="1">
        <v>4281503.50155506</v>
      </c>
      <c r="P34" s="1">
        <v>5251531.1503429199</v>
      </c>
      <c r="Q34" s="1">
        <v>9608402.1627726704</v>
      </c>
      <c r="R34" s="1">
        <v>12132053.252413301</v>
      </c>
      <c r="S34" s="1">
        <v>12790860.9606665</v>
      </c>
      <c r="T34" s="1">
        <v>19180035.129248101</v>
      </c>
      <c r="U34" s="1">
        <v>6560428.8199620703</v>
      </c>
      <c r="V34" s="1">
        <v>7020534.72528785</v>
      </c>
      <c r="W34" s="1">
        <v>9958507.7309635505</v>
      </c>
      <c r="X34" s="1">
        <v>11629519.5901365</v>
      </c>
      <c r="Y34" s="1">
        <v>12087251.6649931</v>
      </c>
      <c r="Z34" s="1">
        <v>41930305.588069201</v>
      </c>
      <c r="AA34" s="1">
        <v>18874589.317590501</v>
      </c>
      <c r="AB34" s="1" t="s">
        <v>273</v>
      </c>
      <c r="AC34">
        <f t="shared" ref="AC34:AC65" si="27">M34/SUM(M$2:M$104)</f>
        <v>3.2342253345763392E-3</v>
      </c>
      <c r="AD34">
        <f t="shared" si="10"/>
        <v>5.0216082845546649E-3</v>
      </c>
      <c r="AE34">
        <f t="shared" si="11"/>
        <v>1.0861639898339811E-3</v>
      </c>
      <c r="AF34">
        <f t="shared" si="12"/>
        <v>1.1975697681487771E-3</v>
      </c>
      <c r="AG34">
        <f t="shared" si="13"/>
        <v>1.8985190505366198E-3</v>
      </c>
      <c r="AH34">
        <f t="shared" si="14"/>
        <v>1.0417864731661834E-3</v>
      </c>
      <c r="AI34">
        <f t="shared" si="15"/>
        <v>2.3106838116622175E-3</v>
      </c>
      <c r="AJ34">
        <f t="shared" si="16"/>
        <v>2.7904364181567053E-3</v>
      </c>
      <c r="AK34">
        <f t="shared" si="17"/>
        <v>9.5827035190162925E-4</v>
      </c>
      <c r="AL34">
        <f t="shared" si="18"/>
        <v>7.1656481889916391E-4</v>
      </c>
      <c r="AM34">
        <f t="shared" si="19"/>
        <v>8.7273198808005665E-4</v>
      </c>
      <c r="AN34">
        <f t="shared" si="20"/>
        <v>1.4065756798372826E-3</v>
      </c>
      <c r="AO34">
        <f t="shared" si="21"/>
        <v>1.5367623354611384E-3</v>
      </c>
      <c r="AP34">
        <f t="shared" si="22"/>
        <v>5.0794815904868767E-3</v>
      </c>
      <c r="AQ34">
        <f t="shared" si="23"/>
        <v>2.5200709868123216E-3</v>
      </c>
      <c r="AR34" s="1"/>
      <c r="AS34" s="1">
        <f t="shared" ref="AS34:AS65" si="28">AVERAGE(AC34:AE34,AL34:AN34)</f>
        <v>2.0563116826302478E-3</v>
      </c>
      <c r="AT34" s="1">
        <f t="shared" ref="AT34:AT65" si="29">AVERAGE(AF34:AH34,AO34:AQ34)</f>
        <v>2.2123650341019864E-3</v>
      </c>
      <c r="AU34" s="1">
        <f t="shared" ref="AU34:AU65" si="30">AVERAGE(AI34:AK34)</f>
        <v>2.0197968605735173E-3</v>
      </c>
      <c r="AV34" s="1">
        <f t="shared" ref="AV34:AV65" si="31">AT34/AS34</f>
        <v>1.0758899308844705</v>
      </c>
      <c r="AW34" s="1">
        <f t="shared" ref="AW34:AW65" si="32">AU34/AS34</f>
        <v>0.98224256450752445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 spans="1:91" hidden="1">
      <c r="A35" s="1" t="s">
        <v>281</v>
      </c>
      <c r="B35" s="1" t="s">
        <v>83</v>
      </c>
      <c r="C35" s="1" t="s">
        <v>84</v>
      </c>
      <c r="D35" s="1">
        <v>-0.4</v>
      </c>
      <c r="E35" s="1">
        <v>211.11086</v>
      </c>
      <c r="F35" s="1">
        <v>1.716</v>
      </c>
      <c r="G35" s="1">
        <f t="shared" si="24"/>
        <v>14054364.939123048</v>
      </c>
      <c r="H35" s="1">
        <f t="shared" si="25"/>
        <v>30948621.939132899</v>
      </c>
      <c r="I35" s="1">
        <f t="shared" si="26"/>
        <v>1.9601233936326992E-3</v>
      </c>
      <c r="J35" s="1" t="e">
        <f>G35/#REF!</f>
        <v>#REF!</v>
      </c>
      <c r="K35" s="1" t="e">
        <f>H35/#REF!</f>
        <v>#REF!</v>
      </c>
      <c r="L35" s="1">
        <v>83.4</v>
      </c>
      <c r="M35" s="1">
        <v>19796127.657793399</v>
      </c>
      <c r="N35" s="1">
        <v>17183855.357043099</v>
      </c>
      <c r="O35" s="1">
        <v>15121646.921553999</v>
      </c>
      <c r="P35" s="1">
        <v>8572553.9103820808</v>
      </c>
      <c r="Q35" s="1">
        <v>17587229.201823901</v>
      </c>
      <c r="R35" s="1">
        <v>10940178.632261399</v>
      </c>
      <c r="S35" s="1">
        <v>11425217.8211309</v>
      </c>
      <c r="T35" s="1">
        <v>21817088.357472599</v>
      </c>
      <c r="U35" s="1">
        <v>12461446.179019799</v>
      </c>
      <c r="V35" s="1">
        <v>7983107.7614274798</v>
      </c>
      <c r="W35" s="1">
        <v>11438587.423640599</v>
      </c>
      <c r="X35" s="1">
        <v>11771132.4153242</v>
      </c>
      <c r="Y35" s="1">
        <v>3616051.21300143</v>
      </c>
      <c r="Z35" s="1">
        <v>10152629.2958379</v>
      </c>
      <c r="AA35" s="1">
        <v>30948621.939132899</v>
      </c>
      <c r="AB35" s="1" t="s">
        <v>281</v>
      </c>
      <c r="AC35">
        <f t="shared" si="27"/>
        <v>4.4982934229321411E-3</v>
      </c>
      <c r="AD35">
        <f t="shared" ref="AD35:AD66" si="33">N35/SUM(N$2:N$104)</f>
        <v>2.9747200608972002E-3</v>
      </c>
      <c r="AE35">
        <f t="shared" ref="AE35:AE66" si="34">O35/SUM(O$2:O$104)</f>
        <v>3.8361730516418705E-3</v>
      </c>
      <c r="AF35">
        <f t="shared" ref="AF35:AF66" si="35">P35/SUM(P$2:P$104)</f>
        <v>1.9549025046207307E-3</v>
      </c>
      <c r="AG35">
        <f t="shared" ref="AG35:AG66" si="36">Q35/SUM(Q$2:Q$104)</f>
        <v>3.4750512228956761E-3</v>
      </c>
      <c r="AH35">
        <f t="shared" ref="AH35:AH66" si="37">R35/SUM(R$2:R$104)</f>
        <v>9.3943950590923207E-4</v>
      </c>
      <c r="AI35">
        <f t="shared" ref="AI35:AI66" si="38">S35/SUM(S$2:S$104)</f>
        <v>2.0639788005815522E-3</v>
      </c>
      <c r="AJ35">
        <f t="shared" ref="AJ35:AJ66" si="39">T35/SUM(T$2:T$104)</f>
        <v>3.1740920952745299E-3</v>
      </c>
      <c r="AK35">
        <f t="shared" ref="AK35:AK66" si="40">U35/SUM(U$2:U$104)</f>
        <v>1.8202216261896057E-3</v>
      </c>
      <c r="AL35">
        <f t="shared" ref="AL35:AL66" si="41">V35/SUM(V$2:V$104)</f>
        <v>8.1481174741789323E-4</v>
      </c>
      <c r="AM35">
        <f t="shared" ref="AM35:AM66" si="42">W35/SUM(W$2:W$104)</f>
        <v>1.0024414714287209E-3</v>
      </c>
      <c r="AN35">
        <f t="shared" ref="AN35:AN66" si="43">X35/SUM(X$2:X$104)</f>
        <v>1.4237035718639667E-3</v>
      </c>
      <c r="AO35">
        <f t="shared" ref="AO35:AO66" si="44">Y35/SUM(Y$2:Y$104)</f>
        <v>4.5974150793379155E-4</v>
      </c>
      <c r="AP35">
        <f t="shared" ref="AP35:AP66" si="45">Z35/SUM(Z$2:Z$104)</f>
        <v>1.2299002566277515E-3</v>
      </c>
      <c r="AQ35">
        <f t="shared" ref="AQ35:AQ66" si="46">AA35/SUM(AA$2:AA$104)</f>
        <v>4.1321547673593851E-3</v>
      </c>
      <c r="AR35" s="1"/>
      <c r="AS35" s="1">
        <f t="shared" si="28"/>
        <v>2.4250238876969651E-3</v>
      </c>
      <c r="AT35" s="1">
        <f t="shared" si="29"/>
        <v>2.0318649608910945E-3</v>
      </c>
      <c r="AU35" s="1">
        <f t="shared" si="30"/>
        <v>2.3527641740152291E-3</v>
      </c>
      <c r="AV35" s="1">
        <f t="shared" si="31"/>
        <v>0.83787420453855743</v>
      </c>
      <c r="AW35" s="1">
        <f t="shared" si="32"/>
        <v>0.97020247344847366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</row>
    <row r="36" spans="1:91">
      <c r="A36" s="1" t="s">
        <v>265</v>
      </c>
      <c r="B36" s="1" t="s">
        <v>167</v>
      </c>
      <c r="C36" s="1" t="s">
        <v>168</v>
      </c>
      <c r="D36" s="1">
        <v>-1.23</v>
      </c>
      <c r="E36" s="1">
        <v>173.99847</v>
      </c>
      <c r="F36" s="1">
        <v>0.96</v>
      </c>
      <c r="G36" s="1">
        <f t="shared" si="24"/>
        <v>13016731.866802031</v>
      </c>
      <c r="H36" s="1">
        <f t="shared" si="25"/>
        <v>55611860.787056699</v>
      </c>
      <c r="I36" s="1">
        <f t="shared" si="26"/>
        <v>1.815407579871405E-3</v>
      </c>
      <c r="J36" s="1" t="e">
        <f>G36/#REF!</f>
        <v>#REF!</v>
      </c>
      <c r="K36" s="1" t="e">
        <f>H36/#REF!</f>
        <v>#REF!</v>
      </c>
      <c r="L36" s="1">
        <v>80</v>
      </c>
      <c r="M36" s="1">
        <v>1338308.09702699</v>
      </c>
      <c r="N36" s="1">
        <v>13776386.9361709</v>
      </c>
      <c r="O36" s="1">
        <v>11279030.746490199</v>
      </c>
      <c r="P36" s="1">
        <v>33612504.408875003</v>
      </c>
      <c r="Q36" s="1">
        <v>2805932.70269544</v>
      </c>
      <c r="R36" s="1">
        <v>9571652.9437737204</v>
      </c>
      <c r="S36" s="1">
        <v>12579119.741924699</v>
      </c>
      <c r="T36" s="1">
        <v>17474217.9751761</v>
      </c>
      <c r="U36" s="1">
        <v>2038732.8733745499</v>
      </c>
      <c r="V36" s="1">
        <v>430760.637280336</v>
      </c>
      <c r="W36" s="1">
        <v>1920218.03628801</v>
      </c>
      <c r="X36" s="1">
        <v>1638524.0206731299</v>
      </c>
      <c r="Y36" s="1">
        <v>19563806.789997801</v>
      </c>
      <c r="Z36" s="1">
        <v>55611860.787056699</v>
      </c>
      <c r="AA36" s="1">
        <v>11609921.3052269</v>
      </c>
      <c r="AB36" s="1" t="s">
        <v>265</v>
      </c>
      <c r="AC36">
        <f t="shared" si="27"/>
        <v>3.0410505603823616E-4</v>
      </c>
      <c r="AD36">
        <f t="shared" si="33"/>
        <v>2.3848486695340443E-3</v>
      </c>
      <c r="AE36">
        <f t="shared" si="34"/>
        <v>2.8613492976517175E-3</v>
      </c>
      <c r="AF36">
        <f t="shared" si="35"/>
        <v>7.6650633804595612E-3</v>
      </c>
      <c r="AG36">
        <f t="shared" si="36"/>
        <v>5.5442274379716085E-4</v>
      </c>
      <c r="AH36">
        <f t="shared" si="37"/>
        <v>8.2192340861026087E-4</v>
      </c>
      <c r="AI36">
        <f t="shared" si="38"/>
        <v>2.2724325158414854E-3</v>
      </c>
      <c r="AJ36">
        <f t="shared" si="39"/>
        <v>2.5422630296637748E-3</v>
      </c>
      <c r="AK36">
        <f t="shared" si="40"/>
        <v>2.9779414145268403E-4</v>
      </c>
      <c r="AL36">
        <f t="shared" si="41"/>
        <v>4.396643989664429E-5</v>
      </c>
      <c r="AM36">
        <f t="shared" si="42"/>
        <v>1.6828180984849919E-4</v>
      </c>
      <c r="AN36">
        <f t="shared" si="43"/>
        <v>1.9817740710998484E-4</v>
      </c>
      <c r="AO36">
        <f t="shared" si="44"/>
        <v>2.4873248482267505E-3</v>
      </c>
      <c r="AP36">
        <f t="shared" si="45"/>
        <v>6.7368796654072062E-3</v>
      </c>
      <c r="AQ36">
        <f t="shared" si="46"/>
        <v>1.5501172157006465E-3</v>
      </c>
      <c r="AR36" s="1"/>
      <c r="AS36" s="1">
        <f t="shared" si="28"/>
        <v>9.9345478001318767E-4</v>
      </c>
      <c r="AT36" s="1">
        <f t="shared" si="29"/>
        <v>3.3026218770335976E-3</v>
      </c>
      <c r="AU36" s="1">
        <f t="shared" si="30"/>
        <v>1.7041632289859813E-3</v>
      </c>
      <c r="AV36" s="1">
        <f t="shared" si="31"/>
        <v>3.3243806799034745</v>
      </c>
      <c r="AW36" s="1">
        <f t="shared" si="32"/>
        <v>1.7153908393931723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</row>
    <row r="37" spans="1:91" hidden="1">
      <c r="A37" s="1" t="s">
        <v>268</v>
      </c>
      <c r="B37" s="1" t="s">
        <v>169</v>
      </c>
      <c r="C37" s="1" t="s">
        <v>170</v>
      </c>
      <c r="D37" s="1">
        <v>-1.1399999999999999</v>
      </c>
      <c r="E37" s="1">
        <v>139.02678</v>
      </c>
      <c r="F37" s="1">
        <v>1.0009999999999999</v>
      </c>
      <c r="G37" s="1">
        <f t="shared" si="24"/>
        <v>12546307.008259207</v>
      </c>
      <c r="H37" s="1">
        <f t="shared" si="25"/>
        <v>49298301.494245201</v>
      </c>
      <c r="I37" s="1">
        <f t="shared" si="26"/>
        <v>1.7497987263821004E-3</v>
      </c>
      <c r="J37" s="1" t="e">
        <f>G37/#REF!</f>
        <v>#REF!</v>
      </c>
      <c r="K37" s="1" t="e">
        <f>H37/#REF!</f>
        <v>#REF!</v>
      </c>
      <c r="L37" s="1">
        <v>89.1</v>
      </c>
      <c r="M37" s="1">
        <v>7386422.9986329498</v>
      </c>
      <c r="N37" s="1">
        <v>1325442.5033445</v>
      </c>
      <c r="O37" s="1">
        <v>7532722.58008595</v>
      </c>
      <c r="P37" s="1">
        <v>6715831.7840877697</v>
      </c>
      <c r="Q37" s="1">
        <v>2834649.8656071802</v>
      </c>
      <c r="R37" s="1">
        <v>6550296.6349373497</v>
      </c>
      <c r="S37" s="1">
        <v>12717641.138823099</v>
      </c>
      <c r="T37" s="1">
        <v>49298301.494245201</v>
      </c>
      <c r="U37" s="1">
        <v>5534981.31104015</v>
      </c>
      <c r="V37" s="1">
        <v>9014379.6039450392</v>
      </c>
      <c r="W37" s="1">
        <v>15591631.9084944</v>
      </c>
      <c r="X37" s="1">
        <v>18771467.170781799</v>
      </c>
      <c r="Y37" s="1">
        <v>12850370.782695999</v>
      </c>
      <c r="Z37" s="1">
        <v>23103364.639623102</v>
      </c>
      <c r="AA37" s="1">
        <v>8967100.7075436208</v>
      </c>
      <c r="AB37" s="1" t="s">
        <v>268</v>
      </c>
      <c r="AC37">
        <f t="shared" si="27"/>
        <v>1.6784241124382056E-3</v>
      </c>
      <c r="AD37">
        <f t="shared" si="33"/>
        <v>2.2944911501764101E-4</v>
      </c>
      <c r="AE37">
        <f t="shared" si="34"/>
        <v>1.9109576831893333E-3</v>
      </c>
      <c r="AF37">
        <f t="shared" si="35"/>
        <v>1.5314918415881432E-3</v>
      </c>
      <c r="AG37">
        <f t="shared" si="36"/>
        <v>5.6009695267619157E-4</v>
      </c>
      <c r="AH37">
        <f t="shared" si="37"/>
        <v>5.6247778405903984E-4</v>
      </c>
      <c r="AI37">
        <f t="shared" si="38"/>
        <v>2.297456566244836E-3</v>
      </c>
      <c r="AJ37">
        <f t="shared" si="39"/>
        <v>7.1722379503380883E-3</v>
      </c>
      <c r="AK37">
        <f t="shared" si="40"/>
        <v>8.0848502960055764E-4</v>
      </c>
      <c r="AL37">
        <f t="shared" si="41"/>
        <v>9.2007055603935523E-4</v>
      </c>
      <c r="AM37">
        <f t="shared" si="42"/>
        <v>1.366401099494469E-3</v>
      </c>
      <c r="AN37">
        <f t="shared" si="43"/>
        <v>2.2703852031583129E-3</v>
      </c>
      <c r="AO37">
        <f t="shared" si="44"/>
        <v>1.6337846156336115E-3</v>
      </c>
      <c r="AP37">
        <f t="shared" si="45"/>
        <v>2.7987660409196382E-3</v>
      </c>
      <c r="AQ37">
        <f t="shared" si="46"/>
        <v>1.1972567958257283E-3</v>
      </c>
      <c r="AR37" s="1"/>
      <c r="AS37" s="1">
        <f t="shared" si="28"/>
        <v>1.3959479615562192E-3</v>
      </c>
      <c r="AT37" s="1">
        <f t="shared" si="29"/>
        <v>1.3806456717837257E-3</v>
      </c>
      <c r="AU37" s="1">
        <f t="shared" si="30"/>
        <v>3.4260598487278276E-3</v>
      </c>
      <c r="AV37" s="1">
        <f t="shared" si="31"/>
        <v>0.98903806574893061</v>
      </c>
      <c r="AW37" s="1">
        <f t="shared" si="32"/>
        <v>2.4542890874731573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</row>
    <row r="38" spans="1:91" hidden="1">
      <c r="A38" s="1" t="s">
        <v>276</v>
      </c>
      <c r="B38" s="1" t="s">
        <v>59</v>
      </c>
      <c r="C38" s="1" t="s">
        <v>60</v>
      </c>
      <c r="D38" s="1">
        <v>-2.2400000000000002</v>
      </c>
      <c r="E38" s="1">
        <v>97.976680000000002</v>
      </c>
      <c r="F38" s="1">
        <v>5.851</v>
      </c>
      <c r="G38" s="1">
        <f t="shared" si="24"/>
        <v>12220514.669606719</v>
      </c>
      <c r="H38" s="1">
        <f t="shared" si="25"/>
        <v>33148650.567602001</v>
      </c>
      <c r="I38" s="1">
        <f t="shared" si="26"/>
        <v>1.7043613702848925E-3</v>
      </c>
      <c r="J38" s="1" t="e">
        <f>G38/#REF!</f>
        <v>#REF!</v>
      </c>
      <c r="K38" s="1" t="e">
        <f>H38/#REF!</f>
        <v>#REF!</v>
      </c>
      <c r="L38" s="1">
        <v>82.4</v>
      </c>
      <c r="M38" s="1">
        <v>10922793.6847998</v>
      </c>
      <c r="N38" s="1">
        <v>7509488.2756804498</v>
      </c>
      <c r="O38" s="1">
        <v>8632840.3148813508</v>
      </c>
      <c r="P38" s="1">
        <v>11291793.6277053</v>
      </c>
      <c r="Q38" s="1">
        <v>18203429.084072798</v>
      </c>
      <c r="R38" s="1">
        <v>17833474.700158201</v>
      </c>
      <c r="S38" s="1">
        <v>23903610.357688598</v>
      </c>
      <c r="T38" s="1">
        <v>33148650.567602001</v>
      </c>
      <c r="U38" s="1">
        <v>13718615.1059554</v>
      </c>
      <c r="V38" s="1">
        <v>1380270.9057141801</v>
      </c>
      <c r="W38" s="1">
        <v>1224627.4084763499</v>
      </c>
      <c r="X38" s="1">
        <v>9644170.0553902108</v>
      </c>
      <c r="Y38" s="1">
        <v>9367641.5525692496</v>
      </c>
      <c r="Z38" s="1">
        <v>8283607.91365135</v>
      </c>
      <c r="AA38" s="1">
        <v>8242706.4897555402</v>
      </c>
      <c r="AB38" s="1" t="s">
        <v>276</v>
      </c>
      <c r="AC38">
        <f t="shared" si="27"/>
        <v>2.4819970774959347E-3</v>
      </c>
      <c r="AD38">
        <f t="shared" si="33"/>
        <v>1.2999775054311714E-3</v>
      </c>
      <c r="AE38">
        <f t="shared" si="34"/>
        <v>2.1900438190942785E-3</v>
      </c>
      <c r="AF38">
        <f t="shared" si="35"/>
        <v>2.5750034208274391E-3</v>
      </c>
      <c r="AG38">
        <f t="shared" si="36"/>
        <v>3.5968058284554382E-3</v>
      </c>
      <c r="AH38">
        <f t="shared" si="37"/>
        <v>1.531370850888782E-3</v>
      </c>
      <c r="AI38">
        <f t="shared" si="38"/>
        <v>4.3182148303888886E-3</v>
      </c>
      <c r="AJ38">
        <f t="shared" si="39"/>
        <v>4.8226815609703072E-3</v>
      </c>
      <c r="AK38">
        <f t="shared" si="40"/>
        <v>2.0038540903280304E-3</v>
      </c>
      <c r="AL38">
        <f t="shared" si="41"/>
        <v>1.4088009108797822E-4</v>
      </c>
      <c r="AM38">
        <f t="shared" si="42"/>
        <v>1.0732245650960417E-4</v>
      </c>
      <c r="AN38">
        <f t="shared" si="43"/>
        <v>1.1664501656312725E-3</v>
      </c>
      <c r="AO38">
        <f t="shared" si="44"/>
        <v>1.1909935450241445E-3</v>
      </c>
      <c r="AP38">
        <f t="shared" si="45"/>
        <v>1.0034850285511826E-3</v>
      </c>
      <c r="AQ38">
        <f t="shared" si="46"/>
        <v>1.1005381430092126E-3</v>
      </c>
      <c r="AR38" s="1"/>
      <c r="AS38" s="1">
        <f t="shared" si="28"/>
        <v>1.2311118525417065E-3</v>
      </c>
      <c r="AT38" s="1">
        <f t="shared" si="29"/>
        <v>1.8330328027926998E-3</v>
      </c>
      <c r="AU38" s="1">
        <f t="shared" si="30"/>
        <v>3.7149168272290756E-3</v>
      </c>
      <c r="AV38" s="1">
        <f t="shared" si="31"/>
        <v>1.4889246651376886</v>
      </c>
      <c r="AW38" s="1">
        <f t="shared" si="32"/>
        <v>3.0175299015758803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</row>
    <row r="39" spans="1:91" hidden="1">
      <c r="A39" s="1" t="s">
        <v>271</v>
      </c>
      <c r="B39" s="1" t="s">
        <v>209</v>
      </c>
      <c r="C39" s="1" t="s">
        <v>210</v>
      </c>
      <c r="D39" s="1">
        <v>0.62</v>
      </c>
      <c r="E39" s="1">
        <v>157.14676</v>
      </c>
      <c r="F39" s="1">
        <v>2.9649999999999999</v>
      </c>
      <c r="G39" s="1">
        <f t="shared" si="24"/>
        <v>11946075.069756767</v>
      </c>
      <c r="H39" s="1">
        <f t="shared" si="25"/>
        <v>45907837.372474499</v>
      </c>
      <c r="I39" s="1">
        <f t="shared" si="26"/>
        <v>1.666086038590065E-3</v>
      </c>
      <c r="J39" s="1" t="e">
        <f>G39/#REF!</f>
        <v>#REF!</v>
      </c>
      <c r="K39" s="1" t="e">
        <f>H39/#REF!</f>
        <v>#REF!</v>
      </c>
      <c r="L39" s="1">
        <v>89.7</v>
      </c>
      <c r="M39" s="1">
        <v>3471159.4773728601</v>
      </c>
      <c r="N39" s="1">
        <v>12913933.277265299</v>
      </c>
      <c r="O39" s="1">
        <v>4347529.7318011997</v>
      </c>
      <c r="P39" s="1">
        <v>10459119.905799599</v>
      </c>
      <c r="Q39" s="1">
        <v>17092865.562656701</v>
      </c>
      <c r="R39" s="1">
        <v>24286150.641264901</v>
      </c>
      <c r="S39" s="1">
        <v>5791391.6704077004</v>
      </c>
      <c r="T39" s="1">
        <v>2427434.0760123101</v>
      </c>
      <c r="U39" s="1">
        <v>9625483.0867621396</v>
      </c>
      <c r="V39" s="1">
        <v>3669687.20759658</v>
      </c>
      <c r="W39" s="1">
        <v>45907837.372474499</v>
      </c>
      <c r="X39" s="1">
        <v>5630110.1304310001</v>
      </c>
      <c r="Y39" s="1">
        <v>3192727.3279567799</v>
      </c>
      <c r="Z39" s="1">
        <v>4183099.8738921401</v>
      </c>
      <c r="AA39" s="1">
        <v>26192596.7046578</v>
      </c>
      <c r="AB39" s="1" t="s">
        <v>271</v>
      </c>
      <c r="AC39">
        <f t="shared" si="27"/>
        <v>7.8875495839045176E-4</v>
      </c>
      <c r="AD39">
        <f t="shared" si="33"/>
        <v>2.235548169300891E-3</v>
      </c>
      <c r="AE39">
        <f t="shared" si="34"/>
        <v>1.1029140202034055E-3</v>
      </c>
      <c r="AF39">
        <f t="shared" si="35"/>
        <v>2.3851188238330798E-3</v>
      </c>
      <c r="AG39">
        <f t="shared" si="36"/>
        <v>3.3773701755215406E-3</v>
      </c>
      <c r="AH39">
        <f t="shared" si="37"/>
        <v>2.0854658891571506E-3</v>
      </c>
      <c r="AI39">
        <f t="shared" si="38"/>
        <v>1.0462215968853104E-3</v>
      </c>
      <c r="AJ39">
        <f t="shared" si="39"/>
        <v>3.5315891773577069E-4</v>
      </c>
      <c r="AK39">
        <f t="shared" si="40"/>
        <v>1.4059774624348511E-3</v>
      </c>
      <c r="AL39">
        <f t="shared" si="41"/>
        <v>3.745539125184238E-4</v>
      </c>
      <c r="AM39">
        <f t="shared" si="42"/>
        <v>4.0232170583111076E-3</v>
      </c>
      <c r="AN39">
        <f t="shared" si="43"/>
        <v>6.8095469661415351E-4</v>
      </c>
      <c r="AO39">
        <f t="shared" si="44"/>
        <v>4.0592048887436334E-4</v>
      </c>
      <c r="AP39">
        <f t="shared" si="45"/>
        <v>5.0674514536924763E-4</v>
      </c>
      <c r="AQ39">
        <f t="shared" si="46"/>
        <v>3.4971464498656716E-3</v>
      </c>
      <c r="AR39" s="1"/>
      <c r="AS39" s="1">
        <f t="shared" si="28"/>
        <v>1.5343238025564056E-3</v>
      </c>
      <c r="AT39" s="1">
        <f t="shared" si="29"/>
        <v>2.0429611621035093E-3</v>
      </c>
      <c r="AU39" s="1">
        <f t="shared" si="30"/>
        <v>9.3511932568531074E-4</v>
      </c>
      <c r="AV39" s="1">
        <f t="shared" si="31"/>
        <v>1.3315058781592517</v>
      </c>
      <c r="AW39" s="1">
        <f t="shared" si="32"/>
        <v>0.60946673976331889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</row>
    <row r="40" spans="1:91" hidden="1">
      <c r="A40" s="1" t="s">
        <v>275</v>
      </c>
      <c r="B40" s="1" t="s">
        <v>173</v>
      </c>
      <c r="C40" s="1" t="s">
        <v>174</v>
      </c>
      <c r="D40" s="1">
        <v>-1.46</v>
      </c>
      <c r="E40" s="1">
        <v>122.03660000000001</v>
      </c>
      <c r="F40" s="1">
        <v>1.0329999999999999</v>
      </c>
      <c r="G40" s="1">
        <f t="shared" si="24"/>
        <v>9731850.531128943</v>
      </c>
      <c r="H40" s="1">
        <f t="shared" si="25"/>
        <v>33575224.958584704</v>
      </c>
      <c r="I40" s="1">
        <f t="shared" si="26"/>
        <v>1.3572742683165956E-3</v>
      </c>
      <c r="J40" s="1" t="e">
        <f>G40/#REF!</f>
        <v>#REF!</v>
      </c>
      <c r="K40" s="1" t="e">
        <f>H40/#REF!</f>
        <v>#REF!</v>
      </c>
      <c r="L40" s="1">
        <v>86.3</v>
      </c>
      <c r="M40" s="1">
        <v>6864104.9099759301</v>
      </c>
      <c r="N40" s="1">
        <v>4424280.3579394603</v>
      </c>
      <c r="O40" s="1">
        <v>7815973.6698646601</v>
      </c>
      <c r="P40" s="1">
        <v>6558873.5234518703</v>
      </c>
      <c r="Q40" s="1">
        <v>3994204.8694292698</v>
      </c>
      <c r="R40" s="1">
        <v>33575224.958584704</v>
      </c>
      <c r="S40" s="1">
        <v>6914767.6385479299</v>
      </c>
      <c r="T40" s="1">
        <v>10084123.474761801</v>
      </c>
      <c r="U40" s="1">
        <v>2815425.1476000799</v>
      </c>
      <c r="V40" s="1">
        <v>8372514.3863566099</v>
      </c>
      <c r="W40" s="1">
        <v>10180681.7409245</v>
      </c>
      <c r="X40" s="1">
        <v>13910659.4978773</v>
      </c>
      <c r="Y40" s="1">
        <v>13896730.2166052</v>
      </c>
      <c r="Z40" s="1">
        <v>8510915.5007335208</v>
      </c>
      <c r="AA40" s="1">
        <v>8059278.07428132</v>
      </c>
      <c r="AB40" s="1" t="s">
        <v>275</v>
      </c>
      <c r="AC40">
        <f t="shared" si="27"/>
        <v>1.5597372629947296E-3</v>
      </c>
      <c r="AD40">
        <f t="shared" si="33"/>
        <v>7.6589305847489563E-4</v>
      </c>
      <c r="AE40">
        <f t="shared" si="34"/>
        <v>1.9828149486772919E-3</v>
      </c>
      <c r="AF40">
        <f t="shared" si="35"/>
        <v>1.4956987628807086E-3</v>
      </c>
      <c r="AG40">
        <f t="shared" si="36"/>
        <v>7.8921280644745349E-4</v>
      </c>
      <c r="AH40">
        <f t="shared" si="37"/>
        <v>2.8831241066640824E-3</v>
      </c>
      <c r="AI40">
        <f t="shared" si="38"/>
        <v>1.2491607635273612E-3</v>
      </c>
      <c r="AJ40">
        <f t="shared" si="39"/>
        <v>1.4671039546874584E-3</v>
      </c>
      <c r="AK40">
        <f t="shared" si="40"/>
        <v>4.1124422213592788E-4</v>
      </c>
      <c r="AL40">
        <f t="shared" si="41"/>
        <v>8.5455730791849109E-4</v>
      </c>
      <c r="AM40">
        <f t="shared" si="42"/>
        <v>8.922026126606912E-4</v>
      </c>
      <c r="AN40">
        <f t="shared" si="43"/>
        <v>1.6824766653995597E-3</v>
      </c>
      <c r="AO40">
        <f t="shared" si="44"/>
        <v>1.7668178155663288E-3</v>
      </c>
      <c r="AP40">
        <f t="shared" si="45"/>
        <v>1.031021310192078E-3</v>
      </c>
      <c r="AQ40">
        <f t="shared" si="46"/>
        <v>1.0760474046829099E-3</v>
      </c>
      <c r="AR40" s="1"/>
      <c r="AS40" s="1">
        <f t="shared" si="28"/>
        <v>1.2896136426876097E-3</v>
      </c>
      <c r="AT40" s="1">
        <f t="shared" si="29"/>
        <v>1.5069870344055936E-3</v>
      </c>
      <c r="AU40" s="1">
        <f t="shared" si="30"/>
        <v>1.0425029801169159E-3</v>
      </c>
      <c r="AV40" s="1">
        <f t="shared" si="31"/>
        <v>1.1685569883278906</v>
      </c>
      <c r="AW40" s="1">
        <f t="shared" si="32"/>
        <v>0.80838395749621206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</row>
    <row r="41" spans="1:91" hidden="1">
      <c r="A41" s="1" t="s">
        <v>269</v>
      </c>
      <c r="B41" s="1" t="s">
        <v>165</v>
      </c>
      <c r="C41" s="1" t="s">
        <v>166</v>
      </c>
      <c r="D41" s="1">
        <v>0.1</v>
      </c>
      <c r="E41" s="1">
        <v>146.08440999999999</v>
      </c>
      <c r="F41" s="1">
        <v>1.9850000000000001</v>
      </c>
      <c r="G41" s="1">
        <f t="shared" si="24"/>
        <v>9120480.9014685825</v>
      </c>
      <c r="H41" s="1">
        <f t="shared" si="25"/>
        <v>48599374.272675999</v>
      </c>
      <c r="I41" s="1">
        <f t="shared" si="26"/>
        <v>1.2720082375535858E-3</v>
      </c>
      <c r="J41" s="1" t="e">
        <f>G41/#REF!</f>
        <v>#REF!</v>
      </c>
      <c r="K41" s="1" t="e">
        <f>H41/#REF!</f>
        <v>#REF!</v>
      </c>
      <c r="L41" s="1">
        <v>64.3</v>
      </c>
      <c r="M41" s="1">
        <v>10200834.705313301</v>
      </c>
      <c r="N41" s="1">
        <v>2981384.8151360801</v>
      </c>
      <c r="O41" s="1">
        <v>393479.18624869501</v>
      </c>
      <c r="P41" s="1">
        <v>2738752.2762551801</v>
      </c>
      <c r="Q41" s="1">
        <v>6298702.3379138503</v>
      </c>
      <c r="R41" s="1">
        <v>10338510.9661754</v>
      </c>
      <c r="S41" s="1">
        <v>1725093.80303429</v>
      </c>
      <c r="T41" s="1">
        <v>4337096.2271095198</v>
      </c>
      <c r="U41" s="1">
        <v>455204.47693947901</v>
      </c>
      <c r="V41" s="1">
        <v>2260250.49595983</v>
      </c>
      <c r="W41" s="1">
        <v>48599374.272675999</v>
      </c>
      <c r="X41" s="1">
        <v>6749356.7276794603</v>
      </c>
      <c r="Y41" s="1">
        <v>2479311.5435685199</v>
      </c>
      <c r="Z41" s="1">
        <v>35224324.075093597</v>
      </c>
      <c r="AA41" s="1">
        <v>2025537.61292554</v>
      </c>
      <c r="AB41" s="1" t="s">
        <v>269</v>
      </c>
      <c r="AC41">
        <f t="shared" si="27"/>
        <v>2.317945633436248E-3</v>
      </c>
      <c r="AD41">
        <f t="shared" si="33"/>
        <v>5.1611149154631145E-4</v>
      </c>
      <c r="AE41">
        <f t="shared" si="34"/>
        <v>9.9820757520642788E-5</v>
      </c>
      <c r="AF41">
        <f t="shared" si="35"/>
        <v>6.2455059954803489E-4</v>
      </c>
      <c r="AG41">
        <f t="shared" si="36"/>
        <v>1.2445572301834464E-3</v>
      </c>
      <c r="AH41">
        <f t="shared" si="37"/>
        <v>8.8777395327533E-4</v>
      </c>
      <c r="AI41">
        <f t="shared" si="38"/>
        <v>3.1164018876665478E-4</v>
      </c>
      <c r="AJ41">
        <f t="shared" si="39"/>
        <v>6.3098900391069771E-4</v>
      </c>
      <c r="AK41">
        <f t="shared" si="40"/>
        <v>6.6490920986246382E-5</v>
      </c>
      <c r="AL41">
        <f t="shared" si="41"/>
        <v>2.3069695552824075E-4</v>
      </c>
      <c r="AM41">
        <f t="shared" si="42"/>
        <v>4.2590948035881506E-3</v>
      </c>
      <c r="AN41">
        <f t="shared" si="43"/>
        <v>8.16326156391869E-4</v>
      </c>
      <c r="AO41">
        <f t="shared" si="44"/>
        <v>3.1521744591989461E-4</v>
      </c>
      <c r="AP41">
        <f t="shared" si="45"/>
        <v>4.2671118935916283E-3</v>
      </c>
      <c r="AQ41">
        <f t="shared" si="46"/>
        <v>2.7044289468452246E-4</v>
      </c>
      <c r="AR41" s="1"/>
      <c r="AS41" s="1">
        <f t="shared" si="28"/>
        <v>1.3733326330019103E-3</v>
      </c>
      <c r="AT41" s="1">
        <f t="shared" si="29"/>
        <v>1.2682756695338094E-3</v>
      </c>
      <c r="AU41" s="1">
        <f t="shared" si="30"/>
        <v>3.3637337122119967E-4</v>
      </c>
      <c r="AV41" s="1">
        <f t="shared" si="31"/>
        <v>0.92350217205684448</v>
      </c>
      <c r="AW41" s="1">
        <f t="shared" si="32"/>
        <v>0.2449321913263906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</row>
    <row r="42" spans="1:91" hidden="1">
      <c r="A42" s="1" t="s">
        <v>280</v>
      </c>
      <c r="B42" s="1" t="s">
        <v>193</v>
      </c>
      <c r="C42" s="1" t="s">
        <v>194</v>
      </c>
      <c r="D42" s="1">
        <v>0.16</v>
      </c>
      <c r="E42" s="1">
        <v>145.05278999999999</v>
      </c>
      <c r="F42" s="1">
        <v>1.2709999999999999</v>
      </c>
      <c r="G42" s="1">
        <f t="shared" si="24"/>
        <v>8992633.2761176266</v>
      </c>
      <c r="H42" s="1">
        <f t="shared" si="25"/>
        <v>31341745.8253446</v>
      </c>
      <c r="I42" s="1">
        <f t="shared" si="26"/>
        <v>1.2541776829638716E-3</v>
      </c>
      <c r="J42" s="1" t="e">
        <f>G42/#REF!</f>
        <v>#REF!</v>
      </c>
      <c r="K42" s="1" t="e">
        <f>H42/#REF!</f>
        <v>#REF!</v>
      </c>
      <c r="L42" s="1">
        <v>75.5</v>
      </c>
      <c r="M42" s="1">
        <v>5214409.0301103396</v>
      </c>
      <c r="N42" s="1">
        <v>31341745.8253446</v>
      </c>
      <c r="O42" s="1">
        <v>11251389.198689099</v>
      </c>
      <c r="P42" s="1">
        <v>18611749.969888199</v>
      </c>
      <c r="Q42" s="1">
        <v>17864525.937316298</v>
      </c>
      <c r="R42" s="1">
        <v>11538275.8267208</v>
      </c>
      <c r="S42" s="1">
        <v>10911744.1082379</v>
      </c>
      <c r="T42" s="1">
        <v>6014816.3433668399</v>
      </c>
      <c r="U42" s="1">
        <v>8326781.8892296804</v>
      </c>
      <c r="V42" s="1">
        <v>3555277.8356560799</v>
      </c>
      <c r="W42" s="1">
        <v>504862.22654811997</v>
      </c>
      <c r="X42" s="1">
        <v>816810.26495193003</v>
      </c>
      <c r="Y42" s="1">
        <v>4263420.71738867</v>
      </c>
      <c r="Z42" s="1">
        <v>2322442.9777218401</v>
      </c>
      <c r="AA42" s="1">
        <v>2351246.9905940099</v>
      </c>
      <c r="AB42" s="1" t="s">
        <v>280</v>
      </c>
      <c r="AC42">
        <f t="shared" si="27"/>
        <v>1.1848752569237498E-3</v>
      </c>
      <c r="AD42">
        <f t="shared" si="33"/>
        <v>5.4256113144004409E-3</v>
      </c>
      <c r="AE42">
        <f t="shared" si="34"/>
        <v>2.8543369820401747E-3</v>
      </c>
      <c r="AF42">
        <f t="shared" si="35"/>
        <v>4.2442610465762125E-3</v>
      </c>
      <c r="AG42">
        <f t="shared" si="36"/>
        <v>3.5298421367297838E-3</v>
      </c>
      <c r="AH42">
        <f t="shared" si="37"/>
        <v>9.9079846006668308E-4</v>
      </c>
      <c r="AI42">
        <f t="shared" si="38"/>
        <v>1.9712191810575411E-3</v>
      </c>
      <c r="AJ42">
        <f t="shared" si="39"/>
        <v>8.7507465236394194E-4</v>
      </c>
      <c r="AK42">
        <f t="shared" si="40"/>
        <v>1.2162784522439757E-3</v>
      </c>
      <c r="AL42">
        <f t="shared" si="41"/>
        <v>3.6287649276439644E-4</v>
      </c>
      <c r="AM42">
        <f t="shared" si="42"/>
        <v>4.4244522029329478E-5</v>
      </c>
      <c r="AN42">
        <f t="shared" si="43"/>
        <v>9.8792168052863372E-5</v>
      </c>
      <c r="AO42">
        <f t="shared" si="44"/>
        <v>5.4204748608676831E-4</v>
      </c>
      <c r="AP42">
        <f t="shared" si="45"/>
        <v>2.8134319998016565E-4</v>
      </c>
      <c r="AQ42">
        <f t="shared" si="46"/>
        <v>3.1393050328801345E-4</v>
      </c>
      <c r="AR42" s="1"/>
      <c r="AS42" s="1">
        <f t="shared" si="28"/>
        <v>1.6617894560351594E-3</v>
      </c>
      <c r="AT42" s="1">
        <f t="shared" si="29"/>
        <v>1.6503704721212715E-3</v>
      </c>
      <c r="AU42" s="1">
        <f t="shared" si="30"/>
        <v>1.3541907618884862E-3</v>
      </c>
      <c r="AV42" s="1">
        <f t="shared" si="31"/>
        <v>0.99312850140406339</v>
      </c>
      <c r="AW42" s="1">
        <f t="shared" si="32"/>
        <v>0.81489911791800107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</row>
    <row r="43" spans="1:91" hidden="1">
      <c r="A43" s="1" t="s">
        <v>261</v>
      </c>
      <c r="B43" s="1" t="s">
        <v>152</v>
      </c>
      <c r="C43" s="1" t="s">
        <v>153</v>
      </c>
      <c r="D43" s="1">
        <v>0.49</v>
      </c>
      <c r="E43" s="1">
        <v>135.05456000000001</v>
      </c>
      <c r="F43" s="1">
        <v>3.1579999999999999</v>
      </c>
      <c r="G43" s="1">
        <f t="shared" si="24"/>
        <v>8914179.9241864588</v>
      </c>
      <c r="H43" s="1">
        <f t="shared" si="25"/>
        <v>78480000.859953403</v>
      </c>
      <c r="I43" s="1">
        <f t="shared" si="26"/>
        <v>1.2432360110281224E-3</v>
      </c>
      <c r="J43" s="1" t="e">
        <f>G43/#REF!</f>
        <v>#REF!</v>
      </c>
      <c r="K43" s="1" t="e">
        <f>H43/#REF!</f>
        <v>#REF!</v>
      </c>
      <c r="L43" s="1">
        <v>83.7</v>
      </c>
      <c r="M43" s="1">
        <v>2206712.8273052899</v>
      </c>
      <c r="N43" s="1">
        <v>6134457.9184860401</v>
      </c>
      <c r="O43" s="1">
        <v>682425.96021174302</v>
      </c>
      <c r="P43" s="1">
        <v>1155093.23467422</v>
      </c>
      <c r="Q43" s="1">
        <v>4970873.9110287204</v>
      </c>
      <c r="R43" s="1">
        <v>78480000.859953403</v>
      </c>
      <c r="S43" s="1">
        <v>3476407.87696491</v>
      </c>
      <c r="T43" s="1">
        <v>4298586.8009786503</v>
      </c>
      <c r="U43" s="1">
        <v>1986493.6838018601</v>
      </c>
      <c r="V43" s="1">
        <v>2491943.8110579499</v>
      </c>
      <c r="W43" s="1">
        <v>9265361.7900461107</v>
      </c>
      <c r="X43" s="1">
        <v>12508904.5679508</v>
      </c>
      <c r="Y43" s="1">
        <v>2383088.2705660402</v>
      </c>
      <c r="Z43" s="1">
        <v>1968833.0686756</v>
      </c>
      <c r="AA43" s="1">
        <v>1703514.2810955299</v>
      </c>
      <c r="AB43" s="1" t="s">
        <v>261</v>
      </c>
      <c r="AC43">
        <f t="shared" si="27"/>
        <v>5.0143351108667474E-4</v>
      </c>
      <c r="AD43">
        <f t="shared" si="33"/>
        <v>1.0619441710658212E-3</v>
      </c>
      <c r="AE43">
        <f t="shared" si="34"/>
        <v>1.7312294698361354E-4</v>
      </c>
      <c r="AF43">
        <f t="shared" si="35"/>
        <v>2.6340979376056795E-4</v>
      </c>
      <c r="AG43">
        <f t="shared" si="36"/>
        <v>9.8219232064077175E-4</v>
      </c>
      <c r="AH43">
        <f t="shared" si="37"/>
        <v>6.7391233461414589E-3</v>
      </c>
      <c r="AI43">
        <f t="shared" si="38"/>
        <v>6.2801709976677451E-4</v>
      </c>
      <c r="AJ43">
        <f t="shared" si="39"/>
        <v>6.253864018094102E-4</v>
      </c>
      <c r="AK43">
        <f t="shared" si="40"/>
        <v>2.9016365449083221E-4</v>
      </c>
      <c r="AL43">
        <f t="shared" si="41"/>
        <v>2.543451938562157E-4</v>
      </c>
      <c r="AM43">
        <f t="shared" si="42"/>
        <v>8.1198687933594087E-4</v>
      </c>
      <c r="AN43">
        <f t="shared" si="43"/>
        <v>1.5129361802363643E-3</v>
      </c>
      <c r="AO43">
        <f t="shared" si="44"/>
        <v>3.0298370529436674E-4</v>
      </c>
      <c r="AP43">
        <f t="shared" si="45"/>
        <v>2.3850652140071854E-4</v>
      </c>
      <c r="AQ43">
        <f t="shared" si="46"/>
        <v>2.2744743438779782E-4</v>
      </c>
      <c r="AR43" s="1"/>
      <c r="AS43" s="1">
        <f t="shared" si="28"/>
        <v>7.1929481376077165E-4</v>
      </c>
      <c r="AT43" s="1">
        <f t="shared" si="29"/>
        <v>1.45894385360428E-3</v>
      </c>
      <c r="AU43" s="1">
        <f t="shared" si="30"/>
        <v>5.1452238535567229E-4</v>
      </c>
      <c r="AV43" s="1">
        <f t="shared" si="31"/>
        <v>2.028297473710837</v>
      </c>
      <c r="AW43" s="1">
        <f t="shared" si="32"/>
        <v>0.71531502175795736</v>
      </c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</row>
    <row r="44" spans="1:91" hidden="1">
      <c r="A44" s="1" t="s">
        <v>295</v>
      </c>
      <c r="B44" s="1" t="s">
        <v>207</v>
      </c>
      <c r="C44" s="1" t="s">
        <v>208</v>
      </c>
      <c r="D44" s="1">
        <v>0.2</v>
      </c>
      <c r="E44" s="1">
        <v>135.10482999999999</v>
      </c>
      <c r="F44" s="1">
        <v>1.8009999999999999</v>
      </c>
      <c r="G44" s="1">
        <f t="shared" si="24"/>
        <v>8141554.8654106325</v>
      </c>
      <c r="H44" s="1">
        <f t="shared" si="25"/>
        <v>15937787.0980244</v>
      </c>
      <c r="I44" s="1">
        <f t="shared" si="26"/>
        <v>1.1354801317142449E-3</v>
      </c>
      <c r="J44" s="1" t="e">
        <f>G44/#REF!</f>
        <v>#REF!</v>
      </c>
      <c r="K44" s="1" t="e">
        <f>H44/#REF!</f>
        <v>#REF!</v>
      </c>
      <c r="L44" s="1">
        <v>89.4</v>
      </c>
      <c r="M44" s="1">
        <v>15937787.0980244</v>
      </c>
      <c r="N44" s="1">
        <v>8193380.1459124899</v>
      </c>
      <c r="O44" s="1">
        <v>10350272.512136901</v>
      </c>
      <c r="P44" s="1">
        <v>7895156.6307560699</v>
      </c>
      <c r="Q44" s="1">
        <v>14823621.6259121</v>
      </c>
      <c r="R44" s="1">
        <v>8147244.5526216598</v>
      </c>
      <c r="S44" s="1">
        <v>5833808.7702136803</v>
      </c>
      <c r="T44" s="1">
        <v>5998492.6148706498</v>
      </c>
      <c r="U44" s="1">
        <v>8834898.2641472798</v>
      </c>
      <c r="V44" s="1">
        <v>5915559.9148562597</v>
      </c>
      <c r="W44" s="1">
        <v>9727905.0440755207</v>
      </c>
      <c r="X44" s="1">
        <v>4327012.8683920801</v>
      </c>
      <c r="Y44" s="1">
        <v>3717258.11936309</v>
      </c>
      <c r="Z44" s="1">
        <v>4047709.1214772202</v>
      </c>
      <c r="AA44" s="1">
        <v>8373215.6984000998</v>
      </c>
      <c r="AB44" s="1" t="s">
        <v>295</v>
      </c>
      <c r="AC44">
        <f t="shared" si="27"/>
        <v>3.6215589290217393E-3</v>
      </c>
      <c r="AD44">
        <f t="shared" si="33"/>
        <v>1.4183669368825905E-3</v>
      </c>
      <c r="AE44">
        <f t="shared" si="34"/>
        <v>2.6257349278281388E-3</v>
      </c>
      <c r="AF44">
        <f t="shared" si="35"/>
        <v>1.8004274610796938E-3</v>
      </c>
      <c r="AG44">
        <f t="shared" si="36"/>
        <v>2.9289914782896242E-3</v>
      </c>
      <c r="AH44">
        <f t="shared" si="37"/>
        <v>6.9960863111194743E-4</v>
      </c>
      <c r="AI44">
        <f t="shared" si="38"/>
        <v>1.0538842949758252E-3</v>
      </c>
      <c r="AJ44">
        <f t="shared" si="39"/>
        <v>8.7269977003609825E-4</v>
      </c>
      <c r="AK44">
        <f t="shared" si="40"/>
        <v>1.2904981215310946E-3</v>
      </c>
      <c r="AL44">
        <f t="shared" si="41"/>
        <v>6.0378337048996368E-4</v>
      </c>
      <c r="AM44">
        <f t="shared" si="42"/>
        <v>8.5252270102406115E-4</v>
      </c>
      <c r="AN44">
        <f t="shared" si="43"/>
        <v>5.2334673155246157E-4</v>
      </c>
      <c r="AO44">
        <f t="shared" si="44"/>
        <v>4.7260886323471473E-4</v>
      </c>
      <c r="AP44">
        <f t="shared" si="45"/>
        <v>4.903437663483078E-4</v>
      </c>
      <c r="AQ44">
        <f t="shared" si="46"/>
        <v>1.1179632887796944E-3</v>
      </c>
      <c r="AR44" s="1"/>
      <c r="AS44" s="1">
        <f t="shared" si="28"/>
        <v>1.6075522661331591E-3</v>
      </c>
      <c r="AT44" s="1">
        <f t="shared" si="29"/>
        <v>1.2516572481406636E-3</v>
      </c>
      <c r="AU44" s="1">
        <f t="shared" si="30"/>
        <v>1.0723607288476726E-3</v>
      </c>
      <c r="AV44" s="1">
        <f t="shared" si="31"/>
        <v>0.77861060850694885</v>
      </c>
      <c r="AW44" s="1">
        <f t="shared" si="32"/>
        <v>0.66707674234888314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</row>
    <row r="45" spans="1:91" hidden="1">
      <c r="A45" s="1" t="s">
        <v>307</v>
      </c>
      <c r="B45" s="1" t="s">
        <v>225</v>
      </c>
      <c r="C45" s="1" t="s">
        <v>226</v>
      </c>
      <c r="D45" s="1">
        <v>-2.35</v>
      </c>
      <c r="E45" s="1">
        <v>122.10926000000001</v>
      </c>
      <c r="F45" s="1">
        <v>0.96099999999999997</v>
      </c>
      <c r="G45" s="1">
        <f t="shared" si="24"/>
        <v>7228068.3090386139</v>
      </c>
      <c r="H45" s="1">
        <f t="shared" si="25"/>
        <v>9933454.2905719504</v>
      </c>
      <c r="I45" s="1">
        <f t="shared" si="26"/>
        <v>1.0080786890542897E-3</v>
      </c>
      <c r="J45" s="1" t="e">
        <f>G45/#REF!</f>
        <v>#REF!</v>
      </c>
      <c r="K45" s="1" t="e">
        <f>H45/#REF!</f>
        <v>#REF!</v>
      </c>
      <c r="L45" s="1">
        <v>58.4</v>
      </c>
      <c r="M45" s="1">
        <v>8526723.4495845195</v>
      </c>
      <c r="N45" s="1">
        <v>5329727.6580435298</v>
      </c>
      <c r="O45" s="1">
        <v>8060340.7636196101</v>
      </c>
      <c r="P45" s="1">
        <v>6741206.8431226201</v>
      </c>
      <c r="Q45" s="1">
        <v>4416544.7454084298</v>
      </c>
      <c r="R45" s="1">
        <v>7108004.68180985</v>
      </c>
      <c r="S45" s="1">
        <v>6826739.3268638002</v>
      </c>
      <c r="T45" s="1">
        <v>7210780.7267203396</v>
      </c>
      <c r="U45" s="1">
        <v>9933454.2905719504</v>
      </c>
      <c r="V45" s="1">
        <v>6007270.4581570895</v>
      </c>
      <c r="W45" s="1">
        <v>9535315.3847707808</v>
      </c>
      <c r="X45" s="1">
        <v>5154117.1818432901</v>
      </c>
      <c r="Y45" s="1">
        <v>7701921.6378228897</v>
      </c>
      <c r="Z45" s="1">
        <v>8547106.1717804801</v>
      </c>
      <c r="AA45" s="1">
        <v>7321771.3154600104</v>
      </c>
      <c r="AB45" s="1" t="s">
        <v>307</v>
      </c>
      <c r="AC45">
        <f t="shared" si="27"/>
        <v>1.9375356976609167E-3</v>
      </c>
      <c r="AD45">
        <f t="shared" si="33"/>
        <v>9.2263624513124897E-4</v>
      </c>
      <c r="AE45">
        <f t="shared" si="34"/>
        <v>2.0448078297856708E-3</v>
      </c>
      <c r="AF45">
        <f t="shared" si="35"/>
        <v>1.5372784212913111E-3</v>
      </c>
      <c r="AG45">
        <f t="shared" si="36"/>
        <v>8.7266271692833719E-4</v>
      </c>
      <c r="AH45">
        <f t="shared" si="37"/>
        <v>6.1036849860829617E-4</v>
      </c>
      <c r="AI45">
        <f t="shared" si="38"/>
        <v>1.233258347309878E-3</v>
      </c>
      <c r="AJ45">
        <f t="shared" si="39"/>
        <v>1.04907133942104E-3</v>
      </c>
      <c r="AK45">
        <f t="shared" si="40"/>
        <v>1.4509622769872787E-3</v>
      </c>
      <c r="AL45">
        <f t="shared" si="41"/>
        <v>6.1314398922101177E-4</v>
      </c>
      <c r="AM45">
        <f t="shared" si="42"/>
        <v>8.3564475497135233E-4</v>
      </c>
      <c r="AN45">
        <f t="shared" si="43"/>
        <v>6.2338395174646693E-4</v>
      </c>
      <c r="AO45">
        <f t="shared" si="44"/>
        <v>9.7921540907092023E-4</v>
      </c>
      <c r="AP45">
        <f t="shared" si="45"/>
        <v>1.0354054863804505E-3</v>
      </c>
      <c r="AQ45">
        <f t="shared" si="46"/>
        <v>9.7757800997393747E-4</v>
      </c>
      <c r="AR45" s="1"/>
      <c r="AS45" s="1">
        <f t="shared" si="28"/>
        <v>1.162858744752778E-3</v>
      </c>
      <c r="AT45" s="1">
        <f t="shared" si="29"/>
        <v>1.0020847570422087E-3</v>
      </c>
      <c r="AU45" s="1">
        <f t="shared" si="30"/>
        <v>1.2444306545727323E-3</v>
      </c>
      <c r="AV45" s="1">
        <f t="shared" si="31"/>
        <v>0.86174246146745059</v>
      </c>
      <c r="AW45" s="1">
        <f t="shared" si="32"/>
        <v>1.0701477373653809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</row>
    <row r="46" spans="1:91" hidden="1">
      <c r="A46" s="1" t="s">
        <v>308</v>
      </c>
      <c r="B46" s="1" t="s">
        <v>47</v>
      </c>
      <c r="C46" s="1" t="s">
        <v>48</v>
      </c>
      <c r="D46" s="1">
        <v>0.01</v>
      </c>
      <c r="E46" s="1">
        <v>110.07317</v>
      </c>
      <c r="F46" s="1">
        <v>1.034</v>
      </c>
      <c r="G46" s="1">
        <f t="shared" si="24"/>
        <v>6514393.9527350636</v>
      </c>
      <c r="H46" s="1">
        <f t="shared" si="25"/>
        <v>9783820.0427288599</v>
      </c>
      <c r="I46" s="1">
        <f t="shared" si="26"/>
        <v>9.0854450111440871E-4</v>
      </c>
      <c r="J46" s="1" t="e">
        <f>G46/#REF!</f>
        <v>#REF!</v>
      </c>
      <c r="K46" s="1" t="e">
        <f>H46/#REF!</f>
        <v>#REF!</v>
      </c>
      <c r="L46" s="1">
        <v>63.9</v>
      </c>
      <c r="M46" s="1">
        <v>7975564.4509637998</v>
      </c>
      <c r="N46" s="1">
        <v>4484458.9434932498</v>
      </c>
      <c r="O46" s="1">
        <v>6460309.1869031005</v>
      </c>
      <c r="P46" s="1">
        <v>6723384.8676807601</v>
      </c>
      <c r="Q46" s="1">
        <v>4296163.4939754102</v>
      </c>
      <c r="R46" s="1">
        <v>9783820.0427288599</v>
      </c>
      <c r="S46" s="1">
        <v>7569530.0156515203</v>
      </c>
      <c r="T46" s="1">
        <v>5997407.9065080499</v>
      </c>
      <c r="U46" s="1">
        <v>8297728.5252570901</v>
      </c>
      <c r="V46" s="1">
        <v>5188190.57205748</v>
      </c>
      <c r="W46" s="1">
        <v>7070163.4367060298</v>
      </c>
      <c r="X46" s="1">
        <v>5097977.1397935804</v>
      </c>
      <c r="Y46" s="1">
        <v>5031195.1322374502</v>
      </c>
      <c r="Z46" s="1">
        <v>6977793.9083286803</v>
      </c>
      <c r="AA46" s="1">
        <v>6762221.6687409002</v>
      </c>
      <c r="AB46" s="1" t="s">
        <v>308</v>
      </c>
      <c r="AC46">
        <f t="shared" si="27"/>
        <v>1.8122953000769275E-3</v>
      </c>
      <c r="AD46">
        <f t="shared" si="33"/>
        <v>7.7631065347693359E-4</v>
      </c>
      <c r="AE46">
        <f t="shared" si="34"/>
        <v>1.6388997929020041E-3</v>
      </c>
      <c r="AF46">
        <f t="shared" si="35"/>
        <v>1.5332142620229294E-3</v>
      </c>
      <c r="AG46">
        <f t="shared" si="36"/>
        <v>8.4887664976531624E-4</v>
      </c>
      <c r="AH46">
        <f t="shared" si="37"/>
        <v>8.4014232087050887E-4</v>
      </c>
      <c r="AI46">
        <f t="shared" si="38"/>
        <v>1.3674443434920911E-3</v>
      </c>
      <c r="AJ46">
        <f t="shared" si="39"/>
        <v>8.7254195959948115E-4</v>
      </c>
      <c r="AK46">
        <f t="shared" si="40"/>
        <v>1.2120346782343828E-3</v>
      </c>
      <c r="AL46">
        <f t="shared" si="41"/>
        <v>5.2954297402585512E-4</v>
      </c>
      <c r="AM46">
        <f t="shared" si="42"/>
        <v>6.1960666787275339E-4</v>
      </c>
      <c r="AN46">
        <f t="shared" si="43"/>
        <v>6.1659388469338444E-4</v>
      </c>
      <c r="AO46">
        <f t="shared" si="44"/>
        <v>6.3966163656296708E-4</v>
      </c>
      <c r="AP46">
        <f t="shared" si="45"/>
        <v>8.4529733810602317E-4</v>
      </c>
      <c r="AQ46">
        <f t="shared" si="46"/>
        <v>9.0286884376899427E-4</v>
      </c>
      <c r="AR46" s="1"/>
      <c r="AS46" s="1">
        <f t="shared" si="28"/>
        <v>9.9887487884130969E-4</v>
      </c>
      <c r="AT46" s="1">
        <f t="shared" si="29"/>
        <v>9.3501017518278972E-4</v>
      </c>
      <c r="AU46" s="1">
        <f t="shared" si="30"/>
        <v>1.1506736604419848E-3</v>
      </c>
      <c r="AV46" s="1">
        <f t="shared" si="31"/>
        <v>0.93606335987485967</v>
      </c>
      <c r="AW46" s="1">
        <f t="shared" si="32"/>
        <v>1.1519697659998829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</row>
    <row r="47" spans="1:91">
      <c r="A47" s="1" t="s">
        <v>306</v>
      </c>
      <c r="B47" s="1" t="s">
        <v>189</v>
      </c>
      <c r="C47" s="1" t="s">
        <v>190</v>
      </c>
      <c r="D47" s="1">
        <v>-0.31</v>
      </c>
      <c r="E47" s="1">
        <v>208.01935</v>
      </c>
      <c r="F47" s="1">
        <v>1.2549999999999999</v>
      </c>
      <c r="G47" s="1">
        <f t="shared" si="24"/>
        <v>6508512.2896550652</v>
      </c>
      <c r="H47" s="1">
        <f t="shared" si="25"/>
        <v>10420486.0795752</v>
      </c>
      <c r="I47" s="1">
        <f t="shared" si="26"/>
        <v>9.0772420183752873E-4</v>
      </c>
      <c r="J47" s="1" t="e">
        <f>G47/#REF!</f>
        <v>#REF!</v>
      </c>
      <c r="K47" s="1" t="e">
        <f>H47/#REF!</f>
        <v>#REF!</v>
      </c>
      <c r="L47" s="1">
        <v>83</v>
      </c>
      <c r="M47" s="1">
        <v>6413115.6232178695</v>
      </c>
      <c r="N47" s="1">
        <v>7651669.99270448</v>
      </c>
      <c r="O47" s="1">
        <v>4128036.0498088999</v>
      </c>
      <c r="P47" s="1">
        <v>4933294.7308604</v>
      </c>
      <c r="Q47" s="1">
        <v>5632667.0880544502</v>
      </c>
      <c r="R47" s="1">
        <v>5497667.1420993796</v>
      </c>
      <c r="S47" s="1">
        <v>6074609.2088718396</v>
      </c>
      <c r="T47" s="1">
        <v>5165591.0155919697</v>
      </c>
      <c r="U47" s="1">
        <v>3650263.1102644899</v>
      </c>
      <c r="V47" s="1">
        <v>10420486.0795752</v>
      </c>
      <c r="W47" s="1">
        <v>7208383.0452570198</v>
      </c>
      <c r="X47" s="1">
        <v>7089314.2047666004</v>
      </c>
      <c r="Y47" s="1">
        <v>5585740.0302418601</v>
      </c>
      <c r="Z47" s="1">
        <v>8346481.2386903698</v>
      </c>
      <c r="AA47" s="1">
        <v>9830365.7848211396</v>
      </c>
      <c r="AB47" s="1" t="s">
        <v>306</v>
      </c>
      <c r="AC47">
        <f t="shared" si="27"/>
        <v>1.4572585268749418E-3</v>
      </c>
      <c r="AD47">
        <f t="shared" si="33"/>
        <v>1.3245907716124908E-3</v>
      </c>
      <c r="AE47">
        <f t="shared" si="34"/>
        <v>1.0472312131498745E-3</v>
      </c>
      <c r="AF47">
        <f t="shared" si="35"/>
        <v>1.1249984924225935E-3</v>
      </c>
      <c r="AG47">
        <f t="shared" si="36"/>
        <v>1.1129556809595638E-3</v>
      </c>
      <c r="AH47">
        <f t="shared" si="37"/>
        <v>4.7208787691976488E-4</v>
      </c>
      <c r="AI47">
        <f t="shared" si="38"/>
        <v>1.0973851724507355E-3</v>
      </c>
      <c r="AJ47">
        <f t="shared" si="39"/>
        <v>7.5152382120668114E-4</v>
      </c>
      <c r="AK47">
        <f t="shared" si="40"/>
        <v>5.3318754172946149E-4</v>
      </c>
      <c r="AL47">
        <f t="shared" si="41"/>
        <v>1.0635876058779708E-3</v>
      </c>
      <c r="AM47">
        <f t="shared" si="42"/>
        <v>6.317197953634603E-4</v>
      </c>
      <c r="AN47">
        <f t="shared" si="43"/>
        <v>8.5744358310441983E-4</v>
      </c>
      <c r="AO47">
        <f t="shared" si="44"/>
        <v>7.1016597751612644E-4</v>
      </c>
      <c r="AP47">
        <f t="shared" si="45"/>
        <v>1.0111015696803098E-3</v>
      </c>
      <c r="AQ47">
        <f t="shared" si="46"/>
        <v>1.3125170136015867E-3</v>
      </c>
      <c r="AR47" s="1"/>
      <c r="AS47" s="1">
        <f t="shared" si="28"/>
        <v>1.0636385826638596E-3</v>
      </c>
      <c r="AT47" s="1">
        <f t="shared" si="29"/>
        <v>9.5730443518332413E-4</v>
      </c>
      <c r="AU47" s="1">
        <f t="shared" si="30"/>
        <v>7.9403217846229276E-4</v>
      </c>
      <c r="AV47" s="1">
        <f t="shared" si="31"/>
        <v>0.90002793315919027</v>
      </c>
      <c r="AW47" s="1">
        <f t="shared" si="32"/>
        <v>0.74652442230297478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</row>
    <row r="48" spans="1:91" hidden="1">
      <c r="A48" s="1" t="s">
        <v>292</v>
      </c>
      <c r="B48" s="1" t="s">
        <v>163</v>
      </c>
      <c r="C48" s="1" t="s">
        <v>164</v>
      </c>
      <c r="D48" s="1">
        <v>1.18</v>
      </c>
      <c r="E48" s="1">
        <v>123.06856000000001</v>
      </c>
      <c r="F48" s="1">
        <v>2.2970000000000002</v>
      </c>
      <c r="G48" s="1">
        <f t="shared" si="24"/>
        <v>6217317.3921821918</v>
      </c>
      <c r="H48" s="1">
        <f t="shared" si="25"/>
        <v>17078546.774749599</v>
      </c>
      <c r="I48" s="1">
        <f t="shared" si="26"/>
        <v>8.6711205514037107E-4</v>
      </c>
      <c r="J48" s="1" t="e">
        <f>G48/#REF!</f>
        <v>#REF!</v>
      </c>
      <c r="K48" s="1" t="e">
        <f>H48/#REF!</f>
        <v>#REF!</v>
      </c>
      <c r="L48" s="1">
        <v>67.400000000000006</v>
      </c>
      <c r="M48" s="1">
        <v>2602238.6082220101</v>
      </c>
      <c r="N48" s="1">
        <v>9904525.9135807101</v>
      </c>
      <c r="O48" s="1">
        <v>2417261.6829674798</v>
      </c>
      <c r="P48" s="1">
        <v>5229470.7019932</v>
      </c>
      <c r="Q48" s="1">
        <v>2492490.5356282</v>
      </c>
      <c r="R48" s="1">
        <v>6827774.4307176499</v>
      </c>
      <c r="S48" s="1">
        <v>3799171.0137780602</v>
      </c>
      <c r="T48" s="1">
        <v>5081682.3578700796</v>
      </c>
      <c r="U48" s="1">
        <v>6295205.2916602697</v>
      </c>
      <c r="V48" s="1">
        <v>6215632.6145337597</v>
      </c>
      <c r="W48" s="1">
        <v>17078546.774749599</v>
      </c>
      <c r="X48" s="1">
        <v>9595712.4337992705</v>
      </c>
      <c r="Y48" s="1">
        <v>4580652.1398568396</v>
      </c>
      <c r="Z48" s="1">
        <v>8647628.5958381407</v>
      </c>
      <c r="AA48" s="1">
        <v>2491767.7875375999</v>
      </c>
      <c r="AB48" s="1" t="s">
        <v>292</v>
      </c>
      <c r="AC48">
        <f t="shared" si="27"/>
        <v>5.913092206018811E-4</v>
      </c>
      <c r="AD48">
        <f t="shared" si="33"/>
        <v>1.7145856570963693E-3</v>
      </c>
      <c r="AE48">
        <f t="shared" si="34"/>
        <v>6.1322911287849081E-4</v>
      </c>
      <c r="AF48">
        <f t="shared" si="35"/>
        <v>1.192539058959571E-3</v>
      </c>
      <c r="AG48">
        <f t="shared" si="36"/>
        <v>4.9248987344705907E-4</v>
      </c>
      <c r="AH48">
        <f t="shared" si="37"/>
        <v>5.8630496386394087E-4</v>
      </c>
      <c r="AI48">
        <f t="shared" si="38"/>
        <v>6.8632463336665522E-4</v>
      </c>
      <c r="AJ48">
        <f t="shared" si="39"/>
        <v>7.3931624323677638E-4</v>
      </c>
      <c r="AK48">
        <f t="shared" si="40"/>
        <v>9.1952961546912454E-4</v>
      </c>
      <c r="AL48">
        <f t="shared" si="41"/>
        <v>6.3441088650045884E-4</v>
      </c>
      <c r="AM48">
        <f t="shared" si="42"/>
        <v>1.4967095957461594E-3</v>
      </c>
      <c r="AN48">
        <f t="shared" si="43"/>
        <v>1.1605892776122709E-3</v>
      </c>
      <c r="AO48">
        <f t="shared" si="44"/>
        <v>5.8238000461004517E-4</v>
      </c>
      <c r="AP48">
        <f t="shared" si="45"/>
        <v>1.0475828792057794E-3</v>
      </c>
      <c r="AQ48">
        <f t="shared" si="46"/>
        <v>3.3269236228598679E-4</v>
      </c>
      <c r="AR48" s="1"/>
      <c r="AS48" s="1">
        <f t="shared" si="28"/>
        <v>1.0351389584059383E-3</v>
      </c>
      <c r="AT48" s="1">
        <f t="shared" si="29"/>
        <v>7.0566485706206373E-4</v>
      </c>
      <c r="AU48" s="1">
        <f t="shared" si="30"/>
        <v>7.8172349735751868E-4</v>
      </c>
      <c r="AV48" s="1">
        <f t="shared" si="31"/>
        <v>0.68171026829939041</v>
      </c>
      <c r="AW48" s="1">
        <f t="shared" si="32"/>
        <v>0.75518701234212393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</row>
    <row r="49" spans="1:91" hidden="1">
      <c r="A49" s="1" t="s">
        <v>272</v>
      </c>
      <c r="B49" s="1" t="s">
        <v>162</v>
      </c>
      <c r="C49" s="1" t="s">
        <v>98</v>
      </c>
      <c r="D49" s="1">
        <v>-0.13</v>
      </c>
      <c r="E49" s="1">
        <v>131.09460999999999</v>
      </c>
      <c r="F49" s="1">
        <v>4.7830000000000004</v>
      </c>
      <c r="G49" s="1">
        <f t="shared" si="24"/>
        <v>6205323.4873308865</v>
      </c>
      <c r="H49" s="1">
        <f t="shared" si="25"/>
        <v>43243675.753670096</v>
      </c>
      <c r="I49" s="1">
        <f t="shared" si="26"/>
        <v>8.6543929841447983E-4</v>
      </c>
      <c r="J49" s="1" t="e">
        <f>G49/#REF!</f>
        <v>#REF!</v>
      </c>
      <c r="K49" s="1" t="e">
        <f>H49/#REF!</f>
        <v>#REF!</v>
      </c>
      <c r="L49" s="1">
        <v>56.9</v>
      </c>
      <c r="M49" s="1">
        <v>105141.347938106</v>
      </c>
      <c r="N49" s="1">
        <v>104416.98060181399</v>
      </c>
      <c r="O49" s="1">
        <v>218850.147277507</v>
      </c>
      <c r="P49" s="1">
        <v>81488.6050280169</v>
      </c>
      <c r="Q49" s="1">
        <v>80425.5862337898</v>
      </c>
      <c r="R49" s="1">
        <v>271103.60053573601</v>
      </c>
      <c r="S49" s="1">
        <v>270261.86440096202</v>
      </c>
      <c r="T49" s="1">
        <v>140921.47204051801</v>
      </c>
      <c r="U49" s="1">
        <v>139011.37135633201</v>
      </c>
      <c r="V49" s="1">
        <v>20338678.439171299</v>
      </c>
      <c r="W49" s="1">
        <v>43243675.753670096</v>
      </c>
      <c r="X49" s="1">
        <v>27532457.5286946</v>
      </c>
      <c r="Y49" s="1">
        <v>191178.675817571</v>
      </c>
      <c r="Z49" s="1">
        <v>109507.764537189</v>
      </c>
      <c r="AA49" s="1">
        <v>252733.17265977699</v>
      </c>
      <c r="AB49" s="6" t="s">
        <v>272</v>
      </c>
      <c r="AC49">
        <f t="shared" si="27"/>
        <v>2.3891371185516025E-5</v>
      </c>
      <c r="AD49">
        <f t="shared" si="33"/>
        <v>1.8075762420056713E-5</v>
      </c>
      <c r="AE49">
        <f t="shared" si="34"/>
        <v>5.5519550330007939E-5</v>
      </c>
      <c r="AF49">
        <f t="shared" si="35"/>
        <v>1.8582826043752412E-5</v>
      </c>
      <c r="AG49">
        <f t="shared" si="36"/>
        <v>1.5891248620609825E-5</v>
      </c>
      <c r="AH49">
        <f t="shared" si="37"/>
        <v>2.3279823949717416E-5</v>
      </c>
      <c r="AI49">
        <f t="shared" si="38"/>
        <v>4.8823118076362208E-5</v>
      </c>
      <c r="AJ49">
        <f t="shared" si="39"/>
        <v>2.0502173485723377E-5</v>
      </c>
      <c r="AK49">
        <f t="shared" si="40"/>
        <v>2.0305147636481863E-5</v>
      </c>
      <c r="AL49">
        <f t="shared" si="41"/>
        <v>2.0759076057152558E-3</v>
      </c>
      <c r="AM49">
        <f t="shared" si="42"/>
        <v>3.7897383957484002E-3</v>
      </c>
      <c r="AN49">
        <f t="shared" si="43"/>
        <v>3.3300159018486305E-3</v>
      </c>
      <c r="AO49">
        <f t="shared" si="44"/>
        <v>2.4306285372601778E-5</v>
      </c>
      <c r="AP49">
        <f t="shared" si="45"/>
        <v>1.3265886479498871E-5</v>
      </c>
      <c r="AQ49">
        <f t="shared" si="46"/>
        <v>3.3744073850198052E-5</v>
      </c>
      <c r="AR49" s="1"/>
      <c r="AS49" s="1">
        <f t="shared" si="28"/>
        <v>1.5488580978746445E-3</v>
      </c>
      <c r="AT49" s="1">
        <f t="shared" si="29"/>
        <v>2.1511690719396394E-5</v>
      </c>
      <c r="AU49" s="1">
        <f t="shared" si="30"/>
        <v>2.9876813066189147E-5</v>
      </c>
      <c r="AV49" s="1">
        <f t="shared" si="31"/>
        <v>1.3888742131325592E-2</v>
      </c>
      <c r="AW49" s="1">
        <f t="shared" si="32"/>
        <v>1.9289574110879719E-2</v>
      </c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</row>
    <row r="50" spans="1:91">
      <c r="A50" s="1" t="s">
        <v>283</v>
      </c>
      <c r="B50" s="1" t="s">
        <v>195</v>
      </c>
      <c r="C50" s="1" t="s">
        <v>196</v>
      </c>
      <c r="D50" s="1">
        <v>-1.02</v>
      </c>
      <c r="E50" s="1">
        <v>151.00903</v>
      </c>
      <c r="F50" s="1">
        <v>1.0509999999999999</v>
      </c>
      <c r="G50" s="1">
        <f t="shared" si="24"/>
        <v>5893499.0246719932</v>
      </c>
      <c r="H50" s="1">
        <f t="shared" si="25"/>
        <v>29233300.0196824</v>
      </c>
      <c r="I50" s="1">
        <f t="shared" si="26"/>
        <v>8.21950003336962E-4</v>
      </c>
      <c r="J50" s="1" t="e">
        <f>G50/#REF!</f>
        <v>#REF!</v>
      </c>
      <c r="K50" s="1" t="e">
        <f>H50/#REF!</f>
        <v>#REF!</v>
      </c>
      <c r="L50" s="1">
        <v>83.3</v>
      </c>
      <c r="M50" s="1">
        <v>964793.82138157403</v>
      </c>
      <c r="N50" s="1">
        <v>4066996.2668759199</v>
      </c>
      <c r="O50" s="1">
        <v>7652792.7691385401</v>
      </c>
      <c r="P50" s="1">
        <v>29233300.0196824</v>
      </c>
      <c r="Q50" s="1">
        <v>16454558.7332881</v>
      </c>
      <c r="R50" s="1">
        <v>2272915.9008284602</v>
      </c>
      <c r="S50" s="1">
        <v>8089337.6114504198</v>
      </c>
      <c r="T50" s="1">
        <v>5348377.0937394798</v>
      </c>
      <c r="U50" s="1">
        <v>4927098.9809620902</v>
      </c>
      <c r="V50" s="1">
        <v>1234830.86024454</v>
      </c>
      <c r="W50" s="1">
        <v>1476600.2663778099</v>
      </c>
      <c r="X50" s="1">
        <v>1824790.71376938</v>
      </c>
      <c r="Y50" s="1">
        <v>1811386.4241489</v>
      </c>
      <c r="Z50" s="1">
        <v>1595257.9844524099</v>
      </c>
      <c r="AA50" s="1">
        <v>1449447.9237398801</v>
      </c>
      <c r="AB50" s="1" t="s">
        <v>283</v>
      </c>
      <c r="AC50">
        <f t="shared" si="27"/>
        <v>2.192310423648812E-4</v>
      </c>
      <c r="AD50">
        <f t="shared" si="33"/>
        <v>7.0404313416844362E-4</v>
      </c>
      <c r="AE50">
        <f t="shared" si="34"/>
        <v>1.9414179912456303E-3</v>
      </c>
      <c r="AF50">
        <f t="shared" si="35"/>
        <v>6.6664207684474361E-3</v>
      </c>
      <c r="AG50">
        <f t="shared" si="36"/>
        <v>3.2512474700899211E-3</v>
      </c>
      <c r="AH50">
        <f t="shared" si="37"/>
        <v>1.9517661115247745E-4</v>
      </c>
      <c r="AI50">
        <f t="shared" si="38"/>
        <v>1.4613481862814966E-3</v>
      </c>
      <c r="AJ50">
        <f t="shared" si="39"/>
        <v>7.7811673022680375E-4</v>
      </c>
      <c r="AK50">
        <f t="shared" si="40"/>
        <v>7.1969272191082145E-4</v>
      </c>
      <c r="AL50">
        <f t="shared" si="41"/>
        <v>1.2603546401601884E-4</v>
      </c>
      <c r="AM50">
        <f t="shared" si="42"/>
        <v>1.2940455747889043E-4</v>
      </c>
      <c r="AN50">
        <f t="shared" si="43"/>
        <v>2.2070612796059612E-4</v>
      </c>
      <c r="AO50">
        <f t="shared" si="44"/>
        <v>2.3029804530832137E-4</v>
      </c>
      <c r="AP50">
        <f t="shared" si="45"/>
        <v>1.9325124037275937E-4</v>
      </c>
      <c r="AQ50">
        <f t="shared" si="46"/>
        <v>1.9352535825020693E-4</v>
      </c>
      <c r="AR50" s="1"/>
      <c r="AS50" s="1">
        <f t="shared" si="28"/>
        <v>5.5680638620574346E-4</v>
      </c>
      <c r="AT50" s="1">
        <f t="shared" si="29"/>
        <v>1.7883199156035208E-3</v>
      </c>
      <c r="AU50" s="1">
        <f t="shared" si="30"/>
        <v>9.8638587947304061E-4</v>
      </c>
      <c r="AV50" s="1">
        <f t="shared" si="31"/>
        <v>3.2117446205847311</v>
      </c>
      <c r="AW50" s="1">
        <f t="shared" si="32"/>
        <v>1.7715060457452527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</row>
    <row r="51" spans="1:91" hidden="1">
      <c r="A51" s="1" t="s">
        <v>302</v>
      </c>
      <c r="B51" s="1" t="s">
        <v>156</v>
      </c>
      <c r="C51" s="1" t="s">
        <v>157</v>
      </c>
      <c r="D51" s="1">
        <v>-0.12</v>
      </c>
      <c r="E51" s="1">
        <v>306.25583999999998</v>
      </c>
      <c r="F51" s="1">
        <v>0.96799999999999997</v>
      </c>
      <c r="G51" s="1">
        <f t="shared" si="24"/>
        <v>5681404.5404243283</v>
      </c>
      <c r="H51" s="1">
        <f t="shared" si="25"/>
        <v>14747097.838503901</v>
      </c>
      <c r="I51" s="1">
        <f t="shared" si="26"/>
        <v>7.9236977242399902E-4</v>
      </c>
      <c r="J51" s="1" t="e">
        <f>G51/#REF!</f>
        <v>#REF!</v>
      </c>
      <c r="K51" s="1" t="e">
        <f>H51/#REF!</f>
        <v>#REF!</v>
      </c>
      <c r="L51" s="1">
        <v>66.400000000000006</v>
      </c>
      <c r="M51" s="1">
        <v>4290931.5562089495</v>
      </c>
      <c r="N51" s="1">
        <v>5178485.36024886</v>
      </c>
      <c r="O51" s="1">
        <v>2820435.5672334102</v>
      </c>
      <c r="P51" s="1">
        <v>8658289.4000803307</v>
      </c>
      <c r="Q51" s="1">
        <v>2063981.8337141499</v>
      </c>
      <c r="R51" s="1">
        <v>10162986.552442599</v>
      </c>
      <c r="S51" s="1">
        <v>4749280.6071475698</v>
      </c>
      <c r="T51" s="1">
        <v>8201834.2885010904</v>
      </c>
      <c r="U51" s="1">
        <v>3660695.6557520898</v>
      </c>
      <c r="V51" s="1">
        <v>2918055.0105902599</v>
      </c>
      <c r="W51" s="1">
        <v>14747097.838503901</v>
      </c>
      <c r="X51" s="1">
        <v>1847560.2762764399</v>
      </c>
      <c r="Y51" s="1">
        <v>7690929.8488542996</v>
      </c>
      <c r="Z51" s="1">
        <v>4608257.38476652</v>
      </c>
      <c r="AA51" s="1">
        <v>3622246.9260444501</v>
      </c>
      <c r="AB51" s="1" t="s">
        <v>302</v>
      </c>
      <c r="AC51">
        <f t="shared" si="27"/>
        <v>9.7503256855124777E-4</v>
      </c>
      <c r="AD51">
        <f t="shared" si="33"/>
        <v>8.9645448975924551E-4</v>
      </c>
      <c r="AE51">
        <f t="shared" si="34"/>
        <v>7.1550929426152478E-4</v>
      </c>
      <c r="AF51">
        <f t="shared" si="35"/>
        <v>1.9744537988205853E-3</v>
      </c>
      <c r="AG51">
        <f t="shared" si="36"/>
        <v>4.0782106794508548E-4</v>
      </c>
      <c r="AH51">
        <f t="shared" si="37"/>
        <v>8.727015697197367E-4</v>
      </c>
      <c r="AI51">
        <f t="shared" si="38"/>
        <v>8.5796302920685991E-4</v>
      </c>
      <c r="AJ51">
        <f t="shared" si="39"/>
        <v>1.193256265699918E-3</v>
      </c>
      <c r="AK51">
        <f t="shared" si="40"/>
        <v>5.3471140538380259E-4</v>
      </c>
      <c r="AL51">
        <f t="shared" si="41"/>
        <v>2.978370796557345E-4</v>
      </c>
      <c r="AM51">
        <f t="shared" si="42"/>
        <v>1.2923888159459545E-3</v>
      </c>
      <c r="AN51">
        <f t="shared" si="43"/>
        <v>2.2346007773597023E-4</v>
      </c>
      <c r="AO51">
        <f t="shared" si="44"/>
        <v>9.7781792288014402E-4</v>
      </c>
      <c r="AP51">
        <f t="shared" si="45"/>
        <v>5.5824917614736148E-4</v>
      </c>
      <c r="AQ51">
        <f t="shared" si="46"/>
        <v>4.8363009291478679E-4</v>
      </c>
      <c r="AR51" s="1"/>
      <c r="AS51" s="1">
        <f t="shared" si="28"/>
        <v>7.334470543182795E-4</v>
      </c>
      <c r="AT51" s="1">
        <f t="shared" si="29"/>
        <v>8.7911227140461659E-4</v>
      </c>
      <c r="AU51" s="1">
        <f t="shared" si="30"/>
        <v>8.6197690009686019E-4</v>
      </c>
      <c r="AV51" s="1">
        <f t="shared" si="31"/>
        <v>1.1986035886690269</v>
      </c>
      <c r="AW51" s="1">
        <f t="shared" si="32"/>
        <v>1.175240796212681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</row>
    <row r="52" spans="1:91" hidden="1">
      <c r="A52" s="1" t="s">
        <v>299</v>
      </c>
      <c r="B52" s="1" t="s">
        <v>97</v>
      </c>
      <c r="C52" s="1" t="s">
        <v>98</v>
      </c>
      <c r="D52" s="1">
        <v>0.52</v>
      </c>
      <c r="E52" s="1">
        <v>131.09469999999999</v>
      </c>
      <c r="F52" s="1">
        <v>5.0960000000000001</v>
      </c>
      <c r="G52" s="1">
        <f t="shared" si="24"/>
        <v>5044824.3262470011</v>
      </c>
      <c r="H52" s="1">
        <f t="shared" si="25"/>
        <v>14904895.9755059</v>
      </c>
      <c r="I52" s="1">
        <f t="shared" si="26"/>
        <v>7.0358769118891826E-4</v>
      </c>
      <c r="J52" s="1" t="e">
        <f>G52/#REF!</f>
        <v>#REF!</v>
      </c>
      <c r="K52" s="1" t="e">
        <f>H52/#REF!</f>
        <v>#REF!</v>
      </c>
      <c r="L52" s="1">
        <v>56.7</v>
      </c>
      <c r="M52" s="1">
        <v>3775479.3416033098</v>
      </c>
      <c r="N52" s="1">
        <v>4110910.4507444398</v>
      </c>
      <c r="O52" s="1">
        <v>2920235.7927904301</v>
      </c>
      <c r="P52" s="1">
        <v>4527373.6761016101</v>
      </c>
      <c r="Q52" s="1">
        <v>1799515.0650536099</v>
      </c>
      <c r="R52" s="1">
        <v>8590107.2083823793</v>
      </c>
      <c r="S52" s="1">
        <v>3061857.8230682099</v>
      </c>
      <c r="T52" s="1">
        <v>3208424.9049871098</v>
      </c>
      <c r="U52" s="1">
        <v>7243125.1993982298</v>
      </c>
      <c r="V52" s="1">
        <v>380344.39895074599</v>
      </c>
      <c r="W52" s="1">
        <v>672515.88312297396</v>
      </c>
      <c r="X52" s="1">
        <v>306677.01247209002</v>
      </c>
      <c r="Y52" s="1">
        <v>7260508.63945348</v>
      </c>
      <c r="Z52" s="1">
        <v>14904895.9755059</v>
      </c>
      <c r="AA52" s="1">
        <v>12910393.522070499</v>
      </c>
      <c r="AB52" s="1" t="s">
        <v>299</v>
      </c>
      <c r="AC52">
        <f t="shared" si="27"/>
        <v>8.5790585837449557E-4</v>
      </c>
      <c r="AD52">
        <f t="shared" si="33"/>
        <v>7.1164517695787338E-4</v>
      </c>
      <c r="AE52">
        <f t="shared" si="34"/>
        <v>7.4082736562079688E-4</v>
      </c>
      <c r="AF52">
        <f t="shared" si="35"/>
        <v>1.0324314354029568E-3</v>
      </c>
      <c r="AG52">
        <f t="shared" si="36"/>
        <v>3.5556522040352005E-4</v>
      </c>
      <c r="AH52">
        <f t="shared" si="37"/>
        <v>7.3763750509090017E-4</v>
      </c>
      <c r="AI52">
        <f t="shared" si="38"/>
        <v>5.5312815354114915E-4</v>
      </c>
      <c r="AJ52">
        <f t="shared" si="39"/>
        <v>4.6678254963905124E-4</v>
      </c>
      <c r="AK52">
        <f t="shared" si="40"/>
        <v>1.0579906167985874E-3</v>
      </c>
      <c r="AL52">
        <f t="shared" si="41"/>
        <v>3.8820606409332746E-5</v>
      </c>
      <c r="AM52">
        <f t="shared" si="42"/>
        <v>5.8937156002643293E-5</v>
      </c>
      <c r="AN52">
        <f t="shared" si="43"/>
        <v>3.7092196626441532E-5</v>
      </c>
      <c r="AO52">
        <f t="shared" si="44"/>
        <v>9.2309455636776236E-4</v>
      </c>
      <c r="AP52">
        <f t="shared" si="45"/>
        <v>1.805594871153201E-3</v>
      </c>
      <c r="AQ52">
        <f t="shared" si="46"/>
        <v>1.7237518441250508E-3</v>
      </c>
      <c r="AR52" s="1"/>
      <c r="AS52" s="1">
        <f t="shared" si="28"/>
        <v>4.0753805999859722E-4</v>
      </c>
      <c r="AT52" s="1">
        <f t="shared" si="29"/>
        <v>1.0963459054238987E-3</v>
      </c>
      <c r="AU52" s="1">
        <f t="shared" si="30"/>
        <v>6.9263377332626263E-4</v>
      </c>
      <c r="AV52" s="1">
        <f t="shared" si="31"/>
        <v>2.6901681414189205</v>
      </c>
      <c r="AW52" s="1">
        <f t="shared" si="32"/>
        <v>1.6995560447253606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</row>
    <row r="53" spans="1:91" hidden="1">
      <c r="A53" s="1" t="s">
        <v>267</v>
      </c>
      <c r="B53" s="1" t="s">
        <v>134</v>
      </c>
      <c r="C53" s="1" t="s">
        <v>135</v>
      </c>
      <c r="D53" s="1">
        <v>-0.09</v>
      </c>
      <c r="E53" s="1">
        <v>111.04325</v>
      </c>
      <c r="F53" s="1">
        <v>5.1909999999999998</v>
      </c>
      <c r="G53" s="1">
        <f t="shared" si="24"/>
        <v>4880513.6245843833</v>
      </c>
      <c r="H53" s="1">
        <f t="shared" si="25"/>
        <v>52443706.457425602</v>
      </c>
      <c r="I53" s="1">
        <f t="shared" si="26"/>
        <v>6.8067173222896853E-4</v>
      </c>
      <c r="J53" s="1" t="e">
        <f>G53/#REF!</f>
        <v>#REF!</v>
      </c>
      <c r="K53" s="1" t="e">
        <f>H53/#REF!</f>
        <v>#REF!</v>
      </c>
      <c r="L53" s="1">
        <v>87.8</v>
      </c>
      <c r="M53" s="1">
        <v>828187.78082788805</v>
      </c>
      <c r="N53" s="1">
        <v>855219.43231164897</v>
      </c>
      <c r="O53" s="1">
        <v>842889.87473571405</v>
      </c>
      <c r="P53" s="1">
        <v>999832.51343385305</v>
      </c>
      <c r="Q53" s="1">
        <v>1005008.13077986</v>
      </c>
      <c r="R53" s="1">
        <v>1462571.1724522701</v>
      </c>
      <c r="S53" s="1">
        <v>1345515.4918827401</v>
      </c>
      <c r="T53" s="1">
        <v>1732864.04347839</v>
      </c>
      <c r="U53" s="1">
        <v>1386801.6448760401</v>
      </c>
      <c r="V53" s="1">
        <v>3729489.4912217599</v>
      </c>
      <c r="W53" s="1">
        <v>4101890.7369022099</v>
      </c>
      <c r="X53" s="1">
        <v>52443706.457425602</v>
      </c>
      <c r="Y53" s="1">
        <v>702038.45052966103</v>
      </c>
      <c r="Z53" s="1">
        <v>860712.07715849497</v>
      </c>
      <c r="AA53" s="1">
        <v>910977.07074960601</v>
      </c>
      <c r="AB53" s="1" t="s">
        <v>267</v>
      </c>
      <c r="AC53">
        <f t="shared" si="27"/>
        <v>1.8818991834416743E-4</v>
      </c>
      <c r="AD53">
        <f t="shared" si="33"/>
        <v>1.4804817364363229E-4</v>
      </c>
      <c r="AE53">
        <f t="shared" si="34"/>
        <v>2.1383063893351675E-4</v>
      </c>
      <c r="AF53">
        <f t="shared" si="35"/>
        <v>2.2800382536479889E-4</v>
      </c>
      <c r="AG53">
        <f t="shared" si="36"/>
        <v>1.9857901968574226E-4</v>
      </c>
      <c r="AH53">
        <f t="shared" si="37"/>
        <v>1.2559183773781156E-4</v>
      </c>
      <c r="AI53">
        <f t="shared" si="38"/>
        <v>2.4306892827581541E-4</v>
      </c>
      <c r="AJ53">
        <f t="shared" si="39"/>
        <v>2.5210834610321924E-4</v>
      </c>
      <c r="AK53">
        <f t="shared" si="40"/>
        <v>2.0256768829035241E-4</v>
      </c>
      <c r="AL53">
        <f t="shared" si="41"/>
        <v>3.8065775135868768E-4</v>
      </c>
      <c r="AM53">
        <f t="shared" si="42"/>
        <v>3.5947667606594911E-4</v>
      </c>
      <c r="AN53">
        <f t="shared" si="43"/>
        <v>6.3429999400924936E-3</v>
      </c>
      <c r="AO53">
        <f t="shared" si="44"/>
        <v>8.9256538932177247E-5</v>
      </c>
      <c r="AP53">
        <f t="shared" si="45"/>
        <v>1.0426757185095E-4</v>
      </c>
      <c r="AQ53">
        <f t="shared" si="46"/>
        <v>1.2163056091015529E-4</v>
      </c>
      <c r="AR53" s="1"/>
      <c r="AS53" s="1">
        <f t="shared" si="28"/>
        <v>1.2722005164064077E-3</v>
      </c>
      <c r="AT53" s="1">
        <f t="shared" si="29"/>
        <v>1.4455489241360585E-4</v>
      </c>
      <c r="AU53" s="1">
        <f t="shared" si="30"/>
        <v>2.3258165422312903E-4</v>
      </c>
      <c r="AV53" s="1">
        <f t="shared" si="31"/>
        <v>0.11362587151114426</v>
      </c>
      <c r="AW53" s="1">
        <f t="shared" si="32"/>
        <v>0.18281839318860191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</row>
    <row r="54" spans="1:91" hidden="1">
      <c r="A54" s="1" t="s">
        <v>291</v>
      </c>
      <c r="B54" s="1" t="s">
        <v>31</v>
      </c>
      <c r="C54" s="1" t="s">
        <v>32</v>
      </c>
      <c r="D54" s="1">
        <v>0.43</v>
      </c>
      <c r="E54" s="1">
        <v>138.04299</v>
      </c>
      <c r="F54" s="1">
        <v>2.3359999999999999</v>
      </c>
      <c r="G54" s="1">
        <f t="shared" si="24"/>
        <v>4845983.2372308401</v>
      </c>
      <c r="H54" s="1">
        <f t="shared" si="25"/>
        <v>18925843.3878037</v>
      </c>
      <c r="I54" s="1">
        <f t="shared" si="26"/>
        <v>6.7585587464052163E-4</v>
      </c>
      <c r="J54" s="1" t="e">
        <f>G54/#REF!</f>
        <v>#REF!</v>
      </c>
      <c r="K54" s="1" t="e">
        <f>H54/#REF!</f>
        <v>#REF!</v>
      </c>
      <c r="L54" s="1">
        <v>83.7</v>
      </c>
      <c r="M54" s="1">
        <v>7390262.8918276504</v>
      </c>
      <c r="N54" s="1">
        <v>18925843.3878037</v>
      </c>
      <c r="O54" s="1">
        <v>6806839.0586534999</v>
      </c>
      <c r="P54" s="1">
        <v>938143.36693650798</v>
      </c>
      <c r="Q54" s="1">
        <v>6814448.8450632701</v>
      </c>
      <c r="R54" s="1">
        <v>2082644.6702839099</v>
      </c>
      <c r="S54" s="1">
        <v>1710439.57219143</v>
      </c>
      <c r="T54" s="1">
        <v>1104923.1475152799</v>
      </c>
      <c r="U54" s="1">
        <v>2065098.0023302301</v>
      </c>
      <c r="V54" s="1">
        <v>8331188.9041259</v>
      </c>
      <c r="W54" s="1">
        <v>3284465.6895492999</v>
      </c>
      <c r="X54" s="1">
        <v>6790400.9439834002</v>
      </c>
      <c r="Y54" s="1">
        <v>2024747.3602346601</v>
      </c>
      <c r="Z54" s="1">
        <v>1473024.0769428699</v>
      </c>
      <c r="AA54" s="1">
        <v>2947278.6410210002</v>
      </c>
      <c r="AB54" s="1" t="s">
        <v>291</v>
      </c>
      <c r="AC54">
        <f t="shared" si="27"/>
        <v>1.6792966551193336E-3</v>
      </c>
      <c r="AD54">
        <f t="shared" si="33"/>
        <v>3.2762779263050038E-3</v>
      </c>
      <c r="AE54">
        <f t="shared" si="34"/>
        <v>1.7268100954301619E-3</v>
      </c>
      <c r="AF54">
        <f t="shared" si="35"/>
        <v>2.1393610782621068E-4</v>
      </c>
      <c r="AG54">
        <f t="shared" si="36"/>
        <v>1.3464633070194667E-3</v>
      </c>
      <c r="AH54">
        <f t="shared" si="37"/>
        <v>1.7883790985518742E-4</v>
      </c>
      <c r="AI54">
        <f t="shared" si="38"/>
        <v>3.0899288503275559E-4</v>
      </c>
      <c r="AJ54">
        <f t="shared" si="39"/>
        <v>1.6075141517281669E-4</v>
      </c>
      <c r="AK54">
        <f t="shared" si="40"/>
        <v>3.0164524967984978E-4</v>
      </c>
      <c r="AL54">
        <f t="shared" si="41"/>
        <v>8.5033934050585147E-4</v>
      </c>
      <c r="AM54">
        <f t="shared" si="42"/>
        <v>2.8784014115975851E-4</v>
      </c>
      <c r="AN54">
        <f t="shared" si="43"/>
        <v>8.2129040242143571E-4</v>
      </c>
      <c r="AO54">
        <f t="shared" si="44"/>
        <v>2.5742456335583938E-4</v>
      </c>
      <c r="AP54">
        <f t="shared" si="45"/>
        <v>1.7844369546651261E-4</v>
      </c>
      <c r="AQ54">
        <f t="shared" si="46"/>
        <v>3.9351062257903657E-4</v>
      </c>
      <c r="AR54" s="1"/>
      <c r="AS54" s="1">
        <f t="shared" si="28"/>
        <v>1.4403090934902573E-3</v>
      </c>
      <c r="AT54" s="1">
        <f t="shared" si="29"/>
        <v>4.2810270101704219E-4</v>
      </c>
      <c r="AU54" s="1">
        <f t="shared" si="30"/>
        <v>2.5712984996180735E-4</v>
      </c>
      <c r="AV54" s="1">
        <f t="shared" si="31"/>
        <v>0.29722974252674744</v>
      </c>
      <c r="AW54" s="1">
        <f t="shared" si="32"/>
        <v>0.17852407592505884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</row>
    <row r="55" spans="1:91" hidden="1">
      <c r="A55" s="1" t="s">
        <v>288</v>
      </c>
      <c r="B55" s="1" t="s">
        <v>221</v>
      </c>
      <c r="C55" s="1" t="s">
        <v>222</v>
      </c>
      <c r="D55" s="1">
        <v>0.49</v>
      </c>
      <c r="E55" s="1">
        <v>138.07937999999999</v>
      </c>
      <c r="F55" s="1">
        <v>2.2599999999999998</v>
      </c>
      <c r="G55" s="1">
        <f t="shared" si="24"/>
        <v>4796253.1298656026</v>
      </c>
      <c r="H55" s="1">
        <f t="shared" si="25"/>
        <v>21474360.1554664</v>
      </c>
      <c r="I55" s="1">
        <f t="shared" si="26"/>
        <v>6.6892015415534185E-4</v>
      </c>
      <c r="J55" s="1" t="e">
        <f>G55/#REF!</f>
        <v>#REF!</v>
      </c>
      <c r="K55" s="1" t="e">
        <f>H55/#REF!</f>
        <v>#REF!</v>
      </c>
      <c r="L55" s="1">
        <v>64.599999999999994</v>
      </c>
      <c r="M55" s="1">
        <v>1228366.4060807701</v>
      </c>
      <c r="N55" s="1">
        <v>5224380.6422519796</v>
      </c>
      <c r="O55" s="1">
        <v>226392.136436036</v>
      </c>
      <c r="P55" s="1">
        <v>5268535.6308949804</v>
      </c>
      <c r="Q55" s="1">
        <v>10022305.463006601</v>
      </c>
      <c r="R55" s="1">
        <v>21474360.1554664</v>
      </c>
      <c r="S55" s="1">
        <v>2680646.7063944498</v>
      </c>
      <c r="T55" s="1">
        <v>4539930.7723815003</v>
      </c>
      <c r="U55" s="1">
        <v>3991383.8801046801</v>
      </c>
      <c r="V55" s="1">
        <v>2069535.2228957401</v>
      </c>
      <c r="W55" s="1">
        <v>3512339.6608524099</v>
      </c>
      <c r="X55" s="1">
        <v>5792644.4431240195</v>
      </c>
      <c r="Y55" s="1">
        <v>2302225.2824174198</v>
      </c>
      <c r="Z55" s="1">
        <v>1497709.9931347701</v>
      </c>
      <c r="AA55" s="1">
        <v>2113040.5525422902</v>
      </c>
      <c r="AB55" s="1" t="s">
        <v>288</v>
      </c>
      <c r="AC55">
        <f t="shared" si="27"/>
        <v>2.7912289822240073E-4</v>
      </c>
      <c r="AD55">
        <f t="shared" si="33"/>
        <v>9.0439948308225189E-4</v>
      </c>
      <c r="AE55">
        <f t="shared" si="34"/>
        <v>5.7432858828468156E-5</v>
      </c>
      <c r="AF55">
        <f t="shared" si="35"/>
        <v>1.2014475042316892E-3</v>
      </c>
      <c r="AG55">
        <f t="shared" si="36"/>
        <v>1.9803019825228199E-3</v>
      </c>
      <c r="AH55">
        <f t="shared" si="37"/>
        <v>1.8440158037893205E-3</v>
      </c>
      <c r="AI55">
        <f t="shared" si="38"/>
        <v>4.8426192484610789E-4</v>
      </c>
      <c r="AJ55">
        <f t="shared" si="39"/>
        <v>6.6049869449119549E-4</v>
      </c>
      <c r="AK55">
        <f t="shared" si="40"/>
        <v>5.8301445535453823E-4</v>
      </c>
      <c r="AL55">
        <f t="shared" si="41"/>
        <v>2.1123122243924574E-4</v>
      </c>
      <c r="AM55">
        <f t="shared" si="42"/>
        <v>3.0781029224863241E-4</v>
      </c>
      <c r="AN55">
        <f t="shared" si="43"/>
        <v>7.0061301608308234E-4</v>
      </c>
      <c r="AO55">
        <f t="shared" si="44"/>
        <v>2.9270285750830296E-4</v>
      </c>
      <c r="AP55">
        <f t="shared" si="45"/>
        <v>1.8143417347716507E-4</v>
      </c>
      <c r="AQ55">
        <f t="shared" si="46"/>
        <v>2.821259896477305E-4</v>
      </c>
      <c r="AR55" s="1"/>
      <c r="AS55" s="1">
        <f t="shared" si="28"/>
        <v>4.1010162848401354E-4</v>
      </c>
      <c r="AT55" s="1">
        <f t="shared" si="29"/>
        <v>9.6367138519617144E-4</v>
      </c>
      <c r="AU55" s="1">
        <f t="shared" si="30"/>
        <v>5.7592502489728055E-4</v>
      </c>
      <c r="AV55" s="1">
        <f t="shared" si="31"/>
        <v>2.3498355487114018</v>
      </c>
      <c r="AW55" s="1">
        <f t="shared" si="32"/>
        <v>1.4043470810546441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</row>
    <row r="56" spans="1:91" hidden="1">
      <c r="A56" s="1" t="s">
        <v>297</v>
      </c>
      <c r="B56" s="1" t="s">
        <v>49</v>
      </c>
      <c r="C56" s="1" t="s">
        <v>50</v>
      </c>
      <c r="D56" s="1">
        <v>0.06</v>
      </c>
      <c r="E56" s="1">
        <v>222.14673999999999</v>
      </c>
      <c r="F56" s="1">
        <v>1.1850000000000001</v>
      </c>
      <c r="G56" s="1">
        <f t="shared" si="24"/>
        <v>4405420.2641239967</v>
      </c>
      <c r="H56" s="1">
        <f t="shared" si="25"/>
        <v>15084239.9069367</v>
      </c>
      <c r="I56" s="1">
        <f t="shared" si="26"/>
        <v>6.1441177569363729E-4</v>
      </c>
      <c r="J56" s="1" t="e">
        <f>G56/#REF!</f>
        <v>#REF!</v>
      </c>
      <c r="K56" s="1" t="e">
        <f>H56/#REF!</f>
        <v>#REF!</v>
      </c>
      <c r="L56" s="1">
        <v>68.400000000000006</v>
      </c>
      <c r="M56" s="1">
        <v>1738871.04001147</v>
      </c>
      <c r="N56" s="1">
        <v>1561283.3936689701</v>
      </c>
      <c r="O56" s="1">
        <v>1780794.6804019399</v>
      </c>
      <c r="P56" s="1">
        <v>1594479.5211338401</v>
      </c>
      <c r="Q56" s="1">
        <v>1483682.8245252499</v>
      </c>
      <c r="R56" s="1">
        <v>15084239.9069367</v>
      </c>
      <c r="S56" s="1">
        <v>2272556.5562610002</v>
      </c>
      <c r="T56" s="1">
        <v>2928110.5596451</v>
      </c>
      <c r="U56" s="1">
        <v>5438255.7801383398</v>
      </c>
      <c r="V56" s="1">
        <v>2224356.5696565299</v>
      </c>
      <c r="W56" s="1">
        <v>8284672.3620464997</v>
      </c>
      <c r="X56" s="1">
        <v>13047459.487720899</v>
      </c>
      <c r="Y56" s="1">
        <v>2969519.8131475402</v>
      </c>
      <c r="Z56" s="1">
        <v>3507664.7551200702</v>
      </c>
      <c r="AA56" s="1">
        <v>2165356.7114458098</v>
      </c>
      <c r="AB56" s="1" t="s">
        <v>297</v>
      </c>
      <c r="AC56">
        <f t="shared" si="27"/>
        <v>3.9512536480999089E-4</v>
      </c>
      <c r="AD56">
        <f t="shared" si="33"/>
        <v>2.7027584528574179E-4</v>
      </c>
      <c r="AE56">
        <f t="shared" si="34"/>
        <v>4.5176537971719001E-4</v>
      </c>
      <c r="AF56">
        <f t="shared" si="35"/>
        <v>3.6360832979492804E-4</v>
      </c>
      <c r="AG56">
        <f t="shared" si="36"/>
        <v>2.9316009671501213E-4</v>
      </c>
      <c r="AH56">
        <f t="shared" si="37"/>
        <v>1.2952924592475104E-3</v>
      </c>
      <c r="AI56">
        <f t="shared" si="38"/>
        <v>4.1053996769936787E-4</v>
      </c>
      <c r="AJ56">
        <f t="shared" si="39"/>
        <v>4.2600059316696401E-4</v>
      </c>
      <c r="AK56">
        <f t="shared" si="40"/>
        <v>7.9435650064630465E-4</v>
      </c>
      <c r="AL56">
        <f t="shared" si="41"/>
        <v>2.270333706579231E-4</v>
      </c>
      <c r="AM56">
        <f t="shared" si="42"/>
        <v>7.2604237265789238E-4</v>
      </c>
      <c r="AN56">
        <f t="shared" si="43"/>
        <v>1.5780737163601972E-3</v>
      </c>
      <c r="AO56">
        <f t="shared" si="44"/>
        <v>3.7754208563947714E-4</v>
      </c>
      <c r="AP56">
        <f t="shared" si="45"/>
        <v>4.2492222032127798E-4</v>
      </c>
      <c r="AQ56">
        <f t="shared" si="46"/>
        <v>2.8911106529498458E-4</v>
      </c>
      <c r="AR56" s="1"/>
      <c r="AS56" s="1">
        <f t="shared" si="28"/>
        <v>6.0805267491482247E-4</v>
      </c>
      <c r="AT56" s="1">
        <f t="shared" si="29"/>
        <v>5.0727270950219844E-4</v>
      </c>
      <c r="AU56" s="1">
        <f t="shared" si="30"/>
        <v>5.4363235383754558E-4</v>
      </c>
      <c r="AV56" s="1">
        <f t="shared" si="31"/>
        <v>0.83425783723960834</v>
      </c>
      <c r="AW56" s="1">
        <f t="shared" si="32"/>
        <v>0.89405470326020509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</row>
    <row r="57" spans="1:91" hidden="1">
      <c r="A57" s="1" t="s">
        <v>278</v>
      </c>
      <c r="B57" s="1" t="s">
        <v>199</v>
      </c>
      <c r="C57" s="1" t="s">
        <v>200</v>
      </c>
      <c r="D57" s="1">
        <v>0.66</v>
      </c>
      <c r="E57" s="1">
        <v>109.06407</v>
      </c>
      <c r="F57" s="1">
        <v>3.2090000000000001</v>
      </c>
      <c r="G57" s="1">
        <f t="shared" si="24"/>
        <v>4153924.5875343289</v>
      </c>
      <c r="H57" s="1">
        <f t="shared" si="25"/>
        <v>32390540.885599598</v>
      </c>
      <c r="I57" s="1">
        <f t="shared" si="26"/>
        <v>5.7933636949661772E-4</v>
      </c>
      <c r="J57" s="1" t="e">
        <f>G57/#REF!</f>
        <v>#REF!</v>
      </c>
      <c r="K57" s="1" t="e">
        <f>H57/#REF!</f>
        <v>#REF!</v>
      </c>
      <c r="L57" s="1">
        <v>80.2</v>
      </c>
      <c r="M57" s="1">
        <v>2085980.2897431899</v>
      </c>
      <c r="N57" s="1">
        <v>304136.66519505699</v>
      </c>
      <c r="O57" s="1">
        <v>2058406.84144846</v>
      </c>
      <c r="P57" s="1">
        <v>399703.81637215702</v>
      </c>
      <c r="Q57" s="1">
        <v>470228.71345555101</v>
      </c>
      <c r="R57" s="1">
        <v>32390540.885599598</v>
      </c>
      <c r="S57" s="1">
        <v>872310.23981182405</v>
      </c>
      <c r="T57" s="1">
        <v>652069.301111507</v>
      </c>
      <c r="U57" s="1">
        <v>10112369.737867</v>
      </c>
      <c r="V57" s="1">
        <v>760866.10122865904</v>
      </c>
      <c r="W57" s="1">
        <v>607199.49033008097</v>
      </c>
      <c r="X57" s="1">
        <v>4259495.29154245</v>
      </c>
      <c r="Y57" s="1">
        <v>1144635.6413001199</v>
      </c>
      <c r="Z57" s="1">
        <v>1803068.7910825899</v>
      </c>
      <c r="AA57" s="1">
        <v>4387857.0069266902</v>
      </c>
      <c r="AB57" s="1" t="s">
        <v>278</v>
      </c>
      <c r="AC57">
        <f t="shared" si="27"/>
        <v>4.7399933865468921E-4</v>
      </c>
      <c r="AD57">
        <f t="shared" si="33"/>
        <v>5.2649502711235036E-5</v>
      </c>
      <c r="AE57">
        <f t="shared" si="34"/>
        <v>5.2219211937983511E-4</v>
      </c>
      <c r="AF57">
        <f t="shared" si="35"/>
        <v>9.1149265423233486E-5</v>
      </c>
      <c r="AG57">
        <f t="shared" si="36"/>
        <v>9.2912240295640788E-5</v>
      </c>
      <c r="AH57">
        <f t="shared" si="37"/>
        <v>2.7813945958769619E-3</v>
      </c>
      <c r="AI57">
        <f t="shared" si="38"/>
        <v>1.5758385272724744E-4</v>
      </c>
      <c r="AJ57">
        <f t="shared" si="39"/>
        <v>9.4867288444579106E-5</v>
      </c>
      <c r="AK57">
        <f t="shared" si="40"/>
        <v>1.477096143133098E-3</v>
      </c>
      <c r="AL57">
        <f t="shared" si="41"/>
        <v>7.765930963486157E-5</v>
      </c>
      <c r="AM57">
        <f t="shared" si="42"/>
        <v>5.3213034791277437E-5</v>
      </c>
      <c r="AN57">
        <f t="shared" si="43"/>
        <v>5.1518056606108728E-4</v>
      </c>
      <c r="AO57">
        <f t="shared" si="44"/>
        <v>1.4552794879508572E-4</v>
      </c>
      <c r="AP57">
        <f t="shared" si="45"/>
        <v>2.1842566139778949E-4</v>
      </c>
      <c r="AQ57">
        <f t="shared" si="46"/>
        <v>5.8585174762619497E-4</v>
      </c>
      <c r="AR57" s="1"/>
      <c r="AS57" s="1">
        <f t="shared" si="28"/>
        <v>2.8248231187216424E-4</v>
      </c>
      <c r="AT57" s="1">
        <f t="shared" si="29"/>
        <v>6.5254357656915115E-4</v>
      </c>
      <c r="AU57" s="1">
        <f t="shared" si="30"/>
        <v>5.7651576143497485E-4</v>
      </c>
      <c r="AV57" s="1">
        <f t="shared" si="31"/>
        <v>2.3100334043727879</v>
      </c>
      <c r="AW57" s="1">
        <f t="shared" si="32"/>
        <v>2.0408915433114756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</row>
    <row r="58" spans="1:91" hidden="1">
      <c r="A58" s="1" t="s">
        <v>290</v>
      </c>
      <c r="B58" s="1" t="s">
        <v>197</v>
      </c>
      <c r="C58" s="1" t="s">
        <v>198</v>
      </c>
      <c r="D58" s="1">
        <v>-0.11</v>
      </c>
      <c r="E58" s="1">
        <v>251.10181</v>
      </c>
      <c r="F58" s="1">
        <v>2.7210000000000001</v>
      </c>
      <c r="G58" s="1">
        <f t="shared" si="24"/>
        <v>3930559.7373753656</v>
      </c>
      <c r="H58" s="1">
        <f t="shared" si="25"/>
        <v>19741578.003414501</v>
      </c>
      <c r="I58" s="1">
        <f t="shared" si="26"/>
        <v>5.4818429183190007E-4</v>
      </c>
      <c r="J58" s="1" t="e">
        <f>G58/#REF!</f>
        <v>#REF!</v>
      </c>
      <c r="K58" s="1" t="e">
        <f>H58/#REF!</f>
        <v>#REF!</v>
      </c>
      <c r="L58" s="1">
        <v>93.6</v>
      </c>
      <c r="M58" s="1">
        <v>103286.756413382</v>
      </c>
      <c r="N58" s="1">
        <v>151164.65160947599</v>
      </c>
      <c r="O58" s="1">
        <v>92745.514371971905</v>
      </c>
      <c r="P58" s="1">
        <v>799005.89720659505</v>
      </c>
      <c r="Q58" s="1">
        <v>136497.451679878</v>
      </c>
      <c r="R58" s="1">
        <v>19741578.003414501</v>
      </c>
      <c r="S58" s="1">
        <v>1662532.9383135799</v>
      </c>
      <c r="T58" s="1">
        <v>1937933.7000452899</v>
      </c>
      <c r="U58" s="1">
        <v>151847.78588297599</v>
      </c>
      <c r="V58" s="1">
        <v>2588830.3711701301</v>
      </c>
      <c r="W58" s="1">
        <v>8065778.11742815</v>
      </c>
      <c r="X58" s="1">
        <v>16516456.813148599</v>
      </c>
      <c r="Y58" s="1">
        <v>3949441.8922407301</v>
      </c>
      <c r="Z58" s="1">
        <v>2640334.0620148499</v>
      </c>
      <c r="AA58" s="1">
        <v>420962.10569037602</v>
      </c>
      <c r="AB58" s="1" t="s">
        <v>290</v>
      </c>
      <c r="AC58">
        <f t="shared" si="27"/>
        <v>2.3469950541938423E-5</v>
      </c>
      <c r="AD58">
        <f t="shared" si="33"/>
        <v>2.6168313937590172E-5</v>
      </c>
      <c r="AE58">
        <f t="shared" si="34"/>
        <v>2.3528379199708186E-5</v>
      </c>
      <c r="AF58">
        <f t="shared" si="35"/>
        <v>1.8220691826320508E-4</v>
      </c>
      <c r="AG58">
        <f t="shared" si="36"/>
        <v>2.6970458560528228E-5</v>
      </c>
      <c r="AH58">
        <f t="shared" si="37"/>
        <v>1.6952207919810457E-3</v>
      </c>
      <c r="AI58">
        <f t="shared" si="38"/>
        <v>3.0033849626931078E-4</v>
      </c>
      <c r="AJ58">
        <f t="shared" si="39"/>
        <v>2.819432152307816E-4</v>
      </c>
      <c r="AK58">
        <f t="shared" si="40"/>
        <v>2.2180140232723987E-5</v>
      </c>
      <c r="AL58">
        <f t="shared" si="41"/>
        <v>2.6423411302222707E-4</v>
      </c>
      <c r="AM58">
        <f t="shared" si="42"/>
        <v>7.0685917629493991E-4</v>
      </c>
      <c r="AN58">
        <f t="shared" si="43"/>
        <v>1.9976445536203724E-3</v>
      </c>
      <c r="AO58">
        <f t="shared" si="44"/>
        <v>5.0212849986948523E-4</v>
      </c>
      <c r="AP58">
        <f t="shared" si="45"/>
        <v>3.1985286233058045E-4</v>
      </c>
      <c r="AQ58">
        <f t="shared" si="46"/>
        <v>5.6205428963111642E-5</v>
      </c>
      <c r="AR58" s="1"/>
      <c r="AS58" s="1">
        <f t="shared" si="28"/>
        <v>5.0698408110279607E-4</v>
      </c>
      <c r="AT58" s="1">
        <f t="shared" si="29"/>
        <v>4.6376415999465942E-4</v>
      </c>
      <c r="AU58" s="1">
        <f t="shared" si="30"/>
        <v>2.0148728391093879E-4</v>
      </c>
      <c r="AV58" s="1">
        <f t="shared" si="31"/>
        <v>0.91475093061280288</v>
      </c>
      <c r="AW58" s="1">
        <f t="shared" si="32"/>
        <v>0.39742329477616328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</row>
    <row r="59" spans="1:91" hidden="1">
      <c r="A59" s="1" t="s">
        <v>313</v>
      </c>
      <c r="B59" s="1" t="s">
        <v>27</v>
      </c>
      <c r="C59" s="1" t="s">
        <v>28</v>
      </c>
      <c r="D59" s="1">
        <v>1.03</v>
      </c>
      <c r="E59" s="1">
        <v>321.26711</v>
      </c>
      <c r="F59" s="1">
        <v>0.99299999999999999</v>
      </c>
      <c r="G59" s="1">
        <f t="shared" si="24"/>
        <v>3673629.1498347349</v>
      </c>
      <c r="H59" s="1">
        <f t="shared" si="25"/>
        <v>7287742.2168462398</v>
      </c>
      <c r="I59" s="1">
        <f t="shared" si="26"/>
        <v>5.1235089364140107E-4</v>
      </c>
      <c r="J59" s="1" t="e">
        <f>G59/#REF!</f>
        <v>#REF!</v>
      </c>
      <c r="K59" s="1" t="e">
        <f>H59/#REF!</f>
        <v>#REF!</v>
      </c>
      <c r="L59" s="1">
        <v>65.5</v>
      </c>
      <c r="M59" s="1">
        <v>2132087.4598790701</v>
      </c>
      <c r="N59" s="1">
        <v>1406157.9705415501</v>
      </c>
      <c r="O59" s="1">
        <v>5163630.1340012504</v>
      </c>
      <c r="P59" s="1">
        <v>4755996.8672558302</v>
      </c>
      <c r="Q59" s="1">
        <v>3798459.8601208599</v>
      </c>
      <c r="R59" s="1">
        <v>5078510.27080152</v>
      </c>
      <c r="S59" s="1">
        <v>1830626.4592174599</v>
      </c>
      <c r="T59" s="1">
        <v>3165214.994771</v>
      </c>
      <c r="U59" s="1">
        <v>7287742.2168462398</v>
      </c>
      <c r="V59" s="1">
        <v>3662418.3619409502</v>
      </c>
      <c r="W59" s="1">
        <v>4321471.78463786</v>
      </c>
      <c r="X59" s="1">
        <v>4613620.3009993499</v>
      </c>
      <c r="Y59" s="1">
        <v>3764436.1452335999</v>
      </c>
      <c r="Z59" s="1">
        <v>722801.97418366105</v>
      </c>
      <c r="AA59" s="1">
        <v>3401262.4470908199</v>
      </c>
      <c r="AB59" s="1" t="s">
        <v>313</v>
      </c>
      <c r="AC59">
        <f t="shared" si="27"/>
        <v>4.8447631595840908E-4</v>
      </c>
      <c r="AD59">
        <f t="shared" si="33"/>
        <v>2.4342187692158378E-4</v>
      </c>
      <c r="AE59">
        <f t="shared" si="34"/>
        <v>1.3099485043832672E-3</v>
      </c>
      <c r="AF59">
        <f t="shared" si="35"/>
        <v>1.0845671295816185E-3</v>
      </c>
      <c r="AG59">
        <f t="shared" si="36"/>
        <v>7.5053565462513165E-4</v>
      </c>
      <c r="AH59">
        <f t="shared" si="37"/>
        <v>4.3609463244847916E-4</v>
      </c>
      <c r="AI59">
        <f t="shared" si="38"/>
        <v>3.307047850431715E-4</v>
      </c>
      <c r="AJ59">
        <f t="shared" si="39"/>
        <v>4.6049609050173465E-4</v>
      </c>
      <c r="AK59">
        <f t="shared" si="40"/>
        <v>1.0645077464228904E-3</v>
      </c>
      <c r="AL59">
        <f t="shared" si="41"/>
        <v>3.738120033512957E-4</v>
      </c>
      <c r="AM59">
        <f t="shared" si="42"/>
        <v>3.7872006167272956E-4</v>
      </c>
      <c r="AN59">
        <f t="shared" si="43"/>
        <v>5.5801153788787592E-4</v>
      </c>
      <c r="AO59">
        <f t="shared" si="44"/>
        <v>4.7860703512925615E-4</v>
      </c>
      <c r="AP59">
        <f t="shared" si="45"/>
        <v>8.7560996037151461E-5</v>
      </c>
      <c r="AQ59">
        <f t="shared" si="46"/>
        <v>4.5412499669381248E-4</v>
      </c>
      <c r="AR59" s="1"/>
      <c r="AS59" s="1">
        <f t="shared" si="28"/>
        <v>5.5806505002919352E-4</v>
      </c>
      <c r="AT59" s="1">
        <f t="shared" si="29"/>
        <v>5.4858174075257486E-4</v>
      </c>
      <c r="AU59" s="1">
        <f t="shared" si="30"/>
        <v>6.1856954065593215E-4</v>
      </c>
      <c r="AV59" s="1">
        <f t="shared" si="31"/>
        <v>0.98300680310275201</v>
      </c>
      <c r="AW59" s="1">
        <f t="shared" si="32"/>
        <v>1.1084183476882732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</row>
    <row r="60" spans="1:91">
      <c r="A60" s="1" t="s">
        <v>328</v>
      </c>
      <c r="B60" s="1" t="s">
        <v>29</v>
      </c>
      <c r="C60" s="1" t="s">
        <v>30</v>
      </c>
      <c r="D60" s="1">
        <v>-0.3</v>
      </c>
      <c r="E60" s="1">
        <v>186.03501</v>
      </c>
      <c r="F60" s="1">
        <v>1.2569999999999999</v>
      </c>
      <c r="G60" s="1">
        <f t="shared" si="24"/>
        <v>3672623.076580124</v>
      </c>
      <c r="H60" s="1">
        <f t="shared" si="25"/>
        <v>4391600.0893785097</v>
      </c>
      <c r="I60" s="1">
        <f t="shared" si="26"/>
        <v>5.1221057938809873E-4</v>
      </c>
      <c r="J60" s="1" t="e">
        <f>G60/#REF!</f>
        <v>#REF!</v>
      </c>
      <c r="K60" s="1" t="e">
        <f>H60/#REF!</f>
        <v>#REF!</v>
      </c>
      <c r="L60" s="1">
        <v>67</v>
      </c>
      <c r="M60" s="1">
        <v>3762918.90814305</v>
      </c>
      <c r="N60" s="1">
        <v>4207814.7714188704</v>
      </c>
      <c r="O60" s="1">
        <v>4221652.48046064</v>
      </c>
      <c r="P60" s="1">
        <v>4266914.4808926899</v>
      </c>
      <c r="Q60" s="1">
        <v>3899327.5422982802</v>
      </c>
      <c r="R60" s="1">
        <v>3459781.1648852001</v>
      </c>
      <c r="S60" s="1">
        <v>4391600.0893785097</v>
      </c>
      <c r="T60" s="1">
        <v>4145391.06718338</v>
      </c>
      <c r="U60" s="1">
        <v>2747406.9852475501</v>
      </c>
      <c r="V60" s="1">
        <v>3775133.7755263401</v>
      </c>
      <c r="W60" s="1">
        <v>3547996.7685724101</v>
      </c>
      <c r="X60" s="1">
        <v>2549356.3657035199</v>
      </c>
      <c r="Y60" s="1">
        <v>3237213.5725627001</v>
      </c>
      <c r="Z60" s="1">
        <v>3595897.2258093501</v>
      </c>
      <c r="AA60" s="1">
        <v>3280940.95061936</v>
      </c>
      <c r="AB60" s="1" t="s">
        <v>328</v>
      </c>
      <c r="AC60">
        <f t="shared" si="27"/>
        <v>8.5505173881130815E-4</v>
      </c>
      <c r="AD60">
        <f t="shared" si="33"/>
        <v>7.2842041282365332E-4</v>
      </c>
      <c r="AE60">
        <f t="shared" si="34"/>
        <v>1.0709805329376029E-3</v>
      </c>
      <c r="AF60">
        <f t="shared" si="35"/>
        <v>9.7303579457195936E-4</v>
      </c>
      <c r="AG60">
        <f t="shared" si="36"/>
        <v>7.7046604606308166E-4</v>
      </c>
      <c r="AH60">
        <f t="shared" si="37"/>
        <v>2.9709342208628754E-4</v>
      </c>
      <c r="AI60">
        <f t="shared" si="38"/>
        <v>7.9334763039223149E-4</v>
      </c>
      <c r="AJ60">
        <f t="shared" si="39"/>
        <v>6.0309848878902764E-4</v>
      </c>
      <c r="AK60">
        <f t="shared" si="40"/>
        <v>4.01308928245545E-4</v>
      </c>
      <c r="AL60">
        <f t="shared" si="41"/>
        <v>3.8531652588175689E-4</v>
      </c>
      <c r="AM60">
        <f t="shared" si="42"/>
        <v>3.1093516791779548E-4</v>
      </c>
      <c r="AN60">
        <f t="shared" si="43"/>
        <v>3.0834142678415176E-4</v>
      </c>
      <c r="AO60">
        <f t="shared" si="44"/>
        <v>4.1157643011322133E-4</v>
      </c>
      <c r="AP60">
        <f t="shared" si="45"/>
        <v>4.3561079519006919E-4</v>
      </c>
      <c r="AQ60">
        <f t="shared" si="46"/>
        <v>4.3806007961161791E-4</v>
      </c>
      <c r="AR60" s="1"/>
      <c r="AS60" s="1">
        <f t="shared" si="28"/>
        <v>6.0984096752604469E-4</v>
      </c>
      <c r="AT60" s="1">
        <f t="shared" si="29"/>
        <v>5.5430709460603945E-4</v>
      </c>
      <c r="AU60" s="1">
        <f t="shared" si="30"/>
        <v>5.9925168247560139E-4</v>
      </c>
      <c r="AV60" s="1">
        <f t="shared" si="31"/>
        <v>0.90893712315640141</v>
      </c>
      <c r="AW60" s="1">
        <f t="shared" si="32"/>
        <v>0.98263598935735474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</row>
    <row r="61" spans="1:91">
      <c r="A61" s="1" t="s">
        <v>296</v>
      </c>
      <c r="B61" s="1" t="s">
        <v>89</v>
      </c>
      <c r="C61" s="1" t="s">
        <v>90</v>
      </c>
      <c r="D61" s="1">
        <v>-1.77</v>
      </c>
      <c r="E61" s="1">
        <v>95.987939999999995</v>
      </c>
      <c r="F61" s="1">
        <v>3.1349999999999998</v>
      </c>
      <c r="G61" s="1">
        <f t="shared" si="24"/>
        <v>3652116.6916087796</v>
      </c>
      <c r="H61" s="1">
        <f t="shared" si="25"/>
        <v>15402266.5425785</v>
      </c>
      <c r="I61" s="1">
        <f t="shared" si="26"/>
        <v>5.0935061061147479E-4</v>
      </c>
      <c r="J61" s="1" t="e">
        <f>G61/#REF!</f>
        <v>#REF!</v>
      </c>
      <c r="K61" s="1" t="e">
        <f>H61/#REF!</f>
        <v>#REF!</v>
      </c>
      <c r="L61" s="1">
        <v>79.3</v>
      </c>
      <c r="M61" s="1">
        <v>371756.12566945102</v>
      </c>
      <c r="N61" s="1">
        <v>73631.614264394404</v>
      </c>
      <c r="O61" s="1">
        <v>2328895.4721941901</v>
      </c>
      <c r="P61" s="1">
        <v>1899251.78386328</v>
      </c>
      <c r="Q61" s="1">
        <v>177837.203637795</v>
      </c>
      <c r="R61" s="1">
        <v>15402266.5425785</v>
      </c>
      <c r="S61" s="1">
        <v>3892350.9178241901</v>
      </c>
      <c r="T61" s="1">
        <v>8517391.8656602502</v>
      </c>
      <c r="U61" s="1">
        <v>58096.9567742418</v>
      </c>
      <c r="V61" s="1">
        <v>350801.95985487802</v>
      </c>
      <c r="W61" s="1">
        <v>2478581.8516460098</v>
      </c>
      <c r="X61" s="1">
        <v>10514493.342313301</v>
      </c>
      <c r="Y61" s="1">
        <v>2714207.6646868498</v>
      </c>
      <c r="Z61" s="1">
        <v>3371444.3992313398</v>
      </c>
      <c r="AA61" s="1">
        <v>2630742.6739330301</v>
      </c>
      <c r="AB61" s="1" t="s">
        <v>296</v>
      </c>
      <c r="AC61">
        <f t="shared" si="27"/>
        <v>8.4474507537098169E-5</v>
      </c>
      <c r="AD61">
        <f t="shared" si="33"/>
        <v>1.2746466698974154E-5</v>
      </c>
      <c r="AE61">
        <f t="shared" si="34"/>
        <v>5.9081170833236206E-4</v>
      </c>
      <c r="AF61">
        <f t="shared" si="35"/>
        <v>4.3310921202643497E-4</v>
      </c>
      <c r="AG61">
        <f t="shared" si="36"/>
        <v>3.5138758066209613E-5</v>
      </c>
      <c r="AH61">
        <f t="shared" si="37"/>
        <v>1.3226015915291606E-3</v>
      </c>
      <c r="AI61">
        <f t="shared" si="38"/>
        <v>7.0315769069670777E-4</v>
      </c>
      <c r="AJ61">
        <f t="shared" si="39"/>
        <v>1.2391656370538552E-3</v>
      </c>
      <c r="AK61">
        <f t="shared" si="40"/>
        <v>8.4861207613541802E-6</v>
      </c>
      <c r="AL61">
        <f t="shared" si="41"/>
        <v>3.5805298694334979E-5</v>
      </c>
      <c r="AM61">
        <f t="shared" si="42"/>
        <v>2.1721504119341309E-4</v>
      </c>
      <c r="AN61">
        <f t="shared" si="43"/>
        <v>1.2717146659826319E-3</v>
      </c>
      <c r="AO61">
        <f t="shared" si="44"/>
        <v>3.4508192807724311E-4</v>
      </c>
      <c r="AP61">
        <f t="shared" si="45"/>
        <v>4.0842034225761661E-4</v>
      </c>
      <c r="AQ61">
        <f t="shared" si="46"/>
        <v>3.5124781656409722E-4</v>
      </c>
      <c r="AR61" s="1"/>
      <c r="AS61" s="1">
        <f t="shared" si="28"/>
        <v>3.6879461473980239E-4</v>
      </c>
      <c r="AT61" s="1">
        <f t="shared" si="29"/>
        <v>4.8259994142012714E-4</v>
      </c>
      <c r="AU61" s="1">
        <f t="shared" si="30"/>
        <v>6.5026981617063897E-4</v>
      </c>
      <c r="AV61" s="1">
        <f t="shared" si="31"/>
        <v>1.3085872790214641</v>
      </c>
      <c r="AW61" s="1">
        <f t="shared" si="32"/>
        <v>1.763230237592887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</row>
    <row r="62" spans="1:91" hidden="1">
      <c r="A62" s="1" t="s">
        <v>326</v>
      </c>
      <c r="B62" s="1" t="s">
        <v>45</v>
      </c>
      <c r="C62" s="1" t="s">
        <v>46</v>
      </c>
      <c r="D62" s="1">
        <v>2.3199999999999998</v>
      </c>
      <c r="E62" s="1">
        <v>114.06834000000001</v>
      </c>
      <c r="F62" s="1">
        <v>1.0389999999999999</v>
      </c>
      <c r="G62" s="1">
        <f t="shared" si="24"/>
        <v>3638703.3454192504</v>
      </c>
      <c r="H62" s="1">
        <f t="shared" si="25"/>
        <v>4679898.53856022</v>
      </c>
      <c r="I62" s="1">
        <f t="shared" si="26"/>
        <v>5.0747988832933156E-4</v>
      </c>
      <c r="J62" s="1" t="e">
        <f>G62/#REF!</f>
        <v>#REF!</v>
      </c>
      <c r="K62" s="1" t="e">
        <f>H62/#REF!</f>
        <v>#REF!</v>
      </c>
      <c r="L62" s="1">
        <v>58.9</v>
      </c>
      <c r="M62" s="1">
        <v>4485876.97235764</v>
      </c>
      <c r="N62" s="1">
        <v>3071774.9688746501</v>
      </c>
      <c r="O62" s="1">
        <v>1918765.76307766</v>
      </c>
      <c r="P62" s="1">
        <v>2633706.3245257898</v>
      </c>
      <c r="Q62" s="1">
        <v>3509189.9346169201</v>
      </c>
      <c r="R62" s="1">
        <v>4571457.4488638798</v>
      </c>
      <c r="S62" s="1">
        <v>4628786.8849156499</v>
      </c>
      <c r="T62" s="1">
        <v>3607975.3908621198</v>
      </c>
      <c r="U62" s="1">
        <v>4679898.53856022</v>
      </c>
      <c r="V62" s="1">
        <v>3555942.7994054598</v>
      </c>
      <c r="W62" s="1">
        <v>4292774.6731586503</v>
      </c>
      <c r="X62" s="1">
        <v>3189721.4940420799</v>
      </c>
      <c r="Y62" s="1">
        <v>2066205.1344509099</v>
      </c>
      <c r="Z62" s="1">
        <v>3903178.5756486799</v>
      </c>
      <c r="AA62" s="1">
        <v>4465295.2779284501</v>
      </c>
      <c r="AB62" s="1" t="s">
        <v>326</v>
      </c>
      <c r="AC62">
        <f t="shared" si="27"/>
        <v>1.0193302058695843E-3</v>
      </c>
      <c r="AD62">
        <f t="shared" si="33"/>
        <v>5.3175905130789308E-4</v>
      </c>
      <c r="AE62">
        <f t="shared" si="34"/>
        <v>4.8676692101835785E-4</v>
      </c>
      <c r="AF62">
        <f t="shared" si="35"/>
        <v>6.0059570859221929E-4</v>
      </c>
      <c r="AG62">
        <f t="shared" si="36"/>
        <v>6.9337896457271795E-4</v>
      </c>
      <c r="AH62">
        <f t="shared" si="37"/>
        <v>3.9255371154374295E-4</v>
      </c>
      <c r="AI62">
        <f t="shared" si="38"/>
        <v>8.361956990619692E-4</v>
      </c>
      <c r="AJ62">
        <f t="shared" si="39"/>
        <v>5.2491175634616851E-4</v>
      </c>
      <c r="AK62">
        <f t="shared" si="40"/>
        <v>6.8358458608136388E-4</v>
      </c>
      <c r="AL62">
        <f t="shared" si="41"/>
        <v>3.629443636100362E-4</v>
      </c>
      <c r="AM62">
        <f t="shared" si="42"/>
        <v>3.7620513796829391E-4</v>
      </c>
      <c r="AN62">
        <f t="shared" si="43"/>
        <v>3.8579277881599665E-4</v>
      </c>
      <c r="AO62">
        <f t="shared" si="44"/>
        <v>2.626954675856324E-4</v>
      </c>
      <c r="AP62">
        <f t="shared" si="45"/>
        <v>4.7283518308131672E-4</v>
      </c>
      <c r="AQ62">
        <f t="shared" si="46"/>
        <v>5.9619104225861223E-4</v>
      </c>
      <c r="AR62" s="1"/>
      <c r="AS62" s="1">
        <f t="shared" si="28"/>
        <v>5.2713307643169371E-4</v>
      </c>
      <c r="AT62" s="1">
        <f t="shared" si="29"/>
        <v>5.0304167960570697E-4</v>
      </c>
      <c r="AU62" s="1">
        <f t="shared" si="30"/>
        <v>6.8156401382983393E-4</v>
      </c>
      <c r="AV62" s="1">
        <f t="shared" si="31"/>
        <v>0.95429731522622729</v>
      </c>
      <c r="AW62" s="1">
        <f t="shared" si="32"/>
        <v>1.2929638535368051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</row>
    <row r="63" spans="1:91" hidden="1">
      <c r="A63" s="1" t="s">
        <v>309</v>
      </c>
      <c r="B63" s="1" t="s">
        <v>79</v>
      </c>
      <c r="C63" s="1" t="s">
        <v>80</v>
      </c>
      <c r="D63" s="1">
        <v>0.36</v>
      </c>
      <c r="E63" s="1">
        <v>127.09976</v>
      </c>
      <c r="F63" s="1">
        <v>1.9219999999999999</v>
      </c>
      <c r="G63" s="1">
        <f t="shared" si="24"/>
        <v>3563342.061784951</v>
      </c>
      <c r="H63" s="1">
        <f t="shared" si="25"/>
        <v>9333581.9586324394</v>
      </c>
      <c r="I63" s="1">
        <f t="shared" si="26"/>
        <v>4.9696945860407376E-4</v>
      </c>
      <c r="J63" s="1" t="e">
        <f>G63/#REF!</f>
        <v>#REF!</v>
      </c>
      <c r="K63" s="1" t="e">
        <f>H63/#REF!</f>
        <v>#REF!</v>
      </c>
      <c r="L63" s="1">
        <v>66.3</v>
      </c>
      <c r="M63" s="1">
        <v>8956444.9090207703</v>
      </c>
      <c r="N63" s="1">
        <v>591869.99166170403</v>
      </c>
      <c r="O63" s="1">
        <v>1248829.60720443</v>
      </c>
      <c r="P63" s="1">
        <v>780270.68804473605</v>
      </c>
      <c r="Q63" s="1">
        <v>9333581.9586324394</v>
      </c>
      <c r="R63" s="1">
        <v>5930192.5608767802</v>
      </c>
      <c r="S63" s="1">
        <v>1309672.5256283199</v>
      </c>
      <c r="T63" s="1">
        <v>1837377.5189540901</v>
      </c>
      <c r="U63" s="1">
        <v>2042055.3287408601</v>
      </c>
      <c r="V63" s="1">
        <v>2181457.7490785699</v>
      </c>
      <c r="W63" s="1">
        <v>8410998.1543814391</v>
      </c>
      <c r="X63" s="1">
        <v>1432747.2847929101</v>
      </c>
      <c r="Y63" s="1">
        <v>973977.60020147695</v>
      </c>
      <c r="Z63" s="1">
        <v>1164841.04866371</v>
      </c>
      <c r="AA63" s="1">
        <v>7255814.0008920198</v>
      </c>
      <c r="AB63" s="1" t="s">
        <v>309</v>
      </c>
      <c r="AC63">
        <f t="shared" si="27"/>
        <v>2.0351817246056811E-3</v>
      </c>
      <c r="AD63">
        <f t="shared" si="33"/>
        <v>1.0245940163349303E-4</v>
      </c>
      <c r="AE63">
        <f t="shared" si="34"/>
        <v>3.1681248147789784E-4</v>
      </c>
      <c r="AF63">
        <f t="shared" si="35"/>
        <v>1.7793450333318582E-4</v>
      </c>
      <c r="AG63">
        <f t="shared" si="36"/>
        <v>1.8442174732094245E-3</v>
      </c>
      <c r="AH63">
        <f t="shared" si="37"/>
        <v>5.0922908634309157E-4</v>
      </c>
      <c r="AI63">
        <f t="shared" si="38"/>
        <v>2.365938550074302E-4</v>
      </c>
      <c r="AJ63">
        <f t="shared" si="39"/>
        <v>2.6731364714621865E-4</v>
      </c>
      <c r="AK63">
        <f t="shared" si="40"/>
        <v>2.9827944669117145E-4</v>
      </c>
      <c r="AL63">
        <f t="shared" si="41"/>
        <v>2.2265481734236019E-4</v>
      </c>
      <c r="AM63">
        <f t="shared" si="42"/>
        <v>7.3711316387166728E-4</v>
      </c>
      <c r="AN63">
        <f t="shared" si="43"/>
        <v>1.7328897127030457E-4</v>
      </c>
      <c r="AO63">
        <f t="shared" si="44"/>
        <v>1.2383063851540243E-4</v>
      </c>
      <c r="AP63">
        <f t="shared" si="45"/>
        <v>1.4111007729488857E-4</v>
      </c>
      <c r="AQ63">
        <f t="shared" si="46"/>
        <v>9.6877161360610028E-4</v>
      </c>
      <c r="AR63" s="1"/>
      <c r="AS63" s="1">
        <f t="shared" si="28"/>
        <v>5.9791842670023397E-4</v>
      </c>
      <c r="AT63" s="1">
        <f t="shared" si="29"/>
        <v>6.2751556538368218E-4</v>
      </c>
      <c r="AU63" s="1">
        <f t="shared" si="30"/>
        <v>2.673956496149401E-4</v>
      </c>
      <c r="AV63" s="1">
        <f t="shared" si="31"/>
        <v>1.0495002952941048</v>
      </c>
      <c r="AW63" s="1">
        <f t="shared" si="32"/>
        <v>0.44721091987519351</v>
      </c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</row>
    <row r="64" spans="1:91" hidden="1">
      <c r="A64" s="1" t="s">
        <v>303</v>
      </c>
      <c r="B64" s="1" t="s">
        <v>93</v>
      </c>
      <c r="C64" s="1" t="s">
        <v>94</v>
      </c>
      <c r="D64" s="1">
        <v>0.69</v>
      </c>
      <c r="E64" s="1">
        <v>210.12574000000001</v>
      </c>
      <c r="F64" s="1">
        <v>1.081</v>
      </c>
      <c r="G64" s="1">
        <f t="shared" si="24"/>
        <v>3434336.7564501418</v>
      </c>
      <c r="H64" s="1">
        <f t="shared" si="25"/>
        <v>13717575.387557801</v>
      </c>
      <c r="I64" s="1">
        <f t="shared" si="26"/>
        <v>4.7897744558998261E-4</v>
      </c>
      <c r="J64" s="1" t="e">
        <f>G64/#REF!</f>
        <v>#REF!</v>
      </c>
      <c r="K64" s="1" t="e">
        <f>H64/#REF!</f>
        <v>#REF!</v>
      </c>
      <c r="L64" s="1">
        <v>72.599999999999994</v>
      </c>
      <c r="M64" s="1">
        <v>2461547.0686486298</v>
      </c>
      <c r="N64" s="1">
        <v>2728883.1257905401</v>
      </c>
      <c r="O64" s="1">
        <v>2709372.26777016</v>
      </c>
      <c r="P64" s="1">
        <v>2150565.7517301901</v>
      </c>
      <c r="Q64" s="1">
        <v>1713481.2148100701</v>
      </c>
      <c r="R64" s="1">
        <v>3491046.5075513399</v>
      </c>
      <c r="S64" s="1">
        <v>13717575.387557801</v>
      </c>
      <c r="T64" s="1">
        <v>7067352.92296106</v>
      </c>
      <c r="U64" s="1">
        <v>4326637.7777192602</v>
      </c>
      <c r="V64" s="1">
        <v>895714.84027996205</v>
      </c>
      <c r="W64" s="1">
        <v>2596258.9264361099</v>
      </c>
      <c r="X64" s="1">
        <v>2235545.7676585801</v>
      </c>
      <c r="Y64" s="1">
        <v>1290361.5774399401</v>
      </c>
      <c r="Z64" s="1">
        <v>2177446.0280975699</v>
      </c>
      <c r="AA64" s="1">
        <v>1953262.1823009099</v>
      </c>
      <c r="AB64" s="1" t="s">
        <v>303</v>
      </c>
      <c r="AC64">
        <f t="shared" si="27"/>
        <v>5.593397446485381E-4</v>
      </c>
      <c r="AD64">
        <f t="shared" si="33"/>
        <v>4.724005881954665E-4</v>
      </c>
      <c r="AE64">
        <f t="shared" si="34"/>
        <v>6.8733392165577648E-4</v>
      </c>
      <c r="AF64">
        <f t="shared" si="35"/>
        <v>4.9041935674704127E-4</v>
      </c>
      <c r="AG64">
        <f t="shared" si="36"/>
        <v>3.3856583789315669E-4</v>
      </c>
      <c r="AH64">
        <f t="shared" si="37"/>
        <v>2.9977819525623805E-4</v>
      </c>
      <c r="AI64">
        <f t="shared" si="38"/>
        <v>2.4780958436463395E-3</v>
      </c>
      <c r="AJ64">
        <f t="shared" si="39"/>
        <v>1.0282045284747028E-3</v>
      </c>
      <c r="AK64">
        <f t="shared" si="40"/>
        <v>6.3198440522518916E-4</v>
      </c>
      <c r="AL64">
        <f t="shared" si="41"/>
        <v>9.1422913983833109E-5</v>
      </c>
      <c r="AM64">
        <f t="shared" si="42"/>
        <v>2.2752788627096294E-4</v>
      </c>
      <c r="AN64">
        <f t="shared" si="43"/>
        <v>2.7038643200865179E-4</v>
      </c>
      <c r="AO64">
        <f t="shared" si="44"/>
        <v>1.6405541361225998E-4</v>
      </c>
      <c r="AP64">
        <f t="shared" si="45"/>
        <v>2.6377811606380136E-4</v>
      </c>
      <c r="AQ64">
        <f t="shared" si="46"/>
        <v>2.6079292494416101E-4</v>
      </c>
      <c r="AR64" s="1"/>
      <c r="AS64" s="1">
        <f t="shared" si="28"/>
        <v>3.8473524779387156E-4</v>
      </c>
      <c r="AT64" s="1">
        <f t="shared" si="29"/>
        <v>3.0289830741944305E-4</v>
      </c>
      <c r="AU64" s="1">
        <f t="shared" si="30"/>
        <v>1.3794282591154106E-3</v>
      </c>
      <c r="AV64" s="1">
        <f t="shared" si="31"/>
        <v>0.78729024480160437</v>
      </c>
      <c r="AW64" s="1">
        <f t="shared" si="32"/>
        <v>3.5853961055693619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</row>
    <row r="65" spans="1:91" hidden="1">
      <c r="A65" s="1" t="s">
        <v>317</v>
      </c>
      <c r="B65" s="1" t="s">
        <v>171</v>
      </c>
      <c r="C65" s="1" t="s">
        <v>172</v>
      </c>
      <c r="D65" s="1">
        <v>-1.46</v>
      </c>
      <c r="E65" s="1">
        <v>138.03148999999999</v>
      </c>
      <c r="F65" s="1">
        <v>1.06</v>
      </c>
      <c r="G65" s="1">
        <f t="shared" si="24"/>
        <v>3380715.8142663897</v>
      </c>
      <c r="H65" s="1">
        <f t="shared" si="25"/>
        <v>6231690.41771961</v>
      </c>
      <c r="I65" s="1">
        <f t="shared" si="26"/>
        <v>4.714990811374969E-4</v>
      </c>
      <c r="J65" s="1" t="e">
        <f>G65/#REF!</f>
        <v>#REF!</v>
      </c>
      <c r="K65" s="1" t="e">
        <f>H65/#REF!</f>
        <v>#REF!</v>
      </c>
      <c r="L65" s="1">
        <v>86.8</v>
      </c>
      <c r="M65" s="1">
        <v>1093322.66032495</v>
      </c>
      <c r="N65" s="1">
        <v>1456154.10940002</v>
      </c>
      <c r="O65" s="1">
        <v>3258387.0312329102</v>
      </c>
      <c r="P65" s="1">
        <v>4301627.4446990304</v>
      </c>
      <c r="Q65" s="1">
        <v>1225752.0092752799</v>
      </c>
      <c r="R65" s="1">
        <v>6122651.4505019505</v>
      </c>
      <c r="S65" s="1">
        <v>3069003.0299348799</v>
      </c>
      <c r="T65" s="1">
        <v>2516587.8829947198</v>
      </c>
      <c r="U65" s="1">
        <v>5524659.96880305</v>
      </c>
      <c r="V65" s="1">
        <v>2066859.3376978401</v>
      </c>
      <c r="W65" s="1">
        <v>4731029.7235713201</v>
      </c>
      <c r="X65" s="1">
        <v>6231690.41771961</v>
      </c>
      <c r="Y65" s="1">
        <v>3006544.8025945001</v>
      </c>
      <c r="Z65" s="1">
        <v>2566714.0574324299</v>
      </c>
      <c r="AA65" s="1">
        <v>3539753.2878133501</v>
      </c>
      <c r="AB65" s="1" t="s">
        <v>317</v>
      </c>
      <c r="AC65">
        <f t="shared" si="27"/>
        <v>2.4843677597452887E-4</v>
      </c>
      <c r="AD65">
        <f t="shared" si="33"/>
        <v>2.5207677503027482E-4</v>
      </c>
      <c r="AE65">
        <f t="shared" si="34"/>
        <v>8.2661211347411184E-4</v>
      </c>
      <c r="AF65">
        <f t="shared" si="35"/>
        <v>9.8095180893561802E-4</v>
      </c>
      <c r="AG65">
        <f t="shared" si="36"/>
        <v>2.4219568471633681E-4</v>
      </c>
      <c r="AH65">
        <f t="shared" si="37"/>
        <v>5.2575564319876664E-4</v>
      </c>
      <c r="AI65">
        <f t="shared" si="38"/>
        <v>5.5441894341749624E-4</v>
      </c>
      <c r="AJ65">
        <f t="shared" si="39"/>
        <v>3.661295941784672E-4</v>
      </c>
      <c r="AK65">
        <f t="shared" si="40"/>
        <v>8.0697740921032519E-4</v>
      </c>
      <c r="AL65">
        <f t="shared" si="41"/>
        <v>2.1095810290245012E-4</v>
      </c>
      <c r="AM65">
        <f t="shared" si="42"/>
        <v>4.1461241863380462E-4</v>
      </c>
      <c r="AN65">
        <f t="shared" si="43"/>
        <v>7.5371507119466124E-4</v>
      </c>
      <c r="AO65">
        <f t="shared" si="44"/>
        <v>3.8224940958952964E-4</v>
      </c>
      <c r="AP65">
        <f t="shared" si="45"/>
        <v>3.1093445706919913E-4</v>
      </c>
      <c r="AQ65">
        <f t="shared" si="46"/>
        <v>4.7261582283956771E-4</v>
      </c>
      <c r="AR65" s="1"/>
      <c r="AS65" s="1">
        <f t="shared" si="28"/>
        <v>4.5106854286830527E-4</v>
      </c>
      <c r="AT65" s="1">
        <f t="shared" si="29"/>
        <v>4.8578380439150294E-4</v>
      </c>
      <c r="AU65" s="1">
        <f t="shared" si="30"/>
        <v>5.7584198226876286E-4</v>
      </c>
      <c r="AV65" s="1">
        <f t="shared" si="31"/>
        <v>1.0769622756276604</v>
      </c>
      <c r="AW65" s="1">
        <f t="shared" si="32"/>
        <v>1.2766174706110833</v>
      </c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</row>
    <row r="66" spans="1:91" hidden="1">
      <c r="A66" s="1" t="s">
        <v>320</v>
      </c>
      <c r="B66" s="1" t="s">
        <v>53</v>
      </c>
      <c r="C66" s="1" t="s">
        <v>54</v>
      </c>
      <c r="D66" s="1">
        <v>0.86</v>
      </c>
      <c r="E66" s="1">
        <v>313.29835000000003</v>
      </c>
      <c r="F66" s="1">
        <v>1.5</v>
      </c>
      <c r="G66" s="1">
        <f t="shared" ref="G66:G97" si="47">AVERAGE(M66:AA66)</f>
        <v>3282467.4835151369</v>
      </c>
      <c r="H66" s="1">
        <f t="shared" ref="H66:H97" si="48">MAX(M66:AA66)</f>
        <v>5745502.5530925598</v>
      </c>
      <c r="I66" s="1">
        <f t="shared" ref="I66:I97" si="49">G66/SUM(G$2:G$104)</f>
        <v>4.5779665827278156E-4</v>
      </c>
      <c r="J66" s="1" t="e">
        <f>G66/#REF!</f>
        <v>#REF!</v>
      </c>
      <c r="K66" s="1" t="e">
        <f>H66/#REF!</f>
        <v>#REF!</v>
      </c>
      <c r="L66" s="1">
        <v>55.8</v>
      </c>
      <c r="M66" s="1">
        <v>2190687.8887070301</v>
      </c>
      <c r="N66" s="1">
        <v>5656430.9804608896</v>
      </c>
      <c r="O66" s="1">
        <v>2142161.59410903</v>
      </c>
      <c r="P66" s="1">
        <v>1690561.93359255</v>
      </c>
      <c r="Q66" s="1">
        <v>4127665.7973150001</v>
      </c>
      <c r="R66" s="1">
        <v>1908505.3694889899</v>
      </c>
      <c r="S66" s="1">
        <v>4098058.4843691802</v>
      </c>
      <c r="T66" s="1">
        <v>5745502.5530925598</v>
      </c>
      <c r="U66" s="1">
        <v>4970880.8221514896</v>
      </c>
      <c r="V66" s="1">
        <v>4956417.3969735997</v>
      </c>
      <c r="W66" s="1">
        <v>2834934.4720209101</v>
      </c>
      <c r="X66" s="1">
        <v>1830502.39867749</v>
      </c>
      <c r="Y66" s="1">
        <v>2512715.0294605698</v>
      </c>
      <c r="Z66" s="1">
        <v>1993952.45258693</v>
      </c>
      <c r="AA66" s="1">
        <v>2578035.0797208301</v>
      </c>
      <c r="AB66" s="1" t="s">
        <v>320</v>
      </c>
      <c r="AC66">
        <f t="shared" ref="AC66:AC97" si="50">M66/SUM(M$2:M$104)</f>
        <v>4.9779214863713195E-4</v>
      </c>
      <c r="AD66">
        <f t="shared" si="33"/>
        <v>9.7919229189512942E-4</v>
      </c>
      <c r="AE66">
        <f t="shared" si="34"/>
        <v>5.4343965457029375E-4</v>
      </c>
      <c r="AF66">
        <f t="shared" si="35"/>
        <v>3.8551915715502827E-4</v>
      </c>
      <c r="AG66">
        <f t="shared" si="36"/>
        <v>8.1558327989360616E-4</v>
      </c>
      <c r="AH66">
        <f t="shared" si="37"/>
        <v>1.6388446675365162E-4</v>
      </c>
      <c r="AI66">
        <f t="shared" si="38"/>
        <v>7.4031900027654151E-4</v>
      </c>
      <c r="AJ66">
        <f t="shared" si="39"/>
        <v>8.3589312828283204E-4</v>
      </c>
      <c r="AK66">
        <f t="shared" si="40"/>
        <v>7.2608785880123427E-4</v>
      </c>
      <c r="AL66">
        <f t="shared" si="41"/>
        <v>5.0588658462983867E-4</v>
      </c>
      <c r="AM66">
        <f t="shared" si="42"/>
        <v>2.4844465302273816E-4</v>
      </c>
      <c r="AN66">
        <f t="shared" si="43"/>
        <v>2.2139694902335568E-4</v>
      </c>
      <c r="AO66">
        <f t="shared" si="44"/>
        <v>3.1946433515615336E-4</v>
      </c>
      <c r="AP66">
        <f t="shared" si="45"/>
        <v>2.4154951014960756E-4</v>
      </c>
      <c r="AQ66">
        <f t="shared" si="46"/>
        <v>3.4421047780541748E-4</v>
      </c>
      <c r="AR66" s="1"/>
      <c r="AS66" s="1">
        <f t="shared" ref="AS66:AS97" si="51">AVERAGE(AC66:AE66,AL66:AN66)</f>
        <v>4.9935871362974794E-4</v>
      </c>
      <c r="AT66" s="1">
        <f t="shared" ref="AT66:AT97" si="52">AVERAGE(AF66:AH66,AO66:AQ66)</f>
        <v>3.7836853781891074E-4</v>
      </c>
      <c r="AU66" s="1">
        <f t="shared" ref="AU66:AU97" si="53">AVERAGE(AI66:AK66)</f>
        <v>7.6743332912020264E-4</v>
      </c>
      <c r="AV66" s="1">
        <f t="shared" ref="AV66:AV97" si="54">AT66/AS66</f>
        <v>0.75770889240846218</v>
      </c>
      <c r="AW66" s="1">
        <f t="shared" ref="AW66:AW97" si="55">AU66/AS66</f>
        <v>1.5368377644636837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</row>
    <row r="67" spans="1:91">
      <c r="A67" s="1" t="s">
        <v>285</v>
      </c>
      <c r="B67" s="1" t="s">
        <v>57</v>
      </c>
      <c r="C67" s="1" t="s">
        <v>58</v>
      </c>
      <c r="D67" s="1">
        <v>0.1</v>
      </c>
      <c r="E67" s="1">
        <v>116.04083</v>
      </c>
      <c r="F67" s="1">
        <v>2.7349999999999999</v>
      </c>
      <c r="G67" s="1">
        <f t="shared" si="47"/>
        <v>3227831.2479067915</v>
      </c>
      <c r="H67" s="1">
        <f t="shared" si="48"/>
        <v>27047348.7252868</v>
      </c>
      <c r="I67" s="1">
        <f t="shared" si="49"/>
        <v>4.501766936553957E-4</v>
      </c>
      <c r="J67" s="1" t="e">
        <f>G67/#REF!</f>
        <v>#REF!</v>
      </c>
      <c r="K67" s="1" t="e">
        <f>H67/#REF!</f>
        <v>#REF!</v>
      </c>
      <c r="L67" s="1">
        <v>76.2</v>
      </c>
      <c r="M67" s="1">
        <v>84550.751111338905</v>
      </c>
      <c r="N67" s="1">
        <v>675797.17932964803</v>
      </c>
      <c r="O67" s="1">
        <v>58580.822432639397</v>
      </c>
      <c r="P67" s="1">
        <v>134842.15819987099</v>
      </c>
      <c r="Q67" s="1">
        <v>593300.27183810202</v>
      </c>
      <c r="R67" s="1">
        <v>724171.80505985103</v>
      </c>
      <c r="S67" s="1">
        <v>601459.208045954</v>
      </c>
      <c r="T67" s="1">
        <v>194950.737540156</v>
      </c>
      <c r="U67" s="1">
        <v>750770.80398270499</v>
      </c>
      <c r="V67" s="1">
        <v>7807957.4605044601</v>
      </c>
      <c r="W67" s="1">
        <v>5308855.7249043901</v>
      </c>
      <c r="X67" s="1">
        <v>27047348.7252868</v>
      </c>
      <c r="Y67" s="1">
        <v>1799630.96436248</v>
      </c>
      <c r="Z67" s="1">
        <v>1110217.61932053</v>
      </c>
      <c r="AA67" s="1">
        <v>1525034.4866829501</v>
      </c>
      <c r="AB67" s="1" t="s">
        <v>285</v>
      </c>
      <c r="AC67">
        <f t="shared" si="50"/>
        <v>1.9212549757344948E-5</v>
      </c>
      <c r="AD67">
        <f t="shared" ref="AD67:AD98" si="56">N67/SUM(N$2:N$104)</f>
        <v>1.1698814874077066E-4</v>
      </c>
      <c r="AE67">
        <f t="shared" ref="AE67:AE98" si="57">O67/SUM(O$2:O$104)</f>
        <v>1.4861223352516585E-5</v>
      </c>
      <c r="AF67">
        <f t="shared" ref="AF67:AF98" si="58">P67/SUM(P$2:P$104)</f>
        <v>3.0749678048002354E-5</v>
      </c>
      <c r="AG67">
        <f t="shared" ref="AG67:AG98" si="59">Q67/SUM(Q$2:Q$104)</f>
        <v>1.1722988377165846E-4</v>
      </c>
      <c r="AH67">
        <f t="shared" ref="AH67:AH98" si="60">R67/SUM(R$2:R$104)</f>
        <v>6.2185054340213998E-5</v>
      </c>
      <c r="AI67">
        <f t="shared" ref="AI67:AI98" si="61">S67/SUM(S$2:S$104)</f>
        <v>1.0865430088566497E-4</v>
      </c>
      <c r="AJ67">
        <f t="shared" ref="AJ67:AJ98" si="62">T67/SUM(T$2:T$104)</f>
        <v>2.8362702889370918E-5</v>
      </c>
      <c r="AK67">
        <f t="shared" ref="AK67:AK98" si="63">U67/SUM(U$2:U$104)</f>
        <v>1.0966377690751858E-4</v>
      </c>
      <c r="AL67">
        <f t="shared" ref="AL67:AL98" si="64">V67/SUM(V$2:V$104)</f>
        <v>7.9693468412113811E-4</v>
      </c>
      <c r="AM67">
        <f t="shared" ref="AM67:AM98" si="65">W67/SUM(W$2:W$104)</f>
        <v>4.6525125414324559E-4</v>
      </c>
      <c r="AN67">
        <f t="shared" ref="AN67:AN98" si="66">X67/SUM(X$2:X$104)</f>
        <v>3.2713426058745563E-3</v>
      </c>
      <c r="AO67">
        <f t="shared" ref="AO67:AO98" si="67">Y67/SUM(Y$2:Y$104)</f>
        <v>2.2880346669471323E-4</v>
      </c>
      <c r="AP67">
        <f t="shared" ref="AP67:AP98" si="68">Z67/SUM(Z$2:Z$104)</f>
        <v>1.3449293726057191E-4</v>
      </c>
      <c r="AQ67">
        <f t="shared" ref="AQ67:AQ98" si="69">AA67/SUM(AA$2:AA$104)</f>
        <v>2.0361741911895228E-4</v>
      </c>
      <c r="AR67" s="1"/>
      <c r="AS67" s="1">
        <f t="shared" si="51"/>
        <v>7.8076507766492874E-4</v>
      </c>
      <c r="AT67" s="1">
        <f t="shared" si="52"/>
        <v>1.2951307320568537E-4</v>
      </c>
      <c r="AU67" s="1">
        <f t="shared" si="53"/>
        <v>8.2226926894184813E-5</v>
      </c>
      <c r="AV67" s="1">
        <f t="shared" si="54"/>
        <v>0.16587969532785238</v>
      </c>
      <c r="AW67" s="1">
        <f t="shared" si="55"/>
        <v>0.10531583602599746</v>
      </c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</row>
    <row r="68" spans="1:91" hidden="1">
      <c r="A68" s="1" t="s">
        <v>279</v>
      </c>
      <c r="B68" s="1" t="s">
        <v>35</v>
      </c>
      <c r="C68" s="1" t="s">
        <v>36</v>
      </c>
      <c r="D68" s="1">
        <v>-0.36</v>
      </c>
      <c r="E68" s="1">
        <v>290.13779</v>
      </c>
      <c r="F68" s="1">
        <v>2.39</v>
      </c>
      <c r="G68" s="1">
        <f t="shared" si="47"/>
        <v>3196686.0867339685</v>
      </c>
      <c r="H68" s="1">
        <f t="shared" si="48"/>
        <v>31425719.638112299</v>
      </c>
      <c r="I68" s="1">
        <f t="shared" si="49"/>
        <v>4.4583296419641667E-4</v>
      </c>
      <c r="J68" s="1" t="e">
        <f>G68/#REF!</f>
        <v>#REF!</v>
      </c>
      <c r="K68" s="1" t="e">
        <f>H68/#REF!</f>
        <v>#REF!</v>
      </c>
      <c r="L68" s="1">
        <v>91</v>
      </c>
      <c r="M68" s="1">
        <v>89219.470706082298</v>
      </c>
      <c r="N68" s="1">
        <v>1196263.10119414</v>
      </c>
      <c r="O68" s="1">
        <v>74519.523964742097</v>
      </c>
      <c r="P68" s="1">
        <v>488390.203504431</v>
      </c>
      <c r="Q68" s="1">
        <v>644665.35622476495</v>
      </c>
      <c r="R68" s="1">
        <v>1127854.5909969199</v>
      </c>
      <c r="S68" s="1">
        <v>1339009.8455908501</v>
      </c>
      <c r="T68" s="1">
        <v>846963.82230574102</v>
      </c>
      <c r="U68" s="1">
        <v>1444559.6447008001</v>
      </c>
      <c r="V68" s="1">
        <v>4248528.3999029202</v>
      </c>
      <c r="W68" s="1">
        <v>2424088.46533034</v>
      </c>
      <c r="X68" s="1">
        <v>31425719.638112299</v>
      </c>
      <c r="Y68" s="1">
        <v>1000958.7365607501</v>
      </c>
      <c r="Z68" s="1">
        <v>492709.28330973</v>
      </c>
      <c r="AA68" s="1">
        <v>1106841.2186050201</v>
      </c>
      <c r="AB68" s="1" t="s">
        <v>279</v>
      </c>
      <c r="AC68">
        <f t="shared" si="50"/>
        <v>2.0273427470885089E-5</v>
      </c>
      <c r="AD68">
        <f t="shared" si="56"/>
        <v>2.0708669686135211E-4</v>
      </c>
      <c r="AE68">
        <f t="shared" si="57"/>
        <v>1.8904672959084431E-5</v>
      </c>
      <c r="AF68">
        <f t="shared" si="58"/>
        <v>1.113734882328068E-4</v>
      </c>
      <c r="AG68">
        <f t="shared" si="59"/>
        <v>1.2737908335640609E-4</v>
      </c>
      <c r="AH68">
        <f t="shared" si="60"/>
        <v>9.6849530096254931E-5</v>
      </c>
      <c r="AI68">
        <f t="shared" si="61"/>
        <v>2.4189367575627846E-4</v>
      </c>
      <c r="AJ68">
        <f t="shared" si="62"/>
        <v>1.2322181261384345E-4</v>
      </c>
      <c r="AK68">
        <f t="shared" si="63"/>
        <v>2.110042982035329E-4</v>
      </c>
      <c r="AL68">
        <f t="shared" si="64"/>
        <v>4.3363448833871681E-4</v>
      </c>
      <c r="AM68">
        <f t="shared" si="65"/>
        <v>2.1243941389449371E-4</v>
      </c>
      <c r="AN68">
        <f t="shared" si="66"/>
        <v>3.800901027918972E-3</v>
      </c>
      <c r="AO68">
        <f t="shared" si="67"/>
        <v>1.272609959923596E-4</v>
      </c>
      <c r="AP68">
        <f t="shared" si="68"/>
        <v>5.96873239756658E-5</v>
      </c>
      <c r="AQ68">
        <f t="shared" si="69"/>
        <v>1.4778167593903365E-4</v>
      </c>
      <c r="AR68" s="1"/>
      <c r="AS68" s="1">
        <f t="shared" si="51"/>
        <v>7.8220662124058396E-4</v>
      </c>
      <c r="AT68" s="1">
        <f t="shared" si="52"/>
        <v>1.1172201626542115E-4</v>
      </c>
      <c r="AU68" s="1">
        <f t="shared" si="53"/>
        <v>1.9203992885788492E-4</v>
      </c>
      <c r="AV68" s="1">
        <f t="shared" si="54"/>
        <v>0.14282928989814664</v>
      </c>
      <c r="AW68" s="1">
        <f t="shared" si="55"/>
        <v>0.24551048743784418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</row>
    <row r="69" spans="1:91" hidden="1">
      <c r="A69" s="1" t="s">
        <v>301</v>
      </c>
      <c r="B69" s="1" t="s">
        <v>219</v>
      </c>
      <c r="C69" s="1" t="s">
        <v>220</v>
      </c>
      <c r="D69" s="1">
        <v>1.22</v>
      </c>
      <c r="E69" s="1">
        <v>108.06887999999999</v>
      </c>
      <c r="F69" s="1">
        <v>2.6459999999999999</v>
      </c>
      <c r="G69" s="1">
        <f t="shared" si="47"/>
        <v>2987183.5995062101</v>
      </c>
      <c r="H69" s="1">
        <f t="shared" si="48"/>
        <v>14797117.4023451</v>
      </c>
      <c r="I69" s="1">
        <f t="shared" si="49"/>
        <v>4.1661423193650222E-4</v>
      </c>
      <c r="J69" s="1" t="e">
        <f>G69/#REF!</f>
        <v>#REF!</v>
      </c>
      <c r="K69" s="1" t="e">
        <f>H69/#REF!</f>
        <v>#REF!</v>
      </c>
      <c r="L69" s="1">
        <v>92.7</v>
      </c>
      <c r="M69" s="1">
        <v>1140129.5026346799</v>
      </c>
      <c r="N69" s="1">
        <v>862008.49101361097</v>
      </c>
      <c r="O69" s="1">
        <v>2625937.1953480202</v>
      </c>
      <c r="P69" s="1">
        <v>2264378.8072819798</v>
      </c>
      <c r="Q69" s="1">
        <v>1081420.4605018699</v>
      </c>
      <c r="R69" s="1">
        <v>14797117.4023451</v>
      </c>
      <c r="S69" s="1">
        <v>1973510.6729206101</v>
      </c>
      <c r="T69" s="1">
        <v>2264870.2564706998</v>
      </c>
      <c r="U69" s="1">
        <v>8854419.0513898209</v>
      </c>
      <c r="V69" s="1">
        <v>507148.42006111902</v>
      </c>
      <c r="W69" s="1">
        <v>1246134.4330613399</v>
      </c>
      <c r="X69" s="1">
        <v>3524659.36997825</v>
      </c>
      <c r="Y69" s="1">
        <v>988780.32691448205</v>
      </c>
      <c r="Z69" s="1">
        <v>1167873.2286972799</v>
      </c>
      <c r="AA69" s="1">
        <v>1509366.37397429</v>
      </c>
      <c r="AB69" s="1" t="s">
        <v>301</v>
      </c>
      <c r="AC69">
        <f t="shared" si="50"/>
        <v>2.5907274046969565E-4</v>
      </c>
      <c r="AD69">
        <f t="shared" si="56"/>
        <v>1.4922343662715463E-4</v>
      </c>
      <c r="AE69">
        <f t="shared" si="57"/>
        <v>6.6616748535105238E-4</v>
      </c>
      <c r="AF69">
        <f t="shared" si="58"/>
        <v>5.163735157622764E-4</v>
      </c>
      <c r="AG69">
        <f t="shared" si="59"/>
        <v>2.1367729109606997E-4</v>
      </c>
      <c r="AH69">
        <f t="shared" si="60"/>
        <v>1.2706370826841393E-3</v>
      </c>
      <c r="AI69">
        <f t="shared" si="61"/>
        <v>3.5651698334328888E-4</v>
      </c>
      <c r="AJ69">
        <f t="shared" si="62"/>
        <v>3.2950807459253674E-4</v>
      </c>
      <c r="AK69">
        <f t="shared" si="63"/>
        <v>1.2933494887471197E-3</v>
      </c>
      <c r="AL69">
        <f t="shared" si="64"/>
        <v>5.1763110645563091E-5</v>
      </c>
      <c r="AM69">
        <f t="shared" si="65"/>
        <v>1.0920726383524239E-4</v>
      </c>
      <c r="AN69">
        <f t="shared" si="66"/>
        <v>4.2630309112053478E-4</v>
      </c>
      <c r="AO69">
        <f t="shared" si="67"/>
        <v>1.2571264391292005E-4</v>
      </c>
      <c r="AP69">
        <f t="shared" si="68"/>
        <v>1.4147739879287314E-4</v>
      </c>
      <c r="AQ69">
        <f t="shared" si="69"/>
        <v>2.0152546598604883E-4</v>
      </c>
      <c r="AR69" s="1"/>
      <c r="AS69" s="1">
        <f t="shared" si="51"/>
        <v>2.7695618800820712E-4</v>
      </c>
      <c r="AT69" s="1">
        <f t="shared" si="52"/>
        <v>4.1156723303905463E-4</v>
      </c>
      <c r="AU69" s="1">
        <f t="shared" si="53"/>
        <v>6.5979151556098178E-4</v>
      </c>
      <c r="AV69" s="1">
        <f t="shared" si="54"/>
        <v>1.4860373259717834</v>
      </c>
      <c r="AW69" s="1">
        <f t="shared" si="55"/>
        <v>2.3822956269943676</v>
      </c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</row>
    <row r="70" spans="1:91" hidden="1">
      <c r="A70" s="1" t="s">
        <v>319</v>
      </c>
      <c r="B70" s="1" t="s">
        <v>213</v>
      </c>
      <c r="C70" s="1" t="s">
        <v>82</v>
      </c>
      <c r="D70" s="1">
        <v>0.59</v>
      </c>
      <c r="E70" s="1">
        <v>149.07023000000001</v>
      </c>
      <c r="F70" s="1">
        <v>3.92</v>
      </c>
      <c r="G70" s="1">
        <f t="shared" si="47"/>
        <v>2973236.434202082</v>
      </c>
      <c r="H70" s="1">
        <f t="shared" si="48"/>
        <v>6056270.3378464999</v>
      </c>
      <c r="I70" s="1">
        <f t="shared" si="49"/>
        <v>4.1466905937937143E-4</v>
      </c>
      <c r="J70" s="1" t="e">
        <f>G70/#REF!</f>
        <v>#REF!</v>
      </c>
      <c r="K70" s="1" t="e">
        <f>H70/#REF!</f>
        <v>#REF!</v>
      </c>
      <c r="L70" s="1">
        <v>65.5</v>
      </c>
      <c r="M70" s="1">
        <v>2096992.7230424499</v>
      </c>
      <c r="N70" s="1">
        <v>465028.574795792</v>
      </c>
      <c r="O70" s="1">
        <v>1693482.4776896101</v>
      </c>
      <c r="P70" s="1">
        <v>1986744.4051787299</v>
      </c>
      <c r="Q70" s="1">
        <v>3948893.1617254899</v>
      </c>
      <c r="R70" s="1">
        <v>1908449.6036231001</v>
      </c>
      <c r="S70" s="1">
        <v>3626680.4802345401</v>
      </c>
      <c r="T70" s="1">
        <v>4986426.0073007504</v>
      </c>
      <c r="U70" s="1">
        <v>2629552.9751272402</v>
      </c>
      <c r="V70" s="1">
        <v>6056270.3378464999</v>
      </c>
      <c r="W70" s="1">
        <v>4455081.7613815796</v>
      </c>
      <c r="X70" s="1">
        <v>1958849.5457023301</v>
      </c>
      <c r="Y70" s="1">
        <v>2680087.3108461099</v>
      </c>
      <c r="Z70" s="1">
        <v>2905314.8721835599</v>
      </c>
      <c r="AA70" s="1">
        <v>3200692.27635345</v>
      </c>
      <c r="AB70" s="1" t="s">
        <v>319</v>
      </c>
      <c r="AC70">
        <f t="shared" si="50"/>
        <v>4.7650170462933166E-4</v>
      </c>
      <c r="AD70">
        <f t="shared" si="56"/>
        <v>8.0501715220065268E-5</v>
      </c>
      <c r="AE70">
        <f t="shared" si="57"/>
        <v>4.2961536385832807E-4</v>
      </c>
      <c r="AF70">
        <f t="shared" si="58"/>
        <v>4.5306120606852118E-4</v>
      </c>
      <c r="AG70">
        <f t="shared" si="59"/>
        <v>7.8025969032776462E-4</v>
      </c>
      <c r="AH70">
        <f t="shared" si="60"/>
        <v>1.6387967810629409E-4</v>
      </c>
      <c r="AI70">
        <f t="shared" si="61"/>
        <v>6.5516401917894355E-4</v>
      </c>
      <c r="AJ70">
        <f t="shared" si="62"/>
        <v>7.2545772901101138E-4</v>
      </c>
      <c r="AK70">
        <f t="shared" si="63"/>
        <v>3.8409419932304442E-4</v>
      </c>
      <c r="AL70">
        <f t="shared" si="64"/>
        <v>6.1814525925094998E-4</v>
      </c>
      <c r="AM70">
        <f t="shared" si="65"/>
        <v>3.9042921567261244E-4</v>
      </c>
      <c r="AN70">
        <f t="shared" si="66"/>
        <v>2.3692037406102922E-4</v>
      </c>
      <c r="AO70">
        <f t="shared" si="67"/>
        <v>3.4074389689295689E-4</v>
      </c>
      <c r="AP70">
        <f t="shared" si="68"/>
        <v>3.5195291808279132E-4</v>
      </c>
      <c r="AQ70">
        <f t="shared" si="69"/>
        <v>4.2734554949152686E-4</v>
      </c>
      <c r="AR70" s="1"/>
      <c r="AS70" s="1">
        <f t="shared" si="51"/>
        <v>3.720189387820528E-4</v>
      </c>
      <c r="AT70" s="1">
        <f t="shared" si="52"/>
        <v>4.1954048982830914E-4</v>
      </c>
      <c r="AU70" s="1">
        <f t="shared" si="53"/>
        <v>5.8823864917099977E-4</v>
      </c>
      <c r="AV70" s="1">
        <f t="shared" si="54"/>
        <v>1.1277396016499495</v>
      </c>
      <c r="AW70" s="1">
        <f t="shared" si="55"/>
        <v>1.5812061909988384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</row>
    <row r="71" spans="1:91" hidden="1">
      <c r="A71" s="1" t="s">
        <v>298</v>
      </c>
      <c r="B71" s="1" t="s">
        <v>81</v>
      </c>
      <c r="C71" s="1" t="s">
        <v>82</v>
      </c>
      <c r="D71" s="1">
        <v>0.28000000000000003</v>
      </c>
      <c r="E71" s="1">
        <v>149.07019</v>
      </c>
      <c r="F71" s="1">
        <v>2.4279999999999999</v>
      </c>
      <c r="G71" s="1">
        <f t="shared" si="47"/>
        <v>2944763.2123157019</v>
      </c>
      <c r="H71" s="1">
        <f t="shared" si="48"/>
        <v>14924895.2644928</v>
      </c>
      <c r="I71" s="1">
        <f t="shared" si="49"/>
        <v>4.1069797790017719E-4</v>
      </c>
      <c r="J71" s="1" t="e">
        <f>G71/#REF!</f>
        <v>#REF!</v>
      </c>
      <c r="K71" s="1" t="e">
        <f>H71/#REF!</f>
        <v>#REF!</v>
      </c>
      <c r="L71" s="1">
        <v>52.6</v>
      </c>
      <c r="M71" s="1">
        <v>81284.9133505848</v>
      </c>
      <c r="N71" s="1">
        <v>245026.346856169</v>
      </c>
      <c r="O71" s="1">
        <v>223607.802515944</v>
      </c>
      <c r="P71" s="1">
        <v>71674.657043040395</v>
      </c>
      <c r="Q71" s="1">
        <v>166567.00023733801</v>
      </c>
      <c r="R71" s="1">
        <v>2216584.1648208499</v>
      </c>
      <c r="S71" s="1">
        <v>94128.006546793695</v>
      </c>
      <c r="T71" s="1">
        <v>85825.081756794505</v>
      </c>
      <c r="U71" s="1">
        <v>93898.676805224895</v>
      </c>
      <c r="V71" s="1">
        <v>1302948.8899743301</v>
      </c>
      <c r="W71" s="1">
        <v>13358324.2256655</v>
      </c>
      <c r="X71" s="1">
        <v>14924895.2644928</v>
      </c>
      <c r="Y71" s="1">
        <v>3477657.8899605898</v>
      </c>
      <c r="Z71" s="1">
        <v>4021129.2152594798</v>
      </c>
      <c r="AA71" s="1">
        <v>3807896.0494500902</v>
      </c>
      <c r="AB71" s="1" t="s">
        <v>298</v>
      </c>
      <c r="AC71">
        <f t="shared" si="50"/>
        <v>1.8470450253163374E-5</v>
      </c>
      <c r="AD71">
        <f t="shared" si="56"/>
        <v>4.2416836867906687E-5</v>
      </c>
      <c r="AE71">
        <f t="shared" si="57"/>
        <v>5.672650807140845E-5</v>
      </c>
      <c r="AF71">
        <f t="shared" si="58"/>
        <v>1.6344833527565012E-5</v>
      </c>
      <c r="AG71">
        <f t="shared" si="59"/>
        <v>3.2911884596852688E-5</v>
      </c>
      <c r="AH71">
        <f t="shared" si="60"/>
        <v>1.9033937219863236E-4</v>
      </c>
      <c r="AI71">
        <f t="shared" si="61"/>
        <v>1.7004333142276452E-5</v>
      </c>
      <c r="AJ71">
        <f t="shared" si="62"/>
        <v>1.2486391818971843E-5</v>
      </c>
      <c r="AK71">
        <f t="shared" si="63"/>
        <v>1.3715615325548252E-5</v>
      </c>
      <c r="AL71">
        <f t="shared" si="64"/>
        <v>1.3298806599678799E-4</v>
      </c>
      <c r="AM71">
        <f t="shared" si="65"/>
        <v>1.1706811074348612E-3</v>
      </c>
      <c r="AN71">
        <f t="shared" si="66"/>
        <v>1.805147198080243E-3</v>
      </c>
      <c r="AO71">
        <f t="shared" si="67"/>
        <v>4.4214630496929773E-4</v>
      </c>
      <c r="AP71">
        <f t="shared" si="68"/>
        <v>4.8712384838166419E-4</v>
      </c>
      <c r="AQ71">
        <f t="shared" si="69"/>
        <v>5.0841733261306594E-4</v>
      </c>
      <c r="AR71" s="1"/>
      <c r="AS71" s="1">
        <f t="shared" si="51"/>
        <v>5.3773836111739505E-4</v>
      </c>
      <c r="AT71" s="1">
        <f t="shared" si="52"/>
        <v>2.7954726271451301E-4</v>
      </c>
      <c r="AU71" s="1">
        <f t="shared" si="53"/>
        <v>1.4402113428932183E-5</v>
      </c>
      <c r="AV71" s="1">
        <f t="shared" si="54"/>
        <v>0.51985739334948489</v>
      </c>
      <c r="AW71" s="1">
        <f t="shared" si="55"/>
        <v>2.6782752487669408E-2</v>
      </c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</row>
    <row r="72" spans="1:91" hidden="1">
      <c r="A72" s="1" t="s">
        <v>311</v>
      </c>
      <c r="B72" s="1" t="s">
        <v>201</v>
      </c>
      <c r="C72" s="1" t="s">
        <v>202</v>
      </c>
      <c r="D72" s="1">
        <v>-1.02</v>
      </c>
      <c r="E72" s="1">
        <v>104.02628</v>
      </c>
      <c r="F72" s="1">
        <v>1.2030000000000001</v>
      </c>
      <c r="G72" s="1">
        <f t="shared" si="47"/>
        <v>2898259.2402038695</v>
      </c>
      <c r="H72" s="1">
        <f t="shared" si="48"/>
        <v>7717087.1810208</v>
      </c>
      <c r="I72" s="1">
        <f t="shared" si="49"/>
        <v>4.0421219757299202E-4</v>
      </c>
      <c r="J72" s="1" t="e">
        <f>G72/#REF!</f>
        <v>#REF!</v>
      </c>
      <c r="K72" s="1" t="e">
        <f>H72/#REF!</f>
        <v>#REF!</v>
      </c>
      <c r="L72" s="1">
        <v>53.5</v>
      </c>
      <c r="M72" s="1">
        <v>1351073.44505397</v>
      </c>
      <c r="N72" s="1">
        <v>6028908.3670572899</v>
      </c>
      <c r="O72" s="1">
        <v>2018371.2843716701</v>
      </c>
      <c r="P72" s="1">
        <v>5093541.3240706399</v>
      </c>
      <c r="Q72" s="1">
        <v>7717087.1810208</v>
      </c>
      <c r="R72" s="1">
        <v>4568248.6267827898</v>
      </c>
      <c r="S72" s="1">
        <v>1118514.75727166</v>
      </c>
      <c r="T72" s="1">
        <v>1918001.8314060101</v>
      </c>
      <c r="U72" s="1">
        <v>1045808.91780488</v>
      </c>
      <c r="V72" s="1">
        <v>1450473.1589418501</v>
      </c>
      <c r="W72" s="1">
        <v>2501833.7525431798</v>
      </c>
      <c r="X72" s="1">
        <v>1619320.9803176699</v>
      </c>
      <c r="Y72" s="1">
        <v>1955216.6317439501</v>
      </c>
      <c r="Z72" s="1">
        <v>758577.68264562404</v>
      </c>
      <c r="AA72" s="1">
        <v>4328910.6620260598</v>
      </c>
      <c r="AB72" s="1" t="s">
        <v>311</v>
      </c>
      <c r="AC72">
        <f t="shared" si="50"/>
        <v>3.0700573853856332E-4</v>
      </c>
      <c r="AD72">
        <f t="shared" si="56"/>
        <v>1.0436723478032311E-3</v>
      </c>
      <c r="AE72">
        <f t="shared" si="57"/>
        <v>5.1203559833671133E-4</v>
      </c>
      <c r="AF72">
        <f t="shared" si="58"/>
        <v>1.161541449130541E-3</v>
      </c>
      <c r="AG72">
        <f t="shared" si="59"/>
        <v>1.5248151336321792E-3</v>
      </c>
      <c r="AH72">
        <f t="shared" si="60"/>
        <v>3.9227816812423055E-4</v>
      </c>
      <c r="AI72">
        <f t="shared" si="61"/>
        <v>2.0206098328178884E-4</v>
      </c>
      <c r="AJ72">
        <f t="shared" si="62"/>
        <v>2.7904339717736481E-4</v>
      </c>
      <c r="AK72">
        <f t="shared" si="63"/>
        <v>1.5275947764837398E-4</v>
      </c>
      <c r="AL72">
        <f t="shared" si="64"/>
        <v>1.4804542347914248E-4</v>
      </c>
      <c r="AM72">
        <f t="shared" si="65"/>
        <v>2.1925276393710614E-4</v>
      </c>
      <c r="AN72">
        <f t="shared" si="66"/>
        <v>1.958548236762003E-4</v>
      </c>
      <c r="AO72">
        <f t="shared" si="67"/>
        <v>2.4858448889861917E-4</v>
      </c>
      <c r="AP72">
        <f t="shared" si="68"/>
        <v>9.1894903218855229E-5</v>
      </c>
      <c r="AQ72">
        <f t="shared" si="69"/>
        <v>5.7798143208908975E-4</v>
      </c>
      <c r="AR72" s="1"/>
      <c r="AS72" s="1">
        <f t="shared" si="51"/>
        <v>4.0431111596182578E-4</v>
      </c>
      <c r="AT72" s="1">
        <f t="shared" si="52"/>
        <v>6.6618259584891911E-4</v>
      </c>
      <c r="AU72" s="1">
        <f t="shared" si="53"/>
        <v>2.1128795270250922E-4</v>
      </c>
      <c r="AV72" s="1">
        <f t="shared" si="54"/>
        <v>1.6476979473199018</v>
      </c>
      <c r="AW72" s="1">
        <f t="shared" si="55"/>
        <v>0.52258754301095844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</row>
    <row r="73" spans="1:91" hidden="1">
      <c r="A73" s="1" t="s">
        <v>324</v>
      </c>
      <c r="B73" s="1" t="s">
        <v>41</v>
      </c>
      <c r="C73" s="1" t="s">
        <v>42</v>
      </c>
      <c r="D73" s="1">
        <v>3.31</v>
      </c>
      <c r="E73" s="1">
        <v>297.30414999999999</v>
      </c>
      <c r="F73" s="1">
        <v>1.427</v>
      </c>
      <c r="G73" s="1">
        <f t="shared" si="47"/>
        <v>2859410.5659992043</v>
      </c>
      <c r="H73" s="1">
        <f t="shared" si="48"/>
        <v>5088583.7809425704</v>
      </c>
      <c r="I73" s="1">
        <f t="shared" si="49"/>
        <v>3.9879408046488942E-4</v>
      </c>
      <c r="J73" s="1" t="e">
        <f>G73/#REF!</f>
        <v>#REF!</v>
      </c>
      <c r="K73" s="1" t="e">
        <f>H73/#REF!</f>
        <v>#REF!</v>
      </c>
      <c r="L73" s="1">
        <v>62.6</v>
      </c>
      <c r="M73" s="1">
        <v>1348027.80708622</v>
      </c>
      <c r="N73" s="1">
        <v>5088583.7809425704</v>
      </c>
      <c r="O73" s="1">
        <v>1614509.82703827</v>
      </c>
      <c r="P73" s="1">
        <v>2870220.9163165502</v>
      </c>
      <c r="Q73" s="1">
        <v>2817910.2091009002</v>
      </c>
      <c r="R73" s="1">
        <v>1034361.94021934</v>
      </c>
      <c r="S73" s="1">
        <v>3827586.79493711</v>
      </c>
      <c r="T73" s="1">
        <v>4019667.85359838</v>
      </c>
      <c r="U73" s="1">
        <v>4100126.7821102999</v>
      </c>
      <c r="V73" s="1">
        <v>4393444.32488879</v>
      </c>
      <c r="W73" s="1">
        <v>3565846.77795558</v>
      </c>
      <c r="X73" s="1">
        <v>2132042.06952726</v>
      </c>
      <c r="Y73" s="1">
        <v>3453927.9555966202</v>
      </c>
      <c r="Z73" s="1">
        <v>374855.535352604</v>
      </c>
      <c r="AA73" s="1">
        <v>2250045.9153175801</v>
      </c>
      <c r="AB73" s="1" t="s">
        <v>324</v>
      </c>
      <c r="AC73">
        <f t="shared" si="50"/>
        <v>3.0631367524841936E-4</v>
      </c>
      <c r="AD73">
        <f t="shared" si="56"/>
        <v>8.8089150776759671E-4</v>
      </c>
      <c r="AE73">
        <f t="shared" si="57"/>
        <v>4.0958098824983677E-4</v>
      </c>
      <c r="AF73">
        <f t="shared" si="58"/>
        <v>6.545309737074549E-4</v>
      </c>
      <c r="AG73">
        <f t="shared" si="59"/>
        <v>5.5678937288943528E-4</v>
      </c>
      <c r="AH73">
        <f t="shared" si="60"/>
        <v>8.8821261764910605E-5</v>
      </c>
      <c r="AI73">
        <f t="shared" si="61"/>
        <v>6.9145797706586867E-4</v>
      </c>
      <c r="AJ73">
        <f t="shared" si="62"/>
        <v>5.8480745692014962E-4</v>
      </c>
      <c r="AK73">
        <f t="shared" si="63"/>
        <v>5.9889834066622E-4</v>
      </c>
      <c r="AL73">
        <f t="shared" si="64"/>
        <v>4.4842562001264313E-4</v>
      </c>
      <c r="AM73">
        <f t="shared" si="65"/>
        <v>3.1249948604628221E-4</v>
      </c>
      <c r="AN73">
        <f t="shared" si="66"/>
        <v>2.5786779068074928E-4</v>
      </c>
      <c r="AO73">
        <f t="shared" si="67"/>
        <v>4.3912930239797462E-4</v>
      </c>
      <c r="AP73">
        <f t="shared" si="68"/>
        <v>4.5410396232777207E-5</v>
      </c>
      <c r="AQ73">
        <f t="shared" si="69"/>
        <v>3.0041847982900991E-4</v>
      </c>
      <c r="AR73" s="1"/>
      <c r="AS73" s="1">
        <f t="shared" si="51"/>
        <v>4.3592984466758787E-4</v>
      </c>
      <c r="AT73" s="1">
        <f t="shared" si="52"/>
        <v>3.4751663113692703E-4</v>
      </c>
      <c r="AU73" s="1">
        <f t="shared" si="53"/>
        <v>6.250545915507461E-4</v>
      </c>
      <c r="AV73" s="1">
        <f t="shared" si="54"/>
        <v>0.79718476582377817</v>
      </c>
      <c r="AW73" s="1">
        <f t="shared" si="55"/>
        <v>1.4338421633585849</v>
      </c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</row>
    <row r="74" spans="1:91" hidden="1">
      <c r="A74" s="1" t="s">
        <v>314</v>
      </c>
      <c r="B74" s="1" t="s">
        <v>160</v>
      </c>
      <c r="C74" s="1" t="s">
        <v>161</v>
      </c>
      <c r="D74" s="1">
        <v>0.43</v>
      </c>
      <c r="E74" s="1">
        <v>159.06847999999999</v>
      </c>
      <c r="F74" s="1">
        <v>1.3180000000000001</v>
      </c>
      <c r="G74" s="1">
        <f t="shared" si="47"/>
        <v>2798790.7701820456</v>
      </c>
      <c r="H74" s="1">
        <f t="shared" si="48"/>
        <v>6402399.0442417599</v>
      </c>
      <c r="I74" s="1">
        <f t="shared" si="49"/>
        <v>3.9033960525998809E-4</v>
      </c>
      <c r="J74" s="1" t="e">
        <f>G74/#REF!</f>
        <v>#REF!</v>
      </c>
      <c r="K74" s="1" t="e">
        <f>H74/#REF!</f>
        <v>#REF!</v>
      </c>
      <c r="L74" s="1">
        <v>73.5</v>
      </c>
      <c r="M74" s="1">
        <v>929932.47262372205</v>
      </c>
      <c r="N74" s="1">
        <v>5090327.9026845796</v>
      </c>
      <c r="O74" s="1">
        <v>637492.36120939802</v>
      </c>
      <c r="P74" s="1">
        <v>2134899.5195060601</v>
      </c>
      <c r="Q74" s="1">
        <v>1640475.0439671499</v>
      </c>
      <c r="R74" s="1">
        <v>3998845.5918328599</v>
      </c>
      <c r="S74" s="1">
        <v>6402399.0442417599</v>
      </c>
      <c r="T74" s="1">
        <v>410297.62366890401</v>
      </c>
      <c r="U74" s="1">
        <v>267797.524610997</v>
      </c>
      <c r="V74" s="1">
        <v>1326736.4598252601</v>
      </c>
      <c r="W74" s="1">
        <v>517270.684687423</v>
      </c>
      <c r="X74" s="1">
        <v>3114455.4697549399</v>
      </c>
      <c r="Y74" s="1">
        <v>4660895.7461362602</v>
      </c>
      <c r="Z74" s="1">
        <v>6099136.6036811098</v>
      </c>
      <c r="AA74" s="1">
        <v>4750899.50430026</v>
      </c>
      <c r="AB74" s="1" t="s">
        <v>314</v>
      </c>
      <c r="AC74">
        <f t="shared" si="50"/>
        <v>2.1130946403689679E-4</v>
      </c>
      <c r="AD74">
        <f t="shared" si="56"/>
        <v>8.8119343500259726E-4</v>
      </c>
      <c r="AE74">
        <f t="shared" si="57"/>
        <v>1.6172385384909644E-4</v>
      </c>
      <c r="AF74">
        <f t="shared" si="58"/>
        <v>4.8684679751520826E-4</v>
      </c>
      <c r="AG74">
        <f t="shared" si="59"/>
        <v>3.2414058759617928E-4</v>
      </c>
      <c r="AH74">
        <f t="shared" si="60"/>
        <v>3.4338319814273876E-4</v>
      </c>
      <c r="AI74">
        <f t="shared" si="61"/>
        <v>1.1566007849529631E-3</v>
      </c>
      <c r="AJ74">
        <f t="shared" si="62"/>
        <v>5.9692770302749033E-5</v>
      </c>
      <c r="AK74">
        <f t="shared" si="63"/>
        <v>3.9116715566902379E-5</v>
      </c>
      <c r="AL74">
        <f t="shared" si="64"/>
        <v>1.3541599155363852E-4</v>
      </c>
      <c r="AM74">
        <f t="shared" si="65"/>
        <v>4.5331959889848593E-5</v>
      </c>
      <c r="AN74">
        <f t="shared" si="66"/>
        <v>3.766894484110052E-4</v>
      </c>
      <c r="AO74">
        <f t="shared" si="67"/>
        <v>5.9258210474079126E-4</v>
      </c>
      <c r="AP74">
        <f t="shared" si="68"/>
        <v>7.3885586240702216E-4</v>
      </c>
      <c r="AQ74">
        <f t="shared" si="69"/>
        <v>6.3432394742968267E-4</v>
      </c>
      <c r="AR74" s="1"/>
      <c r="AS74" s="1">
        <f t="shared" si="51"/>
        <v>3.0194402545718043E-4</v>
      </c>
      <c r="AT74" s="1">
        <f t="shared" si="52"/>
        <v>5.2002208297193713E-4</v>
      </c>
      <c r="AU74" s="1">
        <f t="shared" si="53"/>
        <v>4.1847009027420483E-4</v>
      </c>
      <c r="AV74" s="1">
        <f t="shared" si="54"/>
        <v>1.7222466388747375</v>
      </c>
      <c r="AW74" s="1">
        <f t="shared" si="55"/>
        <v>1.3859194254318812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</row>
    <row r="75" spans="1:91" hidden="1">
      <c r="A75" s="1" t="s">
        <v>321</v>
      </c>
      <c r="B75" s="1" t="s">
        <v>109</v>
      </c>
      <c r="C75" s="1" t="s">
        <v>110</v>
      </c>
      <c r="D75" s="1">
        <v>1.24</v>
      </c>
      <c r="E75" s="1">
        <v>164.08393000000001</v>
      </c>
      <c r="F75" s="1">
        <v>1.073</v>
      </c>
      <c r="G75" s="1">
        <f t="shared" si="47"/>
        <v>2786058.6347119194</v>
      </c>
      <c r="H75" s="1">
        <f t="shared" si="48"/>
        <v>5281274.2957739998</v>
      </c>
      <c r="I75" s="1">
        <f t="shared" si="49"/>
        <v>3.8856388955216389E-4</v>
      </c>
      <c r="J75" s="1" t="e">
        <f>G75/#REF!</f>
        <v>#REF!</v>
      </c>
      <c r="K75" s="1" t="e">
        <f>H75/#REF!</f>
        <v>#REF!</v>
      </c>
      <c r="L75" s="1">
        <v>61.6</v>
      </c>
      <c r="M75" s="1">
        <v>2340093.8988134302</v>
      </c>
      <c r="N75" s="1">
        <v>2308628.8945452701</v>
      </c>
      <c r="O75" s="1">
        <v>2854379.2415221701</v>
      </c>
      <c r="P75" s="1">
        <v>2309831.7394654402</v>
      </c>
      <c r="Q75" s="1">
        <v>1534785.97183957</v>
      </c>
      <c r="R75" s="1">
        <v>3260908.1115109702</v>
      </c>
      <c r="S75" s="1">
        <v>3540824.7604806898</v>
      </c>
      <c r="T75" s="1">
        <v>5281274.2957739998</v>
      </c>
      <c r="U75" s="1">
        <v>3582246.2718843999</v>
      </c>
      <c r="V75" s="1">
        <v>2970577.9057908198</v>
      </c>
      <c r="W75" s="1">
        <v>2679401.8692196398</v>
      </c>
      <c r="X75" s="1">
        <v>2113694.03918313</v>
      </c>
      <c r="Y75" s="1">
        <v>1791534.88451062</v>
      </c>
      <c r="Z75" s="1">
        <v>3008215.3580986699</v>
      </c>
      <c r="AA75" s="1">
        <v>2214482.27803997</v>
      </c>
      <c r="AB75" s="1" t="s">
        <v>321</v>
      </c>
      <c r="AC75">
        <f t="shared" si="50"/>
        <v>5.3174182224128099E-4</v>
      </c>
      <c r="AD75">
        <f t="shared" si="56"/>
        <v>3.9964981915167067E-4</v>
      </c>
      <c r="AE75">
        <f t="shared" si="57"/>
        <v>7.2412038068985862E-4</v>
      </c>
      <c r="AF75">
        <f t="shared" si="58"/>
        <v>5.2673869420229657E-4</v>
      </c>
      <c r="AG75">
        <f t="shared" si="59"/>
        <v>3.0325754029356225E-4</v>
      </c>
      <c r="AH75">
        <f t="shared" si="60"/>
        <v>2.8001607725668777E-4</v>
      </c>
      <c r="AI75">
        <f t="shared" si="61"/>
        <v>6.3965408420397281E-4</v>
      </c>
      <c r="AJ75">
        <f t="shared" si="62"/>
        <v>7.6835417818029827E-4</v>
      </c>
      <c r="AK75">
        <f t="shared" si="63"/>
        <v>5.2325244122941497E-4</v>
      </c>
      <c r="AL75">
        <f t="shared" si="64"/>
        <v>3.0319793326021629E-4</v>
      </c>
      <c r="AM75">
        <f t="shared" si="65"/>
        <v>2.3481426970416389E-4</v>
      </c>
      <c r="AN75">
        <f t="shared" si="66"/>
        <v>2.5564861962600868E-4</v>
      </c>
      <c r="AO75">
        <f t="shared" si="67"/>
        <v>2.2777413836383567E-4</v>
      </c>
      <c r="AP75">
        <f t="shared" si="68"/>
        <v>3.6441839183804767E-4</v>
      </c>
      <c r="AQ75">
        <f t="shared" si="69"/>
        <v>2.9567014390599746E-4</v>
      </c>
      <c r="AR75" s="1"/>
      <c r="AS75" s="1">
        <f t="shared" si="51"/>
        <v>4.0819547411219989E-4</v>
      </c>
      <c r="AT75" s="1">
        <f t="shared" si="52"/>
        <v>3.329791643100712E-4</v>
      </c>
      <c r="AU75" s="1">
        <f t="shared" si="53"/>
        <v>6.4375356787122872E-4</v>
      </c>
      <c r="AV75" s="1">
        <f t="shared" si="54"/>
        <v>0.8157345816591437</v>
      </c>
      <c r="AW75" s="1">
        <f t="shared" si="55"/>
        <v>1.5770717920656843</v>
      </c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</row>
    <row r="76" spans="1:91" hidden="1">
      <c r="A76" s="1" t="s">
        <v>310</v>
      </c>
      <c r="B76" s="1" t="s">
        <v>203</v>
      </c>
      <c r="C76" s="1" t="s">
        <v>204</v>
      </c>
      <c r="D76" s="1">
        <v>0.37</v>
      </c>
      <c r="E76" s="1">
        <v>121.08919</v>
      </c>
      <c r="F76" s="1">
        <v>8.23</v>
      </c>
      <c r="G76" s="1">
        <f t="shared" si="47"/>
        <v>2562525.5239233086</v>
      </c>
      <c r="H76" s="1">
        <f t="shared" si="48"/>
        <v>9115579.3381535392</v>
      </c>
      <c r="I76" s="1">
        <f t="shared" si="49"/>
        <v>3.5738834504295849E-4</v>
      </c>
      <c r="J76" s="1" t="e">
        <f>G76/#REF!</f>
        <v>#REF!</v>
      </c>
      <c r="K76" s="1" t="e">
        <f>H76/#REF!</f>
        <v>#REF!</v>
      </c>
      <c r="L76" s="1">
        <v>78.400000000000006</v>
      </c>
      <c r="M76" s="1">
        <v>801779.65979633399</v>
      </c>
      <c r="N76" s="1">
        <v>1264855.5494945501</v>
      </c>
      <c r="O76" s="1">
        <v>1136382.03437519</v>
      </c>
      <c r="P76" s="1">
        <v>547654.43109138298</v>
      </c>
      <c r="Q76" s="1">
        <v>1866492.5041805899</v>
      </c>
      <c r="R76" s="1">
        <v>585275.21678581601</v>
      </c>
      <c r="S76" s="1">
        <v>497450.130923644</v>
      </c>
      <c r="T76" s="1">
        <v>709262.53235647897</v>
      </c>
      <c r="U76" s="1">
        <v>9115579.3381535392</v>
      </c>
      <c r="V76" s="1">
        <v>6095424.2884202097</v>
      </c>
      <c r="W76" s="1">
        <v>7843780.8223021403</v>
      </c>
      <c r="X76" s="1">
        <v>5716816.3576859403</v>
      </c>
      <c r="Y76" s="1">
        <v>557972.42307805002</v>
      </c>
      <c r="Z76" s="1">
        <v>820034.76492364099</v>
      </c>
      <c r="AA76" s="1">
        <v>879122.80528212502</v>
      </c>
      <c r="AB76" s="1" t="s">
        <v>310</v>
      </c>
      <c r="AC76">
        <f t="shared" si="50"/>
        <v>1.8218917520885686E-4</v>
      </c>
      <c r="AD76">
        <f t="shared" si="56"/>
        <v>2.1896082683659385E-4</v>
      </c>
      <c r="AE76">
        <f t="shared" si="57"/>
        <v>2.882859359998913E-4</v>
      </c>
      <c r="AF76">
        <f t="shared" si="58"/>
        <v>1.248882223663343E-4</v>
      </c>
      <c r="AG76">
        <f t="shared" si="59"/>
        <v>3.6879925682129156E-4</v>
      </c>
      <c r="AH76">
        <f t="shared" si="60"/>
        <v>5.0257923472729665E-5</v>
      </c>
      <c r="AI76">
        <f t="shared" si="61"/>
        <v>8.9864940926902222E-5</v>
      </c>
      <c r="AJ76">
        <f t="shared" si="62"/>
        <v>1.031881321897847E-4</v>
      </c>
      <c r="AK76">
        <f t="shared" si="63"/>
        <v>1.3314967146019756E-3</v>
      </c>
      <c r="AL76">
        <f t="shared" si="64"/>
        <v>6.2214158497254772E-4</v>
      </c>
      <c r="AM76">
        <f t="shared" si="65"/>
        <v>6.8740403844117111E-4</v>
      </c>
      <c r="AN76">
        <f t="shared" si="66"/>
        <v>6.9144170509304905E-4</v>
      </c>
      <c r="AO76">
        <f t="shared" si="67"/>
        <v>7.0940113416826422E-5</v>
      </c>
      <c r="AP76">
        <f t="shared" si="68"/>
        <v>9.9339879201216027E-5</v>
      </c>
      <c r="AQ76">
        <f t="shared" si="69"/>
        <v>1.1737748769833167E-4</v>
      </c>
      <c r="AR76" s="1"/>
      <c r="AS76" s="1">
        <f t="shared" si="51"/>
        <v>4.4840387775868501E-4</v>
      </c>
      <c r="AT76" s="1">
        <f t="shared" si="52"/>
        <v>1.386004804961216E-4</v>
      </c>
      <c r="AU76" s="1">
        <f t="shared" si="53"/>
        <v>5.0818326257288753E-4</v>
      </c>
      <c r="AV76" s="1">
        <f t="shared" si="54"/>
        <v>0.30909741724114048</v>
      </c>
      <c r="AW76" s="1">
        <f t="shared" si="55"/>
        <v>1.1333159407831295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</row>
    <row r="77" spans="1:91" hidden="1">
      <c r="A77" s="1" t="s">
        <v>304</v>
      </c>
      <c r="B77" s="1" t="s">
        <v>122</v>
      </c>
      <c r="C77" s="1" t="s">
        <v>123</v>
      </c>
      <c r="D77" s="1">
        <v>-1.84</v>
      </c>
      <c r="E77" s="1">
        <v>90.031530000000004</v>
      </c>
      <c r="F77" s="1">
        <v>1.403</v>
      </c>
      <c r="G77" s="1">
        <f t="shared" si="47"/>
        <v>2529814.3000244973</v>
      </c>
      <c r="H77" s="1">
        <f t="shared" si="48"/>
        <v>12871326.619501499</v>
      </c>
      <c r="I77" s="1">
        <f t="shared" si="49"/>
        <v>3.5282620114843562E-4</v>
      </c>
      <c r="J77" s="1" t="e">
        <f>G77/#REF!</f>
        <v>#REF!</v>
      </c>
      <c r="K77" s="1" t="e">
        <f>H77/#REF!</f>
        <v>#REF!</v>
      </c>
      <c r="L77" s="1">
        <v>62.4</v>
      </c>
      <c r="M77" s="1">
        <v>820918.15776194702</v>
      </c>
      <c r="N77" s="1">
        <v>12871326.619501499</v>
      </c>
      <c r="O77" s="1">
        <v>343700.99525908497</v>
      </c>
      <c r="P77" s="1">
        <v>1137462.18727251</v>
      </c>
      <c r="Q77" s="1">
        <v>1054829.39385265</v>
      </c>
      <c r="R77" s="1">
        <v>779264.65572235303</v>
      </c>
      <c r="S77" s="1">
        <v>217453.891475337</v>
      </c>
      <c r="T77" s="1">
        <v>825384.58075599396</v>
      </c>
      <c r="U77" s="1">
        <v>1184816.11569687</v>
      </c>
      <c r="V77" s="1">
        <v>1508132.5025154899</v>
      </c>
      <c r="W77" s="1">
        <v>8357909.3672754997</v>
      </c>
      <c r="X77" s="1">
        <v>1852098.83850673</v>
      </c>
      <c r="Y77" s="1">
        <v>1623418.76952985</v>
      </c>
      <c r="Z77" s="1">
        <v>1157569.7729587101</v>
      </c>
      <c r="AA77" s="1">
        <v>4212928.6522829402</v>
      </c>
      <c r="AB77" s="1" t="s">
        <v>304</v>
      </c>
      <c r="AC77">
        <f t="shared" si="50"/>
        <v>1.865380347945155E-4</v>
      </c>
      <c r="AD77">
        <f t="shared" si="56"/>
        <v>2.2281724740948784E-3</v>
      </c>
      <c r="AE77">
        <f t="shared" si="57"/>
        <v>8.7192651876829752E-5</v>
      </c>
      <c r="AF77">
        <f t="shared" si="58"/>
        <v>2.5938917410801057E-4</v>
      </c>
      <c r="AG77">
        <f t="shared" si="59"/>
        <v>2.0842317644179066E-4</v>
      </c>
      <c r="AH77">
        <f t="shared" si="60"/>
        <v>6.691590948849174E-5</v>
      </c>
      <c r="AI77">
        <f t="shared" si="61"/>
        <v>3.9283296750716268E-5</v>
      </c>
      <c r="AJ77">
        <f t="shared" si="62"/>
        <v>1.2008232402110409E-4</v>
      </c>
      <c r="AK77">
        <f t="shared" si="63"/>
        <v>1.7306401567422622E-4</v>
      </c>
      <c r="AL77">
        <f t="shared" si="64"/>
        <v>1.5393053888735606E-4</v>
      </c>
      <c r="AM77">
        <f t="shared" si="65"/>
        <v>7.3246063118630655E-4</v>
      </c>
      <c r="AN77">
        <f t="shared" si="66"/>
        <v>2.2400901109517524E-4</v>
      </c>
      <c r="AO77">
        <f t="shared" si="67"/>
        <v>2.0640000629088947E-4</v>
      </c>
      <c r="AP77">
        <f t="shared" si="68"/>
        <v>1.4022922726136507E-4</v>
      </c>
      <c r="AQ77">
        <f t="shared" si="69"/>
        <v>5.6249590851939696E-4</v>
      </c>
      <c r="AR77" s="1"/>
      <c r="AS77" s="1">
        <f t="shared" si="51"/>
        <v>6.0205055698917692E-4</v>
      </c>
      <c r="AT77" s="1">
        <f t="shared" si="52"/>
        <v>2.4064223368499074E-4</v>
      </c>
      <c r="AU77" s="1">
        <f t="shared" si="53"/>
        <v>1.1080987881534885E-4</v>
      </c>
      <c r="AV77" s="1">
        <f t="shared" si="54"/>
        <v>0.39970436185364544</v>
      </c>
      <c r="AW77" s="1">
        <f t="shared" si="55"/>
        <v>0.1840541089597246</v>
      </c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</row>
    <row r="78" spans="1:91" hidden="1">
      <c r="A78" s="1" t="s">
        <v>287</v>
      </c>
      <c r="B78" s="1" t="s">
        <v>95</v>
      </c>
      <c r="C78" s="1" t="s">
        <v>96</v>
      </c>
      <c r="D78" s="1">
        <v>0.53</v>
      </c>
      <c r="E78" s="1">
        <v>166.02670000000001</v>
      </c>
      <c r="F78" s="1">
        <v>1.1539999999999999</v>
      </c>
      <c r="G78" s="1">
        <f t="shared" si="47"/>
        <v>2480895.2843228602</v>
      </c>
      <c r="H78" s="1">
        <f t="shared" si="48"/>
        <v>21578152.8942477</v>
      </c>
      <c r="I78" s="1">
        <f t="shared" si="49"/>
        <v>3.4600360137351847E-4</v>
      </c>
      <c r="J78" s="1" t="e">
        <f>G78/#REF!</f>
        <v>#REF!</v>
      </c>
      <c r="K78" s="1" t="e">
        <f>H78/#REF!</f>
        <v>#REF!</v>
      </c>
      <c r="L78" s="1">
        <v>85.3</v>
      </c>
      <c r="M78" s="1">
        <v>259279.28986251701</v>
      </c>
      <c r="N78" s="1">
        <v>1132607.4482722699</v>
      </c>
      <c r="O78" s="1">
        <v>323919.45478496503</v>
      </c>
      <c r="P78" s="1">
        <v>1565650.01241834</v>
      </c>
      <c r="Q78" s="1">
        <v>771548.63123215095</v>
      </c>
      <c r="R78" s="1">
        <v>2339454.9499335098</v>
      </c>
      <c r="S78" s="1">
        <v>2757645.7867636099</v>
      </c>
      <c r="T78" s="1">
        <v>21578152.8942477</v>
      </c>
      <c r="U78" s="1">
        <v>383359.501139928</v>
      </c>
      <c r="V78" s="1">
        <v>2208267.24520711</v>
      </c>
      <c r="W78" s="1">
        <v>1345983.7602755199</v>
      </c>
      <c r="X78" s="1">
        <v>1680921.5915918001</v>
      </c>
      <c r="Y78" s="1">
        <v>322486.59565629798</v>
      </c>
      <c r="Z78" s="1">
        <v>276637.83036951203</v>
      </c>
      <c r="AA78" s="1">
        <v>267514.27308767801</v>
      </c>
      <c r="AB78" s="1" t="s">
        <v>287</v>
      </c>
      <c r="AC78">
        <f t="shared" si="50"/>
        <v>5.8916286278438817E-5</v>
      </c>
      <c r="AD78">
        <f t="shared" si="56"/>
        <v>1.960671821016108E-4</v>
      </c>
      <c r="AE78">
        <f t="shared" si="57"/>
        <v>8.217432200307659E-5</v>
      </c>
      <c r="AF78">
        <f t="shared" si="58"/>
        <v>3.5703399041087807E-4</v>
      </c>
      <c r="AG78">
        <f t="shared" si="59"/>
        <v>1.52449881884107E-4</v>
      </c>
      <c r="AH78">
        <f t="shared" si="60"/>
        <v>2.0089035802225749E-4</v>
      </c>
      <c r="AI78">
        <f t="shared" si="61"/>
        <v>4.9817189768288749E-4</v>
      </c>
      <c r="AJ78">
        <f t="shared" si="62"/>
        <v>3.1393302080475779E-3</v>
      </c>
      <c r="AK78">
        <f t="shared" si="63"/>
        <v>5.5996651155543789E-5</v>
      </c>
      <c r="AL78">
        <f t="shared" si="64"/>
        <v>2.2539118180601398E-4</v>
      </c>
      <c r="AM78">
        <f t="shared" si="65"/>
        <v>1.1795774173838661E-4</v>
      </c>
      <c r="AN78">
        <f t="shared" si="66"/>
        <v>2.0330533966783163E-4</v>
      </c>
      <c r="AO78">
        <f t="shared" si="67"/>
        <v>4.1000656528976739E-5</v>
      </c>
      <c r="AP78">
        <f t="shared" si="68"/>
        <v>3.3512199515044677E-5</v>
      </c>
      <c r="AQ78">
        <f t="shared" si="69"/>
        <v>3.5717596119463922E-5</v>
      </c>
      <c r="AR78" s="1"/>
      <c r="AS78" s="1">
        <f t="shared" si="51"/>
        <v>1.4730200893255972E-4</v>
      </c>
      <c r="AT78" s="1">
        <f t="shared" si="52"/>
        <v>1.3676744708012131E-4</v>
      </c>
      <c r="AU78" s="1">
        <f t="shared" si="53"/>
        <v>1.2311662522953364E-3</v>
      </c>
      <c r="AV78" s="1">
        <f t="shared" si="54"/>
        <v>0.92848324385540781</v>
      </c>
      <c r="AW78" s="1">
        <f t="shared" si="55"/>
        <v>8.3581090388184016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</row>
    <row r="79" spans="1:91" hidden="1">
      <c r="A79" s="1" t="s">
        <v>305</v>
      </c>
      <c r="B79" s="1" t="s">
        <v>107</v>
      </c>
      <c r="C79" s="1" t="s">
        <v>108</v>
      </c>
      <c r="D79" s="1">
        <v>0.04</v>
      </c>
      <c r="E79" s="1">
        <v>151.04942</v>
      </c>
      <c r="F79" s="1">
        <v>5.0640000000000001</v>
      </c>
      <c r="G79" s="1">
        <f t="shared" si="47"/>
        <v>2019035.4865659811</v>
      </c>
      <c r="H79" s="1">
        <f t="shared" si="48"/>
        <v>12676478.642913699</v>
      </c>
      <c r="I79" s="1">
        <f t="shared" si="49"/>
        <v>2.8158929321494473E-4</v>
      </c>
      <c r="J79" s="1" t="e">
        <f>G79/#REF!</f>
        <v>#REF!</v>
      </c>
      <c r="K79" s="1" t="e">
        <f>H79/#REF!</f>
        <v>#REF!</v>
      </c>
      <c r="L79" s="1">
        <v>53.4</v>
      </c>
      <c r="M79" s="1">
        <v>603151.72781549103</v>
      </c>
      <c r="N79" s="1">
        <v>457524.38551669702</v>
      </c>
      <c r="O79" s="1">
        <v>639974.54349727905</v>
      </c>
      <c r="P79" s="1">
        <v>227562.294465371</v>
      </c>
      <c r="Q79" s="1">
        <v>823380.67647945997</v>
      </c>
      <c r="R79" s="1">
        <v>747718.20020971203</v>
      </c>
      <c r="S79" s="1">
        <v>712559.69082984899</v>
      </c>
      <c r="T79" s="1">
        <v>646525.55150610604</v>
      </c>
      <c r="U79" s="1">
        <v>297728.25106874201</v>
      </c>
      <c r="V79" s="1">
        <v>2551869.48841456</v>
      </c>
      <c r="W79" s="1">
        <v>8360236.3956815396</v>
      </c>
      <c r="X79" s="1">
        <v>12676478.642913699</v>
      </c>
      <c r="Y79" s="1">
        <v>466626.05704203399</v>
      </c>
      <c r="Z79" s="1">
        <v>616548.531482158</v>
      </c>
      <c r="AA79" s="1">
        <v>457647.86156701902</v>
      </c>
      <c r="AB79" s="1" t="s">
        <v>305</v>
      </c>
      <c r="AC79">
        <f t="shared" si="50"/>
        <v>1.3705475622119751E-4</v>
      </c>
      <c r="AD79">
        <f t="shared" si="56"/>
        <v>7.9202655030982382E-5</v>
      </c>
      <c r="AE79">
        <f t="shared" si="57"/>
        <v>1.6235355250899963E-4</v>
      </c>
      <c r="AF79">
        <f t="shared" si="58"/>
        <v>5.1893765155425706E-5</v>
      </c>
      <c r="AG79">
        <f t="shared" si="59"/>
        <v>1.6269134801585934E-4</v>
      </c>
      <c r="AH79">
        <f t="shared" si="60"/>
        <v>6.4206996994815469E-5</v>
      </c>
      <c r="AI79">
        <f t="shared" si="61"/>
        <v>1.2872473147091198E-4</v>
      </c>
      <c r="AJ79">
        <f t="shared" si="62"/>
        <v>9.4060747649017014E-5</v>
      </c>
      <c r="AK79">
        <f t="shared" si="63"/>
        <v>4.3488644378638279E-5</v>
      </c>
      <c r="AL79">
        <f t="shared" si="64"/>
        <v>2.6046162712272709E-4</v>
      </c>
      <c r="AM79">
        <f t="shared" si="65"/>
        <v>7.326645645648796E-4</v>
      </c>
      <c r="AN79">
        <f t="shared" si="66"/>
        <v>1.5332040525751285E-3</v>
      </c>
      <c r="AO79">
        <f t="shared" si="67"/>
        <v>5.932641836884828E-5</v>
      </c>
      <c r="AP79">
        <f t="shared" si="68"/>
        <v>7.4689341548620715E-5</v>
      </c>
      <c r="AQ79">
        <f t="shared" si="69"/>
        <v>6.1103586345950513E-5</v>
      </c>
      <c r="AR79" s="1"/>
      <c r="AS79" s="1">
        <f t="shared" si="51"/>
        <v>4.8415686800398582E-4</v>
      </c>
      <c r="AT79" s="1">
        <f t="shared" si="52"/>
        <v>7.8985242738253329E-5</v>
      </c>
      <c r="AU79" s="1">
        <f t="shared" si="53"/>
        <v>8.8758041166189089E-5</v>
      </c>
      <c r="AV79" s="1">
        <f t="shared" si="54"/>
        <v>0.16313977546963784</v>
      </c>
      <c r="AW79" s="1">
        <f t="shared" si="55"/>
        <v>0.18332496558833983</v>
      </c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</row>
    <row r="80" spans="1:91" hidden="1">
      <c r="A80" s="1" t="s">
        <v>300</v>
      </c>
      <c r="B80" s="1" t="s">
        <v>101</v>
      </c>
      <c r="C80" s="1" t="s">
        <v>102</v>
      </c>
      <c r="D80" s="1">
        <v>-0.56000000000000005</v>
      </c>
      <c r="E80" s="1">
        <v>175.06323</v>
      </c>
      <c r="F80" s="1">
        <v>1.1140000000000001</v>
      </c>
      <c r="G80" s="1">
        <f t="shared" si="47"/>
        <v>1975576.2364239607</v>
      </c>
      <c r="H80" s="1">
        <f t="shared" si="48"/>
        <v>14864618.5082015</v>
      </c>
      <c r="I80" s="1">
        <f t="shared" si="49"/>
        <v>2.7552815183701034E-4</v>
      </c>
      <c r="J80" s="1" t="e">
        <f>G80/#REF!</f>
        <v>#REF!</v>
      </c>
      <c r="K80" s="1" t="e">
        <f>H80/#REF!</f>
        <v>#REF!</v>
      </c>
      <c r="L80" s="1">
        <v>80.7</v>
      </c>
      <c r="M80" s="1">
        <v>547559.78181953297</v>
      </c>
      <c r="N80" s="1">
        <v>65185.0279553316</v>
      </c>
      <c r="O80" s="1">
        <v>366745.22118847899</v>
      </c>
      <c r="P80" s="1">
        <v>107916.390056894</v>
      </c>
      <c r="Q80" s="1">
        <v>59023.101786361403</v>
      </c>
      <c r="R80" s="1">
        <v>14864618.5082015</v>
      </c>
      <c r="S80" s="1">
        <v>186536.56683518799</v>
      </c>
      <c r="T80" s="1">
        <v>1042143.65151177</v>
      </c>
      <c r="U80" s="1">
        <v>129254.075521445</v>
      </c>
      <c r="V80" s="1">
        <v>2426272.2461899598</v>
      </c>
      <c r="W80" s="1">
        <v>2599570.3167333398</v>
      </c>
      <c r="X80" s="1">
        <v>5582585.1567933699</v>
      </c>
      <c r="Y80" s="1">
        <v>646767.65047369897</v>
      </c>
      <c r="Z80" s="1">
        <v>369164.00072009501</v>
      </c>
      <c r="AA80" s="1">
        <v>640301.85057244496</v>
      </c>
      <c r="AB80" s="1" t="s">
        <v>300</v>
      </c>
      <c r="AC80">
        <f t="shared" si="50"/>
        <v>1.2442254403483241E-4</v>
      </c>
      <c r="AD80">
        <f t="shared" si="56"/>
        <v>1.1284266906343197E-5</v>
      </c>
      <c r="AE80">
        <f t="shared" si="57"/>
        <v>9.3038684320576523E-5</v>
      </c>
      <c r="AF80">
        <f t="shared" si="58"/>
        <v>2.4609471508409215E-5</v>
      </c>
      <c r="AG80">
        <f t="shared" si="59"/>
        <v>1.1662343151843395E-5</v>
      </c>
      <c r="AH80">
        <f t="shared" si="60"/>
        <v>1.2764334419270371E-3</v>
      </c>
      <c r="AI80">
        <f t="shared" si="61"/>
        <v>3.3698046331249961E-5</v>
      </c>
      <c r="AJ80">
        <f t="shared" si="62"/>
        <v>1.5161784525069606E-4</v>
      </c>
      <c r="AK80">
        <f t="shared" si="63"/>
        <v>1.8879916516702785E-5</v>
      </c>
      <c r="AL80">
        <f t="shared" si="64"/>
        <v>2.4764229517002954E-4</v>
      </c>
      <c r="AM80">
        <f t="shared" si="65"/>
        <v>2.278180859992239E-4</v>
      </c>
      <c r="AN80">
        <f t="shared" si="66"/>
        <v>6.7520661118504477E-4</v>
      </c>
      <c r="AO80">
        <f t="shared" si="67"/>
        <v>8.2229458986220452E-5</v>
      </c>
      <c r="AP80">
        <f t="shared" si="68"/>
        <v>4.4720917704491113E-5</v>
      </c>
      <c r="AQ80">
        <f t="shared" si="69"/>
        <v>8.549092588340606E-5</v>
      </c>
      <c r="AR80" s="1"/>
      <c r="AS80" s="1">
        <f t="shared" si="51"/>
        <v>2.2990208126934174E-4</v>
      </c>
      <c r="AT80" s="1">
        <f t="shared" si="52"/>
        <v>2.5419109319356785E-4</v>
      </c>
      <c r="AU80" s="1">
        <f t="shared" si="53"/>
        <v>6.8065269366216269E-5</v>
      </c>
      <c r="AV80" s="1">
        <f t="shared" si="54"/>
        <v>1.1056493781618719</v>
      </c>
      <c r="AW80" s="1">
        <f t="shared" si="55"/>
        <v>0.29606199730951727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</row>
    <row r="81" spans="1:91" hidden="1">
      <c r="A81" s="1" t="s">
        <v>293</v>
      </c>
      <c r="B81" s="1" t="s">
        <v>67</v>
      </c>
      <c r="C81" s="1" t="s">
        <v>68</v>
      </c>
      <c r="D81" s="1">
        <v>-0.03</v>
      </c>
      <c r="E81" s="1">
        <v>402.13146</v>
      </c>
      <c r="F81" s="1">
        <v>0.97899999999999998</v>
      </c>
      <c r="G81" s="1">
        <f t="shared" si="47"/>
        <v>1857201.0860120265</v>
      </c>
      <c r="H81" s="1">
        <f t="shared" si="48"/>
        <v>16691060.5743214</v>
      </c>
      <c r="I81" s="1">
        <f t="shared" si="49"/>
        <v>2.5901869711940004E-4</v>
      </c>
      <c r="J81" s="1" t="e">
        <f>G81/#REF!</f>
        <v>#REF!</v>
      </c>
      <c r="K81" s="1" t="e">
        <f>H81/#REF!</f>
        <v>#REF!</v>
      </c>
      <c r="L81" s="1">
        <v>81.3</v>
      </c>
      <c r="M81" s="1">
        <v>16691060.5743214</v>
      </c>
      <c r="N81" s="1">
        <v>946831.46800891706</v>
      </c>
      <c r="O81" s="1">
        <v>579105.28619696503</v>
      </c>
      <c r="P81" s="1">
        <v>599264.19183539203</v>
      </c>
      <c r="Q81" s="1">
        <v>398185.832907287</v>
      </c>
      <c r="R81" s="1">
        <v>846012.04092309403</v>
      </c>
      <c r="S81" s="1">
        <v>632933.964060219</v>
      </c>
      <c r="T81" s="1">
        <v>1419567.29124161</v>
      </c>
      <c r="U81" s="1">
        <v>892374.40548244701</v>
      </c>
      <c r="V81" s="1">
        <v>770688.59068054403</v>
      </c>
      <c r="W81" s="1">
        <v>695145.69755273196</v>
      </c>
      <c r="X81" s="1">
        <v>895958.010796619</v>
      </c>
      <c r="Y81" s="1">
        <v>464796.93146810401</v>
      </c>
      <c r="Z81" s="1">
        <v>1049060.2583993201</v>
      </c>
      <c r="AA81" s="1">
        <v>977031.74630575301</v>
      </c>
      <c r="AB81" s="1" t="s">
        <v>293</v>
      </c>
      <c r="AC81">
        <f t="shared" si="50"/>
        <v>3.7927259967771368E-3</v>
      </c>
      <c r="AD81">
        <f t="shared" si="56"/>
        <v>1.6390725501657906E-4</v>
      </c>
      <c r="AE81">
        <f t="shared" si="57"/>
        <v>1.4691178179842394E-4</v>
      </c>
      <c r="AF81">
        <f t="shared" si="58"/>
        <v>1.3665741642402944E-4</v>
      </c>
      <c r="AG81">
        <f t="shared" si="59"/>
        <v>7.8677326013395065E-5</v>
      </c>
      <c r="AH81">
        <f t="shared" si="60"/>
        <v>7.2647546300052271E-5</v>
      </c>
      <c r="AI81">
        <f t="shared" si="61"/>
        <v>1.1434025192694581E-4</v>
      </c>
      <c r="AJ81">
        <f t="shared" si="62"/>
        <v>2.0652789428232619E-4</v>
      </c>
      <c r="AK81">
        <f t="shared" si="63"/>
        <v>1.3034756706263841E-4</v>
      </c>
      <c r="AL81">
        <f t="shared" si="64"/>
        <v>7.8661861527365789E-5</v>
      </c>
      <c r="AM81">
        <f t="shared" si="65"/>
        <v>6.0920361064156519E-5</v>
      </c>
      <c r="AN81">
        <f t="shared" si="66"/>
        <v>1.0836498776877866E-4</v>
      </c>
      <c r="AO81">
        <f t="shared" si="67"/>
        <v>5.909386498394728E-5</v>
      </c>
      <c r="AP81">
        <f t="shared" si="68"/>
        <v>1.2708426984054627E-4</v>
      </c>
      <c r="AQ81">
        <f t="shared" si="69"/>
        <v>1.3044995658607656E-4</v>
      </c>
      <c r="AR81" s="1"/>
      <c r="AS81" s="1">
        <f t="shared" si="51"/>
        <v>7.2524870732540686E-4</v>
      </c>
      <c r="AT81" s="1">
        <f t="shared" si="52"/>
        <v>1.0076839669134113E-4</v>
      </c>
      <c r="AU81" s="1">
        <f t="shared" si="53"/>
        <v>1.5040523775730348E-4</v>
      </c>
      <c r="AV81" s="1">
        <f t="shared" si="54"/>
        <v>0.1389432282657321</v>
      </c>
      <c r="AW81" s="1">
        <f t="shared" si="55"/>
        <v>0.20738435827341528</v>
      </c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</row>
    <row r="82" spans="1:91" hidden="1">
      <c r="A82" s="1" t="s">
        <v>323</v>
      </c>
      <c r="B82" s="1" t="s">
        <v>154</v>
      </c>
      <c r="C82" s="1" t="s">
        <v>155</v>
      </c>
      <c r="D82" s="1">
        <v>-0.52</v>
      </c>
      <c r="E82" s="1">
        <v>292.20368999999999</v>
      </c>
      <c r="F82" s="1">
        <v>1.014</v>
      </c>
      <c r="G82" s="1">
        <f t="shared" si="47"/>
        <v>1841464.0720561144</v>
      </c>
      <c r="H82" s="1">
        <f t="shared" si="48"/>
        <v>5169034.2618876901</v>
      </c>
      <c r="I82" s="1">
        <f t="shared" si="49"/>
        <v>2.5682389932280659E-4</v>
      </c>
      <c r="J82" s="1" t="e">
        <f>G82/#REF!</f>
        <v>#REF!</v>
      </c>
      <c r="K82" s="1" t="e">
        <f>H82/#REF!</f>
        <v>#REF!</v>
      </c>
      <c r="L82" s="1">
        <v>74.599999999999994</v>
      </c>
      <c r="M82" s="1">
        <v>1934122.65033286</v>
      </c>
      <c r="N82" s="1">
        <v>1200679.923615</v>
      </c>
      <c r="O82" s="1">
        <v>1272258.08421913</v>
      </c>
      <c r="P82" s="1">
        <v>925056.59326174704</v>
      </c>
      <c r="Q82" s="1">
        <v>1466967.0620629501</v>
      </c>
      <c r="R82" s="1">
        <v>2688903.57126662</v>
      </c>
      <c r="S82" s="1">
        <v>3393290.3271087199</v>
      </c>
      <c r="T82" s="1">
        <v>5169034.2618876901</v>
      </c>
      <c r="U82" s="1">
        <v>1614609.4653720299</v>
      </c>
      <c r="V82" s="1">
        <v>794194.47478096804</v>
      </c>
      <c r="W82" s="1">
        <v>1616771.87073666</v>
      </c>
      <c r="X82" s="1">
        <v>1825016.50252313</v>
      </c>
      <c r="Y82" s="1">
        <v>798127.31188010704</v>
      </c>
      <c r="Z82" s="1">
        <v>1117772.81647062</v>
      </c>
      <c r="AA82" s="1">
        <v>1805156.16532348</v>
      </c>
      <c r="AB82" s="1" t="s">
        <v>323</v>
      </c>
      <c r="AC82">
        <f t="shared" si="50"/>
        <v>4.3949257892925559E-4</v>
      </c>
      <c r="AD82">
        <f t="shared" si="56"/>
        <v>2.0785129886641772E-4</v>
      </c>
      <c r="AE82">
        <f t="shared" si="57"/>
        <v>3.2275599362515582E-4</v>
      </c>
      <c r="AF82">
        <f t="shared" si="58"/>
        <v>2.1095177353077846E-4</v>
      </c>
      <c r="AG82">
        <f t="shared" si="59"/>
        <v>2.8985723813964177E-4</v>
      </c>
      <c r="AH82">
        <f t="shared" si="60"/>
        <v>2.3089771450158955E-4</v>
      </c>
      <c r="AI82">
        <f t="shared" si="61"/>
        <v>6.1300181834761684E-4</v>
      </c>
      <c r="AJ82">
        <f t="shared" si="62"/>
        <v>7.5202476710148868E-4</v>
      </c>
      <c r="AK82">
        <f t="shared" si="63"/>
        <v>2.3584317779012226E-4</v>
      </c>
      <c r="AL82">
        <f t="shared" si="64"/>
        <v>8.1061036268687857E-5</v>
      </c>
      <c r="AM82">
        <f t="shared" si="65"/>
        <v>1.4168875168241632E-4</v>
      </c>
      <c r="AN82">
        <f t="shared" si="66"/>
        <v>2.2073343682467637E-4</v>
      </c>
      <c r="AO82">
        <f t="shared" si="67"/>
        <v>1.0147319058082125E-4</v>
      </c>
      <c r="AP82">
        <f t="shared" si="68"/>
        <v>1.3540818183840539E-4</v>
      </c>
      <c r="AQ82">
        <f t="shared" si="69"/>
        <v>2.4101831315913487E-4</v>
      </c>
      <c r="AR82" s="1"/>
      <c r="AS82" s="1">
        <f t="shared" si="51"/>
        <v>2.3559718269943491E-4</v>
      </c>
      <c r="AT82" s="1">
        <f t="shared" si="52"/>
        <v>2.0160106862506191E-4</v>
      </c>
      <c r="AU82" s="1">
        <f t="shared" si="53"/>
        <v>5.33623254413076E-4</v>
      </c>
      <c r="AV82" s="1">
        <f t="shared" si="54"/>
        <v>0.85570237434569063</v>
      </c>
      <c r="AW82" s="1">
        <f t="shared" si="55"/>
        <v>2.2649814751556274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</row>
    <row r="83" spans="1:91" hidden="1">
      <c r="A83" s="1" t="s">
        <v>315</v>
      </c>
      <c r="B83" s="1" t="s">
        <v>130</v>
      </c>
      <c r="C83" s="1" t="s">
        <v>131</v>
      </c>
      <c r="D83" s="1">
        <v>0.77</v>
      </c>
      <c r="E83" s="1">
        <v>171.16245000000001</v>
      </c>
      <c r="F83" s="1">
        <v>0.98099999999999998</v>
      </c>
      <c r="G83" s="1">
        <f t="shared" si="47"/>
        <v>1789943.1874999921</v>
      </c>
      <c r="H83" s="1">
        <f t="shared" si="48"/>
        <v>6303900.7352456497</v>
      </c>
      <c r="I83" s="1">
        <f t="shared" si="49"/>
        <v>2.4963842409738481E-4</v>
      </c>
      <c r="J83" s="1" t="e">
        <f>G83/#REF!</f>
        <v>#REF!</v>
      </c>
      <c r="K83" s="1" t="e">
        <f>H83/#REF!</f>
        <v>#REF!</v>
      </c>
      <c r="L83" s="1">
        <v>56.9</v>
      </c>
      <c r="M83" s="1">
        <v>6303900.7352456497</v>
      </c>
      <c r="N83" s="1">
        <v>760437.94122617401</v>
      </c>
      <c r="O83" s="1">
        <v>1433136.61376845</v>
      </c>
      <c r="P83" s="1">
        <v>1732845.7796980001</v>
      </c>
      <c r="Q83" s="1">
        <v>1102187.0878105401</v>
      </c>
      <c r="R83" s="1">
        <v>1973590.43353297</v>
      </c>
      <c r="S83" s="1">
        <v>1188633.8734415399</v>
      </c>
      <c r="T83" s="1">
        <v>1337556.609807</v>
      </c>
      <c r="U83" s="1">
        <v>1945607.0257785199</v>
      </c>
      <c r="V83" s="1">
        <v>1047022.13159528</v>
      </c>
      <c r="W83" s="1">
        <v>2110214.5647060298</v>
      </c>
      <c r="X83" s="1">
        <v>800184.28000847599</v>
      </c>
      <c r="Y83" s="1">
        <v>631451.769014708</v>
      </c>
      <c r="Z83" s="1">
        <v>903803.43253880995</v>
      </c>
      <c r="AA83" s="1">
        <v>3578575.5343277301</v>
      </c>
      <c r="AB83" s="1" t="s">
        <v>315</v>
      </c>
      <c r="AC83">
        <f t="shared" si="50"/>
        <v>1.4324415212087706E-3</v>
      </c>
      <c r="AD83">
        <f t="shared" si="56"/>
        <v>1.3164042363204072E-4</v>
      </c>
      <c r="AE83">
        <f t="shared" si="57"/>
        <v>3.6356886823110836E-4</v>
      </c>
      <c r="AF83">
        <f t="shared" si="58"/>
        <v>3.9516165080635807E-4</v>
      </c>
      <c r="AG83">
        <f t="shared" si="59"/>
        <v>2.1778055789246388E-4</v>
      </c>
      <c r="AH83">
        <f t="shared" si="60"/>
        <v>1.6947335908007504E-4</v>
      </c>
      <c r="AI83">
        <f t="shared" si="61"/>
        <v>2.1472808263655826E-4</v>
      </c>
      <c r="AJ83">
        <f t="shared" si="62"/>
        <v>1.9459644626302559E-4</v>
      </c>
      <c r="AK83">
        <f t="shared" si="63"/>
        <v>2.8419141193667335E-4</v>
      </c>
      <c r="AL83">
        <f t="shared" si="64"/>
        <v>1.0686639315486427E-4</v>
      </c>
      <c r="AM83">
        <f t="shared" si="65"/>
        <v>1.849325021464027E-4</v>
      </c>
      <c r="AN83">
        <f t="shared" si="66"/>
        <v>9.6781276210466222E-5</v>
      </c>
      <c r="AO83">
        <f t="shared" si="67"/>
        <v>8.0282211554553906E-5</v>
      </c>
      <c r="AP83">
        <f t="shared" si="68"/>
        <v>1.094877042419173E-4</v>
      </c>
      <c r="AQ83">
        <f t="shared" si="69"/>
        <v>4.7779923718769266E-4</v>
      </c>
      <c r="AR83" s="1"/>
      <c r="AS83" s="1">
        <f t="shared" si="51"/>
        <v>3.8603849743060881E-4</v>
      </c>
      <c r="AT83" s="1">
        <f t="shared" si="52"/>
        <v>2.4166412012717681E-4</v>
      </c>
      <c r="AU83" s="1">
        <f t="shared" si="53"/>
        <v>2.3117198027875242E-4</v>
      </c>
      <c r="AV83" s="1">
        <f t="shared" si="54"/>
        <v>0.62601041537474234</v>
      </c>
      <c r="AW83" s="1">
        <f t="shared" si="55"/>
        <v>0.59883141660063588</v>
      </c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</row>
    <row r="84" spans="1:91" hidden="1">
      <c r="A84" s="1" t="s">
        <v>289</v>
      </c>
      <c r="B84" s="1" t="s">
        <v>65</v>
      </c>
      <c r="C84" s="1" t="s">
        <v>66</v>
      </c>
      <c r="D84" s="1">
        <v>0.28999999999999998</v>
      </c>
      <c r="E84" s="1">
        <v>111.06845</v>
      </c>
      <c r="F84" s="1">
        <v>4.6369999999999996</v>
      </c>
      <c r="G84" s="1">
        <f t="shared" si="47"/>
        <v>1745619.0385334196</v>
      </c>
      <c r="H84" s="1">
        <f t="shared" si="48"/>
        <v>21019156.127122901</v>
      </c>
      <c r="I84" s="1">
        <f t="shared" si="49"/>
        <v>2.4345665767331896E-4</v>
      </c>
      <c r="J84" s="1" t="e">
        <f>G84/#REF!</f>
        <v>#REF!</v>
      </c>
      <c r="K84" s="1" t="e">
        <f>H84/#REF!</f>
        <v>#REF!</v>
      </c>
      <c r="L84" s="1">
        <v>70.2</v>
      </c>
      <c r="M84" s="1">
        <v>2081424.9574609899</v>
      </c>
      <c r="N84" s="1">
        <v>290897.41034997202</v>
      </c>
      <c r="O84" s="1">
        <v>220785.48696589601</v>
      </c>
      <c r="P84" s="1">
        <v>155663.463378179</v>
      </c>
      <c r="Q84" s="1">
        <v>124493.05963980001</v>
      </c>
      <c r="R84" s="1">
        <v>1141814.46800228</v>
      </c>
      <c r="S84" s="1">
        <v>308668.87331546698</v>
      </c>
      <c r="T84" s="1">
        <v>177931.90281833499</v>
      </c>
      <c r="U84" s="1">
        <v>21019156.127122901</v>
      </c>
      <c r="V84" s="1">
        <v>155171.504540302</v>
      </c>
      <c r="W84" s="1">
        <v>63549.821817230099</v>
      </c>
      <c r="X84" s="1">
        <v>78913.742807360497</v>
      </c>
      <c r="Y84" s="1">
        <v>81207.876396963096</v>
      </c>
      <c r="Z84" s="1">
        <v>179464.08645266001</v>
      </c>
      <c r="AA84" s="1">
        <v>105142.79693295799</v>
      </c>
      <c r="AB84" s="1" t="s">
        <v>289</v>
      </c>
      <c r="AC84">
        <f t="shared" si="50"/>
        <v>4.7296422605092584E-4</v>
      </c>
      <c r="AD84">
        <f t="shared" si="56"/>
        <v>5.0357637692546845E-5</v>
      </c>
      <c r="AE84">
        <f t="shared" si="57"/>
        <v>5.6010521848975789E-5</v>
      </c>
      <c r="AF84">
        <f t="shared" si="58"/>
        <v>3.5497810526148852E-5</v>
      </c>
      <c r="AG84">
        <f t="shared" si="59"/>
        <v>2.4598517150071943E-5</v>
      </c>
      <c r="AH84">
        <f t="shared" si="60"/>
        <v>9.8048272858808729E-5</v>
      </c>
      <c r="AI84">
        <f t="shared" si="61"/>
        <v>5.5761388613898308E-5</v>
      </c>
      <c r="AJ84">
        <f t="shared" si="62"/>
        <v>2.5886691981031102E-5</v>
      </c>
      <c r="AK84">
        <f t="shared" si="63"/>
        <v>3.0702313356903098E-3</v>
      </c>
      <c r="AL84">
        <f t="shared" si="64"/>
        <v>1.5837887767825742E-5</v>
      </c>
      <c r="AM84">
        <f t="shared" si="65"/>
        <v>5.5693045419083366E-6</v>
      </c>
      <c r="AN84">
        <f t="shared" si="66"/>
        <v>9.5445173446296014E-6</v>
      </c>
      <c r="AO84">
        <f t="shared" si="67"/>
        <v>1.0324696568622964E-5</v>
      </c>
      <c r="AP84">
        <f t="shared" si="68"/>
        <v>2.1740469345618433E-5</v>
      </c>
      <c r="AQ84">
        <f t="shared" si="69"/>
        <v>1.4038308731629256E-5</v>
      </c>
      <c r="AR84" s="1"/>
      <c r="AS84" s="1">
        <f t="shared" si="51"/>
        <v>1.017140158744687E-4</v>
      </c>
      <c r="AT84" s="1">
        <f t="shared" si="52"/>
        <v>3.4041345863483362E-5</v>
      </c>
      <c r="AU84" s="1">
        <f t="shared" si="53"/>
        <v>1.0506264720950796E-3</v>
      </c>
      <c r="AV84" s="1">
        <f t="shared" si="54"/>
        <v>0.33467704102348889</v>
      </c>
      <c r="AW84" s="1">
        <f t="shared" si="55"/>
        <v>10.329220246221722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</row>
    <row r="85" spans="1:91" hidden="1">
      <c r="A85" s="1" t="s">
        <v>294</v>
      </c>
      <c r="B85" s="1" t="s">
        <v>214</v>
      </c>
      <c r="C85" s="1" t="s">
        <v>121</v>
      </c>
      <c r="D85" s="1">
        <v>1.02</v>
      </c>
      <c r="E85" s="1">
        <v>143.09477000000001</v>
      </c>
      <c r="F85" s="1">
        <v>3.7029999999999998</v>
      </c>
      <c r="G85" s="1">
        <f t="shared" si="47"/>
        <v>1569165.11874729</v>
      </c>
      <c r="H85" s="1">
        <f t="shared" si="48"/>
        <v>16216040.3818422</v>
      </c>
      <c r="I85" s="1">
        <f t="shared" si="49"/>
        <v>2.1884711767851064E-4</v>
      </c>
      <c r="J85" s="1" t="e">
        <f>G85/#REF!</f>
        <v>#REF!</v>
      </c>
      <c r="K85" s="1" t="e">
        <f>H85/#REF!</f>
        <v>#REF!</v>
      </c>
      <c r="L85" s="1">
        <v>66.3</v>
      </c>
      <c r="M85" s="1">
        <v>57329.417046496703</v>
      </c>
      <c r="N85" s="1">
        <v>16216040.3818422</v>
      </c>
      <c r="O85" s="1">
        <v>210026.30201051899</v>
      </c>
      <c r="P85" s="1">
        <v>67278.652095631798</v>
      </c>
      <c r="Q85" s="1">
        <v>545643.34595650097</v>
      </c>
      <c r="R85" s="1">
        <v>274496.32439500297</v>
      </c>
      <c r="S85" s="1">
        <v>173629.625545421</v>
      </c>
      <c r="T85" s="1">
        <v>262616.79479579697</v>
      </c>
      <c r="U85" s="1">
        <v>300965.15995968803</v>
      </c>
      <c r="V85" s="1">
        <v>2014775.14479788</v>
      </c>
      <c r="W85" s="1">
        <v>184675.85439010401</v>
      </c>
      <c r="X85" s="1">
        <v>2714074.3292044001</v>
      </c>
      <c r="Y85" s="1">
        <v>168537.52133524499</v>
      </c>
      <c r="Z85" s="1">
        <v>183095.10694248701</v>
      </c>
      <c r="AA85" s="1">
        <v>164292.82089197601</v>
      </c>
      <c r="AB85" s="1" t="s">
        <v>294</v>
      </c>
      <c r="AC85">
        <f t="shared" si="50"/>
        <v>1.302701943019978E-5</v>
      </c>
      <c r="AD85">
        <f t="shared" si="56"/>
        <v>2.8071803230358219E-3</v>
      </c>
      <c r="AE85">
        <f t="shared" si="57"/>
        <v>5.3281050938990649E-5</v>
      </c>
      <c r="AF85">
        <f t="shared" si="58"/>
        <v>1.5342359682331279E-5</v>
      </c>
      <c r="AG85">
        <f t="shared" si="59"/>
        <v>1.078133772450288E-4</v>
      </c>
      <c r="AH85">
        <f t="shared" si="60"/>
        <v>2.3571159121945531E-5</v>
      </c>
      <c r="AI85">
        <f t="shared" si="61"/>
        <v>3.1366392474011479E-5</v>
      </c>
      <c r="AJ85">
        <f t="shared" si="62"/>
        <v>3.8207201565563877E-5</v>
      </c>
      <c r="AK85">
        <f t="shared" si="63"/>
        <v>4.3961453993241832E-5</v>
      </c>
      <c r="AL85">
        <f t="shared" si="64"/>
        <v>2.056420263195031E-4</v>
      </c>
      <c r="AM85">
        <f t="shared" si="65"/>
        <v>1.6184405325220754E-5</v>
      </c>
      <c r="AN85">
        <f t="shared" si="66"/>
        <v>3.2826385605536329E-4</v>
      </c>
      <c r="AO85">
        <f t="shared" si="67"/>
        <v>2.1427709298888863E-5</v>
      </c>
      <c r="AP85">
        <f t="shared" si="68"/>
        <v>2.2180335010179792E-5</v>
      </c>
      <c r="AQ85">
        <f t="shared" si="69"/>
        <v>2.193581880404465E-5</v>
      </c>
      <c r="AR85" s="1"/>
      <c r="AS85" s="1">
        <f t="shared" si="51"/>
        <v>5.7059644685084987E-4</v>
      </c>
      <c r="AT85" s="1">
        <f t="shared" si="52"/>
        <v>3.5378459860403147E-5</v>
      </c>
      <c r="AU85" s="1">
        <f t="shared" si="53"/>
        <v>3.7845016010939069E-5</v>
      </c>
      <c r="AV85" s="1">
        <f t="shared" si="54"/>
        <v>6.2002594049890468E-2</v>
      </c>
      <c r="AW85" s="1">
        <f t="shared" si="55"/>
        <v>6.6325362206174951E-2</v>
      </c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</row>
    <row r="86" spans="1:91" hidden="1">
      <c r="A86" s="1" t="s">
        <v>318</v>
      </c>
      <c r="B86" s="1" t="s">
        <v>63</v>
      </c>
      <c r="C86" s="1" t="s">
        <v>64</v>
      </c>
      <c r="D86" s="1">
        <v>-0.33</v>
      </c>
      <c r="E86" s="1">
        <v>205.13133999999999</v>
      </c>
      <c r="F86" s="1">
        <v>1.593</v>
      </c>
      <c r="G86" s="1">
        <f t="shared" si="47"/>
        <v>1438831.2267557769</v>
      </c>
      <c r="H86" s="1">
        <f t="shared" si="48"/>
        <v>6132005.9282475105</v>
      </c>
      <c r="I86" s="1">
        <f t="shared" si="49"/>
        <v>2.0066981035923002E-4</v>
      </c>
      <c r="J86" s="1" t="e">
        <f>G86/#REF!</f>
        <v>#REF!</v>
      </c>
      <c r="K86" s="1" t="e">
        <f>H86/#REF!</f>
        <v>#REF!</v>
      </c>
      <c r="L86" s="1">
        <v>86.6</v>
      </c>
      <c r="M86" s="1">
        <v>975676.52449358394</v>
      </c>
      <c r="N86" s="1">
        <v>53167.870003548996</v>
      </c>
      <c r="O86" s="1">
        <v>278463.21050123603</v>
      </c>
      <c r="P86" s="1">
        <v>471986.232908862</v>
      </c>
      <c r="Q86" s="1">
        <v>42312.375450566702</v>
      </c>
      <c r="R86" s="1">
        <v>2206351.1840558401</v>
      </c>
      <c r="S86" s="1">
        <v>360769.28532387002</v>
      </c>
      <c r="T86" s="1">
        <v>464198.76552624197</v>
      </c>
      <c r="U86" s="1">
        <v>301025.69683486101</v>
      </c>
      <c r="V86" s="1">
        <v>653526.16895676102</v>
      </c>
      <c r="W86" s="1">
        <v>2069130.72917103</v>
      </c>
      <c r="X86" s="1">
        <v>3147589.6791060301</v>
      </c>
      <c r="Y86" s="1">
        <v>1735922.41984567</v>
      </c>
      <c r="Z86" s="1">
        <v>6132005.9282475105</v>
      </c>
      <c r="AA86" s="1">
        <v>2690342.3309110398</v>
      </c>
      <c r="AB86" s="1" t="s">
        <v>318</v>
      </c>
      <c r="AC86">
        <f t="shared" si="50"/>
        <v>2.2170392962236489E-4</v>
      </c>
      <c r="AD86">
        <f t="shared" si="56"/>
        <v>9.2039607066354465E-6</v>
      </c>
      <c r="AE86">
        <f t="shared" si="57"/>
        <v>7.0642640285158869E-5</v>
      </c>
      <c r="AF86">
        <f t="shared" si="58"/>
        <v>1.0763269365300655E-4</v>
      </c>
      <c r="AG86">
        <f t="shared" si="59"/>
        <v>8.3604796620188541E-6</v>
      </c>
      <c r="AH86">
        <f t="shared" si="60"/>
        <v>1.8946066018514556E-4</v>
      </c>
      <c r="AI86">
        <f t="shared" si="61"/>
        <v>6.5173388242301393E-5</v>
      </c>
      <c r="AJ86">
        <f t="shared" si="62"/>
        <v>6.7534659444525754E-5</v>
      </c>
      <c r="AK86">
        <f t="shared" si="63"/>
        <v>4.3970296508611949E-5</v>
      </c>
      <c r="AL86">
        <f t="shared" si="64"/>
        <v>6.670344627989363E-5</v>
      </c>
      <c r="AM86">
        <f t="shared" si="65"/>
        <v>1.8133204528749687E-4</v>
      </c>
      <c r="AN86">
        <f t="shared" si="66"/>
        <v>3.8069698910799232E-4</v>
      </c>
      <c r="AO86">
        <f t="shared" si="67"/>
        <v>2.2070361948593593E-4</v>
      </c>
      <c r="AP86">
        <f t="shared" si="68"/>
        <v>7.4283768716801974E-4</v>
      </c>
      <c r="AQ86">
        <f t="shared" si="69"/>
        <v>3.5920536010833061E-4</v>
      </c>
      <c r="AR86" s="1"/>
      <c r="AS86" s="1">
        <f t="shared" si="51"/>
        <v>1.5504716854825701E-4</v>
      </c>
      <c r="AT86" s="1">
        <f t="shared" si="52"/>
        <v>2.7136675004374287E-4</v>
      </c>
      <c r="AU86" s="1">
        <f t="shared" si="53"/>
        <v>5.8892781398479692E-5</v>
      </c>
      <c r="AV86" s="1">
        <f t="shared" si="54"/>
        <v>1.7502206108283909</v>
      </c>
      <c r="AW86" s="1">
        <f t="shared" si="55"/>
        <v>0.3798378387035804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</row>
    <row r="87" spans="1:91" hidden="1">
      <c r="A87" s="1" t="s">
        <v>312</v>
      </c>
      <c r="B87" s="1" t="s">
        <v>111</v>
      </c>
      <c r="C87" s="1" t="s">
        <v>112</v>
      </c>
      <c r="D87" s="1">
        <v>0.35</v>
      </c>
      <c r="E87" s="1">
        <v>337.33458000000002</v>
      </c>
      <c r="F87" s="1">
        <v>8.2579999999999991</v>
      </c>
      <c r="G87" s="1">
        <f t="shared" si="47"/>
        <v>1432938.2565818022</v>
      </c>
      <c r="H87" s="1">
        <f t="shared" si="48"/>
        <v>7541262.3062927099</v>
      </c>
      <c r="I87" s="1">
        <f t="shared" si="49"/>
        <v>1.9984793411323662E-4</v>
      </c>
      <c r="J87" s="1" t="e">
        <f>G87/#REF!</f>
        <v>#REF!</v>
      </c>
      <c r="K87" s="1" t="e">
        <f>H87/#REF!</f>
        <v>#REF!</v>
      </c>
      <c r="L87" s="1">
        <v>75.8</v>
      </c>
      <c r="M87" s="1">
        <v>758110.09435270005</v>
      </c>
      <c r="N87" s="1">
        <v>748033.31547186896</v>
      </c>
      <c r="O87" s="1">
        <v>723348.97910695605</v>
      </c>
      <c r="P87" s="1">
        <v>383546.61611856997</v>
      </c>
      <c r="Q87" s="1">
        <v>494580.54116275301</v>
      </c>
      <c r="R87" s="1">
        <v>7541262.3062927099</v>
      </c>
      <c r="S87" s="1">
        <v>466039.47874935798</v>
      </c>
      <c r="T87" s="1">
        <v>526870.68506450101</v>
      </c>
      <c r="U87" s="1">
        <v>1752406.8449062901</v>
      </c>
      <c r="V87" s="1">
        <v>1275263.40300142</v>
      </c>
      <c r="W87" s="1">
        <v>2545751.6212330302</v>
      </c>
      <c r="X87" s="1">
        <v>2452503.2123002401</v>
      </c>
      <c r="Y87" s="1">
        <v>608831.87717222294</v>
      </c>
      <c r="Z87" s="1">
        <v>615434.14619633101</v>
      </c>
      <c r="AA87" s="1">
        <v>602090.72759807704</v>
      </c>
      <c r="AB87" s="1" t="s">
        <v>312</v>
      </c>
      <c r="AC87">
        <f t="shared" si="50"/>
        <v>1.7226609720021063E-4</v>
      </c>
      <c r="AD87">
        <f t="shared" si="56"/>
        <v>1.2949304236558186E-4</v>
      </c>
      <c r="AE87">
        <f t="shared" si="57"/>
        <v>1.8350460601136674E-4</v>
      </c>
      <c r="AF87">
        <f t="shared" si="58"/>
        <v>8.7464744850531922E-5</v>
      </c>
      <c r="AG87">
        <f t="shared" si="59"/>
        <v>9.772390492356757E-5</v>
      </c>
      <c r="AH87">
        <f t="shared" si="60"/>
        <v>6.4757258296166582E-4</v>
      </c>
      <c r="AI87">
        <f t="shared" si="61"/>
        <v>8.4190570318381949E-5</v>
      </c>
      <c r="AJ87">
        <f t="shared" si="62"/>
        <v>7.6652578441903545E-5</v>
      </c>
      <c r="AK87">
        <f t="shared" si="63"/>
        <v>2.559709997665798E-4</v>
      </c>
      <c r="AL87">
        <f t="shared" si="64"/>
        <v>1.3016229178796303E-4</v>
      </c>
      <c r="AM87">
        <f t="shared" si="65"/>
        <v>2.2310158646046059E-4</v>
      </c>
      <c r="AN87">
        <f t="shared" si="66"/>
        <v>2.9662716042630954E-4</v>
      </c>
      <c r="AO87">
        <f t="shared" si="67"/>
        <v>7.7406338793799612E-5</v>
      </c>
      <c r="AP87">
        <f t="shared" si="68"/>
        <v>7.4554343735829234E-5</v>
      </c>
      <c r="AQ87">
        <f t="shared" si="69"/>
        <v>8.0389106672352868E-5</v>
      </c>
      <c r="AR87" s="1"/>
      <c r="AS87" s="1">
        <f t="shared" si="51"/>
        <v>1.8919246404198206E-4</v>
      </c>
      <c r="AT87" s="1">
        <f t="shared" si="52"/>
        <v>1.7751850365629117E-4</v>
      </c>
      <c r="AU87" s="1">
        <f t="shared" si="53"/>
        <v>1.3893804950895509E-4</v>
      </c>
      <c r="AV87" s="1">
        <f t="shared" si="54"/>
        <v>0.938295848913409</v>
      </c>
      <c r="AW87" s="1">
        <f t="shared" si="55"/>
        <v>0.73437412114958522</v>
      </c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</row>
    <row r="88" spans="1:91" hidden="1">
      <c r="A88" s="1" t="s">
        <v>330</v>
      </c>
      <c r="B88" s="1" t="s">
        <v>223</v>
      </c>
      <c r="C88" s="1" t="s">
        <v>224</v>
      </c>
      <c r="D88" s="1">
        <v>-0.81</v>
      </c>
      <c r="E88" s="1">
        <v>722.50919999999996</v>
      </c>
      <c r="F88" s="1">
        <v>1.349</v>
      </c>
      <c r="G88" s="1">
        <f t="shared" si="47"/>
        <v>1403207.1450819285</v>
      </c>
      <c r="H88" s="1">
        <f t="shared" si="48"/>
        <v>4213989.3060566699</v>
      </c>
      <c r="I88" s="1">
        <f t="shared" si="49"/>
        <v>1.9570141824987091E-4</v>
      </c>
      <c r="J88" s="1" t="e">
        <f>G88/#REF!</f>
        <v>#REF!</v>
      </c>
      <c r="K88" s="1" t="e">
        <f>H88/#REF!</f>
        <v>#REF!</v>
      </c>
      <c r="L88" s="1">
        <v>63.6</v>
      </c>
      <c r="M88" s="1">
        <v>182079.56188759199</v>
      </c>
      <c r="N88" s="1">
        <v>466329.73882743798</v>
      </c>
      <c r="O88" s="1">
        <v>167038.199333981</v>
      </c>
      <c r="P88" s="1">
        <v>143078.20533328201</v>
      </c>
      <c r="Q88" s="1">
        <v>1134446.0017196201</v>
      </c>
      <c r="R88" s="1">
        <v>401037.06106602598</v>
      </c>
      <c r="S88" s="1">
        <v>301044.34248727799</v>
      </c>
      <c r="T88" s="1">
        <v>400019.68067247601</v>
      </c>
      <c r="U88" s="1">
        <v>275878.65081824199</v>
      </c>
      <c r="V88" s="1">
        <v>3608126.5533274501</v>
      </c>
      <c r="W88" s="1">
        <v>4213989.3060566699</v>
      </c>
      <c r="X88" s="1">
        <v>4212846.44066332</v>
      </c>
      <c r="Y88" s="1">
        <v>1614242.6105909899</v>
      </c>
      <c r="Z88" s="1">
        <v>1666965.2486602999</v>
      </c>
      <c r="AA88" s="1">
        <v>2260985.5747842598</v>
      </c>
      <c r="AB88" s="1" t="s">
        <v>330</v>
      </c>
      <c r="AC88">
        <f t="shared" si="50"/>
        <v>4.1374116688264324E-5</v>
      </c>
      <c r="AD88">
        <f t="shared" si="56"/>
        <v>8.0726961456549032E-5</v>
      </c>
      <c r="AE88">
        <f t="shared" si="57"/>
        <v>4.2375505935563098E-5</v>
      </c>
      <c r="AF88">
        <f t="shared" si="58"/>
        <v>3.2627842867681159E-5</v>
      </c>
      <c r="AG88">
        <f t="shared" si="59"/>
        <v>2.2415457945905659E-4</v>
      </c>
      <c r="AH88">
        <f t="shared" si="60"/>
        <v>3.4437285821655869E-5</v>
      </c>
      <c r="AI88">
        <f t="shared" si="61"/>
        <v>5.4384008310070988E-5</v>
      </c>
      <c r="AJ88">
        <f t="shared" si="62"/>
        <v>5.819746822182445E-5</v>
      </c>
      <c r="AK88">
        <f t="shared" si="63"/>
        <v>4.029711152376651E-5</v>
      </c>
      <c r="AL88">
        <f t="shared" si="64"/>
        <v>3.6827060208641612E-4</v>
      </c>
      <c r="AM88">
        <f t="shared" si="65"/>
        <v>3.693006386276206E-4</v>
      </c>
      <c r="AN88">
        <f t="shared" si="66"/>
        <v>5.0953844657107908E-4</v>
      </c>
      <c r="AO88">
        <f t="shared" si="67"/>
        <v>2.0523335767362887E-4</v>
      </c>
      <c r="AP88">
        <f t="shared" si="68"/>
        <v>2.0193793424106723E-4</v>
      </c>
      <c r="AQ88">
        <f t="shared" si="69"/>
        <v>3.0187910596310506E-4</v>
      </c>
      <c r="AR88" s="1"/>
      <c r="AS88" s="1">
        <f t="shared" si="51"/>
        <v>2.3526437856091537E-4</v>
      </c>
      <c r="AT88" s="1">
        <f t="shared" si="52"/>
        <v>1.6671168433769916E-4</v>
      </c>
      <c r="AU88" s="1">
        <f t="shared" si="53"/>
        <v>5.095952935188732E-5</v>
      </c>
      <c r="AV88" s="1">
        <f t="shared" si="54"/>
        <v>0.70861422097750204</v>
      </c>
      <c r="AW88" s="1">
        <f t="shared" si="55"/>
        <v>0.21660537674084274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</row>
    <row r="89" spans="1:91" hidden="1">
      <c r="A89" s="1" t="s">
        <v>329</v>
      </c>
      <c r="B89" s="1" t="s">
        <v>55</v>
      </c>
      <c r="C89" s="1" t="s">
        <v>56</v>
      </c>
      <c r="D89" s="1">
        <v>-0.44</v>
      </c>
      <c r="E89" s="1">
        <v>162.04285999999999</v>
      </c>
      <c r="F89" s="1">
        <v>0.98399999999999999</v>
      </c>
      <c r="G89" s="1">
        <f t="shared" si="47"/>
        <v>1366527.1088849953</v>
      </c>
      <c r="H89" s="1">
        <f t="shared" si="48"/>
        <v>4279761.2620572699</v>
      </c>
      <c r="I89" s="1">
        <f t="shared" si="49"/>
        <v>1.9058575508470272E-4</v>
      </c>
      <c r="J89" s="1" t="e">
        <f>G89/#REF!</f>
        <v>#REF!</v>
      </c>
      <c r="K89" s="1" t="e">
        <f>H89/#REF!</f>
        <v>#REF!</v>
      </c>
      <c r="L89" s="1">
        <v>59.3</v>
      </c>
      <c r="M89" s="1">
        <v>1151751.0196825999</v>
      </c>
      <c r="N89" s="1">
        <v>1305286.4451101799</v>
      </c>
      <c r="O89" s="1">
        <v>932074.34157001704</v>
      </c>
      <c r="P89" s="1">
        <v>848913.72233351495</v>
      </c>
      <c r="Q89" s="1">
        <v>1240624.9032485499</v>
      </c>
      <c r="R89" s="1">
        <v>4279761.2620572699</v>
      </c>
      <c r="S89" s="1">
        <v>1039227.56590735</v>
      </c>
      <c r="T89" s="1">
        <v>1393201.0993760701</v>
      </c>
      <c r="U89" s="1">
        <v>1844764.09003923</v>
      </c>
      <c r="V89" s="1">
        <v>1320230.0193264</v>
      </c>
      <c r="W89" s="1">
        <v>1275315.1503183499</v>
      </c>
      <c r="X89" s="1">
        <v>1211066.23147298</v>
      </c>
      <c r="Y89" s="1">
        <v>860848.99323653302</v>
      </c>
      <c r="Z89" s="1">
        <v>1136740.2818090201</v>
      </c>
      <c r="AA89" s="1">
        <v>658101.50778686302</v>
      </c>
      <c r="AB89" s="1" t="s">
        <v>329</v>
      </c>
      <c r="AC89">
        <f t="shared" si="50"/>
        <v>2.6171350913944974E-4</v>
      </c>
      <c r="AD89">
        <f t="shared" si="56"/>
        <v>2.2595987296267521E-4</v>
      </c>
      <c r="AE89">
        <f t="shared" si="57"/>
        <v>2.3645562482755599E-4</v>
      </c>
      <c r="AF89">
        <f t="shared" si="58"/>
        <v>1.9358799948599329E-4</v>
      </c>
      <c r="AG89">
        <f t="shared" si="59"/>
        <v>2.4513441189141961E-4</v>
      </c>
      <c r="AH89">
        <f t="shared" si="60"/>
        <v>3.6750559022686414E-4</v>
      </c>
      <c r="AI89">
        <f t="shared" si="61"/>
        <v>1.8773766054995227E-4</v>
      </c>
      <c r="AJ89">
        <f t="shared" si="62"/>
        <v>2.0269196898323663E-4</v>
      </c>
      <c r="AK89">
        <f t="shared" si="63"/>
        <v>2.6946146086645635E-4</v>
      </c>
      <c r="AL89">
        <f t="shared" si="64"/>
        <v>1.3475189878290548E-4</v>
      </c>
      <c r="AM89">
        <f t="shared" si="65"/>
        <v>1.1176456921405222E-4</v>
      </c>
      <c r="AN89">
        <f t="shared" si="66"/>
        <v>1.4647692835969404E-4</v>
      </c>
      <c r="AO89">
        <f t="shared" si="67"/>
        <v>1.0944756889251876E-4</v>
      </c>
      <c r="AP89">
        <f t="shared" si="68"/>
        <v>1.3770592066127759E-4</v>
      </c>
      <c r="AQ89">
        <f t="shared" si="69"/>
        <v>8.7867475590872E-5</v>
      </c>
      <c r="AR89" s="1"/>
      <c r="AS89" s="1">
        <f t="shared" si="51"/>
        <v>1.8618706721438877E-4</v>
      </c>
      <c r="AT89" s="1">
        <f t="shared" si="52"/>
        <v>1.9020816112482421E-4</v>
      </c>
      <c r="AU89" s="1">
        <f t="shared" si="53"/>
        <v>2.1996369679988176E-4</v>
      </c>
      <c r="AV89" s="1">
        <f t="shared" si="54"/>
        <v>1.0215970634834979</v>
      </c>
      <c r="AW89" s="1">
        <f t="shared" si="55"/>
        <v>1.18141232949655</v>
      </c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</row>
    <row r="90" spans="1:91" hidden="1">
      <c r="A90" s="1" t="s">
        <v>331</v>
      </c>
      <c r="B90" s="1" t="s">
        <v>75</v>
      </c>
      <c r="C90" s="1" t="s">
        <v>76</v>
      </c>
      <c r="D90" s="1">
        <v>0.63</v>
      </c>
      <c r="E90" s="1">
        <v>162.11580000000001</v>
      </c>
      <c r="F90" s="1">
        <v>3.6240000000000001</v>
      </c>
      <c r="G90" s="1">
        <f t="shared" si="47"/>
        <v>1268224.1618115718</v>
      </c>
      <c r="H90" s="1">
        <f t="shared" si="48"/>
        <v>3999611.20010438</v>
      </c>
      <c r="I90" s="1">
        <f t="shared" si="49"/>
        <v>1.7687571503264204E-4</v>
      </c>
      <c r="J90" s="1" t="e">
        <f>G90/#REF!</f>
        <v>#REF!</v>
      </c>
      <c r="K90" s="1" t="e">
        <f>H90/#REF!</f>
        <v>#REF!</v>
      </c>
      <c r="L90" s="1">
        <v>55.7</v>
      </c>
      <c r="M90" s="1">
        <v>806010.83671112102</v>
      </c>
      <c r="N90" s="1">
        <v>3999611.20010438</v>
      </c>
      <c r="O90" s="1">
        <v>1146265.2252651299</v>
      </c>
      <c r="P90" s="1">
        <v>3172218.64981214</v>
      </c>
      <c r="Q90" s="1">
        <v>595103.36371804297</v>
      </c>
      <c r="R90" s="1">
        <v>224752.00535758</v>
      </c>
      <c r="S90" s="1">
        <v>1885666.34906541</v>
      </c>
      <c r="T90" s="1">
        <v>486146.80044453999</v>
      </c>
      <c r="U90" s="1">
        <v>738107.14380872296</v>
      </c>
      <c r="V90" s="1">
        <v>446969.61415553902</v>
      </c>
      <c r="W90" s="1">
        <v>363933.88176534203</v>
      </c>
      <c r="X90" s="1">
        <v>2891853.2258007699</v>
      </c>
      <c r="Y90" s="1">
        <v>830978.52158323105</v>
      </c>
      <c r="Z90" s="1">
        <v>900663.20554350095</v>
      </c>
      <c r="AA90" s="1">
        <v>535082.40403813496</v>
      </c>
      <c r="AB90" s="1" t="s">
        <v>331</v>
      </c>
      <c r="AC90">
        <f t="shared" si="50"/>
        <v>1.8315062967187433E-4</v>
      </c>
      <c r="AD90">
        <f t="shared" si="56"/>
        <v>6.9237801561586928E-4</v>
      </c>
      <c r="AE90">
        <f t="shared" si="57"/>
        <v>2.9079317815102097E-4</v>
      </c>
      <c r="AF90">
        <f t="shared" si="58"/>
        <v>7.23399146689758E-4</v>
      </c>
      <c r="AG90">
        <f t="shared" si="59"/>
        <v>1.1758615573300483E-4</v>
      </c>
      <c r="AH90">
        <f t="shared" si="60"/>
        <v>1.9299585496949968E-5</v>
      </c>
      <c r="AI90">
        <f t="shared" si="61"/>
        <v>3.4064780473968946E-4</v>
      </c>
      <c r="AJ90">
        <f t="shared" si="62"/>
        <v>7.0727802498242082E-5</v>
      </c>
      <c r="AK90">
        <f t="shared" si="63"/>
        <v>1.078140182371159E-4</v>
      </c>
      <c r="AL90">
        <f t="shared" si="64"/>
        <v>4.5620841311010116E-5</v>
      </c>
      <c r="AM90">
        <f t="shared" si="65"/>
        <v>3.1894009498552427E-5</v>
      </c>
      <c r="AN90">
        <f t="shared" si="66"/>
        <v>3.4976598865874676E-4</v>
      </c>
      <c r="AO90">
        <f t="shared" si="67"/>
        <v>1.0564986391776424E-4</v>
      </c>
      <c r="AP90">
        <f t="shared" si="68"/>
        <v>1.0910729382065005E-4</v>
      </c>
      <c r="AQ90">
        <f t="shared" si="69"/>
        <v>7.1442383157634321E-5</v>
      </c>
      <c r="AR90" s="1"/>
      <c r="AS90" s="1">
        <f t="shared" si="51"/>
        <v>2.6560044381784565E-4</v>
      </c>
      <c r="AT90" s="1">
        <f t="shared" si="52"/>
        <v>1.910807381359602E-4</v>
      </c>
      <c r="AU90" s="1">
        <f t="shared" si="53"/>
        <v>1.7306320849168249E-4</v>
      </c>
      <c r="AV90" s="1">
        <f t="shared" si="54"/>
        <v>0.7194292878027243</v>
      </c>
      <c r="AW90" s="1">
        <f t="shared" si="55"/>
        <v>0.65159231665430828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</row>
    <row r="91" spans="1:91" hidden="1">
      <c r="A91" s="1" t="s">
        <v>316</v>
      </c>
      <c r="B91" s="1" t="s">
        <v>150</v>
      </c>
      <c r="C91" s="1" t="s">
        <v>151</v>
      </c>
      <c r="D91" s="1">
        <v>-0.17</v>
      </c>
      <c r="E91" s="1">
        <v>267.09670999999997</v>
      </c>
      <c r="F91" s="1">
        <v>3.35</v>
      </c>
      <c r="G91" s="1">
        <f t="shared" si="47"/>
        <v>1197878.7265107527</v>
      </c>
      <c r="H91" s="1">
        <f t="shared" si="48"/>
        <v>6302925.2383723501</v>
      </c>
      <c r="I91" s="1">
        <f t="shared" si="49"/>
        <v>1.6706483179703034E-4</v>
      </c>
      <c r="J91" s="1" t="e">
        <f>G91/#REF!</f>
        <v>#REF!</v>
      </c>
      <c r="K91" s="1" t="e">
        <f>H91/#REF!</f>
        <v>#REF!</v>
      </c>
      <c r="L91" s="1">
        <v>91.3</v>
      </c>
      <c r="M91" s="1">
        <v>131739.99493574401</v>
      </c>
      <c r="N91" s="1">
        <v>226501.27520236999</v>
      </c>
      <c r="O91" s="1">
        <v>114027.709847322</v>
      </c>
      <c r="P91" s="1">
        <v>132180.05662481199</v>
      </c>
      <c r="Q91" s="1">
        <v>197693.289490442</v>
      </c>
      <c r="R91" s="1">
        <v>1379138.73921771</v>
      </c>
      <c r="S91" s="1">
        <v>172041.77788910901</v>
      </c>
      <c r="T91" s="1">
        <v>181508.65207210201</v>
      </c>
      <c r="U91" s="1">
        <v>69606.770702275593</v>
      </c>
      <c r="V91" s="1">
        <v>2483644.8631942701</v>
      </c>
      <c r="W91" s="1">
        <v>3696586.2923693098</v>
      </c>
      <c r="X91" s="1">
        <v>6302925.2383723501</v>
      </c>
      <c r="Y91" s="1">
        <v>1316073.19651977</v>
      </c>
      <c r="Z91" s="1">
        <v>1292980.09763339</v>
      </c>
      <c r="AA91" s="1">
        <v>271532.94359031302</v>
      </c>
      <c r="AB91" s="1" t="s">
        <v>316</v>
      </c>
      <c r="AC91">
        <f t="shared" si="50"/>
        <v>2.9935407722190164E-5</v>
      </c>
      <c r="AD91">
        <f t="shared" si="56"/>
        <v>3.9209937069630194E-5</v>
      </c>
      <c r="AE91">
        <f t="shared" si="57"/>
        <v>2.892740651371999E-5</v>
      </c>
      <c r="AF91">
        <f t="shared" si="58"/>
        <v>3.014260702913889E-5</v>
      </c>
      <c r="AG91">
        <f t="shared" si="59"/>
        <v>3.9062111462718863E-5</v>
      </c>
      <c r="AH91">
        <f t="shared" si="60"/>
        <v>1.1842744614154028E-4</v>
      </c>
      <c r="AI91">
        <f t="shared" si="61"/>
        <v>3.1079545960230379E-5</v>
      </c>
      <c r="AJ91">
        <f t="shared" si="62"/>
        <v>2.6407060755596405E-5</v>
      </c>
      <c r="AK91">
        <f t="shared" si="63"/>
        <v>1.0167339130735556E-5</v>
      </c>
      <c r="AL91">
        <f t="shared" si="64"/>
        <v>2.5349814526153084E-4</v>
      </c>
      <c r="AM91">
        <f t="shared" si="65"/>
        <v>3.2395708184451087E-4</v>
      </c>
      <c r="AN91">
        <f t="shared" si="66"/>
        <v>7.623308326206703E-4</v>
      </c>
      <c r="AO91">
        <f t="shared" si="67"/>
        <v>1.6732436580095664E-4</v>
      </c>
      <c r="AP91">
        <f t="shared" si="68"/>
        <v>1.5663297728656396E-4</v>
      </c>
      <c r="AQ91">
        <f t="shared" si="69"/>
        <v>3.625415534037426E-5</v>
      </c>
      <c r="AR91" s="1"/>
      <c r="AS91" s="1">
        <f t="shared" si="51"/>
        <v>2.3964313517204207E-4</v>
      </c>
      <c r="AT91" s="1">
        <f t="shared" si="52"/>
        <v>9.1307277176882139E-5</v>
      </c>
      <c r="AU91" s="1">
        <f t="shared" si="53"/>
        <v>2.2551315282187447E-5</v>
      </c>
      <c r="AV91" s="1">
        <f t="shared" si="54"/>
        <v>0.38101353127153753</v>
      </c>
      <c r="AW91" s="1">
        <f t="shared" si="55"/>
        <v>9.4103739988202234E-2</v>
      </c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</row>
    <row r="92" spans="1:91" hidden="1">
      <c r="A92" s="1" t="s">
        <v>334</v>
      </c>
      <c r="B92" s="1" t="s">
        <v>61</v>
      </c>
      <c r="C92" s="1" t="s">
        <v>62</v>
      </c>
      <c r="D92" s="1">
        <v>-1.54</v>
      </c>
      <c r="E92" s="1">
        <v>114.00637</v>
      </c>
      <c r="F92" s="1">
        <v>0.86899999999999999</v>
      </c>
      <c r="G92" s="1">
        <f t="shared" si="47"/>
        <v>1006995.2776198633</v>
      </c>
      <c r="H92" s="1">
        <f t="shared" si="48"/>
        <v>2827727.67911903</v>
      </c>
      <c r="I92" s="1">
        <f t="shared" si="49"/>
        <v>1.404428453003804E-4</v>
      </c>
      <c r="J92" s="1" t="e">
        <f>G92/#REF!</f>
        <v>#REF!</v>
      </c>
      <c r="K92" s="1" t="e">
        <f>H92/#REF!</f>
        <v>#REF!</v>
      </c>
      <c r="L92" s="1">
        <v>66.3</v>
      </c>
      <c r="M92" s="1">
        <v>456743.387735417</v>
      </c>
      <c r="N92" s="1">
        <v>476434.43204363098</v>
      </c>
      <c r="O92" s="1">
        <v>321939.04613601603</v>
      </c>
      <c r="P92" s="1">
        <v>399239.25303395098</v>
      </c>
      <c r="Q92" s="1">
        <v>372767.19853433297</v>
      </c>
      <c r="R92" s="1">
        <v>655030.67022397998</v>
      </c>
      <c r="S92" s="1">
        <v>2827727.67911903</v>
      </c>
      <c r="T92" s="1">
        <v>1647060.7930646699</v>
      </c>
      <c r="U92" s="1">
        <v>927866.38057797402</v>
      </c>
      <c r="V92" s="1">
        <v>656453.92694949801</v>
      </c>
      <c r="W92" s="1">
        <v>741855.60151959199</v>
      </c>
      <c r="X92" s="1">
        <v>413681.66180192999</v>
      </c>
      <c r="Y92" s="1">
        <v>2032417.4393804099</v>
      </c>
      <c r="Z92" s="1">
        <v>2216178.7236142899</v>
      </c>
      <c r="AA92" s="1">
        <v>959532.97056322801</v>
      </c>
      <c r="AB92" s="1" t="s">
        <v>334</v>
      </c>
      <c r="AC92">
        <f t="shared" si="50"/>
        <v>1.0378624610501152E-4</v>
      </c>
      <c r="AD92">
        <f t="shared" si="56"/>
        <v>8.2476198341687327E-5</v>
      </c>
      <c r="AE92">
        <f t="shared" si="57"/>
        <v>8.1671917051436848E-5</v>
      </c>
      <c r="AF92">
        <f t="shared" si="58"/>
        <v>9.1043325461477852E-5</v>
      </c>
      <c r="AG92">
        <f t="shared" si="59"/>
        <v>7.3654871626270153E-5</v>
      </c>
      <c r="AH92">
        <f t="shared" si="60"/>
        <v>5.6247864854416E-5</v>
      </c>
      <c r="AI92">
        <f t="shared" si="61"/>
        <v>5.1083227251256483E-4</v>
      </c>
      <c r="AJ92">
        <f t="shared" si="62"/>
        <v>2.3962513045021173E-4</v>
      </c>
      <c r="AK92">
        <f t="shared" si="63"/>
        <v>1.3553181772640388E-4</v>
      </c>
      <c r="AL92">
        <f t="shared" si="64"/>
        <v>6.7002273713691435E-5</v>
      </c>
      <c r="AM92">
        <f t="shared" si="65"/>
        <v>6.5013868691336118E-5</v>
      </c>
      <c r="AN92">
        <f t="shared" si="66"/>
        <v>5.0034273572124124E-5</v>
      </c>
      <c r="AO92">
        <f t="shared" si="67"/>
        <v>2.5839973033902811E-4</v>
      </c>
      <c r="AP92">
        <f t="shared" si="68"/>
        <v>2.6847023578646548E-4</v>
      </c>
      <c r="AQ92">
        <f t="shared" si="69"/>
        <v>1.2811357954965676E-4</v>
      </c>
      <c r="AR92" s="1"/>
      <c r="AS92" s="1">
        <f t="shared" si="51"/>
        <v>7.4997462912547894E-5</v>
      </c>
      <c r="AT92" s="1">
        <f t="shared" si="52"/>
        <v>1.4598826793621905E-4</v>
      </c>
      <c r="AU92" s="1">
        <f t="shared" si="53"/>
        <v>2.9532974022972684E-4</v>
      </c>
      <c r="AV92" s="1">
        <f t="shared" si="54"/>
        <v>1.9465760875998064</v>
      </c>
      <c r="AW92" s="1">
        <f t="shared" si="55"/>
        <v>3.937863079103106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</row>
    <row r="93" spans="1:91" hidden="1">
      <c r="A93" s="1" t="s">
        <v>325</v>
      </c>
      <c r="B93" s="1" t="s">
        <v>183</v>
      </c>
      <c r="C93" s="1" t="s">
        <v>184</v>
      </c>
      <c r="D93" s="1">
        <v>0.39</v>
      </c>
      <c r="E93" s="1">
        <v>141.11542</v>
      </c>
      <c r="F93" s="1">
        <v>2.5659999999999998</v>
      </c>
      <c r="G93" s="1">
        <f t="shared" si="47"/>
        <v>969350.37941602652</v>
      </c>
      <c r="H93" s="1">
        <f t="shared" si="48"/>
        <v>5065234.3334760703</v>
      </c>
      <c r="I93" s="1">
        <f t="shared" si="49"/>
        <v>1.3519261550060788E-4</v>
      </c>
      <c r="J93" s="1" t="e">
        <f>G93/#REF!</f>
        <v>#REF!</v>
      </c>
      <c r="K93" s="1" t="e">
        <f>H93/#REF!</f>
        <v>#REF!</v>
      </c>
      <c r="L93" s="1">
        <v>60.8</v>
      </c>
      <c r="M93" s="1">
        <v>291118.46472064301</v>
      </c>
      <c r="N93" s="1">
        <v>555867.59639058204</v>
      </c>
      <c r="O93" s="1">
        <v>512621.04942490999</v>
      </c>
      <c r="P93" s="1">
        <v>647471.45263276796</v>
      </c>
      <c r="Q93" s="1">
        <v>1421429.49384192</v>
      </c>
      <c r="R93" s="1">
        <v>1797251.49167805</v>
      </c>
      <c r="S93" s="1">
        <v>442875.99178935803</v>
      </c>
      <c r="T93" s="1">
        <v>472409.637690117</v>
      </c>
      <c r="U93" s="1">
        <v>5065234.3334760703</v>
      </c>
      <c r="V93" s="1">
        <v>464275.60317795502</v>
      </c>
      <c r="W93" s="1">
        <v>272606.945430825</v>
      </c>
      <c r="X93" s="1">
        <v>563210.82053506596</v>
      </c>
      <c r="Y93" s="1">
        <v>502943.16647228401</v>
      </c>
      <c r="Z93" s="1">
        <v>401380.69334242202</v>
      </c>
      <c r="AA93" s="1">
        <v>1129558.95063743</v>
      </c>
      <c r="AB93" s="1" t="s">
        <v>325</v>
      </c>
      <c r="AC93">
        <f t="shared" si="50"/>
        <v>6.6151133079374178E-5</v>
      </c>
      <c r="AD93">
        <f t="shared" si="56"/>
        <v>9.6226979093375368E-5</v>
      </c>
      <c r="AE93">
        <f t="shared" si="57"/>
        <v>1.3004556089093796E-4</v>
      </c>
      <c r="AF93">
        <f t="shared" si="58"/>
        <v>1.4765069752309162E-4</v>
      </c>
      <c r="AG93">
        <f t="shared" si="59"/>
        <v>2.8085949436100407E-4</v>
      </c>
      <c r="AH93">
        <f t="shared" si="60"/>
        <v>1.5433103152061179E-4</v>
      </c>
      <c r="AI93">
        <f t="shared" si="61"/>
        <v>8.0006059634956322E-5</v>
      </c>
      <c r="AJ93">
        <f t="shared" si="62"/>
        <v>6.8729230599193087E-5</v>
      </c>
      <c r="AK93">
        <f t="shared" si="63"/>
        <v>7.3986991100871225E-4</v>
      </c>
      <c r="AL93">
        <f t="shared" si="64"/>
        <v>4.7387211448750584E-5</v>
      </c>
      <c r="AM93">
        <f t="shared" si="65"/>
        <v>2.3890406863926369E-5</v>
      </c>
      <c r="AN93">
        <f t="shared" si="66"/>
        <v>6.8119636124756362E-5</v>
      </c>
      <c r="AO93">
        <f t="shared" si="67"/>
        <v>6.3943743088483847E-5</v>
      </c>
      <c r="AP93">
        <f t="shared" si="68"/>
        <v>4.8623681941154525E-5</v>
      </c>
      <c r="AQ93">
        <f t="shared" si="69"/>
        <v>1.5081487027337066E-4</v>
      </c>
      <c r="AR93" s="1"/>
      <c r="AS93" s="1">
        <f t="shared" si="51"/>
        <v>7.1970154583520128E-5</v>
      </c>
      <c r="AT93" s="1">
        <f t="shared" si="52"/>
        <v>1.4103725311795273E-4</v>
      </c>
      <c r="AU93" s="1">
        <f t="shared" si="53"/>
        <v>2.9620173374762056E-4</v>
      </c>
      <c r="AV93" s="1">
        <f t="shared" si="54"/>
        <v>1.9596630566394215</v>
      </c>
      <c r="AW93" s="1">
        <f t="shared" si="55"/>
        <v>4.1156189737495081</v>
      </c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</row>
    <row r="94" spans="1:91" hidden="1">
      <c r="A94" s="1" t="s">
        <v>322</v>
      </c>
      <c r="B94" s="1" t="s">
        <v>177</v>
      </c>
      <c r="C94" s="1" t="s">
        <v>178</v>
      </c>
      <c r="D94" s="1">
        <v>0.75</v>
      </c>
      <c r="E94" s="1">
        <v>175.09985</v>
      </c>
      <c r="F94" s="1">
        <v>1.036</v>
      </c>
      <c r="G94" s="1">
        <f t="shared" si="47"/>
        <v>943292.7072740735</v>
      </c>
      <c r="H94" s="1">
        <f t="shared" si="48"/>
        <v>5240365.43452508</v>
      </c>
      <c r="I94" s="1">
        <f t="shared" si="49"/>
        <v>1.3155842406113041E-4</v>
      </c>
      <c r="J94" s="1" t="e">
        <f>G94/#REF!</f>
        <v>#REF!</v>
      </c>
      <c r="K94" s="1" t="e">
        <f>H94/#REF!</f>
        <v>#REF!</v>
      </c>
      <c r="L94" s="1">
        <v>62.9</v>
      </c>
      <c r="M94" s="1">
        <v>255923.84812252299</v>
      </c>
      <c r="N94" s="1">
        <v>170606.787083103</v>
      </c>
      <c r="O94" s="1">
        <v>464082.87200859201</v>
      </c>
      <c r="P94" s="1">
        <v>1237744.4933009399</v>
      </c>
      <c r="Q94" s="1">
        <v>5240365.43452508</v>
      </c>
      <c r="R94" s="1">
        <v>655434.27486341202</v>
      </c>
      <c r="S94" s="1">
        <v>350084.734417692</v>
      </c>
      <c r="T94" s="1">
        <v>395673.67474822898</v>
      </c>
      <c r="U94" s="1">
        <v>3757297.78171892</v>
      </c>
      <c r="V94" s="1">
        <v>301284.77542837098</v>
      </c>
      <c r="W94" s="1">
        <v>270716.07999714097</v>
      </c>
      <c r="X94" s="1">
        <v>223121.97591231001</v>
      </c>
      <c r="Y94" s="1">
        <v>232396.62890444501</v>
      </c>
      <c r="Z94" s="1">
        <v>338623.89150520897</v>
      </c>
      <c r="AA94" s="1">
        <v>256033.356575135</v>
      </c>
      <c r="AB94" s="1" t="s">
        <v>322</v>
      </c>
      <c r="AC94">
        <f t="shared" si="50"/>
        <v>5.8153825974536661E-5</v>
      </c>
      <c r="AD94">
        <f t="shared" si="56"/>
        <v>2.9533967873706128E-5</v>
      </c>
      <c r="AE94">
        <f t="shared" si="57"/>
        <v>1.1773203121085495E-4</v>
      </c>
      <c r="AF94">
        <f t="shared" si="58"/>
        <v>2.8225775367876101E-4</v>
      </c>
      <c r="AG94">
        <f t="shared" si="59"/>
        <v>1.0354410068061242E-3</v>
      </c>
      <c r="AH94">
        <f t="shared" si="60"/>
        <v>5.6282522619686176E-5</v>
      </c>
      <c r="AI94">
        <f t="shared" si="61"/>
        <v>6.3243211775704887E-5</v>
      </c>
      <c r="AJ94">
        <f t="shared" si="62"/>
        <v>5.7565182977150909E-5</v>
      </c>
      <c r="AK94">
        <f t="shared" si="63"/>
        <v>5.4882190879525727E-4</v>
      </c>
      <c r="AL94">
        <f t="shared" si="64"/>
        <v>3.0751228929083343E-5</v>
      </c>
      <c r="AM94">
        <f t="shared" si="65"/>
        <v>2.372469742294256E-5</v>
      </c>
      <c r="AN94">
        <f t="shared" si="66"/>
        <v>2.698632067498943E-5</v>
      </c>
      <c r="AO94">
        <f t="shared" si="67"/>
        <v>2.9546698959104887E-5</v>
      </c>
      <c r="AP94">
        <f t="shared" si="68"/>
        <v>4.1021256556001608E-5</v>
      </c>
      <c r="AQ94">
        <f t="shared" si="69"/>
        <v>3.4184703185030119E-5</v>
      </c>
      <c r="AR94" s="1"/>
      <c r="AS94" s="1">
        <f t="shared" si="51"/>
        <v>4.7813678681018846E-5</v>
      </c>
      <c r="AT94" s="1">
        <f t="shared" si="52"/>
        <v>2.4645565696745133E-4</v>
      </c>
      <c r="AU94" s="1">
        <f t="shared" si="53"/>
        <v>2.2321010118270433E-4</v>
      </c>
      <c r="AV94" s="1">
        <f t="shared" si="54"/>
        <v>5.1545010500371671</v>
      </c>
      <c r="AW94" s="1">
        <f t="shared" si="55"/>
        <v>4.6683314762667418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</row>
    <row r="95" spans="1:91" hidden="1">
      <c r="A95" s="1" t="s">
        <v>335</v>
      </c>
      <c r="B95" s="1" t="s">
        <v>51</v>
      </c>
      <c r="C95" s="1" t="s">
        <v>52</v>
      </c>
      <c r="D95" s="1">
        <v>0.86</v>
      </c>
      <c r="E95" s="1">
        <v>137.0478</v>
      </c>
      <c r="F95" s="1">
        <v>2.0939999999999999</v>
      </c>
      <c r="G95" s="1">
        <f t="shared" si="47"/>
        <v>935754.77715036448</v>
      </c>
      <c r="H95" s="1">
        <f t="shared" si="48"/>
        <v>2601483.2746768398</v>
      </c>
      <c r="I95" s="1">
        <f t="shared" si="49"/>
        <v>1.3050712980208347E-4</v>
      </c>
      <c r="J95" s="1" t="e">
        <f>G95/#REF!</f>
        <v>#REF!</v>
      </c>
      <c r="K95" s="1" t="e">
        <f>H95/#REF!</f>
        <v>#REF!</v>
      </c>
      <c r="L95" s="1">
        <v>62.4</v>
      </c>
      <c r="M95" s="1">
        <v>542648.68471026805</v>
      </c>
      <c r="N95" s="1">
        <v>658687.92474467796</v>
      </c>
      <c r="O95" s="1">
        <v>478485.62782485998</v>
      </c>
      <c r="P95" s="1">
        <v>697277.281806221</v>
      </c>
      <c r="Q95" s="1">
        <v>992172.92574486195</v>
      </c>
      <c r="R95" s="1">
        <v>743606.43359477504</v>
      </c>
      <c r="S95" s="1">
        <v>537030.01882087498</v>
      </c>
      <c r="T95" s="1">
        <v>497386.12424277398</v>
      </c>
      <c r="U95" s="1">
        <v>755326.67353072297</v>
      </c>
      <c r="V95" s="1">
        <v>684321.29550114099</v>
      </c>
      <c r="W95" s="1">
        <v>571303.58706929197</v>
      </c>
      <c r="X95" s="1">
        <v>361191.51459033898</v>
      </c>
      <c r="Y95" s="1">
        <v>2601483.2746768398</v>
      </c>
      <c r="Z95" s="1">
        <v>1579406.8403632899</v>
      </c>
      <c r="AA95" s="1">
        <v>2335993.4500345299</v>
      </c>
      <c r="AB95" s="1" t="s">
        <v>335</v>
      </c>
      <c r="AC95">
        <f t="shared" si="50"/>
        <v>1.2330659064193285E-4</v>
      </c>
      <c r="AD95">
        <f t="shared" si="56"/>
        <v>1.1402634291876998E-4</v>
      </c>
      <c r="AE95">
        <f t="shared" si="57"/>
        <v>1.2138583056342357E-4</v>
      </c>
      <c r="AF95">
        <f t="shared" si="58"/>
        <v>1.5900851938268679E-4</v>
      </c>
      <c r="AG95">
        <f t="shared" si="59"/>
        <v>1.960429183794398E-4</v>
      </c>
      <c r="AH95">
        <f t="shared" si="60"/>
        <v>6.3853917202703152E-5</v>
      </c>
      <c r="AI95">
        <f t="shared" si="61"/>
        <v>9.7015093407863223E-5</v>
      </c>
      <c r="AJ95">
        <f t="shared" si="62"/>
        <v>7.2362972519084316E-5</v>
      </c>
      <c r="AK95">
        <f t="shared" si="63"/>
        <v>1.1032924479609821E-4</v>
      </c>
      <c r="AL95">
        <f t="shared" si="64"/>
        <v>6.9846612027050549E-5</v>
      </c>
      <c r="AM95">
        <f t="shared" si="65"/>
        <v>5.0067231839364011E-5</v>
      </c>
      <c r="AN95">
        <f t="shared" si="66"/>
        <v>4.3685656681575843E-5</v>
      </c>
      <c r="AO95">
        <f t="shared" si="67"/>
        <v>3.3075025023546184E-4</v>
      </c>
      <c r="AP95">
        <f t="shared" si="68"/>
        <v>1.9133101600378292E-4</v>
      </c>
      <c r="AQ95">
        <f t="shared" si="69"/>
        <v>3.1189390241880748E-4</v>
      </c>
      <c r="AR95" s="1"/>
      <c r="AS95" s="1">
        <f t="shared" si="51"/>
        <v>8.7053044112019465E-5</v>
      </c>
      <c r="AT95" s="1">
        <f t="shared" si="52"/>
        <v>2.0881342060381368E-4</v>
      </c>
      <c r="AU95" s="1">
        <f t="shared" si="53"/>
        <v>9.323577024101524E-5</v>
      </c>
      <c r="AV95" s="1">
        <f t="shared" si="54"/>
        <v>2.3986917715951841</v>
      </c>
      <c r="AW95" s="1">
        <f t="shared" si="55"/>
        <v>1.0710225149742021</v>
      </c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</row>
    <row r="96" spans="1:91" hidden="1">
      <c r="A96" s="1" t="s">
        <v>338</v>
      </c>
      <c r="B96" s="1" t="s">
        <v>91</v>
      </c>
      <c r="C96" s="1" t="s">
        <v>92</v>
      </c>
      <c r="D96" s="1">
        <v>-1.77</v>
      </c>
      <c r="E96" s="1">
        <v>150.01616999999999</v>
      </c>
      <c r="F96" s="1">
        <v>1.677</v>
      </c>
      <c r="G96" s="1">
        <f t="shared" si="47"/>
        <v>775444.77087069664</v>
      </c>
      <c r="H96" s="1">
        <f t="shared" si="48"/>
        <v>1501996.1874398601</v>
      </c>
      <c r="I96" s="1">
        <f t="shared" si="49"/>
        <v>1.0814913675840855E-4</v>
      </c>
      <c r="J96" s="1" t="e">
        <f>G96/#REF!</f>
        <v>#REF!</v>
      </c>
      <c r="K96" s="1" t="e">
        <f>H96/#REF!</f>
        <v>#REF!</v>
      </c>
      <c r="L96" s="1">
        <v>68.8</v>
      </c>
      <c r="M96" s="1">
        <v>362158.13889160397</v>
      </c>
      <c r="N96" s="1">
        <v>1501996.1874398601</v>
      </c>
      <c r="O96" s="1">
        <v>465612.647766751</v>
      </c>
      <c r="P96" s="1">
        <v>663584.26317223499</v>
      </c>
      <c r="Q96" s="1">
        <v>1120029.8772565699</v>
      </c>
      <c r="R96" s="1">
        <v>823332.91771553503</v>
      </c>
      <c r="S96" s="1">
        <v>644990.48238780396</v>
      </c>
      <c r="T96" s="1">
        <v>1127080.0697344099</v>
      </c>
      <c r="U96" s="1">
        <v>1463677.1949485</v>
      </c>
      <c r="V96" s="1">
        <v>1109072.0477056301</v>
      </c>
      <c r="W96" s="1">
        <v>228733.199831982</v>
      </c>
      <c r="X96" s="1">
        <v>1487749.8733758</v>
      </c>
      <c r="Y96" s="1">
        <v>125323.770320642</v>
      </c>
      <c r="Z96" s="1">
        <v>229212.19009793401</v>
      </c>
      <c r="AA96" s="1">
        <v>279118.70241519401</v>
      </c>
      <c r="AB96" s="1" t="s">
        <v>338</v>
      </c>
      <c r="AC96">
        <f t="shared" si="50"/>
        <v>8.2293547627033028E-5</v>
      </c>
      <c r="AD96">
        <f t="shared" si="56"/>
        <v>2.6001255814441952E-4</v>
      </c>
      <c r="AE96">
        <f t="shared" si="57"/>
        <v>1.1812011622361502E-4</v>
      </c>
      <c r="AF96">
        <f t="shared" si="58"/>
        <v>1.5132509537574737E-4</v>
      </c>
      <c r="AG96">
        <f t="shared" si="59"/>
        <v>2.21306105127492E-4</v>
      </c>
      <c r="AH96">
        <f t="shared" si="60"/>
        <v>7.0700076791854679E-5</v>
      </c>
      <c r="AI96">
        <f t="shared" si="61"/>
        <v>1.1651827589345039E-4</v>
      </c>
      <c r="AJ96">
        <f t="shared" si="62"/>
        <v>1.639749485114102E-4</v>
      </c>
      <c r="AK96">
        <f t="shared" si="63"/>
        <v>2.1379676529769862E-4</v>
      </c>
      <c r="AL96">
        <f t="shared" si="64"/>
        <v>1.1319964106832691E-4</v>
      </c>
      <c r="AM96">
        <f t="shared" si="65"/>
        <v>2.0045451148127362E-5</v>
      </c>
      <c r="AN96">
        <f t="shared" si="66"/>
        <v>1.7994146476577153E-4</v>
      </c>
      <c r="AO96">
        <f t="shared" si="67"/>
        <v>1.5933551753913535E-5</v>
      </c>
      <c r="AP96">
        <f t="shared" si="68"/>
        <v>2.7767007265716583E-5</v>
      </c>
      <c r="AQ96">
        <f t="shared" si="69"/>
        <v>3.7266980064974867E-5</v>
      </c>
      <c r="AR96" s="1"/>
      <c r="AS96" s="1">
        <f t="shared" si="51"/>
        <v>1.289354631628822E-4</v>
      </c>
      <c r="AT96" s="1">
        <f t="shared" si="52"/>
        <v>8.7383136063283172E-5</v>
      </c>
      <c r="AU96" s="1">
        <f t="shared" si="53"/>
        <v>1.6476332990085309E-4</v>
      </c>
      <c r="AV96" s="1">
        <f t="shared" si="54"/>
        <v>0.67772770903916002</v>
      </c>
      <c r="AW96" s="1">
        <f t="shared" si="55"/>
        <v>1.2778744176279111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</row>
    <row r="97" spans="1:91" hidden="1">
      <c r="A97" s="1" t="s">
        <v>333</v>
      </c>
      <c r="B97" s="1" t="s">
        <v>148</v>
      </c>
      <c r="C97" s="1" t="s">
        <v>149</v>
      </c>
      <c r="D97" s="1">
        <v>0.99</v>
      </c>
      <c r="E97" s="1">
        <v>136.03864999999999</v>
      </c>
      <c r="F97" s="1">
        <v>2.8849999999999998</v>
      </c>
      <c r="G97" s="1">
        <f t="shared" si="47"/>
        <v>683121.04194297967</v>
      </c>
      <c r="H97" s="1">
        <f t="shared" si="48"/>
        <v>3191055.827085</v>
      </c>
      <c r="I97" s="1">
        <f t="shared" si="49"/>
        <v>9.5273001718335104E-5</v>
      </c>
      <c r="J97" s="1" t="e">
        <f>G97/#REF!</f>
        <v>#REF!</v>
      </c>
      <c r="K97" s="1" t="e">
        <f>H97/#REF!</f>
        <v>#REF!</v>
      </c>
      <c r="L97" s="1">
        <v>66.7</v>
      </c>
      <c r="M97" s="1">
        <v>40581.378245289401</v>
      </c>
      <c r="N97" s="1">
        <v>62814.172325098603</v>
      </c>
      <c r="O97" s="1">
        <v>46958.625066985704</v>
      </c>
      <c r="P97" s="1">
        <v>1905633.53156756</v>
      </c>
      <c r="Q97" s="1">
        <v>44714.447139092197</v>
      </c>
      <c r="R97" s="1">
        <v>3191055.827085</v>
      </c>
      <c r="S97" s="1">
        <v>379467.03298018302</v>
      </c>
      <c r="T97" s="1">
        <v>444199.72599535401</v>
      </c>
      <c r="U97" s="1">
        <v>100908.977049747</v>
      </c>
      <c r="V97" s="1">
        <v>68009.592921621603</v>
      </c>
      <c r="W97" s="1">
        <v>608810.36041900003</v>
      </c>
      <c r="X97" s="1">
        <v>324119.03380912403</v>
      </c>
      <c r="Y97" s="1">
        <v>234126.20320543501</v>
      </c>
      <c r="Z97" s="1">
        <v>186615.00576989699</v>
      </c>
      <c r="AA97" s="1">
        <v>2608801.7155653099</v>
      </c>
      <c r="AB97" s="1" t="s">
        <v>333</v>
      </c>
      <c r="AC97">
        <f t="shared" si="50"/>
        <v>9.2213462152756497E-6</v>
      </c>
      <c r="AD97">
        <f t="shared" si="56"/>
        <v>1.0873844934195107E-5</v>
      </c>
      <c r="AE97">
        <f t="shared" si="57"/>
        <v>1.191281696753256E-5</v>
      </c>
      <c r="AF97">
        <f t="shared" si="58"/>
        <v>4.3456451865983456E-4</v>
      </c>
      <c r="AG97">
        <f t="shared" si="59"/>
        <v>8.8351037237686108E-6</v>
      </c>
      <c r="AH97">
        <f t="shared" si="60"/>
        <v>2.7401782094172664E-4</v>
      </c>
      <c r="AI97">
        <f t="shared" si="61"/>
        <v>6.8551157960606294E-5</v>
      </c>
      <c r="AJ97">
        <f t="shared" si="62"/>
        <v>6.4625068932355862E-5</v>
      </c>
      <c r="AK97">
        <f t="shared" si="63"/>
        <v>1.4739597608812034E-5</v>
      </c>
      <c r="AL97">
        <f t="shared" si="64"/>
        <v>6.9415341625974966E-6</v>
      </c>
      <c r="AM97">
        <f t="shared" si="65"/>
        <v>5.3354206329546152E-5</v>
      </c>
      <c r="AN97">
        <f t="shared" si="66"/>
        <v>3.9201787038128266E-5</v>
      </c>
      <c r="AO97">
        <f t="shared" si="67"/>
        <v>2.976659548445323E-5</v>
      </c>
      <c r="AP97">
        <f t="shared" si="68"/>
        <v>2.2606739278964628E-5</v>
      </c>
      <c r="AQ97">
        <f t="shared" si="69"/>
        <v>3.4831833440822227E-4</v>
      </c>
      <c r="AR97" s="1"/>
      <c r="AS97" s="1">
        <f t="shared" si="51"/>
        <v>2.191758927454587E-5</v>
      </c>
      <c r="AT97" s="1">
        <f t="shared" si="52"/>
        <v>1.8635151874949501E-4</v>
      </c>
      <c r="AU97" s="1">
        <f t="shared" si="53"/>
        <v>4.9305274833924725E-5</v>
      </c>
      <c r="AV97" s="1">
        <f t="shared" si="54"/>
        <v>8.5023729761153763</v>
      </c>
      <c r="AW97" s="1">
        <f t="shared" si="55"/>
        <v>2.249575636093597</v>
      </c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</row>
    <row r="98" spans="1:91" hidden="1">
      <c r="A98" s="1" t="s">
        <v>332</v>
      </c>
      <c r="B98" s="1" t="s">
        <v>120</v>
      </c>
      <c r="C98" s="1" t="s">
        <v>121</v>
      </c>
      <c r="D98" s="1">
        <v>0.06</v>
      </c>
      <c r="E98" s="1">
        <v>143.09464</v>
      </c>
      <c r="F98" s="1">
        <v>4.2089999999999996</v>
      </c>
      <c r="G98" s="1">
        <f t="shared" ref="G98:G104" si="70">AVERAGE(M98:AA98)</f>
        <v>595219.37441598845</v>
      </c>
      <c r="H98" s="1">
        <f t="shared" ref="H98:H104" si="71">MAX(M98:AA98)</f>
        <v>3508489.1875067698</v>
      </c>
      <c r="I98" s="1">
        <f t="shared" ref="I98:I104" si="72">G98/SUM(G$2:G$104)</f>
        <v>8.3013599347235849E-5</v>
      </c>
      <c r="J98" s="1" t="e">
        <f>G98/#REF!</f>
        <v>#REF!</v>
      </c>
      <c r="K98" s="1" t="e">
        <f>H98/#REF!</f>
        <v>#REF!</v>
      </c>
      <c r="L98" s="1">
        <v>66.2</v>
      </c>
      <c r="M98" s="1">
        <v>141778.81059672101</v>
      </c>
      <c r="N98" s="1">
        <v>3508489.1875067698</v>
      </c>
      <c r="O98" s="1">
        <v>216799.33014860001</v>
      </c>
      <c r="P98" s="1">
        <v>280285.34049436799</v>
      </c>
      <c r="Q98" s="1">
        <v>97502.117938996395</v>
      </c>
      <c r="R98" s="1">
        <v>222481.210356367</v>
      </c>
      <c r="S98" s="1">
        <v>213993.69583687701</v>
      </c>
      <c r="T98" s="1">
        <v>176530.45957865901</v>
      </c>
      <c r="U98" s="1">
        <v>266333.64481138199</v>
      </c>
      <c r="V98" s="1">
        <v>180972.822623669</v>
      </c>
      <c r="W98" s="1">
        <v>280693.93334455998</v>
      </c>
      <c r="X98" s="1">
        <v>2876135.3375074002</v>
      </c>
      <c r="Y98" s="1">
        <v>146525.19410334801</v>
      </c>
      <c r="Z98" s="1">
        <v>167790.19307488101</v>
      </c>
      <c r="AA98" s="1">
        <v>151979.33831722999</v>
      </c>
      <c r="AB98" s="1" t="s">
        <v>332</v>
      </c>
      <c r="AC98">
        <f t="shared" ref="AC98:AC104" si="73">M98/SUM(M$2:M$104)</f>
        <v>3.2216537609934819E-5</v>
      </c>
      <c r="AD98">
        <f t="shared" si="56"/>
        <v>6.073592306652893E-4</v>
      </c>
      <c r="AE98">
        <f t="shared" si="57"/>
        <v>5.4999283625953052E-5</v>
      </c>
      <c r="AF98">
        <f t="shared" si="58"/>
        <v>6.3916835037610499E-5</v>
      </c>
      <c r="AG98">
        <f t="shared" si="59"/>
        <v>1.9265391397963342E-5</v>
      </c>
      <c r="AH98">
        <f t="shared" si="60"/>
        <v>1.9104591008681751E-5</v>
      </c>
      <c r="AI98">
        <f t="shared" si="61"/>
        <v>3.8658208410567729E-5</v>
      </c>
      <c r="AJ98">
        <f t="shared" si="62"/>
        <v>2.5682800891801136E-5</v>
      </c>
      <c r="AK98">
        <f t="shared" si="63"/>
        <v>3.8902889207495757E-5</v>
      </c>
      <c r="AL98">
        <f t="shared" si="64"/>
        <v>1.8471350537146286E-5</v>
      </c>
      <c r="AM98">
        <f t="shared" si="65"/>
        <v>2.4599124799404683E-5</v>
      </c>
      <c r="AN98">
        <f t="shared" si="66"/>
        <v>3.4786492995718149E-4</v>
      </c>
      <c r="AO98">
        <f t="shared" si="67"/>
        <v>1.8629081757791486E-5</v>
      </c>
      <c r="AP98">
        <f t="shared" si="68"/>
        <v>2.0326281548270078E-5</v>
      </c>
      <c r="AQ98">
        <f t="shared" si="69"/>
        <v>2.0291764479942521E-5</v>
      </c>
      <c r="AR98" s="1"/>
      <c r="AS98" s="1">
        <f t="shared" ref="AS98:AS104" si="74">AVERAGE(AC98:AE98,AL98:AN98)</f>
        <v>1.8091840953248493E-4</v>
      </c>
      <c r="AT98" s="1">
        <f t="shared" ref="AT98:AT104" si="75">AVERAGE(AF98:AH98,AO98:AQ98)</f>
        <v>2.6922324205043275E-5</v>
      </c>
      <c r="AU98" s="1">
        <f t="shared" ref="AU98:AU104" si="76">AVERAGE(AI98:AK98)</f>
        <v>3.4414632836621538E-5</v>
      </c>
      <c r="AV98" s="1">
        <f t="shared" ref="AV98:AV104" si="77">AT98/AS98</f>
        <v>0.148809202306243</v>
      </c>
      <c r="AW98" s="1">
        <f t="shared" ref="AW98:AW104" si="78">AU98/AS98</f>
        <v>0.19022184047247107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</row>
    <row r="99" spans="1:91" hidden="1">
      <c r="A99" s="1" t="s">
        <v>327</v>
      </c>
      <c r="B99" s="6" t="s">
        <v>132</v>
      </c>
      <c r="C99" s="1" t="s">
        <v>133</v>
      </c>
      <c r="D99" s="1">
        <v>-0.5</v>
      </c>
      <c r="E99" s="1">
        <v>182.07894999999999</v>
      </c>
      <c r="F99" s="1">
        <v>8.2829999999999995</v>
      </c>
      <c r="G99" s="1">
        <f t="shared" si="70"/>
        <v>445725.88347357861</v>
      </c>
      <c r="H99" s="1">
        <f t="shared" si="71"/>
        <v>4396724.1357754003</v>
      </c>
      <c r="I99" s="1">
        <f t="shared" si="72"/>
        <v>6.2164155771429606E-5</v>
      </c>
      <c r="J99" s="1" t="e">
        <f>G99/#REF!</f>
        <v>#REF!</v>
      </c>
      <c r="K99" s="1" t="e">
        <f>H99/#REF!</f>
        <v>#REF!</v>
      </c>
      <c r="L99" s="1">
        <v>72</v>
      </c>
      <c r="M99" s="1">
        <v>151556.07262967501</v>
      </c>
      <c r="N99" s="1">
        <v>121693.562339004</v>
      </c>
      <c r="O99" s="1">
        <v>152239.15512155899</v>
      </c>
      <c r="P99" s="1">
        <v>258743.10791687801</v>
      </c>
      <c r="Q99" s="1">
        <v>208413.561811272</v>
      </c>
      <c r="R99" s="1">
        <v>173589.915162499</v>
      </c>
      <c r="S99" s="1">
        <v>393457.82912095299</v>
      </c>
      <c r="T99" s="1">
        <v>153543.27717308101</v>
      </c>
      <c r="U99" s="1">
        <v>167668.58027828499</v>
      </c>
      <c r="V99" s="1">
        <v>65200.880208059498</v>
      </c>
      <c r="W99" s="1">
        <v>54123.206093498702</v>
      </c>
      <c r="X99" s="1">
        <v>56856.296737973098</v>
      </c>
      <c r="Y99" s="1">
        <v>176714.96097960701</v>
      </c>
      <c r="Z99" s="1">
        <v>155363.71075593401</v>
      </c>
      <c r="AA99" s="1">
        <v>4396724.1357754003</v>
      </c>
      <c r="AB99" s="1" t="s">
        <v>327</v>
      </c>
      <c r="AC99">
        <f t="shared" si="73"/>
        <v>3.4438234411319428E-5</v>
      </c>
      <c r="AD99">
        <f t="shared" ref="AD99:AD104" si="79">N99/SUM(N$2:N$104)</f>
        <v>2.1066534467976974E-5</v>
      </c>
      <c r="AE99">
        <f t="shared" ref="AE99:AE104" si="80">O99/SUM(O$2:O$104)</f>
        <v>3.8621173163989849E-5</v>
      </c>
      <c r="AF99">
        <f t="shared" ref="AF99:AF104" si="81">P99/SUM(P$2:P$104)</f>
        <v>5.900430081955734E-5</v>
      </c>
      <c r="AG99">
        <f t="shared" ref="AG99:AG104" si="82">Q99/SUM(Q$2:Q$104)</f>
        <v>4.1180324343825319E-5</v>
      </c>
      <c r="AH99">
        <f t="shared" ref="AH99:AH104" si="83">R99/SUM(R$2:R$104)</f>
        <v>1.4906267037558833E-5</v>
      </c>
      <c r="AI99">
        <f t="shared" ref="AI99:AI104" si="84">S99/SUM(S$2:S$104)</f>
        <v>7.1078611449011567E-5</v>
      </c>
      <c r="AJ99">
        <f t="shared" ref="AJ99:AJ104" si="85">T99/SUM(T$2:T$104)</f>
        <v>2.2338475894318688E-5</v>
      </c>
      <c r="AK99">
        <f t="shared" ref="AK99:AK104" si="86">U99/SUM(U$2:U$104)</f>
        <v>2.4491055971406404E-5</v>
      </c>
      <c r="AL99">
        <f t="shared" ref="AL99:AL104" si="87">V99/SUM(V$2:V$104)</f>
        <v>6.6548573216320976E-6</v>
      </c>
      <c r="AM99">
        <f t="shared" ref="AM99:AM104" si="88">W99/SUM(W$2:W$104)</f>
        <v>4.743185879986806E-6</v>
      </c>
      <c r="AN99">
        <f t="shared" ref="AN99:AN104" si="89">X99/SUM(X$2:X$104)</f>
        <v>6.8766971513658294E-6</v>
      </c>
      <c r="AO99">
        <f t="shared" ref="AO99:AO104" si="90">Y99/SUM(Y$2:Y$104)</f>
        <v>2.2467381640812377E-5</v>
      </c>
      <c r="AP99">
        <f t="shared" ref="AP99:AP104" si="91">Z99/SUM(Z$2:Z$104)</f>
        <v>1.8820924330182879E-5</v>
      </c>
      <c r="AQ99">
        <f t="shared" ref="AQ99:AQ104" si="92">AA99/SUM(AA$2:AA$104)</f>
        <v>5.8703565651936141E-4</v>
      </c>
      <c r="AR99" s="1"/>
      <c r="AS99" s="1">
        <f t="shared" si="74"/>
        <v>1.8733447066045166E-5</v>
      </c>
      <c r="AT99" s="1">
        <f t="shared" si="75"/>
        <v>1.2390247578188303E-4</v>
      </c>
      <c r="AU99" s="1">
        <f t="shared" si="76"/>
        <v>3.9302714438245554E-5</v>
      </c>
      <c r="AV99" s="1">
        <f t="shared" si="77"/>
        <v>6.6139710083820784</v>
      </c>
      <c r="AW99" s="1">
        <f t="shared" si="78"/>
        <v>2.0979969302864014</v>
      </c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</row>
    <row r="100" spans="1:91" hidden="1">
      <c r="A100" s="1" t="s">
        <v>337</v>
      </c>
      <c r="B100" s="1" t="s">
        <v>191</v>
      </c>
      <c r="C100" s="1" t="s">
        <v>192</v>
      </c>
      <c r="D100" s="1">
        <v>0.1</v>
      </c>
      <c r="E100" s="1">
        <v>136.06368000000001</v>
      </c>
      <c r="F100" s="1">
        <v>3.7549999999999999</v>
      </c>
      <c r="G100" s="1">
        <f t="shared" si="70"/>
        <v>381619.09177409753</v>
      </c>
      <c r="H100" s="1">
        <f t="shared" si="71"/>
        <v>1504807.9899554099</v>
      </c>
      <c r="I100" s="1">
        <f t="shared" si="72"/>
        <v>5.3223358898345703E-5</v>
      </c>
      <c r="J100" s="1" t="e">
        <f>G100/#REF!</f>
        <v>#REF!</v>
      </c>
      <c r="K100" s="1" t="e">
        <f>H100/#REF!</f>
        <v>#REF!</v>
      </c>
      <c r="L100" s="1">
        <v>56.9</v>
      </c>
      <c r="M100" s="1">
        <v>72513.2299218064</v>
      </c>
      <c r="N100" s="1">
        <v>92852.277949640906</v>
      </c>
      <c r="O100" s="1">
        <v>59456.871963949503</v>
      </c>
      <c r="P100" s="1">
        <v>172723.50490758801</v>
      </c>
      <c r="Q100" s="1">
        <v>166324.80389980701</v>
      </c>
      <c r="R100" s="1">
        <v>468863.99127260898</v>
      </c>
      <c r="S100" s="1">
        <v>215825.986595864</v>
      </c>
      <c r="T100" s="1">
        <v>245324.13684774499</v>
      </c>
      <c r="U100" s="1">
        <v>210506.40276101499</v>
      </c>
      <c r="V100" s="1">
        <v>311016.17682623799</v>
      </c>
      <c r="W100" s="1">
        <v>1504807.9899554099</v>
      </c>
      <c r="X100" s="1">
        <v>909655.43465928896</v>
      </c>
      <c r="Y100" s="1">
        <v>457699.47885182902</v>
      </c>
      <c r="Z100" s="1">
        <v>413561.26131846901</v>
      </c>
      <c r="AA100" s="1">
        <v>423154.82888020301</v>
      </c>
      <c r="AB100" s="1" t="s">
        <v>337</v>
      </c>
      <c r="AC100">
        <f t="shared" si="73"/>
        <v>1.6477252060173194E-5</v>
      </c>
      <c r="AD100">
        <f t="shared" si="79"/>
        <v>1.6073781359175041E-5</v>
      </c>
      <c r="AE100">
        <f t="shared" si="80"/>
        <v>1.5083466182371653E-5</v>
      </c>
      <c r="AF100">
        <f t="shared" si="81"/>
        <v>3.9388216846531958E-5</v>
      </c>
      <c r="AG100">
        <f t="shared" si="82"/>
        <v>3.2864029151901151E-5</v>
      </c>
      <c r="AH100">
        <f t="shared" si="83"/>
        <v>4.0261623791121099E-5</v>
      </c>
      <c r="AI100">
        <f t="shared" si="84"/>
        <v>3.8989213853287274E-5</v>
      </c>
      <c r="AJ100">
        <f t="shared" si="85"/>
        <v>3.569135307103284E-5</v>
      </c>
      <c r="AK100">
        <f t="shared" si="86"/>
        <v>3.0748301702099743E-5</v>
      </c>
      <c r="AL100">
        <f t="shared" si="87"/>
        <v>3.1744483738461376E-5</v>
      </c>
      <c r="AM100">
        <f t="shared" si="88"/>
        <v>1.3187659278198594E-4</v>
      </c>
      <c r="AN100">
        <f t="shared" si="89"/>
        <v>1.1002167385390251E-4</v>
      </c>
      <c r="AO100">
        <f t="shared" si="90"/>
        <v>5.8191501224119195E-5</v>
      </c>
      <c r="AP100">
        <f t="shared" si="91"/>
        <v>5.0099248835510989E-5</v>
      </c>
      <c r="AQ100">
        <f t="shared" si="92"/>
        <v>5.6498193907546419E-5</v>
      </c>
      <c r="AR100" s="1"/>
      <c r="AS100" s="1">
        <f t="shared" si="74"/>
        <v>5.3546208329344951E-5</v>
      </c>
      <c r="AT100" s="1">
        <f t="shared" si="75"/>
        <v>4.6217135626121805E-5</v>
      </c>
      <c r="AU100" s="1">
        <f t="shared" si="76"/>
        <v>3.5142956208806617E-5</v>
      </c>
      <c r="AV100" s="1">
        <f t="shared" si="77"/>
        <v>0.86312620572227161</v>
      </c>
      <c r="AW100" s="1">
        <f t="shared" si="78"/>
        <v>0.65631082583203582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</row>
    <row r="101" spans="1:91" hidden="1">
      <c r="A101" s="1" t="s">
        <v>339</v>
      </c>
      <c r="B101" s="1" t="s">
        <v>158</v>
      </c>
      <c r="C101" s="1" t="s">
        <v>159</v>
      </c>
      <c r="D101" s="1">
        <v>0.72</v>
      </c>
      <c r="E101" s="1">
        <v>165.06518</v>
      </c>
      <c r="F101" s="1">
        <v>2.988</v>
      </c>
      <c r="G101" s="1">
        <f t="shared" si="70"/>
        <v>318786.57737681561</v>
      </c>
      <c r="H101" s="1">
        <f t="shared" si="71"/>
        <v>1494145.95353131</v>
      </c>
      <c r="I101" s="1">
        <f t="shared" si="72"/>
        <v>4.446028195503698E-5</v>
      </c>
      <c r="J101" s="1" t="e">
        <f>G101/#REF!</f>
        <v>#REF!</v>
      </c>
      <c r="K101" s="1" t="e">
        <f>H101/#REF!</f>
        <v>#REF!</v>
      </c>
      <c r="L101" s="1">
        <v>75.099999999999994</v>
      </c>
      <c r="M101" s="1">
        <v>61576.051325460801</v>
      </c>
      <c r="N101" s="1">
        <v>46855.241190935703</v>
      </c>
      <c r="O101" s="1">
        <v>57371.6225009888</v>
      </c>
      <c r="P101" s="1">
        <v>60027.169056367798</v>
      </c>
      <c r="Q101" s="1">
        <v>46631.638382889403</v>
      </c>
      <c r="R101" s="1">
        <v>73762.808354094799</v>
      </c>
      <c r="S101" s="1">
        <v>58923.482502391402</v>
      </c>
      <c r="T101" s="1">
        <v>65388.870410014802</v>
      </c>
      <c r="U101" s="1">
        <v>75257.2231324616</v>
      </c>
      <c r="V101" s="1">
        <v>1494145.95353131</v>
      </c>
      <c r="W101" s="1">
        <v>1221055.3351261001</v>
      </c>
      <c r="X101" s="1">
        <v>467980.20091294002</v>
      </c>
      <c r="Y101" s="1">
        <v>358499.78635178303</v>
      </c>
      <c r="Z101" s="1">
        <v>55636.863043140998</v>
      </c>
      <c r="AA101" s="1">
        <v>638686.41483135498</v>
      </c>
      <c r="AB101" s="1" t="s">
        <v>339</v>
      </c>
      <c r="AC101">
        <f t="shared" si="73"/>
        <v>1.3991986285176694E-5</v>
      </c>
      <c r="AD101">
        <f t="shared" si="79"/>
        <v>8.1111731350628177E-6</v>
      </c>
      <c r="AE101">
        <f t="shared" si="80"/>
        <v>1.4554464425006294E-5</v>
      </c>
      <c r="AF101">
        <f t="shared" si="81"/>
        <v>1.368871684685098E-5</v>
      </c>
      <c r="AG101">
        <f t="shared" si="82"/>
        <v>9.2139205174674976E-6</v>
      </c>
      <c r="AH101">
        <f t="shared" si="83"/>
        <v>6.3340552804414639E-6</v>
      </c>
      <c r="AI101">
        <f t="shared" si="84"/>
        <v>1.0644595196814891E-5</v>
      </c>
      <c r="AJ101">
        <f t="shared" si="85"/>
        <v>9.513198703999852E-6</v>
      </c>
      <c r="AK101">
        <f t="shared" si="86"/>
        <v>1.0992690824545881E-5</v>
      </c>
      <c r="AL101">
        <f t="shared" si="87"/>
        <v>1.5250297398923323E-4</v>
      </c>
      <c r="AM101">
        <f t="shared" si="88"/>
        <v>1.0700941134653839E-4</v>
      </c>
      <c r="AN101">
        <f t="shared" si="89"/>
        <v>5.66016131747864E-5</v>
      </c>
      <c r="AO101">
        <f t="shared" si="90"/>
        <v>4.5579341293263275E-5</v>
      </c>
      <c r="AP101">
        <f t="shared" si="91"/>
        <v>6.7399084651671816E-6</v>
      </c>
      <c r="AQ101">
        <f t="shared" si="92"/>
        <v>8.5275238396188179E-5</v>
      </c>
      <c r="AR101" s="1"/>
      <c r="AS101" s="1">
        <f t="shared" si="74"/>
        <v>5.8795270392633971E-5</v>
      </c>
      <c r="AT101" s="1">
        <f t="shared" si="75"/>
        <v>2.7805196799896429E-5</v>
      </c>
      <c r="AU101" s="1">
        <f t="shared" si="76"/>
        <v>1.0383494908453541E-5</v>
      </c>
      <c r="AV101" s="1">
        <f t="shared" si="77"/>
        <v>0.47291553579418422</v>
      </c>
      <c r="AW101" s="1">
        <f t="shared" si="78"/>
        <v>0.17660425471492369</v>
      </c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</row>
    <row r="102" spans="1:91" hidden="1">
      <c r="A102" s="1" t="s">
        <v>340</v>
      </c>
      <c r="B102" s="1" t="s">
        <v>144</v>
      </c>
      <c r="C102" s="1" t="s">
        <v>145</v>
      </c>
      <c r="D102" s="1">
        <v>-0.12</v>
      </c>
      <c r="E102" s="1">
        <v>308.23205999999999</v>
      </c>
      <c r="F102" s="1">
        <v>1.0680000000000001</v>
      </c>
      <c r="G102" s="1">
        <f t="shared" si="70"/>
        <v>221085.14350784072</v>
      </c>
      <c r="H102" s="1">
        <f t="shared" si="71"/>
        <v>403408.61374371097</v>
      </c>
      <c r="I102" s="1">
        <f t="shared" si="72"/>
        <v>3.0834133285384943E-5</v>
      </c>
      <c r="J102" s="1" t="e">
        <f>G102/#REF!</f>
        <v>#REF!</v>
      </c>
      <c r="K102" s="1" t="e">
        <f>H102/#REF!</f>
        <v>#REF!</v>
      </c>
      <c r="L102" s="1">
        <v>53.3</v>
      </c>
      <c r="M102" s="1">
        <v>86812.733751769701</v>
      </c>
      <c r="N102" s="1">
        <v>278532.20284379099</v>
      </c>
      <c r="O102" s="1">
        <v>110594.773564249</v>
      </c>
      <c r="P102" s="1">
        <v>146746.095110036</v>
      </c>
      <c r="Q102" s="1">
        <v>120661.68109656499</v>
      </c>
      <c r="R102" s="1">
        <v>188561.07442880201</v>
      </c>
      <c r="S102" s="1">
        <v>217065.849346595</v>
      </c>
      <c r="T102" s="1">
        <v>252168.471887219</v>
      </c>
      <c r="U102" s="1">
        <v>115562.39698417101</v>
      </c>
      <c r="V102" s="1">
        <v>229984.458812364</v>
      </c>
      <c r="W102" s="1">
        <v>195298.916514749</v>
      </c>
      <c r="X102" s="1">
        <v>403408.61374371097</v>
      </c>
      <c r="Y102" s="1">
        <v>310524.87282267702</v>
      </c>
      <c r="Z102" s="1">
        <v>323071.63639051799</v>
      </c>
      <c r="AA102" s="1">
        <v>337283.37532039499</v>
      </c>
      <c r="AB102" s="1" t="s">
        <v>340</v>
      </c>
      <c r="AC102">
        <f t="shared" si="73"/>
        <v>1.9726542282051204E-5</v>
      </c>
      <c r="AD102">
        <f t="shared" si="79"/>
        <v>4.8217080171459636E-5</v>
      </c>
      <c r="AE102">
        <f t="shared" si="80"/>
        <v>2.8056513434054374E-5</v>
      </c>
      <c r="AF102">
        <f t="shared" si="81"/>
        <v>3.3464275859087048E-5</v>
      </c>
      <c r="AG102">
        <f t="shared" si="82"/>
        <v>2.3841477110435436E-5</v>
      </c>
      <c r="AH102">
        <f t="shared" si="83"/>
        <v>1.6191849196386609E-5</v>
      </c>
      <c r="AI102">
        <f t="shared" si="84"/>
        <v>3.9213196491798247E-5</v>
      </c>
      <c r="AJ102">
        <f t="shared" si="85"/>
        <v>3.6687111505442076E-5</v>
      </c>
      <c r="AK102">
        <f t="shared" si="86"/>
        <v>1.6879997003802198E-5</v>
      </c>
      <c r="AL102">
        <f t="shared" si="87"/>
        <v>2.3473820517531432E-5</v>
      </c>
      <c r="AM102">
        <f t="shared" si="88"/>
        <v>1.7115376749655481E-5</v>
      </c>
      <c r="AN102">
        <f t="shared" si="89"/>
        <v>4.8791761407756988E-5</v>
      </c>
      <c r="AO102">
        <f t="shared" si="90"/>
        <v>3.9479853816547682E-5</v>
      </c>
      <c r="AP102">
        <f t="shared" si="91"/>
        <v>3.9137239913678206E-5</v>
      </c>
      <c r="AQ102">
        <f t="shared" si="92"/>
        <v>4.5032929415153243E-5</v>
      </c>
      <c r="AR102" s="1"/>
      <c r="AS102" s="1">
        <f t="shared" si="74"/>
        <v>3.0896849093751517E-5</v>
      </c>
      <c r="AT102" s="1">
        <f t="shared" si="75"/>
        <v>3.2857937551881373E-5</v>
      </c>
      <c r="AU102" s="1">
        <f t="shared" si="76"/>
        <v>3.0926768333680839E-5</v>
      </c>
      <c r="AV102" s="1">
        <f t="shared" si="77"/>
        <v>1.0634721182143605</v>
      </c>
      <c r="AW102" s="1">
        <f t="shared" si="78"/>
        <v>1.0009683589364902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</row>
    <row r="103" spans="1:91">
      <c r="A103" s="1" t="s">
        <v>336</v>
      </c>
      <c r="B103" s="1" t="s">
        <v>187</v>
      </c>
      <c r="C103" s="1" t="s">
        <v>188</v>
      </c>
      <c r="D103" s="1">
        <v>-0.08</v>
      </c>
      <c r="E103" s="1">
        <v>213.05452</v>
      </c>
      <c r="F103" s="1">
        <v>0.85299999999999998</v>
      </c>
      <c r="G103" s="1">
        <f t="shared" si="70"/>
        <v>209411.00942119962</v>
      </c>
      <c r="H103" s="1">
        <f t="shared" si="71"/>
        <v>2316356.8616386699</v>
      </c>
      <c r="I103" s="1">
        <f t="shared" si="72"/>
        <v>2.9205974103326734E-5</v>
      </c>
      <c r="J103" s="1" t="e">
        <f>G103/#REF!</f>
        <v>#REF!</v>
      </c>
      <c r="K103" s="1" t="e">
        <f>H103/#REF!</f>
        <v>#REF!</v>
      </c>
      <c r="L103" s="1">
        <v>73</v>
      </c>
      <c r="M103" s="1">
        <v>31880.3772036956</v>
      </c>
      <c r="N103" s="1">
        <v>39506.830378395403</v>
      </c>
      <c r="O103" s="1">
        <v>30481.472288430301</v>
      </c>
      <c r="P103" s="1">
        <v>38590.543920358199</v>
      </c>
      <c r="Q103" s="1">
        <v>33483.072407707303</v>
      </c>
      <c r="R103" s="1">
        <v>2316356.8616386699</v>
      </c>
      <c r="S103" s="1">
        <v>34970.531074047904</v>
      </c>
      <c r="T103" s="1">
        <v>30998.219068934799</v>
      </c>
      <c r="U103" s="1">
        <v>289193.25061276898</v>
      </c>
      <c r="V103" s="1">
        <v>34493.901222016502</v>
      </c>
      <c r="W103" s="1">
        <v>34127.685458780397</v>
      </c>
      <c r="X103" s="1">
        <v>50981.784414128801</v>
      </c>
      <c r="Y103" s="1">
        <v>36586.834322660703</v>
      </c>
      <c r="Z103" s="1">
        <v>48036.7476033938</v>
      </c>
      <c r="AA103" s="1">
        <v>91477.029704005894</v>
      </c>
      <c r="AB103" s="1" t="s">
        <v>336</v>
      </c>
      <c r="AC103">
        <f t="shared" si="73"/>
        <v>7.2442092501622487E-6</v>
      </c>
      <c r="AD103">
        <f t="shared" si="79"/>
        <v>6.8390799635605297E-6</v>
      </c>
      <c r="AE103">
        <f t="shared" si="80"/>
        <v>7.7327690015412731E-6</v>
      </c>
      <c r="AF103">
        <f t="shared" si="81"/>
        <v>8.8002655630102829E-6</v>
      </c>
      <c r="AG103">
        <f t="shared" si="82"/>
        <v>6.6159023903913742E-6</v>
      </c>
      <c r="AH103">
        <f t="shared" si="83"/>
        <v>1.9890691173819376E-4</v>
      </c>
      <c r="AI103">
        <f t="shared" si="84"/>
        <v>6.317466845001373E-6</v>
      </c>
      <c r="AJ103">
        <f t="shared" si="85"/>
        <v>4.5098227821309643E-6</v>
      </c>
      <c r="AK103">
        <f t="shared" si="86"/>
        <v>4.2241951804893816E-5</v>
      </c>
      <c r="AL103">
        <f t="shared" si="87"/>
        <v>3.5206885300701184E-6</v>
      </c>
      <c r="AM103">
        <f t="shared" si="88"/>
        <v>2.9908419598254837E-6</v>
      </c>
      <c r="AN103">
        <f t="shared" si="89"/>
        <v>6.1661823186953598E-6</v>
      </c>
      <c r="AO103">
        <f t="shared" si="90"/>
        <v>4.6516173005366065E-6</v>
      </c>
      <c r="AP103">
        <f t="shared" si="91"/>
        <v>5.8192224381911342E-6</v>
      </c>
      <c r="AQ103">
        <f t="shared" si="92"/>
        <v>1.2213701958642834E-5</v>
      </c>
      <c r="AR103" s="1"/>
      <c r="AS103" s="1">
        <f t="shared" si="74"/>
        <v>5.7489618373091694E-6</v>
      </c>
      <c r="AT103" s="1">
        <f t="shared" si="75"/>
        <v>3.9501270231494334E-5</v>
      </c>
      <c r="AU103" s="1">
        <f t="shared" si="76"/>
        <v>1.7689747144008719E-5</v>
      </c>
      <c r="AV103" s="1">
        <f t="shared" si="77"/>
        <v>6.871026691313558</v>
      </c>
      <c r="AW103" s="1">
        <f t="shared" si="78"/>
        <v>3.077033322643953</v>
      </c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</row>
    <row r="104" spans="1:91" hidden="1">
      <c r="A104" s="1" t="s">
        <v>341</v>
      </c>
      <c r="B104" s="1" t="s">
        <v>181</v>
      </c>
      <c r="C104" s="1" t="s">
        <v>182</v>
      </c>
      <c r="D104" s="1">
        <v>0.62</v>
      </c>
      <c r="E104" s="1">
        <v>164.04761999999999</v>
      </c>
      <c r="F104" s="1">
        <v>8.3030000000000008</v>
      </c>
      <c r="G104" s="1">
        <f t="shared" si="70"/>
        <v>112572.33235632548</v>
      </c>
      <c r="H104" s="1">
        <f t="shared" si="71"/>
        <v>329128.84607574902</v>
      </c>
      <c r="I104" s="1">
        <f t="shared" si="72"/>
        <v>1.5700151738140159E-5</v>
      </c>
      <c r="J104" s="1" t="e">
        <f>G104/#REF!</f>
        <v>#REF!</v>
      </c>
      <c r="K104" s="1" t="e">
        <f>H104/#REF!</f>
        <v>#REF!</v>
      </c>
      <c r="L104" s="1">
        <v>57.7</v>
      </c>
      <c r="M104" s="1">
        <v>86613.910116360305</v>
      </c>
      <c r="N104" s="1">
        <v>111720.290938848</v>
      </c>
      <c r="O104" s="1">
        <v>43786.360478262002</v>
      </c>
      <c r="P104" s="1">
        <v>44996.390368628003</v>
      </c>
      <c r="Q104" s="1">
        <v>87825.718190962594</v>
      </c>
      <c r="R104" s="1">
        <v>55043.240318525102</v>
      </c>
      <c r="S104" s="1">
        <v>56814.690674175901</v>
      </c>
      <c r="T104" s="1">
        <v>43380.853304958997</v>
      </c>
      <c r="U104" s="1">
        <v>136985.70094035199</v>
      </c>
      <c r="V104" s="1">
        <v>178708.835695944</v>
      </c>
      <c r="W104" s="1">
        <v>329128.84607574902</v>
      </c>
      <c r="X104" s="1">
        <v>202427.04572252501</v>
      </c>
      <c r="Y104" s="1">
        <v>104696.395399138</v>
      </c>
      <c r="Z104" s="1">
        <v>54478.991413130898</v>
      </c>
      <c r="AA104" s="1">
        <v>151977.715707322</v>
      </c>
      <c r="AB104" s="1" t="s">
        <v>341</v>
      </c>
      <c r="AC104">
        <f t="shared" si="73"/>
        <v>1.9681363393182326E-5</v>
      </c>
      <c r="AD104">
        <f t="shared" si="79"/>
        <v>1.9340048188246011E-5</v>
      </c>
      <c r="AE104">
        <f t="shared" si="80"/>
        <v>1.110805304260625E-5</v>
      </c>
      <c r="AF104">
        <f t="shared" si="81"/>
        <v>1.0261067722652846E-5</v>
      </c>
      <c r="AG104">
        <f t="shared" si="82"/>
        <v>1.7353436740879266E-5</v>
      </c>
      <c r="AH104">
        <f t="shared" si="83"/>
        <v>4.726595079169162E-6</v>
      </c>
      <c r="AI104">
        <f t="shared" si="84"/>
        <v>1.0263639516457843E-5</v>
      </c>
      <c r="AJ104">
        <f t="shared" si="85"/>
        <v>6.3113290511275899E-6</v>
      </c>
      <c r="AK104">
        <f t="shared" si="86"/>
        <v>2.0009261505311384E-5</v>
      </c>
      <c r="AL104">
        <f t="shared" si="87"/>
        <v>1.8240272215289709E-5</v>
      </c>
      <c r="AM104">
        <f t="shared" si="88"/>
        <v>2.8843806715847269E-5</v>
      </c>
      <c r="AN104">
        <f t="shared" si="89"/>
        <v>2.4483295053400511E-5</v>
      </c>
      <c r="AO104">
        <f t="shared" si="90"/>
        <v>1.3311005807376308E-5</v>
      </c>
      <c r="AP104">
        <f t="shared" si="91"/>
        <v>6.5996426706231794E-6</v>
      </c>
      <c r="AQ104">
        <f t="shared" si="92"/>
        <v>2.0291547834584933E-5</v>
      </c>
      <c r="AR104" s="1"/>
      <c r="AS104" s="1">
        <f t="shared" si="74"/>
        <v>2.0282806434762013E-5</v>
      </c>
      <c r="AT104" s="1">
        <f t="shared" si="75"/>
        <v>1.2090549309214281E-5</v>
      </c>
      <c r="AU104" s="1">
        <f t="shared" si="76"/>
        <v>1.2194743357632272E-5</v>
      </c>
      <c r="AV104" s="1">
        <f t="shared" si="77"/>
        <v>0.59609844170739112</v>
      </c>
      <c r="AW104" s="1">
        <f t="shared" si="78"/>
        <v>0.6012355044089025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</row>
    <row r="105" spans="1:9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7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</row>
    <row r="106" spans="1:9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</row>
    <row r="107" spans="1:9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7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</row>
    <row r="108" spans="1:9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</row>
    <row r="109" spans="1:9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7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</row>
    <row r="110" spans="1:9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</row>
    <row r="111" spans="1:9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7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</row>
    <row r="112" spans="1:9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</row>
    <row r="113" spans="1:9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7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</row>
    <row r="114" spans="1:9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</row>
    <row r="115" spans="1:9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7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</row>
    <row r="116" spans="1:9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</row>
    <row r="117" spans="1:9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7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</row>
    <row r="118" spans="1:9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</row>
  </sheetData>
  <autoFilter ref="A1:AW104" xr:uid="{875C1578-1A2F-8645-8456-037DD0D5CAAA}">
    <filterColumn colId="2">
      <filters>
        <filter val="C H4 O3 S"/>
        <filter val="C10 H8 O3 S"/>
        <filter val="C12 H26 O4 S"/>
        <filter val="C14 H30 O4 S"/>
        <filter val="C18 H30 O3 S"/>
        <filter val="C2 H6 O S"/>
        <filter val="C4 H8 N2 S"/>
        <filter val="C6 H6 O4 S"/>
        <filter val="C7 H5 N O S"/>
        <filter val="C8 H10 O3 S"/>
        <filter val="C9 H13 N3 O4 S"/>
      </filters>
    </filterColumn>
    <sortState xmlns:xlrd2="http://schemas.microsoft.com/office/spreadsheetml/2017/richdata2" ref="A2:AW104">
      <sortCondition descending="1" ref="I2:I104"/>
    </sortState>
  </autoFilter>
  <sortState xmlns:xlrd2="http://schemas.microsoft.com/office/spreadsheetml/2017/richdata2" ref="A2:AW104">
    <sortCondition descending="1" ref="H2:H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Heatmap</vt:lpstr>
      <vt:lpstr>PCA</vt:lpstr>
      <vt:lpstr>Compounds</vt:lpstr>
      <vt:lpstr>Compounds.raw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LY胞外.pdResult using  </dc:description>
  <cp:lastModifiedBy>YANG LIAO</cp:lastModifiedBy>
  <dcterms:created xsi:type="dcterms:W3CDTF">2025-04-22T06:10:00Z</dcterms:created>
  <dcterms:modified xsi:type="dcterms:W3CDTF">2026-09-10T06:52:33Z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9FBE0D40FC944217BD307001AD428CC4_12</vt:lpwstr>
  </property>
  <property fmtid="{D5CDD505-2E9C-101B-9397-08002B2CF9AE}" pid="3" name="KSOProductBuildVer">
    <vt:lpwstr>2052-12.1.0.16120</vt:lpwstr>
  </property>
</Properties>
</file>