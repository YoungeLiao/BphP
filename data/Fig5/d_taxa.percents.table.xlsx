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60" windowHeight="11380"/>
  </bookViews>
  <sheets>
    <sheet name="Enriched" sheetId="2" r:id="rId1"/>
    <sheet name="taxa.percents.table" sheetId="1" r:id="rId2"/>
  </sheets>
  <definedNames>
    <definedName name="_xlnm._FilterDatabase" localSheetId="1" hidden="1">taxa.percents.table!$A$1:$U$32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<sst xmlns="http://schemas.openxmlformats.org/spreadsheetml/2006/main" count="455" uniqueCount="219">
  <si>
    <t>Genus</t>
  </si>
  <si>
    <t>Relative_Abundance</t>
  </si>
  <si>
    <t>Time</t>
  </si>
  <si>
    <t>Light</t>
  </si>
  <si>
    <t>Marinobacter</t>
  </si>
  <si>
    <t>T0</t>
  </si>
  <si>
    <t>Dark</t>
  </si>
  <si>
    <t>Aliidiomarina</t>
  </si>
  <si>
    <t>Marinicella</t>
  </si>
  <si>
    <t>Thauera</t>
  </si>
  <si>
    <t>Paracoccus</t>
  </si>
  <si>
    <t>Candidatus_Brocadia</t>
  </si>
  <si>
    <t>Pseudomonas</t>
  </si>
  <si>
    <t>norank_o__Actinomarinales</t>
  </si>
  <si>
    <t>0.13490222780177458</t>
  </si>
  <si>
    <t>Halomonas</t>
  </si>
  <si>
    <t>Candidatus_Scalindua</t>
  </si>
  <si>
    <t>0.11419877864544545</t>
  </si>
  <si>
    <t>IR</t>
  </si>
  <si>
    <t>0.13773219567206418</t>
  </si>
  <si>
    <t>Tt</t>
  </si>
  <si>
    <t>0.12128433729812542</t>
  </si>
  <si>
    <t>0.10241079217822414</t>
  </si>
  <si>
    <t>0.021043896418920356</t>
  </si>
  <si>
    <t>0.042449518054343896</t>
  </si>
  <si>
    <t>0.021150286188480114</t>
  </si>
  <si>
    <t>0.035427793263399794</t>
  </si>
  <si>
    <t>Day1_Dark</t>
  </si>
  <si>
    <t>Day1_IR</t>
  </si>
  <si>
    <t>Day9_Dark</t>
  </si>
  <si>
    <t>Day9_IR</t>
  </si>
  <si>
    <t>Day10_Dark</t>
  </si>
  <si>
    <t>Day10_IR</t>
  </si>
  <si>
    <t>Efflent_Dark</t>
  </si>
  <si>
    <t>Effluent_IR</t>
  </si>
  <si>
    <t>Enrichment_Dark</t>
  </si>
  <si>
    <t>Enrichment_IR</t>
  </si>
  <si>
    <t>B0802_M0</t>
  </si>
  <si>
    <t>B0802_T0</t>
  </si>
  <si>
    <t>Domain</t>
  </si>
  <si>
    <t>Kingdom</t>
  </si>
  <si>
    <t>Phylum</t>
  </si>
  <si>
    <t>Class</t>
  </si>
  <si>
    <t>Order</t>
  </si>
  <si>
    <t>Family</t>
  </si>
  <si>
    <t>g__Marinobacter</t>
  </si>
  <si>
    <t>0.012298657361108157</t>
  </si>
  <si>
    <t>0.018596931719045896</t>
  </si>
  <si>
    <t>0.27554950315977617</t>
  </si>
  <si>
    <t>0.2445688022639743</t>
  </si>
  <si>
    <t>d__Bacteria</t>
  </si>
  <si>
    <t>k__norank_d__Bacteria</t>
  </si>
  <si>
    <t>p__Pseudomonadota</t>
  </si>
  <si>
    <t>c__Gammaproteobacteria</t>
  </si>
  <si>
    <t>o__Pseudomonadales</t>
  </si>
  <si>
    <t>f__Marinobacteraceae</t>
  </si>
  <si>
    <t>g__Aliidiomarina</t>
  </si>
  <si>
    <t>0.27184713917909653</t>
  </si>
  <si>
    <t>0.2972104602421431</t>
  </si>
  <si>
    <t>o__Enterobacterales</t>
  </si>
  <si>
    <t>f__Idiomarinaceae</t>
  </si>
  <si>
    <t>g__Marinicella</t>
  </si>
  <si>
    <t>0.020426835755473754</t>
  </si>
  <si>
    <t>0.10336830010426197</t>
  </si>
  <si>
    <t>0.056705747175351616</t>
  </si>
  <si>
    <t>0.027193225099474434</t>
  </si>
  <si>
    <t>0.021852458667574525</t>
  </si>
  <si>
    <t>o__Gammaproteobacteria_</t>
  </si>
  <si>
    <t>f__norank_o__Gammaproteobacteria_</t>
  </si>
  <si>
    <t>g__Thauera</t>
  </si>
  <si>
    <t>0.10926229333787263</t>
  </si>
  <si>
    <t>0.14781794582632934</t>
  </si>
  <si>
    <t>o__Burkholderiales</t>
  </si>
  <si>
    <t>f__Rhodocyclaceae</t>
  </si>
  <si>
    <t>g__Paracoccus</t>
  </si>
  <si>
    <t>0.10675149477626232</t>
  </si>
  <si>
    <t>c__Alphaproteobacteria</t>
  </si>
  <si>
    <t>o__Rhodobacterales</t>
  </si>
  <si>
    <t>f__Paracoccaceae</t>
  </si>
  <si>
    <t>g__Candidatus_Brocadia</t>
  </si>
  <si>
    <t>p__Planctomycetota</t>
  </si>
  <si>
    <t>c__Brocadiae</t>
  </si>
  <si>
    <t>o__Brocadiales</t>
  </si>
  <si>
    <t>f__Brocadiaceae</t>
  </si>
  <si>
    <t>g__Pseudomonas</t>
  </si>
  <si>
    <t>0.17577717726663403</t>
  </si>
  <si>
    <t>0.015149903185309701</t>
  </si>
  <si>
    <t>f__Pseudomonadaceae</t>
  </si>
  <si>
    <t>g__norank_o__Actinomarinales</t>
  </si>
  <si>
    <t>0.026342106942996362</t>
  </si>
  <si>
    <t>0.024512202906568505</t>
  </si>
  <si>
    <t>p__Actinomycetota</t>
  </si>
  <si>
    <t>c__Acidimicrobiia</t>
  </si>
  <si>
    <t>o__Actinomarinales</t>
  </si>
  <si>
    <t>f__norank_o__Actinomarinales</t>
  </si>
  <si>
    <t>g__Halomonas</t>
  </si>
  <si>
    <t>0.029661467753260846</t>
  </si>
  <si>
    <t>f__Halomonadaceae</t>
  </si>
  <si>
    <t>g__Candidatus_Scalindua</t>
  </si>
  <si>
    <t>0.020107666446794476</t>
  </si>
  <si>
    <t>0.011958210098516926</t>
  </si>
  <si>
    <t>0.11200714939251441</t>
  </si>
  <si>
    <t>f__Scalinduaceae</t>
  </si>
  <si>
    <t>g__Pseudidiomarina</t>
  </si>
  <si>
    <t>0.012958273932378663</t>
  </si>
  <si>
    <t>0.027406004638593953</t>
  </si>
  <si>
    <t>g__unclassified_f__Flavobacteriaceae</t>
  </si>
  <si>
    <t>0.13607251526693193</t>
  </si>
  <si>
    <t>p__Bacteroidota</t>
  </si>
  <si>
    <t>c__Bacteroidia</t>
  </si>
  <si>
    <t>o__Flavobacteriales</t>
  </si>
  <si>
    <t>f__Flavobacteriaceae</t>
  </si>
  <si>
    <t>g__unclassified_f__Cyclobacteriaceae</t>
  </si>
  <si>
    <t>0.022873800455348214</t>
  </si>
  <si>
    <t>0.022533353192756983</t>
  </si>
  <si>
    <t>0.010851756495095432</t>
  </si>
  <si>
    <t>0.014681788199246761</t>
  </si>
  <si>
    <t>o__Cytophagales</t>
  </si>
  <si>
    <t>f__Cyclobacteriaceae</t>
  </si>
  <si>
    <t>g__Wenzhouxiangella</t>
  </si>
  <si>
    <t>g__Truepera</t>
  </si>
  <si>
    <t>0.053428942272911034</t>
  </si>
  <si>
    <t>0.027810285762921036</t>
  </si>
  <si>
    <t>0.014979679554014086</t>
  </si>
  <si>
    <t>0.026916611698619062</t>
  </si>
  <si>
    <t>p__Deinococcota</t>
  </si>
  <si>
    <t>c__Deinococci</t>
  </si>
  <si>
    <t>o__Deinococcales</t>
  </si>
  <si>
    <t>f__Trueperaceae</t>
  </si>
  <si>
    <t>g__Rectinema</t>
  </si>
  <si>
    <t>0.020192778262442285</t>
  </si>
  <si>
    <t>0.017447922207800497</t>
  </si>
  <si>
    <t>0.023533417026618722</t>
  </si>
  <si>
    <t>p__Spirochaetota</t>
  </si>
  <si>
    <t>c__Spirochaetia</t>
  </si>
  <si>
    <t>o__Spirochaetales</t>
  </si>
  <si>
    <t>f__Spirochaetaceae</t>
  </si>
  <si>
    <t>g__unclassified_f__Paracoccaceae</t>
  </si>
  <si>
    <t>0.013809392088856736</t>
  </si>
  <si>
    <t>0.013703002319296977</t>
  </si>
  <si>
    <t>0.020533225525033512</t>
  </si>
  <si>
    <t>0.016341468604379003</t>
  </si>
  <si>
    <t>g__JTB255_marine_benthic_group</t>
  </si>
  <si>
    <t>0.015362682724429219</t>
  </si>
  <si>
    <t>0.027427282592505906</t>
  </si>
  <si>
    <t>0.026491052620380023</t>
  </si>
  <si>
    <t>o__Steroidobacterales</t>
  </si>
  <si>
    <t>f__Woeseiaceae</t>
  </si>
  <si>
    <t>g__Emcibacter</t>
  </si>
  <si>
    <t>0.015915909526139967</t>
  </si>
  <si>
    <t>0.017852203332127583</t>
  </si>
  <si>
    <t>0.016873417452177797</t>
  </si>
  <si>
    <t>o__Emcibacterales</t>
  </si>
  <si>
    <t>f__Emcibacteraceae</t>
  </si>
  <si>
    <t>g__Aggregatilinea</t>
  </si>
  <si>
    <t>p__Chloroflexota</t>
  </si>
  <si>
    <t>c__Anaerolineae</t>
  </si>
  <si>
    <t>o__Aggregatilineales</t>
  </si>
  <si>
    <t>f__Aggregatilineaceae</t>
  </si>
  <si>
    <t>g__Acidiferrimicrobium</t>
  </si>
  <si>
    <t>0.026129327403876842</t>
  </si>
  <si>
    <t>0.028789071642870822</t>
  </si>
  <si>
    <t>o__Acidimicrobiales</t>
  </si>
  <si>
    <t>f__Acidimicrobiaceae</t>
  </si>
  <si>
    <t>g__Methylophaga</t>
  </si>
  <si>
    <t>0.015405238632253123</t>
  </si>
  <si>
    <t>0.013915781858416494</t>
  </si>
  <si>
    <t>o__Nitrosococcales</t>
  </si>
  <si>
    <t>f__Methylophagaceae</t>
  </si>
  <si>
    <t>g__Dietzia</t>
  </si>
  <si>
    <t>0.011447539204630083</t>
  </si>
  <si>
    <t>c__Actinobacteria</t>
  </si>
  <si>
    <t>o__Mycobacteriales</t>
  </si>
  <si>
    <t>f__Dietziaceae</t>
  </si>
  <si>
    <t>g__unclassified_f__Family_XI</t>
  </si>
  <si>
    <t>0.029852969338468413</t>
  </si>
  <si>
    <t>0.018660765580781752</t>
  </si>
  <si>
    <t>0.014128561397536012</t>
  </si>
  <si>
    <t>p__Bacillota</t>
  </si>
  <si>
    <t>c__Clostridia</t>
  </si>
  <si>
    <t>o__Peptostreptococcales-Tissierellales</t>
  </si>
  <si>
    <t>f__Family_XI</t>
  </si>
  <si>
    <t>g__norank_f__SC-I-84</t>
  </si>
  <si>
    <t>0.012490158946315721</t>
  </si>
  <si>
    <t>0.011256037619422517</t>
  </si>
  <si>
    <t>0.012851884162818903</t>
  </si>
  <si>
    <t>4.255590782390365e-05</t>
  </si>
  <si>
    <t>f__SC-I-84</t>
  </si>
  <si>
    <t>g__Vicingus</t>
  </si>
  <si>
    <t>0.018086260825159052</t>
  </si>
  <si>
    <t>0.010213417877736877</t>
  </si>
  <si>
    <t>f__Cryomorphaceae</t>
  </si>
  <si>
    <t>g__Acidimangrovimonas</t>
  </si>
  <si>
    <t>0.013064663701938421</t>
  </si>
  <si>
    <t>g__IheB3-7</t>
  </si>
  <si>
    <t>0.030916867034066004</t>
  </si>
  <si>
    <t>0.028576292103751302</t>
  </si>
  <si>
    <t>p__Ignavibacteriota</t>
  </si>
  <si>
    <t>c__Ignavibacteria</t>
  </si>
  <si>
    <t>o__Ignavibacteriales</t>
  </si>
  <si>
    <t>f__Melioribacteraceae</t>
  </si>
  <si>
    <t>g__unclassified_c__Gammaproteobacteria</t>
  </si>
  <si>
    <t>0.017979871055599294</t>
  </si>
  <si>
    <t>0.019086324659020788</t>
  </si>
  <si>
    <t>o__unclassified_c__Gammaproteobacteria</t>
  </si>
  <si>
    <t>f__unclassified_c__Gammaproteobacteria</t>
  </si>
  <si>
    <t>g__norank_f__Paracoccaceae</t>
  </si>
  <si>
    <t>0.013681724365385025</t>
  </si>
  <si>
    <t>0.015298848862693363</t>
  </si>
  <si>
    <t>0.3039555716322318</t>
  </si>
  <si>
    <t>0.26512330574291976</t>
  </si>
  <si>
    <t>0.20597059386769367</t>
  </si>
  <si>
    <t>0.20914100900057453</t>
  </si>
  <si>
    <t>0.30423218503308713</t>
  </si>
  <si>
    <t>0.1043258080302998</t>
  </si>
  <si>
    <t>0.12613571079005043</t>
  </si>
  <si>
    <t>0.4107496223163181</t>
  </si>
  <si>
    <t>0.3152116092516543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</si>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</sst>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b/>
      <sz val="12"/>
      <color theme="4"/>
      <name val="Calibri"/>
      <charset val="134"/>
      <scheme val="minor"/>
    </font>
    <font>
      <sz val="12"/>
      <color rgb="FFC00000"/>
      <name val="Calibri"/>
      <charset val="134"/>
      <scheme val="minor"/>
    </font>
    <font>
      <sz val="12"/>
      <color theme="4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2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2"/>
      <color rgb="FF3F3F76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FA7D00"/>
      <name val="Calibri"/>
      <charset val="134"/>
      <scheme val="minor"/>
    </font>
    <font>
      <sz val="12"/>
      <color rgb="FF006100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color rgb="FF9C5700"/>
      <name val="Calibri"/>
      <charset val="134"/>
      <scheme val="minor"/>
    </font>
    <font>
      <sz val="12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5" applyNumberFormat="0" applyAlignment="0" applyProtection="0"/>
    <xf numFmtId="0" fontId="16" fillId="6" borderId="6" applyNumberFormat="0" applyAlignment="0" applyProtection="0"/>
    <xf numFmtId="0" fontId="17" fillId="6" borderId="5" applyNumberFormat="0" applyAlignment="0" applyProtection="0"/>
    <xf numFmtId="0" fontId="18" fillId="7" borderId="7" applyNumberFormat="0" applyAlignment="0" applyProtection="0"/>
    <xf numFmtId="0" fontId="19" fillId="0" borderId="8" applyNumberFormat="0" applyFill="0" applyAlignment="0" applyProtection="0"/>
    <xf numFmtId="0" fontId="1" fillId="0" borderId="9" applyNumberFormat="0" applyFill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3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3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3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3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3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Font="1"/>
    <xf numFmtId="0" fontId="0" fillId="2" borderId="0" xfId="0" applyFill="1"/>
    <xf numFmtId="0" fontId="0" fillId="2" borderId="0" xfId="0" applyFont="1" applyFill="1"/>
    <xf numFmtId="0" fontId="0" fillId="3" borderId="0" xfId="0" applyFill="1"/>
    <xf numFmtId="0" fontId="2" fillId="0" borderId="0" xfId="0" applyFont="1"/>
    <xf numFmtId="0" fontId="1" fillId="3" borderId="0" xfId="0" applyFont="1" applyFill="1"/>
    <xf numFmtId="0" fontId="2" fillId="2" borderId="0" xfId="0" applyFont="1" applyFill="1"/>
    <xf numFmtId="0" fontId="3" fillId="2" borderId="0" xfId="0" applyFont="1" applyFill="1"/>
    <xf numFmtId="0" fontId="2" fillId="3" borderId="0" xfId="0" applyFont="1" applyFill="1"/>
    <xf numFmtId="0" fontId="0" fillId="3" borderId="0" xfId="0" applyFont="1" applyFill="1"/>
    <xf numFmtId="0" fontId="4" fillId="2" borderId="0" xfId="0" applyFont="1" applyFill="1"/>
    <xf numFmtId="0" fontId="5" fillId="2" borderId="0" xfId="0" applyFont="1" applyFill="1"/>
    <xf numFmtId="0" fontId="4" fillId="3" borderId="0" xfId="0" applyFont="1" applyFill="1"/>
    <xf numFmtId="0" fontId="2" fillId="0" borderId="0" xfId="0" applyFont="1" quotePrefix="1"/>
    <xf numFmtId="0" fontId="1" fillId="0" borderId="0" xfId="0" applyFont="1" quotePrefix="1"/>
    <xf numFmtId="0" fontId="2" fillId="2" borderId="0" xfId="0" applyFont="1" applyFill="1" quotePrefix="1"/>
    <xf numFmtId="0" fontId="3" fillId="2" borderId="0" xfId="0" applyFont="1" applyFill="1" quotePrefix="1"/>
    <xf numFmtId="0" fontId="1" fillId="3" borderId="0" xfId="0" applyFont="1" applyFill="1" quotePrefix="1"/>
    <xf numFmtId="0" fontId="0" fillId="0" borderId="0" xfId="0" applyFont="1" quotePrefix="1"/>
    <xf numFmtId="0" fontId="0" fillId="0" borderId="0" xfId="0" quotePrefix="1"/>
    <xf numFmtId="0" fontId="4" fillId="2" borderId="0" xfId="0" applyFont="1" applyFill="1" quotePrefix="1"/>
    <xf numFmtId="0" fontId="5" fillId="2" borderId="0" xfId="0" applyFont="1" applyFill="1" quotePrefix="1"/>
    <xf numFmtId="0" fontId="0" fillId="3" borderId="0" xfId="0" applyFill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workbookViewId="0">
      <selection activeCell="E9" sqref="E9"/>
    </sheetView>
  </sheetViews>
  <sheetFormatPr defaultColWidth="11" defaultRowHeight="17.6" outlineLevelCol="3"/>
  <cols>
    <col min="1" max="1" width="18" customWidth="1"/>
    <col min="2" max="2" width="19.830882352941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>
        <v>0.00365980807285571</v>
      </c>
      <c r="C2" t="s">
        <v>5</v>
      </c>
      <c r="D2" t="s">
        <v>6</v>
      </c>
    </row>
    <row r="3" spans="1:4">
      <c r="A3" s="2" t="s">
        <v>7</v>
      </c>
      <c r="B3">
        <v>0.0012341213268932</v>
      </c>
      <c r="C3" t="s">
        <v>5</v>
      </c>
      <c r="D3" t="s">
        <v>6</v>
      </c>
    </row>
    <row r="4" spans="1:4">
      <c r="A4" s="1" t="s">
        <v>8</v>
      </c>
      <c r="B4">
        <v>0.0339170585356512</v>
      </c>
      <c r="C4" t="s">
        <v>5</v>
      </c>
      <c r="D4" t="s">
        <v>6</v>
      </c>
    </row>
    <row r="5" spans="1:4">
      <c r="A5" s="1" t="s">
        <v>9</v>
      </c>
      <c r="B5">
        <v>0.00146817881992467</v>
      </c>
      <c r="C5" t="s">
        <v>5</v>
      </c>
      <c r="D5" t="s">
        <v>6</v>
      </c>
    </row>
    <row r="6" spans="1:4">
      <c r="A6" s="2" t="s">
        <v>10</v>
      </c>
      <c r="B6">
        <v>0.00500031916930867</v>
      </c>
      <c r="C6" t="s">
        <v>5</v>
      </c>
      <c r="D6" t="s">
        <v>6</v>
      </c>
    </row>
    <row r="7" spans="1:4">
      <c r="A7" s="1" t="s">
        <v>11</v>
      </c>
      <c r="B7">
        <v>0.000574504755622699</v>
      </c>
      <c r="C7" t="s">
        <v>5</v>
      </c>
      <c r="D7" t="s">
        <v>6</v>
      </c>
    </row>
    <row r="8" spans="1:4">
      <c r="A8" s="1" t="s">
        <v>12</v>
      </c>
      <c r="B8">
        <v>0.00046811498606294</v>
      </c>
      <c r="C8" t="s">
        <v>5</v>
      </c>
      <c r="D8" t="s">
        <v>6</v>
      </c>
    </row>
    <row r="9" spans="1:4">
      <c r="A9" s="2" t="s">
        <v>13</v>
      </c>
      <c r="B9" t="s">
        <v>14</v>
      </c>
      <c r="C9" t="s">
        <v>5</v>
      </c>
      <c r="D9" t="s">
        <v>6</v>
      </c>
    </row>
    <row r="10" spans="1:4">
      <c r="A10" s="2" t="s">
        <v>15</v>
      </c>
      <c r="B10">
        <v>0.00606421686490627</v>
      </c>
      <c r="C10" t="s">
        <v>5</v>
      </c>
      <c r="D10" t="s">
        <v>6</v>
      </c>
    </row>
    <row r="11" spans="1:4">
      <c r="A11" s="1" t="s">
        <v>16</v>
      </c>
      <c r="B11" t="s">
        <v>17</v>
      </c>
      <c r="C11" t="s">
        <v>5</v>
      </c>
      <c r="D11" t="s">
        <v>6</v>
      </c>
    </row>
    <row r="12" spans="1:4">
      <c r="A12" s="1" t="s">
        <v>4</v>
      </c>
      <c r="B12">
        <v>0.00365980807285571</v>
      </c>
      <c r="C12" t="s">
        <v>5</v>
      </c>
      <c r="D12" t="s">
        <v>18</v>
      </c>
    </row>
    <row r="13" spans="1:4">
      <c r="A13" s="2" t="s">
        <v>7</v>
      </c>
      <c r="B13">
        <v>0.0012341213268932</v>
      </c>
      <c r="C13" t="s">
        <v>5</v>
      </c>
      <c r="D13" t="s">
        <v>18</v>
      </c>
    </row>
    <row r="14" spans="1:4">
      <c r="A14" s="1" t="s">
        <v>8</v>
      </c>
      <c r="B14">
        <v>0.0339170585356512</v>
      </c>
      <c r="C14" t="s">
        <v>5</v>
      </c>
      <c r="D14" t="s">
        <v>18</v>
      </c>
    </row>
    <row r="15" spans="1:4">
      <c r="A15" s="1" t="s">
        <v>9</v>
      </c>
      <c r="B15">
        <v>0.00146817881992467</v>
      </c>
      <c r="C15" t="s">
        <v>5</v>
      </c>
      <c r="D15" t="s">
        <v>18</v>
      </c>
    </row>
    <row r="16" spans="1:4">
      <c r="A16" s="2" t="s">
        <v>10</v>
      </c>
      <c r="B16">
        <v>0.00500031916930867</v>
      </c>
      <c r="C16" t="s">
        <v>5</v>
      </c>
      <c r="D16" t="s">
        <v>18</v>
      </c>
    </row>
    <row r="17" spans="1:4">
      <c r="A17" s="1" t="s">
        <v>11</v>
      </c>
      <c r="B17">
        <v>0.000574504755622699</v>
      </c>
      <c r="C17" t="s">
        <v>5</v>
      </c>
      <c r="D17" t="s">
        <v>18</v>
      </c>
    </row>
    <row r="18" spans="1:4">
      <c r="A18" s="1" t="s">
        <v>12</v>
      </c>
      <c r="B18">
        <v>0.00046811498606294</v>
      </c>
      <c r="C18" t="s">
        <v>5</v>
      </c>
      <c r="D18" t="s">
        <v>18</v>
      </c>
    </row>
    <row r="19" spans="1:4">
      <c r="A19" s="2" t="s">
        <v>13</v>
      </c>
      <c r="B19" t="s">
        <v>14</v>
      </c>
      <c r="C19" t="s">
        <v>5</v>
      </c>
      <c r="D19" t="s">
        <v>18</v>
      </c>
    </row>
    <row r="20" spans="1:4">
      <c r="A20" s="2" t="s">
        <v>15</v>
      </c>
      <c r="B20">
        <v>0.00606421686490627</v>
      </c>
      <c r="C20" t="s">
        <v>5</v>
      </c>
      <c r="D20" t="s">
        <v>18</v>
      </c>
    </row>
    <row r="21" spans="1:4">
      <c r="A21" s="1" t="s">
        <v>16</v>
      </c>
      <c r="B21" t="s">
        <v>17</v>
      </c>
      <c r="C21" t="s">
        <v>5</v>
      </c>
      <c r="D21" t="s">
        <v>18</v>
      </c>
    </row>
    <row r="22" spans="1:4">
      <c r="A22" s="1" t="s">
        <v>4</v>
      </c>
      <c r="B22" s="16" t="s">
        <v>19</v>
      </c>
      <c r="C22" t="s">
        <v>20</v>
      </c>
      <c r="D22" t="s">
        <v>6</v>
      </c>
    </row>
    <row r="23" spans="1:4">
      <c r="A23" s="2" t="s">
        <v>7</v>
      </c>
      <c r="B23" s="9">
        <v>0.0572164180692384</v>
      </c>
      <c r="C23" t="s">
        <v>20</v>
      </c>
      <c r="D23" t="s">
        <v>6</v>
      </c>
    </row>
    <row r="24" spans="1:4">
      <c r="A24" s="1" t="s">
        <v>8</v>
      </c>
      <c r="B24" s="17" t="s">
        <v>21</v>
      </c>
      <c r="C24" t="s">
        <v>20</v>
      </c>
      <c r="D24" t="s">
        <v>6</v>
      </c>
    </row>
    <row r="25" spans="1:4">
      <c r="A25" s="1" t="s">
        <v>9</v>
      </c>
      <c r="B25" s="1">
        <v>0.0743451709683596</v>
      </c>
      <c r="C25" t="s">
        <v>20</v>
      </c>
      <c r="D25" t="s">
        <v>6</v>
      </c>
    </row>
    <row r="26" spans="1:4">
      <c r="A26" s="2" t="s">
        <v>10</v>
      </c>
      <c r="B26" s="10">
        <v>0.0415345660361299</v>
      </c>
      <c r="C26" t="s">
        <v>20</v>
      </c>
      <c r="D26" t="s">
        <v>6</v>
      </c>
    </row>
    <row r="27" spans="1:4">
      <c r="A27" s="1" t="s">
        <v>11</v>
      </c>
      <c r="B27" s="17" t="s">
        <v>22</v>
      </c>
      <c r="C27" t="s">
        <v>20</v>
      </c>
      <c r="D27" t="s">
        <v>6</v>
      </c>
    </row>
    <row r="28" spans="1:4">
      <c r="A28" s="1" t="s">
        <v>12</v>
      </c>
      <c r="B28" s="16" t="s">
        <v>23</v>
      </c>
      <c r="C28" t="s">
        <v>20</v>
      </c>
      <c r="D28" t="s">
        <v>6</v>
      </c>
    </row>
    <row r="29" spans="1:4">
      <c r="A29" s="2" t="s">
        <v>13</v>
      </c>
      <c r="B29" s="9">
        <v>0.0076813413622146</v>
      </c>
      <c r="C29" t="s">
        <v>20</v>
      </c>
      <c r="D29" t="s">
        <v>6</v>
      </c>
    </row>
    <row r="30" spans="1:4">
      <c r="A30" s="2" t="s">
        <v>15</v>
      </c>
      <c r="B30" s="10">
        <v>0.0323637679000787</v>
      </c>
      <c r="C30" t="s">
        <v>20</v>
      </c>
      <c r="D30" t="s">
        <v>6</v>
      </c>
    </row>
    <row r="31" spans="1:4">
      <c r="A31" s="1" t="s">
        <v>16</v>
      </c>
      <c r="B31" s="1">
        <v>0.0103623635551205</v>
      </c>
      <c r="C31" t="s">
        <v>20</v>
      </c>
      <c r="D31" t="s">
        <v>6</v>
      </c>
    </row>
    <row r="32" spans="1:4">
      <c r="A32" s="1" t="s">
        <v>4</v>
      </c>
      <c r="B32" s="7">
        <v>0.073323829180586</v>
      </c>
      <c r="C32" t="s">
        <v>20</v>
      </c>
      <c r="D32" t="s">
        <v>18</v>
      </c>
    </row>
    <row r="33" spans="1:4">
      <c r="A33" s="2" t="s">
        <v>7</v>
      </c>
      <c r="B33" s="9">
        <v>0.0606634466029746</v>
      </c>
      <c r="C33" t="s">
        <v>20</v>
      </c>
      <c r="D33" t="s">
        <v>18</v>
      </c>
    </row>
    <row r="34" spans="1:4">
      <c r="A34" s="1" t="s">
        <v>8</v>
      </c>
      <c r="B34" s="1">
        <v>0.0743664489222716</v>
      </c>
      <c r="C34" t="s">
        <v>20</v>
      </c>
      <c r="D34" t="s">
        <v>18</v>
      </c>
    </row>
    <row r="35" spans="1:4">
      <c r="A35" s="1" t="s">
        <v>9</v>
      </c>
      <c r="B35" s="1">
        <v>0.0388109879354001</v>
      </c>
      <c r="C35" t="s">
        <v>20</v>
      </c>
      <c r="D35" t="s">
        <v>18</v>
      </c>
    </row>
    <row r="36" spans="1:4">
      <c r="A36" s="2" t="s">
        <v>10</v>
      </c>
      <c r="B36" s="10">
        <v>0.0797497712619954</v>
      </c>
      <c r="C36" t="s">
        <v>20</v>
      </c>
      <c r="D36" t="s">
        <v>18</v>
      </c>
    </row>
    <row r="37" spans="1:4">
      <c r="A37" s="1" t="s">
        <v>11</v>
      </c>
      <c r="B37" s="17" t="s">
        <v>24</v>
      </c>
      <c r="C37" t="s">
        <v>20</v>
      </c>
      <c r="D37" t="s">
        <v>18</v>
      </c>
    </row>
    <row r="38" spans="1:4">
      <c r="A38" s="1" t="s">
        <v>12</v>
      </c>
      <c r="B38" s="7">
        <v>0.00631955231184969</v>
      </c>
      <c r="C38" t="s">
        <v>20</v>
      </c>
      <c r="D38" t="s">
        <v>18</v>
      </c>
    </row>
    <row r="39" spans="1:4">
      <c r="A39" s="2" t="s">
        <v>13</v>
      </c>
      <c r="B39" s="18" t="s">
        <v>25</v>
      </c>
      <c r="C39" t="s">
        <v>20</v>
      </c>
      <c r="D39" t="s">
        <v>18</v>
      </c>
    </row>
    <row r="40" spans="1:4">
      <c r="A40" s="2" t="s">
        <v>15</v>
      </c>
      <c r="B40" s="19" t="s">
        <v>26</v>
      </c>
      <c r="C40" t="s">
        <v>20</v>
      </c>
      <c r="D40" t="s">
        <v>18</v>
      </c>
    </row>
    <row r="41" spans="1:4">
      <c r="A41" s="1" t="s">
        <v>16</v>
      </c>
      <c r="B41" s="1">
        <v>0.0075962295465668</v>
      </c>
      <c r="C41" t="s">
        <v>20</v>
      </c>
      <c r="D41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"/>
  <sheetViews>
    <sheetView workbookViewId="0">
      <selection activeCell="D2" sqref="D2:E11"/>
    </sheetView>
  </sheetViews>
  <sheetFormatPr defaultColWidth="11" defaultRowHeight="17.6"/>
  <cols>
    <col min="1" max="1" width="35.8308823529412" customWidth="1"/>
    <col min="4" max="5" width="14.8308823529412" customWidth="1"/>
    <col min="8" max="9" width="15.1617647058824" customWidth="1"/>
    <col min="10" max="10" width="17" customWidth="1"/>
    <col min="13" max="13" width="10.8308823529412" style="6"/>
    <col min="16" max="16" width="13.5" customWidth="1"/>
  </cols>
  <sheetData>
    <row r="1" spans="1:2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s="6" t="s">
        <v>38</v>
      </c>
      <c r="N1" t="s">
        <v>35</v>
      </c>
      <c r="O1" t="s">
        <v>36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</row>
    <row r="2" s="1" customFormat="1" spans="1:21">
      <c r="A2" s="1" t="s">
        <v>45</v>
      </c>
      <c r="B2" s="17" t="s">
        <v>46</v>
      </c>
      <c r="C2" s="17" t="s">
        <v>47</v>
      </c>
      <c r="D2" s="16" t="s">
        <v>19</v>
      </c>
      <c r="E2" s="7">
        <v>0.073323829180586</v>
      </c>
      <c r="F2" s="1">
        <v>0.0703236376790007</v>
      </c>
      <c r="G2" s="1">
        <v>0.049003127859225</v>
      </c>
      <c r="H2" s="17" t="s">
        <v>48</v>
      </c>
      <c r="I2" s="17" t="s">
        <v>49</v>
      </c>
      <c r="L2" s="1">
        <v>0.00070217247909441</v>
      </c>
      <c r="M2" s="8">
        <v>0.00365980807285571</v>
      </c>
      <c r="N2" s="2">
        <f>D2-$M2</f>
        <v>0.134072387599208</v>
      </c>
      <c r="O2" s="2">
        <f>E2-$M2</f>
        <v>0.0696640211077303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</row>
    <row r="3" s="2" customFormat="1" spans="1:21">
      <c r="A3" s="2" t="s">
        <v>56</v>
      </c>
      <c r="B3" s="9">
        <v>0.00674511139008872</v>
      </c>
      <c r="C3" s="9">
        <v>0.00557482392493137</v>
      </c>
      <c r="D3" s="9">
        <v>0.0572164180692384</v>
      </c>
      <c r="E3" s="9">
        <v>0.0606634466029746</v>
      </c>
      <c r="F3" s="2">
        <v>0.0641104751367108</v>
      </c>
      <c r="G3" s="2">
        <v>0.0487477924122816</v>
      </c>
      <c r="H3" s="19" t="s">
        <v>57</v>
      </c>
      <c r="I3" s="19" t="s">
        <v>58</v>
      </c>
      <c r="J3" s="10">
        <f>D3-B3</f>
        <v>0.0504713066791497</v>
      </c>
      <c r="K3" s="10">
        <f>E3-C3</f>
        <v>0.0550886226780432</v>
      </c>
      <c r="L3" s="2">
        <v>0.000255335446943421</v>
      </c>
      <c r="M3" s="11">
        <v>0.0012341213268932</v>
      </c>
      <c r="N3" s="9">
        <f>D3-$M3</f>
        <v>0.0559822967423452</v>
      </c>
      <c r="O3" s="9">
        <f>E3-$M3</f>
        <v>0.0594293252760814</v>
      </c>
      <c r="P3" s="2" t="s">
        <v>50</v>
      </c>
      <c r="Q3" s="2" t="s">
        <v>51</v>
      </c>
      <c r="R3" s="2" t="s">
        <v>52</v>
      </c>
      <c r="S3" s="2" t="s">
        <v>53</v>
      </c>
      <c r="T3" s="2" t="s">
        <v>59</v>
      </c>
      <c r="U3" s="2" t="s">
        <v>60</v>
      </c>
    </row>
    <row r="4" s="1" customFormat="1" spans="1:21">
      <c r="A4" s="1" t="s">
        <v>61</v>
      </c>
      <c r="B4" s="17" t="s">
        <v>62</v>
      </c>
      <c r="C4" s="1">
        <v>0.0433219141647339</v>
      </c>
      <c r="D4" s="17" t="s">
        <v>21</v>
      </c>
      <c r="E4" s="1">
        <v>0.0743664489222716</v>
      </c>
      <c r="F4" s="16" t="s">
        <v>63</v>
      </c>
      <c r="G4" s="7">
        <v>0.0690044045364597</v>
      </c>
      <c r="H4" s="17" t="s">
        <v>64</v>
      </c>
      <c r="I4" s="17" t="s">
        <v>65</v>
      </c>
      <c r="L4" s="17" t="s">
        <v>66</v>
      </c>
      <c r="M4" s="8">
        <v>0.0339170585356512</v>
      </c>
      <c r="N4" s="2">
        <f>F4-$M4</f>
        <v>0.0694512415686098</v>
      </c>
      <c r="O4" s="2">
        <f>G4-$M4</f>
        <v>0.0350873460008085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67</v>
      </c>
      <c r="U4" s="1" t="s">
        <v>68</v>
      </c>
    </row>
    <row r="5" s="1" customFormat="1" spans="1:21">
      <c r="A5" s="1" t="s">
        <v>69</v>
      </c>
      <c r="B5" s="1">
        <v>0.0959635721429027</v>
      </c>
      <c r="C5" s="17" t="s">
        <v>70</v>
      </c>
      <c r="D5" s="1">
        <v>0.0743451709683596</v>
      </c>
      <c r="E5" s="1">
        <v>0.0388109879354001</v>
      </c>
      <c r="F5" s="16" t="s">
        <v>71</v>
      </c>
      <c r="G5" s="7">
        <v>0.0863672149286124</v>
      </c>
      <c r="H5" s="1">
        <v>0.00695789092920824</v>
      </c>
      <c r="I5" s="1">
        <v>0.00802178862480584</v>
      </c>
      <c r="L5" s="1">
        <v>0.000723450433006362</v>
      </c>
      <c r="M5" s="8">
        <v>0.00146817881992467</v>
      </c>
      <c r="N5" s="2">
        <f>F5-$M5</f>
        <v>0.146349767006404</v>
      </c>
      <c r="O5" s="2">
        <f>G5-$M5</f>
        <v>0.0848990361086877</v>
      </c>
      <c r="P5" s="1" t="s">
        <v>50</v>
      </c>
      <c r="Q5" s="1" t="s">
        <v>51</v>
      </c>
      <c r="R5" s="1" t="s">
        <v>52</v>
      </c>
      <c r="S5" s="1" t="s">
        <v>53</v>
      </c>
      <c r="T5" s="1" t="s">
        <v>72</v>
      </c>
      <c r="U5" s="1" t="s">
        <v>73</v>
      </c>
    </row>
    <row r="6" s="2" customFormat="1" spans="1:21">
      <c r="A6" s="2" t="s">
        <v>74</v>
      </c>
      <c r="B6" s="18" t="s">
        <v>75</v>
      </c>
      <c r="C6" s="9">
        <v>0.0776006979168883</v>
      </c>
      <c r="D6" s="10">
        <v>0.0415345660361299</v>
      </c>
      <c r="E6" s="10">
        <v>0.0797497712619954</v>
      </c>
      <c r="F6" s="9">
        <v>0.0590676000595782</v>
      </c>
      <c r="G6" s="9">
        <v>0.0750260654935421</v>
      </c>
      <c r="H6" s="10">
        <v>0.0242355895057131</v>
      </c>
      <c r="I6" s="10">
        <v>0.072408877162372</v>
      </c>
      <c r="J6" s="10">
        <f>D6-B6</f>
        <v>-0.0652169287401321</v>
      </c>
      <c r="K6" s="10">
        <f>E6-C6</f>
        <v>0.0021490733451071</v>
      </c>
      <c r="L6" s="2">
        <v>0.00246824265378641</v>
      </c>
      <c r="M6" s="11">
        <v>0.00500031916930867</v>
      </c>
      <c r="N6" s="9">
        <f>F6-$M6</f>
        <v>0.0540672808902695</v>
      </c>
      <c r="O6" s="9">
        <f>G6-$M6</f>
        <v>0.0700257463242334</v>
      </c>
      <c r="P6" s="2" t="s">
        <v>50</v>
      </c>
      <c r="Q6" s="2" t="s">
        <v>51</v>
      </c>
      <c r="R6" s="2" t="s">
        <v>52</v>
      </c>
      <c r="S6" s="2" t="s">
        <v>76</v>
      </c>
      <c r="T6" s="2" t="s">
        <v>77</v>
      </c>
      <c r="U6" s="2" t="s">
        <v>78</v>
      </c>
    </row>
    <row r="7" s="1" customFormat="1" spans="1:21">
      <c r="A7" s="1" t="s">
        <v>79</v>
      </c>
      <c r="B7" s="1">
        <v>0.0567270251292635</v>
      </c>
      <c r="C7" s="1">
        <v>0.0642594208140945</v>
      </c>
      <c r="D7" s="17" t="s">
        <v>22</v>
      </c>
      <c r="E7" s="17" t="s">
        <v>24</v>
      </c>
      <c r="F7" s="7">
        <v>0.0707279188033278</v>
      </c>
      <c r="G7" s="7">
        <v>0.0536629997659425</v>
      </c>
      <c r="H7" s="1">
        <v>0.003532140349384</v>
      </c>
      <c r="I7" s="1">
        <v>0.00510670893886843</v>
      </c>
      <c r="L7" s="1">
        <v>0.000148945677383662</v>
      </c>
      <c r="M7" s="8">
        <v>0.000574504755622699</v>
      </c>
      <c r="N7" s="2">
        <f>F7-$M7</f>
        <v>0.0701534140477051</v>
      </c>
      <c r="O7" s="2">
        <f>G7-$M7</f>
        <v>0.0530884950103198</v>
      </c>
      <c r="P7" s="1" t="s">
        <v>50</v>
      </c>
      <c r="Q7" s="1" t="s">
        <v>51</v>
      </c>
      <c r="R7" s="1" t="s">
        <v>80</v>
      </c>
      <c r="S7" s="1" t="s">
        <v>81</v>
      </c>
      <c r="T7" s="1" t="s">
        <v>82</v>
      </c>
      <c r="U7" s="1" t="s">
        <v>83</v>
      </c>
    </row>
    <row r="8" s="1" customFormat="1" spans="1:21">
      <c r="A8" s="1" t="s">
        <v>84</v>
      </c>
      <c r="B8" s="1">
        <v>0.0815158414366874</v>
      </c>
      <c r="C8" s="17" t="s">
        <v>85</v>
      </c>
      <c r="D8" s="16" t="s">
        <v>23</v>
      </c>
      <c r="E8" s="7">
        <v>0.00631955231184969</v>
      </c>
      <c r="F8" s="1">
        <v>0.0426835755473753</v>
      </c>
      <c r="G8" s="17" t="s">
        <v>86</v>
      </c>
      <c r="H8" s="1">
        <v>0.00514926484669234</v>
      </c>
      <c r="I8" s="1">
        <v>0.00408536715109475</v>
      </c>
      <c r="L8" s="1">
        <v>0.00012766772347171</v>
      </c>
      <c r="M8" s="8">
        <v>0.00046811498606294</v>
      </c>
      <c r="N8" s="2">
        <f>D8-$M8</f>
        <v>0.0205757814328574</v>
      </c>
      <c r="O8" s="2">
        <f>E8-$M8</f>
        <v>0.00585143732578675</v>
      </c>
      <c r="P8" s="1" t="s">
        <v>50</v>
      </c>
      <c r="Q8" s="1" t="s">
        <v>51</v>
      </c>
      <c r="R8" s="1" t="s">
        <v>52</v>
      </c>
      <c r="S8" s="1" t="s">
        <v>53</v>
      </c>
      <c r="T8" s="1" t="s">
        <v>54</v>
      </c>
      <c r="U8" s="1" t="s">
        <v>87</v>
      </c>
    </row>
    <row r="9" s="2" customFormat="1" spans="1:21">
      <c r="A9" s="2" t="s">
        <v>88</v>
      </c>
      <c r="B9" s="18" t="s">
        <v>89</v>
      </c>
      <c r="C9" s="18" t="s">
        <v>90</v>
      </c>
      <c r="D9" s="9">
        <v>0.0076813413622146</v>
      </c>
      <c r="E9" s="18" t="s">
        <v>25</v>
      </c>
      <c r="F9" s="10">
        <v>0.00572376960231504</v>
      </c>
      <c r="G9" s="10">
        <v>0.0222780177458135</v>
      </c>
      <c r="H9" s="10">
        <v>0.00153201268166053</v>
      </c>
      <c r="I9" s="10">
        <v>0.0047662616762772</v>
      </c>
      <c r="J9" s="10">
        <f>D9-B9</f>
        <v>-0.0186607655807817</v>
      </c>
      <c r="K9" s="10">
        <f>E9-C9</f>
        <v>-0.0033619167180884</v>
      </c>
      <c r="L9" s="2">
        <v>0.0901972466327638</v>
      </c>
      <c r="M9" s="20" t="s">
        <v>14</v>
      </c>
      <c r="N9" s="2">
        <f>D9-$M9</f>
        <v>-0.127220886439559</v>
      </c>
      <c r="O9" s="2">
        <f>E9-$M9</f>
        <v>-0.113751941613294</v>
      </c>
      <c r="P9" s="2" t="s">
        <v>50</v>
      </c>
      <c r="Q9" s="2" t="s">
        <v>51</v>
      </c>
      <c r="R9" s="2" t="s">
        <v>91</v>
      </c>
      <c r="S9" s="2" t="s">
        <v>92</v>
      </c>
      <c r="T9" s="2" t="s">
        <v>93</v>
      </c>
      <c r="U9" s="2" t="s">
        <v>94</v>
      </c>
    </row>
    <row r="10" s="2" customFormat="1" spans="1:21">
      <c r="A10" s="2" t="s">
        <v>95</v>
      </c>
      <c r="B10" s="9">
        <v>0.0574504755622699</v>
      </c>
      <c r="C10" s="9">
        <v>0.0634508585654403</v>
      </c>
      <c r="D10" s="10">
        <v>0.0323637679000787</v>
      </c>
      <c r="E10" s="19" t="s">
        <v>26</v>
      </c>
      <c r="F10" s="18" t="s">
        <v>96</v>
      </c>
      <c r="G10" s="9">
        <v>0.0352150137242802</v>
      </c>
      <c r="H10" s="10">
        <v>0.0434070259803817</v>
      </c>
      <c r="I10" s="10">
        <v>0.0236398067961784</v>
      </c>
      <c r="J10" s="10">
        <f>F10-B10</f>
        <v>-0.0277890078090091</v>
      </c>
      <c r="K10" s="10">
        <f>G10-C10</f>
        <v>-0.0282358448411601</v>
      </c>
      <c r="L10" s="2">
        <v>0.00140434495818882</v>
      </c>
      <c r="M10" s="11">
        <v>0.00606421686490627</v>
      </c>
      <c r="N10" s="9">
        <f>F10-$M10</f>
        <v>0.0235972508883545</v>
      </c>
      <c r="O10" s="9">
        <f>G10-$M10</f>
        <v>0.0291507968593739</v>
      </c>
      <c r="P10" s="2" t="s">
        <v>50</v>
      </c>
      <c r="Q10" s="2" t="s">
        <v>51</v>
      </c>
      <c r="R10" s="2" t="s">
        <v>52</v>
      </c>
      <c r="S10" s="2" t="s">
        <v>53</v>
      </c>
      <c r="T10" s="2" t="s">
        <v>54</v>
      </c>
      <c r="U10" s="2" t="s">
        <v>97</v>
      </c>
    </row>
    <row r="11" s="1" customFormat="1" spans="1:21">
      <c r="A11" s="1" t="s">
        <v>98</v>
      </c>
      <c r="B11" s="1">
        <v>0.00776645317786241</v>
      </c>
      <c r="C11" s="17" t="s">
        <v>99</v>
      </c>
      <c r="D11" s="1">
        <v>0.0103623635551205</v>
      </c>
      <c r="E11" s="1">
        <v>0.0075962295465668</v>
      </c>
      <c r="F11" s="7">
        <v>0.00640466412749749</v>
      </c>
      <c r="G11" s="16" t="s">
        <v>100</v>
      </c>
      <c r="H11" s="1">
        <v>0.000106389769559759</v>
      </c>
      <c r="I11" s="1">
        <v>0.00151073472774857</v>
      </c>
      <c r="L11" s="17" t="s">
        <v>101</v>
      </c>
      <c r="M11" s="20" t="s">
        <v>17</v>
      </c>
      <c r="N11" s="2">
        <f>F11-$M11</f>
        <v>-0.107794114517948</v>
      </c>
      <c r="O11" s="2">
        <f>G11-$M11</f>
        <v>-0.102240568546928</v>
      </c>
      <c r="P11" s="1" t="s">
        <v>50</v>
      </c>
      <c r="Q11" s="1" t="s">
        <v>51</v>
      </c>
      <c r="R11" s="1" t="s">
        <v>80</v>
      </c>
      <c r="S11" s="1" t="s">
        <v>81</v>
      </c>
      <c r="T11" s="1" t="s">
        <v>82</v>
      </c>
      <c r="U11" s="1" t="s">
        <v>102</v>
      </c>
    </row>
    <row r="12" s="3" customFormat="1" spans="1:21">
      <c r="A12" s="3" t="s">
        <v>103</v>
      </c>
      <c r="B12" s="3">
        <v>0.00102134178777368</v>
      </c>
      <c r="C12" s="21" t="s">
        <v>104</v>
      </c>
      <c r="D12" s="3">
        <v>0.0699831904164095</v>
      </c>
      <c r="E12" s="3">
        <v>0.0136178905036491</v>
      </c>
      <c r="F12" s="3">
        <v>0.0648339255697172</v>
      </c>
      <c r="G12" s="3">
        <v>0.00814945634827755</v>
      </c>
      <c r="H12" s="3">
        <v>0.0900057450475562</v>
      </c>
      <c r="I12" s="21" t="s">
        <v>105</v>
      </c>
      <c r="L12" s="3">
        <v>0.000106389769559759</v>
      </c>
      <c r="M12" s="12">
        <v>0.000638338617358554</v>
      </c>
      <c r="N12" s="5">
        <f>D12-$M12</f>
        <v>0.0693448517990509</v>
      </c>
      <c r="O12" s="5">
        <f>E12-$M12</f>
        <v>0.0129795518862905</v>
      </c>
      <c r="P12" s="3" t="s">
        <v>50</v>
      </c>
      <c r="Q12" s="3" t="s">
        <v>51</v>
      </c>
      <c r="R12" s="3" t="s">
        <v>52</v>
      </c>
      <c r="S12" s="3" t="s">
        <v>53</v>
      </c>
      <c r="T12" s="3" t="s">
        <v>59</v>
      </c>
      <c r="U12" s="3" t="s">
        <v>60</v>
      </c>
    </row>
    <row r="13" spans="1:21">
      <c r="A13" t="s">
        <v>106</v>
      </c>
      <c r="B13">
        <v>0.000383003170415132</v>
      </c>
      <c r="C13">
        <v>0.00163840245122029</v>
      </c>
      <c r="D13">
        <v>0.00121284337298125</v>
      </c>
      <c r="E13">
        <v>0.00110645360342149</v>
      </c>
      <c r="F13">
        <v>0.00140434495818882</v>
      </c>
      <c r="G13">
        <v>0.0012766772347171</v>
      </c>
      <c r="H13">
        <v>0</v>
      </c>
      <c r="I13">
        <v>0</v>
      </c>
      <c r="L13" s="22" t="s">
        <v>107</v>
      </c>
      <c r="M13" s="6">
        <v>0.137370470455561</v>
      </c>
      <c r="P13" t="s">
        <v>50</v>
      </c>
      <c r="Q13" t="s">
        <v>51</v>
      </c>
      <c r="R13" t="s">
        <v>108</v>
      </c>
      <c r="S13" t="s">
        <v>109</v>
      </c>
      <c r="T13" t="s">
        <v>110</v>
      </c>
      <c r="U13" t="s">
        <v>111</v>
      </c>
    </row>
    <row r="14" spans="1:21">
      <c r="A14" t="s">
        <v>112</v>
      </c>
      <c r="B14">
        <v>0.0337681128582675</v>
      </c>
      <c r="C14" s="22" t="s">
        <v>113</v>
      </c>
      <c r="D14">
        <v>0.0208523948337127</v>
      </c>
      <c r="E14" s="22" t="s">
        <v>114</v>
      </c>
      <c r="F14" s="22" t="s">
        <v>115</v>
      </c>
      <c r="G14" s="22" t="s">
        <v>116</v>
      </c>
      <c r="H14">
        <v>0.0572376960231504</v>
      </c>
      <c r="I14">
        <v>0.0339170585356512</v>
      </c>
      <c r="L14">
        <v>0.00023405749303147</v>
      </c>
      <c r="M14" s="6">
        <v>0.00270230014681788</v>
      </c>
      <c r="P14" t="s">
        <v>50</v>
      </c>
      <c r="Q14" t="s">
        <v>51</v>
      </c>
      <c r="R14" t="s">
        <v>108</v>
      </c>
      <c r="S14" t="s">
        <v>109</v>
      </c>
      <c r="T14" t="s">
        <v>117</v>
      </c>
      <c r="U14" t="s">
        <v>118</v>
      </c>
    </row>
    <row r="15" s="4" customFormat="1" spans="1:21">
      <c r="A15" s="4" t="s">
        <v>119</v>
      </c>
      <c r="B15" s="13">
        <v>0.0011915654190693</v>
      </c>
      <c r="C15" s="13">
        <v>0.00168095835904419</v>
      </c>
      <c r="D15" s="13">
        <v>0.00100006383386173</v>
      </c>
      <c r="E15" s="13">
        <v>0.00485137349192501</v>
      </c>
      <c r="F15" s="14">
        <v>0.000766006340830265</v>
      </c>
      <c r="G15" s="14">
        <v>0.00436198055195012</v>
      </c>
      <c r="H15" s="14">
        <v>0.00023405749303147</v>
      </c>
      <c r="I15" s="14">
        <v>0.00165968040513224</v>
      </c>
      <c r="J15" s="14">
        <f>D15-B15</f>
        <v>-0.00019150158520757</v>
      </c>
      <c r="K15" s="14">
        <f>E15-C15</f>
        <v>0.00317041513288082</v>
      </c>
      <c r="L15" s="4">
        <v>0.0696001872459944</v>
      </c>
      <c r="M15" s="6">
        <v>0.0747281741387748</v>
      </c>
      <c r="N15" s="4">
        <f>D15-$M15</f>
        <v>-0.0737281103049131</v>
      </c>
      <c r="O15" s="4">
        <f>E15-$M15</f>
        <v>-0.0698768006468498</v>
      </c>
      <c r="P15" s="4" t="s">
        <v>50</v>
      </c>
      <c r="Q15" s="4" t="s">
        <v>51</v>
      </c>
      <c r="R15" s="4" t="s">
        <v>52</v>
      </c>
      <c r="S15" s="4" t="s">
        <v>53</v>
      </c>
      <c r="T15" s="4" t="s">
        <v>67</v>
      </c>
      <c r="U15" s="4" t="s">
        <v>68</v>
      </c>
    </row>
    <row r="16" s="5" customFormat="1" spans="1:21">
      <c r="A16" s="5" t="s">
        <v>120</v>
      </c>
      <c r="B16" s="23" t="s">
        <v>121</v>
      </c>
      <c r="C16" s="13">
        <v>0.00848990361086878</v>
      </c>
      <c r="D16" s="14">
        <v>0.00946868949081856</v>
      </c>
      <c r="E16" s="24" t="s">
        <v>122</v>
      </c>
      <c r="F16" s="23" t="s">
        <v>123</v>
      </c>
      <c r="G16" s="23" t="s">
        <v>124</v>
      </c>
      <c r="H16" s="14">
        <v>0.00172351426686809</v>
      </c>
      <c r="I16" s="14">
        <v>0.00776645317786241</v>
      </c>
      <c r="J16" s="14">
        <f>D16-B16</f>
        <v>-0.0439602527820924</v>
      </c>
      <c r="K16" s="14">
        <f>E16-C16</f>
        <v>0.0193203821520522</v>
      </c>
      <c r="L16" s="5">
        <v>0.00108517564950954</v>
      </c>
      <c r="M16" s="15">
        <v>0.00278741196246568</v>
      </c>
      <c r="N16" s="5">
        <f>F16-$M16</f>
        <v>0.0121922675915483</v>
      </c>
      <c r="O16" s="5">
        <f>G16-$M16</f>
        <v>0.0241291997361533</v>
      </c>
      <c r="P16" s="5" t="s">
        <v>50</v>
      </c>
      <c r="Q16" s="5" t="s">
        <v>51</v>
      </c>
      <c r="R16" s="5" t="s">
        <v>125</v>
      </c>
      <c r="S16" s="5" t="s">
        <v>126</v>
      </c>
      <c r="T16" s="5" t="s">
        <v>127</v>
      </c>
      <c r="U16" s="5" t="s">
        <v>128</v>
      </c>
    </row>
    <row r="17" spans="1:21">
      <c r="A17" t="s">
        <v>129</v>
      </c>
      <c r="B17">
        <v>0.00700044683703215</v>
      </c>
      <c r="C17">
        <v>0.00600038300317041</v>
      </c>
      <c r="D17" s="22" t="s">
        <v>130</v>
      </c>
      <c r="E17" s="22" t="s">
        <v>131</v>
      </c>
      <c r="F17" s="22" t="s">
        <v>122</v>
      </c>
      <c r="G17" s="22" t="s">
        <v>132</v>
      </c>
      <c r="H17">
        <v>0.00323424899461667</v>
      </c>
      <c r="I17">
        <v>0.00225546311466689</v>
      </c>
      <c r="L17">
        <v>0</v>
      </c>
      <c r="M17" s="6">
        <v>0.00023405749303147</v>
      </c>
      <c r="P17" t="s">
        <v>50</v>
      </c>
      <c r="Q17" t="s">
        <v>51</v>
      </c>
      <c r="R17" t="s">
        <v>133</v>
      </c>
      <c r="S17" t="s">
        <v>134</v>
      </c>
      <c r="T17" t="s">
        <v>135</v>
      </c>
      <c r="U17" t="s">
        <v>136</v>
      </c>
    </row>
    <row r="18" spans="1:21">
      <c r="A18" t="s">
        <v>137</v>
      </c>
      <c r="B18">
        <v>0.0138732259505925</v>
      </c>
      <c r="C18">
        <v>0.00612805072664212</v>
      </c>
      <c r="D18">
        <v>0.00619188458837798</v>
      </c>
      <c r="E18" s="22" t="s">
        <v>138</v>
      </c>
      <c r="F18">
        <v>0.00614932868055407</v>
      </c>
      <c r="G18" s="22" t="s">
        <v>139</v>
      </c>
      <c r="H18">
        <v>0.00278741196246568</v>
      </c>
      <c r="I18">
        <v>0.00708555865267995</v>
      </c>
      <c r="L18" s="22" t="s">
        <v>140</v>
      </c>
      <c r="M18" s="25" t="s">
        <v>141</v>
      </c>
      <c r="P18" t="s">
        <v>50</v>
      </c>
      <c r="Q18" t="s">
        <v>51</v>
      </c>
      <c r="R18" t="s">
        <v>52</v>
      </c>
      <c r="S18" t="s">
        <v>76</v>
      </c>
      <c r="T18" t="s">
        <v>77</v>
      </c>
      <c r="U18" t="s">
        <v>78</v>
      </c>
    </row>
    <row r="19" spans="1:21">
      <c r="A19" t="s">
        <v>142</v>
      </c>
      <c r="B19" s="22" t="s">
        <v>143</v>
      </c>
      <c r="C19">
        <v>0.00689405706747239</v>
      </c>
      <c r="D19">
        <v>0.00812817839436559</v>
      </c>
      <c r="E19" s="22" t="s">
        <v>144</v>
      </c>
      <c r="F19">
        <v>0.00800051067089388</v>
      </c>
      <c r="G19" s="22" t="s">
        <v>145</v>
      </c>
      <c r="H19">
        <v>0.00412792305891865</v>
      </c>
      <c r="I19">
        <v>0.00938357767517075</v>
      </c>
      <c r="L19">
        <v>0.00023405749303147</v>
      </c>
      <c r="M19" s="6">
        <v>0.000404281124327084</v>
      </c>
      <c r="P19" t="s">
        <v>50</v>
      </c>
      <c r="Q19" t="s">
        <v>51</v>
      </c>
      <c r="R19" t="s">
        <v>52</v>
      </c>
      <c r="S19" t="s">
        <v>53</v>
      </c>
      <c r="T19" t="s">
        <v>146</v>
      </c>
      <c r="U19" t="s">
        <v>147</v>
      </c>
    </row>
    <row r="20" spans="1:21">
      <c r="A20" t="s">
        <v>148</v>
      </c>
      <c r="B20">
        <v>0.00265974423899397</v>
      </c>
      <c r="C20">
        <v>0.00329808285635253</v>
      </c>
      <c r="D20" s="22" t="s">
        <v>149</v>
      </c>
      <c r="E20">
        <v>0.0214268995893354</v>
      </c>
      <c r="F20" s="22" t="s">
        <v>150</v>
      </c>
      <c r="G20" s="22" t="s">
        <v>151</v>
      </c>
      <c r="H20">
        <v>0.00695789092920824</v>
      </c>
      <c r="I20">
        <v>0.00895801859693172</v>
      </c>
      <c r="L20">
        <v>0.00163840245122029</v>
      </c>
      <c r="M20" s="6">
        <v>0.00214907334510713</v>
      </c>
      <c r="P20" t="s">
        <v>50</v>
      </c>
      <c r="Q20" t="s">
        <v>51</v>
      </c>
      <c r="R20" t="s">
        <v>52</v>
      </c>
      <c r="S20" t="s">
        <v>76</v>
      </c>
      <c r="T20" t="s">
        <v>152</v>
      </c>
      <c r="U20" t="s">
        <v>153</v>
      </c>
    </row>
    <row r="21" spans="1:21">
      <c r="A21" t="s">
        <v>154</v>
      </c>
      <c r="B21">
        <v>0.000893674064301976</v>
      </c>
      <c r="C21">
        <v>0.000595782709534651</v>
      </c>
      <c r="D21">
        <v>0.000510670893886843</v>
      </c>
      <c r="E21">
        <v>0.00168095835904419</v>
      </c>
      <c r="F21">
        <v>0.00129795518862906</v>
      </c>
      <c r="G21">
        <v>0.00206396152945932</v>
      </c>
      <c r="H21">
        <v>0</v>
      </c>
      <c r="I21">
        <v>0.000489392939974892</v>
      </c>
      <c r="L21">
        <v>0.0373853650232993</v>
      </c>
      <c r="M21" s="6">
        <v>0.0438964189203566</v>
      </c>
      <c r="P21" t="s">
        <v>50</v>
      </c>
      <c r="Q21" t="s">
        <v>51</v>
      </c>
      <c r="R21" t="s">
        <v>155</v>
      </c>
      <c r="S21" t="s">
        <v>156</v>
      </c>
      <c r="T21" t="s">
        <v>157</v>
      </c>
      <c r="U21" t="s">
        <v>158</v>
      </c>
    </row>
    <row r="22" spans="1:21">
      <c r="A22" t="s">
        <v>159</v>
      </c>
      <c r="B22">
        <v>0.00793667680915803</v>
      </c>
      <c r="C22">
        <v>0.00893674064301976</v>
      </c>
      <c r="D22">
        <v>0.00140434495818882</v>
      </c>
      <c r="E22">
        <v>0.00365980807285571</v>
      </c>
      <c r="F22">
        <v>0.00112773155733344</v>
      </c>
      <c r="G22">
        <v>0.00348958444156009</v>
      </c>
      <c r="H22">
        <v>0.000893674064301976</v>
      </c>
      <c r="I22">
        <v>0.00100006383386173</v>
      </c>
      <c r="L22" s="22" t="s">
        <v>160</v>
      </c>
      <c r="M22" s="25" t="s">
        <v>161</v>
      </c>
      <c r="P22" t="s">
        <v>50</v>
      </c>
      <c r="Q22" t="s">
        <v>51</v>
      </c>
      <c r="R22" t="s">
        <v>91</v>
      </c>
      <c r="S22" t="s">
        <v>92</v>
      </c>
      <c r="T22" t="s">
        <v>162</v>
      </c>
      <c r="U22" t="s">
        <v>163</v>
      </c>
    </row>
    <row r="23" spans="1:21">
      <c r="A23" t="s">
        <v>164</v>
      </c>
      <c r="B23">
        <v>0.00840479179522097</v>
      </c>
      <c r="C23" s="22" t="s">
        <v>165</v>
      </c>
      <c r="D23">
        <v>0.00561737983275528</v>
      </c>
      <c r="E23">
        <v>0.00885162882737196</v>
      </c>
      <c r="F23">
        <v>0.00378747579632742</v>
      </c>
      <c r="G23">
        <v>0.00572376960231504</v>
      </c>
      <c r="H23">
        <v>0.0160861331574355</v>
      </c>
      <c r="I23" s="22" t="s">
        <v>166</v>
      </c>
      <c r="L23">
        <v>0.00046811498606294</v>
      </c>
      <c r="M23" s="6">
        <v>0.00170223631295614</v>
      </c>
      <c r="P23" t="s">
        <v>50</v>
      </c>
      <c r="Q23" t="s">
        <v>51</v>
      </c>
      <c r="R23" t="s">
        <v>52</v>
      </c>
      <c r="S23" t="s">
        <v>53</v>
      </c>
      <c r="T23" t="s">
        <v>167</v>
      </c>
      <c r="U23" t="s">
        <v>168</v>
      </c>
    </row>
    <row r="24" spans="1:21">
      <c r="A24" t="s">
        <v>169</v>
      </c>
      <c r="B24">
        <v>0.00836223588739706</v>
      </c>
      <c r="C24">
        <v>0.00229801902249079</v>
      </c>
      <c r="D24">
        <v>0.000851118156478073</v>
      </c>
      <c r="E24">
        <v>0.00434070259803817</v>
      </c>
      <c r="F24">
        <v>0.001766070174692</v>
      </c>
      <c r="G24">
        <v>0.00665999957444092</v>
      </c>
      <c r="H24" s="22" t="s">
        <v>170</v>
      </c>
      <c r="I24">
        <v>0.0395344383684064</v>
      </c>
      <c r="L24">
        <v>0.00161712449730833</v>
      </c>
      <c r="M24" s="6">
        <v>0.00287252377811349</v>
      </c>
      <c r="P24" t="s">
        <v>50</v>
      </c>
      <c r="Q24" t="s">
        <v>51</v>
      </c>
      <c r="R24" t="s">
        <v>91</v>
      </c>
      <c r="S24" t="s">
        <v>171</v>
      </c>
      <c r="T24" t="s">
        <v>172</v>
      </c>
      <c r="U24" t="s">
        <v>173</v>
      </c>
    </row>
    <row r="25" spans="1:21">
      <c r="A25" t="s">
        <v>174</v>
      </c>
      <c r="B25" s="22" t="s">
        <v>175</v>
      </c>
      <c r="C25">
        <v>0.00389386556588718</v>
      </c>
      <c r="D25">
        <v>0.00140434495818882</v>
      </c>
      <c r="E25" s="22" t="s">
        <v>176</v>
      </c>
      <c r="F25">
        <v>0.00161712449730833</v>
      </c>
      <c r="G25" s="22" t="s">
        <v>177</v>
      </c>
      <c r="H25">
        <v>0.00117028746515735</v>
      </c>
      <c r="I25">
        <v>0.00453220418324573</v>
      </c>
      <c r="L25">
        <v>0.00023405749303147</v>
      </c>
      <c r="M25" s="6">
        <v>0.000766006340830265</v>
      </c>
      <c r="P25" t="s">
        <v>50</v>
      </c>
      <c r="Q25" t="s">
        <v>51</v>
      </c>
      <c r="R25" t="s">
        <v>178</v>
      </c>
      <c r="S25" t="s">
        <v>179</v>
      </c>
      <c r="T25" t="s">
        <v>180</v>
      </c>
      <c r="U25" t="s">
        <v>181</v>
      </c>
    </row>
    <row r="26" spans="1:21">
      <c r="A26" t="s">
        <v>182</v>
      </c>
      <c r="B26" s="22" t="s">
        <v>183</v>
      </c>
      <c r="C26" s="22" t="s">
        <v>123</v>
      </c>
      <c r="D26" s="22" t="s">
        <v>184</v>
      </c>
      <c r="E26">
        <v>0.00966019107602613</v>
      </c>
      <c r="F26" s="22" t="s">
        <v>185</v>
      </c>
      <c r="G26">
        <v>0.0125752707619635</v>
      </c>
      <c r="H26">
        <v>0.000617060663446603</v>
      </c>
      <c r="I26">
        <v>0.00108517564950954</v>
      </c>
      <c r="L26" s="22" t="s">
        <v>186</v>
      </c>
      <c r="M26" s="6">
        <v>0.000276613400855373</v>
      </c>
      <c r="P26" t="s">
        <v>50</v>
      </c>
      <c r="Q26" t="s">
        <v>51</v>
      </c>
      <c r="R26" t="s">
        <v>52</v>
      </c>
      <c r="S26" t="s">
        <v>53</v>
      </c>
      <c r="T26" t="s">
        <v>72</v>
      </c>
      <c r="U26" t="s">
        <v>187</v>
      </c>
    </row>
    <row r="27" spans="1:21">
      <c r="A27" t="s">
        <v>188</v>
      </c>
      <c r="B27">
        <v>0.00614932868055407</v>
      </c>
      <c r="C27">
        <v>0.00117028746515735</v>
      </c>
      <c r="D27">
        <v>0.0018086260825159</v>
      </c>
      <c r="E27">
        <v>0.0314913717896887</v>
      </c>
      <c r="F27">
        <v>0.00193629380598761</v>
      </c>
      <c r="G27" s="22" t="s">
        <v>189</v>
      </c>
      <c r="H27">
        <v>0.00391514351979913</v>
      </c>
      <c r="I27" s="22" t="s">
        <v>190</v>
      </c>
      <c r="L27">
        <v>0.000170223631295614</v>
      </c>
      <c r="M27" s="25" t="s">
        <v>186</v>
      </c>
      <c r="P27" t="s">
        <v>50</v>
      </c>
      <c r="Q27" t="s">
        <v>51</v>
      </c>
      <c r="R27" t="s">
        <v>108</v>
      </c>
      <c r="S27" t="s">
        <v>109</v>
      </c>
      <c r="T27" t="s">
        <v>110</v>
      </c>
      <c r="U27" t="s">
        <v>191</v>
      </c>
    </row>
    <row r="28" spans="1:21">
      <c r="A28" t="s">
        <v>192</v>
      </c>
      <c r="B28">
        <v>0.00974530289167393</v>
      </c>
      <c r="C28">
        <v>0.00555354597101942</v>
      </c>
      <c r="D28">
        <v>0.00504287507713258</v>
      </c>
      <c r="E28" s="22" t="s">
        <v>193</v>
      </c>
      <c r="F28">
        <v>0.00863884928825244</v>
      </c>
      <c r="G28">
        <v>0.0110645360342149</v>
      </c>
      <c r="H28">
        <v>0.00446837032150988</v>
      </c>
      <c r="I28">
        <v>0.0109581462646551</v>
      </c>
      <c r="L28">
        <v>0.0012341213268932</v>
      </c>
      <c r="M28" s="6">
        <v>0.00463859395280549</v>
      </c>
      <c r="P28" t="s">
        <v>50</v>
      </c>
      <c r="Q28" t="s">
        <v>51</v>
      </c>
      <c r="R28" t="s">
        <v>52</v>
      </c>
      <c r="S28" t="s">
        <v>76</v>
      </c>
      <c r="T28" t="s">
        <v>77</v>
      </c>
      <c r="U28" t="s">
        <v>78</v>
      </c>
    </row>
    <row r="29" spans="1:21">
      <c r="A29" t="s">
        <v>194</v>
      </c>
      <c r="B29">
        <v>0.000638338617358554</v>
      </c>
      <c r="C29">
        <v>0.000510670893886843</v>
      </c>
      <c r="D29">
        <v>0.000297891354767325</v>
      </c>
      <c r="E29">
        <v>0.00402153328935889</v>
      </c>
      <c r="F29">
        <v>0.000446837032150988</v>
      </c>
      <c r="G29">
        <v>0.00514926484669234</v>
      </c>
      <c r="H29">
        <v>0</v>
      </c>
      <c r="I29">
        <v>0.000446837032150988</v>
      </c>
      <c r="L29" s="22" t="s">
        <v>195</v>
      </c>
      <c r="M29" s="25" t="s">
        <v>196</v>
      </c>
      <c r="P29" t="s">
        <v>50</v>
      </c>
      <c r="Q29" t="s">
        <v>51</v>
      </c>
      <c r="R29" t="s">
        <v>197</v>
      </c>
      <c r="S29" t="s">
        <v>198</v>
      </c>
      <c r="T29" t="s">
        <v>199</v>
      </c>
      <c r="U29" t="s">
        <v>200</v>
      </c>
    </row>
    <row r="30" spans="1:21">
      <c r="A30" t="s">
        <v>201</v>
      </c>
      <c r="B30">
        <v>0.00274485605464178</v>
      </c>
      <c r="C30">
        <v>0.00668127752835287</v>
      </c>
      <c r="D30">
        <v>0.00438325850586207</v>
      </c>
      <c r="E30">
        <v>0.00542587824754771</v>
      </c>
      <c r="F30">
        <v>0.00259591037725812</v>
      </c>
      <c r="G30">
        <v>0.00731961614571142</v>
      </c>
      <c r="H30">
        <v>0.000872396110390024</v>
      </c>
      <c r="I30">
        <v>0.000872396110390024</v>
      </c>
      <c r="L30" s="22" t="s">
        <v>202</v>
      </c>
      <c r="M30" s="25" t="s">
        <v>203</v>
      </c>
      <c r="P30" t="s">
        <v>50</v>
      </c>
      <c r="Q30" t="s">
        <v>51</v>
      </c>
      <c r="R30" t="s">
        <v>52</v>
      </c>
      <c r="S30" t="s">
        <v>53</v>
      </c>
      <c r="T30" t="s">
        <v>204</v>
      </c>
      <c r="U30" t="s">
        <v>205</v>
      </c>
    </row>
    <row r="31" spans="1:21">
      <c r="A31" t="s">
        <v>206</v>
      </c>
      <c r="B31">
        <v>0.00814945634827755</v>
      </c>
      <c r="C31">
        <v>0.0024256867459625</v>
      </c>
      <c r="D31">
        <v>0.00253207651552226</v>
      </c>
      <c r="E31">
        <v>0.00714939251441581</v>
      </c>
      <c r="F31">
        <v>0.00225546311466689</v>
      </c>
      <c r="G31">
        <v>0.00710683660659191</v>
      </c>
      <c r="H31">
        <v>0.000872396110390024</v>
      </c>
      <c r="I31">
        <v>0.00387258761197523</v>
      </c>
      <c r="L31" s="22" t="s">
        <v>207</v>
      </c>
      <c r="M31" s="25" t="s">
        <v>208</v>
      </c>
      <c r="P31" t="s">
        <v>50</v>
      </c>
      <c r="Q31" t="s">
        <v>51</v>
      </c>
      <c r="R31" t="s">
        <v>52</v>
      </c>
      <c r="S31" t="s">
        <v>76</v>
      </c>
      <c r="T31" t="s">
        <v>77</v>
      </c>
      <c r="U31" t="s">
        <v>78</v>
      </c>
    </row>
    <row r="32" spans="1:21">
      <c r="B32" s="22" t="s">
        <v>209</v>
      </c>
      <c r="C32" s="22" t="s">
        <v>210</v>
      </c>
      <c r="D32" s="22" t="s">
        <v>211</v>
      </c>
      <c r="E32">
        <v>0.302104389641892</v>
      </c>
      <c r="F32" s="22" t="s">
        <v>212</v>
      </c>
      <c r="G32" s="22" t="s">
        <v>213</v>
      </c>
      <c r="H32" s="22" t="s">
        <v>214</v>
      </c>
      <c r="I32" s="22" t="s">
        <v>215</v>
      </c>
      <c r="L32" s="22" t="s">
        <v>216</v>
      </c>
      <c r="M32" s="25" t="s">
        <v>217</v>
      </c>
      <c r="P32" t="s">
        <v>218</v>
      </c>
    </row>
  </sheetData>
  <autoFilter xmlns:etc="http://www.wps.cn/officeDocument/2017/etCustomData" ref="A1:U3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Enriched</vt:lpstr>
      <vt:lpstr>taxa.percents.table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廖洋(2021310253)</cp:lastModifiedBy>
  <dcterms:created xsi:type="dcterms:W3CDTF">2026-09-10T23:40:00Z</dcterms:created>
  <dcterms:modified xsi:type="dcterms:W3CDTF">2026-09-11T10:33:35Z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056E05800390DEC6F967A36AC899F1FB_42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