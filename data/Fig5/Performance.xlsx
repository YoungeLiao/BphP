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3/"/>
    </mc:Choice>
  </mc:AlternateContent>
  <xr:revisionPtr revIDLastSave="0" documentId="13_ncr:1_{B0B19FD8-3AA5-AE40-9570-EC5CA6FE0B49}" xr6:coauthVersionLast="47" xr6:coauthVersionMax="47" xr10:uidLastSave="{00000000-0000-0000-0000-000000000000}"/>
  <bookViews>
    <workbookView xWindow="6920" yWindow="960" windowWidth="21460" windowHeight="16340" activeTab="1" xr2:uid="{A84842C5-6682-D149-B66C-3F6B0E430C9B}"/>
  </bookViews>
  <sheets>
    <sheet name="PASH.r1" sheetId="1" r:id="rId1"/>
    <sheet name="PASH.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N152" i="1"/>
  <c r="N153" i="1"/>
  <c r="N154" i="1"/>
  <c r="I154" i="1" s="1"/>
  <c r="N155" i="1"/>
  <c r="I155" i="1" s="1"/>
  <c r="N156" i="1"/>
  <c r="I156" i="1" s="1"/>
  <c r="N157" i="1"/>
  <c r="I157" i="1" s="1"/>
  <c r="N158" i="1"/>
  <c r="I158" i="1" s="1"/>
  <c r="N159" i="1"/>
  <c r="I159" i="1" s="1"/>
  <c r="N160" i="1"/>
  <c r="N161" i="1"/>
  <c r="N162" i="1"/>
  <c r="N163" i="1"/>
  <c r="N164" i="1"/>
  <c r="I164" i="1" s="1"/>
  <c r="N165" i="1"/>
  <c r="I165" i="1" s="1"/>
  <c r="N166" i="1"/>
  <c r="I166" i="1" s="1"/>
  <c r="N167" i="1"/>
  <c r="I167" i="1" s="1"/>
  <c r="N168" i="1"/>
  <c r="N169" i="1"/>
  <c r="N170" i="1"/>
  <c r="N171" i="1"/>
  <c r="N172" i="1"/>
  <c r="I172" i="1" s="1"/>
  <c r="N173" i="1"/>
  <c r="I173" i="1" s="1"/>
  <c r="N174" i="1"/>
  <c r="I174" i="1" s="1"/>
  <c r="N175" i="1"/>
  <c r="I175" i="1" s="1"/>
  <c r="N176" i="1"/>
  <c r="N177" i="1"/>
  <c r="N178" i="1"/>
  <c r="N179" i="1"/>
  <c r="N180" i="1"/>
  <c r="I180" i="1" s="1"/>
  <c r="N181" i="1"/>
  <c r="I181" i="1" s="1"/>
  <c r="I152" i="1"/>
  <c r="I153" i="1"/>
  <c r="I160" i="1"/>
  <c r="I161" i="1"/>
  <c r="I162" i="1"/>
  <c r="I163" i="1"/>
  <c r="I168" i="1"/>
  <c r="I169" i="1"/>
  <c r="I170" i="1"/>
  <c r="I171" i="1"/>
  <c r="I176" i="1"/>
  <c r="I177" i="1"/>
  <c r="I178" i="1"/>
  <c r="I179" i="1"/>
  <c r="C35" i="2"/>
  <c r="C43" i="2"/>
  <c r="C51" i="2"/>
  <c r="C58" i="2"/>
  <c r="C59" i="2"/>
  <c r="C60" i="2"/>
  <c r="C76" i="2"/>
  <c r="C78" i="2"/>
  <c r="C84" i="2"/>
  <c r="C86" i="2"/>
  <c r="C90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91" i="1"/>
  <c r="C92" i="1"/>
  <c r="C116" i="1"/>
  <c r="C117" i="1"/>
  <c r="C146" i="1"/>
  <c r="C176" i="1"/>
  <c r="C32" i="1"/>
  <c r="N121" i="2"/>
  <c r="J121" i="2"/>
  <c r="I121" i="2" s="1"/>
  <c r="N120" i="2"/>
  <c r="J120" i="2"/>
  <c r="N119" i="2"/>
  <c r="J119" i="2"/>
  <c r="I119" i="2" s="1"/>
  <c r="N118" i="2"/>
  <c r="J118" i="2"/>
  <c r="I118" i="2" s="1"/>
  <c r="N117" i="2"/>
  <c r="J117" i="2"/>
  <c r="I117" i="2" s="1"/>
  <c r="N116" i="2"/>
  <c r="J116" i="2"/>
  <c r="I116" i="2" s="1"/>
  <c r="N115" i="2"/>
  <c r="J115" i="2"/>
  <c r="I115" i="2" s="1"/>
  <c r="N114" i="2"/>
  <c r="J114" i="2"/>
  <c r="I114" i="2" s="1"/>
  <c r="N113" i="2"/>
  <c r="J113" i="2"/>
  <c r="I113" i="2" s="1"/>
  <c r="N112" i="2"/>
  <c r="J112" i="2"/>
  <c r="I112" i="2" s="1"/>
  <c r="N111" i="2"/>
  <c r="J111" i="2"/>
  <c r="I111" i="2" s="1"/>
  <c r="N110" i="2"/>
  <c r="J110" i="2"/>
  <c r="I110" i="2" s="1"/>
  <c r="N109" i="2"/>
  <c r="J109" i="2"/>
  <c r="I109" i="2" s="1"/>
  <c r="N108" i="2"/>
  <c r="J108" i="2"/>
  <c r="I108" i="2" s="1"/>
  <c r="N107" i="2"/>
  <c r="J107" i="2"/>
  <c r="I107" i="2" s="1"/>
  <c r="N106" i="2"/>
  <c r="J106" i="2"/>
  <c r="I106" i="2" s="1"/>
  <c r="N105" i="2"/>
  <c r="J105" i="2"/>
  <c r="I105" i="2" s="1"/>
  <c r="N104" i="2"/>
  <c r="J104" i="2"/>
  <c r="I104" i="2" s="1"/>
  <c r="N103" i="2"/>
  <c r="J103" i="2"/>
  <c r="I103" i="2" s="1"/>
  <c r="N102" i="2"/>
  <c r="J102" i="2"/>
  <c r="I102" i="2" s="1"/>
  <c r="N101" i="2"/>
  <c r="J101" i="2"/>
  <c r="I101" i="2" s="1"/>
  <c r="N100" i="2"/>
  <c r="J100" i="2"/>
  <c r="I100" i="2" s="1"/>
  <c r="N99" i="2"/>
  <c r="J99" i="2"/>
  <c r="I99" i="2" s="1"/>
  <c r="N98" i="2"/>
  <c r="J98" i="2"/>
  <c r="I98" i="2" s="1"/>
  <c r="N97" i="2"/>
  <c r="J97" i="2"/>
  <c r="I97" i="2" s="1"/>
  <c r="N96" i="2"/>
  <c r="J96" i="2"/>
  <c r="I96" i="2" s="1"/>
  <c r="N95" i="2"/>
  <c r="J95" i="2"/>
  <c r="I95" i="2" s="1"/>
  <c r="N94" i="2"/>
  <c r="J94" i="2"/>
  <c r="I94" i="2" s="1"/>
  <c r="N93" i="2"/>
  <c r="J93" i="2"/>
  <c r="I93" i="2" s="1"/>
  <c r="N92" i="2"/>
  <c r="J92" i="2"/>
  <c r="I92" i="2" s="1"/>
  <c r="R91" i="2"/>
  <c r="I91" i="2" s="1"/>
  <c r="M91" i="2"/>
  <c r="L91" i="2"/>
  <c r="J91" i="2"/>
  <c r="H91" i="2"/>
  <c r="G91" i="2"/>
  <c r="R90" i="2"/>
  <c r="I90" i="2" s="1"/>
  <c r="M90" i="2"/>
  <c r="L90" i="2"/>
  <c r="J90" i="2"/>
  <c r="H90" i="2"/>
  <c r="K90" i="2" s="1"/>
  <c r="G90" i="2"/>
  <c r="R89" i="2"/>
  <c r="I89" i="2" s="1"/>
  <c r="K89" i="2" s="1"/>
  <c r="M89" i="2"/>
  <c r="L89" i="2"/>
  <c r="J89" i="2"/>
  <c r="H89" i="2"/>
  <c r="G89" i="2"/>
  <c r="R88" i="2"/>
  <c r="I88" i="2" s="1"/>
  <c r="K88" i="2" s="1"/>
  <c r="M88" i="2"/>
  <c r="L88" i="2"/>
  <c r="J88" i="2"/>
  <c r="H88" i="2"/>
  <c r="G88" i="2"/>
  <c r="R87" i="2"/>
  <c r="I87" i="2" s="1"/>
  <c r="M87" i="2"/>
  <c r="L87" i="2"/>
  <c r="J87" i="2"/>
  <c r="H87" i="2"/>
  <c r="K87" i="2" s="1"/>
  <c r="G87" i="2"/>
  <c r="R86" i="2"/>
  <c r="I86" i="2" s="1"/>
  <c r="M86" i="2"/>
  <c r="L86" i="2"/>
  <c r="J86" i="2"/>
  <c r="H86" i="2"/>
  <c r="G86" i="2"/>
  <c r="R85" i="2"/>
  <c r="I85" i="2" s="1"/>
  <c r="M85" i="2"/>
  <c r="L85" i="2"/>
  <c r="J85" i="2"/>
  <c r="H85" i="2"/>
  <c r="G85" i="2"/>
  <c r="R84" i="2"/>
  <c r="I84" i="2" s="1"/>
  <c r="M84" i="2"/>
  <c r="L84" i="2"/>
  <c r="J84" i="2"/>
  <c r="H84" i="2"/>
  <c r="G84" i="2"/>
  <c r="R83" i="2"/>
  <c r="M83" i="2"/>
  <c r="L83" i="2"/>
  <c r="J83" i="2"/>
  <c r="I83" i="2"/>
  <c r="H83" i="2"/>
  <c r="K83" i="2" s="1"/>
  <c r="G83" i="2"/>
  <c r="R82" i="2"/>
  <c r="M82" i="2"/>
  <c r="L82" i="2"/>
  <c r="K82" i="2"/>
  <c r="J82" i="2"/>
  <c r="I82" i="2"/>
  <c r="H82" i="2"/>
  <c r="G82" i="2"/>
  <c r="R81" i="2"/>
  <c r="L81" i="2"/>
  <c r="J81" i="2"/>
  <c r="I81" i="2"/>
  <c r="K81" i="2" s="1"/>
  <c r="H81" i="2"/>
  <c r="G81" i="2"/>
  <c r="R80" i="2"/>
  <c r="I80" i="2" s="1"/>
  <c r="M80" i="2"/>
  <c r="L80" i="2"/>
  <c r="J80" i="2"/>
  <c r="H80" i="2"/>
  <c r="G80" i="2"/>
  <c r="R79" i="2"/>
  <c r="I79" i="2" s="1"/>
  <c r="K79" i="2" s="1"/>
  <c r="M79" i="2"/>
  <c r="L79" i="2"/>
  <c r="J79" i="2"/>
  <c r="H79" i="2"/>
  <c r="G79" i="2"/>
  <c r="R78" i="2"/>
  <c r="I78" i="2" s="1"/>
  <c r="M78" i="2"/>
  <c r="L78" i="2"/>
  <c r="J78" i="2"/>
  <c r="H78" i="2"/>
  <c r="G78" i="2"/>
  <c r="R77" i="2"/>
  <c r="I77" i="2" s="1"/>
  <c r="M77" i="2"/>
  <c r="L77" i="2"/>
  <c r="J77" i="2"/>
  <c r="H77" i="2"/>
  <c r="K77" i="2" s="1"/>
  <c r="G77" i="2"/>
  <c r="R76" i="2"/>
  <c r="I76" i="2" s="1"/>
  <c r="M76" i="2"/>
  <c r="L76" i="2"/>
  <c r="J76" i="2"/>
  <c r="H76" i="2"/>
  <c r="G76" i="2"/>
  <c r="R75" i="2"/>
  <c r="I75" i="2" s="1"/>
  <c r="M75" i="2"/>
  <c r="L75" i="2"/>
  <c r="J75" i="2"/>
  <c r="H75" i="2"/>
  <c r="G75" i="2"/>
  <c r="R74" i="2"/>
  <c r="I74" i="2" s="1"/>
  <c r="M74" i="2"/>
  <c r="L74" i="2"/>
  <c r="J74" i="2"/>
  <c r="H74" i="2"/>
  <c r="G74" i="2"/>
  <c r="R73" i="2"/>
  <c r="I73" i="2" s="1"/>
  <c r="K73" i="2" s="1"/>
  <c r="M73" i="2"/>
  <c r="L73" i="2"/>
  <c r="J73" i="2"/>
  <c r="H73" i="2"/>
  <c r="G73" i="2"/>
  <c r="R72" i="2"/>
  <c r="I72" i="2" s="1"/>
  <c r="K72" i="2" s="1"/>
  <c r="M72" i="2"/>
  <c r="L72" i="2"/>
  <c r="J72" i="2"/>
  <c r="H72" i="2"/>
  <c r="G72" i="2"/>
  <c r="R71" i="2"/>
  <c r="I71" i="2" s="1"/>
  <c r="L71" i="2"/>
  <c r="J71" i="2"/>
  <c r="H71" i="2"/>
  <c r="G71" i="2"/>
  <c r="R70" i="2"/>
  <c r="I70" i="2" s="1"/>
  <c r="M70" i="2"/>
  <c r="L70" i="2"/>
  <c r="J70" i="2"/>
  <c r="H70" i="2"/>
  <c r="G70" i="2"/>
  <c r="R69" i="2"/>
  <c r="I69" i="2" s="1"/>
  <c r="M69" i="2"/>
  <c r="L69" i="2"/>
  <c r="J69" i="2"/>
  <c r="H69" i="2"/>
  <c r="G69" i="2"/>
  <c r="R68" i="2"/>
  <c r="I68" i="2" s="1"/>
  <c r="M68" i="2"/>
  <c r="L68" i="2"/>
  <c r="J68" i="2"/>
  <c r="H68" i="2"/>
  <c r="G68" i="2"/>
  <c r="R67" i="2"/>
  <c r="M67" i="2"/>
  <c r="L67" i="2"/>
  <c r="J67" i="2"/>
  <c r="I67" i="2"/>
  <c r="H67" i="2"/>
  <c r="G67" i="2"/>
  <c r="R66" i="2"/>
  <c r="M66" i="2"/>
  <c r="L66" i="2"/>
  <c r="J66" i="2"/>
  <c r="I66" i="2"/>
  <c r="H66" i="2"/>
  <c r="G66" i="2"/>
  <c r="R65" i="2"/>
  <c r="M65" i="2"/>
  <c r="L65" i="2"/>
  <c r="J65" i="2"/>
  <c r="I65" i="2"/>
  <c r="H65" i="2"/>
  <c r="K65" i="2" s="1"/>
  <c r="G65" i="2"/>
  <c r="R64" i="2"/>
  <c r="L64" i="2"/>
  <c r="J64" i="2"/>
  <c r="I64" i="2"/>
  <c r="H64" i="2"/>
  <c r="K64" i="2" s="1"/>
  <c r="G64" i="2"/>
  <c r="R63" i="2"/>
  <c r="M63" i="2"/>
  <c r="L63" i="2"/>
  <c r="J63" i="2"/>
  <c r="I63" i="2"/>
  <c r="H63" i="2"/>
  <c r="K63" i="2" s="1"/>
  <c r="G63" i="2"/>
  <c r="R62" i="2"/>
  <c r="I62" i="2" s="1"/>
  <c r="K62" i="2" s="1"/>
  <c r="M62" i="2"/>
  <c r="L62" i="2"/>
  <c r="J62" i="2"/>
  <c r="H62" i="2"/>
  <c r="G62" i="2"/>
  <c r="R61" i="2"/>
  <c r="M61" i="2"/>
  <c r="L61" i="2"/>
  <c r="H61" i="2"/>
  <c r="G61" i="2"/>
  <c r="R60" i="2"/>
  <c r="M60" i="2"/>
  <c r="L60" i="2"/>
  <c r="H60" i="2"/>
  <c r="G60" i="2"/>
  <c r="R59" i="2"/>
  <c r="M59" i="2"/>
  <c r="L59" i="2"/>
  <c r="H59" i="2"/>
  <c r="G59" i="2"/>
  <c r="R58" i="2"/>
  <c r="M58" i="2"/>
  <c r="L58" i="2"/>
  <c r="H58" i="2"/>
  <c r="G58" i="2"/>
  <c r="R57" i="2"/>
  <c r="M57" i="2"/>
  <c r="L57" i="2"/>
  <c r="H57" i="2"/>
  <c r="G57" i="2"/>
  <c r="R56" i="2"/>
  <c r="M56" i="2"/>
  <c r="L56" i="2"/>
  <c r="H56" i="2"/>
  <c r="G56" i="2"/>
  <c r="R55" i="2"/>
  <c r="M55" i="2"/>
  <c r="L55" i="2"/>
  <c r="H55" i="2"/>
  <c r="G55" i="2"/>
  <c r="R54" i="2"/>
  <c r="M54" i="2"/>
  <c r="L54" i="2"/>
  <c r="H54" i="2"/>
  <c r="G54" i="2"/>
  <c r="R53" i="2"/>
  <c r="M53" i="2"/>
  <c r="L53" i="2"/>
  <c r="H53" i="2"/>
  <c r="G53" i="2"/>
  <c r="R52" i="2"/>
  <c r="M52" i="2"/>
  <c r="L52" i="2"/>
  <c r="H52" i="2"/>
  <c r="G52" i="2"/>
  <c r="R51" i="2"/>
  <c r="M51" i="2"/>
  <c r="L51" i="2"/>
  <c r="H51" i="2"/>
  <c r="G51" i="2"/>
  <c r="R50" i="2"/>
  <c r="M50" i="2"/>
  <c r="L50" i="2"/>
  <c r="H50" i="2"/>
  <c r="G50" i="2"/>
  <c r="R49" i="2"/>
  <c r="M49" i="2"/>
  <c r="L49" i="2"/>
  <c r="H49" i="2"/>
  <c r="G49" i="2"/>
  <c r="R48" i="2"/>
  <c r="M48" i="2"/>
  <c r="L48" i="2"/>
  <c r="H48" i="2"/>
  <c r="G48" i="2"/>
  <c r="R47" i="2"/>
  <c r="M47" i="2"/>
  <c r="L47" i="2"/>
  <c r="H47" i="2"/>
  <c r="G47" i="2"/>
  <c r="R46" i="2"/>
  <c r="M46" i="2"/>
  <c r="L46" i="2"/>
  <c r="H46" i="2"/>
  <c r="G46" i="2"/>
  <c r="R45" i="2"/>
  <c r="M45" i="2"/>
  <c r="L45" i="2"/>
  <c r="H45" i="2"/>
  <c r="G45" i="2"/>
  <c r="R44" i="2"/>
  <c r="M44" i="2"/>
  <c r="L44" i="2"/>
  <c r="H44" i="2"/>
  <c r="G44" i="2"/>
  <c r="R43" i="2"/>
  <c r="M43" i="2"/>
  <c r="L43" i="2"/>
  <c r="H43" i="2"/>
  <c r="G43" i="2"/>
  <c r="R42" i="2"/>
  <c r="M42" i="2"/>
  <c r="L42" i="2"/>
  <c r="H42" i="2"/>
  <c r="G42" i="2"/>
  <c r="R41" i="2"/>
  <c r="M41" i="2"/>
  <c r="L41" i="2"/>
  <c r="H41" i="2"/>
  <c r="G41" i="2"/>
  <c r="R40" i="2"/>
  <c r="M40" i="2"/>
  <c r="L40" i="2"/>
  <c r="H40" i="2"/>
  <c r="G40" i="2"/>
  <c r="R39" i="2"/>
  <c r="M39" i="2"/>
  <c r="L39" i="2"/>
  <c r="H39" i="2"/>
  <c r="G39" i="2"/>
  <c r="R38" i="2"/>
  <c r="M38" i="2"/>
  <c r="L38" i="2"/>
  <c r="H38" i="2"/>
  <c r="G38" i="2"/>
  <c r="R37" i="2"/>
  <c r="M37" i="2"/>
  <c r="L37" i="2"/>
  <c r="H37" i="2"/>
  <c r="G37" i="2"/>
  <c r="R36" i="2"/>
  <c r="M36" i="2"/>
  <c r="L36" i="2"/>
  <c r="H36" i="2"/>
  <c r="G36" i="2"/>
  <c r="R35" i="2"/>
  <c r="M35" i="2"/>
  <c r="L35" i="2"/>
  <c r="H35" i="2"/>
  <c r="G35" i="2"/>
  <c r="R34" i="2"/>
  <c r="M34" i="2"/>
  <c r="L34" i="2"/>
  <c r="H34" i="2"/>
  <c r="G34" i="2"/>
  <c r="R33" i="2"/>
  <c r="M33" i="2"/>
  <c r="L33" i="2"/>
  <c r="H33" i="2"/>
  <c r="G33" i="2"/>
  <c r="R32" i="2"/>
  <c r="M32" i="2"/>
  <c r="L32" i="2"/>
  <c r="H32" i="2"/>
  <c r="G32" i="2"/>
  <c r="R31" i="2"/>
  <c r="I31" i="2" s="1"/>
  <c r="M31" i="2"/>
  <c r="L31" i="2"/>
  <c r="H31" i="2"/>
  <c r="G31" i="2"/>
  <c r="R30" i="2"/>
  <c r="I30" i="2" s="1"/>
  <c r="K30" i="2" s="1"/>
  <c r="M30" i="2"/>
  <c r="L30" i="2"/>
  <c r="H30" i="2"/>
  <c r="G30" i="2"/>
  <c r="R29" i="2"/>
  <c r="I29" i="2" s="1"/>
  <c r="K29" i="2" s="1"/>
  <c r="M29" i="2"/>
  <c r="L29" i="2"/>
  <c r="H29" i="2"/>
  <c r="G29" i="2"/>
  <c r="R28" i="2"/>
  <c r="I28" i="2" s="1"/>
  <c r="M28" i="2"/>
  <c r="L28" i="2"/>
  <c r="H28" i="2"/>
  <c r="G28" i="2"/>
  <c r="R27" i="2"/>
  <c r="I27" i="2" s="1"/>
  <c r="K27" i="2" s="1"/>
  <c r="M27" i="2"/>
  <c r="L27" i="2"/>
  <c r="H27" i="2"/>
  <c r="G27" i="2"/>
  <c r="R26" i="2"/>
  <c r="I26" i="2" s="1"/>
  <c r="K26" i="2" s="1"/>
  <c r="M26" i="2"/>
  <c r="L26" i="2"/>
  <c r="H26" i="2"/>
  <c r="G26" i="2"/>
  <c r="R25" i="2"/>
  <c r="I25" i="2" s="1"/>
  <c r="M25" i="2"/>
  <c r="L25" i="2"/>
  <c r="H25" i="2"/>
  <c r="G25" i="2"/>
  <c r="R24" i="2"/>
  <c r="I24" i="2" s="1"/>
  <c r="K24" i="2" s="1"/>
  <c r="M24" i="2"/>
  <c r="L24" i="2"/>
  <c r="H24" i="2"/>
  <c r="G24" i="2"/>
  <c r="R23" i="2"/>
  <c r="I23" i="2" s="1"/>
  <c r="M23" i="2"/>
  <c r="L23" i="2"/>
  <c r="H23" i="2"/>
  <c r="G23" i="2"/>
  <c r="R22" i="2"/>
  <c r="I22" i="2" s="1"/>
  <c r="K22" i="2" s="1"/>
  <c r="M22" i="2"/>
  <c r="L22" i="2"/>
  <c r="H22" i="2"/>
  <c r="G22" i="2"/>
  <c r="R21" i="2"/>
  <c r="I21" i="2" s="1"/>
  <c r="K21" i="2" s="1"/>
  <c r="M21" i="2"/>
  <c r="L21" i="2"/>
  <c r="H21" i="2"/>
  <c r="G21" i="2"/>
  <c r="R20" i="2"/>
  <c r="I20" i="2" s="1"/>
  <c r="M20" i="2"/>
  <c r="L20" i="2"/>
  <c r="H20" i="2"/>
  <c r="G20" i="2"/>
  <c r="R19" i="2"/>
  <c r="I19" i="2" s="1"/>
  <c r="K19" i="2" s="1"/>
  <c r="M19" i="2"/>
  <c r="L19" i="2"/>
  <c r="H19" i="2"/>
  <c r="G19" i="2"/>
  <c r="R18" i="2"/>
  <c r="I18" i="2" s="1"/>
  <c r="K18" i="2" s="1"/>
  <c r="M18" i="2"/>
  <c r="L18" i="2"/>
  <c r="H18" i="2"/>
  <c r="G18" i="2"/>
  <c r="R17" i="2"/>
  <c r="I17" i="2" s="1"/>
  <c r="M17" i="2"/>
  <c r="L17" i="2"/>
  <c r="H17" i="2"/>
  <c r="G17" i="2"/>
  <c r="R16" i="2"/>
  <c r="I16" i="2" s="1"/>
  <c r="K16" i="2" s="1"/>
  <c r="M16" i="2"/>
  <c r="L16" i="2"/>
  <c r="H16" i="2"/>
  <c r="G16" i="2"/>
  <c r="R15" i="2"/>
  <c r="I15" i="2" s="1"/>
  <c r="M15" i="2"/>
  <c r="L15" i="2"/>
  <c r="H15" i="2"/>
  <c r="G15" i="2"/>
  <c r="R14" i="2"/>
  <c r="I14" i="2" s="1"/>
  <c r="K14" i="2" s="1"/>
  <c r="M14" i="2"/>
  <c r="L14" i="2"/>
  <c r="H14" i="2"/>
  <c r="G14" i="2"/>
  <c r="R13" i="2"/>
  <c r="I13" i="2" s="1"/>
  <c r="K13" i="2" s="1"/>
  <c r="M13" i="2"/>
  <c r="L13" i="2"/>
  <c r="H13" i="2"/>
  <c r="G13" i="2"/>
  <c r="R12" i="2"/>
  <c r="I12" i="2" s="1"/>
  <c r="M12" i="2"/>
  <c r="L12" i="2"/>
  <c r="H12" i="2"/>
  <c r="G12" i="2"/>
  <c r="R11" i="2"/>
  <c r="I11" i="2" s="1"/>
  <c r="K11" i="2" s="1"/>
  <c r="M11" i="2"/>
  <c r="L11" i="2"/>
  <c r="H11" i="2"/>
  <c r="G11" i="2"/>
  <c r="R10" i="2"/>
  <c r="I10" i="2" s="1"/>
  <c r="K10" i="2" s="1"/>
  <c r="M10" i="2"/>
  <c r="L10" i="2"/>
  <c r="H10" i="2"/>
  <c r="G10" i="2"/>
  <c r="R9" i="2"/>
  <c r="I9" i="2" s="1"/>
  <c r="M9" i="2"/>
  <c r="L9" i="2"/>
  <c r="H9" i="2"/>
  <c r="G9" i="2"/>
  <c r="R8" i="2"/>
  <c r="I8" i="2" s="1"/>
  <c r="K8" i="2" s="1"/>
  <c r="M8" i="2"/>
  <c r="L8" i="2"/>
  <c r="H8" i="2"/>
  <c r="G8" i="2"/>
  <c r="R7" i="2"/>
  <c r="I7" i="2" s="1"/>
  <c r="M7" i="2"/>
  <c r="L7" i="2"/>
  <c r="H7" i="2"/>
  <c r="G7" i="2"/>
  <c r="R6" i="2"/>
  <c r="I6" i="2" s="1"/>
  <c r="K6" i="2" s="1"/>
  <c r="M6" i="2"/>
  <c r="L6" i="2"/>
  <c r="H6" i="2"/>
  <c r="G6" i="2"/>
  <c r="R5" i="2"/>
  <c r="I5" i="2" s="1"/>
  <c r="K5" i="2" s="1"/>
  <c r="M5" i="2"/>
  <c r="L5" i="2"/>
  <c r="H5" i="2"/>
  <c r="G5" i="2"/>
  <c r="R4" i="2"/>
  <c r="I4" i="2" s="1"/>
  <c r="M4" i="2"/>
  <c r="L4" i="2"/>
  <c r="H4" i="2"/>
  <c r="G4" i="2"/>
  <c r="R3" i="2"/>
  <c r="I3" i="2" s="1"/>
  <c r="K3" i="2" s="1"/>
  <c r="M3" i="2"/>
  <c r="L3" i="2"/>
  <c r="H3" i="2"/>
  <c r="G3" i="2"/>
  <c r="R2" i="2"/>
  <c r="I2" i="2" s="1"/>
  <c r="K2" i="2" s="1"/>
  <c r="M2" i="2"/>
  <c r="L2" i="2"/>
  <c r="H2" i="2"/>
  <c r="G2" i="2"/>
  <c r="K181" i="1"/>
  <c r="H181" i="1"/>
  <c r="G181" i="1"/>
  <c r="K180" i="1"/>
  <c r="H180" i="1"/>
  <c r="G180" i="1"/>
  <c r="K179" i="1"/>
  <c r="H179" i="1"/>
  <c r="G179" i="1"/>
  <c r="K178" i="1"/>
  <c r="H178" i="1"/>
  <c r="G178" i="1"/>
  <c r="K177" i="1"/>
  <c r="H177" i="1"/>
  <c r="G177" i="1"/>
  <c r="K176" i="1"/>
  <c r="H176" i="1"/>
  <c r="G176" i="1"/>
  <c r="K175" i="1"/>
  <c r="H175" i="1"/>
  <c r="G175" i="1"/>
  <c r="K174" i="1"/>
  <c r="H174" i="1"/>
  <c r="G174" i="1"/>
  <c r="K173" i="1"/>
  <c r="H173" i="1"/>
  <c r="G173" i="1"/>
  <c r="K172" i="1"/>
  <c r="H172" i="1"/>
  <c r="G172" i="1"/>
  <c r="H171" i="1"/>
  <c r="G171" i="1"/>
  <c r="K170" i="1"/>
  <c r="H170" i="1"/>
  <c r="G170" i="1"/>
  <c r="K169" i="1"/>
  <c r="H169" i="1"/>
  <c r="G169" i="1"/>
  <c r="K168" i="1"/>
  <c r="H168" i="1"/>
  <c r="G168" i="1"/>
  <c r="K167" i="1"/>
  <c r="H167" i="1"/>
  <c r="G167" i="1"/>
  <c r="K166" i="1"/>
  <c r="H166" i="1"/>
  <c r="G166" i="1"/>
  <c r="K165" i="1"/>
  <c r="H165" i="1"/>
  <c r="G165" i="1"/>
  <c r="K164" i="1"/>
  <c r="H164" i="1"/>
  <c r="G164" i="1"/>
  <c r="K163" i="1"/>
  <c r="H163" i="1"/>
  <c r="G163" i="1"/>
  <c r="K162" i="1"/>
  <c r="H162" i="1"/>
  <c r="G162" i="1"/>
  <c r="H161" i="1"/>
  <c r="G161" i="1"/>
  <c r="H160" i="1"/>
  <c r="G160" i="1"/>
  <c r="K159" i="1"/>
  <c r="H159" i="1"/>
  <c r="G159" i="1"/>
  <c r="K158" i="1"/>
  <c r="H158" i="1"/>
  <c r="G158" i="1"/>
  <c r="K157" i="1"/>
  <c r="H157" i="1"/>
  <c r="G157" i="1"/>
  <c r="K156" i="1"/>
  <c r="H156" i="1"/>
  <c r="G156" i="1"/>
  <c r="H155" i="1"/>
  <c r="G155" i="1"/>
  <c r="K154" i="1"/>
  <c r="H154" i="1"/>
  <c r="G154" i="1"/>
  <c r="H153" i="1"/>
  <c r="G153" i="1"/>
  <c r="K152" i="1"/>
  <c r="H152" i="1"/>
  <c r="G152" i="1"/>
  <c r="N151" i="1"/>
  <c r="I151" i="1" s="1"/>
  <c r="K151" i="1"/>
  <c r="H151" i="1"/>
  <c r="G151" i="1"/>
  <c r="N150" i="1"/>
  <c r="I150" i="1" s="1"/>
  <c r="K150" i="1"/>
  <c r="H150" i="1"/>
  <c r="G150" i="1"/>
  <c r="N149" i="1"/>
  <c r="I149" i="1" s="1"/>
  <c r="K149" i="1"/>
  <c r="H149" i="1"/>
  <c r="G149" i="1"/>
  <c r="N148" i="1"/>
  <c r="I148" i="1" s="1"/>
  <c r="K148" i="1"/>
  <c r="H148" i="1"/>
  <c r="G148" i="1"/>
  <c r="N147" i="1"/>
  <c r="I147" i="1" s="1"/>
  <c r="K147" i="1"/>
  <c r="H147" i="1"/>
  <c r="G147" i="1"/>
  <c r="N146" i="1"/>
  <c r="I146" i="1" s="1"/>
  <c r="K146" i="1"/>
  <c r="H146" i="1"/>
  <c r="G146" i="1"/>
  <c r="N145" i="1"/>
  <c r="I145" i="1" s="1"/>
  <c r="K145" i="1"/>
  <c r="H145" i="1"/>
  <c r="G145" i="1"/>
  <c r="N144" i="1"/>
  <c r="I144" i="1" s="1"/>
  <c r="K144" i="1"/>
  <c r="H144" i="1"/>
  <c r="G144" i="1"/>
  <c r="N143" i="1"/>
  <c r="I143" i="1" s="1"/>
  <c r="K143" i="1"/>
  <c r="H143" i="1"/>
  <c r="G143" i="1"/>
  <c r="N142" i="1"/>
  <c r="I142" i="1" s="1"/>
  <c r="K142" i="1"/>
  <c r="H142" i="1"/>
  <c r="G142" i="1"/>
  <c r="N141" i="1"/>
  <c r="I141" i="1" s="1"/>
  <c r="K141" i="1"/>
  <c r="H141" i="1"/>
  <c r="G141" i="1"/>
  <c r="N140" i="1"/>
  <c r="I140" i="1" s="1"/>
  <c r="K140" i="1"/>
  <c r="H140" i="1"/>
  <c r="G140" i="1"/>
  <c r="N139" i="1"/>
  <c r="I139" i="1" s="1"/>
  <c r="K139" i="1"/>
  <c r="H139" i="1"/>
  <c r="G139" i="1"/>
  <c r="N138" i="1"/>
  <c r="I138" i="1" s="1"/>
  <c r="K138" i="1"/>
  <c r="H138" i="1"/>
  <c r="G138" i="1"/>
  <c r="N137" i="1"/>
  <c r="I137" i="1" s="1"/>
  <c r="K137" i="1"/>
  <c r="H137" i="1"/>
  <c r="G137" i="1"/>
  <c r="N136" i="1"/>
  <c r="I136" i="1" s="1"/>
  <c r="K136" i="1"/>
  <c r="H136" i="1"/>
  <c r="G136" i="1"/>
  <c r="N135" i="1"/>
  <c r="I135" i="1" s="1"/>
  <c r="K135" i="1"/>
  <c r="H135" i="1"/>
  <c r="G135" i="1"/>
  <c r="N134" i="1"/>
  <c r="I134" i="1" s="1"/>
  <c r="K134" i="1"/>
  <c r="H134" i="1"/>
  <c r="G134" i="1"/>
  <c r="N133" i="1"/>
  <c r="I133" i="1" s="1"/>
  <c r="K133" i="1"/>
  <c r="H133" i="1"/>
  <c r="G133" i="1"/>
  <c r="N132" i="1"/>
  <c r="I132" i="1" s="1"/>
  <c r="K132" i="1"/>
  <c r="H132" i="1"/>
  <c r="G132" i="1"/>
  <c r="N131" i="1"/>
  <c r="I131" i="1" s="1"/>
  <c r="K131" i="1"/>
  <c r="H131" i="1"/>
  <c r="G131" i="1"/>
  <c r="N130" i="1"/>
  <c r="I130" i="1" s="1"/>
  <c r="K130" i="1"/>
  <c r="H130" i="1"/>
  <c r="G130" i="1"/>
  <c r="N129" i="1"/>
  <c r="I129" i="1" s="1"/>
  <c r="K129" i="1"/>
  <c r="H129" i="1"/>
  <c r="G129" i="1"/>
  <c r="N128" i="1"/>
  <c r="I128" i="1" s="1"/>
  <c r="K128" i="1"/>
  <c r="H128" i="1"/>
  <c r="G128" i="1"/>
  <c r="N127" i="1"/>
  <c r="I127" i="1" s="1"/>
  <c r="K127" i="1"/>
  <c r="H127" i="1"/>
  <c r="G127" i="1"/>
  <c r="N126" i="1"/>
  <c r="I126" i="1" s="1"/>
  <c r="K126" i="1"/>
  <c r="H126" i="1"/>
  <c r="G126" i="1"/>
  <c r="N125" i="1"/>
  <c r="I125" i="1" s="1"/>
  <c r="K125" i="1"/>
  <c r="H125" i="1"/>
  <c r="G125" i="1"/>
  <c r="N124" i="1"/>
  <c r="I124" i="1" s="1"/>
  <c r="K124" i="1"/>
  <c r="H124" i="1"/>
  <c r="G124" i="1"/>
  <c r="N123" i="1"/>
  <c r="I123" i="1" s="1"/>
  <c r="K123" i="1"/>
  <c r="H123" i="1"/>
  <c r="G123" i="1"/>
  <c r="N122" i="1"/>
  <c r="I122" i="1" s="1"/>
  <c r="K122" i="1"/>
  <c r="H122" i="1"/>
  <c r="G122" i="1"/>
  <c r="N121" i="1"/>
  <c r="I121" i="1" s="1"/>
  <c r="K121" i="1"/>
  <c r="H121" i="1"/>
  <c r="G121" i="1"/>
  <c r="N120" i="1"/>
  <c r="I120" i="1" s="1"/>
  <c r="K120" i="1"/>
  <c r="H120" i="1"/>
  <c r="G120" i="1"/>
  <c r="N119" i="1"/>
  <c r="I119" i="1" s="1"/>
  <c r="K119" i="1"/>
  <c r="H119" i="1"/>
  <c r="G119" i="1"/>
  <c r="N118" i="1"/>
  <c r="I118" i="1" s="1"/>
  <c r="K118" i="1"/>
  <c r="H118" i="1"/>
  <c r="G118" i="1"/>
  <c r="N117" i="1"/>
  <c r="I117" i="1" s="1"/>
  <c r="K117" i="1"/>
  <c r="H117" i="1"/>
  <c r="G117" i="1"/>
  <c r="N116" i="1"/>
  <c r="I116" i="1" s="1"/>
  <c r="K116" i="1"/>
  <c r="H116" i="1"/>
  <c r="G116" i="1"/>
  <c r="N115" i="1"/>
  <c r="I115" i="1" s="1"/>
  <c r="K115" i="1"/>
  <c r="H115" i="1"/>
  <c r="G115" i="1"/>
  <c r="N114" i="1"/>
  <c r="I114" i="1" s="1"/>
  <c r="K114" i="1"/>
  <c r="H114" i="1"/>
  <c r="G114" i="1"/>
  <c r="N113" i="1"/>
  <c r="I113" i="1" s="1"/>
  <c r="K113" i="1"/>
  <c r="H113" i="1"/>
  <c r="G113" i="1"/>
  <c r="N112" i="1"/>
  <c r="I112" i="1" s="1"/>
  <c r="K112" i="1"/>
  <c r="H112" i="1"/>
  <c r="G112" i="1"/>
  <c r="N111" i="1"/>
  <c r="I111" i="1" s="1"/>
  <c r="K111" i="1"/>
  <c r="H111" i="1"/>
  <c r="G111" i="1"/>
  <c r="N110" i="1"/>
  <c r="I110" i="1" s="1"/>
  <c r="K110" i="1"/>
  <c r="H110" i="1"/>
  <c r="G110" i="1"/>
  <c r="N109" i="1"/>
  <c r="I109" i="1" s="1"/>
  <c r="K109" i="1"/>
  <c r="H109" i="1"/>
  <c r="G109" i="1"/>
  <c r="N108" i="1"/>
  <c r="I108" i="1" s="1"/>
  <c r="K108" i="1"/>
  <c r="H108" i="1"/>
  <c r="G108" i="1"/>
  <c r="N107" i="1"/>
  <c r="I107" i="1" s="1"/>
  <c r="K107" i="1"/>
  <c r="H107" i="1"/>
  <c r="G107" i="1"/>
  <c r="N106" i="1"/>
  <c r="I106" i="1" s="1"/>
  <c r="K106" i="1"/>
  <c r="H106" i="1"/>
  <c r="G106" i="1"/>
  <c r="N105" i="1"/>
  <c r="I105" i="1" s="1"/>
  <c r="K105" i="1"/>
  <c r="H105" i="1"/>
  <c r="G105" i="1"/>
  <c r="N104" i="1"/>
  <c r="I104" i="1" s="1"/>
  <c r="K104" i="1"/>
  <c r="H104" i="1"/>
  <c r="G104" i="1"/>
  <c r="N103" i="1"/>
  <c r="I103" i="1" s="1"/>
  <c r="K103" i="1"/>
  <c r="H103" i="1"/>
  <c r="G103" i="1"/>
  <c r="N102" i="1"/>
  <c r="I102" i="1" s="1"/>
  <c r="K102" i="1"/>
  <c r="H102" i="1"/>
  <c r="G102" i="1"/>
  <c r="N101" i="1"/>
  <c r="I101" i="1" s="1"/>
  <c r="K101" i="1"/>
  <c r="H101" i="1"/>
  <c r="G101" i="1"/>
  <c r="N100" i="1"/>
  <c r="I100" i="1" s="1"/>
  <c r="K100" i="1"/>
  <c r="H100" i="1"/>
  <c r="G100" i="1"/>
  <c r="N99" i="1"/>
  <c r="I99" i="1" s="1"/>
  <c r="K99" i="1"/>
  <c r="H99" i="1"/>
  <c r="G99" i="1"/>
  <c r="N98" i="1"/>
  <c r="I98" i="1" s="1"/>
  <c r="K98" i="1"/>
  <c r="H98" i="1"/>
  <c r="G98" i="1"/>
  <c r="N97" i="1"/>
  <c r="I97" i="1" s="1"/>
  <c r="K97" i="1"/>
  <c r="H97" i="1"/>
  <c r="G97" i="1"/>
  <c r="N96" i="1"/>
  <c r="I96" i="1" s="1"/>
  <c r="K96" i="1"/>
  <c r="H96" i="1"/>
  <c r="G96" i="1"/>
  <c r="N95" i="1"/>
  <c r="I95" i="1" s="1"/>
  <c r="K95" i="1"/>
  <c r="H95" i="1"/>
  <c r="G95" i="1"/>
  <c r="N94" i="1"/>
  <c r="I94" i="1" s="1"/>
  <c r="K94" i="1"/>
  <c r="H94" i="1"/>
  <c r="G94" i="1"/>
  <c r="N93" i="1"/>
  <c r="I93" i="1" s="1"/>
  <c r="K93" i="1"/>
  <c r="H93" i="1"/>
  <c r="G93" i="1"/>
  <c r="N92" i="1"/>
  <c r="I92" i="1" s="1"/>
  <c r="K92" i="1"/>
  <c r="H92" i="1"/>
  <c r="G92" i="1"/>
  <c r="N91" i="1"/>
  <c r="I91" i="1" s="1"/>
  <c r="K91" i="1"/>
  <c r="H91" i="1"/>
  <c r="G91" i="1"/>
  <c r="N90" i="1"/>
  <c r="I90" i="1" s="1"/>
  <c r="K90" i="1"/>
  <c r="H90" i="1"/>
  <c r="G90" i="1"/>
  <c r="N89" i="1"/>
  <c r="I89" i="1" s="1"/>
  <c r="K89" i="1"/>
  <c r="H89" i="1"/>
  <c r="G89" i="1"/>
  <c r="N88" i="1"/>
  <c r="I88" i="1" s="1"/>
  <c r="K88" i="1"/>
  <c r="H88" i="1"/>
  <c r="G88" i="1"/>
  <c r="N87" i="1"/>
  <c r="I87" i="1" s="1"/>
  <c r="K87" i="1"/>
  <c r="H87" i="1"/>
  <c r="G87" i="1"/>
  <c r="N86" i="1"/>
  <c r="I86" i="1" s="1"/>
  <c r="K86" i="1"/>
  <c r="H86" i="1"/>
  <c r="G86" i="1"/>
  <c r="N85" i="1"/>
  <c r="I85" i="1" s="1"/>
  <c r="K85" i="1"/>
  <c r="H85" i="1"/>
  <c r="G85" i="1"/>
  <c r="N84" i="1"/>
  <c r="I84" i="1" s="1"/>
  <c r="K84" i="1"/>
  <c r="H84" i="1"/>
  <c r="G84" i="1"/>
  <c r="N83" i="1"/>
  <c r="I83" i="1" s="1"/>
  <c r="K83" i="1"/>
  <c r="H83" i="1"/>
  <c r="G83" i="1"/>
  <c r="N82" i="1"/>
  <c r="I82" i="1" s="1"/>
  <c r="K82" i="1"/>
  <c r="H82" i="1"/>
  <c r="G82" i="1"/>
  <c r="N81" i="1"/>
  <c r="I81" i="1" s="1"/>
  <c r="K81" i="1"/>
  <c r="H81" i="1"/>
  <c r="G81" i="1"/>
  <c r="N80" i="1"/>
  <c r="I80" i="1" s="1"/>
  <c r="K80" i="1"/>
  <c r="H80" i="1"/>
  <c r="G80" i="1"/>
  <c r="N79" i="1"/>
  <c r="I79" i="1" s="1"/>
  <c r="K79" i="1"/>
  <c r="H79" i="1"/>
  <c r="G79" i="1"/>
  <c r="N78" i="1"/>
  <c r="I78" i="1" s="1"/>
  <c r="K78" i="1"/>
  <c r="H78" i="1"/>
  <c r="G78" i="1"/>
  <c r="N77" i="1"/>
  <c r="I77" i="1" s="1"/>
  <c r="K77" i="1"/>
  <c r="H77" i="1"/>
  <c r="G77" i="1"/>
  <c r="N76" i="1"/>
  <c r="I76" i="1" s="1"/>
  <c r="K76" i="1"/>
  <c r="H76" i="1"/>
  <c r="G76" i="1"/>
  <c r="N75" i="1"/>
  <c r="I75" i="1" s="1"/>
  <c r="K75" i="1"/>
  <c r="H75" i="1"/>
  <c r="G75" i="1"/>
  <c r="N74" i="1"/>
  <c r="I74" i="1" s="1"/>
  <c r="K74" i="1"/>
  <c r="H74" i="1"/>
  <c r="G74" i="1"/>
  <c r="N73" i="1"/>
  <c r="I73" i="1" s="1"/>
  <c r="K73" i="1"/>
  <c r="H73" i="1"/>
  <c r="G73" i="1"/>
  <c r="N72" i="1"/>
  <c r="I72" i="1" s="1"/>
  <c r="K72" i="1"/>
  <c r="H72" i="1"/>
  <c r="G72" i="1"/>
  <c r="N71" i="1"/>
  <c r="I71" i="1" s="1"/>
  <c r="K71" i="1"/>
  <c r="H71" i="1"/>
  <c r="G71" i="1"/>
  <c r="N70" i="1"/>
  <c r="I70" i="1" s="1"/>
  <c r="K70" i="1"/>
  <c r="H70" i="1"/>
  <c r="G70" i="1"/>
  <c r="N69" i="1"/>
  <c r="I69" i="1" s="1"/>
  <c r="K69" i="1"/>
  <c r="H69" i="1"/>
  <c r="G69" i="1"/>
  <c r="N68" i="1"/>
  <c r="I68" i="1" s="1"/>
  <c r="K68" i="1"/>
  <c r="H68" i="1"/>
  <c r="G68" i="1"/>
  <c r="N67" i="1"/>
  <c r="I67" i="1" s="1"/>
  <c r="K67" i="1"/>
  <c r="H67" i="1"/>
  <c r="G67" i="1"/>
  <c r="N66" i="1"/>
  <c r="I66" i="1" s="1"/>
  <c r="K66" i="1"/>
  <c r="H66" i="1"/>
  <c r="G66" i="1"/>
  <c r="N65" i="1"/>
  <c r="I65" i="1" s="1"/>
  <c r="K65" i="1"/>
  <c r="H65" i="1"/>
  <c r="G65" i="1"/>
  <c r="N64" i="1"/>
  <c r="I64" i="1" s="1"/>
  <c r="K64" i="1"/>
  <c r="H64" i="1"/>
  <c r="G64" i="1"/>
  <c r="N63" i="1"/>
  <c r="I63" i="1" s="1"/>
  <c r="K63" i="1"/>
  <c r="H63" i="1"/>
  <c r="G63" i="1"/>
  <c r="N62" i="1"/>
  <c r="I62" i="1" s="1"/>
  <c r="K62" i="1"/>
  <c r="H62" i="1"/>
  <c r="G62" i="1"/>
  <c r="N61" i="1"/>
  <c r="I61" i="1" s="1"/>
  <c r="K61" i="1"/>
  <c r="H61" i="1"/>
  <c r="G61" i="1"/>
  <c r="N60" i="1"/>
  <c r="I60" i="1" s="1"/>
  <c r="K60" i="1"/>
  <c r="H60" i="1"/>
  <c r="G60" i="1"/>
  <c r="N59" i="1"/>
  <c r="I59" i="1" s="1"/>
  <c r="K59" i="1"/>
  <c r="H59" i="1"/>
  <c r="G59" i="1"/>
  <c r="N58" i="1"/>
  <c r="I58" i="1" s="1"/>
  <c r="K58" i="1"/>
  <c r="H58" i="1"/>
  <c r="G58" i="1"/>
  <c r="N57" i="1"/>
  <c r="I57" i="1" s="1"/>
  <c r="K57" i="1"/>
  <c r="H57" i="1"/>
  <c r="G57" i="1"/>
  <c r="N56" i="1"/>
  <c r="I56" i="1" s="1"/>
  <c r="K56" i="1"/>
  <c r="H56" i="1"/>
  <c r="G56" i="1"/>
  <c r="N55" i="1"/>
  <c r="I55" i="1" s="1"/>
  <c r="K55" i="1"/>
  <c r="H55" i="1"/>
  <c r="G55" i="1"/>
  <c r="N54" i="1"/>
  <c r="I54" i="1" s="1"/>
  <c r="K54" i="1"/>
  <c r="H54" i="1"/>
  <c r="G54" i="1"/>
  <c r="N53" i="1"/>
  <c r="I53" i="1" s="1"/>
  <c r="K53" i="1"/>
  <c r="H53" i="1"/>
  <c r="G53" i="1"/>
  <c r="N52" i="1"/>
  <c r="I52" i="1" s="1"/>
  <c r="K52" i="1"/>
  <c r="H52" i="1"/>
  <c r="G52" i="1"/>
  <c r="N51" i="1"/>
  <c r="I51" i="1" s="1"/>
  <c r="K51" i="1"/>
  <c r="H51" i="1"/>
  <c r="G51" i="1"/>
  <c r="N50" i="1"/>
  <c r="I50" i="1" s="1"/>
  <c r="K50" i="1"/>
  <c r="H50" i="1"/>
  <c r="G50" i="1"/>
  <c r="N49" i="1"/>
  <c r="I49" i="1" s="1"/>
  <c r="K49" i="1"/>
  <c r="H49" i="1"/>
  <c r="G49" i="1"/>
  <c r="N48" i="1"/>
  <c r="I48" i="1" s="1"/>
  <c r="K48" i="1"/>
  <c r="H48" i="1"/>
  <c r="G48" i="1"/>
  <c r="N47" i="1"/>
  <c r="I47" i="1" s="1"/>
  <c r="K47" i="1"/>
  <c r="H47" i="1"/>
  <c r="G47" i="1"/>
  <c r="N46" i="1"/>
  <c r="I46" i="1" s="1"/>
  <c r="K46" i="1"/>
  <c r="H46" i="1"/>
  <c r="G46" i="1"/>
  <c r="N45" i="1"/>
  <c r="I45" i="1" s="1"/>
  <c r="K45" i="1"/>
  <c r="H45" i="1"/>
  <c r="G45" i="1"/>
  <c r="N44" i="1"/>
  <c r="I44" i="1" s="1"/>
  <c r="K44" i="1"/>
  <c r="H44" i="1"/>
  <c r="G44" i="1"/>
  <c r="N43" i="1"/>
  <c r="I43" i="1" s="1"/>
  <c r="K43" i="1"/>
  <c r="H43" i="1"/>
  <c r="G43" i="1"/>
  <c r="N42" i="1"/>
  <c r="I42" i="1" s="1"/>
  <c r="K42" i="1"/>
  <c r="H42" i="1"/>
  <c r="G42" i="1"/>
  <c r="N41" i="1"/>
  <c r="I41" i="1" s="1"/>
  <c r="K41" i="1"/>
  <c r="H41" i="1"/>
  <c r="G41" i="1"/>
  <c r="N40" i="1"/>
  <c r="I40" i="1" s="1"/>
  <c r="K40" i="1"/>
  <c r="H40" i="1"/>
  <c r="G40" i="1"/>
  <c r="N39" i="1"/>
  <c r="I39" i="1" s="1"/>
  <c r="K39" i="1"/>
  <c r="H39" i="1"/>
  <c r="G39" i="1"/>
  <c r="N38" i="1"/>
  <c r="I38" i="1" s="1"/>
  <c r="K38" i="1"/>
  <c r="H38" i="1"/>
  <c r="G38" i="1"/>
  <c r="N37" i="1"/>
  <c r="I37" i="1" s="1"/>
  <c r="K37" i="1"/>
  <c r="H37" i="1"/>
  <c r="G37" i="1"/>
  <c r="N36" i="1"/>
  <c r="I36" i="1" s="1"/>
  <c r="K36" i="1"/>
  <c r="H36" i="1"/>
  <c r="G36" i="1"/>
  <c r="N35" i="1"/>
  <c r="I35" i="1" s="1"/>
  <c r="K35" i="1"/>
  <c r="H35" i="1"/>
  <c r="G35" i="1"/>
  <c r="N34" i="1"/>
  <c r="I34" i="1" s="1"/>
  <c r="K34" i="1"/>
  <c r="H34" i="1"/>
  <c r="G34" i="1"/>
  <c r="N33" i="1"/>
  <c r="I33" i="1" s="1"/>
  <c r="K33" i="1"/>
  <c r="H33" i="1"/>
  <c r="G33" i="1"/>
  <c r="N32" i="1"/>
  <c r="I32" i="1" s="1"/>
  <c r="K32" i="1"/>
  <c r="H32" i="1"/>
  <c r="G32" i="1"/>
  <c r="N31" i="1"/>
  <c r="I31" i="1" s="1"/>
  <c r="K31" i="1"/>
  <c r="H31" i="1"/>
  <c r="G31" i="1"/>
  <c r="N30" i="1"/>
  <c r="I30" i="1" s="1"/>
  <c r="K30" i="1"/>
  <c r="H30" i="1"/>
  <c r="G30" i="1"/>
  <c r="N29" i="1"/>
  <c r="I29" i="1" s="1"/>
  <c r="K29" i="1"/>
  <c r="H29" i="1"/>
  <c r="G29" i="1"/>
  <c r="N28" i="1"/>
  <c r="I28" i="1" s="1"/>
  <c r="K28" i="1"/>
  <c r="H28" i="1"/>
  <c r="G28" i="1"/>
  <c r="N27" i="1"/>
  <c r="I27" i="1" s="1"/>
  <c r="K27" i="1"/>
  <c r="H27" i="1"/>
  <c r="G27" i="1"/>
  <c r="N26" i="1"/>
  <c r="I26" i="1" s="1"/>
  <c r="K26" i="1"/>
  <c r="H26" i="1"/>
  <c r="G26" i="1"/>
  <c r="N25" i="1"/>
  <c r="I25" i="1" s="1"/>
  <c r="K25" i="1"/>
  <c r="H25" i="1"/>
  <c r="G25" i="1"/>
  <c r="N24" i="1"/>
  <c r="I24" i="1" s="1"/>
  <c r="K24" i="1"/>
  <c r="H24" i="1"/>
  <c r="G24" i="1"/>
  <c r="N23" i="1"/>
  <c r="I23" i="1" s="1"/>
  <c r="K23" i="1"/>
  <c r="H23" i="1"/>
  <c r="G23" i="1"/>
  <c r="N22" i="1"/>
  <c r="I22" i="1" s="1"/>
  <c r="K22" i="1"/>
  <c r="H22" i="1"/>
  <c r="G22" i="1"/>
  <c r="N21" i="1"/>
  <c r="I21" i="1" s="1"/>
  <c r="K21" i="1"/>
  <c r="H21" i="1"/>
  <c r="G21" i="1"/>
  <c r="N20" i="1"/>
  <c r="I20" i="1" s="1"/>
  <c r="K20" i="1"/>
  <c r="H20" i="1"/>
  <c r="G20" i="1"/>
  <c r="N19" i="1"/>
  <c r="I19" i="1" s="1"/>
  <c r="K19" i="1"/>
  <c r="H19" i="1"/>
  <c r="G19" i="1"/>
  <c r="N18" i="1"/>
  <c r="I18" i="1" s="1"/>
  <c r="K18" i="1"/>
  <c r="H18" i="1"/>
  <c r="G18" i="1"/>
  <c r="N17" i="1"/>
  <c r="I17" i="1" s="1"/>
  <c r="K17" i="1"/>
  <c r="G17" i="1"/>
  <c r="N16" i="1"/>
  <c r="I16" i="1" s="1"/>
  <c r="K16" i="1"/>
  <c r="H16" i="1"/>
  <c r="G16" i="1"/>
  <c r="N15" i="1"/>
  <c r="I15" i="1" s="1"/>
  <c r="K15" i="1"/>
  <c r="H15" i="1"/>
  <c r="G15" i="1"/>
  <c r="N14" i="1"/>
  <c r="I14" i="1" s="1"/>
  <c r="K14" i="1"/>
  <c r="H14" i="1"/>
  <c r="G14" i="1"/>
  <c r="N13" i="1"/>
  <c r="I13" i="1" s="1"/>
  <c r="K13" i="1"/>
  <c r="H13" i="1"/>
  <c r="G13" i="1"/>
  <c r="N12" i="1"/>
  <c r="I12" i="1" s="1"/>
  <c r="K12" i="1"/>
  <c r="H12" i="1"/>
  <c r="G12" i="1"/>
  <c r="N11" i="1"/>
  <c r="I11" i="1" s="1"/>
  <c r="K11" i="1"/>
  <c r="H11" i="1"/>
  <c r="G11" i="1"/>
  <c r="N10" i="1"/>
  <c r="I10" i="1" s="1"/>
  <c r="K10" i="1"/>
  <c r="H10" i="1"/>
  <c r="G10" i="1"/>
  <c r="N9" i="1"/>
  <c r="I9" i="1" s="1"/>
  <c r="K9" i="1"/>
  <c r="H9" i="1"/>
  <c r="G9" i="1"/>
  <c r="N8" i="1"/>
  <c r="I8" i="1" s="1"/>
  <c r="K8" i="1"/>
  <c r="H8" i="1"/>
  <c r="G8" i="1"/>
  <c r="N7" i="1"/>
  <c r="I7" i="1" s="1"/>
  <c r="K7" i="1"/>
  <c r="H7" i="1"/>
  <c r="G7" i="1"/>
  <c r="N6" i="1"/>
  <c r="I6" i="1" s="1"/>
  <c r="K6" i="1"/>
  <c r="H6" i="1"/>
  <c r="G6" i="1"/>
  <c r="N5" i="1"/>
  <c r="I5" i="1" s="1"/>
  <c r="K5" i="1"/>
  <c r="H5" i="1"/>
  <c r="G5" i="1"/>
  <c r="N4" i="1"/>
  <c r="I4" i="1" s="1"/>
  <c r="K4" i="1"/>
  <c r="H4" i="1"/>
  <c r="G4" i="1"/>
  <c r="N3" i="1"/>
  <c r="I3" i="1" s="1"/>
  <c r="K3" i="1"/>
  <c r="H3" i="1"/>
  <c r="G3" i="1"/>
  <c r="N2" i="1"/>
  <c r="I2" i="1" s="1"/>
  <c r="K2" i="1"/>
  <c r="H2" i="1"/>
  <c r="G2" i="1"/>
  <c r="B121" i="1"/>
  <c r="B151" i="1" s="1"/>
  <c r="B181" i="1" s="1"/>
  <c r="B31" i="2" s="1"/>
  <c r="B61" i="2" s="1"/>
  <c r="B91" i="2" s="1"/>
  <c r="C91" i="2" s="1"/>
  <c r="B90" i="1"/>
  <c r="B120" i="1" s="1"/>
  <c r="B150" i="1" s="1"/>
  <c r="B180" i="1" s="1"/>
  <c r="B30" i="2" s="1"/>
  <c r="B60" i="2" s="1"/>
  <c r="B90" i="2" s="1"/>
  <c r="B89" i="1"/>
  <c r="B119" i="1" s="1"/>
  <c r="B149" i="1" s="1"/>
  <c r="B179" i="1" s="1"/>
  <c r="B29" i="2" s="1"/>
  <c r="B59" i="2" s="1"/>
  <c r="B89" i="2" s="1"/>
  <c r="C89" i="2" s="1"/>
  <c r="B88" i="1"/>
  <c r="B118" i="1" s="1"/>
  <c r="B148" i="1" s="1"/>
  <c r="B178" i="1" s="1"/>
  <c r="B28" i="2" s="1"/>
  <c r="B58" i="2" s="1"/>
  <c r="B88" i="2" s="1"/>
  <c r="C88" i="2" s="1"/>
  <c r="B87" i="1"/>
  <c r="B117" i="1" s="1"/>
  <c r="B147" i="1" s="1"/>
  <c r="B177" i="1" s="1"/>
  <c r="B27" i="2" s="1"/>
  <c r="B57" i="2" s="1"/>
  <c r="B87" i="2" s="1"/>
  <c r="C87" i="2" s="1"/>
  <c r="B86" i="1"/>
  <c r="B116" i="1" s="1"/>
  <c r="B146" i="1" s="1"/>
  <c r="B176" i="1" s="1"/>
  <c r="B26" i="2" s="1"/>
  <c r="B56" i="2" s="1"/>
  <c r="B86" i="2" s="1"/>
  <c r="B85" i="1"/>
  <c r="B115" i="1" s="1"/>
  <c r="B145" i="1" s="1"/>
  <c r="B175" i="1" s="1"/>
  <c r="B25" i="2" s="1"/>
  <c r="B55" i="2" s="1"/>
  <c r="B85" i="2" s="1"/>
  <c r="C85" i="2" s="1"/>
  <c r="B84" i="1"/>
  <c r="B114" i="1" s="1"/>
  <c r="B144" i="1" s="1"/>
  <c r="B174" i="1" s="1"/>
  <c r="B24" i="2" s="1"/>
  <c r="B54" i="2" s="1"/>
  <c r="B84" i="2" s="1"/>
  <c r="B83" i="1"/>
  <c r="B113" i="1" s="1"/>
  <c r="B143" i="1" s="1"/>
  <c r="B173" i="1" s="1"/>
  <c r="B23" i="2" s="1"/>
  <c r="B53" i="2" s="1"/>
  <c r="B83" i="2" s="1"/>
  <c r="C83" i="2" s="1"/>
  <c r="B82" i="1"/>
  <c r="B111" i="1" s="1"/>
  <c r="B141" i="1" s="1"/>
  <c r="B171" i="1" s="1"/>
  <c r="B21" i="2" s="1"/>
  <c r="B51" i="2" s="1"/>
  <c r="B81" i="2" s="1"/>
  <c r="C81" i="2" s="1"/>
  <c r="B81" i="1"/>
  <c r="B110" i="1" s="1"/>
  <c r="B140" i="1" s="1"/>
  <c r="B170" i="1" s="1"/>
  <c r="B20" i="2" s="1"/>
  <c r="B50" i="2" s="1"/>
  <c r="B80" i="2" s="1"/>
  <c r="C80" i="2" s="1"/>
  <c r="B80" i="1"/>
  <c r="B109" i="1" s="1"/>
  <c r="B139" i="1" s="1"/>
  <c r="B169" i="1" s="1"/>
  <c r="B19" i="2" s="1"/>
  <c r="B49" i="2" s="1"/>
  <c r="B79" i="2" s="1"/>
  <c r="C79" i="2" s="1"/>
  <c r="B79" i="1"/>
  <c r="B108" i="1" s="1"/>
  <c r="B138" i="1" s="1"/>
  <c r="B168" i="1" s="1"/>
  <c r="B18" i="2" s="1"/>
  <c r="B48" i="2" s="1"/>
  <c r="B78" i="2" s="1"/>
  <c r="B78" i="1"/>
  <c r="B107" i="1" s="1"/>
  <c r="B137" i="1" s="1"/>
  <c r="B167" i="1" s="1"/>
  <c r="B17" i="2" s="1"/>
  <c r="B47" i="2" s="1"/>
  <c r="B77" i="2" s="1"/>
  <c r="C77" i="2" s="1"/>
  <c r="B77" i="1"/>
  <c r="B106" i="1" s="1"/>
  <c r="B136" i="1" s="1"/>
  <c r="B166" i="1" s="1"/>
  <c r="B16" i="2" s="1"/>
  <c r="B46" i="2" s="1"/>
  <c r="B76" i="2" s="1"/>
  <c r="B76" i="1"/>
  <c r="B105" i="1" s="1"/>
  <c r="B135" i="1" s="1"/>
  <c r="B165" i="1" s="1"/>
  <c r="B15" i="2" s="1"/>
  <c r="B45" i="2" s="1"/>
  <c r="B75" i="2" s="1"/>
  <c r="C75" i="2" s="1"/>
  <c r="B75" i="1"/>
  <c r="B104" i="1" s="1"/>
  <c r="B134" i="1" s="1"/>
  <c r="B164" i="1" s="1"/>
  <c r="B14" i="2" s="1"/>
  <c r="B44" i="2" s="1"/>
  <c r="B74" i="2" s="1"/>
  <c r="C74" i="2" s="1"/>
  <c r="B74" i="1"/>
  <c r="B103" i="1" s="1"/>
  <c r="B133" i="1" s="1"/>
  <c r="B163" i="1" s="1"/>
  <c r="B13" i="2" s="1"/>
  <c r="B43" i="2" s="1"/>
  <c r="B73" i="2" s="1"/>
  <c r="C73" i="2" s="1"/>
  <c r="B73" i="1"/>
  <c r="B102" i="1" s="1"/>
  <c r="B132" i="1" s="1"/>
  <c r="B162" i="1" s="1"/>
  <c r="B12" i="2" s="1"/>
  <c r="B42" i="2" s="1"/>
  <c r="B72" i="2" s="1"/>
  <c r="C72" i="2" s="1"/>
  <c r="B72" i="1"/>
  <c r="B101" i="1" s="1"/>
  <c r="B131" i="1" s="1"/>
  <c r="B161" i="1" s="1"/>
  <c r="B11" i="2" s="1"/>
  <c r="B41" i="2" s="1"/>
  <c r="B71" i="2" s="1"/>
  <c r="C71" i="2" s="1"/>
  <c r="B71" i="1"/>
  <c r="B100" i="1" s="1"/>
  <c r="B130" i="1" s="1"/>
  <c r="B160" i="1" s="1"/>
  <c r="B10" i="2" s="1"/>
  <c r="B40" i="2" s="1"/>
  <c r="B70" i="2" s="1"/>
  <c r="C70" i="2" s="1"/>
  <c r="B70" i="1"/>
  <c r="B99" i="1" s="1"/>
  <c r="B129" i="1" s="1"/>
  <c r="B159" i="1" s="1"/>
  <c r="B9" i="2" s="1"/>
  <c r="B39" i="2" s="1"/>
  <c r="B69" i="2" s="1"/>
  <c r="C69" i="2" s="1"/>
  <c r="B69" i="1"/>
  <c r="B98" i="1" s="1"/>
  <c r="B128" i="1" s="1"/>
  <c r="B158" i="1" s="1"/>
  <c r="B8" i="2" s="1"/>
  <c r="B38" i="2" s="1"/>
  <c r="B68" i="2" s="1"/>
  <c r="C68" i="2" s="1"/>
  <c r="B68" i="1"/>
  <c r="B97" i="1" s="1"/>
  <c r="B127" i="1" s="1"/>
  <c r="B157" i="1" s="1"/>
  <c r="B7" i="2" s="1"/>
  <c r="B37" i="2" s="1"/>
  <c r="B67" i="2" s="1"/>
  <c r="C67" i="2" s="1"/>
  <c r="B67" i="1"/>
  <c r="B96" i="1" s="1"/>
  <c r="B126" i="1" s="1"/>
  <c r="B156" i="1" s="1"/>
  <c r="B6" i="2" s="1"/>
  <c r="B36" i="2" s="1"/>
  <c r="B66" i="2" s="1"/>
  <c r="C66" i="2" s="1"/>
  <c r="B66" i="1"/>
  <c r="B95" i="1" s="1"/>
  <c r="B125" i="1" s="1"/>
  <c r="B155" i="1" s="1"/>
  <c r="B5" i="2" s="1"/>
  <c r="B35" i="2" s="1"/>
  <c r="B65" i="2" s="1"/>
  <c r="C65" i="2" s="1"/>
  <c r="B65" i="1"/>
  <c r="B94" i="1" s="1"/>
  <c r="B124" i="1" s="1"/>
  <c r="B154" i="1" s="1"/>
  <c r="B4" i="2" s="1"/>
  <c r="B34" i="2" s="1"/>
  <c r="B64" i="2" s="1"/>
  <c r="C64" i="2" s="1"/>
  <c r="B64" i="1"/>
  <c r="B93" i="1" s="1"/>
  <c r="B123" i="1" s="1"/>
  <c r="B153" i="1" s="1"/>
  <c r="B3" i="2" s="1"/>
  <c r="B33" i="2" s="1"/>
  <c r="B63" i="2" s="1"/>
  <c r="C63" i="2" s="1"/>
  <c r="B63" i="1"/>
  <c r="B92" i="1" s="1"/>
  <c r="B122" i="1" s="1"/>
  <c r="B152" i="1" s="1"/>
  <c r="B2" i="2" s="1"/>
  <c r="B32" i="2" s="1"/>
  <c r="B62" i="2" s="1"/>
  <c r="C62" i="2" s="1"/>
  <c r="B62" i="1"/>
  <c r="C62" i="1" s="1"/>
  <c r="K66" i="2" l="1"/>
  <c r="K68" i="2"/>
  <c r="K70" i="2"/>
  <c r="C100" i="1"/>
  <c r="C54" i="2"/>
  <c r="C46" i="2"/>
  <c r="C38" i="2"/>
  <c r="K67" i="2"/>
  <c r="C147" i="1"/>
  <c r="C99" i="1"/>
  <c r="C61" i="2"/>
  <c r="C53" i="2"/>
  <c r="C45" i="2"/>
  <c r="C37" i="2"/>
  <c r="C42" i="2"/>
  <c r="K75" i="2"/>
  <c r="K91" i="2"/>
  <c r="C85" i="1"/>
  <c r="C32" i="2"/>
  <c r="C50" i="2"/>
  <c r="C34" i="2"/>
  <c r="K7" i="2"/>
  <c r="K15" i="2"/>
  <c r="K23" i="2"/>
  <c r="K31" i="2"/>
  <c r="K71" i="2"/>
  <c r="K74" i="2"/>
  <c r="C115" i="1"/>
  <c r="C77" i="1"/>
  <c r="C57" i="2"/>
  <c r="C49" i="2"/>
  <c r="C41" i="2"/>
  <c r="C33" i="2"/>
  <c r="K4" i="2"/>
  <c r="K12" i="2"/>
  <c r="K20" i="2"/>
  <c r="K28" i="2"/>
  <c r="C108" i="1"/>
  <c r="C69" i="1"/>
  <c r="C56" i="2"/>
  <c r="C48" i="2"/>
  <c r="C40" i="2"/>
  <c r="C44" i="2"/>
  <c r="C36" i="2"/>
  <c r="K9" i="2"/>
  <c r="K17" i="2"/>
  <c r="K25" i="2"/>
  <c r="K78" i="2"/>
  <c r="K80" i="2"/>
  <c r="K84" i="2"/>
  <c r="C181" i="1"/>
  <c r="C107" i="1"/>
  <c r="C55" i="2"/>
  <c r="C47" i="2"/>
  <c r="C39" i="2"/>
  <c r="C168" i="1"/>
  <c r="C160" i="1"/>
  <c r="C152" i="1"/>
  <c r="C144" i="1"/>
  <c r="C136" i="1"/>
  <c r="C128" i="1"/>
  <c r="C120" i="1"/>
  <c r="C104" i="1"/>
  <c r="C96" i="1"/>
  <c r="C88" i="1"/>
  <c r="C80" i="1"/>
  <c r="C72" i="1"/>
  <c r="C64" i="1"/>
  <c r="C175" i="1"/>
  <c r="C167" i="1"/>
  <c r="C159" i="1"/>
  <c r="C151" i="1"/>
  <c r="C143" i="1"/>
  <c r="C135" i="1"/>
  <c r="C127" i="1"/>
  <c r="C119" i="1"/>
  <c r="C111" i="1"/>
  <c r="C103" i="1"/>
  <c r="C95" i="1"/>
  <c r="C87" i="1"/>
  <c r="C79" i="1"/>
  <c r="C71" i="1"/>
  <c r="C63" i="1"/>
  <c r="C174" i="1"/>
  <c r="C166" i="1"/>
  <c r="C158" i="1"/>
  <c r="C150" i="1"/>
  <c r="C134" i="1"/>
  <c r="C126" i="1"/>
  <c r="C118" i="1"/>
  <c r="C110" i="1"/>
  <c r="C102" i="1"/>
  <c r="C94" i="1"/>
  <c r="C86" i="1"/>
  <c r="C78" i="1"/>
  <c r="C70" i="1"/>
  <c r="C173" i="1"/>
  <c r="C165" i="1"/>
  <c r="C157" i="1"/>
  <c r="C149" i="1"/>
  <c r="C141" i="1"/>
  <c r="C133" i="1"/>
  <c r="C125" i="1"/>
  <c r="C109" i="1"/>
  <c r="C101" i="1"/>
  <c r="C93" i="1"/>
  <c r="C180" i="1"/>
  <c r="C164" i="1"/>
  <c r="C156" i="1"/>
  <c r="C148" i="1"/>
  <c r="C140" i="1"/>
  <c r="C132" i="1"/>
  <c r="C124" i="1"/>
  <c r="C84" i="1"/>
  <c r="C76" i="1"/>
  <c r="C68" i="1"/>
  <c r="C179" i="1"/>
  <c r="C171" i="1"/>
  <c r="C163" i="1"/>
  <c r="C155" i="1"/>
  <c r="C139" i="1"/>
  <c r="C131" i="1"/>
  <c r="C123" i="1"/>
  <c r="C83" i="1"/>
  <c r="C75" i="1"/>
  <c r="C67" i="1"/>
  <c r="C178" i="1"/>
  <c r="C170" i="1"/>
  <c r="C162" i="1"/>
  <c r="C154" i="1"/>
  <c r="C138" i="1"/>
  <c r="C130" i="1"/>
  <c r="C122" i="1"/>
  <c r="C114" i="1"/>
  <c r="C106" i="1"/>
  <c r="C98" i="1"/>
  <c r="C90" i="1"/>
  <c r="C82" i="1"/>
  <c r="C74" i="1"/>
  <c r="C66" i="1"/>
  <c r="C177" i="1"/>
  <c r="C169" i="1"/>
  <c r="C161" i="1"/>
  <c r="C153" i="1"/>
  <c r="C145" i="1"/>
  <c r="C137" i="1"/>
  <c r="C129" i="1"/>
  <c r="C121" i="1"/>
  <c r="C113" i="1"/>
  <c r="C105" i="1"/>
  <c r="C97" i="1"/>
  <c r="C89" i="1"/>
  <c r="C81" i="1"/>
  <c r="C73" i="1"/>
  <c r="C65" i="1"/>
  <c r="O94" i="2"/>
  <c r="O98" i="2"/>
  <c r="O102" i="2"/>
  <c r="O106" i="2"/>
  <c r="O110" i="2"/>
  <c r="O114" i="2"/>
  <c r="O118" i="2"/>
  <c r="O95" i="2"/>
  <c r="O99" i="2"/>
  <c r="O103" i="2"/>
  <c r="O107" i="2"/>
  <c r="O111" i="2"/>
  <c r="O115" i="2"/>
  <c r="O119" i="2"/>
  <c r="O92" i="2"/>
  <c r="O96" i="2"/>
  <c r="O100" i="2"/>
  <c r="O104" i="2"/>
  <c r="O108" i="2"/>
  <c r="O112" i="2"/>
  <c r="O116" i="2"/>
  <c r="O120" i="2"/>
  <c r="O93" i="2"/>
  <c r="O97" i="2"/>
  <c r="O101" i="2"/>
  <c r="O105" i="2"/>
  <c r="O109" i="2"/>
  <c r="O113" i="2"/>
  <c r="O117" i="2"/>
  <c r="O121" i="2"/>
  <c r="K69" i="2"/>
  <c r="K85" i="2"/>
  <c r="K76" i="2"/>
  <c r="K86" i="2"/>
  <c r="J47" i="1"/>
  <c r="J43" i="1"/>
  <c r="J66" i="1"/>
  <c r="J103" i="1"/>
  <c r="J135" i="1"/>
  <c r="J147" i="1"/>
  <c r="J151" i="1"/>
  <c r="J126" i="1"/>
  <c r="J79" i="1"/>
  <c r="J52" i="1"/>
  <c r="J60" i="1"/>
  <c r="J80" i="1"/>
  <c r="J35" i="1"/>
  <c r="J41" i="1"/>
  <c r="J30" i="1"/>
  <c r="J122" i="1"/>
  <c r="J59" i="1"/>
  <c r="J72" i="1"/>
  <c r="J137" i="1"/>
  <c r="J141" i="1"/>
  <c r="J117" i="1"/>
  <c r="J120" i="1"/>
  <c r="J123" i="1"/>
  <c r="J125" i="1"/>
  <c r="J145" i="1"/>
  <c r="J112" i="1"/>
  <c r="J19" i="1"/>
  <c r="J127" i="1"/>
  <c r="J49" i="1"/>
  <c r="J13" i="1"/>
  <c r="J104" i="1"/>
  <c r="J12" i="1"/>
  <c r="J48" i="1"/>
  <c r="J106" i="1"/>
  <c r="J56" i="1"/>
  <c r="J105" i="1"/>
  <c r="J131" i="1"/>
  <c r="J142" i="1"/>
  <c r="J58" i="1"/>
  <c r="J11" i="1"/>
  <c r="J22" i="1"/>
  <c r="J27" i="1"/>
  <c r="J121" i="1"/>
  <c r="J115" i="1"/>
  <c r="J143" i="1"/>
  <c r="J57" i="1"/>
  <c r="J62" i="1"/>
  <c r="J40" i="1"/>
  <c r="J45" i="1"/>
  <c r="J4" i="1"/>
  <c r="J50" i="1"/>
  <c r="J111" i="1"/>
  <c r="J113" i="1"/>
  <c r="J9" i="1"/>
  <c r="J39" i="1"/>
  <c r="J44" i="1"/>
  <c r="J96" i="1"/>
  <c r="J102" i="1"/>
  <c r="J118" i="1"/>
  <c r="J95" i="1"/>
  <c r="J139" i="1"/>
  <c r="J149" i="1"/>
  <c r="J17" i="1"/>
  <c r="J23" i="1"/>
  <c r="J31" i="1"/>
  <c r="J3" i="1"/>
  <c r="J16" i="1"/>
  <c r="J42" i="1"/>
  <c r="J61" i="1"/>
  <c r="J114" i="1"/>
  <c r="J133" i="1"/>
  <c r="J24" i="1"/>
  <c r="J46" i="1"/>
  <c r="J21" i="1"/>
  <c r="J29" i="1"/>
  <c r="J37" i="1"/>
  <c r="J38" i="1"/>
  <c r="J51" i="1"/>
  <c r="J76" i="1"/>
  <c r="J32" i="1"/>
  <c r="J8" i="1"/>
  <c r="J14" i="1"/>
  <c r="J20" i="1"/>
  <c r="J28" i="1"/>
  <c r="J36" i="1"/>
  <c r="J53" i="1"/>
  <c r="J101" i="1"/>
  <c r="J97" i="1"/>
  <c r="J6" i="1"/>
  <c r="J26" i="1"/>
  <c r="J34" i="1"/>
  <c r="J55" i="1"/>
  <c r="J74" i="1"/>
  <c r="J94" i="1"/>
  <c r="J110" i="1"/>
  <c r="J119" i="1"/>
  <c r="J5" i="1"/>
  <c r="J25" i="1"/>
  <c r="J33" i="1"/>
  <c r="J54" i="1"/>
  <c r="J63" i="1"/>
  <c r="J65" i="1"/>
  <c r="J69" i="1"/>
  <c r="J98" i="1"/>
  <c r="J129" i="1"/>
  <c r="J136" i="1"/>
  <c r="J146" i="1"/>
  <c r="J7" i="1"/>
  <c r="J15" i="1"/>
  <c r="J64" i="1"/>
  <c r="J73" i="1"/>
  <c r="J132" i="1"/>
  <c r="J144" i="1"/>
  <c r="J148" i="1"/>
  <c r="J2" i="1"/>
  <c r="J10" i="1"/>
  <c r="J18" i="1"/>
  <c r="J68" i="1"/>
  <c r="J70" i="1"/>
  <c r="J78" i="1"/>
  <c r="J82" i="1"/>
  <c r="J138" i="1"/>
  <c r="J67" i="1"/>
  <c r="J77" i="1"/>
  <c r="J71" i="1"/>
  <c r="J99" i="1"/>
  <c r="J107" i="1"/>
  <c r="J75" i="1"/>
  <c r="J86" i="1"/>
  <c r="J83" i="1"/>
  <c r="J91" i="1"/>
  <c r="J88" i="1"/>
  <c r="J100" i="1"/>
  <c r="J116" i="1"/>
  <c r="J85" i="1"/>
  <c r="J90" i="1"/>
  <c r="J124" i="1"/>
  <c r="J130" i="1"/>
  <c r="J140" i="1"/>
  <c r="J87" i="1"/>
  <c r="J84" i="1"/>
  <c r="J92" i="1"/>
  <c r="J93" i="1"/>
  <c r="J108" i="1"/>
  <c r="J109" i="1"/>
  <c r="J81" i="1"/>
  <c r="J89" i="1"/>
  <c r="J128" i="1"/>
  <c r="J134" i="1"/>
  <c r="J150" i="1"/>
  <c r="B112" i="1"/>
  <c r="B142" i="1" l="1"/>
  <c r="C112" i="1"/>
  <c r="B172" i="1" l="1"/>
  <c r="C142" i="1"/>
  <c r="B22" i="2" l="1"/>
  <c r="B52" i="2" s="1"/>
  <c r="C172" i="1"/>
  <c r="B82" i="2" l="1"/>
  <c r="C82" i="2" s="1"/>
  <c r="C52" i="2"/>
</calcChain>
</file>

<file path=xl/sharedStrings.xml><?xml version="1.0" encoding="utf-8"?>
<sst xmlns="http://schemas.openxmlformats.org/spreadsheetml/2006/main" count="1256" uniqueCount="66">
  <si>
    <t>Samples</t>
  </si>
  <si>
    <t>Time</t>
  </si>
  <si>
    <t>Strain</t>
  </si>
  <si>
    <t>Light</t>
  </si>
  <si>
    <t>Substrate</t>
  </si>
  <si>
    <t>Paracoccus</t>
  </si>
  <si>
    <t>Dark</t>
  </si>
  <si>
    <t>NH4-HCO3</t>
  </si>
  <si>
    <t>P2</t>
  </si>
  <si>
    <t>P3</t>
  </si>
  <si>
    <t>A1</t>
  </si>
  <si>
    <t>Aliidiomarina</t>
  </si>
  <si>
    <t>A2</t>
  </si>
  <si>
    <t>A3</t>
  </si>
  <si>
    <t>S1</t>
  </si>
  <si>
    <t>SynCom</t>
  </si>
  <si>
    <t>S2</t>
  </si>
  <si>
    <t>S3</t>
  </si>
  <si>
    <t>P1-I</t>
  </si>
  <si>
    <t>IR</t>
  </si>
  <si>
    <t>P1-NO2-I</t>
  </si>
  <si>
    <t>NO2</t>
  </si>
  <si>
    <t>P2-NO2</t>
  </si>
  <si>
    <t>P3-NO2</t>
  </si>
  <si>
    <t>S1-NO2-I</t>
  </si>
  <si>
    <t>S2-NO2</t>
  </si>
  <si>
    <t>S3-NO2</t>
  </si>
  <si>
    <t>H1-D</t>
  </si>
  <si>
    <t>Halomonas</t>
  </si>
  <si>
    <t>H2-D</t>
  </si>
  <si>
    <t>H3-D</t>
  </si>
  <si>
    <t>H1-I</t>
  </si>
  <si>
    <t>H2-I</t>
  </si>
  <si>
    <t>H3-I</t>
  </si>
  <si>
    <t>P1-D-3.29</t>
  </si>
  <si>
    <t>P1-D-3.31</t>
  </si>
  <si>
    <t>P1-D-4.2</t>
  </si>
  <si>
    <t>P1-D-4.2'</t>
  </si>
  <si>
    <t>P1-D-4.3</t>
  </si>
  <si>
    <t>P1-D-4.6</t>
  </si>
  <si>
    <t>P1-D-4.6'</t>
  </si>
  <si>
    <t>P1-D-4.7</t>
  </si>
  <si>
    <t>P1-D-4.9</t>
  </si>
  <si>
    <t>P1-D-4.21</t>
  </si>
  <si>
    <t>HCO3</t>
  </si>
  <si>
    <t>NH4</t>
  </si>
  <si>
    <t>Abs697</t>
  </si>
  <si>
    <t>TIN</t>
  </si>
  <si>
    <t>CH3COO</t>
  </si>
  <si>
    <t>S2O3</t>
  </si>
  <si>
    <t>OD600</t>
  </si>
  <si>
    <t>Growth</t>
  </si>
  <si>
    <t>HCO3_raw</t>
  </si>
  <si>
    <t>NO2_Raw</t>
  </si>
  <si>
    <t>NH4_Raw</t>
  </si>
  <si>
    <t>Acetate_Raw</t>
  </si>
  <si>
    <t>S_Raw</t>
  </si>
  <si>
    <t>Abs697_raw</t>
  </si>
  <si>
    <t>NH4_1</t>
  </si>
  <si>
    <t>NH4_2</t>
  </si>
  <si>
    <t>NH4_3</t>
  </si>
  <si>
    <t>OD600.raw1</t>
  </si>
  <si>
    <t>OD600.raw2</t>
  </si>
  <si>
    <t>OD600.raw3</t>
  </si>
  <si>
    <t>n.a.</t>
  </si>
  <si>
    <t>Time.raw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</si>
</sst>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2"/>
      <color theme="4"/>
      <name val="Calibri"/>
      <family val="2"/>
      <scheme val="minor"/>
    </font>
    <font>
      <sz val="12"/>
      <name val="Arial"/>
      <family val="2"/>
    </font>
    <font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0" xfId="0" applyFont="1" applyFill="1"/>
    <xf numFmtId="0" fontId="7" fillId="2" borderId="0" xfId="0" applyFont="1" applyFill="1"/>
    <xf numFmtId="0" fontId="7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9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B663-D1CB-294C-974D-395232107A8F}">
  <dimension ref="A1:U181"/>
  <sheetViews>
    <sheetView zoomScale="96" zoomScaleNormal="96" workbookViewId="0">
      <pane ySplit="1" topLeftCell="A156" activePane="bottomLeft" state="frozen"/>
      <selection pane="bottomLeft" activeCell="D180" sqref="D180"/>
    </sheetView>
  </sheetViews>
  <sheetFormatPr baseColWidth="10" defaultRowHeight="16" x14ac:dyDescent="0.2"/>
  <cols>
    <col min="1" max="1" width="10.1640625" customWidth="1"/>
    <col min="2" max="3" width="9.1640625" customWidth="1"/>
    <col min="4" max="4" width="16.33203125" customWidth="1"/>
    <col min="7" max="7" width="10.83203125" style="1"/>
    <col min="9" max="9" width="10.83203125" style="1"/>
    <col min="11" max="11" width="10.83203125" style="1"/>
    <col min="15" max="15" width="12.6640625" customWidth="1"/>
  </cols>
  <sheetData>
    <row r="1" spans="1:21" ht="17" thickBot="1" x14ac:dyDescent="0.25">
      <c r="A1" s="2" t="s">
        <v>0</v>
      </c>
      <c r="B1" s="3" t="s">
        <v>65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44</v>
      </c>
      <c r="H1" s="2" t="s">
        <v>21</v>
      </c>
      <c r="I1" s="6" t="s">
        <v>45</v>
      </c>
      <c r="J1" s="7" t="s">
        <v>47</v>
      </c>
      <c r="K1" s="5" t="s">
        <v>49</v>
      </c>
      <c r="L1" s="7" t="s">
        <v>52</v>
      </c>
      <c r="M1" s="7" t="s">
        <v>53</v>
      </c>
      <c r="N1" s="7" t="s">
        <v>54</v>
      </c>
      <c r="O1" s="7" t="s">
        <v>56</v>
      </c>
      <c r="P1" s="7" t="s">
        <v>58</v>
      </c>
      <c r="Q1" s="7" t="s">
        <v>59</v>
      </c>
      <c r="R1" s="7" t="s">
        <v>60</v>
      </c>
      <c r="S1" s="7" t="s">
        <v>61</v>
      </c>
      <c r="T1" s="7" t="s">
        <v>62</v>
      </c>
      <c r="U1" s="7" t="s">
        <v>63</v>
      </c>
    </row>
    <row r="2" spans="1:21" x14ac:dyDescent="0.2">
      <c r="A2" s="19" t="s">
        <v>34</v>
      </c>
      <c r="B2">
        <v>48</v>
      </c>
      <c r="C2">
        <v>0</v>
      </c>
      <c r="D2" t="s">
        <v>5</v>
      </c>
      <c r="E2" t="s">
        <v>6</v>
      </c>
      <c r="F2" t="s">
        <v>7</v>
      </c>
      <c r="G2" s="17">
        <f t="shared" ref="G2:G33" si="0">30*(L2-0.0549)/0.0239</f>
        <v>92.216952229452303</v>
      </c>
      <c r="H2">
        <f t="shared" ref="H2:H33" si="1">(3.9165*M2-0.5231)*30</f>
        <v>-0.78460052659450219</v>
      </c>
      <c r="I2" s="1">
        <f t="shared" ref="I2:I33" si="2">(11.007*N2-0.65)*20</f>
        <v>30.301538000000001</v>
      </c>
      <c r="J2">
        <f t="shared" ref="J2:J33" si="3">H2+I2</f>
        <v>29.516937473405498</v>
      </c>
      <c r="K2" s="17">
        <f t="shared" ref="K2:K33" si="4">(0.3548*O2 + 0.0099)*30</f>
        <v>6.9519651684372343</v>
      </c>
      <c r="L2">
        <v>0.12836617194279701</v>
      </c>
      <c r="M2" s="20">
        <v>0.12688539489685091</v>
      </c>
      <c r="N2">
        <f t="shared" ref="N2:N33" si="5">AVERAGE(P2:R2)</f>
        <v>0.19669999999999999</v>
      </c>
      <c r="O2">
        <v>0.6252316016945918</v>
      </c>
      <c r="P2">
        <v>0.19639999999999999</v>
      </c>
      <c r="Q2">
        <v>0.19700000000000001</v>
      </c>
    </row>
    <row r="3" spans="1:21" x14ac:dyDescent="0.2">
      <c r="A3" s="19" t="s">
        <v>8</v>
      </c>
      <c r="B3">
        <v>48</v>
      </c>
      <c r="C3">
        <v>0</v>
      </c>
      <c r="D3" t="s">
        <v>5</v>
      </c>
      <c r="E3" t="s">
        <v>6</v>
      </c>
      <c r="F3" t="s">
        <v>7</v>
      </c>
      <c r="G3" s="17">
        <f t="shared" si="0"/>
        <v>88.213116684088462</v>
      </c>
      <c r="H3">
        <f t="shared" si="1"/>
        <v>-3.9434999999999985</v>
      </c>
      <c r="I3" s="1">
        <f t="shared" si="2"/>
        <v>27.428711000000003</v>
      </c>
      <c r="J3">
        <f t="shared" si="3"/>
        <v>23.485211000000007</v>
      </c>
      <c r="K3" s="17">
        <f t="shared" si="4"/>
        <v>7.0515705396531727</v>
      </c>
      <c r="L3">
        <v>0.12517644962499047</v>
      </c>
      <c r="M3" s="20">
        <v>0.1</v>
      </c>
      <c r="N3">
        <f t="shared" si="5"/>
        <v>0.18365000000000001</v>
      </c>
      <c r="O3">
        <v>0.63458949076035076</v>
      </c>
      <c r="P3">
        <v>0.18260000000000001</v>
      </c>
      <c r="Q3">
        <v>0.1847</v>
      </c>
    </row>
    <row r="4" spans="1:21" x14ac:dyDescent="0.2">
      <c r="A4" s="19" t="s">
        <v>9</v>
      </c>
      <c r="B4">
        <v>48</v>
      </c>
      <c r="C4">
        <v>0</v>
      </c>
      <c r="D4" t="s">
        <v>5</v>
      </c>
      <c r="E4" t="s">
        <v>6</v>
      </c>
      <c r="F4" t="s">
        <v>7</v>
      </c>
      <c r="G4" s="17">
        <f t="shared" si="0"/>
        <v>91.18148840096363</v>
      </c>
      <c r="H4">
        <f t="shared" si="1"/>
        <v>-10.77967864246188</v>
      </c>
      <c r="I4" s="1">
        <f t="shared" si="2"/>
        <v>26.063843000000002</v>
      </c>
      <c r="J4">
        <f t="shared" si="3"/>
        <v>15.284164357538122</v>
      </c>
      <c r="K4" s="17">
        <f t="shared" si="4"/>
        <v>6.9966131954914079</v>
      </c>
      <c r="L4">
        <v>0.12754125242610104</v>
      </c>
      <c r="M4" s="20">
        <v>4.1817280373957363E-2</v>
      </c>
      <c r="N4">
        <f t="shared" si="5"/>
        <v>0.17745</v>
      </c>
      <c r="O4">
        <v>0.62942626789659983</v>
      </c>
      <c r="P4">
        <v>0.1782</v>
      </c>
      <c r="Q4">
        <v>0.1767</v>
      </c>
    </row>
    <row r="5" spans="1:21" x14ac:dyDescent="0.2">
      <c r="A5" s="19" t="s">
        <v>10</v>
      </c>
      <c r="B5">
        <v>48</v>
      </c>
      <c r="C5">
        <v>0</v>
      </c>
      <c r="D5" t="s">
        <v>11</v>
      </c>
      <c r="E5" t="s">
        <v>6</v>
      </c>
      <c r="F5" t="s">
        <v>7</v>
      </c>
      <c r="G5" s="17">
        <f t="shared" si="0"/>
        <v>93.92326330297702</v>
      </c>
      <c r="H5">
        <f t="shared" si="1"/>
        <v>-6.1916215667251473E-2</v>
      </c>
      <c r="I5" s="1">
        <f t="shared" si="2"/>
        <v>23.334106999999999</v>
      </c>
      <c r="J5">
        <f t="shared" si="3"/>
        <v>23.272190784332746</v>
      </c>
      <c r="K5" s="17">
        <f t="shared" si="4"/>
        <v>7.2069003302750376</v>
      </c>
      <c r="L5">
        <v>0.12972553309803836</v>
      </c>
      <c r="M5" s="20">
        <v>0.13303616140544489</v>
      </c>
      <c r="N5">
        <f t="shared" si="5"/>
        <v>0.16505</v>
      </c>
      <c r="O5">
        <v>0.64918266913519707</v>
      </c>
      <c r="P5">
        <v>0.16500000000000001</v>
      </c>
      <c r="Q5">
        <v>0.1651</v>
      </c>
    </row>
    <row r="6" spans="1:21" x14ac:dyDescent="0.2">
      <c r="A6" s="19" t="s">
        <v>12</v>
      </c>
      <c r="B6">
        <v>48</v>
      </c>
      <c r="C6">
        <v>0</v>
      </c>
      <c r="D6" t="s">
        <v>11</v>
      </c>
      <c r="E6" t="s">
        <v>6</v>
      </c>
      <c r="F6" t="s">
        <v>7</v>
      </c>
      <c r="G6" s="17">
        <f t="shared" si="0"/>
        <v>100.86377780007189</v>
      </c>
      <c r="H6">
        <f t="shared" si="1"/>
        <v>-3.9434999999999985</v>
      </c>
      <c r="I6" s="1">
        <f t="shared" si="2"/>
        <v>22.288442000000003</v>
      </c>
      <c r="J6">
        <f t="shared" si="3"/>
        <v>18.344942000000003</v>
      </c>
      <c r="K6" s="17">
        <f t="shared" si="4"/>
        <v>7.1787638397832856</v>
      </c>
      <c r="L6">
        <v>0.13525480964739062</v>
      </c>
      <c r="M6" s="20">
        <v>0.1</v>
      </c>
      <c r="N6">
        <f t="shared" si="5"/>
        <v>0.1603</v>
      </c>
      <c r="O6">
        <v>0.64653925589846728</v>
      </c>
      <c r="P6">
        <v>0.15920000000000001</v>
      </c>
      <c r="Q6">
        <v>0.16139999999999999</v>
      </c>
    </row>
    <row r="7" spans="1:21" x14ac:dyDescent="0.2">
      <c r="A7" s="19" t="s">
        <v>13</v>
      </c>
      <c r="B7">
        <v>48</v>
      </c>
      <c r="C7">
        <v>0</v>
      </c>
      <c r="D7" t="s">
        <v>11</v>
      </c>
      <c r="E7" t="s">
        <v>6</v>
      </c>
      <c r="F7" t="s">
        <v>7</v>
      </c>
      <c r="G7" s="17">
        <f t="shared" si="0"/>
        <v>93.544860392935192</v>
      </c>
      <c r="H7">
        <f t="shared" si="1"/>
        <v>-6.871428094541332E-2</v>
      </c>
      <c r="I7" s="1">
        <f t="shared" si="2"/>
        <v>27.153536000000003</v>
      </c>
      <c r="J7">
        <f t="shared" si="3"/>
        <v>27.084821719054588</v>
      </c>
      <c r="K7" s="17">
        <f t="shared" si="4"/>
        <v>7.3368125263019586</v>
      </c>
      <c r="L7">
        <v>0.12942407211303839</v>
      </c>
      <c r="M7" s="20">
        <v>0.13297830306868025</v>
      </c>
      <c r="N7">
        <f t="shared" si="5"/>
        <v>0.18240000000000001</v>
      </c>
      <c r="O7">
        <v>0.66138787357214945</v>
      </c>
      <c r="P7">
        <v>0.18229999999999999</v>
      </c>
      <c r="Q7">
        <v>0.1825</v>
      </c>
    </row>
    <row r="8" spans="1:21" x14ac:dyDescent="0.2">
      <c r="A8" s="19" t="s">
        <v>14</v>
      </c>
      <c r="B8">
        <v>48</v>
      </c>
      <c r="C8">
        <v>0</v>
      </c>
      <c r="D8" t="s">
        <v>15</v>
      </c>
      <c r="E8" t="s">
        <v>6</v>
      </c>
      <c r="F8" t="s">
        <v>7</v>
      </c>
      <c r="G8" s="17">
        <f t="shared" si="0"/>
        <v>91.2124940715848</v>
      </c>
      <c r="H8">
        <f t="shared" si="1"/>
        <v>0.7741143436349085</v>
      </c>
      <c r="I8" s="1">
        <f t="shared" si="2"/>
        <v>27.362669000000004</v>
      </c>
      <c r="J8">
        <f t="shared" si="3"/>
        <v>28.136783343634914</v>
      </c>
      <c r="K8" s="17">
        <f t="shared" si="4"/>
        <v>7.3501957519336276</v>
      </c>
      <c r="L8">
        <v>0.12756595361036258</v>
      </c>
      <c r="M8" s="20">
        <v>0.14015161788701569</v>
      </c>
      <c r="N8">
        <f t="shared" si="5"/>
        <v>0.18335000000000001</v>
      </c>
      <c r="O8">
        <v>0.66264522284231753</v>
      </c>
      <c r="P8">
        <v>0.1946</v>
      </c>
      <c r="Q8">
        <v>0.1721</v>
      </c>
    </row>
    <row r="9" spans="1:21" x14ac:dyDescent="0.2">
      <c r="A9" s="19" t="s">
        <v>16</v>
      </c>
      <c r="B9">
        <v>48</v>
      </c>
      <c r="C9">
        <v>0</v>
      </c>
      <c r="D9" t="s">
        <v>15</v>
      </c>
      <c r="E9" t="s">
        <v>6</v>
      </c>
      <c r="F9" t="s">
        <v>7</v>
      </c>
      <c r="G9" s="17">
        <f t="shared" si="0"/>
        <v>102.43377909498992</v>
      </c>
      <c r="H9">
        <f t="shared" si="1"/>
        <v>-2.822672966480086</v>
      </c>
      <c r="I9" s="1">
        <f t="shared" si="2"/>
        <v>27.076487</v>
      </c>
      <c r="J9">
        <f t="shared" si="3"/>
        <v>24.253814033519916</v>
      </c>
      <c r="K9" s="17">
        <f t="shared" si="4"/>
        <v>7.1809440997056821</v>
      </c>
      <c r="L9">
        <v>0.13650557734567531</v>
      </c>
      <c r="M9" s="20">
        <v>0.10953935940695275</v>
      </c>
      <c r="N9">
        <f t="shared" si="5"/>
        <v>0.18204999999999999</v>
      </c>
      <c r="O9">
        <v>0.64674409053980475</v>
      </c>
      <c r="P9">
        <v>0.18329999999999999</v>
      </c>
      <c r="Q9">
        <v>0.18079999999999999</v>
      </c>
    </row>
    <row r="10" spans="1:21" x14ac:dyDescent="0.2">
      <c r="A10" s="19" t="s">
        <v>17</v>
      </c>
      <c r="B10">
        <v>48</v>
      </c>
      <c r="C10">
        <v>0</v>
      </c>
      <c r="D10" t="s">
        <v>15</v>
      </c>
      <c r="E10" t="s">
        <v>6</v>
      </c>
      <c r="F10" t="s">
        <v>7</v>
      </c>
      <c r="G10" s="17">
        <f t="shared" si="0"/>
        <v>99.101772105251939</v>
      </c>
      <c r="H10">
        <f t="shared" si="1"/>
        <v>8.2443920627848222E-2</v>
      </c>
      <c r="I10" s="1">
        <f t="shared" si="2"/>
        <v>24.720988999999996</v>
      </c>
      <c r="J10">
        <f t="shared" si="3"/>
        <v>24.803432920627845</v>
      </c>
      <c r="K10" s="17">
        <f t="shared" si="4"/>
        <v>7.2046694836467999</v>
      </c>
      <c r="L10">
        <v>0.13385107844385072</v>
      </c>
      <c r="M10" s="20">
        <v>0.13426481059302819</v>
      </c>
      <c r="N10">
        <f t="shared" si="5"/>
        <v>0.17135</v>
      </c>
      <c r="O10">
        <v>0.64897308189090563</v>
      </c>
      <c r="P10">
        <v>0.17269999999999999</v>
      </c>
      <c r="Q10">
        <v>0.17</v>
      </c>
    </row>
    <row r="11" spans="1:21" x14ac:dyDescent="0.2">
      <c r="A11" s="19" t="s">
        <v>18</v>
      </c>
      <c r="B11">
        <v>48</v>
      </c>
      <c r="C11">
        <v>0</v>
      </c>
      <c r="D11" t="s">
        <v>5</v>
      </c>
      <c r="E11" t="s">
        <v>19</v>
      </c>
      <c r="F11" t="s">
        <v>7</v>
      </c>
      <c r="G11" s="17">
        <f t="shared" si="0"/>
        <v>100.23247208424651</v>
      </c>
      <c r="H11">
        <f t="shared" si="1"/>
        <v>-6.056533029489386E-2</v>
      </c>
      <c r="I11" s="1">
        <f t="shared" si="2"/>
        <v>32.546965999999998</v>
      </c>
      <c r="J11">
        <f t="shared" si="3"/>
        <v>32.486400669705105</v>
      </c>
      <c r="K11" s="17">
        <f t="shared" si="4"/>
        <v>6.9854291818043297</v>
      </c>
      <c r="L11">
        <v>0.13475186942711639</v>
      </c>
      <c r="M11" s="20">
        <v>0.13304765879148139</v>
      </c>
      <c r="N11">
        <f t="shared" si="5"/>
        <v>0.2069</v>
      </c>
      <c r="O11">
        <v>0.62837553380348832</v>
      </c>
      <c r="P11">
        <v>0.19589999999999999</v>
      </c>
      <c r="Q11">
        <v>0.21790000000000001</v>
      </c>
    </row>
    <row r="12" spans="1:21" x14ac:dyDescent="0.2">
      <c r="A12" s="19" t="s">
        <v>8</v>
      </c>
      <c r="B12">
        <v>48</v>
      </c>
      <c r="C12">
        <v>0</v>
      </c>
      <c r="D12" t="s">
        <v>5</v>
      </c>
      <c r="E12" t="s">
        <v>19</v>
      </c>
      <c r="F12" t="s">
        <v>7</v>
      </c>
      <c r="G12" s="17">
        <f t="shared" si="0"/>
        <v>98.256177526883334</v>
      </c>
      <c r="H12">
        <f t="shared" si="1"/>
        <v>-12.388082654767564</v>
      </c>
      <c r="I12" s="1">
        <f t="shared" si="2"/>
        <v>25.733632999999998</v>
      </c>
      <c r="J12">
        <f t="shared" si="3"/>
        <v>13.345550345232434</v>
      </c>
      <c r="K12" s="17">
        <f t="shared" si="4"/>
        <v>7.0763265375172235</v>
      </c>
      <c r="L12">
        <v>0.13317742142975039</v>
      </c>
      <c r="M12" s="20">
        <v>2.8128153072321693E-2</v>
      </c>
      <c r="N12">
        <f t="shared" si="5"/>
        <v>0.17595</v>
      </c>
      <c r="O12">
        <v>0.63691530792157303</v>
      </c>
      <c r="P12">
        <v>0.17710000000000001</v>
      </c>
      <c r="Q12">
        <v>0.17480000000000001</v>
      </c>
    </row>
    <row r="13" spans="1:21" x14ac:dyDescent="0.2">
      <c r="A13" s="19" t="s">
        <v>9</v>
      </c>
      <c r="B13">
        <v>48</v>
      </c>
      <c r="C13">
        <v>0</v>
      </c>
      <c r="D13" t="s">
        <v>5</v>
      </c>
      <c r="E13" t="s">
        <v>19</v>
      </c>
      <c r="F13" t="s">
        <v>7</v>
      </c>
      <c r="G13" s="17">
        <f t="shared" si="0"/>
        <v>98.730749687762525</v>
      </c>
      <c r="H13">
        <f t="shared" si="1"/>
        <v>-12.554143148042428</v>
      </c>
      <c r="I13" s="1">
        <f t="shared" si="2"/>
        <v>26.085856999999997</v>
      </c>
      <c r="J13">
        <f t="shared" si="3"/>
        <v>13.531713851957569</v>
      </c>
      <c r="K13" s="17">
        <f t="shared" si="4"/>
        <v>6.9908026599460653</v>
      </c>
      <c r="L13">
        <v>0.13355549725125082</v>
      </c>
      <c r="M13" s="20">
        <v>2.6714812136325566E-2</v>
      </c>
      <c r="N13">
        <f t="shared" si="5"/>
        <v>0.17754999999999999</v>
      </c>
      <c r="O13">
        <v>0.62888037015652631</v>
      </c>
      <c r="P13">
        <v>0.18079999999999999</v>
      </c>
      <c r="Q13">
        <v>0.17430000000000001</v>
      </c>
    </row>
    <row r="14" spans="1:21" x14ac:dyDescent="0.2">
      <c r="A14" s="19" t="s">
        <v>10</v>
      </c>
      <c r="B14">
        <v>48</v>
      </c>
      <c r="C14">
        <v>0</v>
      </c>
      <c r="D14" t="s">
        <v>11</v>
      </c>
      <c r="E14" t="s">
        <v>19</v>
      </c>
      <c r="F14" t="s">
        <v>7</v>
      </c>
      <c r="G14" s="17">
        <f t="shared" si="0"/>
        <v>101.9917139742424</v>
      </c>
      <c r="H14">
        <f t="shared" si="1"/>
        <v>0.77535841919492476</v>
      </c>
      <c r="I14" s="1">
        <f t="shared" si="2"/>
        <v>27.439717999999999</v>
      </c>
      <c r="J14">
        <f t="shared" si="3"/>
        <v>28.215076419194922</v>
      </c>
      <c r="K14" s="17">
        <f t="shared" si="4"/>
        <v>7.3528203033276318</v>
      </c>
      <c r="L14">
        <v>0.1361533987994798</v>
      </c>
      <c r="M14" s="20">
        <v>0.14016220621468933</v>
      </c>
      <c r="N14">
        <f t="shared" si="5"/>
        <v>0.1837</v>
      </c>
      <c r="O14">
        <v>0.66289179850879665</v>
      </c>
      <c r="P14">
        <v>0.18310000000000001</v>
      </c>
      <c r="Q14">
        <v>0.18429999999999999</v>
      </c>
    </row>
    <row r="15" spans="1:21" x14ac:dyDescent="0.2">
      <c r="A15" s="19" t="s">
        <v>12</v>
      </c>
      <c r="B15">
        <v>48</v>
      </c>
      <c r="C15">
        <v>0</v>
      </c>
      <c r="D15" t="s">
        <v>11</v>
      </c>
      <c r="E15" t="s">
        <v>19</v>
      </c>
      <c r="F15" t="s">
        <v>7</v>
      </c>
      <c r="G15" s="17">
        <f t="shared" si="0"/>
        <v>98.542159692457105</v>
      </c>
      <c r="H15">
        <f t="shared" si="1"/>
        <v>-8.4171253665734156</v>
      </c>
      <c r="I15" s="1">
        <f t="shared" si="2"/>
        <v>25.018177999999995</v>
      </c>
      <c r="J15">
        <f t="shared" si="3"/>
        <v>16.60105263342658</v>
      </c>
      <c r="K15" s="17">
        <f t="shared" si="4"/>
        <v>7.3734973712593508</v>
      </c>
      <c r="L15">
        <v>0.13340525388832417</v>
      </c>
      <c r="M15" s="20">
        <v>6.1924972410967158E-2</v>
      </c>
      <c r="N15">
        <f t="shared" si="5"/>
        <v>0.17269999999999999</v>
      </c>
      <c r="O15">
        <v>0.66483440165908969</v>
      </c>
      <c r="P15">
        <v>0.16639999999999999</v>
      </c>
      <c r="Q15">
        <v>0.17899999999999999</v>
      </c>
    </row>
    <row r="16" spans="1:21" x14ac:dyDescent="0.2">
      <c r="A16" s="19" t="s">
        <v>13</v>
      </c>
      <c r="B16">
        <v>48</v>
      </c>
      <c r="C16">
        <v>0</v>
      </c>
      <c r="D16" t="s">
        <v>11</v>
      </c>
      <c r="E16" t="s">
        <v>19</v>
      </c>
      <c r="F16" t="s">
        <v>7</v>
      </c>
      <c r="G16" s="17">
        <f t="shared" si="0"/>
        <v>99.974937583350837</v>
      </c>
      <c r="H16">
        <f t="shared" si="1"/>
        <v>-10.75027464174325</v>
      </c>
      <c r="I16" s="1">
        <f t="shared" si="2"/>
        <v>28.859620999999997</v>
      </c>
      <c r="J16">
        <f t="shared" si="3"/>
        <v>18.109346358256747</v>
      </c>
      <c r="K16" s="17">
        <f t="shared" si="4"/>
        <v>7.3562832890084469</v>
      </c>
      <c r="L16">
        <v>0.13454670027473617</v>
      </c>
      <c r="M16" s="20">
        <v>4.2067537837837787E-2</v>
      </c>
      <c r="N16">
        <f t="shared" si="5"/>
        <v>0.19014999999999999</v>
      </c>
      <c r="O16">
        <v>0.66321714477719351</v>
      </c>
      <c r="P16">
        <v>0.1915</v>
      </c>
      <c r="Q16">
        <v>0.1888</v>
      </c>
    </row>
    <row r="17" spans="1:17" x14ac:dyDescent="0.2">
      <c r="A17" s="19" t="s">
        <v>14</v>
      </c>
      <c r="B17">
        <v>48</v>
      </c>
      <c r="C17">
        <v>0</v>
      </c>
      <c r="D17" t="s">
        <v>15</v>
      </c>
      <c r="E17" t="s">
        <v>19</v>
      </c>
      <c r="F17" t="s">
        <v>7</v>
      </c>
      <c r="G17" s="17">
        <f t="shared" si="0"/>
        <v>101.67759052893742</v>
      </c>
      <c r="H17">
        <f>(3.9165*M17-0.5231)*30</f>
        <v>-9.4920753600073855</v>
      </c>
      <c r="I17" s="1">
        <f t="shared" si="2"/>
        <v>29.354936000000002</v>
      </c>
      <c r="J17">
        <f t="shared" si="3"/>
        <v>19.862860639992618</v>
      </c>
      <c r="K17" s="17">
        <f t="shared" si="4"/>
        <v>7.1889621186726425</v>
      </c>
      <c r="L17">
        <v>0.13590314712138682</v>
      </c>
      <c r="M17" s="20">
        <v>5.2776072513661135E-2</v>
      </c>
      <c r="N17">
        <f t="shared" si="5"/>
        <v>0.19240000000000002</v>
      </c>
      <c r="O17">
        <v>0.64749738055924866</v>
      </c>
      <c r="P17">
        <v>0.1973</v>
      </c>
      <c r="Q17">
        <v>0.1875</v>
      </c>
    </row>
    <row r="18" spans="1:17" x14ac:dyDescent="0.2">
      <c r="A18" s="19" t="s">
        <v>16</v>
      </c>
      <c r="B18">
        <v>48</v>
      </c>
      <c r="C18">
        <v>0</v>
      </c>
      <c r="D18" t="s">
        <v>15</v>
      </c>
      <c r="E18" t="s">
        <v>19</v>
      </c>
      <c r="F18" t="s">
        <v>7</v>
      </c>
      <c r="G18" s="17">
        <f t="shared" si="0"/>
        <v>99.837490313965247</v>
      </c>
      <c r="H18">
        <f t="shared" si="1"/>
        <v>-3.9434999999999985</v>
      </c>
      <c r="I18" s="1">
        <f t="shared" si="2"/>
        <v>30.268516999999999</v>
      </c>
      <c r="J18">
        <f t="shared" si="3"/>
        <v>26.325017000000003</v>
      </c>
      <c r="K18" s="17">
        <f t="shared" si="4"/>
        <v>7.2178036899676208</v>
      </c>
      <c r="L18">
        <v>0.13443720061679232</v>
      </c>
      <c r="M18" s="20">
        <v>0.1</v>
      </c>
      <c r="N18">
        <f t="shared" si="5"/>
        <v>0.19655</v>
      </c>
      <c r="O18">
        <v>0.6502070358857216</v>
      </c>
      <c r="P18">
        <v>0.19739999999999999</v>
      </c>
      <c r="Q18">
        <v>0.19570000000000001</v>
      </c>
    </row>
    <row r="19" spans="1:17" x14ac:dyDescent="0.2">
      <c r="A19" s="19" t="s">
        <v>17</v>
      </c>
      <c r="B19">
        <v>48</v>
      </c>
      <c r="C19">
        <v>0</v>
      </c>
      <c r="D19" t="s">
        <v>15</v>
      </c>
      <c r="E19" t="s">
        <v>19</v>
      </c>
      <c r="F19" t="s">
        <v>7</v>
      </c>
      <c r="G19" s="17">
        <f t="shared" si="0"/>
        <v>99.280253493862901</v>
      </c>
      <c r="H19">
        <f t="shared" si="1"/>
        <v>-8.326681304804195</v>
      </c>
      <c r="I19" s="1">
        <f t="shared" si="2"/>
        <v>27.274612999999999</v>
      </c>
      <c r="J19">
        <f t="shared" si="3"/>
        <v>18.947931695195805</v>
      </c>
      <c r="K19" s="17">
        <f t="shared" si="4"/>
        <v>7.2100048656100952</v>
      </c>
      <c r="L19">
        <v>0.13399326861677746</v>
      </c>
      <c r="M19" s="20">
        <v>6.2694741863022291E-2</v>
      </c>
      <c r="N19">
        <f t="shared" si="5"/>
        <v>0.18295</v>
      </c>
      <c r="O19">
        <v>0.64947433912157981</v>
      </c>
      <c r="P19">
        <v>0.18240000000000001</v>
      </c>
      <c r="Q19">
        <v>0.1835</v>
      </c>
    </row>
    <row r="20" spans="1:17" x14ac:dyDescent="0.2">
      <c r="A20" s="19" t="s">
        <v>20</v>
      </c>
      <c r="B20">
        <v>48</v>
      </c>
      <c r="C20">
        <v>0</v>
      </c>
      <c r="D20" t="s">
        <v>5</v>
      </c>
      <c r="E20" t="s">
        <v>19</v>
      </c>
      <c r="F20" t="s">
        <v>21</v>
      </c>
      <c r="G20" s="17">
        <f t="shared" si="0"/>
        <v>101.9055844173545</v>
      </c>
      <c r="H20">
        <f t="shared" si="1"/>
        <v>33.487422190059483</v>
      </c>
      <c r="I20" s="1">
        <f t="shared" si="2"/>
        <v>32.635021999999992</v>
      </c>
      <c r="J20">
        <f t="shared" si="3"/>
        <v>66.122444190059468</v>
      </c>
      <c r="K20" s="17">
        <f t="shared" si="4"/>
        <v>7.120661660497146</v>
      </c>
      <c r="L20">
        <v>0.13608478225249243</v>
      </c>
      <c r="M20">
        <v>0.41857459628119903</v>
      </c>
      <c r="N20">
        <f t="shared" si="5"/>
        <v>0.20729999999999998</v>
      </c>
      <c r="O20">
        <v>0.64108057689751463</v>
      </c>
      <c r="P20">
        <v>0.2437</v>
      </c>
      <c r="Q20">
        <v>0.1709</v>
      </c>
    </row>
    <row r="21" spans="1:17" x14ac:dyDescent="0.2">
      <c r="A21" s="19" t="s">
        <v>22</v>
      </c>
      <c r="B21">
        <v>48</v>
      </c>
      <c r="C21">
        <v>0</v>
      </c>
      <c r="D21" t="s">
        <v>5</v>
      </c>
      <c r="E21" t="s">
        <v>19</v>
      </c>
      <c r="F21" t="s">
        <v>21</v>
      </c>
      <c r="G21" s="17">
        <f t="shared" si="0"/>
        <v>100.34454150594472</v>
      </c>
      <c r="H21">
        <f t="shared" si="1"/>
        <v>34.611196882878538</v>
      </c>
      <c r="I21" s="1">
        <f t="shared" si="2"/>
        <v>25.337381000000001</v>
      </c>
      <c r="J21">
        <f t="shared" si="3"/>
        <v>59.948577882878539</v>
      </c>
      <c r="K21" s="17">
        <f t="shared" si="4"/>
        <v>7.0922932402711014</v>
      </c>
      <c r="L21">
        <v>0.13484115139973596</v>
      </c>
      <c r="M21">
        <v>0.42813904321782664</v>
      </c>
      <c r="N21">
        <f t="shared" si="5"/>
        <v>0.17415</v>
      </c>
      <c r="O21">
        <v>0.63841537394504899</v>
      </c>
      <c r="P21">
        <v>0.1739</v>
      </c>
      <c r="Q21">
        <v>0.1744</v>
      </c>
    </row>
    <row r="22" spans="1:17" x14ac:dyDescent="0.2">
      <c r="A22" s="19" t="s">
        <v>23</v>
      </c>
      <c r="B22">
        <v>48</v>
      </c>
      <c r="C22">
        <v>0</v>
      </c>
      <c r="D22" t="s">
        <v>5</v>
      </c>
      <c r="E22" t="s">
        <v>19</v>
      </c>
      <c r="F22" t="s">
        <v>21</v>
      </c>
      <c r="G22" s="17">
        <f t="shared" si="0"/>
        <v>100.10202600402988</v>
      </c>
      <c r="H22">
        <f t="shared" si="1"/>
        <v>33.237001285690447</v>
      </c>
      <c r="I22" s="1">
        <f t="shared" si="2"/>
        <v>26.361032000000002</v>
      </c>
      <c r="J22">
        <f t="shared" si="3"/>
        <v>59.598033285690448</v>
      </c>
      <c r="K22" s="17">
        <f t="shared" si="4"/>
        <v>7.0390505384219635</v>
      </c>
      <c r="L22">
        <v>0.13464794738321048</v>
      </c>
      <c r="M22">
        <v>0.41644326384689084</v>
      </c>
      <c r="N22">
        <f t="shared" si="5"/>
        <v>0.17880000000000001</v>
      </c>
      <c r="O22">
        <v>0.63341324111442721</v>
      </c>
      <c r="P22">
        <v>0.17899999999999999</v>
      </c>
      <c r="Q22">
        <v>0.17860000000000001</v>
      </c>
    </row>
    <row r="23" spans="1:17" x14ac:dyDescent="0.2">
      <c r="A23" s="19" t="s">
        <v>24</v>
      </c>
      <c r="B23">
        <v>48</v>
      </c>
      <c r="C23">
        <v>0</v>
      </c>
      <c r="D23" t="s">
        <v>15</v>
      </c>
      <c r="E23" t="s">
        <v>19</v>
      </c>
      <c r="F23" t="s">
        <v>21</v>
      </c>
      <c r="G23" s="17">
        <f t="shared" si="0"/>
        <v>100.70161466348834</v>
      </c>
      <c r="H23">
        <f t="shared" si="1"/>
        <v>32.715478706013826</v>
      </c>
      <c r="I23" s="1">
        <f t="shared" si="2"/>
        <v>27.428710999999993</v>
      </c>
      <c r="J23">
        <f t="shared" si="3"/>
        <v>60.144189706013819</v>
      </c>
      <c r="K23" s="17">
        <f t="shared" si="4"/>
        <v>7.2124742300529459</v>
      </c>
      <c r="L23">
        <v>0.13512561968191239</v>
      </c>
      <c r="M23">
        <v>0.41200458492713588</v>
      </c>
      <c r="N23">
        <f t="shared" si="5"/>
        <v>0.18364999999999998</v>
      </c>
      <c r="O23">
        <v>0.64970633502940112</v>
      </c>
      <c r="P23">
        <v>0.18279999999999999</v>
      </c>
      <c r="Q23">
        <v>0.1845</v>
      </c>
    </row>
    <row r="24" spans="1:17" x14ac:dyDescent="0.2">
      <c r="A24" s="19" t="s">
        <v>25</v>
      </c>
      <c r="B24">
        <v>48</v>
      </c>
      <c r="C24">
        <v>0</v>
      </c>
      <c r="D24" t="s">
        <v>15</v>
      </c>
      <c r="E24" t="s">
        <v>19</v>
      </c>
      <c r="F24" t="s">
        <v>21</v>
      </c>
      <c r="G24" s="17">
        <f t="shared" si="0"/>
        <v>102.0527551476461</v>
      </c>
      <c r="H24">
        <f t="shared" si="1"/>
        <v>31.562680032523161</v>
      </c>
      <c r="I24" s="1">
        <f t="shared" si="2"/>
        <v>29.828237000000001</v>
      </c>
      <c r="J24">
        <f t="shared" si="3"/>
        <v>61.390917032523163</v>
      </c>
      <c r="K24" s="17">
        <f t="shared" si="4"/>
        <v>7.1665096651979159</v>
      </c>
      <c r="L24">
        <v>0.13620202826762473</v>
      </c>
      <c r="M24">
        <v>0.40219311487742598</v>
      </c>
      <c r="N24">
        <f t="shared" si="5"/>
        <v>0.19455</v>
      </c>
      <c r="O24">
        <v>0.64538798057101809</v>
      </c>
      <c r="P24">
        <v>0.19520000000000001</v>
      </c>
      <c r="Q24">
        <v>0.19389999999999999</v>
      </c>
    </row>
    <row r="25" spans="1:17" x14ac:dyDescent="0.2">
      <c r="A25" s="19" t="s">
        <v>26</v>
      </c>
      <c r="B25">
        <v>48</v>
      </c>
      <c r="C25">
        <v>0</v>
      </c>
      <c r="D25" t="s">
        <v>15</v>
      </c>
      <c r="E25" t="s">
        <v>19</v>
      </c>
      <c r="F25" t="s">
        <v>21</v>
      </c>
      <c r="G25" s="17">
        <f t="shared" si="0"/>
        <v>102.61200423756225</v>
      </c>
      <c r="H25">
        <f t="shared" si="1"/>
        <v>33.221974947622208</v>
      </c>
      <c r="I25" s="1">
        <f t="shared" si="2"/>
        <v>28.331285000000001</v>
      </c>
      <c r="J25">
        <f t="shared" si="3"/>
        <v>61.553259947622209</v>
      </c>
      <c r="K25" s="17">
        <f t="shared" si="4"/>
        <v>7.3134878386891202</v>
      </c>
      <c r="L25">
        <v>0.1366475633759246</v>
      </c>
      <c r="M25">
        <v>0.41631537467655821</v>
      </c>
      <c r="N25">
        <f t="shared" si="5"/>
        <v>0.18775</v>
      </c>
      <c r="O25">
        <v>0.65919652749803836</v>
      </c>
      <c r="P25">
        <v>0.1855</v>
      </c>
      <c r="Q25">
        <v>0.19</v>
      </c>
    </row>
    <row r="26" spans="1:17" x14ac:dyDescent="0.2">
      <c r="A26" s="19" t="s">
        <v>27</v>
      </c>
      <c r="B26">
        <v>48</v>
      </c>
      <c r="C26">
        <v>0</v>
      </c>
      <c r="D26" t="s">
        <v>28</v>
      </c>
      <c r="E26" t="s">
        <v>6</v>
      </c>
      <c r="F26" t="s">
        <v>21</v>
      </c>
      <c r="G26" s="17">
        <f t="shared" si="0"/>
        <v>105.01168277757004</v>
      </c>
      <c r="H26">
        <f t="shared" si="1"/>
        <v>32.987053185685198</v>
      </c>
      <c r="I26" s="1">
        <f t="shared" si="2"/>
        <v>26.581171999999995</v>
      </c>
      <c r="J26">
        <f t="shared" si="3"/>
        <v>59.568225185685193</v>
      </c>
      <c r="K26" s="17">
        <f t="shared" si="4"/>
        <v>7.3330570871427208</v>
      </c>
      <c r="L26">
        <v>0.13855930727946414</v>
      </c>
      <c r="M26">
        <v>0.41431595545074423</v>
      </c>
      <c r="N26">
        <f t="shared" si="5"/>
        <v>0.17979999999999999</v>
      </c>
      <c r="O26">
        <v>0.66103505140386332</v>
      </c>
      <c r="P26">
        <v>0.17979999999999999</v>
      </c>
      <c r="Q26">
        <v>0.17979999999999999</v>
      </c>
    </row>
    <row r="27" spans="1:17" x14ac:dyDescent="0.2">
      <c r="A27" s="19" t="s">
        <v>29</v>
      </c>
      <c r="B27">
        <v>48</v>
      </c>
      <c r="C27">
        <v>0</v>
      </c>
      <c r="D27" t="s">
        <v>28</v>
      </c>
      <c r="E27" t="s">
        <v>6</v>
      </c>
      <c r="F27" t="s">
        <v>21</v>
      </c>
      <c r="G27" s="17">
        <f t="shared" si="0"/>
        <v>107.02002609362826</v>
      </c>
      <c r="H27">
        <f t="shared" si="1"/>
        <v>31.928001190979224</v>
      </c>
      <c r="I27" s="1">
        <f t="shared" si="2"/>
        <v>25.282346000000004</v>
      </c>
      <c r="J27">
        <f t="shared" si="3"/>
        <v>57.210347190979228</v>
      </c>
      <c r="K27" s="17">
        <f t="shared" si="4"/>
        <v>7.2604691459346222</v>
      </c>
      <c r="L27">
        <v>0.14015928745459053</v>
      </c>
      <c r="M27">
        <v>0.40530236342805415</v>
      </c>
      <c r="N27">
        <f t="shared" si="5"/>
        <v>0.1739</v>
      </c>
      <c r="O27">
        <v>0.65421544024188483</v>
      </c>
      <c r="P27">
        <v>0.1736</v>
      </c>
      <c r="Q27">
        <v>0.17419999999999999</v>
      </c>
    </row>
    <row r="28" spans="1:17" x14ac:dyDescent="0.2">
      <c r="A28" s="19" t="s">
        <v>30</v>
      </c>
      <c r="B28">
        <v>48</v>
      </c>
      <c r="C28">
        <v>0</v>
      </c>
      <c r="D28" t="s">
        <v>28</v>
      </c>
      <c r="E28" t="s">
        <v>6</v>
      </c>
      <c r="F28" t="s">
        <v>21</v>
      </c>
      <c r="G28" s="17">
        <f t="shared" si="0"/>
        <v>107.41203429777046</v>
      </c>
      <c r="H28">
        <f t="shared" si="1"/>
        <v>32.17549339790623</v>
      </c>
      <c r="I28" s="1">
        <f t="shared" si="2"/>
        <v>25.590542000000003</v>
      </c>
      <c r="J28">
        <f t="shared" si="3"/>
        <v>57.766035397906236</v>
      </c>
      <c r="K28" s="17">
        <f t="shared" si="4"/>
        <v>7.26304097634267</v>
      </c>
      <c r="L28">
        <v>0.14047158732389048</v>
      </c>
      <c r="M28">
        <v>0.4074087697170623</v>
      </c>
      <c r="N28">
        <f t="shared" si="5"/>
        <v>0.17530000000000001</v>
      </c>
      <c r="O28">
        <v>0.65445706279055527</v>
      </c>
      <c r="P28">
        <v>0.17319999999999999</v>
      </c>
      <c r="Q28">
        <v>0.1774</v>
      </c>
    </row>
    <row r="29" spans="1:17" x14ac:dyDescent="0.2">
      <c r="A29" s="19" t="s">
        <v>31</v>
      </c>
      <c r="B29">
        <v>48</v>
      </c>
      <c r="C29">
        <v>0</v>
      </c>
      <c r="D29" t="s">
        <v>28</v>
      </c>
      <c r="E29" t="s">
        <v>19</v>
      </c>
      <c r="F29" t="s">
        <v>21</v>
      </c>
      <c r="G29" s="17">
        <f t="shared" si="0"/>
        <v>105.88228286682347</v>
      </c>
      <c r="H29">
        <f t="shared" si="1"/>
        <v>32.042649788963914</v>
      </c>
      <c r="I29" s="1">
        <f t="shared" si="2"/>
        <v>23.785394000000004</v>
      </c>
      <c r="J29">
        <f t="shared" si="3"/>
        <v>55.828043788963917</v>
      </c>
      <c r="K29" s="17">
        <f t="shared" si="4"/>
        <v>7.3489044572488131</v>
      </c>
      <c r="L29">
        <v>0.13925288535056937</v>
      </c>
      <c r="M29">
        <v>0.40627813769916943</v>
      </c>
      <c r="N29">
        <f t="shared" si="5"/>
        <v>0.1671</v>
      </c>
      <c r="O29">
        <v>0.66252390616768264</v>
      </c>
      <c r="P29">
        <v>0.16550000000000001</v>
      </c>
      <c r="Q29">
        <v>0.16869999999999999</v>
      </c>
    </row>
    <row r="30" spans="1:17" x14ac:dyDescent="0.2">
      <c r="A30" s="19" t="s">
        <v>32</v>
      </c>
      <c r="B30">
        <v>48</v>
      </c>
      <c r="C30">
        <v>0</v>
      </c>
      <c r="D30" t="s">
        <v>28</v>
      </c>
      <c r="E30" t="s">
        <v>19</v>
      </c>
      <c r="F30" t="s">
        <v>21</v>
      </c>
      <c r="G30" s="17">
        <f t="shared" si="0"/>
        <v>106.43721266541307</v>
      </c>
      <c r="H30">
        <f t="shared" si="1"/>
        <v>32.279003654604224</v>
      </c>
      <c r="I30" s="1">
        <f t="shared" si="2"/>
        <v>24.776024000000003</v>
      </c>
      <c r="J30">
        <f t="shared" si="3"/>
        <v>57.055027654604231</v>
      </c>
      <c r="K30" s="17">
        <f t="shared" si="4"/>
        <v>7.3417560725042552</v>
      </c>
      <c r="L30">
        <v>0.13969497942344575</v>
      </c>
      <c r="M30">
        <v>0.40828974556027259</v>
      </c>
      <c r="N30">
        <f t="shared" si="5"/>
        <v>0.1716</v>
      </c>
      <c r="O30">
        <v>0.66185231797296651</v>
      </c>
      <c r="P30">
        <v>0.16950000000000001</v>
      </c>
      <c r="Q30">
        <v>0.17369999999999999</v>
      </c>
    </row>
    <row r="31" spans="1:17" x14ac:dyDescent="0.2">
      <c r="A31" s="19" t="s">
        <v>33</v>
      </c>
      <c r="B31">
        <v>48</v>
      </c>
      <c r="C31">
        <v>0</v>
      </c>
      <c r="D31" t="s">
        <v>28</v>
      </c>
      <c r="E31" t="s">
        <v>19</v>
      </c>
      <c r="F31" t="s">
        <v>21</v>
      </c>
      <c r="G31" s="17">
        <f t="shared" si="0"/>
        <v>108.36707593999486</v>
      </c>
      <c r="H31">
        <f t="shared" si="1"/>
        <v>32.455689258404632</v>
      </c>
      <c r="I31" s="1">
        <f t="shared" si="2"/>
        <v>27.879998000000008</v>
      </c>
      <c r="J31">
        <f t="shared" si="3"/>
        <v>60.33568725840464</v>
      </c>
      <c r="K31" s="17">
        <f t="shared" si="4"/>
        <v>7.4790142874637526</v>
      </c>
      <c r="L31">
        <v>0.14123243716552925</v>
      </c>
      <c r="M31">
        <v>0.40979351681692527</v>
      </c>
      <c r="N31">
        <f t="shared" si="5"/>
        <v>0.1857</v>
      </c>
      <c r="O31">
        <v>0.67474767826604221</v>
      </c>
      <c r="P31">
        <v>0.1757</v>
      </c>
      <c r="Q31">
        <v>0.19570000000000001</v>
      </c>
    </row>
    <row r="32" spans="1:17" x14ac:dyDescent="0.2">
      <c r="A32" s="19" t="s">
        <v>35</v>
      </c>
      <c r="B32">
        <v>96</v>
      </c>
      <c r="C32">
        <f>B32-48</f>
        <v>48</v>
      </c>
      <c r="D32" t="s">
        <v>5</v>
      </c>
      <c r="E32" t="s">
        <v>6</v>
      </c>
      <c r="F32" t="s">
        <v>7</v>
      </c>
      <c r="G32" s="17">
        <f t="shared" si="0"/>
        <v>84.23362778759882</v>
      </c>
      <c r="H32">
        <f t="shared" si="1"/>
        <v>-3.9434999999999985</v>
      </c>
      <c r="I32" s="1">
        <f t="shared" si="2"/>
        <v>43.884176000000004</v>
      </c>
      <c r="J32">
        <f t="shared" si="3"/>
        <v>39.940676000000003</v>
      </c>
      <c r="K32" s="17">
        <f t="shared" si="4"/>
        <v>5.9371857392145344</v>
      </c>
      <c r="L32">
        <v>0.12200612347078707</v>
      </c>
      <c r="M32" s="20">
        <v>0.1</v>
      </c>
      <c r="N32">
        <f t="shared" si="5"/>
        <v>0.25840000000000002</v>
      </c>
      <c r="O32">
        <v>0.52989343660414645</v>
      </c>
      <c r="P32">
        <v>0.25840000000000002</v>
      </c>
    </row>
    <row r="33" spans="1:16" x14ac:dyDescent="0.2">
      <c r="A33" s="19" t="s">
        <v>8</v>
      </c>
      <c r="B33">
        <v>96</v>
      </c>
      <c r="C33">
        <f t="shared" ref="C33:C96" si="6">B33-48</f>
        <v>48</v>
      </c>
      <c r="D33" t="s">
        <v>5</v>
      </c>
      <c r="E33" t="s">
        <v>6</v>
      </c>
      <c r="F33" t="s">
        <v>7</v>
      </c>
      <c r="G33" s="17">
        <f t="shared" si="0"/>
        <v>72.110770810222249</v>
      </c>
      <c r="H33">
        <f t="shared" si="1"/>
        <v>-3.9434999999999985</v>
      </c>
      <c r="I33" s="1">
        <f t="shared" si="2"/>
        <v>48.705241999999998</v>
      </c>
      <c r="J33">
        <f t="shared" si="3"/>
        <v>44.761741999999998</v>
      </c>
      <c r="K33" s="17">
        <f t="shared" si="4"/>
        <v>6.1888985481450023</v>
      </c>
      <c r="L33">
        <v>0.11234824741214372</v>
      </c>
      <c r="M33" s="20">
        <v>0.1</v>
      </c>
      <c r="N33">
        <f t="shared" si="5"/>
        <v>0.28029999999999999</v>
      </c>
      <c r="O33">
        <v>0.55354176513951547</v>
      </c>
      <c r="P33">
        <v>0.28029999999999999</v>
      </c>
    </row>
    <row r="34" spans="1:16" x14ac:dyDescent="0.2">
      <c r="A34" s="19" t="s">
        <v>9</v>
      </c>
      <c r="B34">
        <v>96</v>
      </c>
      <c r="C34">
        <f t="shared" si="6"/>
        <v>48</v>
      </c>
      <c r="D34" t="s">
        <v>5</v>
      </c>
      <c r="E34" t="s">
        <v>6</v>
      </c>
      <c r="F34" t="s">
        <v>7</v>
      </c>
      <c r="G34" s="17">
        <f t="shared" ref="G34:G65" si="7">30*(L34-0.0549)/0.0239</f>
        <v>78.705510131172019</v>
      </c>
      <c r="H34">
        <f t="shared" ref="H34:H65" si="8">(3.9165*M34-0.5231)*30</f>
        <v>-3.9434999999999985</v>
      </c>
      <c r="I34" s="1">
        <f t="shared" ref="I34:I65" si="9">(11.007*N34-0.65)*20</f>
        <v>39.657488000000001</v>
      </c>
      <c r="J34">
        <f t="shared" ref="J34:J65" si="10">H34+I34</f>
        <v>35.713988000000001</v>
      </c>
      <c r="K34" s="17">
        <f t="shared" ref="K34:K65" si="11">(0.3548*O34 + 0.0099)*30</f>
        <v>6.3235699649484891</v>
      </c>
      <c r="L34">
        <v>0.11760205640450039</v>
      </c>
      <c r="M34" s="20">
        <v>0.1</v>
      </c>
      <c r="N34">
        <f t="shared" ref="N34:N65" si="12">AVERAGE(P34:R34)</f>
        <v>0.2392</v>
      </c>
      <c r="O34">
        <v>0.56619409666934328</v>
      </c>
      <c r="P34">
        <v>0.2392</v>
      </c>
    </row>
    <row r="35" spans="1:16" x14ac:dyDescent="0.2">
      <c r="A35" s="19" t="s">
        <v>10</v>
      </c>
      <c r="B35">
        <v>96</v>
      </c>
      <c r="C35">
        <f t="shared" si="6"/>
        <v>48</v>
      </c>
      <c r="D35" t="s">
        <v>11</v>
      </c>
      <c r="E35" t="s">
        <v>6</v>
      </c>
      <c r="F35" t="s">
        <v>7</v>
      </c>
      <c r="G35" s="17">
        <f t="shared" si="7"/>
        <v>47.222154345224673</v>
      </c>
      <c r="H35">
        <f t="shared" si="8"/>
        <v>-3.9434999999999985</v>
      </c>
      <c r="I35" s="1">
        <f t="shared" si="9"/>
        <v>46.283701999999998</v>
      </c>
      <c r="J35">
        <f t="shared" si="10"/>
        <v>42.340201999999998</v>
      </c>
      <c r="K35" s="17">
        <f t="shared" si="11"/>
        <v>4.7192517789297641</v>
      </c>
      <c r="L35">
        <v>9.2520316295028993E-2</v>
      </c>
      <c r="M35" s="20">
        <v>0.1</v>
      </c>
      <c r="N35">
        <f t="shared" si="12"/>
        <v>0.26929999999999998</v>
      </c>
      <c r="O35">
        <v>0.41546897584834314</v>
      </c>
      <c r="P35">
        <v>0.26929999999999998</v>
      </c>
    </row>
    <row r="36" spans="1:16" x14ac:dyDescent="0.2">
      <c r="A36" s="19" t="s">
        <v>12</v>
      </c>
      <c r="B36">
        <v>96</v>
      </c>
      <c r="C36">
        <f t="shared" si="6"/>
        <v>48</v>
      </c>
      <c r="D36" t="s">
        <v>11</v>
      </c>
      <c r="E36" t="s">
        <v>6</v>
      </c>
      <c r="F36" t="s">
        <v>7</v>
      </c>
      <c r="G36" s="17">
        <f t="shared" si="7"/>
        <v>80.712118682836646</v>
      </c>
      <c r="H36">
        <f t="shared" si="8"/>
        <v>-3.9434999999999985</v>
      </c>
      <c r="I36" s="1">
        <f t="shared" si="9"/>
        <v>47.120234000000004</v>
      </c>
      <c r="J36">
        <f t="shared" si="10"/>
        <v>43.176734000000003</v>
      </c>
      <c r="K36" s="17">
        <f t="shared" si="11"/>
        <v>6.9471768231673456</v>
      </c>
      <c r="L36">
        <v>0.11920065455065985</v>
      </c>
      <c r="M36" s="20">
        <v>0.1</v>
      </c>
      <c r="N36">
        <f t="shared" si="12"/>
        <v>0.27310000000000001</v>
      </c>
      <c r="O36">
        <v>0.6247817383659664</v>
      </c>
      <c r="P36">
        <v>0.27310000000000001</v>
      </c>
    </row>
    <row r="37" spans="1:16" x14ac:dyDescent="0.2">
      <c r="A37" s="19" t="s">
        <v>13</v>
      </c>
      <c r="B37">
        <v>96</v>
      </c>
      <c r="C37">
        <f t="shared" si="6"/>
        <v>48</v>
      </c>
      <c r="D37" t="s">
        <v>11</v>
      </c>
      <c r="E37" t="s">
        <v>6</v>
      </c>
      <c r="F37" t="s">
        <v>7</v>
      </c>
      <c r="G37" s="17">
        <f t="shared" si="7"/>
        <v>84.123104633068209</v>
      </c>
      <c r="H37">
        <f t="shared" si="8"/>
        <v>-3.9434999999999985</v>
      </c>
      <c r="I37" s="1">
        <f t="shared" si="9"/>
        <v>42.761462000000002</v>
      </c>
      <c r="J37">
        <f t="shared" si="10"/>
        <v>38.817962000000001</v>
      </c>
      <c r="K37" s="17">
        <f t="shared" si="11"/>
        <v>7.0409296244067532</v>
      </c>
      <c r="L37">
        <v>0.12191807335767768</v>
      </c>
      <c r="M37" s="20">
        <v>0.1</v>
      </c>
      <c r="N37">
        <f t="shared" si="12"/>
        <v>0.25330000000000003</v>
      </c>
      <c r="O37">
        <v>0.63358978057184834</v>
      </c>
      <c r="P37">
        <v>0.25330000000000003</v>
      </c>
    </row>
    <row r="38" spans="1:16" x14ac:dyDescent="0.2">
      <c r="A38" s="19" t="s">
        <v>14</v>
      </c>
      <c r="B38">
        <v>96</v>
      </c>
      <c r="C38">
        <f t="shared" si="6"/>
        <v>48</v>
      </c>
      <c r="D38" t="s">
        <v>15</v>
      </c>
      <c r="E38" t="s">
        <v>6</v>
      </c>
      <c r="F38" t="s">
        <v>7</v>
      </c>
      <c r="G38" s="17">
        <f t="shared" si="7"/>
        <v>79.162022857872799</v>
      </c>
      <c r="H38">
        <f t="shared" si="8"/>
        <v>-1.4811051465936904</v>
      </c>
      <c r="I38" s="1">
        <f t="shared" si="9"/>
        <v>37.279976000000005</v>
      </c>
      <c r="J38">
        <f t="shared" si="10"/>
        <v>35.798870853406314</v>
      </c>
      <c r="K38" s="17">
        <f t="shared" si="11"/>
        <v>6.8852459636626788</v>
      </c>
      <c r="L38">
        <v>0.117965744876772</v>
      </c>
      <c r="M38" s="20">
        <v>0.1209574437500005</v>
      </c>
      <c r="N38">
        <f t="shared" si="12"/>
        <v>0.22839999999999999</v>
      </c>
      <c r="O38">
        <v>0.61896335622535503</v>
      </c>
      <c r="P38">
        <v>0.22839999999999999</v>
      </c>
    </row>
    <row r="39" spans="1:16" x14ac:dyDescent="0.2">
      <c r="A39" s="19" t="s">
        <v>16</v>
      </c>
      <c r="B39">
        <v>96</v>
      </c>
      <c r="C39">
        <f t="shared" si="6"/>
        <v>48</v>
      </c>
      <c r="D39" t="s">
        <v>15</v>
      </c>
      <c r="E39" t="s">
        <v>6</v>
      </c>
      <c r="F39" t="s">
        <v>7</v>
      </c>
      <c r="G39" s="17">
        <f t="shared" si="7"/>
        <v>88.625741492543469</v>
      </c>
      <c r="H39">
        <f t="shared" si="8"/>
        <v>-0.31119714375880347</v>
      </c>
      <c r="I39" s="1">
        <f t="shared" si="9"/>
        <v>44.808763999999996</v>
      </c>
      <c r="J39">
        <f t="shared" si="10"/>
        <v>44.497566856241193</v>
      </c>
      <c r="K39" s="17">
        <f t="shared" si="11"/>
        <v>6.9097480315007296</v>
      </c>
      <c r="L39">
        <v>0.12550517405572631</v>
      </c>
      <c r="M39" s="20">
        <v>0.13091453130976805</v>
      </c>
      <c r="N39">
        <f t="shared" si="12"/>
        <v>0.2626</v>
      </c>
      <c r="O39">
        <v>0.62126531675128993</v>
      </c>
      <c r="P39">
        <v>0.2626</v>
      </c>
    </row>
    <row r="40" spans="1:16" x14ac:dyDescent="0.2">
      <c r="A40" s="19" t="s">
        <v>17</v>
      </c>
      <c r="B40">
        <v>96</v>
      </c>
      <c r="C40">
        <f t="shared" si="6"/>
        <v>48</v>
      </c>
      <c r="D40" t="s">
        <v>15</v>
      </c>
      <c r="E40" t="s">
        <v>6</v>
      </c>
      <c r="F40" t="s">
        <v>7</v>
      </c>
      <c r="G40" s="17">
        <f t="shared" si="7"/>
        <v>85.244311582131786</v>
      </c>
      <c r="H40">
        <f t="shared" si="8"/>
        <v>-3.9434999999999985</v>
      </c>
      <c r="I40" s="1">
        <f t="shared" si="9"/>
        <v>43.311812000000003</v>
      </c>
      <c r="J40">
        <f t="shared" si="10"/>
        <v>39.368312000000003</v>
      </c>
      <c r="K40" s="17">
        <f t="shared" si="11"/>
        <v>6.8640842111235916</v>
      </c>
      <c r="L40">
        <v>0.12281130156043166</v>
      </c>
      <c r="M40" s="20">
        <v>0.1</v>
      </c>
      <c r="N40">
        <f t="shared" si="12"/>
        <v>0.25580000000000003</v>
      </c>
      <c r="O40">
        <v>0.61697521712923642</v>
      </c>
      <c r="P40">
        <v>0.25580000000000003</v>
      </c>
    </row>
    <row r="41" spans="1:16" x14ac:dyDescent="0.2">
      <c r="A41" s="19" t="s">
        <v>18</v>
      </c>
      <c r="B41">
        <v>96</v>
      </c>
      <c r="C41">
        <f t="shared" si="6"/>
        <v>48</v>
      </c>
      <c r="D41" t="s">
        <v>5</v>
      </c>
      <c r="E41" t="s">
        <v>19</v>
      </c>
      <c r="F41" t="s">
        <v>7</v>
      </c>
      <c r="G41" s="17">
        <f t="shared" si="7"/>
        <v>95.040467072725249</v>
      </c>
      <c r="H41">
        <f t="shared" si="8"/>
        <v>17.789019894971005</v>
      </c>
      <c r="I41" s="1">
        <f t="shared" si="9"/>
        <v>41.220482000000004</v>
      </c>
      <c r="J41">
        <f t="shared" si="10"/>
        <v>59.00950189497101</v>
      </c>
      <c r="K41" s="17">
        <f t="shared" si="11"/>
        <v>6.4904854105175023</v>
      </c>
      <c r="L41">
        <v>0.13061557210127112</v>
      </c>
      <c r="M41" s="20">
        <v>0.28496548699919999</v>
      </c>
      <c r="N41">
        <f t="shared" si="12"/>
        <v>0.24629999999999999</v>
      </c>
      <c r="O41">
        <v>0.58187574319029522</v>
      </c>
      <c r="P41">
        <v>0.24629999999999999</v>
      </c>
    </row>
    <row r="42" spans="1:16" x14ac:dyDescent="0.2">
      <c r="A42" s="19" t="s">
        <v>8</v>
      </c>
      <c r="B42">
        <v>96</v>
      </c>
      <c r="C42">
        <f t="shared" si="6"/>
        <v>48</v>
      </c>
      <c r="D42" t="s">
        <v>5</v>
      </c>
      <c r="E42" t="s">
        <v>19</v>
      </c>
      <c r="F42" t="s">
        <v>7</v>
      </c>
      <c r="G42" s="17">
        <f t="shared" si="7"/>
        <v>88.503018578847971</v>
      </c>
      <c r="H42">
        <f t="shared" si="8"/>
        <v>-0.81193488189173491</v>
      </c>
      <c r="I42" s="1">
        <f t="shared" si="9"/>
        <v>41.638748000000007</v>
      </c>
      <c r="J42">
        <f t="shared" si="10"/>
        <v>40.826813118108269</v>
      </c>
      <c r="K42" s="17">
        <f t="shared" si="11"/>
        <v>6.5062558652413367</v>
      </c>
      <c r="L42">
        <v>0.1254074048011489</v>
      </c>
      <c r="M42" s="20">
        <v>0.12665275218612082</v>
      </c>
      <c r="N42">
        <f t="shared" si="12"/>
        <v>0.2482</v>
      </c>
      <c r="O42">
        <v>0.58335737178141078</v>
      </c>
      <c r="P42">
        <v>0.2482</v>
      </c>
    </row>
    <row r="43" spans="1:16" x14ac:dyDescent="0.2">
      <c r="A43" s="19" t="s">
        <v>9</v>
      </c>
      <c r="B43">
        <v>96</v>
      </c>
      <c r="C43">
        <f t="shared" si="6"/>
        <v>48</v>
      </c>
      <c r="D43" t="s">
        <v>5</v>
      </c>
      <c r="E43" t="s">
        <v>19</v>
      </c>
      <c r="F43" t="s">
        <v>7</v>
      </c>
      <c r="G43" s="17">
        <f t="shared" si="7"/>
        <v>82.833655924258366</v>
      </c>
      <c r="H43">
        <f t="shared" si="8"/>
        <v>-11.383436638867572</v>
      </c>
      <c r="I43" s="1">
        <f t="shared" si="9"/>
        <v>42.541322000000008</v>
      </c>
      <c r="J43">
        <f t="shared" si="10"/>
        <v>31.157885361132436</v>
      </c>
      <c r="K43" s="17">
        <f t="shared" si="11"/>
        <v>6.6404366654318148</v>
      </c>
      <c r="L43">
        <v>0.1208908125529925</v>
      </c>
      <c r="M43" s="20">
        <v>3.6678695783926366E-2</v>
      </c>
      <c r="N43">
        <f t="shared" si="12"/>
        <v>0.25230000000000002</v>
      </c>
      <c r="O43">
        <v>0.59596361005560083</v>
      </c>
      <c r="P43">
        <v>0.25230000000000002</v>
      </c>
    </row>
    <row r="44" spans="1:16" x14ac:dyDescent="0.2">
      <c r="A44" s="19" t="s">
        <v>10</v>
      </c>
      <c r="B44">
        <v>96</v>
      </c>
      <c r="C44">
        <f t="shared" si="6"/>
        <v>48</v>
      </c>
      <c r="D44" t="s">
        <v>11</v>
      </c>
      <c r="E44" t="s">
        <v>19</v>
      </c>
      <c r="F44" t="s">
        <v>7</v>
      </c>
      <c r="G44" s="17">
        <f t="shared" si="7"/>
        <v>68.069273814884653</v>
      </c>
      <c r="H44">
        <f t="shared" si="8"/>
        <v>-0.89995319141095265</v>
      </c>
      <c r="I44" s="1">
        <f t="shared" si="9"/>
        <v>43.157713999999999</v>
      </c>
      <c r="J44">
        <f t="shared" si="10"/>
        <v>42.257760808589047</v>
      </c>
      <c r="K44" s="17">
        <f t="shared" si="11"/>
        <v>6.8340544098298652</v>
      </c>
      <c r="L44">
        <v>0.10912852147252478</v>
      </c>
      <c r="M44" s="20">
        <v>0.12590362831260093</v>
      </c>
      <c r="N44">
        <f t="shared" si="12"/>
        <v>0.25509999999999999</v>
      </c>
      <c r="O44">
        <v>0.61415392801858937</v>
      </c>
      <c r="P44">
        <v>0.25509999999999999</v>
      </c>
    </row>
    <row r="45" spans="1:16" x14ac:dyDescent="0.2">
      <c r="A45" s="19" t="s">
        <v>12</v>
      </c>
      <c r="B45">
        <v>96</v>
      </c>
      <c r="C45">
        <f t="shared" si="6"/>
        <v>48</v>
      </c>
      <c r="D45" t="s">
        <v>11</v>
      </c>
      <c r="E45" t="s">
        <v>19</v>
      </c>
      <c r="F45" t="s">
        <v>7</v>
      </c>
      <c r="G45" s="17">
        <f t="shared" si="7"/>
        <v>86.053499969860894</v>
      </c>
      <c r="H45">
        <f t="shared" si="8"/>
        <v>-3.9434999999999985</v>
      </c>
      <c r="I45" s="1">
        <f t="shared" si="9"/>
        <v>45.557240000000007</v>
      </c>
      <c r="J45">
        <f t="shared" si="10"/>
        <v>41.613740000000007</v>
      </c>
      <c r="K45" s="17">
        <f t="shared" si="11"/>
        <v>6.9835583274997166</v>
      </c>
      <c r="L45">
        <v>0.12345595497598918</v>
      </c>
      <c r="M45" s="20">
        <v>0.1</v>
      </c>
      <c r="N45">
        <f t="shared" si="12"/>
        <v>0.26600000000000001</v>
      </c>
      <c r="O45">
        <v>0.62819976770948105</v>
      </c>
      <c r="P45">
        <v>0.26600000000000001</v>
      </c>
    </row>
    <row r="46" spans="1:16" x14ac:dyDescent="0.2">
      <c r="A46" s="19" t="s">
        <v>13</v>
      </c>
      <c r="B46">
        <v>96</v>
      </c>
      <c r="C46">
        <f t="shared" si="6"/>
        <v>48</v>
      </c>
      <c r="D46" t="s">
        <v>11</v>
      </c>
      <c r="E46" t="s">
        <v>19</v>
      </c>
      <c r="F46" t="s">
        <v>7</v>
      </c>
      <c r="G46" s="17">
        <f t="shared" si="7"/>
        <v>77.474072284030598</v>
      </c>
      <c r="H46">
        <f t="shared" si="8"/>
        <v>-3.42248908385071</v>
      </c>
      <c r="I46" s="1">
        <f t="shared" si="9"/>
        <v>44.588624000000003</v>
      </c>
      <c r="J46">
        <f t="shared" si="10"/>
        <v>41.166134916149289</v>
      </c>
      <c r="K46" s="17">
        <f t="shared" si="11"/>
        <v>7.033112478643023</v>
      </c>
      <c r="L46">
        <v>0.11662101091961104</v>
      </c>
      <c r="M46" s="20">
        <v>0.10443432415123444</v>
      </c>
      <c r="N46">
        <f t="shared" si="12"/>
        <v>0.2616</v>
      </c>
      <c r="O46">
        <v>0.63285536251813446</v>
      </c>
      <c r="P46">
        <v>0.2616</v>
      </c>
    </row>
    <row r="47" spans="1:16" x14ac:dyDescent="0.2">
      <c r="A47" s="19" t="s">
        <v>14</v>
      </c>
      <c r="B47">
        <v>96</v>
      </c>
      <c r="C47">
        <f t="shared" si="6"/>
        <v>48</v>
      </c>
      <c r="D47" t="s">
        <v>15</v>
      </c>
      <c r="E47" t="s">
        <v>19</v>
      </c>
      <c r="F47" t="s">
        <v>7</v>
      </c>
      <c r="G47" s="17">
        <f t="shared" si="7"/>
        <v>82.061173369397792</v>
      </c>
      <c r="H47">
        <f t="shared" si="8"/>
        <v>-3.9434999999999985</v>
      </c>
      <c r="I47" s="1">
        <f t="shared" si="9"/>
        <v>48.771284000000001</v>
      </c>
      <c r="J47">
        <f t="shared" si="10"/>
        <v>44.827784000000001</v>
      </c>
      <c r="K47" s="17">
        <f t="shared" si="11"/>
        <v>6.7878479815720363</v>
      </c>
      <c r="L47">
        <v>0.12027540145095357</v>
      </c>
      <c r="M47" s="20">
        <v>0.1</v>
      </c>
      <c r="N47">
        <f t="shared" si="12"/>
        <v>0.28060000000000002</v>
      </c>
      <c r="O47">
        <v>0.60981285057986057</v>
      </c>
      <c r="P47">
        <v>0.28060000000000002</v>
      </c>
    </row>
    <row r="48" spans="1:16" x14ac:dyDescent="0.2">
      <c r="A48" s="19" t="s">
        <v>16</v>
      </c>
      <c r="B48">
        <v>96</v>
      </c>
      <c r="C48">
        <f t="shared" si="6"/>
        <v>48</v>
      </c>
      <c r="D48" t="s">
        <v>15</v>
      </c>
      <c r="E48" t="s">
        <v>19</v>
      </c>
      <c r="F48" t="s">
        <v>7</v>
      </c>
      <c r="G48" s="17">
        <f t="shared" si="7"/>
        <v>85.437676288484525</v>
      </c>
      <c r="H48">
        <f t="shared" si="8"/>
        <v>-3.9434999999999985</v>
      </c>
      <c r="I48" s="1">
        <f t="shared" si="9"/>
        <v>49.960039999999992</v>
      </c>
      <c r="J48">
        <f t="shared" si="10"/>
        <v>46.016539999999992</v>
      </c>
      <c r="K48" s="17">
        <f t="shared" si="11"/>
        <v>6.7877095131863889</v>
      </c>
      <c r="L48">
        <v>0.12296534877649266</v>
      </c>
      <c r="M48" s="20">
        <v>0.1</v>
      </c>
      <c r="N48">
        <f t="shared" si="12"/>
        <v>0.28599999999999998</v>
      </c>
      <c r="O48">
        <v>0.60979984152446354</v>
      </c>
      <c r="P48">
        <v>0.28599999999999998</v>
      </c>
    </row>
    <row r="49" spans="1:21" x14ac:dyDescent="0.2">
      <c r="A49" s="19" t="s">
        <v>17</v>
      </c>
      <c r="B49">
        <v>96</v>
      </c>
      <c r="C49">
        <f t="shared" si="6"/>
        <v>48</v>
      </c>
      <c r="D49" t="s">
        <v>15</v>
      </c>
      <c r="E49" t="s">
        <v>19</v>
      </c>
      <c r="F49" t="s">
        <v>7</v>
      </c>
      <c r="G49" s="17">
        <f t="shared" si="7"/>
        <v>78.017182551655893</v>
      </c>
      <c r="H49">
        <f t="shared" si="8"/>
        <v>-1.1948852735161002</v>
      </c>
      <c r="I49" s="1">
        <f t="shared" si="9"/>
        <v>45.865436000000003</v>
      </c>
      <c r="J49">
        <f t="shared" si="10"/>
        <v>44.670550726483903</v>
      </c>
      <c r="K49" s="17">
        <f t="shared" si="11"/>
        <v>6.8284615048082777</v>
      </c>
      <c r="L49">
        <v>0.11705368876615253</v>
      </c>
      <c r="M49" s="20">
        <v>0.12339346122374484</v>
      </c>
      <c r="N49">
        <f t="shared" si="12"/>
        <v>0.26740000000000003</v>
      </c>
      <c r="O49">
        <v>0.61362847658852671</v>
      </c>
      <c r="P49">
        <v>0.26740000000000003</v>
      </c>
    </row>
    <row r="50" spans="1:21" x14ac:dyDescent="0.2">
      <c r="A50" s="19" t="s">
        <v>20</v>
      </c>
      <c r="B50">
        <v>96</v>
      </c>
      <c r="C50">
        <f t="shared" si="6"/>
        <v>48</v>
      </c>
      <c r="D50" t="s">
        <v>5</v>
      </c>
      <c r="E50" t="s">
        <v>19</v>
      </c>
      <c r="F50" t="s">
        <v>21</v>
      </c>
      <c r="G50" s="17">
        <f t="shared" si="7"/>
        <v>87.131534021152405</v>
      </c>
      <c r="H50">
        <f t="shared" si="8"/>
        <v>33.735777198622031</v>
      </c>
      <c r="I50" s="1">
        <f t="shared" si="9"/>
        <v>69.992779999999996</v>
      </c>
      <c r="J50">
        <f t="shared" si="10"/>
        <v>103.72855719862203</v>
      </c>
      <c r="K50" s="17">
        <f t="shared" si="11"/>
        <v>6.6660892084312691</v>
      </c>
      <c r="L50">
        <v>0.12431478877018474</v>
      </c>
      <c r="M50">
        <v>0.42068834587533105</v>
      </c>
      <c r="N50">
        <f t="shared" si="12"/>
        <v>0.377</v>
      </c>
      <c r="O50">
        <v>0.59837365731221992</v>
      </c>
      <c r="P50">
        <v>0.377</v>
      </c>
    </row>
    <row r="51" spans="1:21" x14ac:dyDescent="0.2">
      <c r="A51" s="19" t="s">
        <v>22</v>
      </c>
      <c r="B51">
        <v>96</v>
      </c>
      <c r="C51">
        <f t="shared" si="6"/>
        <v>48</v>
      </c>
      <c r="D51" t="s">
        <v>5</v>
      </c>
      <c r="E51" t="s">
        <v>19</v>
      </c>
      <c r="F51" t="s">
        <v>21</v>
      </c>
      <c r="G51" s="17">
        <f t="shared" si="7"/>
        <v>64.722321861215391</v>
      </c>
      <c r="H51">
        <f t="shared" si="8"/>
        <v>33.763339243382283</v>
      </c>
      <c r="I51" s="1">
        <f t="shared" si="9"/>
        <v>41.572706000000004</v>
      </c>
      <c r="J51">
        <f t="shared" si="10"/>
        <v>75.336045243382287</v>
      </c>
      <c r="K51" s="17">
        <f t="shared" si="11"/>
        <v>6.3718220938768049</v>
      </c>
      <c r="L51">
        <v>0.10646211641610159</v>
      </c>
      <c r="M51">
        <v>0.42092292645118762</v>
      </c>
      <c r="N51">
        <f t="shared" si="12"/>
        <v>0.24790000000000001</v>
      </c>
      <c r="O51">
        <v>0.57072736695573134</v>
      </c>
      <c r="P51">
        <v>0.24790000000000001</v>
      </c>
    </row>
    <row r="52" spans="1:21" x14ac:dyDescent="0.2">
      <c r="A52" s="19" t="s">
        <v>23</v>
      </c>
      <c r="B52">
        <v>96</v>
      </c>
      <c r="C52">
        <f t="shared" si="6"/>
        <v>48</v>
      </c>
      <c r="D52" t="s">
        <v>5</v>
      </c>
      <c r="E52" t="s">
        <v>19</v>
      </c>
      <c r="F52" t="s">
        <v>21</v>
      </c>
      <c r="G52" s="17">
        <f t="shared" si="7"/>
        <v>79.705147372644106</v>
      </c>
      <c r="H52">
        <f t="shared" si="8"/>
        <v>30.900887141386665</v>
      </c>
      <c r="I52" s="1">
        <f t="shared" si="9"/>
        <v>43.950217999999992</v>
      </c>
      <c r="J52">
        <f t="shared" si="10"/>
        <v>74.851105141386654</v>
      </c>
      <c r="K52" s="17">
        <f t="shared" si="11"/>
        <v>6.462497694356041</v>
      </c>
      <c r="L52">
        <v>0.11839843407353981</v>
      </c>
      <c r="M52">
        <v>0.39656059527117465</v>
      </c>
      <c r="N52">
        <f t="shared" si="12"/>
        <v>0.25869999999999999</v>
      </c>
      <c r="O52">
        <v>0.57924630724878257</v>
      </c>
      <c r="P52">
        <v>0.25869999999999999</v>
      </c>
    </row>
    <row r="53" spans="1:21" x14ac:dyDescent="0.2">
      <c r="A53" s="19" t="s">
        <v>24</v>
      </c>
      <c r="B53">
        <v>96</v>
      </c>
      <c r="C53">
        <f t="shared" si="6"/>
        <v>48</v>
      </c>
      <c r="D53" t="s">
        <v>15</v>
      </c>
      <c r="E53" t="s">
        <v>19</v>
      </c>
      <c r="F53" t="s">
        <v>21</v>
      </c>
      <c r="G53" s="17">
        <f t="shared" si="7"/>
        <v>74.660161674349496</v>
      </c>
      <c r="H53">
        <f t="shared" si="8"/>
        <v>33.072845831553487</v>
      </c>
      <c r="I53" s="1">
        <f t="shared" si="9"/>
        <v>46.922107999999994</v>
      </c>
      <c r="J53">
        <f t="shared" si="10"/>
        <v>79.994953831553488</v>
      </c>
      <c r="K53" s="17">
        <f t="shared" si="11"/>
        <v>6.813680627762162</v>
      </c>
      <c r="L53">
        <v>0.11437926213389843</v>
      </c>
      <c r="M53">
        <v>0.41504613669988921</v>
      </c>
      <c r="N53">
        <f t="shared" si="12"/>
        <v>0.2722</v>
      </c>
      <c r="O53">
        <v>0.61223981846694497</v>
      </c>
      <c r="P53">
        <v>0.2722</v>
      </c>
    </row>
    <row r="54" spans="1:21" x14ac:dyDescent="0.2">
      <c r="A54" s="19" t="s">
        <v>25</v>
      </c>
      <c r="B54">
        <v>96</v>
      </c>
      <c r="C54">
        <f t="shared" si="6"/>
        <v>48</v>
      </c>
      <c r="D54" t="s">
        <v>15</v>
      </c>
      <c r="E54" t="s">
        <v>19</v>
      </c>
      <c r="F54" t="s">
        <v>21</v>
      </c>
      <c r="G54" s="17">
        <f t="shared" si="7"/>
        <v>73.309673495278318</v>
      </c>
      <c r="H54">
        <f t="shared" si="8"/>
        <v>32.840949287479589</v>
      </c>
      <c r="I54" s="1">
        <f t="shared" si="9"/>
        <v>42.453265999999999</v>
      </c>
      <c r="J54">
        <f t="shared" si="10"/>
        <v>75.294215287479588</v>
      </c>
      <c r="K54" s="17">
        <f t="shared" si="11"/>
        <v>6.787815457350888</v>
      </c>
      <c r="L54">
        <v>0.11330337321790505</v>
      </c>
      <c r="M54">
        <v>0.4130724651047244</v>
      </c>
      <c r="N54">
        <f t="shared" si="12"/>
        <v>0.25190000000000001</v>
      </c>
      <c r="O54">
        <v>0.60980979494089516</v>
      </c>
      <c r="P54">
        <v>0.25190000000000001</v>
      </c>
    </row>
    <row r="55" spans="1:21" x14ac:dyDescent="0.2">
      <c r="A55" s="19" t="s">
        <v>26</v>
      </c>
      <c r="B55">
        <v>96</v>
      </c>
      <c r="C55">
        <f t="shared" si="6"/>
        <v>48</v>
      </c>
      <c r="D55" t="s">
        <v>15</v>
      </c>
      <c r="E55" t="s">
        <v>19</v>
      </c>
      <c r="F55" t="s">
        <v>21</v>
      </c>
      <c r="G55" s="17">
        <f t="shared" si="7"/>
        <v>71.007179287406458</v>
      </c>
      <c r="H55">
        <f t="shared" si="8"/>
        <v>32.736145227799042</v>
      </c>
      <c r="I55" s="1">
        <f t="shared" si="9"/>
        <v>41.506663999999994</v>
      </c>
      <c r="J55">
        <f t="shared" si="10"/>
        <v>74.242809227799029</v>
      </c>
      <c r="K55" s="17">
        <f t="shared" si="11"/>
        <v>6.7822994103260124</v>
      </c>
      <c r="L55">
        <v>0.11146905283230048</v>
      </c>
      <c r="M55">
        <v>0.41218047770372396</v>
      </c>
      <c r="N55">
        <f t="shared" si="12"/>
        <v>0.24759999999999999</v>
      </c>
      <c r="O55">
        <v>0.60929156429218456</v>
      </c>
      <c r="P55">
        <v>0.24759999999999999</v>
      </c>
    </row>
    <row r="56" spans="1:21" x14ac:dyDescent="0.2">
      <c r="A56" s="19" t="s">
        <v>27</v>
      </c>
      <c r="B56">
        <v>96</v>
      </c>
      <c r="C56">
        <f t="shared" si="6"/>
        <v>48</v>
      </c>
      <c r="D56" t="s">
        <v>28</v>
      </c>
      <c r="E56" t="s">
        <v>6</v>
      </c>
      <c r="F56" t="s">
        <v>21</v>
      </c>
      <c r="G56" s="17">
        <f t="shared" si="7"/>
        <v>82.594087724043817</v>
      </c>
      <c r="H56">
        <f t="shared" si="8"/>
        <v>31.855407848275689</v>
      </c>
      <c r="I56" s="1">
        <f t="shared" si="9"/>
        <v>35.496842000000001</v>
      </c>
      <c r="J56">
        <f t="shared" si="10"/>
        <v>67.35224984827569</v>
      </c>
      <c r="K56" s="17">
        <f t="shared" si="11"/>
        <v>6.7362598525158752</v>
      </c>
      <c r="L56">
        <v>0.12069995655348824</v>
      </c>
      <c r="M56">
        <v>0.40468452145432304</v>
      </c>
      <c r="N56">
        <f t="shared" si="12"/>
        <v>0.2203</v>
      </c>
      <c r="O56">
        <v>0.60496616427244221</v>
      </c>
      <c r="P56">
        <v>0.2203</v>
      </c>
    </row>
    <row r="57" spans="1:21" x14ac:dyDescent="0.2">
      <c r="A57" s="19" t="s">
        <v>29</v>
      </c>
      <c r="B57">
        <v>96</v>
      </c>
      <c r="C57">
        <f t="shared" si="6"/>
        <v>48</v>
      </c>
      <c r="D57" t="s">
        <v>28</v>
      </c>
      <c r="E57" t="s">
        <v>6</v>
      </c>
      <c r="F57" t="s">
        <v>21</v>
      </c>
      <c r="G57" s="17">
        <f t="shared" si="7"/>
        <v>77.482901464621321</v>
      </c>
      <c r="H57">
        <f t="shared" si="8"/>
        <v>32.832837106144943</v>
      </c>
      <c r="I57" s="1">
        <f t="shared" si="9"/>
        <v>36.113233999999999</v>
      </c>
      <c r="J57">
        <f t="shared" si="10"/>
        <v>68.946071106144942</v>
      </c>
      <c r="K57" s="17">
        <f t="shared" si="11"/>
        <v>6.7797604425241094</v>
      </c>
      <c r="L57">
        <v>0.11662804483348164</v>
      </c>
      <c r="M57">
        <v>0.41300342232558784</v>
      </c>
      <c r="N57">
        <f t="shared" si="12"/>
        <v>0.22309999999999999</v>
      </c>
      <c r="O57">
        <v>0.60905302917362925</v>
      </c>
      <c r="P57">
        <v>0.22309999999999999</v>
      </c>
    </row>
    <row r="58" spans="1:21" x14ac:dyDescent="0.2">
      <c r="A58" s="19" t="s">
        <v>30</v>
      </c>
      <c r="B58">
        <v>96</v>
      </c>
      <c r="C58">
        <f t="shared" si="6"/>
        <v>48</v>
      </c>
      <c r="D58" t="s">
        <v>28</v>
      </c>
      <c r="E58" t="s">
        <v>6</v>
      </c>
      <c r="F58" t="s">
        <v>21</v>
      </c>
      <c r="G58" s="17">
        <f t="shared" si="7"/>
        <v>68.067162265885528</v>
      </c>
      <c r="H58">
        <f t="shared" si="8"/>
        <v>31.428787423774001</v>
      </c>
      <c r="I58" s="1">
        <f t="shared" si="9"/>
        <v>32.062657999999999</v>
      </c>
      <c r="J58">
        <f t="shared" si="10"/>
        <v>63.491445423773996</v>
      </c>
      <c r="K58" s="17">
        <f t="shared" si="11"/>
        <v>6.7479977125348123</v>
      </c>
      <c r="L58">
        <v>0.10912683927182214</v>
      </c>
      <c r="M58">
        <v>0.40105355482168598</v>
      </c>
      <c r="N58">
        <f t="shared" si="12"/>
        <v>0.20469999999999999</v>
      </c>
      <c r="O58">
        <v>0.60606893203070389</v>
      </c>
      <c r="P58">
        <v>0.20469999999999999</v>
      </c>
    </row>
    <row r="59" spans="1:21" x14ac:dyDescent="0.2">
      <c r="A59" s="19" t="s">
        <v>31</v>
      </c>
      <c r="B59">
        <v>96</v>
      </c>
      <c r="C59">
        <f t="shared" si="6"/>
        <v>48</v>
      </c>
      <c r="D59" t="s">
        <v>28</v>
      </c>
      <c r="E59" t="s">
        <v>19</v>
      </c>
      <c r="F59" t="s">
        <v>21</v>
      </c>
      <c r="G59" s="17">
        <f t="shared" si="7"/>
        <v>69.725645708776511</v>
      </c>
      <c r="H59">
        <f t="shared" si="8"/>
        <v>31.403363049454285</v>
      </c>
      <c r="I59" s="1">
        <f t="shared" si="9"/>
        <v>35.078576000000005</v>
      </c>
      <c r="J59">
        <f t="shared" si="10"/>
        <v>66.481939049454297</v>
      </c>
      <c r="K59" s="17">
        <f t="shared" si="11"/>
        <v>6.9586435732676994</v>
      </c>
      <c r="L59">
        <v>0.11044809774799196</v>
      </c>
      <c r="M59">
        <v>0.40083716795994967</v>
      </c>
      <c r="N59">
        <f t="shared" si="12"/>
        <v>0.21840000000000001</v>
      </c>
      <c r="O59">
        <v>0.62585903544416566</v>
      </c>
      <c r="P59">
        <v>0.21840000000000001</v>
      </c>
    </row>
    <row r="60" spans="1:21" x14ac:dyDescent="0.2">
      <c r="A60" s="19" t="s">
        <v>32</v>
      </c>
      <c r="B60">
        <v>96</v>
      </c>
      <c r="C60">
        <f t="shared" si="6"/>
        <v>48</v>
      </c>
      <c r="D60" t="s">
        <v>28</v>
      </c>
      <c r="E60" t="s">
        <v>19</v>
      </c>
      <c r="F60" t="s">
        <v>21</v>
      </c>
      <c r="G60" s="17">
        <f t="shared" si="7"/>
        <v>65.647364649346983</v>
      </c>
      <c r="H60">
        <f t="shared" si="8"/>
        <v>32.390039207870913</v>
      </c>
      <c r="I60" s="1">
        <f t="shared" si="9"/>
        <v>33.625651999999995</v>
      </c>
      <c r="J60">
        <f t="shared" si="10"/>
        <v>66.015691207870901</v>
      </c>
      <c r="K60" s="17">
        <f t="shared" si="11"/>
        <v>6.8557253253899946</v>
      </c>
      <c r="L60">
        <v>0.10719906717064644</v>
      </c>
      <c r="M60">
        <v>0.40923476920610163</v>
      </c>
      <c r="N60">
        <f t="shared" si="12"/>
        <v>0.21179999999999999</v>
      </c>
      <c r="O60">
        <v>0.6161899027987594</v>
      </c>
      <c r="P60">
        <v>0.21179999999999999</v>
      </c>
    </row>
    <row r="61" spans="1:21" x14ac:dyDescent="0.2">
      <c r="A61" s="19" t="s">
        <v>33</v>
      </c>
      <c r="B61">
        <v>96</v>
      </c>
      <c r="C61">
        <f t="shared" si="6"/>
        <v>48</v>
      </c>
      <c r="D61" t="s">
        <v>28</v>
      </c>
      <c r="E61" t="s">
        <v>19</v>
      </c>
      <c r="F61" t="s">
        <v>21</v>
      </c>
      <c r="G61" s="17">
        <f t="shared" si="7"/>
        <v>70.320244415813406</v>
      </c>
      <c r="H61">
        <f t="shared" si="8"/>
        <v>31.971267335386486</v>
      </c>
      <c r="I61" s="1">
        <f t="shared" si="9"/>
        <v>50.862614000000008</v>
      </c>
      <c r="J61">
        <f t="shared" si="10"/>
        <v>82.833881335386494</v>
      </c>
      <c r="K61" s="17">
        <f t="shared" si="11"/>
        <v>6.7664741056891717</v>
      </c>
      <c r="L61">
        <v>0.11092179471793134</v>
      </c>
      <c r="M61">
        <v>0.40567060160335749</v>
      </c>
      <c r="N61">
        <f t="shared" si="12"/>
        <v>0.29010000000000002</v>
      </c>
      <c r="O61">
        <v>0.60780478257132398</v>
      </c>
      <c r="P61">
        <v>0.29010000000000002</v>
      </c>
    </row>
    <row r="62" spans="1:21" x14ac:dyDescent="0.2">
      <c r="A62" s="19" t="s">
        <v>36</v>
      </c>
      <c r="B62">
        <f t="shared" ref="B62:B81" si="13">B32+48</f>
        <v>144</v>
      </c>
      <c r="C62">
        <f t="shared" si="6"/>
        <v>96</v>
      </c>
      <c r="D62" t="s">
        <v>5</v>
      </c>
      <c r="E62" s="1" t="s">
        <v>6</v>
      </c>
      <c r="F62" s="1" t="s">
        <v>7</v>
      </c>
      <c r="G62" s="17">
        <f t="shared" si="7"/>
        <v>82.762708765407098</v>
      </c>
      <c r="H62">
        <f t="shared" si="8"/>
        <v>-3.9434999999999985</v>
      </c>
      <c r="I62" s="1">
        <f t="shared" si="9"/>
        <v>26.449087999999996</v>
      </c>
      <c r="J62">
        <f t="shared" si="10"/>
        <v>22.505587999999996</v>
      </c>
      <c r="K62" s="17">
        <f t="shared" si="11"/>
        <v>6.2444176293448104</v>
      </c>
      <c r="L62" s="1">
        <v>0.12083429131644099</v>
      </c>
      <c r="M62" s="20">
        <v>0.1</v>
      </c>
      <c r="N62">
        <f t="shared" si="12"/>
        <v>0.1792</v>
      </c>
      <c r="O62" s="1">
        <v>0.55875776299744551</v>
      </c>
      <c r="P62" s="1">
        <v>0.1792</v>
      </c>
      <c r="Q62" s="1"/>
      <c r="R62" s="1"/>
      <c r="S62" s="1"/>
      <c r="T62" s="1"/>
      <c r="U62" s="1"/>
    </row>
    <row r="63" spans="1:21" x14ac:dyDescent="0.2">
      <c r="A63" s="19" t="s">
        <v>8</v>
      </c>
      <c r="B63">
        <f t="shared" si="13"/>
        <v>144</v>
      </c>
      <c r="C63">
        <f t="shared" si="6"/>
        <v>96</v>
      </c>
      <c r="D63" t="s">
        <v>5</v>
      </c>
      <c r="E63" t="s">
        <v>6</v>
      </c>
      <c r="F63" t="s">
        <v>7</v>
      </c>
      <c r="G63" s="17">
        <f t="shared" si="7"/>
        <v>45.080971983227599</v>
      </c>
      <c r="H63">
        <f t="shared" si="8"/>
        <v>-3.9434999999999985</v>
      </c>
      <c r="I63" s="1">
        <f t="shared" si="9"/>
        <v>16.366675999999998</v>
      </c>
      <c r="J63">
        <f t="shared" si="10"/>
        <v>12.423176</v>
      </c>
      <c r="K63" s="17">
        <f t="shared" si="11"/>
        <v>5.4949951557989003</v>
      </c>
      <c r="L63">
        <v>9.0814507679971318E-2</v>
      </c>
      <c r="M63" s="20">
        <v>0.1</v>
      </c>
      <c r="N63">
        <f t="shared" si="12"/>
        <v>0.13339999999999999</v>
      </c>
      <c r="O63">
        <v>0.48834978915810784</v>
      </c>
      <c r="P63">
        <v>0.13339999999999999</v>
      </c>
    </row>
    <row r="64" spans="1:21" x14ac:dyDescent="0.2">
      <c r="A64" s="19" t="s">
        <v>9</v>
      </c>
      <c r="B64">
        <f t="shared" si="13"/>
        <v>144</v>
      </c>
      <c r="C64">
        <f t="shared" si="6"/>
        <v>96</v>
      </c>
      <c r="D64" t="s">
        <v>5</v>
      </c>
      <c r="E64" t="s">
        <v>6</v>
      </c>
      <c r="F64" t="s">
        <v>7</v>
      </c>
      <c r="G64" s="17">
        <f t="shared" si="7"/>
        <v>57.7398019455119</v>
      </c>
      <c r="H64">
        <f t="shared" si="8"/>
        <v>-3.9434999999999985</v>
      </c>
      <c r="I64" s="1">
        <f t="shared" si="9"/>
        <v>22.332469999999994</v>
      </c>
      <c r="J64">
        <f t="shared" si="10"/>
        <v>18.388969999999993</v>
      </c>
      <c r="K64" s="17">
        <f t="shared" si="11"/>
        <v>5.9907867100583774</v>
      </c>
      <c r="L64">
        <v>0.10089937554992448</v>
      </c>
      <c r="M64" s="20">
        <v>0.1</v>
      </c>
      <c r="N64">
        <f t="shared" si="12"/>
        <v>0.1605</v>
      </c>
      <c r="O64">
        <v>0.53492922867891557</v>
      </c>
      <c r="P64">
        <v>0.1605</v>
      </c>
    </row>
    <row r="65" spans="1:21" x14ac:dyDescent="0.2">
      <c r="A65" s="19" t="s">
        <v>10</v>
      </c>
      <c r="B65">
        <f t="shared" si="13"/>
        <v>144</v>
      </c>
      <c r="C65">
        <f t="shared" si="6"/>
        <v>96</v>
      </c>
      <c r="D65" t="s">
        <v>11</v>
      </c>
      <c r="E65" t="s">
        <v>6</v>
      </c>
      <c r="F65" t="s">
        <v>7</v>
      </c>
      <c r="G65" s="17">
        <f t="shared" si="7"/>
        <v>22.657313376737132</v>
      </c>
      <c r="H65">
        <f t="shared" si="8"/>
        <v>-3.9434999999999985</v>
      </c>
      <c r="I65" s="1">
        <f t="shared" si="9"/>
        <v>25.084219999999995</v>
      </c>
      <c r="J65">
        <f t="shared" si="10"/>
        <v>21.140719999999995</v>
      </c>
      <c r="K65" s="17">
        <f t="shared" si="11"/>
        <v>1.9928860101176813</v>
      </c>
      <c r="L65">
        <v>7.2950326323467249E-2</v>
      </c>
      <c r="M65" s="20">
        <v>0.1</v>
      </c>
      <c r="N65">
        <f t="shared" si="12"/>
        <v>0.17299999999999999</v>
      </c>
      <c r="O65">
        <v>0.15932788520459237</v>
      </c>
      <c r="P65">
        <v>0.17299999999999999</v>
      </c>
    </row>
    <row r="66" spans="1:21" x14ac:dyDescent="0.2">
      <c r="A66" s="19" t="s">
        <v>12</v>
      </c>
      <c r="B66">
        <f t="shared" si="13"/>
        <v>144</v>
      </c>
      <c r="C66">
        <f t="shared" si="6"/>
        <v>96</v>
      </c>
      <c r="D66" t="s">
        <v>11</v>
      </c>
      <c r="E66" t="s">
        <v>6</v>
      </c>
      <c r="F66" t="s">
        <v>7</v>
      </c>
      <c r="G66" s="17">
        <f t="shared" ref="G66:G97" si="14">30*(L66-0.0549)/0.0239</f>
        <v>44.095761169453553</v>
      </c>
      <c r="H66">
        <f t="shared" ref="H66:H97" si="15">(3.9165*M66-0.5231)*30</f>
        <v>-3.9434999999999985</v>
      </c>
      <c r="I66" s="1">
        <f t="shared" ref="I66:I97" si="16">(11.007*N66-0.65)*20</f>
        <v>24.665953999999999</v>
      </c>
      <c r="J66">
        <f t="shared" ref="J66:J97" si="17">H66+I66</f>
        <v>20.722453999999999</v>
      </c>
      <c r="K66" s="17">
        <f t="shared" ref="K66:K97" si="18">(0.3548*O66 + 0.0099)*30</f>
        <v>4.1757459190276007</v>
      </c>
      <c r="L66">
        <v>9.0029623064997996E-2</v>
      </c>
      <c r="M66" s="20">
        <v>0.1</v>
      </c>
      <c r="N66">
        <f t="shared" ref="N66:N97" si="19">AVERAGE(P66:R66)</f>
        <v>0.1711</v>
      </c>
      <c r="O66">
        <v>0.3644067943468246</v>
      </c>
      <c r="P66">
        <v>0.1711</v>
      </c>
    </row>
    <row r="67" spans="1:21" x14ac:dyDescent="0.2">
      <c r="A67" s="19" t="s">
        <v>13</v>
      </c>
      <c r="B67">
        <f t="shared" si="13"/>
        <v>144</v>
      </c>
      <c r="C67">
        <f t="shared" si="6"/>
        <v>96</v>
      </c>
      <c r="D67" t="s">
        <v>11</v>
      </c>
      <c r="E67" t="s">
        <v>6</v>
      </c>
      <c r="F67" t="s">
        <v>7</v>
      </c>
      <c r="G67" s="17">
        <f t="shared" si="14"/>
        <v>46.344075706180753</v>
      </c>
      <c r="H67">
        <f t="shared" si="15"/>
        <v>-3.9434999999999985</v>
      </c>
      <c r="I67" s="1">
        <f t="shared" si="16"/>
        <v>29.619104</v>
      </c>
      <c r="J67">
        <f t="shared" si="17"/>
        <v>25.675604</v>
      </c>
      <c r="K67" s="17">
        <f t="shared" si="18"/>
        <v>5.0230628016926042</v>
      </c>
      <c r="L67">
        <v>9.1820780312590666E-2</v>
      </c>
      <c r="M67" s="20">
        <v>0.1</v>
      </c>
      <c r="N67">
        <f t="shared" si="19"/>
        <v>0.19359999999999999</v>
      </c>
      <c r="O67">
        <v>0.44401191297375087</v>
      </c>
      <c r="P67">
        <v>0.19359999999999999</v>
      </c>
    </row>
    <row r="68" spans="1:21" x14ac:dyDescent="0.2">
      <c r="A68" s="19" t="s">
        <v>14</v>
      </c>
      <c r="B68">
        <f t="shared" si="13"/>
        <v>144</v>
      </c>
      <c r="C68">
        <f t="shared" si="6"/>
        <v>96</v>
      </c>
      <c r="D68" t="s">
        <v>15</v>
      </c>
      <c r="E68" t="s">
        <v>6</v>
      </c>
      <c r="F68" t="s">
        <v>7</v>
      </c>
      <c r="G68" s="17">
        <f t="shared" si="14"/>
        <v>70.90470453182391</v>
      </c>
      <c r="H68">
        <f t="shared" si="15"/>
        <v>-3.9434999999999985</v>
      </c>
      <c r="I68" s="1">
        <f t="shared" si="16"/>
        <v>18.369949999999996</v>
      </c>
      <c r="J68">
        <f t="shared" si="17"/>
        <v>14.426449999999997</v>
      </c>
      <c r="K68" s="17">
        <f t="shared" si="18"/>
        <v>6.7527328278945866</v>
      </c>
      <c r="L68">
        <v>0.11138741461035305</v>
      </c>
      <c r="M68" s="20">
        <v>0.1</v>
      </c>
      <c r="N68">
        <f t="shared" si="19"/>
        <v>0.14249999999999999</v>
      </c>
      <c r="O68">
        <v>0.60651379442827758</v>
      </c>
      <c r="P68">
        <v>0.14249999999999999</v>
      </c>
    </row>
    <row r="69" spans="1:21" x14ac:dyDescent="0.2">
      <c r="A69" s="19" t="s">
        <v>16</v>
      </c>
      <c r="B69">
        <f t="shared" si="13"/>
        <v>144</v>
      </c>
      <c r="C69">
        <f t="shared" si="6"/>
        <v>96</v>
      </c>
      <c r="D69" t="s">
        <v>15</v>
      </c>
      <c r="E69" t="s">
        <v>6</v>
      </c>
      <c r="F69" t="s">
        <v>7</v>
      </c>
      <c r="G69" s="17">
        <f t="shared" si="14"/>
        <v>37.413660290460754</v>
      </c>
      <c r="H69">
        <f t="shared" si="15"/>
        <v>-3.9434999999999985</v>
      </c>
      <c r="I69" s="1">
        <f t="shared" si="16"/>
        <v>24.687967999999998</v>
      </c>
      <c r="J69">
        <f t="shared" si="17"/>
        <v>20.744467999999998</v>
      </c>
      <c r="K69" s="17">
        <f t="shared" si="18"/>
        <v>3.8593611589714296</v>
      </c>
      <c r="L69">
        <v>8.4706216031400397E-2</v>
      </c>
      <c r="M69" s="20">
        <v>0.1</v>
      </c>
      <c r="N69">
        <f t="shared" si="19"/>
        <v>0.17119999999999999</v>
      </c>
      <c r="O69">
        <v>0.33468255909164124</v>
      </c>
      <c r="P69">
        <v>0.17119999999999999</v>
      </c>
    </row>
    <row r="70" spans="1:21" x14ac:dyDescent="0.2">
      <c r="A70" s="19" t="s">
        <v>17</v>
      </c>
      <c r="B70">
        <f t="shared" si="13"/>
        <v>144</v>
      </c>
      <c r="C70">
        <f t="shared" si="6"/>
        <v>96</v>
      </c>
      <c r="D70" t="s">
        <v>15</v>
      </c>
      <c r="E70" t="s">
        <v>6</v>
      </c>
      <c r="F70" t="s">
        <v>7</v>
      </c>
      <c r="G70" s="17">
        <f t="shared" si="14"/>
        <v>79.253848752760945</v>
      </c>
      <c r="H70">
        <f t="shared" si="15"/>
        <v>-3.9434999999999985</v>
      </c>
      <c r="I70" s="1">
        <f t="shared" si="16"/>
        <v>23.191015999999998</v>
      </c>
      <c r="J70">
        <f t="shared" si="17"/>
        <v>19.247515999999997</v>
      </c>
      <c r="K70" s="17">
        <f t="shared" si="18"/>
        <v>6.4521232083446671</v>
      </c>
      <c r="L70">
        <v>0.11803889950636623</v>
      </c>
      <c r="M70" s="20">
        <v>0.1</v>
      </c>
      <c r="N70">
        <f t="shared" si="19"/>
        <v>0.16439999999999999</v>
      </c>
      <c r="O70">
        <v>0.5782716279917951</v>
      </c>
      <c r="P70">
        <v>0.16439999999999999</v>
      </c>
    </row>
    <row r="71" spans="1:21" x14ac:dyDescent="0.2">
      <c r="A71" s="19" t="s">
        <v>18</v>
      </c>
      <c r="B71">
        <f t="shared" si="13"/>
        <v>144</v>
      </c>
      <c r="C71">
        <f t="shared" si="6"/>
        <v>96</v>
      </c>
      <c r="D71" t="s">
        <v>5</v>
      </c>
      <c r="E71" t="s">
        <v>19</v>
      </c>
      <c r="F71" t="s">
        <v>7</v>
      </c>
      <c r="G71" s="17">
        <f t="shared" si="14"/>
        <v>82.841598348507716</v>
      </c>
      <c r="H71">
        <f t="shared" si="15"/>
        <v>-1.3338593715626428</v>
      </c>
      <c r="I71" s="1">
        <f t="shared" si="16"/>
        <v>24.357758</v>
      </c>
      <c r="J71">
        <f t="shared" si="17"/>
        <v>23.023898628437358</v>
      </c>
      <c r="K71" s="17">
        <f t="shared" si="18"/>
        <v>6.2241591063215784</v>
      </c>
      <c r="L71">
        <v>0.12089714001764447</v>
      </c>
      <c r="M71" s="20">
        <v>0.12221065261021624</v>
      </c>
      <c r="N71">
        <f t="shared" si="19"/>
        <v>0.16969999999999999</v>
      </c>
      <c r="O71">
        <v>0.5568544819918807</v>
      </c>
      <c r="P71">
        <v>0.16969999999999999</v>
      </c>
    </row>
    <row r="72" spans="1:21" x14ac:dyDescent="0.2">
      <c r="A72" s="19" t="s">
        <v>8</v>
      </c>
      <c r="B72">
        <f t="shared" si="13"/>
        <v>144</v>
      </c>
      <c r="C72">
        <f t="shared" si="6"/>
        <v>96</v>
      </c>
      <c r="D72" t="s">
        <v>5</v>
      </c>
      <c r="E72" t="s">
        <v>19</v>
      </c>
      <c r="F72" t="s">
        <v>7</v>
      </c>
      <c r="G72" s="17">
        <f t="shared" si="14"/>
        <v>76.466032985094458</v>
      </c>
      <c r="H72">
        <f t="shared" si="15"/>
        <v>-3.9434999999999985</v>
      </c>
      <c r="I72" s="1">
        <f t="shared" si="16"/>
        <v>20.923573999999991</v>
      </c>
      <c r="J72">
        <f t="shared" si="17"/>
        <v>16.980073999999995</v>
      </c>
      <c r="K72" s="17">
        <f t="shared" si="18"/>
        <v>6.2778433944130301</v>
      </c>
      <c r="L72">
        <v>0.11581793961145859</v>
      </c>
      <c r="M72" s="20">
        <v>0.1</v>
      </c>
      <c r="N72">
        <f t="shared" si="19"/>
        <v>0.15409999999999999</v>
      </c>
      <c r="O72">
        <v>0.5618981016923178</v>
      </c>
      <c r="P72">
        <v>0.15409999999999999</v>
      </c>
    </row>
    <row r="73" spans="1:21" x14ac:dyDescent="0.2">
      <c r="A73" s="19" t="s">
        <v>9</v>
      </c>
      <c r="B73">
        <f t="shared" si="13"/>
        <v>144</v>
      </c>
      <c r="C73">
        <f t="shared" si="6"/>
        <v>96</v>
      </c>
      <c r="D73" t="s">
        <v>5</v>
      </c>
      <c r="E73" t="s">
        <v>19</v>
      </c>
      <c r="F73" t="s">
        <v>7</v>
      </c>
      <c r="G73" s="17">
        <f t="shared" si="14"/>
        <v>64.15415220558954</v>
      </c>
      <c r="H73">
        <f t="shared" si="15"/>
        <v>-1.2938430305487669</v>
      </c>
      <c r="I73" s="1">
        <f t="shared" si="16"/>
        <v>24.842065999999996</v>
      </c>
      <c r="J73">
        <f t="shared" si="17"/>
        <v>23.548222969451228</v>
      </c>
      <c r="K73" s="17">
        <f t="shared" si="18"/>
        <v>5.7412800145837926</v>
      </c>
      <c r="L73">
        <v>0.106009474590453</v>
      </c>
      <c r="M73" s="20">
        <v>0.12255123170731719</v>
      </c>
      <c r="N73">
        <f t="shared" si="19"/>
        <v>0.1719</v>
      </c>
      <c r="O73">
        <v>0.51148816371512518</v>
      </c>
      <c r="P73">
        <v>0.1719</v>
      </c>
    </row>
    <row r="74" spans="1:21" x14ac:dyDescent="0.2">
      <c r="A74" s="19" t="s">
        <v>10</v>
      </c>
      <c r="B74">
        <f t="shared" si="13"/>
        <v>144</v>
      </c>
      <c r="C74">
        <f t="shared" si="6"/>
        <v>96</v>
      </c>
      <c r="D74" t="s">
        <v>11</v>
      </c>
      <c r="E74" t="s">
        <v>19</v>
      </c>
      <c r="F74" t="s">
        <v>7</v>
      </c>
      <c r="G74" s="17">
        <f t="shared" si="14"/>
        <v>50.067958975595083</v>
      </c>
      <c r="H74">
        <f t="shared" si="15"/>
        <v>-0.69376248975000943</v>
      </c>
      <c r="I74" s="1">
        <f t="shared" si="16"/>
        <v>24.886093999999996</v>
      </c>
      <c r="J74">
        <f t="shared" si="17"/>
        <v>24.192331510249986</v>
      </c>
      <c r="K74" s="17">
        <f t="shared" si="18"/>
        <v>5.0649318471225921</v>
      </c>
      <c r="L74">
        <v>9.4787473983890744E-2</v>
      </c>
      <c r="M74" s="20">
        <v>0.12765851747095613</v>
      </c>
      <c r="N74">
        <f t="shared" si="19"/>
        <v>0.1721</v>
      </c>
      <c r="O74">
        <v>0.44794549484428714</v>
      </c>
      <c r="P74">
        <v>0.1721</v>
      </c>
    </row>
    <row r="75" spans="1:21" x14ac:dyDescent="0.2">
      <c r="A75" s="19" t="s">
        <v>12</v>
      </c>
      <c r="B75">
        <f t="shared" si="13"/>
        <v>144</v>
      </c>
      <c r="C75">
        <f t="shared" si="6"/>
        <v>96</v>
      </c>
      <c r="D75" t="s">
        <v>11</v>
      </c>
      <c r="E75" t="s">
        <v>19</v>
      </c>
      <c r="F75" t="s">
        <v>7</v>
      </c>
      <c r="G75" s="17">
        <f t="shared" si="14"/>
        <v>42.390555392071086</v>
      </c>
      <c r="H75">
        <f t="shared" si="15"/>
        <v>-3.9434999999999985</v>
      </c>
      <c r="I75" s="1">
        <f t="shared" si="16"/>
        <v>24.445813999999999</v>
      </c>
      <c r="J75">
        <f t="shared" si="17"/>
        <v>20.502313999999998</v>
      </c>
      <c r="K75" s="17">
        <f t="shared" si="18"/>
        <v>4.7507400051275024</v>
      </c>
      <c r="L75">
        <v>8.8671142462349958E-2</v>
      </c>
      <c r="M75" s="20">
        <v>0.1</v>
      </c>
      <c r="N75">
        <f t="shared" si="19"/>
        <v>0.1701</v>
      </c>
      <c r="O75">
        <v>0.41842728345805175</v>
      </c>
      <c r="P75">
        <v>0.1701</v>
      </c>
    </row>
    <row r="76" spans="1:21" x14ac:dyDescent="0.2">
      <c r="A76" s="19" t="s">
        <v>13</v>
      </c>
      <c r="B76">
        <f t="shared" si="13"/>
        <v>144</v>
      </c>
      <c r="C76">
        <f t="shared" si="6"/>
        <v>96</v>
      </c>
      <c r="D76" t="s">
        <v>11</v>
      </c>
      <c r="E76" t="s">
        <v>19</v>
      </c>
      <c r="F76" t="s">
        <v>7</v>
      </c>
      <c r="G76" s="17">
        <f t="shared" si="14"/>
        <v>52.251773173360604</v>
      </c>
      <c r="H76">
        <f t="shared" si="15"/>
        <v>-7.6957510019876212</v>
      </c>
      <c r="I76" s="1">
        <f t="shared" si="16"/>
        <v>24.225674000000001</v>
      </c>
      <c r="J76">
        <f t="shared" si="17"/>
        <v>16.529922998012381</v>
      </c>
      <c r="K76" s="17">
        <f t="shared" si="18"/>
        <v>5.6499920728145252</v>
      </c>
      <c r="L76">
        <v>9.652724596144395E-2</v>
      </c>
      <c r="M76" s="20">
        <v>6.8064589965635802E-2</v>
      </c>
      <c r="N76">
        <f t="shared" si="19"/>
        <v>0.1691</v>
      </c>
      <c r="O76">
        <v>0.50291169417648673</v>
      </c>
      <c r="P76">
        <v>0.1691</v>
      </c>
    </row>
    <row r="77" spans="1:21" x14ac:dyDescent="0.2">
      <c r="A77" s="19" t="s">
        <v>14</v>
      </c>
      <c r="B77">
        <f t="shared" si="13"/>
        <v>144</v>
      </c>
      <c r="C77">
        <f t="shared" si="6"/>
        <v>96</v>
      </c>
      <c r="D77" t="s">
        <v>15</v>
      </c>
      <c r="E77" s="18" t="s">
        <v>19</v>
      </c>
      <c r="F77" s="18" t="s">
        <v>7</v>
      </c>
      <c r="G77" s="17">
        <f t="shared" si="14"/>
        <v>53.866654634527102</v>
      </c>
      <c r="H77">
        <f t="shared" si="15"/>
        <v>-3.7856274893193191</v>
      </c>
      <c r="I77" s="1">
        <f t="shared" si="16"/>
        <v>21.672049999999999</v>
      </c>
      <c r="J77" s="18">
        <f t="shared" si="17"/>
        <v>17.886422510680681</v>
      </c>
      <c r="K77" s="17">
        <f t="shared" si="18"/>
        <v>5.115560423791143</v>
      </c>
      <c r="L77" s="18">
        <v>9.7813768192173259E-2</v>
      </c>
      <c r="M77" s="20">
        <v>0.10134365301230419</v>
      </c>
      <c r="N77" s="18">
        <f t="shared" si="19"/>
        <v>0.1575</v>
      </c>
      <c r="O77" s="18">
        <v>0.45270203154745808</v>
      </c>
      <c r="P77" s="18">
        <v>0.1575</v>
      </c>
      <c r="Q77" s="18"/>
      <c r="R77" s="18"/>
      <c r="S77" s="18"/>
      <c r="T77" s="18"/>
      <c r="U77" s="18"/>
    </row>
    <row r="78" spans="1:21" x14ac:dyDescent="0.2">
      <c r="A78" s="19" t="s">
        <v>16</v>
      </c>
      <c r="B78">
        <f t="shared" si="13"/>
        <v>144</v>
      </c>
      <c r="C78">
        <f t="shared" si="6"/>
        <v>96</v>
      </c>
      <c r="D78" t="s">
        <v>15</v>
      </c>
      <c r="E78" s="18" t="s">
        <v>19</v>
      </c>
      <c r="F78" s="18" t="s">
        <v>7</v>
      </c>
      <c r="G78" s="17">
        <f t="shared" si="14"/>
        <v>50.346146939548433</v>
      </c>
      <c r="H78">
        <f t="shared" si="15"/>
        <v>-5.7417141562839236</v>
      </c>
      <c r="I78" s="1">
        <f t="shared" si="16"/>
        <v>21.055658000000001</v>
      </c>
      <c r="J78" s="18">
        <f t="shared" si="17"/>
        <v>15.313943843716078</v>
      </c>
      <c r="K78" s="17">
        <f t="shared" si="18"/>
        <v>5.1867427473522723</v>
      </c>
      <c r="L78" s="18">
        <v>9.5009097061840256E-2</v>
      </c>
      <c r="M78" s="20">
        <v>8.4695398474114447E-2</v>
      </c>
      <c r="N78" s="18">
        <f t="shared" si="19"/>
        <v>0.1547</v>
      </c>
      <c r="O78" s="18">
        <v>0.45938958543332137</v>
      </c>
      <c r="P78" s="18">
        <v>0.1547</v>
      </c>
      <c r="Q78" s="18"/>
      <c r="R78" s="18"/>
      <c r="S78" s="18"/>
      <c r="T78" s="18"/>
      <c r="U78" s="18"/>
    </row>
    <row r="79" spans="1:21" x14ac:dyDescent="0.2">
      <c r="A79" s="19" t="s">
        <v>17</v>
      </c>
      <c r="B79">
        <f t="shared" si="13"/>
        <v>144</v>
      </c>
      <c r="C79">
        <f t="shared" si="6"/>
        <v>96</v>
      </c>
      <c r="D79" t="s">
        <v>15</v>
      </c>
      <c r="E79" s="18" t="s">
        <v>19</v>
      </c>
      <c r="F79" s="18" t="s">
        <v>7</v>
      </c>
      <c r="G79" s="17">
        <f t="shared" si="14"/>
        <v>40.044960183557194</v>
      </c>
      <c r="H79">
        <f t="shared" si="15"/>
        <v>-6.8088916324232844</v>
      </c>
      <c r="I79" s="1">
        <f t="shared" si="16"/>
        <v>23.235044000000002</v>
      </c>
      <c r="J79" s="18">
        <f t="shared" si="17"/>
        <v>16.426152367576719</v>
      </c>
      <c r="K79" s="17">
        <f t="shared" si="18"/>
        <v>5.1150031253273696</v>
      </c>
      <c r="L79" s="18">
        <v>8.6802484946233896E-2</v>
      </c>
      <c r="M79" s="20">
        <v>7.5612650475141208E-2</v>
      </c>
      <c r="N79" s="18">
        <f t="shared" si="19"/>
        <v>0.1646</v>
      </c>
      <c r="O79" s="18">
        <v>0.45264967355574692</v>
      </c>
      <c r="P79" s="18">
        <v>0.1646</v>
      </c>
      <c r="Q79" s="18"/>
      <c r="R79" s="18"/>
      <c r="S79" s="18"/>
      <c r="T79" s="18"/>
      <c r="U79" s="18"/>
    </row>
    <row r="80" spans="1:21" x14ac:dyDescent="0.2">
      <c r="A80" s="19" t="s">
        <v>20</v>
      </c>
      <c r="B80">
        <f t="shared" si="13"/>
        <v>144</v>
      </c>
      <c r="C80">
        <f t="shared" si="6"/>
        <v>96</v>
      </c>
      <c r="D80" t="s">
        <v>5</v>
      </c>
      <c r="E80" t="s">
        <v>19</v>
      </c>
      <c r="F80" t="s">
        <v>21</v>
      </c>
      <c r="G80" s="17">
        <f t="shared" si="14"/>
        <v>86.241103201093736</v>
      </c>
      <c r="H80">
        <f t="shared" si="15"/>
        <v>33.855073285292605</v>
      </c>
      <c r="I80" s="1">
        <f t="shared" si="16"/>
        <v>27.747913999999998</v>
      </c>
      <c r="J80">
        <f t="shared" si="17"/>
        <v>61.602987285292599</v>
      </c>
      <c r="K80" s="17">
        <f t="shared" si="18"/>
        <v>6.3427956750991141</v>
      </c>
      <c r="L80">
        <v>0.12360541221687135</v>
      </c>
      <c r="M80">
        <v>0.42170367492482747</v>
      </c>
      <c r="N80">
        <f t="shared" si="19"/>
        <v>0.18509999999999999</v>
      </c>
      <c r="O80">
        <v>0.5680003452742497</v>
      </c>
      <c r="P80">
        <v>0.18509999999999999</v>
      </c>
    </row>
    <row r="81" spans="1:21" x14ac:dyDescent="0.2">
      <c r="A81" s="19" t="s">
        <v>22</v>
      </c>
      <c r="B81">
        <f t="shared" si="13"/>
        <v>144</v>
      </c>
      <c r="C81">
        <f t="shared" si="6"/>
        <v>96</v>
      </c>
      <c r="D81" t="s">
        <v>5</v>
      </c>
      <c r="E81" t="s">
        <v>19</v>
      </c>
      <c r="F81" t="s">
        <v>21</v>
      </c>
      <c r="G81" s="17">
        <f t="shared" si="14"/>
        <v>30.716809679705364</v>
      </c>
      <c r="H81">
        <f t="shared" si="15"/>
        <v>34.446600796866662</v>
      </c>
      <c r="I81" s="1">
        <f t="shared" si="16"/>
        <v>23.080945999999997</v>
      </c>
      <c r="J81">
        <f t="shared" si="17"/>
        <v>57.527546796866659</v>
      </c>
      <c r="K81" s="17">
        <f t="shared" si="18"/>
        <v>2.2957606535610831</v>
      </c>
      <c r="L81">
        <v>7.9371058378165271E-2</v>
      </c>
      <c r="M81">
        <v>0.42673816585273122</v>
      </c>
      <c r="N81">
        <f t="shared" si="19"/>
        <v>0.16389999999999999</v>
      </c>
      <c r="O81">
        <v>0.18778284982723442</v>
      </c>
      <c r="P81">
        <v>0.16389999999999999</v>
      </c>
    </row>
    <row r="82" spans="1:21" x14ac:dyDescent="0.2">
      <c r="A82" s="19" t="s">
        <v>23</v>
      </c>
      <c r="B82">
        <f t="shared" ref="B82:B90" si="20">B53+48</f>
        <v>144</v>
      </c>
      <c r="C82">
        <f t="shared" si="6"/>
        <v>96</v>
      </c>
      <c r="D82" t="s">
        <v>5</v>
      </c>
      <c r="E82" t="s">
        <v>19</v>
      </c>
      <c r="F82" t="s">
        <v>21</v>
      </c>
      <c r="G82" s="17">
        <f t="shared" si="14"/>
        <v>58.066278687741217</v>
      </c>
      <c r="H82">
        <f t="shared" si="15"/>
        <v>33.794585280880113</v>
      </c>
      <c r="I82" s="1">
        <f t="shared" si="16"/>
        <v>27.461731999999994</v>
      </c>
      <c r="J82">
        <f t="shared" si="17"/>
        <v>61.256317280880111</v>
      </c>
      <c r="K82" s="17">
        <f t="shared" si="18"/>
        <v>5.4504906922952703</v>
      </c>
      <c r="L82">
        <v>0.1011594686879005</v>
      </c>
      <c r="M82">
        <v>0.42118886149095802</v>
      </c>
      <c r="N82">
        <f t="shared" si="19"/>
        <v>0.18379999999999999</v>
      </c>
      <c r="O82">
        <v>0.48416861070042005</v>
      </c>
      <c r="P82">
        <v>0.18379999999999999</v>
      </c>
    </row>
    <row r="83" spans="1:21" x14ac:dyDescent="0.2">
      <c r="A83" s="19" t="s">
        <v>24</v>
      </c>
      <c r="B83">
        <f t="shared" si="20"/>
        <v>144</v>
      </c>
      <c r="C83">
        <f t="shared" si="6"/>
        <v>96</v>
      </c>
      <c r="D83" t="s">
        <v>15</v>
      </c>
      <c r="E83" t="s">
        <v>19</v>
      </c>
      <c r="F83" t="s">
        <v>21</v>
      </c>
      <c r="G83" s="17">
        <f t="shared" si="14"/>
        <v>41.446252715007937</v>
      </c>
      <c r="H83">
        <f t="shared" si="15"/>
        <v>31.850117148139091</v>
      </c>
      <c r="I83" s="1">
        <f t="shared" si="16"/>
        <v>18.524047999999997</v>
      </c>
      <c r="J83">
        <f t="shared" si="17"/>
        <v>50.374165148139085</v>
      </c>
      <c r="K83" s="17">
        <f t="shared" si="18"/>
        <v>3.6480177972723213</v>
      </c>
      <c r="L83">
        <v>8.7918847996289656E-2</v>
      </c>
      <c r="M83">
        <v>0.40463949230298385</v>
      </c>
      <c r="N83">
        <f t="shared" si="19"/>
        <v>0.14319999999999999</v>
      </c>
      <c r="O83">
        <v>0.31482692571141685</v>
      </c>
      <c r="P83">
        <v>0.14319999999999999</v>
      </c>
    </row>
    <row r="84" spans="1:21" x14ac:dyDescent="0.2">
      <c r="A84" s="19" t="s">
        <v>25</v>
      </c>
      <c r="B84">
        <f t="shared" si="20"/>
        <v>144</v>
      </c>
      <c r="C84">
        <f t="shared" si="6"/>
        <v>96</v>
      </c>
      <c r="D84" t="s">
        <v>15</v>
      </c>
      <c r="E84" t="s">
        <v>19</v>
      </c>
      <c r="F84" t="s">
        <v>21</v>
      </c>
      <c r="G84" s="17">
        <f t="shared" si="14"/>
        <v>58.512317017883099</v>
      </c>
      <c r="H84">
        <f t="shared" si="15"/>
        <v>32.851189896290705</v>
      </c>
      <c r="I84" s="1">
        <f t="shared" si="16"/>
        <v>22.662680000000002</v>
      </c>
      <c r="J84">
        <f t="shared" si="17"/>
        <v>55.513869896290707</v>
      </c>
      <c r="K84" s="17">
        <f t="shared" si="18"/>
        <v>5.939138256244398</v>
      </c>
      <c r="L84">
        <v>0.1015148125575802</v>
      </c>
      <c r="M84">
        <v>0.41315962293110947</v>
      </c>
      <c r="N84">
        <f t="shared" si="19"/>
        <v>0.16200000000000001</v>
      </c>
      <c r="O84">
        <v>0.53007687488203659</v>
      </c>
      <c r="P84">
        <v>0.16200000000000001</v>
      </c>
    </row>
    <row r="85" spans="1:21" x14ac:dyDescent="0.2">
      <c r="A85" s="19" t="s">
        <v>26</v>
      </c>
      <c r="B85">
        <f t="shared" si="20"/>
        <v>144</v>
      </c>
      <c r="C85">
        <f t="shared" si="6"/>
        <v>96</v>
      </c>
      <c r="D85" t="s">
        <v>15</v>
      </c>
      <c r="E85" t="s">
        <v>19</v>
      </c>
      <c r="F85" t="s">
        <v>21</v>
      </c>
      <c r="G85" s="17">
        <f t="shared" si="14"/>
        <v>65.652401012783116</v>
      </c>
      <c r="H85">
        <f t="shared" si="15"/>
        <v>32.693601715002252</v>
      </c>
      <c r="I85" s="1">
        <f t="shared" si="16"/>
        <v>26.096864000000004</v>
      </c>
      <c r="J85">
        <f t="shared" si="17"/>
        <v>58.790465715002256</v>
      </c>
      <c r="K85" s="17">
        <f t="shared" si="18"/>
        <v>6.5934905442141636</v>
      </c>
      <c r="L85">
        <v>0.10720307947351722</v>
      </c>
      <c r="M85">
        <v>0.41181838984639563</v>
      </c>
      <c r="N85">
        <f t="shared" si="19"/>
        <v>0.17760000000000001</v>
      </c>
      <c r="O85">
        <v>0.59155303872737353</v>
      </c>
      <c r="P85">
        <v>0.17760000000000001</v>
      </c>
    </row>
    <row r="86" spans="1:21" x14ac:dyDescent="0.2">
      <c r="A86" s="19" t="s">
        <v>27</v>
      </c>
      <c r="B86">
        <f t="shared" si="20"/>
        <v>144</v>
      </c>
      <c r="C86">
        <f t="shared" si="6"/>
        <v>96</v>
      </c>
      <c r="D86" t="s">
        <v>28</v>
      </c>
      <c r="E86" t="s">
        <v>6</v>
      </c>
      <c r="F86" t="s">
        <v>21</v>
      </c>
      <c r="G86" s="17">
        <f t="shared" si="14"/>
        <v>76.507448866913705</v>
      </c>
      <c r="H86">
        <f t="shared" si="15"/>
        <v>25.483201202347118</v>
      </c>
      <c r="I86" s="1">
        <f t="shared" si="16"/>
        <v>15.023821999999997</v>
      </c>
      <c r="J86">
        <f t="shared" si="17"/>
        <v>40.507023202347114</v>
      </c>
      <c r="K86" s="17">
        <f t="shared" si="18"/>
        <v>6.657636485079748</v>
      </c>
      <c r="L86">
        <v>0.11585093426397458</v>
      </c>
      <c r="M86">
        <v>0.35045066770796302</v>
      </c>
      <c r="N86">
        <f t="shared" si="19"/>
        <v>0.1273</v>
      </c>
      <c r="O86">
        <v>0.59757952697103989</v>
      </c>
      <c r="P86">
        <v>0.1273</v>
      </c>
    </row>
    <row r="87" spans="1:21" x14ac:dyDescent="0.2">
      <c r="A87" s="19" t="s">
        <v>29</v>
      </c>
      <c r="B87">
        <f t="shared" si="20"/>
        <v>144</v>
      </c>
      <c r="C87">
        <f t="shared" si="6"/>
        <v>96</v>
      </c>
      <c r="D87" t="s">
        <v>28</v>
      </c>
      <c r="E87" t="s">
        <v>6</v>
      </c>
      <c r="F87" t="s">
        <v>21</v>
      </c>
      <c r="G87" s="17">
        <f t="shared" si="14"/>
        <v>81.04229239954536</v>
      </c>
      <c r="H87">
        <f t="shared" si="15"/>
        <v>32.291767943819622</v>
      </c>
      <c r="I87" s="1">
        <f t="shared" si="16"/>
        <v>19.668775999999998</v>
      </c>
      <c r="J87">
        <f t="shared" si="17"/>
        <v>51.960543943819616</v>
      </c>
      <c r="K87" s="17">
        <f t="shared" si="18"/>
        <v>6.6336231286562946</v>
      </c>
      <c r="L87">
        <v>0.11946369294497113</v>
      </c>
      <c r="M87">
        <v>0.40839838243175985</v>
      </c>
      <c r="N87">
        <f t="shared" si="19"/>
        <v>0.1484</v>
      </c>
      <c r="O87">
        <v>0.5953234807080322</v>
      </c>
      <c r="P87">
        <v>0.1484</v>
      </c>
    </row>
    <row r="88" spans="1:21" x14ac:dyDescent="0.2">
      <c r="A88" s="19" t="s">
        <v>30</v>
      </c>
      <c r="B88">
        <f t="shared" si="20"/>
        <v>144</v>
      </c>
      <c r="C88">
        <f t="shared" si="6"/>
        <v>96</v>
      </c>
      <c r="D88" t="s">
        <v>28</v>
      </c>
      <c r="E88" t="s">
        <v>6</v>
      </c>
      <c r="F88" t="s">
        <v>21</v>
      </c>
      <c r="G88" s="17">
        <f t="shared" si="14"/>
        <v>71.623732200240468</v>
      </c>
      <c r="H88">
        <f t="shared" si="15"/>
        <v>31.421406008840478</v>
      </c>
      <c r="I88" s="1">
        <f t="shared" si="16"/>
        <v>18.347936000000001</v>
      </c>
      <c r="J88">
        <f t="shared" si="17"/>
        <v>49.769342008840482</v>
      </c>
      <c r="K88" s="17">
        <f t="shared" si="18"/>
        <v>6.6599930312160813</v>
      </c>
      <c r="L88">
        <v>0.11196023998619158</v>
      </c>
      <c r="M88">
        <v>0.40099073159573151</v>
      </c>
      <c r="N88">
        <f t="shared" si="19"/>
        <v>0.1424</v>
      </c>
      <c r="O88">
        <v>0.59780092363924098</v>
      </c>
      <c r="P88">
        <v>0.1424</v>
      </c>
    </row>
    <row r="89" spans="1:21" x14ac:dyDescent="0.2">
      <c r="A89" s="19" t="s">
        <v>31</v>
      </c>
      <c r="B89">
        <f t="shared" si="20"/>
        <v>144</v>
      </c>
      <c r="C89">
        <f t="shared" si="6"/>
        <v>96</v>
      </c>
      <c r="D89" t="s">
        <v>28</v>
      </c>
      <c r="E89" t="s">
        <v>19</v>
      </c>
      <c r="F89" t="s">
        <v>21</v>
      </c>
      <c r="G89" s="17">
        <f t="shared" si="14"/>
        <v>71.120379989433189</v>
      </c>
      <c r="H89">
        <f t="shared" si="15"/>
        <v>30.029818524814132</v>
      </c>
      <c r="I89" s="1">
        <f t="shared" si="16"/>
        <v>18.303907999999996</v>
      </c>
      <c r="J89">
        <f t="shared" si="17"/>
        <v>48.333726524814125</v>
      </c>
      <c r="K89" s="17">
        <f t="shared" si="18"/>
        <v>6.6151320894906718</v>
      </c>
      <c r="L89">
        <v>0.11155923605824844</v>
      </c>
      <c r="M89">
        <v>0.38914692986777422</v>
      </c>
      <c r="N89">
        <f t="shared" si="19"/>
        <v>0.14219999999999999</v>
      </c>
      <c r="O89">
        <v>0.59358625417988276</v>
      </c>
      <c r="P89">
        <v>0.14219999999999999</v>
      </c>
    </row>
    <row r="90" spans="1:21" x14ac:dyDescent="0.2">
      <c r="A90" s="19" t="s">
        <v>32</v>
      </c>
      <c r="B90">
        <f t="shared" si="20"/>
        <v>144</v>
      </c>
      <c r="C90">
        <f t="shared" si="6"/>
        <v>96</v>
      </c>
      <c r="D90" t="s">
        <v>28</v>
      </c>
      <c r="E90" t="s">
        <v>19</v>
      </c>
      <c r="F90" t="s">
        <v>21</v>
      </c>
      <c r="G90" s="17">
        <f t="shared" si="14"/>
        <v>78.203519866392796</v>
      </c>
      <c r="H90">
        <f t="shared" si="15"/>
        <v>31.716256964492615</v>
      </c>
      <c r="I90" s="1">
        <f t="shared" si="16"/>
        <v>25.458457999999993</v>
      </c>
      <c r="J90">
        <f t="shared" si="17"/>
        <v>57.174714964492608</v>
      </c>
      <c r="K90" s="17">
        <f t="shared" si="18"/>
        <v>6.5714399028138439</v>
      </c>
      <c r="L90">
        <v>0.11720213749355959</v>
      </c>
      <c r="M90">
        <v>0.40350020821730814</v>
      </c>
      <c r="N90">
        <f t="shared" si="19"/>
        <v>0.17469999999999999</v>
      </c>
      <c r="O90">
        <v>0.58948138884008305</v>
      </c>
      <c r="P90">
        <v>0.17469999999999999</v>
      </c>
    </row>
    <row r="91" spans="1:21" x14ac:dyDescent="0.2">
      <c r="A91" s="19" t="s">
        <v>33</v>
      </c>
      <c r="B91">
        <v>144</v>
      </c>
      <c r="C91">
        <f t="shared" si="6"/>
        <v>96</v>
      </c>
      <c r="D91" t="s">
        <v>28</v>
      </c>
      <c r="E91" t="s">
        <v>19</v>
      </c>
      <c r="F91" t="s">
        <v>21</v>
      </c>
      <c r="G91" s="17">
        <f t="shared" si="14"/>
        <v>96.153524054107578</v>
      </c>
      <c r="H91">
        <f t="shared" si="15"/>
        <v>31.748253135655176</v>
      </c>
      <c r="I91" s="1">
        <f t="shared" si="16"/>
        <v>20.065027999999998</v>
      </c>
      <c r="J91">
        <f t="shared" si="17"/>
        <v>51.813281135655174</v>
      </c>
      <c r="K91" s="17">
        <f t="shared" si="18"/>
        <v>6.5924889958630066</v>
      </c>
      <c r="L91">
        <v>0.13150230749643904</v>
      </c>
      <c r="M91">
        <v>0.40377252764505023</v>
      </c>
      <c r="N91">
        <f t="shared" si="19"/>
        <v>0.1502</v>
      </c>
      <c r="O91">
        <v>0.59145894361734375</v>
      </c>
      <c r="P91">
        <v>0.1502</v>
      </c>
    </row>
    <row r="92" spans="1:21" x14ac:dyDescent="0.2">
      <c r="A92" s="19" t="s">
        <v>37</v>
      </c>
      <c r="B92">
        <f t="shared" ref="B92:B111" si="21">B63+2</f>
        <v>146</v>
      </c>
      <c r="C92">
        <f t="shared" si="6"/>
        <v>98</v>
      </c>
      <c r="D92" t="s">
        <v>5</v>
      </c>
      <c r="E92" s="1" t="s">
        <v>6</v>
      </c>
      <c r="F92" s="1" t="s">
        <v>7</v>
      </c>
      <c r="G92" s="17">
        <f t="shared" si="14"/>
        <v>82.402114831248682</v>
      </c>
      <c r="H92">
        <f t="shared" si="15"/>
        <v>26.910292083214078</v>
      </c>
      <c r="I92" s="1">
        <f t="shared" si="16"/>
        <v>12.228043999999995</v>
      </c>
      <c r="J92" s="1">
        <f t="shared" si="17"/>
        <v>39.138336083214071</v>
      </c>
      <c r="K92" s="17">
        <f t="shared" si="18"/>
        <v>6.1532576782129871</v>
      </c>
      <c r="L92" s="1">
        <v>0.12054701814889478</v>
      </c>
      <c r="M92" s="20">
        <v>0.36259663886305016</v>
      </c>
      <c r="N92" s="1">
        <f t="shared" si="19"/>
        <v>0.11459999999999999</v>
      </c>
      <c r="O92" s="1">
        <v>0.55019331813350125</v>
      </c>
      <c r="P92" s="1">
        <v>0.11459999999999999</v>
      </c>
      <c r="Q92" s="1"/>
      <c r="R92" s="1"/>
      <c r="S92" s="1">
        <v>0.27979999999999999</v>
      </c>
      <c r="T92" s="1">
        <v>0.30330000000000001</v>
      </c>
      <c r="U92" s="1"/>
    </row>
    <row r="93" spans="1:21" x14ac:dyDescent="0.2">
      <c r="A93" s="19" t="s">
        <v>8</v>
      </c>
      <c r="B93">
        <f t="shared" si="21"/>
        <v>146</v>
      </c>
      <c r="C93">
        <f t="shared" si="6"/>
        <v>98</v>
      </c>
      <c r="D93" t="s">
        <v>5</v>
      </c>
      <c r="E93" t="s">
        <v>6</v>
      </c>
      <c r="F93" t="s">
        <v>7</v>
      </c>
      <c r="G93" s="17">
        <f t="shared" si="14"/>
        <v>46.898227256894565</v>
      </c>
      <c r="H93">
        <f t="shared" si="15"/>
        <v>-8.6521317801880073</v>
      </c>
      <c r="I93" s="1">
        <f t="shared" si="16"/>
        <v>20.549336</v>
      </c>
      <c r="J93">
        <f t="shared" si="17"/>
        <v>11.897204219811993</v>
      </c>
      <c r="K93" s="17">
        <f t="shared" si="18"/>
        <v>5.5257777588431116</v>
      </c>
      <c r="L93">
        <v>9.2262254381326E-2</v>
      </c>
      <c r="M93" s="20">
        <v>5.9924832714685655E-2</v>
      </c>
      <c r="N93">
        <f t="shared" si="19"/>
        <v>0.15240000000000001</v>
      </c>
      <c r="O93">
        <v>0.49124180372445619</v>
      </c>
      <c r="P93">
        <v>0.15240000000000001</v>
      </c>
      <c r="S93">
        <v>0.28399999999999997</v>
      </c>
      <c r="T93">
        <v>0.27639999999999998</v>
      </c>
    </row>
    <row r="94" spans="1:21" x14ac:dyDescent="0.2">
      <c r="A94" s="19" t="s">
        <v>9</v>
      </c>
      <c r="B94">
        <f t="shared" si="21"/>
        <v>146</v>
      </c>
      <c r="C94">
        <f t="shared" si="6"/>
        <v>98</v>
      </c>
      <c r="D94" t="s">
        <v>5</v>
      </c>
      <c r="E94" t="s">
        <v>6</v>
      </c>
      <c r="F94" t="s">
        <v>7</v>
      </c>
      <c r="G94" s="17">
        <f t="shared" si="14"/>
        <v>68.973616027673273</v>
      </c>
      <c r="H94">
        <f t="shared" si="15"/>
        <v>-3.9434999999999985</v>
      </c>
      <c r="I94" s="1">
        <f t="shared" si="16"/>
        <v>13.747009999999998</v>
      </c>
      <c r="J94">
        <f t="shared" si="17"/>
        <v>9.8035099999999993</v>
      </c>
      <c r="K94" s="17">
        <f t="shared" si="18"/>
        <v>5.6571170652559895</v>
      </c>
      <c r="L94">
        <v>0.10984898076871304</v>
      </c>
      <c r="M94" s="20">
        <v>0.1</v>
      </c>
      <c r="N94">
        <f t="shared" si="19"/>
        <v>0.1215</v>
      </c>
      <c r="O94">
        <v>0.50358108467267848</v>
      </c>
      <c r="P94">
        <v>0.1215</v>
      </c>
      <c r="S94">
        <v>0.28689999999999999</v>
      </c>
      <c r="T94">
        <v>0.2974</v>
      </c>
    </row>
    <row r="95" spans="1:21" x14ac:dyDescent="0.2">
      <c r="A95" s="19" t="s">
        <v>10</v>
      </c>
      <c r="B95">
        <f t="shared" si="21"/>
        <v>146</v>
      </c>
      <c r="C95">
        <f t="shared" si="6"/>
        <v>98</v>
      </c>
      <c r="D95" t="s">
        <v>11</v>
      </c>
      <c r="E95" t="s">
        <v>6</v>
      </c>
      <c r="F95" t="s">
        <v>7</v>
      </c>
      <c r="G95" s="17">
        <f t="shared" si="14"/>
        <v>26.619406823443672</v>
      </c>
      <c r="H95">
        <f t="shared" si="15"/>
        <v>-5.4729895385625991</v>
      </c>
      <c r="I95" s="1">
        <f t="shared" si="16"/>
        <v>27.946039999999996</v>
      </c>
      <c r="J95">
        <f t="shared" si="17"/>
        <v>22.473050461437396</v>
      </c>
      <c r="K95" s="17">
        <f t="shared" si="18"/>
        <v>1.4894527826721671</v>
      </c>
      <c r="L95">
        <v>7.6106794102676789E-2</v>
      </c>
      <c r="M95" s="20">
        <v>8.6982513821331986E-2</v>
      </c>
      <c r="N95">
        <f t="shared" si="19"/>
        <v>0.186</v>
      </c>
      <c r="O95">
        <v>0.11203051321609989</v>
      </c>
      <c r="P95">
        <v>0.186</v>
      </c>
      <c r="S95">
        <v>0.31859999999999999</v>
      </c>
      <c r="T95">
        <v>0.34849999999999998</v>
      </c>
    </row>
    <row r="96" spans="1:21" x14ac:dyDescent="0.2">
      <c r="A96" s="19" t="s">
        <v>12</v>
      </c>
      <c r="B96">
        <f t="shared" si="21"/>
        <v>146</v>
      </c>
      <c r="C96">
        <f t="shared" si="6"/>
        <v>98</v>
      </c>
      <c r="D96" t="s">
        <v>11</v>
      </c>
      <c r="E96" t="s">
        <v>6</v>
      </c>
      <c r="F96" t="s">
        <v>7</v>
      </c>
      <c r="G96" s="17">
        <f t="shared" si="14"/>
        <v>58.824791440880489</v>
      </c>
      <c r="H96">
        <f t="shared" si="15"/>
        <v>-3.9434999999999985</v>
      </c>
      <c r="I96" s="1">
        <f t="shared" si="16"/>
        <v>18.502034000000002</v>
      </c>
      <c r="J96">
        <f t="shared" si="17"/>
        <v>14.558534000000003</v>
      </c>
      <c r="K96" s="17">
        <f t="shared" si="18"/>
        <v>3.0853485705798827</v>
      </c>
      <c r="L96">
        <v>0.10176375051456812</v>
      </c>
      <c r="M96" s="20">
        <v>0.1</v>
      </c>
      <c r="N96">
        <f t="shared" si="19"/>
        <v>0.1431</v>
      </c>
      <c r="O96">
        <v>0.26196435274143953</v>
      </c>
      <c r="P96">
        <v>0.1431</v>
      </c>
      <c r="S96">
        <v>0.34429999999999999</v>
      </c>
      <c r="T96">
        <v>0.34160000000000001</v>
      </c>
    </row>
    <row r="97" spans="1:21" x14ac:dyDescent="0.2">
      <c r="A97" s="19" t="s">
        <v>13</v>
      </c>
      <c r="B97">
        <f t="shared" si="21"/>
        <v>146</v>
      </c>
      <c r="C97">
        <f t="shared" ref="C97:C160" si="22">B97-48</f>
        <v>98</v>
      </c>
      <c r="D97" t="s">
        <v>11</v>
      </c>
      <c r="E97" t="s">
        <v>6</v>
      </c>
      <c r="F97" t="s">
        <v>7</v>
      </c>
      <c r="G97" s="17">
        <f t="shared" si="14"/>
        <v>51.868790246392429</v>
      </c>
      <c r="H97">
        <f t="shared" si="15"/>
        <v>-10.784817597760545</v>
      </c>
      <c r="I97" s="1">
        <f t="shared" si="16"/>
        <v>16.762927999999995</v>
      </c>
      <c r="J97">
        <f t="shared" si="17"/>
        <v>5.9781104022394498</v>
      </c>
      <c r="K97" s="17">
        <f t="shared" si="18"/>
        <v>3.8198332140053761</v>
      </c>
      <c r="L97">
        <v>9.6222136229625971E-2</v>
      </c>
      <c r="M97" s="20">
        <v>4.1773542723004847E-2</v>
      </c>
      <c r="N97">
        <f t="shared" si="19"/>
        <v>0.13519999999999999</v>
      </c>
      <c r="O97">
        <v>0.33096892277389856</v>
      </c>
      <c r="P97">
        <v>0.13519999999999999</v>
      </c>
      <c r="S97">
        <v>0.3009</v>
      </c>
      <c r="T97">
        <v>0.33189999999999997</v>
      </c>
    </row>
    <row r="98" spans="1:21" x14ac:dyDescent="0.2">
      <c r="A98" s="19" t="s">
        <v>14</v>
      </c>
      <c r="B98">
        <f t="shared" si="21"/>
        <v>146</v>
      </c>
      <c r="C98">
        <f t="shared" si="22"/>
        <v>98</v>
      </c>
      <c r="D98" t="s">
        <v>15</v>
      </c>
      <c r="E98" t="s">
        <v>6</v>
      </c>
      <c r="F98" t="s">
        <v>7</v>
      </c>
      <c r="G98" s="17">
        <f t="shared" ref="G98:G129" si="23">30*(L98-0.0549)/0.0239</f>
        <v>53.980584167613387</v>
      </c>
      <c r="H98">
        <f t="shared" ref="H98:H129" si="24">(3.9165*M98-0.5231)*30</f>
        <v>-3.9434999999999985</v>
      </c>
      <c r="I98" s="1">
        <f t="shared" ref="I98:I129" si="25">(11.007*N98-0.65)*20</f>
        <v>23.587267999999995</v>
      </c>
      <c r="J98">
        <f t="shared" ref="J98:J129" si="26">H98+I98</f>
        <v>19.643767999999994</v>
      </c>
      <c r="K98" s="17">
        <f t="shared" ref="K98:K129" si="27">(0.3548*O98 + 0.0099)*30</f>
        <v>5.9908370269669469</v>
      </c>
      <c r="L98">
        <v>9.7904532053532001E-2</v>
      </c>
      <c r="M98" s="20">
        <v>0.1</v>
      </c>
      <c r="N98">
        <f t="shared" ref="N98:N129" si="28">AVERAGE(P98:R98)</f>
        <v>0.16619999999999999</v>
      </c>
      <c r="O98">
        <v>0.5349339559345121</v>
      </c>
      <c r="P98">
        <v>0.16619999999999999</v>
      </c>
      <c r="S98">
        <v>0.37859999999999999</v>
      </c>
      <c r="T98">
        <v>0.38490000000000002</v>
      </c>
    </row>
    <row r="99" spans="1:21" x14ac:dyDescent="0.2">
      <c r="A99" s="19" t="s">
        <v>16</v>
      </c>
      <c r="B99">
        <f t="shared" si="21"/>
        <v>146</v>
      </c>
      <c r="C99">
        <f t="shared" si="22"/>
        <v>98</v>
      </c>
      <c r="D99" t="s">
        <v>15</v>
      </c>
      <c r="E99" t="s">
        <v>6</v>
      </c>
      <c r="F99" t="s">
        <v>7</v>
      </c>
      <c r="G99" s="17">
        <f t="shared" si="23"/>
        <v>36.549223840400813</v>
      </c>
      <c r="H99">
        <f t="shared" si="24"/>
        <v>-3.9434999999999985</v>
      </c>
      <c r="I99" s="1">
        <f t="shared" si="25"/>
        <v>17.313277999999997</v>
      </c>
      <c r="J99">
        <f t="shared" si="26"/>
        <v>13.369777999999998</v>
      </c>
      <c r="K99" s="17">
        <f t="shared" si="27"/>
        <v>3.8663027004148516</v>
      </c>
      <c r="L99">
        <v>8.4017548326185978E-2</v>
      </c>
      <c r="M99" s="20">
        <v>0.1</v>
      </c>
      <c r="N99">
        <f t="shared" si="28"/>
        <v>0.13769999999999999</v>
      </c>
      <c r="O99">
        <v>0.33533471443206048</v>
      </c>
      <c r="P99">
        <v>0.13769999999999999</v>
      </c>
      <c r="S99">
        <v>0.36559999999999998</v>
      </c>
      <c r="T99">
        <v>0.39579999999999999</v>
      </c>
    </row>
    <row r="100" spans="1:21" x14ac:dyDescent="0.2">
      <c r="A100" s="19" t="s">
        <v>17</v>
      </c>
      <c r="B100">
        <f t="shared" si="21"/>
        <v>146</v>
      </c>
      <c r="C100">
        <f t="shared" si="22"/>
        <v>98</v>
      </c>
      <c r="D100" t="s">
        <v>15</v>
      </c>
      <c r="E100" t="s">
        <v>6</v>
      </c>
      <c r="F100" t="s">
        <v>7</v>
      </c>
      <c r="G100" s="17">
        <f t="shared" si="23"/>
        <v>85.998625829344505</v>
      </c>
      <c r="H100">
        <f t="shared" si="24"/>
        <v>-1.2779747007116864</v>
      </c>
      <c r="I100" s="1">
        <f t="shared" si="25"/>
        <v>19.998986000000002</v>
      </c>
      <c r="J100">
        <f t="shared" si="26"/>
        <v>18.721011299288314</v>
      </c>
      <c r="K100" s="17">
        <f t="shared" si="27"/>
        <v>7.1582066175644812</v>
      </c>
      <c r="L100">
        <v>0.12341223857737779</v>
      </c>
      <c r="M100" s="20">
        <v>0.12268628706998863</v>
      </c>
      <c r="N100">
        <f t="shared" si="28"/>
        <v>0.14990000000000001</v>
      </c>
      <c r="O100">
        <v>0.6446079122101166</v>
      </c>
      <c r="P100">
        <v>0.14990000000000001</v>
      </c>
      <c r="S100">
        <v>0.42849999999999999</v>
      </c>
      <c r="T100">
        <v>0.56859999999999999</v>
      </c>
    </row>
    <row r="101" spans="1:21" x14ac:dyDescent="0.2">
      <c r="A101" s="19" t="s">
        <v>18</v>
      </c>
      <c r="B101">
        <f t="shared" si="21"/>
        <v>146</v>
      </c>
      <c r="C101">
        <f t="shared" si="22"/>
        <v>98</v>
      </c>
      <c r="D101" t="s">
        <v>5</v>
      </c>
      <c r="E101" s="1" t="s">
        <v>19</v>
      </c>
      <c r="F101" s="1" t="s">
        <v>7</v>
      </c>
      <c r="G101" s="17">
        <f t="shared" si="23"/>
        <v>95.542783629849794</v>
      </c>
      <c r="H101">
        <f t="shared" si="24"/>
        <v>65.63198016307463</v>
      </c>
      <c r="I101" s="1">
        <f t="shared" si="25"/>
        <v>8.8819160000000004</v>
      </c>
      <c r="J101">
        <f t="shared" si="26"/>
        <v>74.513896163074634</v>
      </c>
      <c r="K101" s="17">
        <f t="shared" si="27"/>
        <v>5.9526065812892011</v>
      </c>
      <c r="L101" s="1">
        <v>0.131015750958447</v>
      </c>
      <c r="M101" s="20">
        <v>0.69215694423656005</v>
      </c>
      <c r="N101">
        <f t="shared" si="28"/>
        <v>9.9400000000000002E-2</v>
      </c>
      <c r="O101" s="1">
        <v>0.53134221921168745</v>
      </c>
      <c r="P101" s="1">
        <v>9.9400000000000002E-2</v>
      </c>
      <c r="Q101" s="1"/>
      <c r="R101" s="1"/>
      <c r="S101" s="1">
        <v>0.29189999999999999</v>
      </c>
      <c r="T101" s="1">
        <v>0.2601</v>
      </c>
      <c r="U101" s="1"/>
    </row>
    <row r="102" spans="1:21" x14ac:dyDescent="0.2">
      <c r="A102" s="19" t="s">
        <v>8</v>
      </c>
      <c r="B102">
        <f t="shared" si="21"/>
        <v>146</v>
      </c>
      <c r="C102">
        <f t="shared" si="22"/>
        <v>98</v>
      </c>
      <c r="D102" t="s">
        <v>5</v>
      </c>
      <c r="E102" t="s">
        <v>19</v>
      </c>
      <c r="F102" t="s">
        <v>7</v>
      </c>
      <c r="G102" s="17">
        <f t="shared" si="23"/>
        <v>77.061024395914615</v>
      </c>
      <c r="H102">
        <f t="shared" si="24"/>
        <v>-10.704161961326085</v>
      </c>
      <c r="I102" s="1">
        <f t="shared" si="25"/>
        <v>22.574623999999996</v>
      </c>
      <c r="J102">
        <f t="shared" si="26"/>
        <v>11.870462038673912</v>
      </c>
      <c r="K102" s="17">
        <f t="shared" si="27"/>
        <v>5.8693559595038041</v>
      </c>
      <c r="L102">
        <v>0.11629194943541198</v>
      </c>
      <c r="M102" s="20">
        <v>4.2460002882453857E-2</v>
      </c>
      <c r="N102">
        <f t="shared" si="28"/>
        <v>0.16159999999999999</v>
      </c>
      <c r="O102">
        <v>0.52352085301614093</v>
      </c>
      <c r="P102">
        <v>0.16159999999999999</v>
      </c>
      <c r="S102">
        <v>0.28539999999999999</v>
      </c>
      <c r="T102">
        <v>0.27489999999999998</v>
      </c>
    </row>
    <row r="103" spans="1:21" x14ac:dyDescent="0.2">
      <c r="A103" s="19" t="s">
        <v>9</v>
      </c>
      <c r="B103">
        <f t="shared" si="21"/>
        <v>146</v>
      </c>
      <c r="C103">
        <f t="shared" si="22"/>
        <v>98</v>
      </c>
      <c r="D103" t="s">
        <v>5</v>
      </c>
      <c r="E103" t="s">
        <v>19</v>
      </c>
      <c r="F103" t="s">
        <v>7</v>
      </c>
      <c r="G103" s="17">
        <f t="shared" si="23"/>
        <v>68.420097474275764</v>
      </c>
      <c r="H103">
        <f t="shared" si="24"/>
        <v>-1.5827797713715204</v>
      </c>
      <c r="I103" s="1">
        <f t="shared" si="25"/>
        <v>20.087041999999997</v>
      </c>
      <c r="J103">
        <f t="shared" si="26"/>
        <v>18.504262228628477</v>
      </c>
      <c r="K103" s="17">
        <f t="shared" si="27"/>
        <v>5.4113608642287927</v>
      </c>
      <c r="L103">
        <v>0.10940801098783969</v>
      </c>
      <c r="M103" s="20">
        <v>0.12009209097092199</v>
      </c>
      <c r="N103">
        <f t="shared" si="28"/>
        <v>0.15029999999999999</v>
      </c>
      <c r="O103">
        <v>0.48049237732326122</v>
      </c>
      <c r="P103">
        <v>0.15029999999999999</v>
      </c>
      <c r="S103">
        <v>0.2888</v>
      </c>
      <c r="T103">
        <v>0.29570000000000002</v>
      </c>
    </row>
    <row r="104" spans="1:21" x14ac:dyDescent="0.2">
      <c r="A104" s="19" t="s">
        <v>10</v>
      </c>
      <c r="B104">
        <f t="shared" si="21"/>
        <v>146</v>
      </c>
      <c r="C104">
        <f t="shared" si="22"/>
        <v>98</v>
      </c>
      <c r="D104" t="s">
        <v>11</v>
      </c>
      <c r="E104" t="s">
        <v>19</v>
      </c>
      <c r="F104" t="s">
        <v>7</v>
      </c>
      <c r="G104" s="17">
        <f t="shared" si="23"/>
        <v>42.53278362412928</v>
      </c>
      <c r="H104">
        <f t="shared" si="24"/>
        <v>-9.7049684256771602</v>
      </c>
      <c r="I104" s="1">
        <f t="shared" si="25"/>
        <v>20.747461999999999</v>
      </c>
      <c r="J104">
        <f t="shared" si="26"/>
        <v>11.042493574322839</v>
      </c>
      <c r="K104" s="17">
        <f t="shared" si="27"/>
        <v>3.4930802299346353</v>
      </c>
      <c r="L104">
        <v>8.8784450953889663E-2</v>
      </c>
      <c r="M104" s="20">
        <v>5.0964139532089364E-2</v>
      </c>
      <c r="N104">
        <f t="shared" si="28"/>
        <v>0.15329999999999999</v>
      </c>
      <c r="O104">
        <v>0.300270596574092</v>
      </c>
      <c r="P104">
        <v>0.15329999999999999</v>
      </c>
      <c r="S104">
        <v>0.32800000000000001</v>
      </c>
      <c r="T104">
        <v>0.34379999999999999</v>
      </c>
    </row>
    <row r="105" spans="1:21" x14ac:dyDescent="0.2">
      <c r="A105" s="19" t="s">
        <v>12</v>
      </c>
      <c r="B105">
        <f t="shared" si="21"/>
        <v>146</v>
      </c>
      <c r="C105">
        <f t="shared" si="22"/>
        <v>98</v>
      </c>
      <c r="D105" t="s">
        <v>11</v>
      </c>
      <c r="E105" t="s">
        <v>19</v>
      </c>
      <c r="F105" t="s">
        <v>7</v>
      </c>
      <c r="G105" s="17">
        <f t="shared" si="23"/>
        <v>46.650711083354899</v>
      </c>
      <c r="H105">
        <f t="shared" si="24"/>
        <v>-0.51134472863718972</v>
      </c>
      <c r="I105" s="1">
        <f t="shared" si="25"/>
        <v>26.052835999999999</v>
      </c>
      <c r="J105">
        <f t="shared" si="26"/>
        <v>25.541491271362808</v>
      </c>
      <c r="K105" s="17">
        <f t="shared" si="27"/>
        <v>3.7501967102272005</v>
      </c>
      <c r="L105">
        <v>9.206506649640607E-2</v>
      </c>
      <c r="M105" s="20">
        <v>0.12921107512117802</v>
      </c>
      <c r="N105">
        <f t="shared" si="28"/>
        <v>0.1774</v>
      </c>
      <c r="O105">
        <v>0.3244265981047727</v>
      </c>
      <c r="P105">
        <v>0.1774</v>
      </c>
      <c r="S105">
        <v>0.33979999999999999</v>
      </c>
      <c r="T105">
        <v>0.33389999999999997</v>
      </c>
    </row>
    <row r="106" spans="1:21" x14ac:dyDescent="0.2">
      <c r="A106" s="19" t="s">
        <v>13</v>
      </c>
      <c r="B106">
        <f t="shared" si="21"/>
        <v>146</v>
      </c>
      <c r="C106">
        <f t="shared" si="22"/>
        <v>98</v>
      </c>
      <c r="D106" t="s">
        <v>11</v>
      </c>
      <c r="E106" t="s">
        <v>19</v>
      </c>
      <c r="F106" t="s">
        <v>7</v>
      </c>
      <c r="G106" s="17">
        <f t="shared" si="23"/>
        <v>44.507939435108824</v>
      </c>
      <c r="H106">
        <f t="shared" si="24"/>
        <v>-9.6939549240404563</v>
      </c>
      <c r="I106" s="1">
        <f t="shared" si="25"/>
        <v>17.445361999999999</v>
      </c>
      <c r="J106">
        <f t="shared" si="26"/>
        <v>7.751407075959543</v>
      </c>
      <c r="K106" s="17">
        <f t="shared" si="27"/>
        <v>4.3056136430621939</v>
      </c>
      <c r="L106">
        <v>9.0357991749970029E-2</v>
      </c>
      <c r="M106" s="20">
        <v>5.1057875449674828E-2</v>
      </c>
      <c r="N106">
        <f t="shared" si="28"/>
        <v>0.13830000000000001</v>
      </c>
      <c r="O106">
        <v>0.37660782065597465</v>
      </c>
      <c r="P106">
        <v>0.13830000000000001</v>
      </c>
      <c r="S106">
        <v>0.31740000000000002</v>
      </c>
      <c r="T106">
        <v>0.32779999999999998</v>
      </c>
    </row>
    <row r="107" spans="1:21" x14ac:dyDescent="0.2">
      <c r="A107" s="19" t="s">
        <v>14</v>
      </c>
      <c r="B107">
        <f t="shared" si="21"/>
        <v>146</v>
      </c>
      <c r="C107">
        <f t="shared" si="22"/>
        <v>98</v>
      </c>
      <c r="D107" t="s">
        <v>15</v>
      </c>
      <c r="E107" t="s">
        <v>19</v>
      </c>
      <c r="F107" t="s">
        <v>7</v>
      </c>
      <c r="G107" s="17">
        <f t="shared" si="23"/>
        <v>51.04829573549781</v>
      </c>
      <c r="H107">
        <f t="shared" si="24"/>
        <v>-0.91237666311905774</v>
      </c>
      <c r="I107" s="1">
        <f t="shared" si="25"/>
        <v>31.534322000000003</v>
      </c>
      <c r="J107">
        <f t="shared" si="26"/>
        <v>30.621945336880945</v>
      </c>
      <c r="K107" s="17">
        <f t="shared" si="27"/>
        <v>4.8346523340024143</v>
      </c>
      <c r="L107">
        <v>9.5568475602613251E-2</v>
      </c>
      <c r="M107" s="20">
        <v>0.12579789213907777</v>
      </c>
      <c r="N107">
        <f t="shared" si="28"/>
        <v>0.20230000000000001</v>
      </c>
      <c r="O107">
        <v>0.42631081679842303</v>
      </c>
      <c r="P107">
        <v>0.20230000000000001</v>
      </c>
      <c r="S107">
        <v>0.37619999999999998</v>
      </c>
      <c r="T107">
        <v>0.34649999999999997</v>
      </c>
    </row>
    <row r="108" spans="1:21" x14ac:dyDescent="0.2">
      <c r="A108" s="19" t="s">
        <v>16</v>
      </c>
      <c r="B108">
        <f t="shared" si="21"/>
        <v>146</v>
      </c>
      <c r="C108">
        <f t="shared" si="22"/>
        <v>98</v>
      </c>
      <c r="D108" t="s">
        <v>15</v>
      </c>
      <c r="E108" t="s">
        <v>19</v>
      </c>
      <c r="F108" t="s">
        <v>7</v>
      </c>
      <c r="G108" s="17">
        <f t="shared" si="23"/>
        <v>58.415712606494942</v>
      </c>
      <c r="H108">
        <f t="shared" si="24"/>
        <v>-3.9434999999999985</v>
      </c>
      <c r="I108" s="1">
        <f t="shared" si="25"/>
        <v>14.605556</v>
      </c>
      <c r="J108">
        <f t="shared" si="26"/>
        <v>10.662056000000002</v>
      </c>
      <c r="K108" s="17">
        <f t="shared" si="27"/>
        <v>4.9038412814134151</v>
      </c>
      <c r="L108">
        <v>0.10143785104317431</v>
      </c>
      <c r="M108" s="20">
        <v>0.1</v>
      </c>
      <c r="N108">
        <f t="shared" si="28"/>
        <v>0.12540000000000001</v>
      </c>
      <c r="O108">
        <v>0.43281109370663429</v>
      </c>
      <c r="P108">
        <v>0.12540000000000001</v>
      </c>
      <c r="S108">
        <v>0.36249999999999999</v>
      </c>
      <c r="T108">
        <v>0.39660000000000001</v>
      </c>
    </row>
    <row r="109" spans="1:21" x14ac:dyDescent="0.2">
      <c r="A109" s="19" t="s">
        <v>17</v>
      </c>
      <c r="B109">
        <f t="shared" si="21"/>
        <v>146</v>
      </c>
      <c r="C109">
        <f t="shared" si="22"/>
        <v>98</v>
      </c>
      <c r="D109" t="s">
        <v>15</v>
      </c>
      <c r="E109" t="s">
        <v>19</v>
      </c>
      <c r="F109" t="s">
        <v>7</v>
      </c>
      <c r="G109" s="17">
        <f t="shared" si="23"/>
        <v>59.02152433412455</v>
      </c>
      <c r="H109">
        <f t="shared" si="24"/>
        <v>-3.9434999999999985</v>
      </c>
      <c r="I109" s="1">
        <f t="shared" si="25"/>
        <v>19.492664000000001</v>
      </c>
      <c r="J109">
        <f t="shared" si="26"/>
        <v>15.549164000000003</v>
      </c>
      <c r="K109" s="17">
        <f t="shared" si="27"/>
        <v>4.6906507082257622</v>
      </c>
      <c r="L109">
        <v>0.10192048105285256</v>
      </c>
      <c r="M109" s="20">
        <v>0.1</v>
      </c>
      <c r="N109">
        <f t="shared" si="28"/>
        <v>0.14760000000000001</v>
      </c>
      <c r="O109">
        <v>0.41278191546653159</v>
      </c>
      <c r="P109">
        <v>0.14760000000000001</v>
      </c>
      <c r="S109">
        <v>0.42809999999999998</v>
      </c>
      <c r="T109">
        <v>0.5696</v>
      </c>
    </row>
    <row r="110" spans="1:21" x14ac:dyDescent="0.2">
      <c r="A110" s="19" t="s">
        <v>20</v>
      </c>
      <c r="B110">
        <f t="shared" si="21"/>
        <v>146</v>
      </c>
      <c r="C110">
        <f t="shared" si="22"/>
        <v>98</v>
      </c>
      <c r="D110" t="s">
        <v>5</v>
      </c>
      <c r="E110" t="s">
        <v>19</v>
      </c>
      <c r="F110" t="s">
        <v>21</v>
      </c>
      <c r="G110" s="17">
        <f t="shared" si="23"/>
        <v>71.226705510610884</v>
      </c>
      <c r="H110">
        <f t="shared" si="24"/>
        <v>35.851316371523183</v>
      </c>
      <c r="I110" s="1">
        <f t="shared" si="25"/>
        <v>36.905737999999999</v>
      </c>
      <c r="J110">
        <f t="shared" si="26"/>
        <v>72.757054371523182</v>
      </c>
      <c r="K110" s="17">
        <f t="shared" si="27"/>
        <v>6.1351280699815414</v>
      </c>
      <c r="L110">
        <v>0.11164394205678667</v>
      </c>
      <c r="M110">
        <v>0.4386937007661873</v>
      </c>
      <c r="N110">
        <f t="shared" si="28"/>
        <v>0.22670000000000001</v>
      </c>
      <c r="O110">
        <v>0.54849004791258371</v>
      </c>
      <c r="P110">
        <v>0.22670000000000001</v>
      </c>
      <c r="S110">
        <v>0.32979999999999998</v>
      </c>
      <c r="T110">
        <v>0.3019</v>
      </c>
    </row>
    <row r="111" spans="1:21" x14ac:dyDescent="0.2">
      <c r="A111" s="19" t="s">
        <v>22</v>
      </c>
      <c r="B111">
        <f t="shared" si="21"/>
        <v>146</v>
      </c>
      <c r="C111">
        <f t="shared" si="22"/>
        <v>98</v>
      </c>
      <c r="D111" t="s">
        <v>5</v>
      </c>
      <c r="E111" t="s">
        <v>19</v>
      </c>
      <c r="F111" t="s">
        <v>21</v>
      </c>
      <c r="G111" s="17">
        <f t="shared" si="23"/>
        <v>22.677060462404398</v>
      </c>
      <c r="H111">
        <f t="shared" si="24"/>
        <v>33.877604023203368</v>
      </c>
      <c r="I111" s="1">
        <f t="shared" si="25"/>
        <v>17.049110000000002</v>
      </c>
      <c r="J111">
        <f t="shared" si="26"/>
        <v>50.926714023203374</v>
      </c>
      <c r="K111" s="17">
        <f t="shared" si="27"/>
        <v>2.6053812651191377</v>
      </c>
      <c r="L111">
        <v>7.296605816838217E-2</v>
      </c>
      <c r="M111">
        <v>0.42189543404573271</v>
      </c>
      <c r="N111">
        <f t="shared" si="28"/>
        <v>0.13650000000000001</v>
      </c>
      <c r="O111">
        <v>0.21687159574587914</v>
      </c>
      <c r="P111">
        <v>0.13650000000000001</v>
      </c>
      <c r="S111">
        <v>0.32340000000000002</v>
      </c>
      <c r="T111">
        <v>0.31809999999999999</v>
      </c>
    </row>
    <row r="112" spans="1:21" x14ac:dyDescent="0.2">
      <c r="A112" s="19" t="s">
        <v>23</v>
      </c>
      <c r="B112">
        <f t="shared" ref="B112:B121" si="29">B82+2</f>
        <v>146</v>
      </c>
      <c r="C112">
        <f t="shared" si="22"/>
        <v>98</v>
      </c>
      <c r="D112" t="s">
        <v>5</v>
      </c>
      <c r="E112" t="s">
        <v>19</v>
      </c>
      <c r="F112" t="s">
        <v>21</v>
      </c>
      <c r="G112" s="17">
        <f t="shared" si="23"/>
        <v>57.959409866057392</v>
      </c>
      <c r="H112">
        <f t="shared" si="24"/>
        <v>35.180573061171636</v>
      </c>
      <c r="I112" s="1">
        <f t="shared" si="25"/>
        <v>16.344662</v>
      </c>
      <c r="J112">
        <f t="shared" si="26"/>
        <v>51.525235061171635</v>
      </c>
      <c r="K112" s="17">
        <f t="shared" si="27"/>
        <v>4.9740249449003704</v>
      </c>
      <c r="L112">
        <v>0.10107432985995905</v>
      </c>
      <c r="M112">
        <v>0.43298500413780705</v>
      </c>
      <c r="N112">
        <f t="shared" si="28"/>
        <v>0.1333</v>
      </c>
      <c r="O112">
        <v>0.43940482383505924</v>
      </c>
      <c r="P112">
        <v>0.1333</v>
      </c>
      <c r="S112">
        <v>0.28970000000000001</v>
      </c>
      <c r="T112">
        <v>0.29870000000000002</v>
      </c>
    </row>
    <row r="113" spans="1:20" x14ac:dyDescent="0.2">
      <c r="A113" s="19" t="s">
        <v>24</v>
      </c>
      <c r="B113">
        <f t="shared" si="29"/>
        <v>146</v>
      </c>
      <c r="C113">
        <f t="shared" si="22"/>
        <v>98</v>
      </c>
      <c r="D113" t="s">
        <v>15</v>
      </c>
      <c r="E113" t="s">
        <v>19</v>
      </c>
      <c r="F113" t="s">
        <v>21</v>
      </c>
      <c r="G113" s="17">
        <f t="shared" si="23"/>
        <v>48.344627325240481</v>
      </c>
      <c r="H113">
        <f t="shared" si="24"/>
        <v>33.419695757830603</v>
      </c>
      <c r="I113" s="1">
        <f t="shared" si="25"/>
        <v>24.005533999999997</v>
      </c>
      <c r="J113">
        <f t="shared" si="26"/>
        <v>57.4252297578306</v>
      </c>
      <c r="K113" s="17">
        <f t="shared" si="27"/>
        <v>4.2405293148545491</v>
      </c>
      <c r="L113">
        <v>9.341455310244158E-2</v>
      </c>
      <c r="M113">
        <v>0.41799817658479593</v>
      </c>
      <c r="N113">
        <f t="shared" si="28"/>
        <v>0.1681</v>
      </c>
      <c r="O113">
        <v>0.37049317125653414</v>
      </c>
      <c r="P113">
        <v>0.1681</v>
      </c>
      <c r="S113">
        <v>0.45660000000000001</v>
      </c>
      <c r="T113">
        <v>0.46029999999999999</v>
      </c>
    </row>
    <row r="114" spans="1:20" x14ac:dyDescent="0.2">
      <c r="A114" s="19" t="s">
        <v>25</v>
      </c>
      <c r="B114">
        <f t="shared" si="29"/>
        <v>146</v>
      </c>
      <c r="C114">
        <f t="shared" si="22"/>
        <v>98</v>
      </c>
      <c r="D114" t="s">
        <v>15</v>
      </c>
      <c r="E114" t="s">
        <v>19</v>
      </c>
      <c r="F114" t="s">
        <v>21</v>
      </c>
      <c r="G114" s="17">
        <f t="shared" si="23"/>
        <v>62.294357154788216</v>
      </c>
      <c r="H114">
        <f t="shared" si="24"/>
        <v>34.155258629107799</v>
      </c>
      <c r="I114" s="1">
        <f t="shared" si="25"/>
        <v>24.930121999999997</v>
      </c>
      <c r="J114">
        <f t="shared" si="26"/>
        <v>59.085380629107796</v>
      </c>
      <c r="K114" s="17">
        <f t="shared" si="27"/>
        <v>5.5491918268638925</v>
      </c>
      <c r="L114">
        <v>0.10452783786664795</v>
      </c>
      <c r="M114">
        <v>0.42425855252655686</v>
      </c>
      <c r="N114">
        <f t="shared" si="28"/>
        <v>0.17230000000000001</v>
      </c>
      <c r="O114">
        <v>0.49344154705598392</v>
      </c>
      <c r="P114">
        <v>0.17230000000000001</v>
      </c>
      <c r="S114">
        <v>0.41349999999999998</v>
      </c>
      <c r="T114">
        <v>0.41499999999999998</v>
      </c>
    </row>
    <row r="115" spans="1:20" x14ac:dyDescent="0.2">
      <c r="A115" s="19" t="s">
        <v>26</v>
      </c>
      <c r="B115">
        <f t="shared" si="29"/>
        <v>146</v>
      </c>
      <c r="C115">
        <f t="shared" si="22"/>
        <v>98</v>
      </c>
      <c r="D115" t="s">
        <v>15</v>
      </c>
      <c r="E115" t="s">
        <v>19</v>
      </c>
      <c r="F115" t="s">
        <v>21</v>
      </c>
      <c r="G115" s="17">
        <f t="shared" si="23"/>
        <v>73.838025223950126</v>
      </c>
      <c r="H115">
        <f t="shared" si="24"/>
        <v>33.117090728081429</v>
      </c>
      <c r="I115" s="1">
        <f t="shared" si="25"/>
        <v>19.822873999999999</v>
      </c>
      <c r="J115">
        <f t="shared" si="26"/>
        <v>52.939964728081428</v>
      </c>
      <c r="K115" s="17">
        <f t="shared" si="27"/>
        <v>6.1454801189018351</v>
      </c>
      <c r="L115">
        <v>0.1137242934284136</v>
      </c>
      <c r="M115">
        <v>0.41542270503494988</v>
      </c>
      <c r="N115">
        <f t="shared" si="28"/>
        <v>0.14910000000000001</v>
      </c>
      <c r="O115">
        <v>0.54946261921287443</v>
      </c>
      <c r="P115">
        <v>0.14910000000000001</v>
      </c>
      <c r="S115">
        <v>0.45300000000000001</v>
      </c>
      <c r="T115">
        <v>0.47799999999999998</v>
      </c>
    </row>
    <row r="116" spans="1:20" x14ac:dyDescent="0.2">
      <c r="A116" s="19" t="s">
        <v>27</v>
      </c>
      <c r="B116">
        <f t="shared" si="29"/>
        <v>146</v>
      </c>
      <c r="C116">
        <f t="shared" si="22"/>
        <v>98</v>
      </c>
      <c r="D116" t="s">
        <v>28</v>
      </c>
      <c r="E116" t="s">
        <v>6</v>
      </c>
      <c r="F116" t="s">
        <v>21</v>
      </c>
      <c r="G116" s="17">
        <f t="shared" si="23"/>
        <v>67.624916763912822</v>
      </c>
      <c r="H116">
        <f t="shared" si="24"/>
        <v>34.257119244447424</v>
      </c>
      <c r="I116" s="1">
        <f t="shared" si="25"/>
        <v>17.401333999999999</v>
      </c>
      <c r="J116">
        <f t="shared" si="26"/>
        <v>51.658453244447422</v>
      </c>
      <c r="K116" s="17">
        <f t="shared" si="27"/>
        <v>6.8683201465360701</v>
      </c>
      <c r="L116">
        <v>0.10877451702191722</v>
      </c>
      <c r="M116">
        <v>0.4251254882713939</v>
      </c>
      <c r="N116">
        <f t="shared" si="28"/>
        <v>0.1381</v>
      </c>
      <c r="O116">
        <v>0.61737318174897315</v>
      </c>
      <c r="P116">
        <v>0.1381</v>
      </c>
      <c r="S116">
        <v>0.54820000000000002</v>
      </c>
      <c r="T116">
        <v>0.53069999999999995</v>
      </c>
    </row>
    <row r="117" spans="1:20" x14ac:dyDescent="0.2">
      <c r="A117" s="19" t="s">
        <v>29</v>
      </c>
      <c r="B117">
        <f t="shared" si="29"/>
        <v>146</v>
      </c>
      <c r="C117">
        <f t="shared" si="22"/>
        <v>98</v>
      </c>
      <c r="D117" t="s">
        <v>28</v>
      </c>
      <c r="E117" t="s">
        <v>6</v>
      </c>
      <c r="F117" t="s">
        <v>21</v>
      </c>
      <c r="G117" s="17">
        <f t="shared" si="23"/>
        <v>74.529552239219996</v>
      </c>
      <c r="H117">
        <f t="shared" si="24"/>
        <v>33.848469980153013</v>
      </c>
      <c r="I117" s="1">
        <f t="shared" si="25"/>
        <v>13.592912000000002</v>
      </c>
      <c r="J117">
        <f t="shared" si="26"/>
        <v>47.441381980153011</v>
      </c>
      <c r="K117" s="17">
        <f t="shared" si="27"/>
        <v>6.7923332047235423</v>
      </c>
      <c r="L117">
        <v>0.1142752099505786</v>
      </c>
      <c r="M117">
        <v>0.42164747419169329</v>
      </c>
      <c r="N117">
        <f t="shared" si="28"/>
        <v>0.1208</v>
      </c>
      <c r="O117">
        <v>0.61023423569368118</v>
      </c>
      <c r="P117">
        <v>0.1208</v>
      </c>
      <c r="S117">
        <v>0.47149999999999997</v>
      </c>
      <c r="T117">
        <v>0.48949999999999999</v>
      </c>
    </row>
    <row r="118" spans="1:20" x14ac:dyDescent="0.2">
      <c r="A118" s="19" t="s">
        <v>30</v>
      </c>
      <c r="B118">
        <f t="shared" si="29"/>
        <v>146</v>
      </c>
      <c r="C118">
        <f t="shared" si="22"/>
        <v>98</v>
      </c>
      <c r="D118" t="s">
        <v>28</v>
      </c>
      <c r="E118" t="s">
        <v>6</v>
      </c>
      <c r="F118" t="s">
        <v>21</v>
      </c>
      <c r="G118" s="17">
        <f t="shared" si="23"/>
        <v>73.771877931265067</v>
      </c>
      <c r="H118">
        <f t="shared" si="24"/>
        <v>33.342187448484395</v>
      </c>
      <c r="I118" s="1">
        <f t="shared" si="25"/>
        <v>26.074849999999998</v>
      </c>
      <c r="J118">
        <f t="shared" si="26"/>
        <v>59.417037448484393</v>
      </c>
      <c r="K118" s="17">
        <f t="shared" si="27"/>
        <v>6.8100693970460249</v>
      </c>
      <c r="L118">
        <v>0.11367159608524117</v>
      </c>
      <c r="M118">
        <v>0.41733850332766831</v>
      </c>
      <c r="N118">
        <f t="shared" si="28"/>
        <v>0.17749999999999999</v>
      </c>
      <c r="O118">
        <v>0.61190054463040444</v>
      </c>
      <c r="P118">
        <v>0.17749999999999999</v>
      </c>
      <c r="S118">
        <v>0.53510000000000002</v>
      </c>
      <c r="T118">
        <v>0.54710000000000003</v>
      </c>
    </row>
    <row r="119" spans="1:20" x14ac:dyDescent="0.2">
      <c r="A119" s="19" t="s">
        <v>31</v>
      </c>
      <c r="B119">
        <f t="shared" si="29"/>
        <v>146</v>
      </c>
      <c r="C119">
        <f t="shared" si="22"/>
        <v>98</v>
      </c>
      <c r="D119" t="s">
        <v>28</v>
      </c>
      <c r="E119" t="s">
        <v>19</v>
      </c>
      <c r="F119" t="s">
        <v>21</v>
      </c>
      <c r="G119" s="17">
        <f t="shared" si="23"/>
        <v>78.37648210079351</v>
      </c>
      <c r="H119">
        <f t="shared" si="24"/>
        <v>34.143269853771613</v>
      </c>
      <c r="I119" s="1">
        <f t="shared" si="25"/>
        <v>14.737639999999999</v>
      </c>
      <c r="J119">
        <f t="shared" si="26"/>
        <v>48.880909853771612</v>
      </c>
      <c r="K119" s="17">
        <f t="shared" si="27"/>
        <v>6.7963480752024257</v>
      </c>
      <c r="L119">
        <v>0.11733993074029883</v>
      </c>
      <c r="M119">
        <v>0.42415651605405857</v>
      </c>
      <c r="N119">
        <f t="shared" si="28"/>
        <v>0.126</v>
      </c>
      <c r="O119">
        <v>0.61061143134182883</v>
      </c>
      <c r="P119">
        <v>0.126</v>
      </c>
      <c r="S119">
        <v>0.54349999999999998</v>
      </c>
      <c r="T119">
        <v>0.54420000000000002</v>
      </c>
    </row>
    <row r="120" spans="1:20" x14ac:dyDescent="0.2">
      <c r="A120" s="19" t="s">
        <v>32</v>
      </c>
      <c r="B120">
        <f t="shared" si="29"/>
        <v>146</v>
      </c>
      <c r="C120">
        <f t="shared" si="22"/>
        <v>98</v>
      </c>
      <c r="D120" t="s">
        <v>28</v>
      </c>
      <c r="E120" t="s">
        <v>19</v>
      </c>
      <c r="F120" t="s">
        <v>21</v>
      </c>
      <c r="G120" s="17">
        <f t="shared" si="23"/>
        <v>69.422151084043108</v>
      </c>
      <c r="H120">
        <f t="shared" si="24"/>
        <v>31.703651481905936</v>
      </c>
      <c r="I120" s="1">
        <f t="shared" si="25"/>
        <v>13.614925999999999</v>
      </c>
      <c r="J120">
        <f t="shared" si="26"/>
        <v>45.318577481905933</v>
      </c>
      <c r="K120" s="17">
        <f t="shared" si="27"/>
        <v>6.7564437913941058</v>
      </c>
      <c r="L120">
        <v>0.11020631369695434</v>
      </c>
      <c r="M120">
        <v>0.40339292294911222</v>
      </c>
      <c r="N120">
        <f t="shared" si="28"/>
        <v>0.12089999999999999</v>
      </c>
      <c r="O120">
        <v>0.60686243812421137</v>
      </c>
      <c r="P120">
        <v>0.12089999999999999</v>
      </c>
      <c r="S120">
        <v>0.53520000000000001</v>
      </c>
      <c r="T120">
        <v>0.52600000000000002</v>
      </c>
    </row>
    <row r="121" spans="1:20" x14ac:dyDescent="0.2">
      <c r="A121" s="19" t="s">
        <v>33</v>
      </c>
      <c r="B121">
        <f t="shared" si="29"/>
        <v>146</v>
      </c>
      <c r="C121">
        <f t="shared" si="22"/>
        <v>98</v>
      </c>
      <c r="D121" t="s">
        <v>28</v>
      </c>
      <c r="E121" t="s">
        <v>19</v>
      </c>
      <c r="F121" t="s">
        <v>21</v>
      </c>
      <c r="G121" s="17">
        <f t="shared" si="23"/>
        <v>74.818198913837733</v>
      </c>
      <c r="H121">
        <f t="shared" si="24"/>
        <v>32.237995807508561</v>
      </c>
      <c r="I121" s="1">
        <f t="shared" si="25"/>
        <v>26.250961999999998</v>
      </c>
      <c r="J121">
        <f t="shared" si="26"/>
        <v>58.488957807508555</v>
      </c>
      <c r="K121" s="17">
        <f t="shared" si="27"/>
        <v>6.7431428973193279</v>
      </c>
      <c r="L121">
        <v>0.11450516513469072</v>
      </c>
      <c r="M121">
        <v>0.4079407277544454</v>
      </c>
      <c r="N121">
        <f t="shared" si="28"/>
        <v>0.17829999999999999</v>
      </c>
      <c r="O121">
        <v>0.60561282387442017</v>
      </c>
      <c r="P121">
        <v>0.17829999999999999</v>
      </c>
      <c r="S121">
        <v>0.5423</v>
      </c>
      <c r="T121">
        <v>0.55469999999999997</v>
      </c>
    </row>
    <row r="122" spans="1:20" x14ac:dyDescent="0.2">
      <c r="A122" s="19" t="s">
        <v>38</v>
      </c>
      <c r="B122">
        <f t="shared" ref="B122:B151" si="30">B92+48</f>
        <v>194</v>
      </c>
      <c r="C122">
        <f t="shared" si="22"/>
        <v>146</v>
      </c>
      <c r="D122" t="s">
        <v>5</v>
      </c>
      <c r="E122" t="s">
        <v>6</v>
      </c>
      <c r="F122" t="s">
        <v>7</v>
      </c>
      <c r="G122" s="17">
        <f t="shared" si="23"/>
        <v>77.251200954253008</v>
      </c>
      <c r="H122">
        <f t="shared" si="24"/>
        <v>-3.8589652848750915</v>
      </c>
      <c r="I122" s="1">
        <f t="shared" si="25"/>
        <v>52.733803999999999</v>
      </c>
      <c r="J122">
        <f t="shared" si="26"/>
        <v>48.874838715124909</v>
      </c>
      <c r="K122" s="17">
        <f t="shared" si="27"/>
        <v>3.9795548316726985</v>
      </c>
      <c r="L122">
        <v>0.11644345676022157</v>
      </c>
      <c r="M122" s="20">
        <v>0.10071947499999923</v>
      </c>
      <c r="N122">
        <f t="shared" si="28"/>
        <v>0.29859999999999998</v>
      </c>
      <c r="O122">
        <v>0.34597471173174549</v>
      </c>
      <c r="P122">
        <v>0.29859999999999998</v>
      </c>
    </row>
    <row r="123" spans="1:20" x14ac:dyDescent="0.2">
      <c r="A123" s="19" t="s">
        <v>8</v>
      </c>
      <c r="B123">
        <f t="shared" si="30"/>
        <v>194</v>
      </c>
      <c r="C123">
        <f t="shared" si="22"/>
        <v>146</v>
      </c>
      <c r="D123" t="s">
        <v>5</v>
      </c>
      <c r="E123" t="s">
        <v>6</v>
      </c>
      <c r="F123" t="s">
        <v>7</v>
      </c>
      <c r="G123" s="17">
        <f t="shared" si="23"/>
        <v>28.117228786640979</v>
      </c>
      <c r="H123">
        <f t="shared" si="24"/>
        <v>-3.9434999999999985</v>
      </c>
      <c r="I123" s="1">
        <f t="shared" si="25"/>
        <v>29.398964000000003</v>
      </c>
      <c r="J123">
        <f t="shared" si="26"/>
        <v>25.455464000000006</v>
      </c>
      <c r="K123" s="17">
        <f t="shared" si="27"/>
        <v>2.2108902748056236</v>
      </c>
      <c r="L123">
        <v>7.7300058933357313E-2</v>
      </c>
      <c r="M123" s="20">
        <v>0.1</v>
      </c>
      <c r="N123">
        <f t="shared" si="28"/>
        <v>0.19259999999999999</v>
      </c>
      <c r="O123">
        <v>0.17980930804261777</v>
      </c>
      <c r="P123">
        <v>0.19259999999999999</v>
      </c>
    </row>
    <row r="124" spans="1:20" x14ac:dyDescent="0.2">
      <c r="A124" s="19" t="s">
        <v>9</v>
      </c>
      <c r="B124">
        <f t="shared" si="30"/>
        <v>194</v>
      </c>
      <c r="C124">
        <f t="shared" si="22"/>
        <v>146</v>
      </c>
      <c r="D124" t="s">
        <v>5</v>
      </c>
      <c r="E124" t="s">
        <v>6</v>
      </c>
      <c r="F124" t="s">
        <v>7</v>
      </c>
      <c r="G124" s="17">
        <f t="shared" si="23"/>
        <v>69.581081498604547</v>
      </c>
      <c r="H124">
        <f t="shared" si="24"/>
        <v>-3.9434999999999985</v>
      </c>
      <c r="I124" s="1">
        <f t="shared" si="25"/>
        <v>27.109507999999998</v>
      </c>
      <c r="J124">
        <f t="shared" si="26"/>
        <v>23.166007999999998</v>
      </c>
      <c r="K124" s="17">
        <f t="shared" si="27"/>
        <v>3.5620397691222787</v>
      </c>
      <c r="L124">
        <v>0.11033292826055496</v>
      </c>
      <c r="M124" s="20">
        <v>0.1</v>
      </c>
      <c r="N124">
        <f t="shared" si="28"/>
        <v>0.1822</v>
      </c>
      <c r="O124">
        <v>0.30674932066161953</v>
      </c>
      <c r="P124">
        <v>0.1822</v>
      </c>
    </row>
    <row r="125" spans="1:20" x14ac:dyDescent="0.2">
      <c r="A125" s="19" t="s">
        <v>10</v>
      </c>
      <c r="B125">
        <f t="shared" si="30"/>
        <v>194</v>
      </c>
      <c r="C125">
        <f t="shared" si="22"/>
        <v>146</v>
      </c>
      <c r="D125" t="s">
        <v>11</v>
      </c>
      <c r="E125" t="s">
        <v>6</v>
      </c>
      <c r="F125" t="s">
        <v>7</v>
      </c>
      <c r="G125" s="17">
        <f t="shared" si="23"/>
        <v>33.753353639374104</v>
      </c>
      <c r="H125">
        <f t="shared" si="24"/>
        <v>-0.20536910114394957</v>
      </c>
      <c r="I125" s="1">
        <f t="shared" si="25"/>
        <v>31.182097999999996</v>
      </c>
      <c r="J125">
        <f t="shared" si="26"/>
        <v>30.976728898856045</v>
      </c>
      <c r="K125" s="17">
        <f t="shared" si="27"/>
        <v>0.7639670257545319</v>
      </c>
      <c r="L125">
        <v>8.1790171732701367E-2</v>
      </c>
      <c r="M125" s="20">
        <v>0.13181523383000171</v>
      </c>
      <c r="N125">
        <f t="shared" si="28"/>
        <v>0.20069999999999999</v>
      </c>
      <c r="O125">
        <v>4.3871385358373906E-2</v>
      </c>
      <c r="P125">
        <v>0.20069999999999999</v>
      </c>
    </row>
    <row r="126" spans="1:20" x14ac:dyDescent="0.2">
      <c r="A126" s="19" t="s">
        <v>12</v>
      </c>
      <c r="B126">
        <f t="shared" si="30"/>
        <v>194</v>
      </c>
      <c r="C126">
        <f t="shared" si="22"/>
        <v>146</v>
      </c>
      <c r="D126" t="s">
        <v>11</v>
      </c>
      <c r="E126" t="s">
        <v>6</v>
      </c>
      <c r="F126" t="s">
        <v>7</v>
      </c>
      <c r="G126" s="17">
        <f t="shared" si="23"/>
        <v>49.121635185688902</v>
      </c>
      <c r="H126">
        <f t="shared" si="24"/>
        <v>-3.9434999999999985</v>
      </c>
      <c r="I126" s="1">
        <f t="shared" si="25"/>
        <v>35.342744000000003</v>
      </c>
      <c r="J126">
        <f t="shared" si="26"/>
        <v>31.399244000000003</v>
      </c>
      <c r="K126" s="17">
        <f t="shared" si="27"/>
        <v>0.96912712973283532</v>
      </c>
      <c r="L126">
        <v>9.4033569364598821E-2</v>
      </c>
      <c r="M126" s="20">
        <v>0.1</v>
      </c>
      <c r="N126">
        <f t="shared" si="28"/>
        <v>0.21959999999999999</v>
      </c>
      <c r="O126">
        <v>6.3146103883205129E-2</v>
      </c>
      <c r="P126">
        <v>0.21959999999999999</v>
      </c>
    </row>
    <row r="127" spans="1:20" x14ac:dyDescent="0.2">
      <c r="A127" s="19" t="s">
        <v>13</v>
      </c>
      <c r="B127">
        <f t="shared" si="30"/>
        <v>194</v>
      </c>
      <c r="C127">
        <f t="shared" si="22"/>
        <v>146</v>
      </c>
      <c r="D127" t="s">
        <v>11</v>
      </c>
      <c r="E127" t="s">
        <v>6</v>
      </c>
      <c r="F127" t="s">
        <v>7</v>
      </c>
      <c r="G127" s="17">
        <f t="shared" si="23"/>
        <v>54.241985220757513</v>
      </c>
      <c r="H127">
        <f t="shared" si="24"/>
        <v>-3.9434999999999985</v>
      </c>
      <c r="I127" s="1">
        <f t="shared" si="25"/>
        <v>37.015808000000007</v>
      </c>
      <c r="J127">
        <f t="shared" si="26"/>
        <v>33.072308000000007</v>
      </c>
      <c r="K127" s="17">
        <f t="shared" si="27"/>
        <v>1.0894867506776942</v>
      </c>
      <c r="L127">
        <v>9.8112781559203485E-2</v>
      </c>
      <c r="M127" s="20">
        <v>0.1</v>
      </c>
      <c r="N127">
        <f t="shared" si="28"/>
        <v>0.22720000000000001</v>
      </c>
      <c r="O127">
        <v>7.4453847301549608E-2</v>
      </c>
      <c r="P127">
        <v>0.22720000000000001</v>
      </c>
    </row>
    <row r="128" spans="1:20" x14ac:dyDescent="0.2">
      <c r="A128" s="19" t="s">
        <v>14</v>
      </c>
      <c r="B128">
        <f t="shared" si="30"/>
        <v>194</v>
      </c>
      <c r="C128">
        <f t="shared" si="22"/>
        <v>146</v>
      </c>
      <c r="D128" t="s">
        <v>15</v>
      </c>
      <c r="E128" t="s">
        <v>6</v>
      </c>
      <c r="F128" t="s">
        <v>7</v>
      </c>
      <c r="G128" s="17">
        <f t="shared" si="23"/>
        <v>70.261109180308381</v>
      </c>
      <c r="H128">
        <f t="shared" si="24"/>
        <v>-12.324674800443212</v>
      </c>
      <c r="I128" s="1">
        <f t="shared" si="25"/>
        <v>27.527774000000001</v>
      </c>
      <c r="J128">
        <f t="shared" si="26"/>
        <v>15.203099199556789</v>
      </c>
      <c r="K128" s="17">
        <f t="shared" si="27"/>
        <v>3.279723134782075</v>
      </c>
      <c r="L128">
        <v>0.11087468364697901</v>
      </c>
      <c r="M128" s="20">
        <v>2.866781735015779E-2</v>
      </c>
      <c r="N128">
        <f t="shared" si="28"/>
        <v>0.18410000000000001</v>
      </c>
      <c r="O128">
        <v>0.28022577365483603</v>
      </c>
      <c r="P128">
        <v>0.18410000000000001</v>
      </c>
    </row>
    <row r="129" spans="1:16" x14ac:dyDescent="0.2">
      <c r="A129" s="19" t="s">
        <v>16</v>
      </c>
      <c r="B129">
        <f t="shared" si="30"/>
        <v>194</v>
      </c>
      <c r="C129">
        <f t="shared" si="22"/>
        <v>146</v>
      </c>
      <c r="D129" t="s">
        <v>15</v>
      </c>
      <c r="E129" t="s">
        <v>6</v>
      </c>
      <c r="F129" t="s">
        <v>7</v>
      </c>
      <c r="G129" s="17">
        <f t="shared" si="23"/>
        <v>42.966891205900659</v>
      </c>
      <c r="H129">
        <f t="shared" si="24"/>
        <v>-3.9434999999999985</v>
      </c>
      <c r="I129" s="1">
        <f t="shared" si="25"/>
        <v>27.043466000000002</v>
      </c>
      <c r="J129">
        <f t="shared" si="26"/>
        <v>23.099966000000002</v>
      </c>
      <c r="K129" s="17">
        <f t="shared" si="27"/>
        <v>2.7980589930097453</v>
      </c>
      <c r="L129">
        <v>8.913028999403419E-2</v>
      </c>
      <c r="M129" s="20">
        <v>0.1</v>
      </c>
      <c r="N129">
        <f t="shared" si="28"/>
        <v>0.18190000000000001</v>
      </c>
      <c r="O129">
        <v>0.23497359949358745</v>
      </c>
      <c r="P129">
        <v>0.18190000000000001</v>
      </c>
    </row>
    <row r="130" spans="1:16" x14ac:dyDescent="0.2">
      <c r="A130" s="19" t="s">
        <v>17</v>
      </c>
      <c r="B130">
        <f t="shared" si="30"/>
        <v>194</v>
      </c>
      <c r="C130">
        <f t="shared" si="22"/>
        <v>146</v>
      </c>
      <c r="D130" t="s">
        <v>15</v>
      </c>
      <c r="E130" t="s">
        <v>6</v>
      </c>
      <c r="F130" t="s">
        <v>7</v>
      </c>
      <c r="G130" s="17">
        <f t="shared" ref="G130:G161" si="31">30*(L130-0.0549)/0.0239</f>
        <v>77.756509680038306</v>
      </c>
      <c r="H130">
        <f t="shared" ref="H130:H161" si="32">(3.9165*M130-0.5231)*30</f>
        <v>-3.9434999999999985</v>
      </c>
      <c r="I130" s="1">
        <f t="shared" ref="I130:I151" si="33">(11.007*N130-0.65)*20</f>
        <v>30.059383999999998</v>
      </c>
      <c r="J130">
        <f t="shared" ref="J130:J161" si="34">H130+I130</f>
        <v>26.115884000000001</v>
      </c>
      <c r="K130" s="17">
        <f t="shared" ref="K130:K152" si="35">(0.3548*O130 + 0.0099)*30</f>
        <v>3.0915711784875675</v>
      </c>
      <c r="L130">
        <v>0.11684601937843052</v>
      </c>
      <c r="M130" s="20">
        <v>0.1</v>
      </c>
      <c r="N130">
        <f t="shared" ref="N130:N151" si="36">AVERAGE(P130:R130)</f>
        <v>0.1956</v>
      </c>
      <c r="O130">
        <v>0.26254896453284171</v>
      </c>
      <c r="P130">
        <v>0.1956</v>
      </c>
    </row>
    <row r="131" spans="1:16" x14ac:dyDescent="0.2">
      <c r="A131" s="19" t="s">
        <v>18</v>
      </c>
      <c r="B131">
        <f t="shared" si="30"/>
        <v>194</v>
      </c>
      <c r="C131">
        <f t="shared" si="22"/>
        <v>146</v>
      </c>
      <c r="D131" t="s">
        <v>5</v>
      </c>
      <c r="E131" t="s">
        <v>19</v>
      </c>
      <c r="F131" t="s">
        <v>7</v>
      </c>
      <c r="G131" s="17">
        <f t="shared" si="31"/>
        <v>63.672532907106202</v>
      </c>
      <c r="H131">
        <f t="shared" si="32"/>
        <v>-3.9434999999999985</v>
      </c>
      <c r="I131" s="1">
        <f t="shared" si="33"/>
        <v>27.659858</v>
      </c>
      <c r="J131">
        <f t="shared" si="34"/>
        <v>23.716358</v>
      </c>
      <c r="K131" s="17">
        <f t="shared" si="35"/>
        <v>3.1827386242445463</v>
      </c>
      <c r="L131">
        <v>0.10562578454932794</v>
      </c>
      <c r="M131" s="20">
        <v>0.1</v>
      </c>
      <c r="N131">
        <f t="shared" si="36"/>
        <v>0.1847</v>
      </c>
      <c r="O131">
        <v>0.27111411351414372</v>
      </c>
      <c r="P131">
        <v>0.1847</v>
      </c>
    </row>
    <row r="132" spans="1:16" x14ac:dyDescent="0.2">
      <c r="A132" s="19" t="s">
        <v>8</v>
      </c>
      <c r="B132">
        <f t="shared" si="30"/>
        <v>194</v>
      </c>
      <c r="C132">
        <f t="shared" si="22"/>
        <v>146</v>
      </c>
      <c r="D132" t="s">
        <v>5</v>
      </c>
      <c r="E132" t="s">
        <v>19</v>
      </c>
      <c r="F132" t="s">
        <v>7</v>
      </c>
      <c r="G132" s="17">
        <f t="shared" si="31"/>
        <v>64.617907184684967</v>
      </c>
      <c r="H132">
        <f t="shared" si="32"/>
        <v>-3.9434999999999985</v>
      </c>
      <c r="I132" s="1">
        <f t="shared" si="33"/>
        <v>29.112781999999999</v>
      </c>
      <c r="J132">
        <f t="shared" si="34"/>
        <v>25.169282000000003</v>
      </c>
      <c r="K132" s="17">
        <f t="shared" si="35"/>
        <v>3.8432395540757316</v>
      </c>
      <c r="L132">
        <v>0.10637893272379902</v>
      </c>
      <c r="M132" s="20">
        <v>0.1</v>
      </c>
      <c r="N132">
        <f t="shared" si="36"/>
        <v>0.1913</v>
      </c>
      <c r="O132">
        <v>0.33316794006724271</v>
      </c>
      <c r="P132">
        <v>0.1913</v>
      </c>
    </row>
    <row r="133" spans="1:16" x14ac:dyDescent="0.2">
      <c r="A133" s="19" t="s">
        <v>9</v>
      </c>
      <c r="B133">
        <f t="shared" si="30"/>
        <v>194</v>
      </c>
      <c r="C133">
        <f t="shared" si="22"/>
        <v>146</v>
      </c>
      <c r="D133" t="s">
        <v>5</v>
      </c>
      <c r="E133" t="s">
        <v>19</v>
      </c>
      <c r="F133" t="s">
        <v>7</v>
      </c>
      <c r="G133" s="17">
        <f t="shared" si="31"/>
        <v>60.255171521631866</v>
      </c>
      <c r="H133">
        <f t="shared" si="32"/>
        <v>-5.3938817986574099</v>
      </c>
      <c r="I133" s="1">
        <f t="shared" si="33"/>
        <v>29.817230000000006</v>
      </c>
      <c r="J133">
        <f t="shared" si="34"/>
        <v>24.423348201342595</v>
      </c>
      <c r="K133" s="17">
        <f t="shared" si="35"/>
        <v>2.945318687948014</v>
      </c>
      <c r="L133">
        <v>0.10290328664556672</v>
      </c>
      <c r="M133" s="20">
        <v>8.765579983269578E-2</v>
      </c>
      <c r="N133">
        <f t="shared" si="36"/>
        <v>0.19450000000000001</v>
      </c>
      <c r="O133">
        <v>0.24880859526005392</v>
      </c>
      <c r="P133">
        <v>0.19450000000000001</v>
      </c>
    </row>
    <row r="134" spans="1:16" x14ac:dyDescent="0.2">
      <c r="A134" s="19" t="s">
        <v>10</v>
      </c>
      <c r="B134">
        <f t="shared" si="30"/>
        <v>194</v>
      </c>
      <c r="C134">
        <f t="shared" si="22"/>
        <v>146</v>
      </c>
      <c r="D134" t="s">
        <v>11</v>
      </c>
      <c r="E134" t="s">
        <v>19</v>
      </c>
      <c r="F134" t="s">
        <v>7</v>
      </c>
      <c r="G134" s="17">
        <f t="shared" si="31"/>
        <v>65.174949008624836</v>
      </c>
      <c r="H134">
        <f t="shared" si="32"/>
        <v>-3.9434999999999985</v>
      </c>
      <c r="I134" s="1">
        <f t="shared" si="33"/>
        <v>34.264058000000006</v>
      </c>
      <c r="J134">
        <f t="shared" si="34"/>
        <v>30.320558000000005</v>
      </c>
      <c r="K134" s="17">
        <f t="shared" si="35"/>
        <v>2.8802390182783371</v>
      </c>
      <c r="L134">
        <v>0.10682270937687112</v>
      </c>
      <c r="M134" s="20">
        <v>0.1</v>
      </c>
      <c r="N134">
        <f t="shared" si="36"/>
        <v>0.2147</v>
      </c>
      <c r="O134">
        <v>0.24269438352859235</v>
      </c>
      <c r="P134">
        <v>0.2147</v>
      </c>
    </row>
    <row r="135" spans="1:16" x14ac:dyDescent="0.2">
      <c r="A135" s="19" t="s">
        <v>12</v>
      </c>
      <c r="B135">
        <f t="shared" si="30"/>
        <v>194</v>
      </c>
      <c r="C135">
        <f t="shared" si="22"/>
        <v>146</v>
      </c>
      <c r="D135" t="s">
        <v>11</v>
      </c>
      <c r="E135" t="s">
        <v>19</v>
      </c>
      <c r="F135" t="s">
        <v>7</v>
      </c>
      <c r="G135" s="17">
        <f t="shared" si="31"/>
        <v>56.794146776142881</v>
      </c>
      <c r="H135">
        <f t="shared" si="32"/>
        <v>-3.9434999999999985</v>
      </c>
      <c r="I135" s="1">
        <f t="shared" si="33"/>
        <v>39.855614000000003</v>
      </c>
      <c r="J135">
        <f t="shared" si="34"/>
        <v>35.912114000000003</v>
      </c>
      <c r="K135" s="17">
        <f t="shared" si="35"/>
        <v>1.2020035776147342</v>
      </c>
      <c r="L135">
        <v>0.10014600359832716</v>
      </c>
      <c r="M135" s="20">
        <v>0.1</v>
      </c>
      <c r="N135">
        <f t="shared" si="36"/>
        <v>0.24010000000000001</v>
      </c>
      <c r="O135">
        <v>8.5024763022804789E-2</v>
      </c>
      <c r="P135">
        <v>0.24010000000000001</v>
      </c>
    </row>
    <row r="136" spans="1:16" x14ac:dyDescent="0.2">
      <c r="A136" s="19" t="s">
        <v>13</v>
      </c>
      <c r="B136">
        <f t="shared" si="30"/>
        <v>194</v>
      </c>
      <c r="C136">
        <f t="shared" si="22"/>
        <v>146</v>
      </c>
      <c r="D136" t="s">
        <v>11</v>
      </c>
      <c r="E136" t="s">
        <v>19</v>
      </c>
      <c r="F136" t="s">
        <v>7</v>
      </c>
      <c r="G136" s="17">
        <f t="shared" si="31"/>
        <v>61.469271620111421</v>
      </c>
      <c r="H136">
        <f t="shared" si="32"/>
        <v>-3.9434999999999985</v>
      </c>
      <c r="I136" s="1">
        <f t="shared" si="33"/>
        <v>33.801763999999999</v>
      </c>
      <c r="J136">
        <f t="shared" si="34"/>
        <v>29.858263999999998</v>
      </c>
      <c r="K136" s="17">
        <f t="shared" si="35"/>
        <v>1.0886348570942419</v>
      </c>
      <c r="L136">
        <v>0.1038705197240221</v>
      </c>
      <c r="M136" s="20">
        <v>0.1</v>
      </c>
      <c r="N136">
        <f t="shared" si="36"/>
        <v>0.21260000000000001</v>
      </c>
      <c r="O136">
        <v>7.4373812203517659E-2</v>
      </c>
      <c r="P136">
        <v>0.21260000000000001</v>
      </c>
    </row>
    <row r="137" spans="1:16" x14ac:dyDescent="0.2">
      <c r="A137" s="19" t="s">
        <v>14</v>
      </c>
      <c r="B137">
        <f t="shared" si="30"/>
        <v>194</v>
      </c>
      <c r="C137">
        <f t="shared" si="22"/>
        <v>146</v>
      </c>
      <c r="D137" t="s">
        <v>15</v>
      </c>
      <c r="E137" t="s">
        <v>19</v>
      </c>
      <c r="F137" t="s">
        <v>7</v>
      </c>
      <c r="G137" s="17">
        <f t="shared" si="31"/>
        <v>47.897414630922547</v>
      </c>
      <c r="H137">
        <f t="shared" si="32"/>
        <v>-3.9434999999999985</v>
      </c>
      <c r="I137" s="1">
        <f t="shared" si="33"/>
        <v>26.999437999999998</v>
      </c>
      <c r="J137">
        <f t="shared" si="34"/>
        <v>23.055937999999998</v>
      </c>
      <c r="K137" s="17">
        <f t="shared" si="35"/>
        <v>3.2451988384942276</v>
      </c>
      <c r="L137">
        <v>9.305827365596829E-2</v>
      </c>
      <c r="M137" s="20">
        <v>0.1</v>
      </c>
      <c r="N137">
        <f t="shared" si="36"/>
        <v>0.1817</v>
      </c>
      <c r="O137">
        <v>0.27698222834406494</v>
      </c>
      <c r="P137">
        <v>0.1817</v>
      </c>
    </row>
    <row r="138" spans="1:16" x14ac:dyDescent="0.2">
      <c r="A138" s="19" t="s">
        <v>16</v>
      </c>
      <c r="B138">
        <f t="shared" si="30"/>
        <v>194</v>
      </c>
      <c r="C138">
        <f t="shared" si="22"/>
        <v>146</v>
      </c>
      <c r="D138" t="s">
        <v>15</v>
      </c>
      <c r="E138" t="s">
        <v>19</v>
      </c>
      <c r="F138" t="s">
        <v>7</v>
      </c>
      <c r="G138" s="17">
        <f t="shared" si="31"/>
        <v>30.325277043958494</v>
      </c>
      <c r="H138">
        <f t="shared" si="32"/>
        <v>-2.2913659293826312</v>
      </c>
      <c r="I138" s="1">
        <f t="shared" si="33"/>
        <v>26.559157999999996</v>
      </c>
      <c r="J138">
        <f t="shared" si="34"/>
        <v>24.267792070617364</v>
      </c>
      <c r="K138" s="17">
        <f t="shared" si="35"/>
        <v>0.51906564321540705</v>
      </c>
      <c r="L138">
        <v>7.90591373783536E-2</v>
      </c>
      <c r="M138" s="20">
        <v>0.11406131384839668</v>
      </c>
      <c r="N138">
        <f t="shared" si="36"/>
        <v>0.1797</v>
      </c>
      <c r="O138">
        <v>2.0862987900733473E-2</v>
      </c>
      <c r="P138">
        <v>0.1797</v>
      </c>
    </row>
    <row r="139" spans="1:16" x14ac:dyDescent="0.2">
      <c r="A139" s="19" t="s">
        <v>17</v>
      </c>
      <c r="B139">
        <f t="shared" si="30"/>
        <v>194</v>
      </c>
      <c r="C139">
        <f t="shared" si="22"/>
        <v>146</v>
      </c>
      <c r="D139" t="s">
        <v>15</v>
      </c>
      <c r="E139" t="s">
        <v>19</v>
      </c>
      <c r="F139" t="s">
        <v>7</v>
      </c>
      <c r="G139" s="17">
        <f t="shared" si="31"/>
        <v>73.566303835073711</v>
      </c>
      <c r="H139">
        <f t="shared" si="32"/>
        <v>-3.9434999999999985</v>
      </c>
      <c r="I139" s="1">
        <f t="shared" si="33"/>
        <v>33.273428000000003</v>
      </c>
      <c r="J139">
        <f t="shared" si="34"/>
        <v>29.329928000000002</v>
      </c>
      <c r="K139" s="17">
        <f t="shared" si="35"/>
        <v>3.3911250549744789</v>
      </c>
      <c r="L139">
        <v>0.11350782205527539</v>
      </c>
      <c r="M139" s="20">
        <v>0.1</v>
      </c>
      <c r="N139">
        <f t="shared" si="36"/>
        <v>0.2102</v>
      </c>
      <c r="O139">
        <v>0.29069194428546397</v>
      </c>
      <c r="P139">
        <v>0.2102</v>
      </c>
    </row>
    <row r="140" spans="1:16" x14ac:dyDescent="0.2">
      <c r="A140" s="19" t="s">
        <v>20</v>
      </c>
      <c r="B140">
        <f t="shared" si="30"/>
        <v>194</v>
      </c>
      <c r="C140">
        <f t="shared" si="22"/>
        <v>146</v>
      </c>
      <c r="D140" t="s">
        <v>5</v>
      </c>
      <c r="E140" t="s">
        <v>19</v>
      </c>
      <c r="F140" t="s">
        <v>21</v>
      </c>
      <c r="G140" s="17">
        <f t="shared" si="31"/>
        <v>73.155007718789889</v>
      </c>
      <c r="H140">
        <f t="shared" si="32"/>
        <v>30.392501867968086</v>
      </c>
      <c r="I140" s="1">
        <f t="shared" si="33"/>
        <v>46.437800000000003</v>
      </c>
      <c r="J140">
        <f t="shared" si="34"/>
        <v>76.830301867968089</v>
      </c>
      <c r="K140" s="17">
        <f t="shared" si="35"/>
        <v>4.1761598751719022</v>
      </c>
      <c r="L140">
        <v>0.11318015614930262</v>
      </c>
      <c r="M140">
        <v>0.39223372797113143</v>
      </c>
      <c r="N140">
        <f t="shared" si="36"/>
        <v>0.27</v>
      </c>
      <c r="O140">
        <v>0.36444568537879585</v>
      </c>
      <c r="P140">
        <v>0.27</v>
      </c>
    </row>
    <row r="141" spans="1:16" x14ac:dyDescent="0.2">
      <c r="A141" s="19" t="s">
        <v>22</v>
      </c>
      <c r="B141">
        <f t="shared" si="30"/>
        <v>194</v>
      </c>
      <c r="C141">
        <f t="shared" si="22"/>
        <v>146</v>
      </c>
      <c r="D141" t="s">
        <v>5</v>
      </c>
      <c r="E141" t="s">
        <v>19</v>
      </c>
      <c r="F141" t="s">
        <v>21</v>
      </c>
      <c r="G141" s="17">
        <f t="shared" si="31"/>
        <v>8.8122334648243523</v>
      </c>
      <c r="H141">
        <f t="shared" si="32"/>
        <v>31.304797905714238</v>
      </c>
      <c r="I141" s="1">
        <f t="shared" si="33"/>
        <v>25.128247999999999</v>
      </c>
      <c r="J141">
        <f t="shared" si="34"/>
        <v>56.433045905714238</v>
      </c>
      <c r="K141" s="17">
        <f t="shared" si="35"/>
        <v>0.65725054532156757</v>
      </c>
      <c r="L141">
        <v>6.1920412660310065E-2</v>
      </c>
      <c r="M141">
        <v>0.39999827997543924</v>
      </c>
      <c r="N141">
        <f t="shared" si="36"/>
        <v>0.17319999999999999</v>
      </c>
      <c r="O141">
        <v>3.3845410120402805E-2</v>
      </c>
      <c r="P141">
        <v>0.17319999999999999</v>
      </c>
    </row>
    <row r="142" spans="1:16" x14ac:dyDescent="0.2">
      <c r="A142" s="19" t="s">
        <v>23</v>
      </c>
      <c r="B142">
        <f t="shared" si="30"/>
        <v>194</v>
      </c>
      <c r="C142">
        <f t="shared" si="22"/>
        <v>146</v>
      </c>
      <c r="D142" t="s">
        <v>5</v>
      </c>
      <c r="E142" t="s">
        <v>19</v>
      </c>
      <c r="F142" t="s">
        <v>21</v>
      </c>
      <c r="G142" s="17">
        <f t="shared" si="31"/>
        <v>41.47019134474575</v>
      </c>
      <c r="H142">
        <f t="shared" si="32"/>
        <v>11.181351705518074</v>
      </c>
      <c r="I142" s="1">
        <f t="shared" si="33"/>
        <v>32.150714000000001</v>
      </c>
      <c r="J142">
        <f t="shared" si="34"/>
        <v>43.332065705518076</v>
      </c>
      <c r="K142" s="17">
        <f t="shared" si="35"/>
        <v>3.0947652968932564</v>
      </c>
      <c r="L142">
        <v>8.7937919104647447E-2</v>
      </c>
      <c r="M142">
        <v>0.22872761994568341</v>
      </c>
      <c r="N142">
        <f t="shared" si="36"/>
        <v>0.2051</v>
      </c>
      <c r="O142">
        <v>0.26284905081672832</v>
      </c>
      <c r="P142">
        <v>0.2051</v>
      </c>
    </row>
    <row r="143" spans="1:16" x14ac:dyDescent="0.2">
      <c r="A143" s="19" t="s">
        <v>24</v>
      </c>
      <c r="B143">
        <f t="shared" si="30"/>
        <v>194</v>
      </c>
      <c r="C143">
        <f t="shared" si="22"/>
        <v>146</v>
      </c>
      <c r="D143" t="s">
        <v>15</v>
      </c>
      <c r="E143" t="s">
        <v>19</v>
      </c>
      <c r="F143" t="s">
        <v>21</v>
      </c>
      <c r="G143" s="17">
        <f t="shared" si="31"/>
        <v>90.949650757435663</v>
      </c>
      <c r="H143">
        <f t="shared" si="32"/>
        <v>-15.693</v>
      </c>
      <c r="I143" s="1">
        <f t="shared" si="33"/>
        <v>32.745092000000007</v>
      </c>
      <c r="J143">
        <f t="shared" si="34"/>
        <v>17.052092000000009</v>
      </c>
      <c r="K143" s="17">
        <f t="shared" si="35"/>
        <v>3.0035234527162329</v>
      </c>
      <c r="L143">
        <v>0.12735655510342375</v>
      </c>
      <c r="M143">
        <v>0</v>
      </c>
      <c r="N143">
        <f t="shared" si="36"/>
        <v>0.20780000000000001</v>
      </c>
      <c r="O143">
        <v>0.25427691213042397</v>
      </c>
      <c r="P143">
        <v>0.20780000000000001</v>
      </c>
    </row>
    <row r="144" spans="1:16" x14ac:dyDescent="0.2">
      <c r="A144" s="19" t="s">
        <v>25</v>
      </c>
      <c r="B144">
        <f t="shared" si="30"/>
        <v>194</v>
      </c>
      <c r="C144">
        <f t="shared" si="22"/>
        <v>146</v>
      </c>
      <c r="D144" t="s">
        <v>15</v>
      </c>
      <c r="E144" t="s">
        <v>19</v>
      </c>
      <c r="F144" t="s">
        <v>21</v>
      </c>
      <c r="G144" s="17">
        <f t="shared" si="31"/>
        <v>46.828378012255214</v>
      </c>
      <c r="H144">
        <f t="shared" si="32"/>
        <v>-15.693</v>
      </c>
      <c r="I144" s="1">
        <f t="shared" si="33"/>
        <v>32.965232</v>
      </c>
      <c r="J144">
        <f t="shared" si="34"/>
        <v>17.272232000000002</v>
      </c>
      <c r="K144" s="17">
        <f t="shared" si="35"/>
        <v>3.3657585229218818</v>
      </c>
      <c r="L144">
        <v>9.2206607816429989E-2</v>
      </c>
      <c r="M144">
        <v>0</v>
      </c>
      <c r="N144">
        <f t="shared" si="36"/>
        <v>0.20880000000000001</v>
      </c>
      <c r="O144">
        <v>0.2883087676551937</v>
      </c>
      <c r="P144">
        <v>0.20880000000000001</v>
      </c>
    </row>
    <row r="145" spans="1:16" x14ac:dyDescent="0.2">
      <c r="A145" s="19" t="s">
        <v>26</v>
      </c>
      <c r="B145">
        <f t="shared" si="30"/>
        <v>194</v>
      </c>
      <c r="C145">
        <f t="shared" si="22"/>
        <v>146</v>
      </c>
      <c r="D145" t="s">
        <v>15</v>
      </c>
      <c r="E145" t="s">
        <v>19</v>
      </c>
      <c r="F145" t="s">
        <v>21</v>
      </c>
      <c r="G145" s="17">
        <f t="shared" si="31"/>
        <v>40.164177120348057</v>
      </c>
      <c r="H145">
        <f t="shared" si="32"/>
        <v>29.737886548387806</v>
      </c>
      <c r="I145" s="1">
        <f t="shared" si="33"/>
        <v>26.889367999999997</v>
      </c>
      <c r="J145">
        <f t="shared" si="34"/>
        <v>56.627254548387803</v>
      </c>
      <c r="K145" s="17">
        <f t="shared" si="35"/>
        <v>3.4920072633786199</v>
      </c>
      <c r="L145">
        <v>8.6897461105877288E-2</v>
      </c>
      <c r="M145">
        <v>0.38666229667975494</v>
      </c>
      <c r="N145">
        <f t="shared" si="36"/>
        <v>0.1812</v>
      </c>
      <c r="O145">
        <v>0.30016979174921266</v>
      </c>
      <c r="P145">
        <v>0.1812</v>
      </c>
    </row>
    <row r="146" spans="1:16" x14ac:dyDescent="0.2">
      <c r="A146" s="19" t="s">
        <v>27</v>
      </c>
      <c r="B146">
        <f t="shared" si="30"/>
        <v>194</v>
      </c>
      <c r="C146">
        <f t="shared" si="22"/>
        <v>146</v>
      </c>
      <c r="D146" t="s">
        <v>28</v>
      </c>
      <c r="E146" t="s">
        <v>6</v>
      </c>
      <c r="F146" t="s">
        <v>21</v>
      </c>
      <c r="G146" s="17">
        <f t="shared" si="31"/>
        <v>62.856419917261093</v>
      </c>
      <c r="H146">
        <f t="shared" si="32"/>
        <v>30.788483872592494</v>
      </c>
      <c r="I146" s="1">
        <f t="shared" si="33"/>
        <v>29.134795999999994</v>
      </c>
      <c r="J146">
        <f t="shared" si="34"/>
        <v>59.923279872592488</v>
      </c>
      <c r="K146" s="17">
        <f t="shared" si="35"/>
        <v>6.5017881669489368</v>
      </c>
      <c r="L146">
        <v>0.10497561453408467</v>
      </c>
      <c r="M146">
        <v>0.39560393099785091</v>
      </c>
      <c r="N146">
        <f t="shared" si="36"/>
        <v>0.19139999999999999</v>
      </c>
      <c r="O146">
        <v>0.58293763312184677</v>
      </c>
      <c r="P146">
        <v>0.19139999999999999</v>
      </c>
    </row>
    <row r="147" spans="1:16" x14ac:dyDescent="0.2">
      <c r="A147" s="19" t="s">
        <v>29</v>
      </c>
      <c r="B147">
        <f t="shared" si="30"/>
        <v>194</v>
      </c>
      <c r="C147">
        <f t="shared" si="22"/>
        <v>146</v>
      </c>
      <c r="D147" t="s">
        <v>28</v>
      </c>
      <c r="E147" t="s">
        <v>6</v>
      </c>
      <c r="F147" t="s">
        <v>21</v>
      </c>
      <c r="G147" s="17">
        <f t="shared" si="31"/>
        <v>67.568659171972172</v>
      </c>
      <c r="H147">
        <f t="shared" si="32"/>
        <v>31.785678927990769</v>
      </c>
      <c r="I147" s="1">
        <f t="shared" si="33"/>
        <v>23.917477999999992</v>
      </c>
      <c r="J147">
        <f t="shared" si="34"/>
        <v>55.703156927990761</v>
      </c>
      <c r="K147" s="17">
        <f t="shared" si="35"/>
        <v>6.4921299560271652</v>
      </c>
      <c r="L147">
        <v>0.10872969847367116</v>
      </c>
      <c r="M147">
        <v>0.40409105858113764</v>
      </c>
      <c r="N147">
        <f t="shared" si="36"/>
        <v>0.16769999999999999</v>
      </c>
      <c r="O147">
        <v>0.58203024765381117</v>
      </c>
      <c r="P147">
        <v>0.16769999999999999</v>
      </c>
    </row>
    <row r="148" spans="1:16" x14ac:dyDescent="0.2">
      <c r="A148" s="19" t="s">
        <v>30</v>
      </c>
      <c r="B148">
        <f t="shared" si="30"/>
        <v>194</v>
      </c>
      <c r="C148">
        <f t="shared" si="22"/>
        <v>146</v>
      </c>
      <c r="D148" t="s">
        <v>28</v>
      </c>
      <c r="E148" t="s">
        <v>6</v>
      </c>
      <c r="F148" t="s">
        <v>21</v>
      </c>
      <c r="G148" s="17">
        <f t="shared" si="31"/>
        <v>59.341645359417967</v>
      </c>
      <c r="H148">
        <f t="shared" si="32"/>
        <v>29.476458336572083</v>
      </c>
      <c r="I148" s="1">
        <f t="shared" si="33"/>
        <v>22.552610000000001</v>
      </c>
      <c r="J148">
        <f t="shared" si="34"/>
        <v>52.029068336572081</v>
      </c>
      <c r="K148" s="17">
        <f t="shared" si="35"/>
        <v>6.6714154769048344</v>
      </c>
      <c r="L148">
        <v>0.10217551080300298</v>
      </c>
      <c r="M148">
        <v>0.38443728104661545</v>
      </c>
      <c r="N148">
        <f t="shared" si="36"/>
        <v>0.1615</v>
      </c>
      <c r="O148">
        <v>0.59887405833378748</v>
      </c>
      <c r="P148">
        <v>0.1615</v>
      </c>
    </row>
    <row r="149" spans="1:16" x14ac:dyDescent="0.2">
      <c r="A149" s="19" t="s">
        <v>31</v>
      </c>
      <c r="B149">
        <f t="shared" si="30"/>
        <v>194</v>
      </c>
      <c r="C149">
        <f t="shared" si="22"/>
        <v>146</v>
      </c>
      <c r="D149" t="s">
        <v>28</v>
      </c>
      <c r="E149" t="s">
        <v>19</v>
      </c>
      <c r="F149" t="s">
        <v>21</v>
      </c>
      <c r="G149" s="17">
        <f t="shared" si="31"/>
        <v>70.747148558785355</v>
      </c>
      <c r="H149">
        <f t="shared" si="32"/>
        <v>30.651896093684709</v>
      </c>
      <c r="I149" s="1">
        <f t="shared" si="33"/>
        <v>27.241591999999997</v>
      </c>
      <c r="J149">
        <f t="shared" si="34"/>
        <v>57.893488093684709</v>
      </c>
      <c r="K149" s="17">
        <f t="shared" si="35"/>
        <v>6.668352245153562</v>
      </c>
      <c r="L149">
        <v>0.11126189501849899</v>
      </c>
      <c r="M149">
        <v>0.39444143234762935</v>
      </c>
      <c r="N149">
        <f t="shared" si="36"/>
        <v>0.18279999999999999</v>
      </c>
      <c r="O149">
        <v>0.59858626880435573</v>
      </c>
      <c r="P149">
        <v>0.18279999999999999</v>
      </c>
    </row>
    <row r="150" spans="1:16" x14ac:dyDescent="0.2">
      <c r="A150" s="19" t="s">
        <v>32</v>
      </c>
      <c r="B150">
        <f t="shared" si="30"/>
        <v>194</v>
      </c>
      <c r="C150">
        <f t="shared" si="22"/>
        <v>146</v>
      </c>
      <c r="D150" t="s">
        <v>28</v>
      </c>
      <c r="E150" t="s">
        <v>19</v>
      </c>
      <c r="F150" t="s">
        <v>21</v>
      </c>
      <c r="G150" s="17">
        <f t="shared" si="31"/>
        <v>62.706996886514837</v>
      </c>
      <c r="H150">
        <f t="shared" si="32"/>
        <v>29.94124878915418</v>
      </c>
      <c r="I150" s="1">
        <f t="shared" si="33"/>
        <v>26.977423999999999</v>
      </c>
      <c r="J150">
        <f t="shared" si="34"/>
        <v>56.918672789154179</v>
      </c>
      <c r="K150" s="17">
        <f t="shared" si="35"/>
        <v>6.5393870489239587</v>
      </c>
      <c r="L150">
        <v>0.10485657418625682</v>
      </c>
      <c r="M150">
        <v>0.38839311280611244</v>
      </c>
      <c r="N150">
        <f t="shared" si="36"/>
        <v>0.18160000000000001</v>
      </c>
      <c r="O150">
        <v>0.58647003466027425</v>
      </c>
      <c r="P150">
        <v>0.18160000000000001</v>
      </c>
    </row>
    <row r="151" spans="1:16" x14ac:dyDescent="0.2">
      <c r="A151" s="19" t="s">
        <v>33</v>
      </c>
      <c r="B151">
        <f t="shared" si="30"/>
        <v>194</v>
      </c>
      <c r="C151">
        <f t="shared" si="22"/>
        <v>146</v>
      </c>
      <c r="D151" t="s">
        <v>28</v>
      </c>
      <c r="E151" t="s">
        <v>19</v>
      </c>
      <c r="F151" t="s">
        <v>21</v>
      </c>
      <c r="G151" s="17">
        <f t="shared" si="31"/>
        <v>58.358870759933879</v>
      </c>
      <c r="H151">
        <f t="shared" si="32"/>
        <v>30.832131446307628</v>
      </c>
      <c r="I151" s="1">
        <f t="shared" si="33"/>
        <v>23.191015999999998</v>
      </c>
      <c r="J151">
        <f t="shared" si="34"/>
        <v>54.023147446307625</v>
      </c>
      <c r="K151" s="17">
        <f t="shared" si="35"/>
        <v>6.5797380911303511</v>
      </c>
      <c r="L151">
        <v>0.10139256703874733</v>
      </c>
      <c r="M151">
        <v>0.395975415518172</v>
      </c>
      <c r="N151">
        <f t="shared" si="36"/>
        <v>0.16439999999999999</v>
      </c>
      <c r="O151">
        <v>0.59026100066989395</v>
      </c>
      <c r="P151">
        <v>0.16439999999999999</v>
      </c>
    </row>
    <row r="152" spans="1:16" x14ac:dyDescent="0.2">
      <c r="A152" s="19" t="s">
        <v>39</v>
      </c>
      <c r="B152">
        <f t="shared" ref="B152:B181" si="37">B122+72</f>
        <v>266</v>
      </c>
      <c r="C152">
        <f t="shared" si="22"/>
        <v>218</v>
      </c>
      <c r="D152" t="s">
        <v>5</v>
      </c>
      <c r="E152" t="s">
        <v>6</v>
      </c>
      <c r="F152" t="s">
        <v>7</v>
      </c>
      <c r="G152" s="17">
        <f t="shared" si="31"/>
        <v>80.0912918572172</v>
      </c>
      <c r="H152">
        <f t="shared" si="32"/>
        <v>-3.9434999999999985</v>
      </c>
      <c r="I152" s="1">
        <f t="shared" ref="I152:I181" si="38">(11.007*N152-0.65)*20</f>
        <v>35.320730000000005</v>
      </c>
      <c r="K152" s="17">
        <f t="shared" si="35"/>
        <v>0.71350858999998357</v>
      </c>
      <c r="L152" s="20">
        <v>0.11870606251291638</v>
      </c>
      <c r="M152" s="20">
        <v>0.1</v>
      </c>
      <c r="N152">
        <f t="shared" ref="N152:N181" si="39">AVERAGE(P152:R152)</f>
        <v>0.2195</v>
      </c>
      <c r="O152" s="20">
        <v>3.9130833333331783E-2</v>
      </c>
      <c r="P152">
        <v>0.2195</v>
      </c>
    </row>
    <row r="153" spans="1:16" x14ac:dyDescent="0.2">
      <c r="A153" s="19" t="s">
        <v>8</v>
      </c>
      <c r="B153">
        <f t="shared" si="37"/>
        <v>266</v>
      </c>
      <c r="C153">
        <f t="shared" si="22"/>
        <v>218</v>
      </c>
      <c r="D153" t="s">
        <v>5</v>
      </c>
      <c r="E153" t="s">
        <v>6</v>
      </c>
      <c r="F153" t="s">
        <v>7</v>
      </c>
      <c r="G153" s="17">
        <f t="shared" si="31"/>
        <v>9.1158313962493072</v>
      </c>
      <c r="H153">
        <f t="shared" si="32"/>
        <v>-3.9434999999999985</v>
      </c>
      <c r="I153" s="1">
        <f t="shared" si="38"/>
        <v>28.980698</v>
      </c>
      <c r="K153" s="17">
        <v>0</v>
      </c>
      <c r="L153" s="20">
        <v>6.2162279012345278E-2</v>
      </c>
      <c r="M153" s="20">
        <v>0.1</v>
      </c>
      <c r="N153">
        <f t="shared" si="39"/>
        <v>0.19070000000000001</v>
      </c>
      <c r="O153" s="20" t="s">
        <v>64</v>
      </c>
      <c r="P153">
        <v>0.19070000000000001</v>
      </c>
    </row>
    <row r="154" spans="1:16" x14ac:dyDescent="0.2">
      <c r="A154" s="19" t="s">
        <v>9</v>
      </c>
      <c r="B154">
        <f t="shared" si="37"/>
        <v>266</v>
      </c>
      <c r="C154">
        <f t="shared" si="22"/>
        <v>218</v>
      </c>
      <c r="D154" t="s">
        <v>5</v>
      </c>
      <c r="E154" t="s">
        <v>6</v>
      </c>
      <c r="F154" t="s">
        <v>7</v>
      </c>
      <c r="G154" s="17">
        <f t="shared" si="31"/>
        <v>39.240210586926203</v>
      </c>
      <c r="H154">
        <f t="shared" si="32"/>
        <v>-3.9434999999999985</v>
      </c>
      <c r="I154" s="1">
        <f t="shared" si="38"/>
        <v>27.549787999999999</v>
      </c>
      <c r="K154" s="17">
        <f>(0.3548*O154 + 0.0099)*30</f>
        <v>0.30256255440000163</v>
      </c>
      <c r="L154" s="20">
        <v>8.616136776758454E-2</v>
      </c>
      <c r="M154" s="20">
        <v>0.1</v>
      </c>
      <c r="N154">
        <f t="shared" si="39"/>
        <v>0.1842</v>
      </c>
      <c r="O154" s="20">
        <v>5.2260000000015072E-4</v>
      </c>
      <c r="P154">
        <v>0.1842</v>
      </c>
    </row>
    <row r="155" spans="1:16" x14ac:dyDescent="0.2">
      <c r="A155" s="19" t="s">
        <v>10</v>
      </c>
      <c r="B155">
        <f t="shared" si="37"/>
        <v>266</v>
      </c>
      <c r="C155">
        <f t="shared" si="22"/>
        <v>218</v>
      </c>
      <c r="D155" t="s">
        <v>11</v>
      </c>
      <c r="E155" t="s">
        <v>6</v>
      </c>
      <c r="F155" t="s">
        <v>7</v>
      </c>
      <c r="G155" s="17">
        <f t="shared" si="31"/>
        <v>32.355218458546588</v>
      </c>
      <c r="H155">
        <f t="shared" si="32"/>
        <v>-3.9434999999999985</v>
      </c>
      <c r="I155" s="1">
        <f t="shared" si="38"/>
        <v>30.653762</v>
      </c>
      <c r="K155" s="17">
        <v>0</v>
      </c>
      <c r="L155" s="20">
        <v>8.0676324038642111E-2</v>
      </c>
      <c r="M155" s="20">
        <v>0.1</v>
      </c>
      <c r="N155">
        <f t="shared" si="39"/>
        <v>0.1983</v>
      </c>
      <c r="O155" s="20" t="s">
        <v>64</v>
      </c>
      <c r="P155">
        <v>0.1983</v>
      </c>
    </row>
    <row r="156" spans="1:16" x14ac:dyDescent="0.2">
      <c r="A156" s="19" t="s">
        <v>12</v>
      </c>
      <c r="B156">
        <f t="shared" si="37"/>
        <v>266</v>
      </c>
      <c r="C156">
        <f t="shared" si="22"/>
        <v>218</v>
      </c>
      <c r="D156" t="s">
        <v>11</v>
      </c>
      <c r="E156" t="s">
        <v>6</v>
      </c>
      <c r="F156" t="s">
        <v>7</v>
      </c>
      <c r="G156" s="17">
        <f t="shared" si="31"/>
        <v>60.932252975109193</v>
      </c>
      <c r="H156">
        <f t="shared" si="32"/>
        <v>-3.9434999999999985</v>
      </c>
      <c r="I156" s="1">
        <f t="shared" si="38"/>
        <v>33.66968</v>
      </c>
      <c r="K156" s="17">
        <f>(0.3548*O156 + 0.0099)*30</f>
        <v>1.0950864103999418</v>
      </c>
      <c r="L156" s="20">
        <v>0.10344269487017033</v>
      </c>
      <c r="M156" s="20">
        <v>0.1</v>
      </c>
      <c r="N156">
        <f t="shared" si="39"/>
        <v>0.21199999999999999</v>
      </c>
      <c r="O156" s="20">
        <v>7.4979933333327864E-2</v>
      </c>
      <c r="P156">
        <v>0.21199999999999999</v>
      </c>
    </row>
    <row r="157" spans="1:16" x14ac:dyDescent="0.2">
      <c r="A157" s="19" t="s">
        <v>13</v>
      </c>
      <c r="B157">
        <f t="shared" si="37"/>
        <v>266</v>
      </c>
      <c r="C157">
        <f t="shared" si="22"/>
        <v>218</v>
      </c>
      <c r="D157" t="s">
        <v>11</v>
      </c>
      <c r="E157" t="s">
        <v>6</v>
      </c>
      <c r="F157" t="s">
        <v>7</v>
      </c>
      <c r="G157" s="17">
        <f t="shared" si="31"/>
        <v>69.513952773519648</v>
      </c>
      <c r="H157">
        <f t="shared" si="32"/>
        <v>-3.9434999999999985</v>
      </c>
      <c r="I157" s="1">
        <f t="shared" si="38"/>
        <v>40.185824000000004</v>
      </c>
      <c r="K157" s="17">
        <f>(0.3548*O157 + 0.0099)*30</f>
        <v>0.82473218100000456</v>
      </c>
      <c r="L157" s="20">
        <v>0.11027944904290399</v>
      </c>
      <c r="M157" s="20">
        <v>0.1</v>
      </c>
      <c r="N157">
        <f t="shared" si="39"/>
        <v>0.24160000000000001</v>
      </c>
      <c r="O157" s="20">
        <v>4.9580250000000436E-2</v>
      </c>
      <c r="P157">
        <v>0.24160000000000001</v>
      </c>
    </row>
    <row r="158" spans="1:16" x14ac:dyDescent="0.2">
      <c r="A158" s="19" t="s">
        <v>14</v>
      </c>
      <c r="B158">
        <f t="shared" si="37"/>
        <v>266</v>
      </c>
      <c r="C158">
        <f t="shared" si="22"/>
        <v>218</v>
      </c>
      <c r="D158" t="s">
        <v>15</v>
      </c>
      <c r="E158" t="s">
        <v>6</v>
      </c>
      <c r="F158" t="s">
        <v>7</v>
      </c>
      <c r="G158" s="17">
        <f t="shared" si="31"/>
        <v>79.983757594429164</v>
      </c>
      <c r="H158">
        <f t="shared" si="32"/>
        <v>-3.9434999999999985</v>
      </c>
      <c r="I158" s="1">
        <f t="shared" si="38"/>
        <v>30.191468000000008</v>
      </c>
      <c r="K158" s="17">
        <f>(0.3548*O158 + 0.0099)*30</f>
        <v>3.9599202522000141</v>
      </c>
      <c r="L158" s="20">
        <v>0.11862039355022858</v>
      </c>
      <c r="M158" s="20">
        <v>0.1</v>
      </c>
      <c r="N158">
        <f t="shared" si="39"/>
        <v>0.19620000000000001</v>
      </c>
      <c r="O158" s="20">
        <v>0.3441300500000013</v>
      </c>
      <c r="P158">
        <v>0.19620000000000001</v>
      </c>
    </row>
    <row r="159" spans="1:16" x14ac:dyDescent="0.2">
      <c r="A159" s="19" t="s">
        <v>16</v>
      </c>
      <c r="B159">
        <f t="shared" si="37"/>
        <v>266</v>
      </c>
      <c r="C159">
        <f t="shared" si="22"/>
        <v>218</v>
      </c>
      <c r="D159" t="s">
        <v>15</v>
      </c>
      <c r="E159" t="s">
        <v>6</v>
      </c>
      <c r="F159" t="s">
        <v>7</v>
      </c>
      <c r="G159" s="17">
        <f t="shared" si="31"/>
        <v>15.730881109443496</v>
      </c>
      <c r="H159">
        <f t="shared" si="32"/>
        <v>-3.9434999999999985</v>
      </c>
      <c r="I159" s="1">
        <f t="shared" si="38"/>
        <v>33.163358000000002</v>
      </c>
      <c r="K159" s="17">
        <f>(0.3548*O159 + 0.0099)*30</f>
        <v>0.49087229959999001</v>
      </c>
      <c r="L159" s="20">
        <v>6.7432268617189983E-2</v>
      </c>
      <c r="M159" s="20">
        <v>0.1</v>
      </c>
      <c r="N159">
        <f t="shared" si="39"/>
        <v>0.2097</v>
      </c>
      <c r="O159" s="20">
        <v>1.8214233333332386E-2</v>
      </c>
      <c r="P159">
        <v>0.2097</v>
      </c>
    </row>
    <row r="160" spans="1:16" x14ac:dyDescent="0.2">
      <c r="A160" s="19" t="s">
        <v>17</v>
      </c>
      <c r="B160">
        <f t="shared" si="37"/>
        <v>266</v>
      </c>
      <c r="C160">
        <f t="shared" si="22"/>
        <v>218</v>
      </c>
      <c r="D160" t="s">
        <v>15</v>
      </c>
      <c r="E160" t="s">
        <v>6</v>
      </c>
      <c r="F160" t="s">
        <v>7</v>
      </c>
      <c r="G160" s="17">
        <f t="shared" si="31"/>
        <v>38.077154882995913</v>
      </c>
      <c r="H160">
        <f t="shared" si="32"/>
        <v>-3.9434999999999985</v>
      </c>
      <c r="I160" s="1">
        <f t="shared" si="38"/>
        <v>31.46828</v>
      </c>
      <c r="K160" s="17">
        <v>0</v>
      </c>
      <c r="L160" s="20">
        <v>8.5234800056786741E-2</v>
      </c>
      <c r="M160" s="20">
        <v>0.1</v>
      </c>
      <c r="N160">
        <f t="shared" si="39"/>
        <v>0.20200000000000001</v>
      </c>
      <c r="O160" s="20" t="s">
        <v>64</v>
      </c>
      <c r="P160">
        <v>0.20200000000000001</v>
      </c>
    </row>
    <row r="161" spans="1:16" x14ac:dyDescent="0.2">
      <c r="A161" s="19" t="s">
        <v>18</v>
      </c>
      <c r="B161">
        <f t="shared" si="37"/>
        <v>266</v>
      </c>
      <c r="C161">
        <f t="shared" ref="C161:C181" si="40">B161-48</f>
        <v>218</v>
      </c>
      <c r="D161" t="s">
        <v>5</v>
      </c>
      <c r="E161" t="s">
        <v>19</v>
      </c>
      <c r="F161" t="s">
        <v>7</v>
      </c>
      <c r="G161" s="17">
        <f t="shared" si="31"/>
        <v>37.172240519197622</v>
      </c>
      <c r="H161">
        <f t="shared" si="32"/>
        <v>-3.9434999999999985</v>
      </c>
      <c r="I161" s="1">
        <f t="shared" si="38"/>
        <v>34.726351999999999</v>
      </c>
      <c r="K161" s="17">
        <v>0</v>
      </c>
      <c r="L161" s="20">
        <v>8.4513884946960771E-2</v>
      </c>
      <c r="M161" s="20">
        <v>0.1</v>
      </c>
      <c r="N161">
        <f t="shared" si="39"/>
        <v>0.21679999999999999</v>
      </c>
      <c r="O161" s="20" t="s">
        <v>64</v>
      </c>
      <c r="P161">
        <v>0.21679999999999999</v>
      </c>
    </row>
    <row r="162" spans="1:16" x14ac:dyDescent="0.2">
      <c r="A162" s="19" t="s">
        <v>8</v>
      </c>
      <c r="B162">
        <f t="shared" si="37"/>
        <v>266</v>
      </c>
      <c r="C162">
        <f t="shared" si="40"/>
        <v>218</v>
      </c>
      <c r="D162" t="s">
        <v>5</v>
      </c>
      <c r="E162" t="s">
        <v>19</v>
      </c>
      <c r="F162" t="s">
        <v>7</v>
      </c>
      <c r="G162" s="17">
        <f t="shared" ref="G162:G181" si="41">30*(L162-0.0549)/0.0239</f>
        <v>50.24357965324154</v>
      </c>
      <c r="H162">
        <f t="shared" ref="H162:H181" si="42">(3.9165*M162-0.5231)*30</f>
        <v>-3.9434999999999985</v>
      </c>
      <c r="I162" s="1">
        <f t="shared" si="38"/>
        <v>39.657488000000001</v>
      </c>
      <c r="K162" s="17">
        <f t="shared" ref="K162:K170" si="43">(0.3548*O162 + 0.0099)*30</f>
        <v>2.176812890999968</v>
      </c>
      <c r="L162" s="20">
        <v>9.4927385123749097E-2</v>
      </c>
      <c r="M162" s="20">
        <v>0.1</v>
      </c>
      <c r="N162">
        <f t="shared" si="39"/>
        <v>0.2392</v>
      </c>
      <c r="O162" s="20">
        <v>0.17660774999999695</v>
      </c>
      <c r="P162">
        <v>0.2392</v>
      </c>
    </row>
    <row r="163" spans="1:16" x14ac:dyDescent="0.2">
      <c r="A163" s="19" t="s">
        <v>9</v>
      </c>
      <c r="B163">
        <f t="shared" si="37"/>
        <v>266</v>
      </c>
      <c r="C163">
        <f t="shared" si="40"/>
        <v>218</v>
      </c>
      <c r="D163" t="s">
        <v>5</v>
      </c>
      <c r="E163" t="s">
        <v>19</v>
      </c>
      <c r="F163" t="s">
        <v>7</v>
      </c>
      <c r="G163" s="17">
        <f t="shared" si="41"/>
        <v>29.198382106963781</v>
      </c>
      <c r="H163">
        <f t="shared" si="42"/>
        <v>-3.9434999999999985</v>
      </c>
      <c r="I163" s="1">
        <f t="shared" si="38"/>
        <v>35.012533999999995</v>
      </c>
      <c r="K163" s="17">
        <f t="shared" si="43"/>
        <v>0.48521040120000392</v>
      </c>
      <c r="L163" s="20">
        <v>7.8161377745214478E-2</v>
      </c>
      <c r="M163" s="20">
        <v>0.1</v>
      </c>
      <c r="N163">
        <f t="shared" si="39"/>
        <v>0.21809999999999999</v>
      </c>
      <c r="O163" s="20">
        <v>1.7682300000000373E-2</v>
      </c>
      <c r="P163">
        <v>0.21809999999999999</v>
      </c>
    </row>
    <row r="164" spans="1:16" x14ac:dyDescent="0.2">
      <c r="A164" s="19" t="s">
        <v>10</v>
      </c>
      <c r="B164">
        <f t="shared" si="37"/>
        <v>266</v>
      </c>
      <c r="C164">
        <f t="shared" si="40"/>
        <v>218</v>
      </c>
      <c r="D164" t="s">
        <v>11</v>
      </c>
      <c r="E164" t="s">
        <v>19</v>
      </c>
      <c r="F164" t="s">
        <v>7</v>
      </c>
      <c r="G164" s="17">
        <f t="shared" si="41"/>
        <v>58.647280830516564</v>
      </c>
      <c r="H164">
        <f t="shared" si="42"/>
        <v>-3.9434999999999985</v>
      </c>
      <c r="I164" s="1">
        <f t="shared" si="38"/>
        <v>36.311359999999993</v>
      </c>
      <c r="K164" s="17">
        <f t="shared" si="43"/>
        <v>1.4014445019998929</v>
      </c>
      <c r="L164" s="20">
        <v>0.10162233372831153</v>
      </c>
      <c r="M164" s="20">
        <v>0.1</v>
      </c>
      <c r="N164">
        <f t="shared" si="39"/>
        <v>0.224</v>
      </c>
      <c r="O164" s="20">
        <v>0.10376216666665661</v>
      </c>
      <c r="P164">
        <v>0.224</v>
      </c>
    </row>
    <row r="165" spans="1:16" x14ac:dyDescent="0.2">
      <c r="A165" s="19" t="s">
        <v>12</v>
      </c>
      <c r="B165">
        <f t="shared" si="37"/>
        <v>266</v>
      </c>
      <c r="C165">
        <f t="shared" si="40"/>
        <v>218</v>
      </c>
      <c r="D165" t="s">
        <v>11</v>
      </c>
      <c r="E165" t="s">
        <v>19</v>
      </c>
      <c r="F165" t="s">
        <v>7</v>
      </c>
      <c r="G165" s="17">
        <f t="shared" si="41"/>
        <v>60.856233114166464</v>
      </c>
      <c r="H165">
        <f t="shared" si="42"/>
        <v>-3.9434999999999985</v>
      </c>
      <c r="I165" s="1">
        <f t="shared" si="38"/>
        <v>37.125878000000007</v>
      </c>
      <c r="K165" s="17">
        <f t="shared" si="43"/>
        <v>0.78844394659995909</v>
      </c>
      <c r="L165" s="20">
        <v>0.10338213238095262</v>
      </c>
      <c r="M165" s="20">
        <v>0.1</v>
      </c>
      <c r="N165">
        <f t="shared" si="39"/>
        <v>0.22770000000000001</v>
      </c>
      <c r="O165" s="20">
        <v>4.6170983333329474E-2</v>
      </c>
      <c r="P165">
        <v>0.22770000000000001</v>
      </c>
    </row>
    <row r="166" spans="1:16" x14ac:dyDescent="0.2">
      <c r="A166" s="19" t="s">
        <v>13</v>
      </c>
      <c r="B166">
        <f t="shared" si="37"/>
        <v>266</v>
      </c>
      <c r="C166">
        <f t="shared" si="40"/>
        <v>218</v>
      </c>
      <c r="D166" t="s">
        <v>11</v>
      </c>
      <c r="E166" t="s">
        <v>19</v>
      </c>
      <c r="F166" t="s">
        <v>7</v>
      </c>
      <c r="G166" s="17">
        <f t="shared" si="41"/>
        <v>68.53938086245536</v>
      </c>
      <c r="H166">
        <f t="shared" si="42"/>
        <v>-3.9434999999999985</v>
      </c>
      <c r="I166" s="1">
        <f t="shared" si="38"/>
        <v>37.830325999999999</v>
      </c>
      <c r="K166" s="17">
        <f t="shared" si="43"/>
        <v>0.67354107960002851</v>
      </c>
      <c r="L166" s="20">
        <v>0.10950304008708944</v>
      </c>
      <c r="M166" s="20">
        <v>0.1</v>
      </c>
      <c r="N166">
        <f t="shared" si="39"/>
        <v>0.23089999999999999</v>
      </c>
      <c r="O166" s="20">
        <v>3.537590000000268E-2</v>
      </c>
      <c r="P166">
        <v>0.23089999999999999</v>
      </c>
    </row>
    <row r="167" spans="1:16" x14ac:dyDescent="0.2">
      <c r="A167" s="19" t="s">
        <v>14</v>
      </c>
      <c r="B167">
        <f t="shared" si="37"/>
        <v>266</v>
      </c>
      <c r="C167">
        <f t="shared" si="40"/>
        <v>218</v>
      </c>
      <c r="D167" t="s">
        <v>15</v>
      </c>
      <c r="E167" t="s">
        <v>19</v>
      </c>
      <c r="F167" t="s">
        <v>7</v>
      </c>
      <c r="G167" s="17">
        <f t="shared" si="41"/>
        <v>48.050015989521022</v>
      </c>
      <c r="H167">
        <f t="shared" si="42"/>
        <v>-3.9434999999999985</v>
      </c>
      <c r="I167" s="1">
        <f t="shared" si="38"/>
        <v>33.603638000000004</v>
      </c>
      <c r="K167" s="17">
        <f t="shared" si="43"/>
        <v>2.3938445832000346</v>
      </c>
      <c r="L167" s="20">
        <v>9.3179846071651751E-2</v>
      </c>
      <c r="M167" s="20">
        <v>0.1</v>
      </c>
      <c r="N167">
        <f t="shared" si="39"/>
        <v>0.2117</v>
      </c>
      <c r="O167" s="20">
        <v>0.19699780000000322</v>
      </c>
      <c r="P167">
        <v>0.2117</v>
      </c>
    </row>
    <row r="168" spans="1:16" x14ac:dyDescent="0.2">
      <c r="A168" s="19" t="s">
        <v>16</v>
      </c>
      <c r="B168">
        <f t="shared" si="37"/>
        <v>266</v>
      </c>
      <c r="C168">
        <f t="shared" si="40"/>
        <v>218</v>
      </c>
      <c r="D168" t="s">
        <v>15</v>
      </c>
      <c r="E168" t="s">
        <v>19</v>
      </c>
      <c r="F168" t="s">
        <v>7</v>
      </c>
      <c r="G168" s="17">
        <f t="shared" si="41"/>
        <v>32.375664943501235</v>
      </c>
      <c r="H168">
        <f t="shared" si="42"/>
        <v>-3.9434999999999985</v>
      </c>
      <c r="I168" s="1">
        <f t="shared" si="38"/>
        <v>32.745092000000007</v>
      </c>
      <c r="K168" s="17">
        <f t="shared" si="43"/>
        <v>0.52100759239999861</v>
      </c>
      <c r="L168" s="20">
        <v>8.0692613071655983E-2</v>
      </c>
      <c r="M168" s="20">
        <v>0.1</v>
      </c>
      <c r="N168">
        <f t="shared" si="39"/>
        <v>0.20780000000000001</v>
      </c>
      <c r="O168" s="20">
        <v>2.1045433333333197E-2</v>
      </c>
      <c r="P168">
        <v>0.20780000000000001</v>
      </c>
    </row>
    <row r="169" spans="1:16" x14ac:dyDescent="0.2">
      <c r="A169" s="19" t="s">
        <v>17</v>
      </c>
      <c r="B169">
        <f t="shared" si="37"/>
        <v>266</v>
      </c>
      <c r="C169">
        <f t="shared" si="40"/>
        <v>218</v>
      </c>
      <c r="D169" t="s">
        <v>15</v>
      </c>
      <c r="E169" t="s">
        <v>19</v>
      </c>
      <c r="F169" t="s">
        <v>7</v>
      </c>
      <c r="G169" s="17">
        <f t="shared" si="41"/>
        <v>56.765661151746905</v>
      </c>
      <c r="H169">
        <f t="shared" si="42"/>
        <v>-3.9434999999999985</v>
      </c>
      <c r="I169" s="1">
        <f t="shared" si="38"/>
        <v>66.998875999999996</v>
      </c>
      <c r="K169" s="17">
        <f t="shared" si="43"/>
        <v>2.1426362487999588</v>
      </c>
      <c r="L169" s="20">
        <v>0.1001233100508917</v>
      </c>
      <c r="M169" s="20">
        <v>0.1</v>
      </c>
      <c r="N169">
        <f t="shared" si="39"/>
        <v>0.3634</v>
      </c>
      <c r="O169" s="20">
        <v>0.17339686666666276</v>
      </c>
      <c r="P169">
        <v>0.3634</v>
      </c>
    </row>
    <row r="170" spans="1:16" x14ac:dyDescent="0.2">
      <c r="A170" s="19" t="s">
        <v>20</v>
      </c>
      <c r="B170">
        <f t="shared" si="37"/>
        <v>266</v>
      </c>
      <c r="C170">
        <f t="shared" si="40"/>
        <v>218</v>
      </c>
      <c r="D170" t="s">
        <v>5</v>
      </c>
      <c r="E170" t="s">
        <v>19</v>
      </c>
      <c r="F170" t="s">
        <v>21</v>
      </c>
      <c r="G170" s="17">
        <f t="shared" si="41"/>
        <v>43.990142084615719</v>
      </c>
      <c r="H170">
        <f t="shared" si="42"/>
        <v>-3.9434999999999985</v>
      </c>
      <c r="I170" s="1">
        <f t="shared" si="38"/>
        <v>58.787653999999996</v>
      </c>
      <c r="K170" s="17">
        <f t="shared" si="43"/>
        <v>0.36618191980000692</v>
      </c>
      <c r="L170" s="20">
        <v>8.994547986074386E-2</v>
      </c>
      <c r="M170" s="20">
        <v>0.1</v>
      </c>
      <c r="N170">
        <f t="shared" si="39"/>
        <v>0.3261</v>
      </c>
      <c r="O170" s="20">
        <v>6.4996166666673183E-3</v>
      </c>
      <c r="P170">
        <v>0.3261</v>
      </c>
    </row>
    <row r="171" spans="1:16" x14ac:dyDescent="0.2">
      <c r="A171" s="19" t="s">
        <v>22</v>
      </c>
      <c r="B171">
        <f t="shared" si="37"/>
        <v>266</v>
      </c>
      <c r="C171">
        <f t="shared" si="40"/>
        <v>218</v>
      </c>
      <c r="D171" t="s">
        <v>5</v>
      </c>
      <c r="E171" t="s">
        <v>19</v>
      </c>
      <c r="F171" t="s">
        <v>21</v>
      </c>
      <c r="G171" s="17">
        <f t="shared" si="41"/>
        <v>17.174809215546389</v>
      </c>
      <c r="H171">
        <f t="shared" si="42"/>
        <v>33.184863009588177</v>
      </c>
      <c r="I171" s="1">
        <f t="shared" si="38"/>
        <v>33.625651999999995</v>
      </c>
      <c r="K171" s="17">
        <v>0</v>
      </c>
      <c r="L171" s="20">
        <v>6.8582598008385287E-2</v>
      </c>
      <c r="M171" s="20">
        <v>0.41599951495457832</v>
      </c>
      <c r="N171">
        <f t="shared" si="39"/>
        <v>0.21179999999999999</v>
      </c>
      <c r="O171" s="20" t="s">
        <v>64</v>
      </c>
      <c r="P171">
        <v>0.21179999999999999</v>
      </c>
    </row>
    <row r="172" spans="1:16" x14ac:dyDescent="0.2">
      <c r="A172" s="19" t="s">
        <v>23</v>
      </c>
      <c r="B172">
        <f t="shared" si="37"/>
        <v>266</v>
      </c>
      <c r="C172">
        <f t="shared" si="40"/>
        <v>218</v>
      </c>
      <c r="D172" t="s">
        <v>5</v>
      </c>
      <c r="E172" t="s">
        <v>19</v>
      </c>
      <c r="F172" t="s">
        <v>21</v>
      </c>
      <c r="G172" s="17">
        <f t="shared" si="41"/>
        <v>32.43218382765675</v>
      </c>
      <c r="H172">
        <f t="shared" si="42"/>
        <v>-3.9434999999999985</v>
      </c>
      <c r="I172" s="1">
        <f t="shared" si="38"/>
        <v>32.745092000000007</v>
      </c>
      <c r="K172" s="17">
        <f t="shared" ref="K172:K181" si="44">(0.3548*O172 + 0.0099)*30</f>
        <v>0.52579348960001193</v>
      </c>
      <c r="L172" s="20">
        <v>8.0737639782699877E-2</v>
      </c>
      <c r="M172" s="20">
        <v>0.1</v>
      </c>
      <c r="N172">
        <f t="shared" si="39"/>
        <v>0.20780000000000001</v>
      </c>
      <c r="O172" s="20">
        <v>2.1495066666667784E-2</v>
      </c>
      <c r="P172">
        <v>0.20780000000000001</v>
      </c>
    </row>
    <row r="173" spans="1:16" x14ac:dyDescent="0.2">
      <c r="A173" s="19" t="s">
        <v>24</v>
      </c>
      <c r="B173">
        <f t="shared" si="37"/>
        <v>266</v>
      </c>
      <c r="C173">
        <f t="shared" si="40"/>
        <v>218</v>
      </c>
      <c r="D173" t="s">
        <v>15</v>
      </c>
      <c r="E173" t="s">
        <v>19</v>
      </c>
      <c r="F173" t="s">
        <v>21</v>
      </c>
      <c r="G173" s="17">
        <f t="shared" si="41"/>
        <v>27.636613083649213</v>
      </c>
      <c r="H173">
        <f t="shared" si="42"/>
        <v>-3.9434999999999985</v>
      </c>
      <c r="I173" s="1">
        <f t="shared" si="38"/>
        <v>36.311359999999993</v>
      </c>
      <c r="K173" s="17">
        <f t="shared" si="44"/>
        <v>0.91292304299999927</v>
      </c>
      <c r="L173" s="20">
        <v>7.6917168423307203E-2</v>
      </c>
      <c r="M173" s="20">
        <v>0.1</v>
      </c>
      <c r="N173">
        <f t="shared" si="39"/>
        <v>0.224</v>
      </c>
      <c r="O173" s="20">
        <v>5.7865749999999938E-2</v>
      </c>
      <c r="P173">
        <v>0.224</v>
      </c>
    </row>
    <row r="174" spans="1:16" x14ac:dyDescent="0.2">
      <c r="A174" s="19" t="s">
        <v>25</v>
      </c>
      <c r="B174">
        <f t="shared" si="37"/>
        <v>266</v>
      </c>
      <c r="C174">
        <f t="shared" si="40"/>
        <v>218</v>
      </c>
      <c r="D174" t="s">
        <v>15</v>
      </c>
      <c r="E174" t="s">
        <v>19</v>
      </c>
      <c r="F174" t="s">
        <v>21</v>
      </c>
      <c r="G174" s="17">
        <f t="shared" si="41"/>
        <v>30.166555507646418</v>
      </c>
      <c r="H174">
        <f t="shared" si="42"/>
        <v>-3.9434999999999985</v>
      </c>
      <c r="I174" s="1">
        <f t="shared" si="38"/>
        <v>33.955861999999996</v>
      </c>
      <c r="K174" s="17">
        <f t="shared" si="44"/>
        <v>1.1558189455999852</v>
      </c>
      <c r="L174" s="20">
        <v>7.8932689221091645E-2</v>
      </c>
      <c r="M174" s="20">
        <v>0.1</v>
      </c>
      <c r="N174">
        <f t="shared" si="39"/>
        <v>0.21329999999999999</v>
      </c>
      <c r="O174" s="20">
        <v>8.0685733333331955E-2</v>
      </c>
      <c r="P174">
        <v>0.21329999999999999</v>
      </c>
    </row>
    <row r="175" spans="1:16" x14ac:dyDescent="0.2">
      <c r="A175" s="19" t="s">
        <v>26</v>
      </c>
      <c r="B175">
        <f t="shared" si="37"/>
        <v>266</v>
      </c>
      <c r="C175">
        <f t="shared" si="40"/>
        <v>218</v>
      </c>
      <c r="D175" t="s">
        <v>15</v>
      </c>
      <c r="E175" t="s">
        <v>19</v>
      </c>
      <c r="F175" t="s">
        <v>21</v>
      </c>
      <c r="G175" s="17">
        <f t="shared" si="41"/>
        <v>13.417891213390002</v>
      </c>
      <c r="H175">
        <f t="shared" si="42"/>
        <v>31.775010026500095</v>
      </c>
      <c r="I175" s="1">
        <f t="shared" si="38"/>
        <v>32.789119999999997</v>
      </c>
      <c r="K175" s="17">
        <f t="shared" si="44"/>
        <v>0.40910810740001297</v>
      </c>
      <c r="L175" s="20">
        <v>6.5589586666667365E-2</v>
      </c>
      <c r="M175" s="20">
        <v>0.4040002555555563</v>
      </c>
      <c r="N175">
        <f t="shared" si="39"/>
        <v>0.20799999999999999</v>
      </c>
      <c r="O175" s="20">
        <v>1.0532516666667879E-2</v>
      </c>
      <c r="P175">
        <v>0.20799999999999999</v>
      </c>
    </row>
    <row r="176" spans="1:16" x14ac:dyDescent="0.2">
      <c r="A176" s="19" t="s">
        <v>27</v>
      </c>
      <c r="B176">
        <f t="shared" si="37"/>
        <v>266</v>
      </c>
      <c r="C176">
        <f t="shared" si="40"/>
        <v>218</v>
      </c>
      <c r="D176" t="s">
        <v>28</v>
      </c>
      <c r="E176" t="s">
        <v>6</v>
      </c>
      <c r="F176" t="s">
        <v>21</v>
      </c>
      <c r="G176" s="17">
        <f t="shared" si="41"/>
        <v>68.399871673770491</v>
      </c>
      <c r="H176">
        <f t="shared" si="42"/>
        <v>32.406645545392372</v>
      </c>
      <c r="I176" s="1">
        <f t="shared" si="38"/>
        <v>36.399415999999995</v>
      </c>
      <c r="K176" s="17">
        <f t="shared" si="44"/>
        <v>5.4101858817521622</v>
      </c>
      <c r="L176" s="20">
        <v>0.1093918977667705</v>
      </c>
      <c r="M176" s="20">
        <v>0.40937610575252026</v>
      </c>
      <c r="N176">
        <f t="shared" si="39"/>
        <v>0.22439999999999999</v>
      </c>
      <c r="O176" s="20">
        <v>0.48038198813906074</v>
      </c>
      <c r="P176">
        <v>0.22439999999999999</v>
      </c>
    </row>
    <row r="177" spans="1:16" x14ac:dyDescent="0.2">
      <c r="A177" s="19" t="s">
        <v>29</v>
      </c>
      <c r="B177">
        <f t="shared" si="37"/>
        <v>266</v>
      </c>
      <c r="C177">
        <f t="shared" si="40"/>
        <v>218</v>
      </c>
      <c r="D177" t="s">
        <v>28</v>
      </c>
      <c r="E177" t="s">
        <v>6</v>
      </c>
      <c r="F177" t="s">
        <v>21</v>
      </c>
      <c r="G177" s="17">
        <f t="shared" si="41"/>
        <v>60.913620856130834</v>
      </c>
      <c r="H177">
        <f t="shared" si="42"/>
        <v>32.469697061910288</v>
      </c>
      <c r="I177" s="1">
        <f t="shared" si="38"/>
        <v>38.314633999999998</v>
      </c>
      <c r="K177" s="17">
        <f t="shared" si="44"/>
        <v>6.1944157044000336</v>
      </c>
      <c r="L177" s="20">
        <v>0.1034278512820509</v>
      </c>
      <c r="M177" s="20">
        <v>0.40991273723911903</v>
      </c>
      <c r="N177">
        <f t="shared" si="39"/>
        <v>0.2331</v>
      </c>
      <c r="O177" s="20">
        <v>0.55406010000000316</v>
      </c>
      <c r="P177">
        <v>0.2331</v>
      </c>
    </row>
    <row r="178" spans="1:16" x14ac:dyDescent="0.2">
      <c r="A178" s="19" t="s">
        <v>30</v>
      </c>
      <c r="B178">
        <f t="shared" si="37"/>
        <v>266</v>
      </c>
      <c r="C178">
        <f t="shared" si="40"/>
        <v>218</v>
      </c>
      <c r="D178" t="s">
        <v>28</v>
      </c>
      <c r="E178" t="s">
        <v>6</v>
      </c>
      <c r="F178" t="s">
        <v>21</v>
      </c>
      <c r="G178" s="17">
        <f t="shared" si="41"/>
        <v>73.15125523012621</v>
      </c>
      <c r="H178">
        <f t="shared" si="42"/>
        <v>33.389865670872368</v>
      </c>
      <c r="I178" s="1">
        <f t="shared" si="38"/>
        <v>32.238770000000002</v>
      </c>
      <c r="K178" s="17">
        <f t="shared" si="44"/>
        <v>6.7242337545999744</v>
      </c>
      <c r="L178" s="20">
        <v>0.11317716666666722</v>
      </c>
      <c r="M178" s="20">
        <v>0.41774429270073077</v>
      </c>
      <c r="N178">
        <f t="shared" si="39"/>
        <v>0.20549999999999999</v>
      </c>
      <c r="O178" s="20">
        <v>0.60383631666666426</v>
      </c>
      <c r="P178">
        <v>0.20549999999999999</v>
      </c>
    </row>
    <row r="179" spans="1:16" x14ac:dyDescent="0.2">
      <c r="A179" s="19" t="s">
        <v>31</v>
      </c>
      <c r="B179">
        <f t="shared" si="37"/>
        <v>266</v>
      </c>
      <c r="C179">
        <f t="shared" si="40"/>
        <v>218</v>
      </c>
      <c r="D179" t="s">
        <v>28</v>
      </c>
      <c r="E179" t="s">
        <v>19</v>
      </c>
      <c r="F179" t="s">
        <v>21</v>
      </c>
      <c r="G179" s="17">
        <f t="shared" si="41"/>
        <v>73.87604208492084</v>
      </c>
      <c r="H179">
        <f t="shared" si="42"/>
        <v>31.620697491127927</v>
      </c>
      <c r="I179" s="1">
        <f t="shared" si="38"/>
        <v>37.786298000000002</v>
      </c>
      <c r="K179" s="17">
        <f t="shared" si="44"/>
        <v>6.5512682224000311</v>
      </c>
      <c r="L179" s="20">
        <v>0.11375458019432028</v>
      </c>
      <c r="M179" s="20">
        <v>0.40268690149476938</v>
      </c>
      <c r="N179">
        <f t="shared" si="39"/>
        <v>0.23069999999999999</v>
      </c>
      <c r="O179" s="20">
        <v>0.58758626666666958</v>
      </c>
      <c r="P179">
        <v>0.23069999999999999</v>
      </c>
    </row>
    <row r="180" spans="1:16" x14ac:dyDescent="0.2">
      <c r="A180" s="19" t="s">
        <v>32</v>
      </c>
      <c r="B180">
        <f t="shared" si="37"/>
        <v>266</v>
      </c>
      <c r="C180">
        <f t="shared" si="40"/>
        <v>218</v>
      </c>
      <c r="D180" t="s">
        <v>28</v>
      </c>
      <c r="E180" t="s">
        <v>19</v>
      </c>
      <c r="F180" t="s">
        <v>21</v>
      </c>
      <c r="G180" s="17">
        <f t="shared" si="41"/>
        <v>71.13020796952182</v>
      </c>
      <c r="H180">
        <f t="shared" si="42"/>
        <v>32.578715509902523</v>
      </c>
      <c r="I180" s="1">
        <f t="shared" si="38"/>
        <v>29.861257999999999</v>
      </c>
      <c r="K180" s="17">
        <f t="shared" si="44"/>
        <v>6.8513362422000217</v>
      </c>
      <c r="L180" s="20">
        <v>0.11156706568238572</v>
      </c>
      <c r="M180" s="20">
        <v>0.41084059330101297</v>
      </c>
      <c r="N180">
        <f t="shared" si="39"/>
        <v>0.19470000000000001</v>
      </c>
      <c r="O180" s="20">
        <v>0.61577755000000201</v>
      </c>
      <c r="P180">
        <v>0.19470000000000001</v>
      </c>
    </row>
    <row r="181" spans="1:16" x14ac:dyDescent="0.2">
      <c r="A181" s="19" t="s">
        <v>33</v>
      </c>
      <c r="B181">
        <f t="shared" si="37"/>
        <v>266</v>
      </c>
      <c r="C181">
        <f t="shared" si="40"/>
        <v>218</v>
      </c>
      <c r="D181" t="s">
        <v>28</v>
      </c>
      <c r="E181" t="s">
        <v>19</v>
      </c>
      <c r="F181" t="s">
        <v>21</v>
      </c>
      <c r="G181" s="17">
        <f t="shared" si="41"/>
        <v>62.439460689316334</v>
      </c>
      <c r="H181">
        <f t="shared" si="42"/>
        <v>28.349065637016114</v>
      </c>
      <c r="I181" s="1">
        <f t="shared" si="38"/>
        <v>54.627007999999996</v>
      </c>
      <c r="K181" s="17">
        <f t="shared" si="44"/>
        <v>6.2185997593999751</v>
      </c>
      <c r="L181" s="20">
        <v>0.10464343701582202</v>
      </c>
      <c r="M181" s="20">
        <v>0.37484204125295639</v>
      </c>
      <c r="N181">
        <f t="shared" si="39"/>
        <v>0.30719999999999997</v>
      </c>
      <c r="O181" s="20">
        <v>0.55633218333333101</v>
      </c>
      <c r="P181">
        <v>0.30719999999999997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1DC4-AA89-E34B-B4B6-B7BC7356969D}">
  <dimension ref="A1:AA121"/>
  <sheetViews>
    <sheetView tabSelected="1" workbookViewId="0">
      <pane ySplit="1" topLeftCell="A96" activePane="bottomLeft" state="frozen"/>
      <selection pane="bottomLeft" activeCell="J122" sqref="J122"/>
    </sheetView>
  </sheetViews>
  <sheetFormatPr baseColWidth="10" defaultRowHeight="16" x14ac:dyDescent="0.2"/>
  <sheetData>
    <row r="1" spans="1:27" ht="17" thickBot="1" x14ac:dyDescent="0.25">
      <c r="A1" s="2" t="s">
        <v>0</v>
      </c>
      <c r="B1" s="3" t="s">
        <v>65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44</v>
      </c>
      <c r="H1" s="2" t="s">
        <v>21</v>
      </c>
      <c r="I1" s="6" t="s">
        <v>45</v>
      </c>
      <c r="J1" s="7" t="s">
        <v>46</v>
      </c>
      <c r="K1" s="7" t="s">
        <v>47</v>
      </c>
      <c r="L1" s="7" t="s">
        <v>48</v>
      </c>
      <c r="M1" s="5" t="s">
        <v>49</v>
      </c>
      <c r="N1" s="7" t="s">
        <v>50</v>
      </c>
      <c r="O1" s="4" t="s">
        <v>51</v>
      </c>
      <c r="P1" s="7" t="s">
        <v>52</v>
      </c>
      <c r="Q1" s="7" t="s">
        <v>53</v>
      </c>
      <c r="R1" s="7" t="s">
        <v>54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60</v>
      </c>
      <c r="Y1" s="7" t="s">
        <v>61</v>
      </c>
      <c r="Z1" s="7" t="s">
        <v>62</v>
      </c>
      <c r="AA1" s="7" t="s">
        <v>63</v>
      </c>
    </row>
    <row r="2" spans="1:27" s="9" customFormat="1" x14ac:dyDescent="0.2">
      <c r="A2" s="8" t="s">
        <v>40</v>
      </c>
      <c r="B2" s="9">
        <f>PASH.r1!B152+2</f>
        <v>268</v>
      </c>
      <c r="C2" s="9">
        <v>0</v>
      </c>
      <c r="D2" s="9" t="s">
        <v>5</v>
      </c>
      <c r="E2" s="9" t="s">
        <v>6</v>
      </c>
      <c r="F2" s="9" t="s">
        <v>7</v>
      </c>
      <c r="G2" s="10">
        <f t="shared" ref="G2:G33" si="0">30*(P2-0.0549)/0.0239</f>
        <v>257.91261480470286</v>
      </c>
      <c r="H2" s="9">
        <f t="shared" ref="H2:H33" si="1">(3.9165*Q2-0.5231)*30</f>
        <v>-3.9434999999999985</v>
      </c>
      <c r="I2" s="11">
        <f t="shared" ref="I2:I31" si="2">(11.007*R2-0.65)*20</f>
        <v>64.929559999999995</v>
      </c>
      <c r="K2" s="9">
        <f t="shared" ref="K2:K31" si="3">H2+I2</f>
        <v>60.986059999999995</v>
      </c>
      <c r="L2" s="12">
        <f t="shared" ref="L2:L33" si="4">(S2*0.0433 - 0.0001)*30</f>
        <v>3.0472786584417774E-4</v>
      </c>
      <c r="M2" s="13">
        <f t="shared" ref="M2:M33" si="5">(0.3548*T2 + 0.0099)*30</f>
        <v>9.9088153078000012</v>
      </c>
      <c r="N2" s="11"/>
      <c r="P2" s="14">
        <v>0.26037038312774663</v>
      </c>
      <c r="Q2" s="14">
        <v>0.1</v>
      </c>
      <c r="R2" s="9">
        <f t="shared" ref="R2:R33" si="6">AVERAGE(V2:X2)</f>
        <v>0.35399999999999998</v>
      </c>
      <c r="S2" s="14">
        <v>2.5440553239755026E-3</v>
      </c>
      <c r="T2" s="14">
        <v>0.90302661666666673</v>
      </c>
      <c r="U2" s="15"/>
      <c r="V2" s="9">
        <v>0.35399999999999998</v>
      </c>
    </row>
    <row r="3" spans="1:27" s="9" customFormat="1" x14ac:dyDescent="0.2">
      <c r="A3" s="8" t="s">
        <v>8</v>
      </c>
      <c r="B3" s="9">
        <f>PASH.r1!B153+2</f>
        <v>268</v>
      </c>
      <c r="C3" s="9">
        <v>0</v>
      </c>
      <c r="D3" s="9" t="s">
        <v>5</v>
      </c>
      <c r="E3" s="9" t="s">
        <v>6</v>
      </c>
      <c r="F3" s="9" t="s">
        <v>7</v>
      </c>
      <c r="G3" s="10">
        <f t="shared" si="0"/>
        <v>255.74329152797429</v>
      </c>
      <c r="H3" s="9">
        <f t="shared" si="1"/>
        <v>-3.9434999999999985</v>
      </c>
      <c r="I3" s="11">
        <f t="shared" si="2"/>
        <v>42.299167999999995</v>
      </c>
      <c r="K3" s="9">
        <f t="shared" si="3"/>
        <v>38.355667999999994</v>
      </c>
      <c r="L3" s="12">
        <f t="shared" si="4"/>
        <v>-1.1067640281146781E-4</v>
      </c>
      <c r="M3" s="13">
        <f t="shared" si="5"/>
        <v>10.446678093200008</v>
      </c>
      <c r="N3" s="11"/>
      <c r="P3" s="14">
        <v>0.25864215558395287</v>
      </c>
      <c r="Q3" s="14">
        <v>0.1</v>
      </c>
      <c r="R3" s="9">
        <f t="shared" si="6"/>
        <v>0.25119999999999998</v>
      </c>
      <c r="S3" s="14">
        <v>2.2242675882898633E-3</v>
      </c>
      <c r="T3" s="14">
        <v>0.9535586333333339</v>
      </c>
      <c r="U3" s="15"/>
      <c r="V3" s="9">
        <v>0.25119999999999998</v>
      </c>
    </row>
    <row r="4" spans="1:27" s="9" customFormat="1" x14ac:dyDescent="0.2">
      <c r="A4" s="8" t="s">
        <v>9</v>
      </c>
      <c r="B4" s="9">
        <f>PASH.r1!B154+2</f>
        <v>268</v>
      </c>
      <c r="C4" s="9">
        <v>0</v>
      </c>
      <c r="D4" s="9" t="s">
        <v>5</v>
      </c>
      <c r="E4" s="9" t="s">
        <v>6</v>
      </c>
      <c r="F4" s="9" t="s">
        <v>7</v>
      </c>
      <c r="G4" s="10">
        <f t="shared" si="0"/>
        <v>235.14289426323464</v>
      </c>
      <c r="H4" s="9">
        <f t="shared" si="1"/>
        <v>-3.9434999999999985</v>
      </c>
      <c r="I4" s="11">
        <f t="shared" si="2"/>
        <v>43.267784000000006</v>
      </c>
      <c r="K4" s="9">
        <f t="shared" si="3"/>
        <v>39.324284000000006</v>
      </c>
      <c r="L4" s="12">
        <f t="shared" si="4"/>
        <v>2.0158690041955385E-4</v>
      </c>
      <c r="M4" s="13">
        <f t="shared" si="5"/>
        <v>10.186637284243432</v>
      </c>
      <c r="N4" s="11"/>
      <c r="P4" s="14">
        <v>0.24223050576304361</v>
      </c>
      <c r="Q4" s="14">
        <v>0.1</v>
      </c>
      <c r="R4" s="9">
        <f t="shared" si="6"/>
        <v>0.25559999999999999</v>
      </c>
      <c r="S4" s="14">
        <v>2.4646550426632441E-3</v>
      </c>
      <c r="T4" s="14">
        <v>0.92912789216868008</v>
      </c>
      <c r="U4" s="15"/>
      <c r="V4" s="9">
        <v>0.25559999999999999</v>
      </c>
    </row>
    <row r="5" spans="1:27" s="9" customFormat="1" x14ac:dyDescent="0.2">
      <c r="A5" s="8" t="s">
        <v>10</v>
      </c>
      <c r="B5" s="9">
        <f>PASH.r1!B155+2</f>
        <v>268</v>
      </c>
      <c r="C5" s="9">
        <v>0</v>
      </c>
      <c r="D5" s="9" t="s">
        <v>11</v>
      </c>
      <c r="E5" s="9" t="s">
        <v>6</v>
      </c>
      <c r="F5" s="9" t="s">
        <v>7</v>
      </c>
      <c r="G5" s="10">
        <f t="shared" si="0"/>
        <v>227.33157574055357</v>
      </c>
      <c r="H5" s="9">
        <f t="shared" si="1"/>
        <v>-5.4688678786935006</v>
      </c>
      <c r="I5" s="11">
        <f t="shared" si="2"/>
        <v>42.145070000000004</v>
      </c>
      <c r="K5" s="9">
        <f t="shared" si="3"/>
        <v>36.676202121306503</v>
      </c>
      <c r="L5" s="12">
        <f t="shared" si="4"/>
        <v>-6.284780629928777E-5</v>
      </c>
      <c r="M5" s="13">
        <f t="shared" si="5"/>
        <v>10.017376302199981</v>
      </c>
      <c r="N5" s="11"/>
      <c r="P5" s="14">
        <v>0.23600748867330767</v>
      </c>
      <c r="Q5" s="14">
        <v>8.7017593270407256E-2</v>
      </c>
      <c r="R5" s="9">
        <f t="shared" si="6"/>
        <v>0.2505</v>
      </c>
      <c r="S5" s="14">
        <v>2.2610871391075538E-3</v>
      </c>
      <c r="T5" s="14">
        <v>0.91322588333333155</v>
      </c>
      <c r="U5" s="15"/>
      <c r="V5" s="9">
        <v>0.2505</v>
      </c>
    </row>
    <row r="6" spans="1:27" s="9" customFormat="1" x14ac:dyDescent="0.2">
      <c r="A6" s="8" t="s">
        <v>12</v>
      </c>
      <c r="B6" s="9">
        <f>PASH.r1!B156+2</f>
        <v>268</v>
      </c>
      <c r="C6" s="9">
        <v>0</v>
      </c>
      <c r="D6" s="9" t="s">
        <v>11</v>
      </c>
      <c r="E6" s="9" t="s">
        <v>6</v>
      </c>
      <c r="F6" s="9" t="s">
        <v>7</v>
      </c>
      <c r="G6" s="10">
        <f t="shared" si="0"/>
        <v>246.04195594708725</v>
      </c>
      <c r="H6" s="9">
        <f t="shared" si="1"/>
        <v>-6.0215651835562154</v>
      </c>
      <c r="I6" s="11">
        <f t="shared" si="2"/>
        <v>41.616733999999994</v>
      </c>
      <c r="K6" s="9">
        <f t="shared" si="3"/>
        <v>35.595168816443781</v>
      </c>
      <c r="L6" s="12">
        <f t="shared" si="4"/>
        <v>-1.1909058543308558E-4</v>
      </c>
      <c r="M6" s="13">
        <f t="shared" si="5"/>
        <v>10.361990309553001</v>
      </c>
      <c r="N6" s="11"/>
      <c r="P6" s="14">
        <v>0.25091342490451285</v>
      </c>
      <c r="Q6" s="14">
        <v>8.2313586250000292E-2</v>
      </c>
      <c r="R6" s="9">
        <f t="shared" si="6"/>
        <v>0.24809999999999999</v>
      </c>
      <c r="S6" s="14">
        <v>2.2177901574803038E-3</v>
      </c>
      <c r="T6" s="14">
        <v>0.94560224629396838</v>
      </c>
      <c r="U6" s="15"/>
      <c r="V6" s="9">
        <v>0.24809999999999999</v>
      </c>
    </row>
    <row r="7" spans="1:27" s="9" customFormat="1" x14ac:dyDescent="0.2">
      <c r="A7" s="8" t="s">
        <v>13</v>
      </c>
      <c r="B7" s="9">
        <f>PASH.r1!B157+2</f>
        <v>268</v>
      </c>
      <c r="C7" s="9">
        <v>0</v>
      </c>
      <c r="D7" s="9" t="s">
        <v>11</v>
      </c>
      <c r="E7" s="9" t="s">
        <v>6</v>
      </c>
      <c r="F7" s="9" t="s">
        <v>7</v>
      </c>
      <c r="G7" s="10">
        <f t="shared" si="0"/>
        <v>249.05954826850319</v>
      </c>
      <c r="H7" s="9">
        <f t="shared" si="1"/>
        <v>-3.9434999999999985</v>
      </c>
      <c r="I7" s="11">
        <f t="shared" si="2"/>
        <v>43.267784000000006</v>
      </c>
      <c r="K7" s="9">
        <f t="shared" si="3"/>
        <v>39.324284000000006</v>
      </c>
      <c r="L7" s="12">
        <f t="shared" si="4"/>
        <v>1.6745752467765753E-5</v>
      </c>
      <c r="M7" s="13">
        <f t="shared" si="5"/>
        <v>10.567046121999976</v>
      </c>
      <c r="N7" s="11"/>
      <c r="P7" s="14">
        <v>0.25331744012057422</v>
      </c>
      <c r="Q7" s="14">
        <v>0.1</v>
      </c>
      <c r="R7" s="9">
        <f t="shared" si="6"/>
        <v>0.25559999999999999</v>
      </c>
      <c r="S7" s="14">
        <v>2.3223600865802663E-3</v>
      </c>
      <c r="T7" s="14">
        <v>0.96486716666666439</v>
      </c>
      <c r="U7" s="15"/>
      <c r="V7" s="9">
        <v>0.25559999999999999</v>
      </c>
    </row>
    <row r="8" spans="1:27" s="9" customFormat="1" x14ac:dyDescent="0.2">
      <c r="A8" s="8" t="s">
        <v>14</v>
      </c>
      <c r="B8" s="9">
        <f>PASH.r1!B158+2</f>
        <v>268</v>
      </c>
      <c r="C8" s="9">
        <v>0</v>
      </c>
      <c r="D8" s="9" t="s">
        <v>15</v>
      </c>
      <c r="E8" s="9" t="s">
        <v>6</v>
      </c>
      <c r="F8" s="9" t="s">
        <v>7</v>
      </c>
      <c r="G8" s="10">
        <f t="shared" si="0"/>
        <v>270.71182655719633</v>
      </c>
      <c r="H8" s="9">
        <f t="shared" si="1"/>
        <v>-3.9434999999999985</v>
      </c>
      <c r="I8" s="11">
        <f t="shared" si="2"/>
        <v>38.644844000000006</v>
      </c>
      <c r="K8" s="9">
        <f t="shared" si="3"/>
        <v>34.701344000000006</v>
      </c>
      <c r="L8" s="12">
        <f t="shared" si="4"/>
        <v>-3.1304318304211244E-4</v>
      </c>
      <c r="M8" s="13">
        <f t="shared" si="5"/>
        <v>14.722157526265505</v>
      </c>
      <c r="N8" s="11"/>
      <c r="P8" s="14">
        <v>0.27056708849056643</v>
      </c>
      <c r="Q8" s="14">
        <v>0.1</v>
      </c>
      <c r="R8" s="9">
        <f t="shared" si="6"/>
        <v>0.2346</v>
      </c>
      <c r="S8" s="14">
        <v>2.0684809984279351E-3</v>
      </c>
      <c r="T8" s="14">
        <v>1.3552383996867254</v>
      </c>
      <c r="U8" s="15"/>
      <c r="V8" s="9">
        <v>0.2346</v>
      </c>
    </row>
    <row r="9" spans="1:27" s="9" customFormat="1" x14ac:dyDescent="0.2">
      <c r="A9" s="8" t="s">
        <v>16</v>
      </c>
      <c r="B9" s="9">
        <f>PASH.r1!B159+2</f>
        <v>268</v>
      </c>
      <c r="C9" s="9">
        <v>0</v>
      </c>
      <c r="D9" s="9" t="s">
        <v>15</v>
      </c>
      <c r="E9" s="9" t="s">
        <v>6</v>
      </c>
      <c r="F9" s="9" t="s">
        <v>7</v>
      </c>
      <c r="G9" s="10">
        <f t="shared" si="0"/>
        <v>214.32828428119518</v>
      </c>
      <c r="H9" s="9">
        <f t="shared" si="1"/>
        <v>-3.9434999999999985</v>
      </c>
      <c r="I9" s="11">
        <f t="shared" si="2"/>
        <v>40.097768000000002</v>
      </c>
      <c r="K9" s="9">
        <f t="shared" si="3"/>
        <v>36.154268000000002</v>
      </c>
      <c r="L9" s="12">
        <f t="shared" si="4"/>
        <v>5.1106070609994786E-4</v>
      </c>
      <c r="M9" s="13">
        <f t="shared" si="5"/>
        <v>10.424448453999945</v>
      </c>
      <c r="N9" s="11"/>
      <c r="P9" s="14">
        <v>0.22564819981068551</v>
      </c>
      <c r="Q9" s="14">
        <v>0.1</v>
      </c>
      <c r="R9" s="9">
        <f t="shared" si="6"/>
        <v>0.2412</v>
      </c>
      <c r="S9" s="14">
        <v>2.7028950778290595E-3</v>
      </c>
      <c r="T9" s="14">
        <v>0.9514701666666614</v>
      </c>
      <c r="U9" s="15"/>
      <c r="V9" s="9">
        <v>0.2412</v>
      </c>
    </row>
    <row r="10" spans="1:27" s="9" customFormat="1" x14ac:dyDescent="0.2">
      <c r="A10" s="8" t="s">
        <v>17</v>
      </c>
      <c r="B10" s="9">
        <f>PASH.r1!B160+2</f>
        <v>268</v>
      </c>
      <c r="C10" s="9">
        <v>0</v>
      </c>
      <c r="D10" s="9" t="s">
        <v>15</v>
      </c>
      <c r="E10" s="9" t="s">
        <v>6</v>
      </c>
      <c r="F10" s="9" t="s">
        <v>7</v>
      </c>
      <c r="G10" s="10">
        <f t="shared" si="0"/>
        <v>253.14721895149464</v>
      </c>
      <c r="H10" s="9">
        <f t="shared" si="1"/>
        <v>-3.9434999999999985</v>
      </c>
      <c r="I10" s="11">
        <f t="shared" si="2"/>
        <v>42.717433999999997</v>
      </c>
      <c r="K10" s="9">
        <f t="shared" si="3"/>
        <v>38.773933999999997</v>
      </c>
      <c r="L10" s="12">
        <f t="shared" si="4"/>
        <v>7.3022488054473389E-3</v>
      </c>
      <c r="M10" s="13">
        <f t="shared" si="5"/>
        <v>9.9568699520000461</v>
      </c>
      <c r="N10" s="11"/>
      <c r="P10" s="14">
        <v>0.25657395109802406</v>
      </c>
      <c r="Q10" s="14">
        <v>0.1</v>
      </c>
      <c r="R10" s="9">
        <f t="shared" si="6"/>
        <v>0.25309999999999999</v>
      </c>
      <c r="S10" s="14">
        <v>7.9309074714760119E-3</v>
      </c>
      <c r="T10" s="14">
        <v>0.90754133333333753</v>
      </c>
      <c r="U10" s="15"/>
      <c r="V10" s="9">
        <v>0.25309999999999999</v>
      </c>
    </row>
    <row r="11" spans="1:27" s="9" customFormat="1" x14ac:dyDescent="0.2">
      <c r="A11" s="8" t="s">
        <v>18</v>
      </c>
      <c r="B11" s="9">
        <f>PASH.r1!B161+2</f>
        <v>268</v>
      </c>
      <c r="C11" s="9">
        <v>0</v>
      </c>
      <c r="D11" s="9" t="s">
        <v>5</v>
      </c>
      <c r="E11" s="9" t="s">
        <v>19</v>
      </c>
      <c r="F11" s="9" t="s">
        <v>7</v>
      </c>
      <c r="G11" s="10">
        <f t="shared" si="0"/>
        <v>234.05188834414159</v>
      </c>
      <c r="H11" s="9">
        <f t="shared" si="1"/>
        <v>-3.9434999999999985</v>
      </c>
      <c r="I11" s="11">
        <f t="shared" si="2"/>
        <v>42.82750399999999</v>
      </c>
      <c r="K11" s="9">
        <f t="shared" si="3"/>
        <v>38.88400399999999</v>
      </c>
      <c r="L11" s="12">
        <f t="shared" si="4"/>
        <v>2.5555324217029038E-2</v>
      </c>
      <c r="M11" s="13">
        <f t="shared" si="5"/>
        <v>9.4656081951999642</v>
      </c>
      <c r="N11" s="11"/>
      <c r="P11" s="14">
        <v>0.24136133771416612</v>
      </c>
      <c r="Q11" s="14">
        <v>0.1</v>
      </c>
      <c r="R11" s="9">
        <f t="shared" si="6"/>
        <v>0.25359999999999999</v>
      </c>
      <c r="S11" s="14">
        <v>2.1982543662070086E-2</v>
      </c>
      <c r="T11" s="14">
        <v>0.86138746666666322</v>
      </c>
      <c r="U11" s="15"/>
      <c r="V11" s="9">
        <v>0.25359999999999999</v>
      </c>
    </row>
    <row r="12" spans="1:27" s="9" customFormat="1" x14ac:dyDescent="0.2">
      <c r="A12" s="8" t="s">
        <v>8</v>
      </c>
      <c r="B12" s="9">
        <f>PASH.r1!B162+2</f>
        <v>268</v>
      </c>
      <c r="C12" s="9">
        <v>0</v>
      </c>
      <c r="D12" s="9" t="s">
        <v>5</v>
      </c>
      <c r="E12" s="9" t="s">
        <v>19</v>
      </c>
      <c r="F12" s="9" t="s">
        <v>7</v>
      </c>
      <c r="G12" s="10">
        <f t="shared" si="0"/>
        <v>243.8782607528654</v>
      </c>
      <c r="H12" s="9">
        <f t="shared" si="1"/>
        <v>-3.9434999999999985</v>
      </c>
      <c r="I12" s="11">
        <f t="shared" si="2"/>
        <v>44.280428000000001</v>
      </c>
      <c r="K12" s="9">
        <f t="shared" si="3"/>
        <v>40.336928</v>
      </c>
      <c r="L12" s="12">
        <f t="shared" si="4"/>
        <v>7.9725189761905707E-3</v>
      </c>
      <c r="M12" s="13">
        <f t="shared" si="5"/>
        <v>12.169155811200088</v>
      </c>
      <c r="N12" s="11"/>
      <c r="P12" s="14">
        <v>0.24918968106644945</v>
      </c>
      <c r="Q12" s="14">
        <v>0.1</v>
      </c>
      <c r="R12" s="9">
        <f t="shared" si="6"/>
        <v>0.26019999999999999</v>
      </c>
      <c r="S12" s="14">
        <v>8.446896825396899E-3</v>
      </c>
      <c r="T12" s="14">
        <v>1.1153848000000082</v>
      </c>
      <c r="U12" s="15"/>
      <c r="V12" s="9">
        <v>0.26019999999999999</v>
      </c>
    </row>
    <row r="13" spans="1:27" s="9" customFormat="1" x14ac:dyDescent="0.2">
      <c r="A13" s="8" t="s">
        <v>9</v>
      </c>
      <c r="B13" s="9">
        <f>PASH.r1!B163+2</f>
        <v>268</v>
      </c>
      <c r="C13" s="9">
        <v>0</v>
      </c>
      <c r="D13" s="9" t="s">
        <v>5</v>
      </c>
      <c r="E13" s="9" t="s">
        <v>19</v>
      </c>
      <c r="F13" s="9" t="s">
        <v>7</v>
      </c>
      <c r="G13" s="10">
        <f t="shared" si="0"/>
        <v>253.7897811560247</v>
      </c>
      <c r="H13" s="9">
        <f t="shared" si="1"/>
        <v>-3.9434999999999985</v>
      </c>
      <c r="I13" s="11">
        <f t="shared" si="2"/>
        <v>41.396593999999993</v>
      </c>
      <c r="K13" s="9">
        <f t="shared" si="3"/>
        <v>37.453093999999993</v>
      </c>
      <c r="L13" s="12">
        <f t="shared" si="4"/>
        <v>4.2228949862378427E-3</v>
      </c>
      <c r="M13" s="13">
        <f t="shared" si="5"/>
        <v>10.39318099439997</v>
      </c>
      <c r="N13" s="11"/>
      <c r="P13" s="14">
        <v>0.25708585898763303</v>
      </c>
      <c r="Q13" s="14">
        <v>0.1</v>
      </c>
      <c r="R13" s="9">
        <f t="shared" si="6"/>
        <v>0.24709999999999999</v>
      </c>
      <c r="S13" s="14">
        <v>5.5603502588436049E-3</v>
      </c>
      <c r="T13" s="14">
        <v>0.94853259999999695</v>
      </c>
      <c r="U13" s="15"/>
      <c r="V13" s="9">
        <v>0.24709999999999999</v>
      </c>
    </row>
    <row r="14" spans="1:27" s="9" customFormat="1" x14ac:dyDescent="0.2">
      <c r="A14" s="8" t="s">
        <v>10</v>
      </c>
      <c r="B14" s="9">
        <f>PASH.r1!B164+2</f>
        <v>268</v>
      </c>
      <c r="C14" s="9">
        <v>0</v>
      </c>
      <c r="D14" s="9" t="s">
        <v>11</v>
      </c>
      <c r="E14" s="9" t="s">
        <v>19</v>
      </c>
      <c r="F14" s="9" t="s">
        <v>7</v>
      </c>
      <c r="G14" s="10">
        <f t="shared" si="0"/>
        <v>246.68423062525173</v>
      </c>
      <c r="H14" s="9">
        <f t="shared" si="1"/>
        <v>-3.9434999999999985</v>
      </c>
      <c r="I14" s="11">
        <f t="shared" si="2"/>
        <v>43.003616000000008</v>
      </c>
      <c r="K14" s="9">
        <f t="shared" si="3"/>
        <v>39.060116000000008</v>
      </c>
      <c r="L14" s="12">
        <f t="shared" si="4"/>
        <v>1.3859321818493401E-3</v>
      </c>
      <c r="M14" s="13">
        <f t="shared" si="5"/>
        <v>10.318749986000041</v>
      </c>
      <c r="N14" s="11"/>
      <c r="P14" s="14">
        <v>0.25142510373145055</v>
      </c>
      <c r="Q14" s="14">
        <v>0.1</v>
      </c>
      <c r="R14" s="9">
        <f t="shared" si="6"/>
        <v>0.25440000000000002</v>
      </c>
      <c r="S14" s="14">
        <v>3.3763912100456817E-3</v>
      </c>
      <c r="T14" s="14">
        <v>0.94153983333333713</v>
      </c>
      <c r="U14" s="15"/>
      <c r="V14" s="9">
        <v>0.25440000000000002</v>
      </c>
    </row>
    <row r="15" spans="1:27" s="9" customFormat="1" x14ac:dyDescent="0.2">
      <c r="A15" s="8" t="s">
        <v>12</v>
      </c>
      <c r="B15" s="9">
        <f>PASH.r1!B165+2</f>
        <v>268</v>
      </c>
      <c r="C15" s="9">
        <v>0</v>
      </c>
      <c r="D15" s="9" t="s">
        <v>11</v>
      </c>
      <c r="E15" s="9" t="s">
        <v>19</v>
      </c>
      <c r="F15" s="9" t="s">
        <v>7</v>
      </c>
      <c r="G15" s="10">
        <f t="shared" si="0"/>
        <v>285.52440515305113</v>
      </c>
      <c r="H15" s="9">
        <f t="shared" si="1"/>
        <v>-3.9434999999999985</v>
      </c>
      <c r="I15" s="11">
        <f t="shared" si="2"/>
        <v>46.239673999999994</v>
      </c>
      <c r="K15" s="9">
        <f t="shared" si="3"/>
        <v>42.296173999999993</v>
      </c>
      <c r="L15" s="12">
        <f t="shared" si="4"/>
        <v>6.3119331461047336E-4</v>
      </c>
      <c r="M15" s="13">
        <f t="shared" si="5"/>
        <v>11.084887543399949</v>
      </c>
      <c r="N15" s="11"/>
      <c r="P15" s="14">
        <v>0.28236777610526409</v>
      </c>
      <c r="Q15" s="14">
        <v>0.1</v>
      </c>
      <c r="R15" s="9">
        <f t="shared" si="6"/>
        <v>0.26910000000000001</v>
      </c>
      <c r="S15" s="14">
        <v>2.7953759157894331E-3</v>
      </c>
      <c r="T15" s="14">
        <v>1.0135181833333284</v>
      </c>
      <c r="U15" s="15"/>
      <c r="V15" s="9">
        <v>0.26910000000000001</v>
      </c>
    </row>
    <row r="16" spans="1:27" s="9" customFormat="1" x14ac:dyDescent="0.2">
      <c r="A16" s="8" t="s">
        <v>13</v>
      </c>
      <c r="B16" s="9">
        <f>PASH.r1!B166+2</f>
        <v>268</v>
      </c>
      <c r="C16" s="9">
        <v>0</v>
      </c>
      <c r="D16" s="9" t="s">
        <v>11</v>
      </c>
      <c r="E16" s="9" t="s">
        <v>19</v>
      </c>
      <c r="F16" s="9" t="s">
        <v>7</v>
      </c>
      <c r="G16" s="10">
        <f t="shared" si="0"/>
        <v>280.42844892936222</v>
      </c>
      <c r="H16" s="9">
        <f t="shared" si="1"/>
        <v>-3.9434999999999985</v>
      </c>
      <c r="I16" s="11">
        <f t="shared" si="2"/>
        <v>44.170358</v>
      </c>
      <c r="K16" s="9">
        <f t="shared" si="3"/>
        <v>40.226858</v>
      </c>
      <c r="L16" s="12">
        <f t="shared" si="4"/>
        <v>4.7440447899999806E-3</v>
      </c>
      <c r="M16" s="13">
        <f t="shared" si="5"/>
        <v>9.3022463746812196</v>
      </c>
      <c r="N16" s="11"/>
      <c r="P16" s="14">
        <v>0.2783079976470586</v>
      </c>
      <c r="Q16" s="14">
        <v>0.1</v>
      </c>
      <c r="R16" s="9">
        <f t="shared" si="6"/>
        <v>0.25969999999999999</v>
      </c>
      <c r="S16" s="14">
        <v>5.961543333333319E-3</v>
      </c>
      <c r="T16" s="14">
        <v>0.84603968195050916</v>
      </c>
      <c r="U16" s="15"/>
      <c r="V16" s="9">
        <v>0.25969999999999999</v>
      </c>
    </row>
    <row r="17" spans="1:23" s="9" customFormat="1" x14ac:dyDescent="0.2">
      <c r="A17" s="8" t="s">
        <v>14</v>
      </c>
      <c r="B17" s="9">
        <f>PASH.r1!B167+2</f>
        <v>268</v>
      </c>
      <c r="C17" s="9">
        <v>0</v>
      </c>
      <c r="D17" s="9" t="s">
        <v>15</v>
      </c>
      <c r="E17" s="9" t="s">
        <v>19</v>
      </c>
      <c r="F17" s="9" t="s">
        <v>7</v>
      </c>
      <c r="G17" s="10">
        <f t="shared" si="0"/>
        <v>273.65670637244722</v>
      </c>
      <c r="H17" s="9">
        <f t="shared" si="1"/>
        <v>-6.4087610108993474</v>
      </c>
      <c r="I17" s="11">
        <f t="shared" si="2"/>
        <v>42.431252000000008</v>
      </c>
      <c r="K17" s="9">
        <f t="shared" si="3"/>
        <v>36.02249098910066</v>
      </c>
      <c r="L17" s="12">
        <f t="shared" si="4"/>
        <v>3.4767872779306881E-2</v>
      </c>
      <c r="M17" s="13">
        <f t="shared" si="5"/>
        <v>12.612857337600028</v>
      </c>
      <c r="N17" s="11"/>
      <c r="P17" s="14">
        <v>0.27291317607671628</v>
      </c>
      <c r="Q17" s="14">
        <v>7.901816238223458E-2</v>
      </c>
      <c r="R17" s="9">
        <f t="shared" si="6"/>
        <v>0.25180000000000002</v>
      </c>
      <c r="S17" s="14">
        <v>2.9074574887842097E-2</v>
      </c>
      <c r="T17" s="14">
        <v>1.1570704000000025</v>
      </c>
      <c r="U17" s="15"/>
      <c r="V17" s="9">
        <v>0.25180000000000002</v>
      </c>
    </row>
    <row r="18" spans="1:23" s="9" customFormat="1" x14ac:dyDescent="0.2">
      <c r="A18" s="8" t="s">
        <v>16</v>
      </c>
      <c r="B18" s="9">
        <f>PASH.r1!B168+2</f>
        <v>268</v>
      </c>
      <c r="C18" s="9">
        <v>0</v>
      </c>
      <c r="D18" s="9" t="s">
        <v>15</v>
      </c>
      <c r="E18" s="9" t="s">
        <v>19</v>
      </c>
      <c r="F18" s="9" t="s">
        <v>7</v>
      </c>
      <c r="G18" s="10">
        <f t="shared" si="0"/>
        <v>243.65129682364173</v>
      </c>
      <c r="H18" s="9">
        <f t="shared" si="1"/>
        <v>-3.9434999999999985</v>
      </c>
      <c r="I18" s="11">
        <f t="shared" si="2"/>
        <v>40.956314000000006</v>
      </c>
      <c r="K18" s="9">
        <f t="shared" si="3"/>
        <v>37.012814000000006</v>
      </c>
      <c r="L18" s="12">
        <f t="shared" si="4"/>
        <v>1.0217810896432615E-2</v>
      </c>
      <c r="M18" s="13">
        <f t="shared" si="5"/>
        <v>9.2036806908572864</v>
      </c>
      <c r="N18" s="11"/>
      <c r="P18" s="14">
        <v>0.24900886646950127</v>
      </c>
      <c r="Q18" s="14">
        <v>0.1</v>
      </c>
      <c r="R18" s="9">
        <f t="shared" si="6"/>
        <v>0.24510000000000001</v>
      </c>
      <c r="S18" s="14">
        <v>1.0175374054220643E-2</v>
      </c>
      <c r="T18" s="14">
        <v>0.83677947114405171</v>
      </c>
      <c r="U18" s="15"/>
      <c r="V18" s="9">
        <v>0.24510000000000001</v>
      </c>
    </row>
    <row r="19" spans="1:23" s="9" customFormat="1" x14ac:dyDescent="0.2">
      <c r="A19" s="8" t="s">
        <v>17</v>
      </c>
      <c r="B19" s="9">
        <f>PASH.r1!B169+2</f>
        <v>268</v>
      </c>
      <c r="C19" s="9">
        <v>0</v>
      </c>
      <c r="D19" s="9" t="s">
        <v>15</v>
      </c>
      <c r="E19" s="9" t="s">
        <v>19</v>
      </c>
      <c r="F19" s="9" t="s">
        <v>7</v>
      </c>
      <c r="G19" s="10">
        <f t="shared" si="0"/>
        <v>255.53364667179298</v>
      </c>
      <c r="H19" s="9">
        <f t="shared" si="1"/>
        <v>-3.9434999999999985</v>
      </c>
      <c r="I19" s="11">
        <f t="shared" si="2"/>
        <v>46.547870000000003</v>
      </c>
      <c r="K19" s="9">
        <f t="shared" si="3"/>
        <v>42.604370000000003</v>
      </c>
      <c r="L19" s="12">
        <f t="shared" si="4"/>
        <v>3.4436874116890927E-2</v>
      </c>
      <c r="M19" s="13">
        <f t="shared" si="5"/>
        <v>11.439539414400004</v>
      </c>
      <c r="N19" s="11"/>
      <c r="P19" s="14">
        <v>0.2584751385151951</v>
      </c>
      <c r="Q19" s="14">
        <v>0.1</v>
      </c>
      <c r="R19" s="9">
        <f t="shared" si="6"/>
        <v>0.27050000000000002</v>
      </c>
      <c r="S19" s="14">
        <v>2.8819764524165459E-2</v>
      </c>
      <c r="T19" s="14">
        <v>1.0468376000000004</v>
      </c>
      <c r="U19" s="15"/>
      <c r="V19" s="9">
        <v>0.27050000000000002</v>
      </c>
    </row>
    <row r="20" spans="1:23" s="9" customFormat="1" x14ac:dyDescent="0.2">
      <c r="A20" s="8" t="s">
        <v>20</v>
      </c>
      <c r="B20" s="9">
        <f>PASH.r1!B170+2</f>
        <v>268</v>
      </c>
      <c r="C20" s="9">
        <v>0</v>
      </c>
      <c r="D20" s="9" t="s">
        <v>5</v>
      </c>
      <c r="E20" s="9" t="s">
        <v>19</v>
      </c>
      <c r="F20" s="9" t="s">
        <v>21</v>
      </c>
      <c r="G20" s="10">
        <f t="shared" si="0"/>
        <v>294.43408007390121</v>
      </c>
      <c r="H20" s="9">
        <f t="shared" si="1"/>
        <v>9.8445512039508571</v>
      </c>
      <c r="I20" s="11">
        <f t="shared" si="2"/>
        <v>67.086932000000004</v>
      </c>
      <c r="K20" s="9">
        <f t="shared" si="3"/>
        <v>76.931483203950862</v>
      </c>
      <c r="L20" s="12">
        <f t="shared" si="4"/>
        <v>1.8846584910991186E-3</v>
      </c>
      <c r="M20" s="13">
        <f t="shared" si="5"/>
        <v>12.777464314000033</v>
      </c>
      <c r="N20" s="11"/>
      <c r="P20" s="14">
        <v>0.28946581712554131</v>
      </c>
      <c r="Q20" s="14">
        <v>0.21735011025108181</v>
      </c>
      <c r="R20" s="9">
        <f t="shared" si="6"/>
        <v>0.36380000000000001</v>
      </c>
      <c r="S20" s="14">
        <v>3.7603221640485907E-3</v>
      </c>
      <c r="T20" s="14">
        <v>1.1725351666666697</v>
      </c>
      <c r="U20" s="15"/>
      <c r="V20" s="9">
        <v>0.36380000000000001</v>
      </c>
    </row>
    <row r="21" spans="1:23" s="9" customFormat="1" x14ac:dyDescent="0.2">
      <c r="A21" s="8" t="s">
        <v>22</v>
      </c>
      <c r="B21" s="9">
        <f>PASH.r1!B171+2</f>
        <v>268</v>
      </c>
      <c r="C21" s="9">
        <v>0</v>
      </c>
      <c r="D21" s="9" t="s">
        <v>5</v>
      </c>
      <c r="E21" s="9" t="s">
        <v>19</v>
      </c>
      <c r="F21" s="9" t="s">
        <v>21</v>
      </c>
      <c r="G21" s="10">
        <f t="shared" si="0"/>
        <v>276.0828518980137</v>
      </c>
      <c r="H21" s="9">
        <f t="shared" si="1"/>
        <v>38.16505073410525</v>
      </c>
      <c r="I21" s="11">
        <f t="shared" si="2"/>
        <v>43.509937999999991</v>
      </c>
      <c r="K21" s="9">
        <f t="shared" si="3"/>
        <v>81.674988734105241</v>
      </c>
      <c r="L21" s="12">
        <f t="shared" si="4"/>
        <v>2.633541484298681E-2</v>
      </c>
      <c r="M21" s="13">
        <f t="shared" si="5"/>
        <v>3.6003121917407648</v>
      </c>
      <c r="N21" s="11"/>
      <c r="P21" s="14">
        <v>0.27484600534541759</v>
      </c>
      <c r="Q21" s="14">
        <v>0.45838589500919402</v>
      </c>
      <c r="R21" s="9">
        <f t="shared" si="6"/>
        <v>0.25669999999999998</v>
      </c>
      <c r="S21" s="14">
        <v>2.2583075321775836E-2</v>
      </c>
      <c r="T21" s="14">
        <v>0.31034500110304064</v>
      </c>
      <c r="U21" s="15"/>
      <c r="V21" s="9">
        <v>0.25669999999999998</v>
      </c>
    </row>
    <row r="22" spans="1:23" s="9" customFormat="1" x14ac:dyDescent="0.2">
      <c r="A22" s="8" t="s">
        <v>23</v>
      </c>
      <c r="B22" s="9">
        <f>PASH.r1!B172+2</f>
        <v>268</v>
      </c>
      <c r="C22" s="9">
        <v>0</v>
      </c>
      <c r="D22" s="9" t="s">
        <v>5</v>
      </c>
      <c r="E22" s="9" t="s">
        <v>19</v>
      </c>
      <c r="F22" s="9" t="s">
        <v>21</v>
      </c>
      <c r="G22" s="10">
        <f t="shared" si="0"/>
        <v>261.95277514796396</v>
      </c>
      <c r="H22" s="9">
        <f t="shared" si="1"/>
        <v>19.963807789322807</v>
      </c>
      <c r="I22" s="11">
        <f t="shared" si="2"/>
        <v>41.132426000000002</v>
      </c>
      <c r="K22" s="9">
        <f t="shared" si="3"/>
        <v>61.09623378932281</v>
      </c>
      <c r="L22" s="12">
        <f t="shared" si="4"/>
        <v>6.0772200997429651E-3</v>
      </c>
      <c r="M22" s="13">
        <f t="shared" si="5"/>
        <v>11.930037286799982</v>
      </c>
      <c r="N22" s="11"/>
      <c r="P22" s="14">
        <v>0.26358904420121132</v>
      </c>
      <c r="Q22" s="14">
        <v>0.30347510778605735</v>
      </c>
      <c r="R22" s="9">
        <f t="shared" si="6"/>
        <v>0.24590000000000001</v>
      </c>
      <c r="S22" s="14">
        <v>6.9878522707798041E-3</v>
      </c>
      <c r="T22" s="14">
        <v>1.0929196999999982</v>
      </c>
      <c r="U22" s="15"/>
      <c r="V22" s="9">
        <v>0.24590000000000001</v>
      </c>
    </row>
    <row r="23" spans="1:23" s="9" customFormat="1" x14ac:dyDescent="0.2">
      <c r="A23" s="8" t="s">
        <v>24</v>
      </c>
      <c r="B23" s="9">
        <f>PASH.r1!B173+2</f>
        <v>268</v>
      </c>
      <c r="C23" s="9">
        <v>0</v>
      </c>
      <c r="D23" s="9" t="s">
        <v>15</v>
      </c>
      <c r="E23" s="9" t="s">
        <v>19</v>
      </c>
      <c r="F23" s="9" t="s">
        <v>21</v>
      </c>
      <c r="G23" s="10">
        <f t="shared" si="0"/>
        <v>262.02514807026068</v>
      </c>
      <c r="H23" s="9">
        <f t="shared" si="1"/>
        <v>17.60904393577189</v>
      </c>
      <c r="I23" s="11">
        <f t="shared" si="2"/>
        <v>41.924929999999996</v>
      </c>
      <c r="K23" s="9">
        <f t="shared" si="3"/>
        <v>59.533973935771883</v>
      </c>
      <c r="L23" s="12">
        <f t="shared" si="4"/>
        <v>2.0561697061904416E-2</v>
      </c>
      <c r="M23" s="13">
        <f t="shared" si="5"/>
        <v>12.377391656599968</v>
      </c>
      <c r="N23" s="11"/>
      <c r="P23" s="14">
        <v>0.26364670129597434</v>
      </c>
      <c r="Q23" s="14">
        <v>0.28343371152620866</v>
      </c>
      <c r="R23" s="9">
        <f t="shared" si="6"/>
        <v>0.2495</v>
      </c>
      <c r="S23" s="14">
        <v>1.8138334920634658E-2</v>
      </c>
      <c r="T23" s="14">
        <v>1.1349484833333303</v>
      </c>
      <c r="U23" s="15"/>
      <c r="V23" s="9">
        <v>0.2495</v>
      </c>
    </row>
    <row r="24" spans="1:23" s="9" customFormat="1" x14ac:dyDescent="0.2">
      <c r="A24" s="8" t="s">
        <v>25</v>
      </c>
      <c r="B24" s="9">
        <f>PASH.r1!B174+2</f>
        <v>268</v>
      </c>
      <c r="C24" s="9">
        <v>0</v>
      </c>
      <c r="D24" s="9" t="s">
        <v>15</v>
      </c>
      <c r="E24" s="9" t="s">
        <v>19</v>
      </c>
      <c r="F24" s="9" t="s">
        <v>21</v>
      </c>
      <c r="G24" s="10">
        <f t="shared" si="0"/>
        <v>274.52236887868668</v>
      </c>
      <c r="H24" s="9">
        <f t="shared" si="1"/>
        <v>18.901585614856309</v>
      </c>
      <c r="I24" s="11">
        <f t="shared" si="2"/>
        <v>44.522581999999993</v>
      </c>
      <c r="K24" s="9">
        <f t="shared" si="3"/>
        <v>63.424167614856302</v>
      </c>
      <c r="L24" s="12">
        <f t="shared" si="4"/>
        <v>7.1072929948572333E-4</v>
      </c>
      <c r="M24" s="13">
        <f t="shared" si="5"/>
        <v>13.352126068400056</v>
      </c>
      <c r="N24" s="11"/>
      <c r="P24" s="14">
        <v>0.27360282054002039</v>
      </c>
      <c r="Q24" s="14">
        <v>0.29443453436194145</v>
      </c>
      <c r="R24" s="9">
        <f t="shared" si="6"/>
        <v>0.26129999999999998</v>
      </c>
      <c r="S24" s="14">
        <v>2.8566045415594488E-3</v>
      </c>
      <c r="T24" s="14">
        <v>1.2265244333333385</v>
      </c>
      <c r="U24" s="15"/>
      <c r="V24" s="9">
        <v>0.26129999999999998</v>
      </c>
    </row>
    <row r="25" spans="1:23" s="9" customFormat="1" x14ac:dyDescent="0.2">
      <c r="A25" s="8" t="s">
        <v>26</v>
      </c>
      <c r="B25" s="9">
        <f>PASH.r1!B175+2</f>
        <v>268</v>
      </c>
      <c r="C25" s="9">
        <v>0</v>
      </c>
      <c r="D25" s="9" t="s">
        <v>15</v>
      </c>
      <c r="E25" s="9" t="s">
        <v>19</v>
      </c>
      <c r="F25" s="9" t="s">
        <v>21</v>
      </c>
      <c r="G25" s="10">
        <f t="shared" si="0"/>
        <v>261.0554374363669</v>
      </c>
      <c r="H25" s="9">
        <f t="shared" si="1"/>
        <v>37.189615183831599</v>
      </c>
      <c r="I25" s="11">
        <f t="shared" si="2"/>
        <v>46.966135999999992</v>
      </c>
      <c r="K25" s="9">
        <f t="shared" si="3"/>
        <v>84.155751183831597</v>
      </c>
      <c r="L25" s="12">
        <f t="shared" si="4"/>
        <v>1.5014932241623612E-2</v>
      </c>
      <c r="M25" s="13">
        <f t="shared" si="5"/>
        <v>11.848320460399989</v>
      </c>
      <c r="N25" s="11"/>
      <c r="P25" s="14">
        <v>0.26287416515763895</v>
      </c>
      <c r="Q25" s="14">
        <v>0.45008396258420869</v>
      </c>
      <c r="R25" s="9">
        <f t="shared" si="6"/>
        <v>0.27239999999999998</v>
      </c>
      <c r="S25" s="14">
        <v>1.3868308115183692E-2</v>
      </c>
      <c r="T25" s="14">
        <v>1.0852424333333324</v>
      </c>
      <c r="U25" s="15"/>
      <c r="V25" s="9">
        <v>0.27239999999999998</v>
      </c>
    </row>
    <row r="26" spans="1:23" s="9" customFormat="1" x14ac:dyDescent="0.2">
      <c r="A26" s="8" t="s">
        <v>27</v>
      </c>
      <c r="B26" s="9">
        <f>PASH.r1!B176+2</f>
        <v>268</v>
      </c>
      <c r="C26" s="9">
        <v>0</v>
      </c>
      <c r="D26" s="9" t="s">
        <v>28</v>
      </c>
      <c r="E26" s="9" t="s">
        <v>6</v>
      </c>
      <c r="F26" s="9" t="s">
        <v>21</v>
      </c>
      <c r="G26" s="10">
        <f t="shared" si="0"/>
        <v>298.95558972010969</v>
      </c>
      <c r="H26" s="9">
        <f t="shared" si="1"/>
        <v>38.309956001957993</v>
      </c>
      <c r="I26" s="11">
        <f t="shared" si="2"/>
        <v>41.374579999999995</v>
      </c>
      <c r="K26" s="9">
        <f t="shared" si="3"/>
        <v>79.68453600195798</v>
      </c>
      <c r="L26" s="12">
        <f t="shared" si="4"/>
        <v>3.1390963265623384E-3</v>
      </c>
      <c r="M26" s="13">
        <f t="shared" si="5"/>
        <v>15.511824655235982</v>
      </c>
      <c r="N26" s="11"/>
      <c r="P26" s="14">
        <v>0.29306795314368739</v>
      </c>
      <c r="Q26" s="14">
        <v>0.45961918381171962</v>
      </c>
      <c r="R26" s="9">
        <f t="shared" si="6"/>
        <v>0.247</v>
      </c>
      <c r="S26" s="14">
        <v>4.7260171874998758E-3</v>
      </c>
      <c r="T26" s="14">
        <v>1.4294273445355112</v>
      </c>
      <c r="U26" s="15"/>
      <c r="V26" s="9">
        <v>0.247</v>
      </c>
    </row>
    <row r="27" spans="1:23" s="9" customFormat="1" x14ac:dyDescent="0.2">
      <c r="A27" s="8" t="s">
        <v>29</v>
      </c>
      <c r="B27" s="9">
        <f>PASH.r1!B177+2</f>
        <v>268</v>
      </c>
      <c r="C27" s="9">
        <v>0</v>
      </c>
      <c r="D27" s="9" t="s">
        <v>28</v>
      </c>
      <c r="E27" s="9" t="s">
        <v>6</v>
      </c>
      <c r="F27" s="9" t="s">
        <v>21</v>
      </c>
      <c r="G27" s="10">
        <f t="shared" si="0"/>
        <v>324.83583208365292</v>
      </c>
      <c r="H27" s="9">
        <f t="shared" si="1"/>
        <v>38.655061813566533</v>
      </c>
      <c r="I27" s="11">
        <f t="shared" si="2"/>
        <v>40.075754000000003</v>
      </c>
      <c r="K27" s="9">
        <f t="shared" si="3"/>
        <v>78.730815813566537</v>
      </c>
      <c r="L27" s="12">
        <f t="shared" si="4"/>
        <v>6.2579653018377207E-4</v>
      </c>
      <c r="M27" s="13">
        <f t="shared" si="5"/>
        <v>6.2524052945298179</v>
      </c>
      <c r="N27" s="11"/>
      <c r="P27" s="14">
        <v>0.31368587955997684</v>
      </c>
      <c r="Q27" s="14">
        <v>0.46255637953586559</v>
      </c>
      <c r="R27" s="9">
        <f t="shared" si="6"/>
        <v>0.24110000000000001</v>
      </c>
      <c r="S27" s="14">
        <v>2.7912213473316183E-3</v>
      </c>
      <c r="T27" s="14">
        <v>0.55950820128991152</v>
      </c>
      <c r="U27" s="15"/>
      <c r="V27" s="9">
        <v>0.24110000000000001</v>
      </c>
    </row>
    <row r="28" spans="1:23" s="9" customFormat="1" x14ac:dyDescent="0.2">
      <c r="A28" s="8" t="s">
        <v>30</v>
      </c>
      <c r="B28" s="9">
        <f>PASH.r1!B178+2</f>
        <v>268</v>
      </c>
      <c r="C28" s="9">
        <v>0</v>
      </c>
      <c r="D28" s="9" t="s">
        <v>28</v>
      </c>
      <c r="E28" s="9" t="s">
        <v>6</v>
      </c>
      <c r="F28" s="9" t="s">
        <v>21</v>
      </c>
      <c r="G28" s="10">
        <f t="shared" si="0"/>
        <v>317.81876730710894</v>
      </c>
      <c r="H28" s="9">
        <f t="shared" si="1"/>
        <v>38.159894306958222</v>
      </c>
      <c r="I28" s="11">
        <f t="shared" si="2"/>
        <v>36.465457999999998</v>
      </c>
      <c r="K28" s="9">
        <f t="shared" si="3"/>
        <v>74.62535230695822</v>
      </c>
      <c r="L28" s="12">
        <f t="shared" si="4"/>
        <v>3.3828693907908688E-4</v>
      </c>
      <c r="M28" s="13">
        <f t="shared" si="5"/>
        <v>18.927658342799891</v>
      </c>
      <c r="N28" s="11"/>
      <c r="P28" s="14">
        <v>0.30809561795466345</v>
      </c>
      <c r="Q28" s="14">
        <v>0.45834200865533192</v>
      </c>
      <c r="R28" s="9">
        <f t="shared" si="6"/>
        <v>0.22470000000000001</v>
      </c>
      <c r="S28" s="14">
        <v>2.5698898684211602E-3</v>
      </c>
      <c r="T28" s="14">
        <v>1.75034369999999</v>
      </c>
      <c r="U28" s="15"/>
      <c r="V28" s="9">
        <v>0.22470000000000001</v>
      </c>
    </row>
    <row r="29" spans="1:23" s="9" customFormat="1" x14ac:dyDescent="0.2">
      <c r="A29" s="8" t="s">
        <v>31</v>
      </c>
      <c r="B29" s="9">
        <f>PASH.r1!B179+2</f>
        <v>268</v>
      </c>
      <c r="C29" s="9">
        <v>0</v>
      </c>
      <c r="D29" s="9" t="s">
        <v>28</v>
      </c>
      <c r="E29" s="9" t="s">
        <v>19</v>
      </c>
      <c r="F29" s="9" t="s">
        <v>21</v>
      </c>
      <c r="G29" s="10">
        <f t="shared" si="0"/>
        <v>331.16169192915874</v>
      </c>
      <c r="H29" s="9">
        <f t="shared" si="1"/>
        <v>39.874962969143994</v>
      </c>
      <c r="I29" s="11">
        <f t="shared" si="2"/>
        <v>40.295893999999997</v>
      </c>
      <c r="K29" s="9">
        <f t="shared" si="3"/>
        <v>80.170856969143983</v>
      </c>
      <c r="L29" s="12">
        <f t="shared" si="4"/>
        <v>-1.5980435923212884E-5</v>
      </c>
      <c r="M29" s="13">
        <f t="shared" si="5"/>
        <v>4.5899347835804978</v>
      </c>
      <c r="N29" s="11"/>
      <c r="P29" s="14">
        <v>0.31872548123689648</v>
      </c>
      <c r="Q29" s="14">
        <v>0.47293895884202719</v>
      </c>
      <c r="R29" s="9">
        <f t="shared" si="6"/>
        <v>0.24210000000000001</v>
      </c>
      <c r="S29" s="14">
        <v>2.2971667159944476E-3</v>
      </c>
      <c r="T29" s="14">
        <v>0.40331969030256465</v>
      </c>
      <c r="U29" s="15"/>
      <c r="V29" s="9">
        <v>0.24210000000000001</v>
      </c>
    </row>
    <row r="30" spans="1:23" s="9" customFormat="1" x14ac:dyDescent="0.2">
      <c r="A30" s="8" t="s">
        <v>32</v>
      </c>
      <c r="B30" s="9">
        <f>PASH.r1!B180+2</f>
        <v>268</v>
      </c>
      <c r="C30" s="9">
        <v>0</v>
      </c>
      <c r="D30" s="9" t="s">
        <v>28</v>
      </c>
      <c r="E30" s="9" t="s">
        <v>19</v>
      </c>
      <c r="F30" s="9" t="s">
        <v>21</v>
      </c>
      <c r="G30" s="10">
        <f t="shared" si="0"/>
        <v>263.13954858056292</v>
      </c>
      <c r="H30" s="9">
        <f t="shared" si="1"/>
        <v>32.969138958311667</v>
      </c>
      <c r="I30" s="11">
        <f t="shared" si="2"/>
        <v>36.355387999999998</v>
      </c>
      <c r="K30" s="9">
        <f t="shared" si="3"/>
        <v>69.324526958311665</v>
      </c>
      <c r="L30" s="12">
        <f t="shared" si="4"/>
        <v>2.6314417605264868E-4</v>
      </c>
      <c r="M30" s="13">
        <f t="shared" si="5"/>
        <v>16.996213536599967</v>
      </c>
      <c r="N30" s="11"/>
      <c r="P30" s="14">
        <v>0.26453450703584847</v>
      </c>
      <c r="Q30" s="14">
        <v>0.41416348745318243</v>
      </c>
      <c r="R30" s="9">
        <f t="shared" si="6"/>
        <v>0.22420000000000001</v>
      </c>
      <c r="S30" s="14">
        <v>2.5120432456140485E-3</v>
      </c>
      <c r="T30" s="14">
        <v>1.5688851499999967</v>
      </c>
      <c r="U30" s="15"/>
      <c r="V30" s="9">
        <v>0.22420000000000001</v>
      </c>
    </row>
    <row r="31" spans="1:23" s="9" customFormat="1" x14ac:dyDescent="0.2">
      <c r="A31" s="8" t="s">
        <v>33</v>
      </c>
      <c r="B31" s="9">
        <f>PASH.r1!B181+2</f>
        <v>268</v>
      </c>
      <c r="C31" s="9">
        <v>0</v>
      </c>
      <c r="D31" s="9" t="s">
        <v>28</v>
      </c>
      <c r="E31" s="9" t="s">
        <v>19</v>
      </c>
      <c r="F31" s="9" t="s">
        <v>21</v>
      </c>
      <c r="G31" s="10">
        <f t="shared" si="0"/>
        <v>307.27613634884591</v>
      </c>
      <c r="H31" s="9">
        <f t="shared" si="1"/>
        <v>37.209016012209077</v>
      </c>
      <c r="I31" s="11">
        <f t="shared" si="2"/>
        <v>46.019534</v>
      </c>
      <c r="K31" s="9">
        <f t="shared" si="3"/>
        <v>83.22855001220907</v>
      </c>
      <c r="L31" s="12">
        <f t="shared" si="4"/>
        <v>-2.5337513036656229E-4</v>
      </c>
      <c r="M31" s="13">
        <f t="shared" si="5"/>
        <v>18.376095132800039</v>
      </c>
      <c r="N31" s="11"/>
      <c r="P31" s="14">
        <v>0.29969665529124723</v>
      </c>
      <c r="Q31" s="14">
        <v>0.450249083043611</v>
      </c>
      <c r="R31" s="9">
        <f t="shared" si="6"/>
        <v>0.2681</v>
      </c>
      <c r="S31" s="14">
        <v>2.1144148342058799E-3</v>
      </c>
      <c r="T31" s="14">
        <v>1.698524533333337</v>
      </c>
      <c r="U31" s="15"/>
      <c r="V31" s="9">
        <v>0.2681</v>
      </c>
    </row>
    <row r="32" spans="1:23" s="9" customFormat="1" x14ac:dyDescent="0.2">
      <c r="A32" s="8" t="s">
        <v>41</v>
      </c>
      <c r="B32" s="9">
        <f t="shared" ref="B32:B61" si="7">B2+24</f>
        <v>292</v>
      </c>
      <c r="C32" s="9">
        <f>B32-268</f>
        <v>24</v>
      </c>
      <c r="D32" s="9" t="s">
        <v>5</v>
      </c>
      <c r="E32" s="9" t="s">
        <v>6</v>
      </c>
      <c r="F32" s="9" t="s">
        <v>7</v>
      </c>
      <c r="G32" s="10">
        <f t="shared" si="0"/>
        <v>272.01413777456474</v>
      </c>
      <c r="H32" s="9">
        <f t="shared" si="1"/>
        <v>3.283669295108107</v>
      </c>
      <c r="I32" s="11"/>
      <c r="J32" s="11"/>
      <c r="L32" s="12">
        <f t="shared" si="4"/>
        <v>1.32092719488605E-4</v>
      </c>
      <c r="M32" s="13">
        <f t="shared" si="5"/>
        <v>7.2672480586000425</v>
      </c>
      <c r="N32" s="11"/>
      <c r="P32" s="14">
        <v>0.27160459642706991</v>
      </c>
      <c r="Q32" s="14">
        <v>0.16151044125373937</v>
      </c>
      <c r="R32" s="9">
        <f t="shared" si="6"/>
        <v>0.16900000000000001</v>
      </c>
      <c r="S32" s="14">
        <v>2.4111568279358009E-3</v>
      </c>
      <c r="T32" s="14">
        <v>0.65485231666667065</v>
      </c>
      <c r="U32" s="15"/>
      <c r="W32" s="9">
        <v>0.16900000000000001</v>
      </c>
    </row>
    <row r="33" spans="1:23" s="9" customFormat="1" x14ac:dyDescent="0.2">
      <c r="A33" s="8" t="s">
        <v>8</v>
      </c>
      <c r="B33" s="9">
        <f t="shared" si="7"/>
        <v>292</v>
      </c>
      <c r="C33" s="9">
        <f t="shared" ref="C33:C96" si="8">B33-268</f>
        <v>24</v>
      </c>
      <c r="D33" s="9" t="s">
        <v>5</v>
      </c>
      <c r="E33" s="9" t="s">
        <v>6</v>
      </c>
      <c r="F33" s="9" t="s">
        <v>7</v>
      </c>
      <c r="G33" s="10">
        <f t="shared" si="0"/>
        <v>227.80549611476386</v>
      </c>
      <c r="H33" s="9">
        <f t="shared" si="1"/>
        <v>19.135787843602124</v>
      </c>
      <c r="I33" s="11"/>
      <c r="J33" s="11"/>
      <c r="L33" s="12">
        <f t="shared" si="4"/>
        <v>-8.3789742358496766E-4</v>
      </c>
      <c r="M33" s="13">
        <f t="shared" si="5"/>
        <v>11.255596547600032</v>
      </c>
      <c r="N33" s="11"/>
      <c r="P33" s="14">
        <v>0.23638504523809523</v>
      </c>
      <c r="Q33" s="14">
        <v>0.2964278296404283</v>
      </c>
      <c r="R33" s="9">
        <f t="shared" si="6"/>
        <v>0.13469999999999999</v>
      </c>
      <c r="S33" s="14">
        <v>1.6644361635219651E-3</v>
      </c>
      <c r="T33" s="14">
        <v>1.0295562333333361</v>
      </c>
      <c r="U33" s="15"/>
      <c r="W33" s="9">
        <v>0.13469999999999999</v>
      </c>
    </row>
    <row r="34" spans="1:23" s="9" customFormat="1" x14ac:dyDescent="0.2">
      <c r="A34" s="8" t="s">
        <v>9</v>
      </c>
      <c r="B34" s="9">
        <f t="shared" si="7"/>
        <v>292</v>
      </c>
      <c r="C34" s="9">
        <f t="shared" si="8"/>
        <v>24</v>
      </c>
      <c r="D34" s="9" t="s">
        <v>5</v>
      </c>
      <c r="E34" s="9" t="s">
        <v>6</v>
      </c>
      <c r="F34" s="9" t="s">
        <v>7</v>
      </c>
      <c r="G34" s="10">
        <f t="shared" ref="G34:G65" si="9">30*(P34-0.0549)/0.0239</f>
        <v>215.41169036733521</v>
      </c>
      <c r="H34" s="9">
        <f t="shared" ref="H34:H65" si="10">(3.9165*Q34-0.5231)*30</f>
        <v>22.239943810946404</v>
      </c>
      <c r="I34" s="11"/>
      <c r="J34" s="11"/>
      <c r="L34" s="12">
        <f t="shared" ref="L34:L65" si="11">(S34*0.0433 - 0.0001)*30</f>
        <v>-1.0657008234276966E-3</v>
      </c>
      <c r="M34" s="13">
        <f t="shared" ref="M34:M63" si="12">(0.3548*T34 + 0.0099)*30</f>
        <v>10.510579701999987</v>
      </c>
      <c r="N34" s="11"/>
      <c r="P34" s="14">
        <v>0.22651131332597707</v>
      </c>
      <c r="Q34" s="14">
        <v>0.32284730253156646</v>
      </c>
      <c r="R34" s="9">
        <f t="shared" ref="R34:R65" si="13">AVERAGE(V34:X34)</f>
        <v>0.14530000000000001</v>
      </c>
      <c r="S34" s="14">
        <v>1.4890678803481938E-3</v>
      </c>
      <c r="T34" s="14">
        <v>0.95956216666666538</v>
      </c>
      <c r="U34" s="15"/>
      <c r="W34" s="9">
        <v>0.14530000000000001</v>
      </c>
    </row>
    <row r="35" spans="1:23" s="9" customFormat="1" x14ac:dyDescent="0.2">
      <c r="A35" s="8" t="s">
        <v>10</v>
      </c>
      <c r="B35" s="9">
        <f t="shared" si="7"/>
        <v>292</v>
      </c>
      <c r="C35" s="9">
        <f t="shared" si="8"/>
        <v>24</v>
      </c>
      <c r="D35" s="9" t="s">
        <v>11</v>
      </c>
      <c r="E35" s="9" t="s">
        <v>6</v>
      </c>
      <c r="F35" s="9" t="s">
        <v>7</v>
      </c>
      <c r="G35" s="10">
        <f t="shared" si="9"/>
        <v>235.18920343945754</v>
      </c>
      <c r="H35" s="9">
        <f t="shared" si="10"/>
        <v>-3.0513559690611047</v>
      </c>
      <c r="I35" s="11"/>
      <c r="J35" s="11"/>
      <c r="L35" s="12">
        <f t="shared" si="11"/>
        <v>2.6595921049866675E-4</v>
      </c>
      <c r="M35" s="13">
        <f t="shared" si="12"/>
        <v>7.9313149779999632</v>
      </c>
      <c r="N35" s="11"/>
      <c r="P35" s="14">
        <v>0.24226739874010117</v>
      </c>
      <c r="Q35" s="14">
        <v>0.10759303826493805</v>
      </c>
      <c r="R35" s="9">
        <f t="shared" si="13"/>
        <v>0.13739999999999999</v>
      </c>
      <c r="S35" s="14">
        <v>2.5142103237095204E-3</v>
      </c>
      <c r="T35" s="14">
        <v>0.71724116666666315</v>
      </c>
      <c r="U35" s="15"/>
      <c r="W35" s="9">
        <v>0.13739999999999999</v>
      </c>
    </row>
    <row r="36" spans="1:23" s="9" customFormat="1" x14ac:dyDescent="0.2">
      <c r="A36" s="8" t="s">
        <v>12</v>
      </c>
      <c r="B36" s="9">
        <f t="shared" si="7"/>
        <v>292</v>
      </c>
      <c r="C36" s="9">
        <f t="shared" si="8"/>
        <v>24</v>
      </c>
      <c r="D36" s="9" t="s">
        <v>11</v>
      </c>
      <c r="E36" s="9" t="s">
        <v>6</v>
      </c>
      <c r="F36" s="9" t="s">
        <v>7</v>
      </c>
      <c r="G36" s="10">
        <f t="shared" si="9"/>
        <v>238.84262609930497</v>
      </c>
      <c r="H36" s="9">
        <f t="shared" si="10"/>
        <v>-3.9434999999999985</v>
      </c>
      <c r="I36" s="11"/>
      <c r="J36" s="11"/>
      <c r="L36" s="12">
        <f t="shared" si="11"/>
        <v>1.1786314339094677E-3</v>
      </c>
      <c r="M36" s="13">
        <f t="shared" si="12"/>
        <v>9.1005761180000579</v>
      </c>
      <c r="N36" s="11"/>
      <c r="P36" s="14">
        <v>0.2451779587924463</v>
      </c>
      <c r="Q36" s="14">
        <v>0.1</v>
      </c>
      <c r="R36" s="9">
        <f t="shared" si="13"/>
        <v>0.13600000000000001</v>
      </c>
      <c r="S36" s="14">
        <v>3.2168063386524004E-3</v>
      </c>
      <c r="T36" s="14">
        <v>0.82709283333333872</v>
      </c>
      <c r="U36" s="15"/>
      <c r="W36" s="9">
        <v>0.13600000000000001</v>
      </c>
    </row>
    <row r="37" spans="1:23" s="9" customFormat="1" x14ac:dyDescent="0.2">
      <c r="A37" s="8" t="s">
        <v>13</v>
      </c>
      <c r="B37" s="9">
        <f t="shared" si="7"/>
        <v>292</v>
      </c>
      <c r="C37" s="9">
        <f t="shared" si="8"/>
        <v>24</v>
      </c>
      <c r="D37" s="9" t="s">
        <v>11</v>
      </c>
      <c r="E37" s="9" t="s">
        <v>6</v>
      </c>
      <c r="F37" s="9" t="s">
        <v>7</v>
      </c>
      <c r="G37" s="10">
        <f t="shared" si="9"/>
        <v>248.90427308575531</v>
      </c>
      <c r="H37" s="9">
        <f t="shared" si="10"/>
        <v>-3.9434999999999985</v>
      </c>
      <c r="I37" s="11"/>
      <c r="J37" s="11"/>
      <c r="L37" s="12">
        <f t="shared" si="11"/>
        <v>1.6584165578535667E-3</v>
      </c>
      <c r="M37" s="13">
        <f t="shared" si="12"/>
        <v>9.6195346272000286</v>
      </c>
      <c r="N37" s="11"/>
      <c r="P37" s="14">
        <v>0.25319373755831842</v>
      </c>
      <c r="Q37" s="14">
        <v>0.1</v>
      </c>
      <c r="R37" s="9">
        <f t="shared" si="13"/>
        <v>0.14149999999999999</v>
      </c>
      <c r="S37" s="14">
        <v>3.5861559336825E-3</v>
      </c>
      <c r="T37" s="14">
        <v>0.87584880000000265</v>
      </c>
      <c r="U37" s="15"/>
      <c r="W37" s="9">
        <v>0.14149999999999999</v>
      </c>
    </row>
    <row r="38" spans="1:23" s="9" customFormat="1" x14ac:dyDescent="0.2">
      <c r="A38" s="8" t="s">
        <v>14</v>
      </c>
      <c r="B38" s="9">
        <f t="shared" si="7"/>
        <v>292</v>
      </c>
      <c r="C38" s="9">
        <f t="shared" si="8"/>
        <v>24</v>
      </c>
      <c r="D38" s="9" t="s">
        <v>15</v>
      </c>
      <c r="E38" s="9" t="s">
        <v>6</v>
      </c>
      <c r="F38" s="9" t="s">
        <v>7</v>
      </c>
      <c r="G38" s="10">
        <f t="shared" si="9"/>
        <v>268.65068073640003</v>
      </c>
      <c r="H38" s="9">
        <f t="shared" si="10"/>
        <v>-3.9434999999999985</v>
      </c>
      <c r="I38" s="11"/>
      <c r="J38" s="11"/>
      <c r="L38" s="12">
        <f t="shared" si="11"/>
        <v>3.1622475133869722E-3</v>
      </c>
      <c r="M38" s="13">
        <f t="shared" si="12"/>
        <v>14.661904861400046</v>
      </c>
      <c r="N38" s="11"/>
      <c r="P38" s="14">
        <v>0.2689250423199987</v>
      </c>
      <c r="Q38" s="14">
        <v>0.1</v>
      </c>
      <c r="R38" s="9">
        <f t="shared" si="13"/>
        <v>0.10100000000000001</v>
      </c>
      <c r="S38" s="14">
        <v>4.7438395022224578E-3</v>
      </c>
      <c r="T38" s="14">
        <v>1.3495776833333375</v>
      </c>
      <c r="U38" s="15"/>
      <c r="W38" s="9">
        <v>0.10100000000000001</v>
      </c>
    </row>
    <row r="39" spans="1:23" s="9" customFormat="1" x14ac:dyDescent="0.2">
      <c r="A39" s="8" t="s">
        <v>16</v>
      </c>
      <c r="B39" s="9">
        <f t="shared" si="7"/>
        <v>292</v>
      </c>
      <c r="C39" s="9">
        <f t="shared" si="8"/>
        <v>24</v>
      </c>
      <c r="D39" s="9" t="s">
        <v>15</v>
      </c>
      <c r="E39" s="9" t="s">
        <v>6</v>
      </c>
      <c r="F39" s="9" t="s">
        <v>7</v>
      </c>
      <c r="G39" s="10">
        <f t="shared" si="9"/>
        <v>200.35633461532916</v>
      </c>
      <c r="H39" s="9">
        <f t="shared" si="10"/>
        <v>-3.9434999999999985</v>
      </c>
      <c r="I39" s="11"/>
      <c r="J39" s="11"/>
      <c r="L39" s="12">
        <f t="shared" si="11"/>
        <v>3.2823272935607615E-3</v>
      </c>
      <c r="M39" s="13">
        <f t="shared" si="12"/>
        <v>7.1048447450000287</v>
      </c>
      <c r="N39" s="11"/>
      <c r="P39" s="14">
        <v>0.21451721324354556</v>
      </c>
      <c r="Q39" s="14">
        <v>0.1</v>
      </c>
      <c r="R39" s="9">
        <f t="shared" si="13"/>
        <v>0.125</v>
      </c>
      <c r="S39" s="14">
        <v>4.8362796717172918E-3</v>
      </c>
      <c r="T39" s="14">
        <v>0.63959458333333608</v>
      </c>
      <c r="U39" s="15"/>
      <c r="W39" s="9">
        <v>0.125</v>
      </c>
    </row>
    <row r="40" spans="1:23" s="9" customFormat="1" x14ac:dyDescent="0.2">
      <c r="A40" s="8" t="s">
        <v>17</v>
      </c>
      <c r="B40" s="9">
        <f t="shared" si="7"/>
        <v>292</v>
      </c>
      <c r="C40" s="9">
        <f t="shared" si="8"/>
        <v>24</v>
      </c>
      <c r="D40" s="9" t="s">
        <v>15</v>
      </c>
      <c r="E40" s="9" t="s">
        <v>6</v>
      </c>
      <c r="F40" s="9" t="s">
        <v>7</v>
      </c>
      <c r="G40" s="10">
        <f t="shared" si="9"/>
        <v>203.31707261226248</v>
      </c>
      <c r="H40" s="9">
        <f t="shared" si="10"/>
        <v>-3.9434999999999985</v>
      </c>
      <c r="I40" s="11"/>
      <c r="J40" s="11"/>
      <c r="L40" s="12">
        <f t="shared" si="11"/>
        <v>1.2023096673684727E-3</v>
      </c>
      <c r="M40" s="13">
        <f t="shared" si="12"/>
        <v>6.9747184743999826</v>
      </c>
      <c r="N40" s="11"/>
      <c r="P40" s="14">
        <v>0.21687593451443576</v>
      </c>
      <c r="Q40" s="14">
        <v>0.1</v>
      </c>
      <c r="R40" s="9">
        <f t="shared" si="13"/>
        <v>0.12959999999999999</v>
      </c>
      <c r="S40" s="14">
        <v>3.2350343859649522E-3</v>
      </c>
      <c r="T40" s="14">
        <v>0.62736926666666504</v>
      </c>
      <c r="U40" s="15"/>
      <c r="W40" s="9">
        <v>0.12959999999999999</v>
      </c>
    </row>
    <row r="41" spans="1:23" s="9" customFormat="1" x14ac:dyDescent="0.2">
      <c r="A41" s="8" t="s">
        <v>18</v>
      </c>
      <c r="B41" s="9">
        <f t="shared" si="7"/>
        <v>292</v>
      </c>
      <c r="C41" s="9">
        <f t="shared" si="8"/>
        <v>24</v>
      </c>
      <c r="D41" s="9" t="s">
        <v>5</v>
      </c>
      <c r="E41" s="9" t="s">
        <v>19</v>
      </c>
      <c r="F41" s="9" t="s">
        <v>7</v>
      </c>
      <c r="G41" s="10">
        <f t="shared" si="9"/>
        <v>210.92286663842017</v>
      </c>
      <c r="H41" s="9">
        <f t="shared" si="10"/>
        <v>-5.3127451605664042</v>
      </c>
      <c r="I41" s="11"/>
      <c r="J41" s="11"/>
      <c r="L41" s="12">
        <f t="shared" si="11"/>
        <v>3.8696833398959581E-4</v>
      </c>
      <c r="M41" s="13">
        <f t="shared" si="12"/>
        <v>8.0236477752000077</v>
      </c>
      <c r="N41" s="11"/>
      <c r="P41" s="14">
        <v>0.22293521708860808</v>
      </c>
      <c r="Q41" s="14">
        <v>8.8346353797468802E-2</v>
      </c>
      <c r="R41" s="9">
        <f t="shared" si="13"/>
        <v>0.1263</v>
      </c>
      <c r="S41" s="14">
        <v>2.6073659230096968E-3</v>
      </c>
      <c r="T41" s="14">
        <v>0.72591580000000056</v>
      </c>
      <c r="U41" s="15"/>
      <c r="W41" s="9">
        <v>0.1263</v>
      </c>
    </row>
    <row r="42" spans="1:23" s="9" customFormat="1" x14ac:dyDescent="0.2">
      <c r="A42" s="8" t="s">
        <v>8</v>
      </c>
      <c r="B42" s="9">
        <f t="shared" si="7"/>
        <v>292</v>
      </c>
      <c r="C42" s="9">
        <f t="shared" si="8"/>
        <v>24</v>
      </c>
      <c r="D42" s="9" t="s">
        <v>5</v>
      </c>
      <c r="E42" s="9" t="s">
        <v>19</v>
      </c>
      <c r="F42" s="9" t="s">
        <v>7</v>
      </c>
      <c r="G42" s="10">
        <f t="shared" si="9"/>
        <v>230.17005310453814</v>
      </c>
      <c r="H42" s="9">
        <f t="shared" si="10"/>
        <v>-5.5676725943749235</v>
      </c>
      <c r="I42" s="11"/>
      <c r="J42" s="11"/>
      <c r="L42" s="12">
        <f t="shared" si="11"/>
        <v>3.5792157835289997E-3</v>
      </c>
      <c r="M42" s="13">
        <f t="shared" si="12"/>
        <v>9.6648411680000983</v>
      </c>
      <c r="N42" s="11"/>
      <c r="P42" s="14">
        <v>0.23826880897328206</v>
      </c>
      <c r="Q42" s="14">
        <v>8.6176666288991677E-2</v>
      </c>
      <c r="R42" s="9">
        <f t="shared" si="13"/>
        <v>0.13300000000000001</v>
      </c>
      <c r="S42" s="14">
        <v>5.0648312421316399E-3</v>
      </c>
      <c r="T42" s="14">
        <v>0.88010533333334262</v>
      </c>
      <c r="U42" s="15"/>
      <c r="W42" s="9">
        <v>0.13300000000000001</v>
      </c>
    </row>
    <row r="43" spans="1:23" s="9" customFormat="1" x14ac:dyDescent="0.2">
      <c r="A43" s="8" t="s">
        <v>9</v>
      </c>
      <c r="B43" s="9">
        <f t="shared" si="7"/>
        <v>292</v>
      </c>
      <c r="C43" s="9">
        <f t="shared" si="8"/>
        <v>24</v>
      </c>
      <c r="D43" s="9" t="s">
        <v>5</v>
      </c>
      <c r="E43" s="9" t="s">
        <v>19</v>
      </c>
      <c r="F43" s="9" t="s">
        <v>7</v>
      </c>
      <c r="G43" s="10">
        <f t="shared" si="9"/>
        <v>220.97401692107078</v>
      </c>
      <c r="H43" s="9">
        <f t="shared" si="10"/>
        <v>-3.9434999999999985</v>
      </c>
      <c r="I43" s="11"/>
      <c r="J43" s="11"/>
      <c r="L43" s="12">
        <f t="shared" si="11"/>
        <v>1.7657645649448629E-4</v>
      </c>
      <c r="M43" s="13">
        <f t="shared" si="12"/>
        <v>8.5763037691999813</v>
      </c>
      <c r="N43" s="11"/>
      <c r="P43" s="14">
        <v>0.23094263348045307</v>
      </c>
      <c r="Q43" s="14">
        <v>0.1</v>
      </c>
      <c r="R43" s="9">
        <f t="shared" si="13"/>
        <v>0.1368</v>
      </c>
      <c r="S43" s="14">
        <v>2.4454014291720449E-3</v>
      </c>
      <c r="T43" s="14">
        <v>0.77783763333333145</v>
      </c>
      <c r="U43" s="15"/>
      <c r="W43" s="9">
        <v>0.1368</v>
      </c>
    </row>
    <row r="44" spans="1:23" s="9" customFormat="1" x14ac:dyDescent="0.2">
      <c r="A44" s="8" t="s">
        <v>10</v>
      </c>
      <c r="B44" s="9">
        <f t="shared" si="7"/>
        <v>292</v>
      </c>
      <c r="C44" s="9">
        <f t="shared" si="8"/>
        <v>24</v>
      </c>
      <c r="D44" s="9" t="s">
        <v>11</v>
      </c>
      <c r="E44" s="9" t="s">
        <v>19</v>
      </c>
      <c r="F44" s="9" t="s">
        <v>7</v>
      </c>
      <c r="G44" s="10">
        <f t="shared" si="9"/>
        <v>255.36136652966729</v>
      </c>
      <c r="H44" s="9">
        <f t="shared" si="10"/>
        <v>-4.516079354571688</v>
      </c>
      <c r="I44" s="11"/>
      <c r="J44" s="11"/>
      <c r="L44" s="12">
        <f t="shared" si="11"/>
        <v>3.0640369627580981E-3</v>
      </c>
      <c r="M44" s="13">
        <f t="shared" si="12"/>
        <v>9.0608998984000646</v>
      </c>
      <c r="N44" s="11"/>
      <c r="P44" s="14">
        <v>0.25833788866863494</v>
      </c>
      <c r="Q44" s="14">
        <v>9.512677684521309E-2</v>
      </c>
      <c r="R44" s="9">
        <f t="shared" si="13"/>
        <v>0.15310000000000001</v>
      </c>
      <c r="S44" s="14">
        <v>4.6682347673272506E-3</v>
      </c>
      <c r="T44" s="14">
        <v>0.82336526666667265</v>
      </c>
      <c r="U44" s="15"/>
      <c r="W44" s="9">
        <v>0.15310000000000001</v>
      </c>
    </row>
    <row r="45" spans="1:23" s="9" customFormat="1" x14ac:dyDescent="0.2">
      <c r="A45" s="8" t="s">
        <v>12</v>
      </c>
      <c r="B45" s="9">
        <f t="shared" si="7"/>
        <v>292</v>
      </c>
      <c r="C45" s="9">
        <f t="shared" si="8"/>
        <v>24</v>
      </c>
      <c r="D45" s="9" t="s">
        <v>11</v>
      </c>
      <c r="E45" s="9" t="s">
        <v>19</v>
      </c>
      <c r="F45" s="9" t="s">
        <v>7</v>
      </c>
      <c r="G45" s="10">
        <f t="shared" si="9"/>
        <v>233.02546648322385</v>
      </c>
      <c r="H45" s="9">
        <f t="shared" si="10"/>
        <v>-3.9434999999999985</v>
      </c>
      <c r="I45" s="11"/>
      <c r="J45" s="11"/>
      <c r="L45" s="12">
        <f t="shared" si="11"/>
        <v>8.8719883186531422E-4</v>
      </c>
      <c r="M45" s="13">
        <f t="shared" si="12"/>
        <v>9.281336961000072</v>
      </c>
      <c r="N45" s="11"/>
      <c r="P45" s="14">
        <v>0.24054362163163501</v>
      </c>
      <c r="Q45" s="14">
        <v>0.1</v>
      </c>
      <c r="R45" s="9">
        <f t="shared" si="13"/>
        <v>0.1419</v>
      </c>
      <c r="S45" s="14">
        <v>2.9924548359240299E-3</v>
      </c>
      <c r="T45" s="14">
        <v>0.8440752500000066</v>
      </c>
      <c r="U45" s="15"/>
      <c r="W45" s="9">
        <v>0.1419</v>
      </c>
    </row>
    <row r="46" spans="1:23" s="9" customFormat="1" x14ac:dyDescent="0.2">
      <c r="A46" s="8" t="s">
        <v>13</v>
      </c>
      <c r="B46" s="9">
        <f t="shared" si="7"/>
        <v>292</v>
      </c>
      <c r="C46" s="9">
        <f t="shared" si="8"/>
        <v>24</v>
      </c>
      <c r="D46" s="9" t="s">
        <v>11</v>
      </c>
      <c r="E46" s="9" t="s">
        <v>19</v>
      </c>
      <c r="F46" s="9" t="s">
        <v>7</v>
      </c>
      <c r="G46" s="10">
        <f t="shared" si="9"/>
        <v>258.25059069068141</v>
      </c>
      <c r="H46" s="9">
        <f t="shared" si="10"/>
        <v>-7.0401312733946089</v>
      </c>
      <c r="I46" s="11"/>
      <c r="J46" s="11"/>
      <c r="L46" s="12">
        <f t="shared" si="11"/>
        <v>2.7798868136783565E-3</v>
      </c>
      <c r="M46" s="13">
        <f t="shared" si="12"/>
        <v>10.942810899199944</v>
      </c>
      <c r="N46" s="11"/>
      <c r="P46" s="14">
        <v>0.26063963725024286</v>
      </c>
      <c r="Q46" s="14">
        <v>7.3644569782589819E-2</v>
      </c>
      <c r="R46" s="9">
        <f t="shared" si="13"/>
        <v>0.12470000000000001</v>
      </c>
      <c r="S46" s="14">
        <v>4.4494894639556248E-3</v>
      </c>
      <c r="T46" s="14">
        <v>1.0001701333333282</v>
      </c>
      <c r="U46" s="15"/>
      <c r="W46" s="9">
        <v>0.12470000000000001</v>
      </c>
    </row>
    <row r="47" spans="1:23" s="9" customFormat="1" x14ac:dyDescent="0.2">
      <c r="A47" s="8" t="s">
        <v>14</v>
      </c>
      <c r="B47" s="9">
        <f t="shared" si="7"/>
        <v>292</v>
      </c>
      <c r="C47" s="9">
        <f t="shared" si="8"/>
        <v>24</v>
      </c>
      <c r="D47" s="9" t="s">
        <v>15</v>
      </c>
      <c r="E47" s="9" t="s">
        <v>19</v>
      </c>
      <c r="F47" s="9" t="s">
        <v>7</v>
      </c>
      <c r="G47" s="10">
        <f t="shared" si="9"/>
        <v>197.82278229744006</v>
      </c>
      <c r="H47" s="9">
        <f t="shared" si="10"/>
        <v>-5.1345336036225317</v>
      </c>
      <c r="I47" s="11"/>
      <c r="J47" s="11"/>
      <c r="L47" s="12">
        <f t="shared" si="11"/>
        <v>3.3912740954749091E-5</v>
      </c>
      <c r="M47" s="13">
        <f t="shared" si="12"/>
        <v>8.9024934067999908</v>
      </c>
      <c r="N47" s="11"/>
      <c r="P47" s="14">
        <v>0.21249881656362724</v>
      </c>
      <c r="Q47" s="14">
        <v>8.9863112442039816E-2</v>
      </c>
      <c r="R47" s="9">
        <f t="shared" si="13"/>
        <v>0.1137</v>
      </c>
      <c r="S47" s="14">
        <v>2.3355756281406848E-3</v>
      </c>
      <c r="T47" s="14">
        <v>0.80848303333333238</v>
      </c>
      <c r="U47" s="15"/>
      <c r="W47" s="9">
        <v>0.1137</v>
      </c>
    </row>
    <row r="48" spans="1:23" s="9" customFormat="1" x14ac:dyDescent="0.2">
      <c r="A48" s="8" t="s">
        <v>16</v>
      </c>
      <c r="B48" s="9">
        <f t="shared" si="7"/>
        <v>292</v>
      </c>
      <c r="C48" s="9">
        <f t="shared" si="8"/>
        <v>24</v>
      </c>
      <c r="D48" s="9" t="s">
        <v>15</v>
      </c>
      <c r="E48" s="9" t="s">
        <v>19</v>
      </c>
      <c r="F48" s="9" t="s">
        <v>7</v>
      </c>
      <c r="G48" s="10">
        <f t="shared" si="9"/>
        <v>184.63505736054202</v>
      </c>
      <c r="H48" s="9">
        <f t="shared" si="10"/>
        <v>-3.9434999999999985</v>
      </c>
      <c r="I48" s="11"/>
      <c r="J48" s="11"/>
      <c r="L48" s="12">
        <f t="shared" si="11"/>
        <v>2.9023659700903666E-3</v>
      </c>
      <c r="M48" s="13">
        <f t="shared" si="12"/>
        <v>7.3090968960000122</v>
      </c>
      <c r="N48" s="11"/>
      <c r="P48" s="14">
        <v>0.20199259569723182</v>
      </c>
      <c r="Q48" s="14">
        <v>0.1</v>
      </c>
      <c r="R48" s="9">
        <f t="shared" si="13"/>
        <v>0.12790000000000001</v>
      </c>
      <c r="S48" s="14">
        <v>4.5437767283220687E-3</v>
      </c>
      <c r="T48" s="14">
        <v>0.65878400000000115</v>
      </c>
      <c r="U48" s="15"/>
      <c r="W48" s="9">
        <v>0.12790000000000001</v>
      </c>
    </row>
    <row r="49" spans="1:23" s="9" customFormat="1" x14ac:dyDescent="0.2">
      <c r="A49" s="8" t="s">
        <v>17</v>
      </c>
      <c r="B49" s="9">
        <f t="shared" si="7"/>
        <v>292</v>
      </c>
      <c r="C49" s="9">
        <f t="shared" si="8"/>
        <v>24</v>
      </c>
      <c r="D49" s="9" t="s">
        <v>15</v>
      </c>
      <c r="E49" s="9" t="s">
        <v>19</v>
      </c>
      <c r="F49" s="9" t="s">
        <v>7</v>
      </c>
      <c r="G49" s="10">
        <f t="shared" si="9"/>
        <v>201.75899738999439</v>
      </c>
      <c r="H49" s="9">
        <f t="shared" si="10"/>
        <v>-3.9434999999999985</v>
      </c>
      <c r="I49" s="11"/>
      <c r="J49" s="11"/>
      <c r="L49" s="12">
        <f t="shared" si="11"/>
        <v>9.3680130903730043E-4</v>
      </c>
      <c r="M49" s="13">
        <f t="shared" si="12"/>
        <v>9.3692078512919501</v>
      </c>
      <c r="N49" s="11"/>
      <c r="P49" s="14">
        <v>0.21563466792069552</v>
      </c>
      <c r="Q49" s="14">
        <v>0.1</v>
      </c>
      <c r="R49" s="9">
        <f t="shared" si="13"/>
        <v>0.12559999999999999</v>
      </c>
      <c r="S49" s="14">
        <v>3.0306399607677448E-3</v>
      </c>
      <c r="T49" s="14">
        <v>0.85233068877226126</v>
      </c>
      <c r="U49" s="15"/>
      <c r="W49" s="9">
        <v>0.12559999999999999</v>
      </c>
    </row>
    <row r="50" spans="1:23" s="9" customFormat="1" x14ac:dyDescent="0.2">
      <c r="A50" s="8" t="s">
        <v>20</v>
      </c>
      <c r="B50" s="9">
        <f t="shared" si="7"/>
        <v>292</v>
      </c>
      <c r="C50" s="9">
        <f t="shared" si="8"/>
        <v>24</v>
      </c>
      <c r="D50" s="9" t="s">
        <v>5</v>
      </c>
      <c r="E50" s="9" t="s">
        <v>19</v>
      </c>
      <c r="F50" s="9" t="s">
        <v>21</v>
      </c>
      <c r="G50" s="10">
        <f t="shared" si="9"/>
        <v>261.69914609734894</v>
      </c>
      <c r="H50" s="9">
        <f t="shared" si="10"/>
        <v>3.2498957127949302</v>
      </c>
      <c r="I50" s="11"/>
      <c r="J50" s="11"/>
      <c r="L50" s="12">
        <f t="shared" si="11"/>
        <v>2.5011750993539977E-3</v>
      </c>
      <c r="M50" s="13">
        <f t="shared" si="12"/>
        <v>8.0113755980000114</v>
      </c>
      <c r="N50" s="11"/>
      <c r="P50" s="14">
        <v>0.26338698639088798</v>
      </c>
      <c r="Q50" s="14">
        <v>0.16122299427886233</v>
      </c>
      <c r="R50" s="9">
        <f t="shared" si="13"/>
        <v>0.27010000000000001</v>
      </c>
      <c r="S50" s="14">
        <v>4.2349307924203217E-3</v>
      </c>
      <c r="T50" s="14">
        <v>0.72476283333333447</v>
      </c>
      <c r="U50" s="15"/>
      <c r="W50" s="9">
        <v>0.27010000000000001</v>
      </c>
    </row>
    <row r="51" spans="1:23" s="9" customFormat="1" x14ac:dyDescent="0.2">
      <c r="A51" s="8" t="s">
        <v>22</v>
      </c>
      <c r="B51" s="9">
        <f t="shared" si="7"/>
        <v>292</v>
      </c>
      <c r="C51" s="9">
        <f t="shared" si="8"/>
        <v>24</v>
      </c>
      <c r="D51" s="9" t="s">
        <v>5</v>
      </c>
      <c r="E51" s="9" t="s">
        <v>19</v>
      </c>
      <c r="F51" s="9" t="s">
        <v>21</v>
      </c>
      <c r="G51" s="10">
        <f t="shared" si="9"/>
        <v>230.88708876077015</v>
      </c>
      <c r="H51" s="9">
        <f t="shared" si="10"/>
        <v>37.101560215924117</v>
      </c>
      <c r="I51" s="11"/>
      <c r="J51" s="11"/>
      <c r="L51" s="12">
        <f t="shared" si="11"/>
        <v>-3.9677405851059906E-4</v>
      </c>
      <c r="M51" s="13">
        <f t="shared" si="12"/>
        <v>9.3880088227999803</v>
      </c>
      <c r="N51" s="11"/>
      <c r="P51" s="14">
        <v>0.23884004737941356</v>
      </c>
      <c r="Q51" s="14">
        <v>0.44933452671112906</v>
      </c>
      <c r="R51" s="9">
        <f t="shared" si="13"/>
        <v>0.12939999999999999</v>
      </c>
      <c r="S51" s="14">
        <v>2.0040230496454203E-3</v>
      </c>
      <c r="T51" s="14">
        <v>0.85409703333333153</v>
      </c>
      <c r="U51" s="15"/>
      <c r="W51" s="9">
        <v>0.12939999999999999</v>
      </c>
    </row>
    <row r="52" spans="1:23" s="9" customFormat="1" x14ac:dyDescent="0.2">
      <c r="A52" s="8" t="s">
        <v>23</v>
      </c>
      <c r="B52" s="9">
        <f t="shared" si="7"/>
        <v>292</v>
      </c>
      <c r="C52" s="9">
        <f t="shared" si="8"/>
        <v>24</v>
      </c>
      <c r="D52" s="9" t="s">
        <v>5</v>
      </c>
      <c r="E52" s="9" t="s">
        <v>19</v>
      </c>
      <c r="F52" s="9" t="s">
        <v>21</v>
      </c>
      <c r="G52" s="10">
        <f t="shared" si="9"/>
        <v>231.14110485669232</v>
      </c>
      <c r="H52" s="9">
        <f t="shared" si="10"/>
        <v>4.6743115951958805</v>
      </c>
      <c r="I52" s="11"/>
      <c r="J52" s="11"/>
      <c r="L52" s="12">
        <f t="shared" si="11"/>
        <v>1.22571648403148E-3</v>
      </c>
      <c r="M52" s="13">
        <f t="shared" si="12"/>
        <v>9.1251178113999707</v>
      </c>
      <c r="N52" s="11"/>
      <c r="P52" s="14">
        <v>0.23904241353583155</v>
      </c>
      <c r="Q52" s="14">
        <v>0.17334619852075306</v>
      </c>
      <c r="R52" s="9">
        <f t="shared" si="13"/>
        <v>0.1305</v>
      </c>
      <c r="S52" s="14">
        <v>3.2530534904014474E-3</v>
      </c>
      <c r="T52" s="14">
        <v>0.82939851666666398</v>
      </c>
      <c r="U52" s="15"/>
      <c r="W52" s="9">
        <v>0.1305</v>
      </c>
    </row>
    <row r="53" spans="1:23" s="9" customFormat="1" x14ac:dyDescent="0.2">
      <c r="A53" s="8" t="s">
        <v>24</v>
      </c>
      <c r="B53" s="9">
        <f t="shared" si="7"/>
        <v>292</v>
      </c>
      <c r="C53" s="9">
        <f t="shared" si="8"/>
        <v>24</v>
      </c>
      <c r="D53" s="9" t="s">
        <v>15</v>
      </c>
      <c r="E53" s="9" t="s">
        <v>19</v>
      </c>
      <c r="F53" s="9" t="s">
        <v>21</v>
      </c>
      <c r="G53" s="10">
        <f t="shared" si="9"/>
        <v>226.99865090927545</v>
      </c>
      <c r="H53" s="9">
        <f t="shared" si="10"/>
        <v>17.083233968583606</v>
      </c>
      <c r="I53" s="11"/>
      <c r="J53" s="11"/>
      <c r="L53" s="12">
        <f t="shared" si="11"/>
        <v>-2.6471735000000422E-4</v>
      </c>
      <c r="M53" s="13">
        <f t="shared" si="12"/>
        <v>8.3268871748000102</v>
      </c>
      <c r="N53" s="11"/>
      <c r="P53" s="14">
        <v>0.23574225855772279</v>
      </c>
      <c r="Q53" s="14">
        <v>0.27895854264933495</v>
      </c>
      <c r="R53" s="9">
        <f t="shared" si="13"/>
        <v>0.1308</v>
      </c>
      <c r="S53" s="14">
        <v>2.1056833333333302E-3</v>
      </c>
      <c r="T53" s="14">
        <v>0.75440503333333409</v>
      </c>
      <c r="U53" s="15"/>
      <c r="W53" s="9">
        <v>0.1308</v>
      </c>
    </row>
    <row r="54" spans="1:23" s="9" customFormat="1" x14ac:dyDescent="0.2">
      <c r="A54" s="8" t="s">
        <v>25</v>
      </c>
      <c r="B54" s="9">
        <f t="shared" si="7"/>
        <v>292</v>
      </c>
      <c r="C54" s="9">
        <f t="shared" si="8"/>
        <v>24</v>
      </c>
      <c r="D54" s="9" t="s">
        <v>15</v>
      </c>
      <c r="E54" s="9" t="s">
        <v>19</v>
      </c>
      <c r="F54" s="9" t="s">
        <v>21</v>
      </c>
      <c r="G54" s="10">
        <f t="shared" si="9"/>
        <v>234.04736167598003</v>
      </c>
      <c r="H54" s="9">
        <f t="shared" si="10"/>
        <v>13.338673711939403</v>
      </c>
      <c r="I54" s="11"/>
      <c r="J54" s="11"/>
      <c r="L54" s="12">
        <f t="shared" si="11"/>
        <v>8.9879563485714652E-3</v>
      </c>
      <c r="M54" s="13">
        <f t="shared" si="12"/>
        <v>9.0305040050000365</v>
      </c>
      <c r="N54" s="11"/>
      <c r="P54" s="14">
        <v>0.24135773146853079</v>
      </c>
      <c r="Q54" s="14">
        <v>0.24708858855218863</v>
      </c>
      <c r="R54" s="9">
        <f t="shared" si="13"/>
        <v>0.1295</v>
      </c>
      <c r="S54" s="14">
        <v>9.2286038095238387E-3</v>
      </c>
      <c r="T54" s="14">
        <v>0.82050958333333668</v>
      </c>
      <c r="U54" s="15"/>
      <c r="W54" s="9">
        <v>0.1295</v>
      </c>
    </row>
    <row r="55" spans="1:23" s="9" customFormat="1" x14ac:dyDescent="0.2">
      <c r="A55" s="8" t="s">
        <v>26</v>
      </c>
      <c r="B55" s="9">
        <f t="shared" si="7"/>
        <v>292</v>
      </c>
      <c r="C55" s="9">
        <f t="shared" si="8"/>
        <v>24</v>
      </c>
      <c r="D55" s="9" t="s">
        <v>15</v>
      </c>
      <c r="E55" s="9" t="s">
        <v>19</v>
      </c>
      <c r="F55" s="9" t="s">
        <v>21</v>
      </c>
      <c r="G55" s="10">
        <f t="shared" si="9"/>
        <v>204.35228685695657</v>
      </c>
      <c r="H55" s="9">
        <f t="shared" si="10"/>
        <v>24.345420211026337</v>
      </c>
      <c r="I55" s="11"/>
      <c r="J55" s="11"/>
      <c r="L55" s="12">
        <f t="shared" si="11"/>
        <v>2.0720226815949677E-2</v>
      </c>
      <c r="M55" s="13">
        <f t="shared" si="12"/>
        <v>7.9477521524000139</v>
      </c>
      <c r="N55" s="11"/>
      <c r="P55" s="14">
        <v>0.21770065519604209</v>
      </c>
      <c r="Q55" s="14">
        <v>0.34076701315823088</v>
      </c>
      <c r="R55" s="9">
        <f t="shared" si="13"/>
        <v>0.13650000000000001</v>
      </c>
      <c r="S55" s="14">
        <v>1.8260374762085974E-2</v>
      </c>
      <c r="T55" s="14">
        <v>0.71878543333333456</v>
      </c>
      <c r="U55" s="15"/>
      <c r="W55" s="9">
        <v>0.13650000000000001</v>
      </c>
    </row>
    <row r="56" spans="1:23" s="9" customFormat="1" x14ac:dyDescent="0.2">
      <c r="A56" s="8" t="s">
        <v>27</v>
      </c>
      <c r="B56" s="9">
        <f t="shared" si="7"/>
        <v>292</v>
      </c>
      <c r="C56" s="9">
        <f t="shared" si="8"/>
        <v>24</v>
      </c>
      <c r="D56" s="9" t="s">
        <v>28</v>
      </c>
      <c r="E56" s="9" t="s">
        <v>6</v>
      </c>
      <c r="F56" s="9" t="s">
        <v>21</v>
      </c>
      <c r="G56" s="10">
        <f t="shared" si="9"/>
        <v>282.43032467439701</v>
      </c>
      <c r="H56" s="9">
        <f t="shared" si="10"/>
        <v>36.581243797141873</v>
      </c>
      <c r="I56" s="11"/>
      <c r="J56" s="11"/>
      <c r="L56" s="12">
        <f t="shared" si="11"/>
        <v>6.5181753913787777E-3</v>
      </c>
      <c r="M56" s="13">
        <f t="shared" si="12"/>
        <v>16.616063524650052</v>
      </c>
      <c r="N56" s="11"/>
      <c r="P56" s="14">
        <v>0.27990282532393629</v>
      </c>
      <c r="Q56" s="14">
        <v>0.44490611342731079</v>
      </c>
      <c r="R56" s="9">
        <f t="shared" si="13"/>
        <v>0.1169</v>
      </c>
      <c r="S56" s="14">
        <v>7.3273097701145318E-3</v>
      </c>
      <c r="T56" s="14">
        <v>1.5331701920941425</v>
      </c>
      <c r="U56" s="15"/>
      <c r="W56" s="9">
        <v>0.1169</v>
      </c>
    </row>
    <row r="57" spans="1:23" s="9" customFormat="1" x14ac:dyDescent="0.2">
      <c r="A57" s="8" t="s">
        <v>29</v>
      </c>
      <c r="B57" s="9">
        <f t="shared" si="7"/>
        <v>292</v>
      </c>
      <c r="C57" s="9">
        <f t="shared" si="8"/>
        <v>24</v>
      </c>
      <c r="D57" s="9" t="s">
        <v>28</v>
      </c>
      <c r="E57" s="9" t="s">
        <v>6</v>
      </c>
      <c r="F57" s="9" t="s">
        <v>21</v>
      </c>
      <c r="G57" s="10">
        <f t="shared" si="9"/>
        <v>279.87693072365272</v>
      </c>
      <c r="H57" s="9">
        <f t="shared" si="10"/>
        <v>32.749690815362392</v>
      </c>
      <c r="I57" s="11"/>
      <c r="J57" s="11"/>
      <c r="L57" s="12">
        <f t="shared" si="11"/>
        <v>2.2067750538960998E-2</v>
      </c>
      <c r="M57" s="13">
        <f t="shared" si="12"/>
        <v>16.205398042599956</v>
      </c>
      <c r="N57" s="11"/>
      <c r="P57" s="14">
        <v>0.27786862147651004</v>
      </c>
      <c r="Q57" s="14">
        <v>0.41229576420581637</v>
      </c>
      <c r="R57" s="9">
        <f t="shared" si="13"/>
        <v>0.1105</v>
      </c>
      <c r="S57" s="14">
        <v>1.9297729437229405E-2</v>
      </c>
      <c r="T57" s="14">
        <v>1.4945883166666625</v>
      </c>
      <c r="U57" s="15"/>
      <c r="W57" s="9">
        <v>0.1105</v>
      </c>
    </row>
    <row r="58" spans="1:23" s="9" customFormat="1" x14ac:dyDescent="0.2">
      <c r="A58" s="8" t="s">
        <v>30</v>
      </c>
      <c r="B58" s="9">
        <f t="shared" si="7"/>
        <v>292</v>
      </c>
      <c r="C58" s="9">
        <f t="shared" si="8"/>
        <v>24</v>
      </c>
      <c r="D58" s="9" t="s">
        <v>28</v>
      </c>
      <c r="E58" s="9" t="s">
        <v>6</v>
      </c>
      <c r="F58" s="9" t="s">
        <v>21</v>
      </c>
      <c r="G58" s="10">
        <f t="shared" si="9"/>
        <v>289.03324215756288</v>
      </c>
      <c r="H58" s="9">
        <f t="shared" si="10"/>
        <v>34.47641535925851</v>
      </c>
      <c r="I58" s="11"/>
      <c r="J58" s="11"/>
      <c r="L58" s="12">
        <f t="shared" si="11"/>
        <v>1.9206541869129411E-2</v>
      </c>
      <c r="M58" s="13">
        <f t="shared" si="12"/>
        <v>17.708502835226202</v>
      </c>
      <c r="N58" s="11"/>
      <c r="P58" s="14">
        <v>0.28516314958552513</v>
      </c>
      <c r="Q58" s="14">
        <v>0.42699191760720467</v>
      </c>
      <c r="R58" s="9">
        <f t="shared" si="13"/>
        <v>0.1062</v>
      </c>
      <c r="S58" s="14">
        <v>1.70951053649957E-2</v>
      </c>
      <c r="T58" s="14">
        <v>1.6358044753124954</v>
      </c>
      <c r="U58" s="15"/>
      <c r="W58" s="9">
        <v>0.1062</v>
      </c>
    </row>
    <row r="59" spans="1:23" s="9" customFormat="1" x14ac:dyDescent="0.2">
      <c r="A59" s="8" t="s">
        <v>31</v>
      </c>
      <c r="B59" s="9">
        <f t="shared" si="7"/>
        <v>292</v>
      </c>
      <c r="C59" s="9">
        <f t="shared" si="8"/>
        <v>24</v>
      </c>
      <c r="D59" s="9" t="s">
        <v>28</v>
      </c>
      <c r="E59" s="9" t="s">
        <v>19</v>
      </c>
      <c r="F59" s="9" t="s">
        <v>21</v>
      </c>
      <c r="G59" s="10">
        <f t="shared" si="9"/>
        <v>293.00952296400862</v>
      </c>
      <c r="H59" s="9">
        <f t="shared" si="10"/>
        <v>35.568484566734817</v>
      </c>
      <c r="I59" s="11"/>
      <c r="J59" s="11"/>
      <c r="L59" s="12">
        <f t="shared" si="11"/>
        <v>3.4763387804749683E-2</v>
      </c>
      <c r="M59" s="13">
        <f t="shared" si="12"/>
        <v>4.8928193391463823</v>
      </c>
      <c r="N59" s="11"/>
      <c r="P59" s="14">
        <v>0.28833091996132687</v>
      </c>
      <c r="Q59" s="14">
        <v>0.43628651914323857</v>
      </c>
      <c r="R59" s="9">
        <f t="shared" si="13"/>
        <v>0.1089</v>
      </c>
      <c r="S59" s="14">
        <v>2.9071122251539405E-2</v>
      </c>
      <c r="T59" s="14">
        <v>0.43177558616557521</v>
      </c>
      <c r="U59" s="15"/>
      <c r="W59" s="9">
        <v>0.1089</v>
      </c>
    </row>
    <row r="60" spans="1:23" s="9" customFormat="1" x14ac:dyDescent="0.2">
      <c r="A60" s="8" t="s">
        <v>32</v>
      </c>
      <c r="B60" s="9">
        <f t="shared" si="7"/>
        <v>292</v>
      </c>
      <c r="C60" s="9">
        <f t="shared" si="8"/>
        <v>24</v>
      </c>
      <c r="D60" s="9" t="s">
        <v>28</v>
      </c>
      <c r="E60" s="9" t="s">
        <v>19</v>
      </c>
      <c r="F60" s="9" t="s">
        <v>21</v>
      </c>
      <c r="G60" s="10">
        <f t="shared" si="9"/>
        <v>316.06823641882119</v>
      </c>
      <c r="H60" s="9">
        <f t="shared" si="10"/>
        <v>38.542841501151393</v>
      </c>
      <c r="I60" s="11"/>
      <c r="J60" s="11"/>
      <c r="L60" s="12">
        <f t="shared" si="11"/>
        <v>1.0838045051639269E-2</v>
      </c>
      <c r="M60" s="13">
        <f t="shared" si="12"/>
        <v>5.6283985072725864</v>
      </c>
      <c r="N60" s="11"/>
      <c r="P60" s="14">
        <v>0.3067010283469942</v>
      </c>
      <c r="Q60" s="14">
        <v>0.46160127240436943</v>
      </c>
      <c r="R60" s="9">
        <f t="shared" si="13"/>
        <v>8.5500000000000007E-2</v>
      </c>
      <c r="S60" s="14">
        <v>1.0652844535519068E-2</v>
      </c>
      <c r="T60" s="14">
        <v>0.50088298640291118</v>
      </c>
      <c r="U60" s="15"/>
      <c r="W60" s="9">
        <v>8.5500000000000007E-2</v>
      </c>
    </row>
    <row r="61" spans="1:23" s="9" customFormat="1" x14ac:dyDescent="0.2">
      <c r="A61" s="8" t="s">
        <v>33</v>
      </c>
      <c r="B61" s="9">
        <f t="shared" si="7"/>
        <v>292</v>
      </c>
      <c r="C61" s="9">
        <f t="shared" si="8"/>
        <v>24</v>
      </c>
      <c r="D61" s="9" t="s">
        <v>28</v>
      </c>
      <c r="E61" s="9" t="s">
        <v>19</v>
      </c>
      <c r="F61" s="9" t="s">
        <v>21</v>
      </c>
      <c r="G61" s="10">
        <f t="shared" si="9"/>
        <v>310.12286529301781</v>
      </c>
      <c r="H61" s="9">
        <f t="shared" si="10"/>
        <v>38.564773190872785</v>
      </c>
      <c r="I61" s="11"/>
      <c r="J61" s="11"/>
      <c r="L61" s="12">
        <f t="shared" si="11"/>
        <v>2.490961832241112E-2</v>
      </c>
      <c r="M61" s="13">
        <f t="shared" si="12"/>
        <v>16.911635364575559</v>
      </c>
      <c r="N61" s="11"/>
      <c r="P61" s="14">
        <v>0.30196454935010419</v>
      </c>
      <c r="Q61" s="14">
        <v>0.46178793302585452</v>
      </c>
      <c r="R61" s="9">
        <f t="shared" si="13"/>
        <v>9.4899999999999998E-2</v>
      </c>
      <c r="S61" s="14">
        <v>2.1485464451432734E-2</v>
      </c>
      <c r="T61" s="14">
        <v>1.5609390609334421</v>
      </c>
      <c r="U61" s="15"/>
      <c r="W61" s="9">
        <v>9.4899999999999998E-2</v>
      </c>
    </row>
    <row r="62" spans="1:23" s="9" customFormat="1" x14ac:dyDescent="0.2">
      <c r="A62" s="8" t="s">
        <v>42</v>
      </c>
      <c r="B62" s="9">
        <f t="shared" ref="B62:B91" si="14">B32+48</f>
        <v>340</v>
      </c>
      <c r="C62" s="9">
        <f t="shared" si="8"/>
        <v>72</v>
      </c>
      <c r="D62" s="9" t="s">
        <v>5</v>
      </c>
      <c r="E62" s="9" t="s">
        <v>6</v>
      </c>
      <c r="F62" s="9" t="s">
        <v>7</v>
      </c>
      <c r="G62" s="10">
        <f t="shared" si="9"/>
        <v>240.99337068968521</v>
      </c>
      <c r="H62" s="9">
        <f t="shared" si="10"/>
        <v>-3.9434999999999985</v>
      </c>
      <c r="I62" s="11">
        <f t="shared" ref="I62:I91" si="15">(11.007*R62-0.65)*20</f>
        <v>62.243851999999997</v>
      </c>
      <c r="J62" s="9">
        <f t="shared" ref="J62:J93" si="16">(1.584*U62 - 0.0774)*40</f>
        <v>8.9550720000000013</v>
      </c>
      <c r="K62" s="9">
        <f t="shared" ref="K62:K91" si="17">H62+I62</f>
        <v>58.300351999999997</v>
      </c>
      <c r="L62" s="12">
        <f t="shared" si="11"/>
        <v>3.4822035026038363E-3</v>
      </c>
      <c r="M62" s="13">
        <f t="shared" si="12"/>
        <v>1.3860405052000693</v>
      </c>
      <c r="N62" s="11"/>
      <c r="P62" s="14">
        <v>0.24689138531611587</v>
      </c>
      <c r="Q62" s="14">
        <v>0.1</v>
      </c>
      <c r="R62" s="9">
        <f t="shared" si="13"/>
        <v>0.34179999999999999</v>
      </c>
      <c r="S62" s="14">
        <v>4.9901489627435236E-3</v>
      </c>
      <c r="T62" s="14">
        <v>0.10231496666667317</v>
      </c>
      <c r="U62" s="9">
        <v>0.19020000000000001</v>
      </c>
      <c r="V62" s="9">
        <v>0.34179999999999999</v>
      </c>
    </row>
    <row r="63" spans="1:23" s="9" customFormat="1" x14ac:dyDescent="0.2">
      <c r="A63" s="8" t="s">
        <v>8</v>
      </c>
      <c r="B63" s="9">
        <f t="shared" si="14"/>
        <v>340</v>
      </c>
      <c r="C63" s="9">
        <f t="shared" si="8"/>
        <v>72</v>
      </c>
      <c r="D63" s="9" t="s">
        <v>5</v>
      </c>
      <c r="E63" s="9" t="s">
        <v>6</v>
      </c>
      <c r="F63" s="9" t="s">
        <v>7</v>
      </c>
      <c r="G63" s="10">
        <f t="shared" si="9"/>
        <v>149.32878412527464</v>
      </c>
      <c r="H63" s="9">
        <f t="shared" si="10"/>
        <v>-3.9434999999999985</v>
      </c>
      <c r="I63" s="11">
        <f t="shared" si="15"/>
        <v>41.066384000000006</v>
      </c>
      <c r="J63" s="9">
        <f t="shared" si="16"/>
        <v>10.025856000000001</v>
      </c>
      <c r="K63" s="9">
        <f t="shared" si="17"/>
        <v>37.122884000000006</v>
      </c>
      <c r="L63" s="12">
        <f t="shared" si="11"/>
        <v>5.3819428438708983E-3</v>
      </c>
      <c r="M63" s="13">
        <f t="shared" si="12"/>
        <v>0.88400702040000889</v>
      </c>
      <c r="N63" s="11"/>
      <c r="P63" s="14">
        <v>0.17386526468646879</v>
      </c>
      <c r="Q63" s="14">
        <v>0.1</v>
      </c>
      <c r="R63" s="9">
        <f t="shared" si="13"/>
        <v>0.24560000000000001</v>
      </c>
      <c r="S63" s="14">
        <v>6.4526118890461115E-3</v>
      </c>
      <c r="T63" s="14">
        <v>5.5149100000000839E-2</v>
      </c>
      <c r="U63" s="9">
        <v>0.20710000000000001</v>
      </c>
      <c r="V63" s="9">
        <v>0.24560000000000001</v>
      </c>
    </row>
    <row r="64" spans="1:23" s="9" customFormat="1" x14ac:dyDescent="0.2">
      <c r="A64" s="8" t="s">
        <v>9</v>
      </c>
      <c r="B64" s="9">
        <f t="shared" si="14"/>
        <v>340</v>
      </c>
      <c r="C64" s="9">
        <f t="shared" si="8"/>
        <v>72</v>
      </c>
      <c r="D64" s="9" t="s">
        <v>5</v>
      </c>
      <c r="E64" s="9" t="s">
        <v>6</v>
      </c>
      <c r="F64" s="9" t="s">
        <v>7</v>
      </c>
      <c r="G64" s="10">
        <f t="shared" si="9"/>
        <v>161.96808583823133</v>
      </c>
      <c r="H64" s="9">
        <f t="shared" si="10"/>
        <v>-3.9434999999999985</v>
      </c>
      <c r="I64" s="11">
        <f t="shared" si="15"/>
        <v>42.167084000000003</v>
      </c>
      <c r="J64" s="9">
        <f t="shared" si="16"/>
        <v>13.307904000000001</v>
      </c>
      <c r="K64" s="9">
        <f t="shared" si="17"/>
        <v>38.223584000000002</v>
      </c>
      <c r="L64" s="12">
        <f t="shared" si="11"/>
        <v>2.7052502905524282E-3</v>
      </c>
      <c r="M64" s="13">
        <v>0</v>
      </c>
      <c r="N64" s="11"/>
      <c r="P64" s="14">
        <v>0.18393457505112432</v>
      </c>
      <c r="Q64" s="14">
        <v>0.1</v>
      </c>
      <c r="R64" s="9">
        <f t="shared" si="13"/>
        <v>0.25059999999999999</v>
      </c>
      <c r="S64" s="14">
        <v>4.3920325562374352E-3</v>
      </c>
      <c r="T64" s="14" t="s">
        <v>64</v>
      </c>
      <c r="U64" s="9">
        <v>0.25890000000000002</v>
      </c>
      <c r="V64" s="9">
        <v>0.25059999999999999</v>
      </c>
    </row>
    <row r="65" spans="1:22" s="9" customFormat="1" x14ac:dyDescent="0.2">
      <c r="A65" s="8" t="s">
        <v>10</v>
      </c>
      <c r="B65" s="9">
        <f t="shared" si="14"/>
        <v>340</v>
      </c>
      <c r="C65" s="9">
        <f t="shared" si="8"/>
        <v>72</v>
      </c>
      <c r="D65" s="9" t="s">
        <v>11</v>
      </c>
      <c r="E65" s="9" t="s">
        <v>6</v>
      </c>
      <c r="F65" s="9" t="s">
        <v>7</v>
      </c>
      <c r="G65" s="10">
        <f t="shared" si="9"/>
        <v>171.92344164759194</v>
      </c>
      <c r="H65" s="9">
        <f t="shared" si="10"/>
        <v>-3.9434999999999985</v>
      </c>
      <c r="I65" s="11">
        <f t="shared" si="15"/>
        <v>40.516034000000005</v>
      </c>
      <c r="J65" s="9">
        <f t="shared" si="16"/>
        <v>10.798848</v>
      </c>
      <c r="K65" s="9">
        <f t="shared" si="17"/>
        <v>36.572534000000005</v>
      </c>
      <c r="L65" s="12">
        <f t="shared" si="11"/>
        <v>1.5261370527703004E-4</v>
      </c>
      <c r="M65" s="13">
        <f t="shared" ref="M65:M70" si="18">(0.3548*T65 + 0.0099)*30</f>
        <v>0.53972701779997556</v>
      </c>
      <c r="N65" s="11"/>
      <c r="P65" s="14">
        <v>0.19186567517924824</v>
      </c>
      <c r="Q65" s="14">
        <v>0.1</v>
      </c>
      <c r="R65" s="9">
        <f t="shared" si="13"/>
        <v>0.24310000000000001</v>
      </c>
      <c r="S65" s="14">
        <v>2.4269543535619942E-3</v>
      </c>
      <c r="T65" s="14">
        <v>2.2804116666664376E-2</v>
      </c>
      <c r="U65" s="9">
        <v>0.21929999999999999</v>
      </c>
      <c r="V65" s="9">
        <v>0.24310000000000001</v>
      </c>
    </row>
    <row r="66" spans="1:22" s="9" customFormat="1" x14ac:dyDescent="0.2">
      <c r="A66" s="8" t="s">
        <v>12</v>
      </c>
      <c r="B66" s="9">
        <f t="shared" si="14"/>
        <v>340</v>
      </c>
      <c r="C66" s="9">
        <f t="shared" si="8"/>
        <v>72</v>
      </c>
      <c r="D66" s="9" t="s">
        <v>11</v>
      </c>
      <c r="E66" s="9" t="s">
        <v>6</v>
      </c>
      <c r="F66" s="9" t="s">
        <v>7</v>
      </c>
      <c r="G66" s="10">
        <f t="shared" ref="G66:G91" si="19">30*(P66-0.0549)/0.0239</f>
        <v>219.67863450524456</v>
      </c>
      <c r="H66" s="9">
        <f t="shared" ref="H66:H91" si="20">(3.9165*Q66-0.5231)*30</f>
        <v>-0.84004859872368609</v>
      </c>
      <c r="I66" s="11">
        <f t="shared" si="15"/>
        <v>40.71416</v>
      </c>
      <c r="J66" s="9">
        <f t="shared" si="16"/>
        <v>10.760832000000002</v>
      </c>
      <c r="K66" s="9">
        <f t="shared" si="17"/>
        <v>39.874111401276316</v>
      </c>
      <c r="L66" s="12">
        <f t="shared" ref="L66:L91" si="21">(S66*0.0433 - 0.0001)*30</f>
        <v>1.383145370420555E-4</v>
      </c>
      <c r="M66" s="13">
        <f t="shared" si="18"/>
        <v>3.448685561600068</v>
      </c>
      <c r="N66" s="11"/>
      <c r="P66" s="14">
        <v>0.22991064548917817</v>
      </c>
      <c r="Q66" s="14">
        <v>0.1264134763290039</v>
      </c>
      <c r="R66" s="9">
        <f t="shared" ref="R66:R91" si="22">AVERAGE(V66:X66)</f>
        <v>0.24399999999999999</v>
      </c>
      <c r="S66" s="14">
        <v>2.4159465258214441E-3</v>
      </c>
      <c r="T66" s="14">
        <v>0.29609973333333972</v>
      </c>
      <c r="U66" s="9">
        <v>0.21870000000000001</v>
      </c>
      <c r="V66" s="9">
        <v>0.24399999999999999</v>
      </c>
    </row>
    <row r="67" spans="1:22" s="9" customFormat="1" x14ac:dyDescent="0.2">
      <c r="A67" s="8" t="s">
        <v>13</v>
      </c>
      <c r="B67" s="9">
        <f t="shared" si="14"/>
        <v>340</v>
      </c>
      <c r="C67" s="9">
        <f t="shared" si="8"/>
        <v>72</v>
      </c>
      <c r="D67" s="9" t="s">
        <v>11</v>
      </c>
      <c r="E67" s="9" t="s">
        <v>6</v>
      </c>
      <c r="F67" s="9" t="s">
        <v>7</v>
      </c>
      <c r="G67" s="10">
        <f t="shared" si="19"/>
        <v>219.3621436145167</v>
      </c>
      <c r="H67" s="9">
        <f t="shared" si="20"/>
        <v>-3.9434999999999985</v>
      </c>
      <c r="I67" s="11">
        <f t="shared" si="15"/>
        <v>40.053739999999998</v>
      </c>
      <c r="J67" s="9">
        <f t="shared" si="16"/>
        <v>10.253952000000002</v>
      </c>
      <c r="K67" s="9">
        <f t="shared" si="17"/>
        <v>36.110239999999997</v>
      </c>
      <c r="L67" s="12">
        <f t="shared" si="21"/>
        <v>1.1457489693121548E-2</v>
      </c>
      <c r="M67" s="13">
        <f t="shared" si="18"/>
        <v>1.9490366130000027</v>
      </c>
      <c r="N67" s="11"/>
      <c r="P67" s="14">
        <v>0.22965850774623164</v>
      </c>
      <c r="Q67" s="14">
        <v>0.1</v>
      </c>
      <c r="R67" s="9">
        <f t="shared" si="22"/>
        <v>0.24099999999999999</v>
      </c>
      <c r="S67" s="14">
        <v>1.1129707231040453E-2</v>
      </c>
      <c r="T67" s="14">
        <v>0.15520825000000027</v>
      </c>
      <c r="U67" s="9">
        <v>0.2107</v>
      </c>
      <c r="V67" s="9">
        <v>0.24099999999999999</v>
      </c>
    </row>
    <row r="68" spans="1:22" s="9" customFormat="1" x14ac:dyDescent="0.2">
      <c r="A68" s="8" t="s">
        <v>14</v>
      </c>
      <c r="B68" s="9">
        <f t="shared" si="14"/>
        <v>340</v>
      </c>
      <c r="C68" s="9">
        <f t="shared" si="8"/>
        <v>72</v>
      </c>
      <c r="D68" s="9" t="s">
        <v>15</v>
      </c>
      <c r="E68" s="9" t="s">
        <v>6</v>
      </c>
      <c r="F68" s="9" t="s">
        <v>7</v>
      </c>
      <c r="G68" s="10">
        <f t="shared" si="19"/>
        <v>320.06978780289757</v>
      </c>
      <c r="H68" s="9">
        <f t="shared" si="20"/>
        <v>-3.9434999999999985</v>
      </c>
      <c r="I68" s="11">
        <f t="shared" si="15"/>
        <v>33.735721999999996</v>
      </c>
      <c r="J68" s="9">
        <f t="shared" si="16"/>
        <v>3.6898560000000002</v>
      </c>
      <c r="K68" s="9">
        <f t="shared" si="17"/>
        <v>29.792221999999995</v>
      </c>
      <c r="L68" s="12">
        <f t="shared" si="21"/>
        <v>8.5982998399282556E-3</v>
      </c>
      <c r="M68" s="13">
        <f t="shared" si="18"/>
        <v>17.146655347186936</v>
      </c>
      <c r="N68" s="11"/>
      <c r="P68" s="14">
        <v>0.30988893094964176</v>
      </c>
      <c r="Q68" s="14">
        <v>0.1</v>
      </c>
      <c r="R68" s="9">
        <f t="shared" si="22"/>
        <v>0.21229999999999999</v>
      </c>
      <c r="S68" s="14">
        <v>8.9286372901680178E-3</v>
      </c>
      <c r="T68" s="14">
        <v>1.5830191043956159</v>
      </c>
      <c r="U68" s="9">
        <v>0.1071</v>
      </c>
      <c r="V68" s="9">
        <v>0.21229999999999999</v>
      </c>
    </row>
    <row r="69" spans="1:22" s="9" customFormat="1" x14ac:dyDescent="0.2">
      <c r="A69" s="8" t="s">
        <v>16</v>
      </c>
      <c r="B69" s="9">
        <f t="shared" si="14"/>
        <v>340</v>
      </c>
      <c r="C69" s="9">
        <f t="shared" si="8"/>
        <v>72</v>
      </c>
      <c r="D69" s="9" t="s">
        <v>15</v>
      </c>
      <c r="E69" s="9" t="s">
        <v>6</v>
      </c>
      <c r="F69" s="9" t="s">
        <v>7</v>
      </c>
      <c r="G69" s="10">
        <f t="shared" si="19"/>
        <v>184.76364479067803</v>
      </c>
      <c r="H69" s="9">
        <f t="shared" si="20"/>
        <v>-3.9434999999999985</v>
      </c>
      <c r="I69" s="11">
        <f t="shared" si="15"/>
        <v>39.591446000000005</v>
      </c>
      <c r="J69" s="9">
        <f t="shared" si="16"/>
        <v>9.8737919999999999</v>
      </c>
      <c r="K69" s="9">
        <f t="shared" si="17"/>
        <v>35.647946000000005</v>
      </c>
      <c r="L69" s="12">
        <f t="shared" si="21"/>
        <v>4.0342508437846729E-3</v>
      </c>
      <c r="M69" s="13">
        <f t="shared" si="18"/>
        <v>3.6415099594000004</v>
      </c>
      <c r="N69" s="11"/>
      <c r="P69" s="14">
        <v>0.2020950370165735</v>
      </c>
      <c r="Q69" s="14">
        <v>0.1</v>
      </c>
      <c r="R69" s="9">
        <f t="shared" si="22"/>
        <v>0.2389</v>
      </c>
      <c r="S69" s="14">
        <v>5.4151276703500173E-3</v>
      </c>
      <c r="T69" s="14">
        <v>0.31421551666666669</v>
      </c>
      <c r="U69" s="9">
        <v>0.20469999999999999</v>
      </c>
      <c r="V69" s="9">
        <v>0.2389</v>
      </c>
    </row>
    <row r="70" spans="1:22" s="9" customFormat="1" x14ac:dyDescent="0.2">
      <c r="A70" s="8" t="s">
        <v>17</v>
      </c>
      <c r="B70" s="9">
        <f t="shared" si="14"/>
        <v>340</v>
      </c>
      <c r="C70" s="9">
        <f t="shared" si="8"/>
        <v>72</v>
      </c>
      <c r="D70" s="9" t="s">
        <v>15</v>
      </c>
      <c r="E70" s="9" t="s">
        <v>6</v>
      </c>
      <c r="F70" s="9" t="s">
        <v>7</v>
      </c>
      <c r="G70" s="10">
        <f t="shared" si="19"/>
        <v>182.72657828338549</v>
      </c>
      <c r="H70" s="9">
        <f t="shared" si="20"/>
        <v>-4.7786500240559784</v>
      </c>
      <c r="I70" s="11">
        <f t="shared" si="15"/>
        <v>40.912286000000002</v>
      </c>
      <c r="J70" s="9">
        <f t="shared" si="16"/>
        <v>11.217024000000002</v>
      </c>
      <c r="K70" s="9">
        <f t="shared" si="17"/>
        <v>36.133635975944024</v>
      </c>
      <c r="L70" s="12">
        <f t="shared" si="21"/>
        <v>3.3267328814597119E-3</v>
      </c>
      <c r="M70" s="13">
        <f t="shared" si="18"/>
        <v>0.52207908839998762</v>
      </c>
      <c r="N70" s="11"/>
      <c r="P70" s="14">
        <v>0.20047217403243045</v>
      </c>
      <c r="Q70" s="14">
        <v>9.2892037754321644E-2</v>
      </c>
      <c r="R70" s="9">
        <f t="shared" si="22"/>
        <v>0.24490000000000001</v>
      </c>
      <c r="S70" s="14">
        <v>4.8704641119782233E-3</v>
      </c>
      <c r="T70" s="14">
        <v>2.1146099999998835E-2</v>
      </c>
      <c r="U70" s="9">
        <v>0.22589999999999999</v>
      </c>
      <c r="V70" s="9">
        <v>0.24490000000000001</v>
      </c>
    </row>
    <row r="71" spans="1:22" s="9" customFormat="1" x14ac:dyDescent="0.2">
      <c r="A71" s="8" t="s">
        <v>18</v>
      </c>
      <c r="B71" s="9">
        <f t="shared" si="14"/>
        <v>340</v>
      </c>
      <c r="C71" s="9">
        <f t="shared" si="8"/>
        <v>72</v>
      </c>
      <c r="D71" s="9" t="s">
        <v>5</v>
      </c>
      <c r="E71" s="9" t="s">
        <v>19</v>
      </c>
      <c r="F71" s="9" t="s">
        <v>7</v>
      </c>
      <c r="G71" s="10">
        <f t="shared" si="19"/>
        <v>179.39992368627301</v>
      </c>
      <c r="H71" s="9">
        <f t="shared" si="20"/>
        <v>-5.4335058884557021</v>
      </c>
      <c r="I71" s="11">
        <f t="shared" si="15"/>
        <v>42.805489999999999</v>
      </c>
      <c r="J71" s="9">
        <f t="shared" si="16"/>
        <v>11.236032000000002</v>
      </c>
      <c r="K71" s="9">
        <f t="shared" si="17"/>
        <v>37.371984111544293</v>
      </c>
      <c r="L71" s="12">
        <f t="shared" si="21"/>
        <v>7.4486149247287626E-4</v>
      </c>
      <c r="M71" s="13">
        <v>0</v>
      </c>
      <c r="N71" s="11"/>
      <c r="P71" s="14">
        <v>0.19782193920339752</v>
      </c>
      <c r="Q71" s="14">
        <v>8.7318559185874278E-2</v>
      </c>
      <c r="R71" s="9">
        <f t="shared" si="22"/>
        <v>0.2535</v>
      </c>
      <c r="S71" s="14">
        <v>2.8828802867381653E-3</v>
      </c>
      <c r="T71" s="14" t="s">
        <v>64</v>
      </c>
      <c r="U71" s="9">
        <v>0.22620000000000001</v>
      </c>
      <c r="V71" s="9">
        <v>0.2535</v>
      </c>
    </row>
    <row r="72" spans="1:22" s="9" customFormat="1" x14ac:dyDescent="0.2">
      <c r="A72" s="8" t="s">
        <v>8</v>
      </c>
      <c r="B72" s="9">
        <f t="shared" si="14"/>
        <v>340</v>
      </c>
      <c r="C72" s="9">
        <f t="shared" si="8"/>
        <v>72</v>
      </c>
      <c r="D72" s="9" t="s">
        <v>5</v>
      </c>
      <c r="E72" s="9" t="s">
        <v>19</v>
      </c>
      <c r="F72" s="9" t="s">
        <v>7</v>
      </c>
      <c r="G72" s="10">
        <f t="shared" si="19"/>
        <v>190.71698149822788</v>
      </c>
      <c r="H72" s="9">
        <f t="shared" si="20"/>
        <v>-3.9434999999999985</v>
      </c>
      <c r="I72" s="11">
        <f t="shared" si="15"/>
        <v>41.616733999999994</v>
      </c>
      <c r="J72" s="9">
        <f t="shared" si="16"/>
        <v>8.2391040000000011</v>
      </c>
      <c r="K72" s="9">
        <f t="shared" si="17"/>
        <v>37.673233999999994</v>
      </c>
      <c r="L72" s="12">
        <f t="shared" si="21"/>
        <v>6.3667989125331347E-4</v>
      </c>
      <c r="M72" s="13">
        <f t="shared" ref="M72:M80" si="23">(0.3548*T72 + 0.0099)*30</f>
        <v>3.5971480735999273</v>
      </c>
      <c r="N72" s="11"/>
      <c r="P72" s="14">
        <v>0.20683786192692155</v>
      </c>
      <c r="Q72" s="14">
        <v>0.1</v>
      </c>
      <c r="R72" s="9">
        <f t="shared" si="22"/>
        <v>0.24809999999999999</v>
      </c>
      <c r="S72" s="14">
        <v>2.79959960835513E-3</v>
      </c>
      <c r="T72" s="14">
        <v>0.31004773333332647</v>
      </c>
      <c r="U72" s="9">
        <v>0.1789</v>
      </c>
      <c r="V72" s="9">
        <v>0.24809999999999999</v>
      </c>
    </row>
    <row r="73" spans="1:22" s="9" customFormat="1" x14ac:dyDescent="0.2">
      <c r="A73" s="8" t="s">
        <v>9</v>
      </c>
      <c r="B73" s="9">
        <f t="shared" si="14"/>
        <v>340</v>
      </c>
      <c r="C73" s="9">
        <f t="shared" si="8"/>
        <v>72</v>
      </c>
      <c r="D73" s="9" t="s">
        <v>5</v>
      </c>
      <c r="E73" s="9" t="s">
        <v>19</v>
      </c>
      <c r="F73" s="9" t="s">
        <v>7</v>
      </c>
      <c r="G73" s="10">
        <f t="shared" si="19"/>
        <v>175.81671835217608</v>
      </c>
      <c r="H73" s="9">
        <f t="shared" si="20"/>
        <v>-4.3357216923383657</v>
      </c>
      <c r="I73" s="11">
        <f t="shared" si="15"/>
        <v>41.704790000000003</v>
      </c>
      <c r="J73" s="9">
        <f t="shared" si="16"/>
        <v>12.642624000000001</v>
      </c>
      <c r="K73" s="9">
        <f t="shared" si="17"/>
        <v>37.369068307661635</v>
      </c>
      <c r="L73" s="12">
        <f t="shared" si="21"/>
        <v>-3.9008745207240713E-4</v>
      </c>
      <c r="M73" s="13">
        <f t="shared" si="23"/>
        <v>0.57740660040002578</v>
      </c>
      <c r="N73" s="11"/>
      <c r="P73" s="14">
        <v>0.19496731895390029</v>
      </c>
      <c r="Q73" s="14">
        <v>9.6661800992907221E-2</v>
      </c>
      <c r="R73" s="9">
        <f t="shared" si="22"/>
        <v>0.2485</v>
      </c>
      <c r="S73" s="14">
        <v>2.0091705526771308E-3</v>
      </c>
      <c r="T73" s="14">
        <v>2.6344100000002424E-2</v>
      </c>
      <c r="U73" s="9">
        <v>0.24840000000000001</v>
      </c>
      <c r="V73" s="9">
        <v>0.2485</v>
      </c>
    </row>
    <row r="74" spans="1:22" s="9" customFormat="1" x14ac:dyDescent="0.2">
      <c r="A74" s="8" t="s">
        <v>10</v>
      </c>
      <c r="B74" s="9">
        <f t="shared" si="14"/>
        <v>340</v>
      </c>
      <c r="C74" s="9">
        <f t="shared" si="8"/>
        <v>72</v>
      </c>
      <c r="D74" s="9" t="s">
        <v>11</v>
      </c>
      <c r="E74" s="9" t="s">
        <v>19</v>
      </c>
      <c r="F74" s="9" t="s">
        <v>7</v>
      </c>
      <c r="G74" s="10">
        <f t="shared" si="19"/>
        <v>224.95239761044189</v>
      </c>
      <c r="H74" s="9">
        <f t="shared" si="20"/>
        <v>-3.9434999999999985</v>
      </c>
      <c r="I74" s="11">
        <f t="shared" si="15"/>
        <v>41.220482000000004</v>
      </c>
      <c r="J74" s="9">
        <f t="shared" si="16"/>
        <v>14.049216000000001</v>
      </c>
      <c r="K74" s="9">
        <f t="shared" si="17"/>
        <v>37.276982000000004</v>
      </c>
      <c r="L74" s="12">
        <f t="shared" si="21"/>
        <v>2.244329090908602E-4</v>
      </c>
      <c r="M74" s="13">
        <f t="shared" si="23"/>
        <v>2.9244586271999808</v>
      </c>
      <c r="N74" s="11"/>
      <c r="P74" s="14">
        <v>0.2341120767629854</v>
      </c>
      <c r="Q74" s="14">
        <v>0.1</v>
      </c>
      <c r="R74" s="9">
        <f t="shared" si="22"/>
        <v>0.24629999999999999</v>
      </c>
      <c r="S74" s="14">
        <v>2.4822424242423868E-3</v>
      </c>
      <c r="T74" s="14">
        <v>0.2468487999999982</v>
      </c>
      <c r="U74" s="9">
        <v>0.27060000000000001</v>
      </c>
      <c r="V74" s="9">
        <v>0.24629999999999999</v>
      </c>
    </row>
    <row r="75" spans="1:22" s="9" customFormat="1" x14ac:dyDescent="0.2">
      <c r="A75" s="8" t="s">
        <v>12</v>
      </c>
      <c r="B75" s="9">
        <f t="shared" si="14"/>
        <v>340</v>
      </c>
      <c r="C75" s="9">
        <f t="shared" si="8"/>
        <v>72</v>
      </c>
      <c r="D75" s="9" t="s">
        <v>11</v>
      </c>
      <c r="E75" s="9" t="s">
        <v>19</v>
      </c>
      <c r="F75" s="9" t="s">
        <v>7</v>
      </c>
      <c r="G75" s="10">
        <f t="shared" si="19"/>
        <v>240.10448346936118</v>
      </c>
      <c r="H75" s="9">
        <f t="shared" si="20"/>
        <v>-3.9434999999999985</v>
      </c>
      <c r="I75" s="11">
        <f t="shared" si="15"/>
        <v>40.626104000000005</v>
      </c>
      <c r="J75" s="9">
        <f t="shared" si="16"/>
        <v>5.216832000000001</v>
      </c>
      <c r="K75" s="9">
        <f t="shared" si="17"/>
        <v>36.682604000000005</v>
      </c>
      <c r="L75" s="12">
        <f t="shared" si="21"/>
        <v>1.8540028784275292E-4</v>
      </c>
      <c r="M75" s="13">
        <f t="shared" si="23"/>
        <v>5.4304353310000497</v>
      </c>
      <c r="N75" s="11"/>
      <c r="P75" s="14">
        <v>0.24618323849725776</v>
      </c>
      <c r="Q75" s="14">
        <v>0.1</v>
      </c>
      <c r="R75" s="9">
        <f t="shared" si="22"/>
        <v>0.24360000000000001</v>
      </c>
      <c r="S75" s="14">
        <v>2.452194216969017E-3</v>
      </c>
      <c r="T75" s="14">
        <v>0.48228441666667132</v>
      </c>
      <c r="U75" s="9">
        <v>0.13120000000000001</v>
      </c>
      <c r="V75" s="9">
        <v>0.24360000000000001</v>
      </c>
    </row>
    <row r="76" spans="1:22" s="9" customFormat="1" x14ac:dyDescent="0.2">
      <c r="A76" s="8" t="s">
        <v>13</v>
      </c>
      <c r="B76" s="9">
        <f t="shared" si="14"/>
        <v>340</v>
      </c>
      <c r="C76" s="9">
        <f t="shared" si="8"/>
        <v>72</v>
      </c>
      <c r="D76" s="9" t="s">
        <v>11</v>
      </c>
      <c r="E76" s="9" t="s">
        <v>19</v>
      </c>
      <c r="F76" s="9" t="s">
        <v>7</v>
      </c>
      <c r="G76" s="10">
        <f t="shared" si="19"/>
        <v>258.63835360786061</v>
      </c>
      <c r="H76" s="9">
        <f t="shared" si="20"/>
        <v>-5.0658723370307452</v>
      </c>
      <c r="I76" s="11">
        <f t="shared" si="15"/>
        <v>37.874353999999997</v>
      </c>
      <c r="J76" s="9">
        <f t="shared" si="16"/>
        <v>1.9031040000000004</v>
      </c>
      <c r="K76" s="9">
        <f t="shared" si="17"/>
        <v>32.80848166296925</v>
      </c>
      <c r="L76" s="12">
        <f t="shared" si="21"/>
        <v>-1.0083422256563975E-5</v>
      </c>
      <c r="M76" s="13">
        <f t="shared" si="23"/>
        <v>10.890304579400015</v>
      </c>
      <c r="N76" s="11"/>
      <c r="P76" s="14">
        <v>0.26094855504092895</v>
      </c>
      <c r="Q76" s="14">
        <v>9.0447488514143193E-2</v>
      </c>
      <c r="R76" s="9">
        <f t="shared" si="22"/>
        <v>0.2311</v>
      </c>
      <c r="S76" s="14">
        <v>2.3017063723967945E-3</v>
      </c>
      <c r="T76" s="14">
        <v>0.99523718333333466</v>
      </c>
      <c r="U76" s="9">
        <v>7.8899999999999998E-2</v>
      </c>
      <c r="V76" s="9">
        <v>0.2311</v>
      </c>
    </row>
    <row r="77" spans="1:22" s="9" customFormat="1" x14ac:dyDescent="0.2">
      <c r="A77" s="8" t="s">
        <v>14</v>
      </c>
      <c r="B77" s="9">
        <f t="shared" si="14"/>
        <v>340</v>
      </c>
      <c r="C77" s="9">
        <f t="shared" si="8"/>
        <v>72</v>
      </c>
      <c r="D77" s="9" t="s">
        <v>15</v>
      </c>
      <c r="E77" s="9" t="s">
        <v>19</v>
      </c>
      <c r="F77" s="9" t="s">
        <v>7</v>
      </c>
      <c r="G77" s="10">
        <f t="shared" si="19"/>
        <v>193.52441929067584</v>
      </c>
      <c r="H77" s="9">
        <f t="shared" si="20"/>
        <v>-3.9434999999999985</v>
      </c>
      <c r="I77" s="11">
        <f t="shared" si="15"/>
        <v>40.251866000000007</v>
      </c>
      <c r="J77" s="9">
        <f t="shared" si="16"/>
        <v>12.953088000000005</v>
      </c>
      <c r="K77" s="9">
        <f t="shared" si="17"/>
        <v>36.308366000000007</v>
      </c>
      <c r="L77" s="12">
        <f t="shared" si="21"/>
        <v>1.7007000953123295E-3</v>
      </c>
      <c r="M77" s="13">
        <f t="shared" si="23"/>
        <v>4.2362493135999921</v>
      </c>
      <c r="N77" s="11"/>
      <c r="P77" s="14">
        <v>0.2090744540349051</v>
      </c>
      <c r="Q77" s="14">
        <v>0.1</v>
      </c>
      <c r="R77" s="9">
        <f t="shared" si="22"/>
        <v>0.2419</v>
      </c>
      <c r="S77" s="14">
        <v>3.6187067708332021E-3</v>
      </c>
      <c r="T77" s="14">
        <v>0.37009106666666591</v>
      </c>
      <c r="U77" s="9">
        <v>0.25330000000000003</v>
      </c>
      <c r="V77" s="9">
        <v>0.2419</v>
      </c>
    </row>
    <row r="78" spans="1:22" s="9" customFormat="1" x14ac:dyDescent="0.2">
      <c r="A78" s="8" t="s">
        <v>16</v>
      </c>
      <c r="B78" s="9">
        <f t="shared" si="14"/>
        <v>340</v>
      </c>
      <c r="C78" s="9">
        <f t="shared" si="8"/>
        <v>72</v>
      </c>
      <c r="D78" s="9" t="s">
        <v>15</v>
      </c>
      <c r="E78" s="9" t="s">
        <v>19</v>
      </c>
      <c r="F78" s="9" t="s">
        <v>7</v>
      </c>
      <c r="G78" s="10">
        <f t="shared" si="19"/>
        <v>187.8136931022282</v>
      </c>
      <c r="H78" s="9">
        <f t="shared" si="20"/>
        <v>-5.2973260273329306</v>
      </c>
      <c r="I78" s="11">
        <f t="shared" si="15"/>
        <v>40.317907999999996</v>
      </c>
      <c r="J78" s="9">
        <f t="shared" si="16"/>
        <v>11.394432000000002</v>
      </c>
      <c r="K78" s="9">
        <f t="shared" si="17"/>
        <v>35.020581972667067</v>
      </c>
      <c r="L78" s="12">
        <f t="shared" si="21"/>
        <v>1.5819150755531107E-2</v>
      </c>
      <c r="M78" s="13">
        <f t="shared" si="23"/>
        <v>3.0264132455999788</v>
      </c>
      <c r="N78" s="11"/>
      <c r="P78" s="14">
        <v>0.20452490883810848</v>
      </c>
      <c r="Q78" s="14">
        <v>8.8477586047636669E-2</v>
      </c>
      <c r="R78" s="9">
        <f t="shared" si="22"/>
        <v>0.2422</v>
      </c>
      <c r="S78" s="14">
        <v>1.448741397654435E-2</v>
      </c>
      <c r="T78" s="14">
        <v>0.25642739999999797</v>
      </c>
      <c r="U78" s="9">
        <v>0.22869999999999999</v>
      </c>
      <c r="V78" s="9">
        <v>0.2422</v>
      </c>
    </row>
    <row r="79" spans="1:22" s="9" customFormat="1" x14ac:dyDescent="0.2">
      <c r="A79" s="8" t="s">
        <v>17</v>
      </c>
      <c r="B79" s="9">
        <f t="shared" si="14"/>
        <v>340</v>
      </c>
      <c r="C79" s="9">
        <f t="shared" si="8"/>
        <v>72</v>
      </c>
      <c r="D79" s="9" t="s">
        <v>15</v>
      </c>
      <c r="E79" s="9" t="s">
        <v>19</v>
      </c>
      <c r="F79" s="9" t="s">
        <v>7</v>
      </c>
      <c r="G79" s="10">
        <f t="shared" si="19"/>
        <v>204.7006189136161</v>
      </c>
      <c r="H79" s="9">
        <f t="shared" si="20"/>
        <v>-3.9434999999999985</v>
      </c>
      <c r="I79" s="11">
        <f t="shared" si="15"/>
        <v>44.742722000000001</v>
      </c>
      <c r="J79" s="9">
        <f t="shared" si="16"/>
        <v>5.96448</v>
      </c>
      <c r="K79" s="9">
        <f t="shared" si="17"/>
        <v>40.799222</v>
      </c>
      <c r="L79" s="12">
        <f t="shared" si="21"/>
        <v>2.3438712756036768E-2</v>
      </c>
      <c r="M79" s="13">
        <f t="shared" si="23"/>
        <v>5.7015030632000494</v>
      </c>
      <c r="N79" s="11"/>
      <c r="P79" s="14">
        <v>0.21797815973451418</v>
      </c>
      <c r="Q79" s="14">
        <v>0.1</v>
      </c>
      <c r="R79" s="9">
        <f t="shared" si="22"/>
        <v>0.26229999999999998</v>
      </c>
      <c r="S79" s="14">
        <v>2.035312760279967E-2</v>
      </c>
      <c r="T79" s="14">
        <v>0.50775113333333799</v>
      </c>
      <c r="U79" s="9">
        <v>0.14299999999999999</v>
      </c>
      <c r="V79" s="9">
        <v>0.26229999999999998</v>
      </c>
    </row>
    <row r="80" spans="1:22" s="9" customFormat="1" x14ac:dyDescent="0.2">
      <c r="A80" s="8" t="s">
        <v>20</v>
      </c>
      <c r="B80" s="9">
        <f t="shared" si="14"/>
        <v>340</v>
      </c>
      <c r="C80" s="9">
        <f t="shared" si="8"/>
        <v>72</v>
      </c>
      <c r="D80" s="9" t="s">
        <v>5</v>
      </c>
      <c r="E80" s="9" t="s">
        <v>19</v>
      </c>
      <c r="F80" s="9" t="s">
        <v>21</v>
      </c>
      <c r="G80" s="10">
        <f t="shared" si="19"/>
        <v>233.42893200836701</v>
      </c>
      <c r="H80" s="9">
        <f t="shared" si="20"/>
        <v>-3.9434999999999985</v>
      </c>
      <c r="I80" s="11">
        <f t="shared" si="15"/>
        <v>71.401676000000009</v>
      </c>
      <c r="J80" s="9">
        <f t="shared" si="16"/>
        <v>16.108416000000002</v>
      </c>
      <c r="K80" s="9">
        <f t="shared" si="17"/>
        <v>67.458176000000009</v>
      </c>
      <c r="L80" s="12">
        <f t="shared" si="21"/>
        <v>5.3718213627970222E-3</v>
      </c>
      <c r="M80" s="13">
        <f t="shared" si="23"/>
        <v>0.479046815600008</v>
      </c>
      <c r="N80" s="11"/>
      <c r="P80" s="14">
        <v>0.24086504916666573</v>
      </c>
      <c r="Q80" s="14">
        <v>0.1</v>
      </c>
      <c r="R80" s="9">
        <f t="shared" si="22"/>
        <v>0.38340000000000002</v>
      </c>
      <c r="S80" s="14">
        <v>6.4448201407213412E-3</v>
      </c>
      <c r="T80" s="14">
        <v>1.7103233333334078E-2</v>
      </c>
      <c r="U80" s="9">
        <v>0.30309999999999998</v>
      </c>
      <c r="V80" s="9">
        <v>0.38340000000000002</v>
      </c>
    </row>
    <row r="81" spans="1:26" s="9" customFormat="1" x14ac:dyDescent="0.2">
      <c r="A81" s="8" t="s">
        <v>22</v>
      </c>
      <c r="B81" s="9">
        <f t="shared" si="14"/>
        <v>340</v>
      </c>
      <c r="C81" s="9">
        <f t="shared" si="8"/>
        <v>72</v>
      </c>
      <c r="D81" s="9" t="s">
        <v>5</v>
      </c>
      <c r="E81" s="9" t="s">
        <v>19</v>
      </c>
      <c r="F81" s="9" t="s">
        <v>21</v>
      </c>
      <c r="G81" s="10">
        <f t="shared" si="19"/>
        <v>211.55334352059987</v>
      </c>
      <c r="H81" s="9">
        <f t="shared" si="20"/>
        <v>39.927549817594659</v>
      </c>
      <c r="I81" s="11">
        <f t="shared" si="15"/>
        <v>43.179727999999997</v>
      </c>
      <c r="J81" s="9">
        <f t="shared" si="16"/>
        <v>13.567680000000003</v>
      </c>
      <c r="K81" s="9">
        <f t="shared" si="17"/>
        <v>83.10727781759465</v>
      </c>
      <c r="L81" s="12">
        <f t="shared" si="21"/>
        <v>4.7875118185942613E-3</v>
      </c>
      <c r="M81" s="13">
        <v>0</v>
      </c>
      <c r="N81" s="11"/>
      <c r="P81" s="14">
        <v>0.22343749700474458</v>
      </c>
      <c r="Q81" s="14">
        <v>0.473386525533807</v>
      </c>
      <c r="R81" s="9">
        <f t="shared" si="22"/>
        <v>0.25519999999999998</v>
      </c>
      <c r="S81" s="14">
        <v>5.9950052491102857E-3</v>
      </c>
      <c r="T81" s="14" t="s">
        <v>64</v>
      </c>
      <c r="U81" s="9">
        <v>0.26300000000000001</v>
      </c>
      <c r="V81" s="9">
        <v>0.25519999999999998</v>
      </c>
    </row>
    <row r="82" spans="1:26" s="9" customFormat="1" x14ac:dyDescent="0.2">
      <c r="A82" s="8" t="s">
        <v>23</v>
      </c>
      <c r="B82" s="9">
        <f t="shared" si="14"/>
        <v>340</v>
      </c>
      <c r="C82" s="9">
        <f t="shared" si="8"/>
        <v>72</v>
      </c>
      <c r="D82" s="9" t="s">
        <v>5</v>
      </c>
      <c r="E82" s="9" t="s">
        <v>19</v>
      </c>
      <c r="F82" s="9" t="s">
        <v>21</v>
      </c>
      <c r="G82" s="10">
        <f t="shared" si="19"/>
        <v>229.79047291420886</v>
      </c>
      <c r="H82" s="9">
        <f t="shared" si="20"/>
        <v>-5.090442667468805</v>
      </c>
      <c r="I82" s="11">
        <f t="shared" si="15"/>
        <v>42.695420000000006</v>
      </c>
      <c r="J82" s="9">
        <f t="shared" si="16"/>
        <v>14.587776000000003</v>
      </c>
      <c r="K82" s="9">
        <f t="shared" si="17"/>
        <v>37.604977332531199</v>
      </c>
      <c r="L82" s="12">
        <f t="shared" si="21"/>
        <v>1.9843488724999827E-2</v>
      </c>
      <c r="M82" s="13">
        <f t="shared" ref="M82:M91" si="24">(0.3548*T82 + 0.0099)*30</f>
        <v>4.2315687919999743</v>
      </c>
      <c r="N82" s="11"/>
      <c r="P82" s="14">
        <v>0.23796641008831976</v>
      </c>
      <c r="Q82" s="14">
        <v>9.0238370420283376E-2</v>
      </c>
      <c r="R82" s="9">
        <f t="shared" si="22"/>
        <v>0.253</v>
      </c>
      <c r="S82" s="14">
        <v>1.7585441666666535E-2</v>
      </c>
      <c r="T82" s="14">
        <v>0.36965133333333089</v>
      </c>
      <c r="U82" s="9">
        <v>0.27910000000000001</v>
      </c>
      <c r="V82" s="9">
        <v>0.253</v>
      </c>
    </row>
    <row r="83" spans="1:26" s="9" customFormat="1" x14ac:dyDescent="0.2">
      <c r="A83" s="8" t="s">
        <v>24</v>
      </c>
      <c r="B83" s="9">
        <f t="shared" si="14"/>
        <v>340</v>
      </c>
      <c r="C83" s="9">
        <f t="shared" si="8"/>
        <v>72</v>
      </c>
      <c r="D83" s="9" t="s">
        <v>15</v>
      </c>
      <c r="E83" s="9" t="s">
        <v>19</v>
      </c>
      <c r="F83" s="9" t="s">
        <v>21</v>
      </c>
      <c r="G83" s="10">
        <f t="shared" si="19"/>
        <v>230.556949915405</v>
      </c>
      <c r="H83" s="9">
        <f t="shared" si="20"/>
        <v>-3.9434999999999985</v>
      </c>
      <c r="I83" s="11">
        <f t="shared" si="15"/>
        <v>39.415334000000001</v>
      </c>
      <c r="J83" s="9">
        <f t="shared" si="16"/>
        <v>8.6762879999999996</v>
      </c>
      <c r="K83" s="9">
        <f t="shared" si="17"/>
        <v>35.471834000000001</v>
      </c>
      <c r="L83" s="12">
        <f t="shared" si="21"/>
        <v>7.2836964447372185E-3</v>
      </c>
      <c r="M83" s="13">
        <f t="shared" si="24"/>
        <v>4.8653224864000038</v>
      </c>
      <c r="N83" s="11"/>
      <c r="P83" s="14">
        <v>0.23857703676593933</v>
      </c>
      <c r="Q83" s="14">
        <v>0.1</v>
      </c>
      <c r="R83" s="9">
        <f t="shared" si="22"/>
        <v>0.23810000000000001</v>
      </c>
      <c r="S83" s="14">
        <v>7.9166254385967805E-3</v>
      </c>
      <c r="T83" s="14">
        <v>0.42919226666666699</v>
      </c>
      <c r="U83" s="9">
        <v>0.18579999999999999</v>
      </c>
      <c r="V83" s="9">
        <v>0.23810000000000001</v>
      </c>
    </row>
    <row r="84" spans="1:26" s="9" customFormat="1" x14ac:dyDescent="0.2">
      <c r="A84" s="8" t="s">
        <v>25</v>
      </c>
      <c r="B84" s="9">
        <f t="shared" si="14"/>
        <v>340</v>
      </c>
      <c r="C84" s="9">
        <f t="shared" si="8"/>
        <v>72</v>
      </c>
      <c r="D84" s="9" t="s">
        <v>15</v>
      </c>
      <c r="E84" s="9" t="s">
        <v>19</v>
      </c>
      <c r="F84" s="9" t="s">
        <v>21</v>
      </c>
      <c r="G84" s="10">
        <f t="shared" si="19"/>
        <v>220.64151770257035</v>
      </c>
      <c r="H84" s="9">
        <f t="shared" si="20"/>
        <v>-3.9434999999999985</v>
      </c>
      <c r="I84" s="11">
        <f t="shared" si="15"/>
        <v>40.449991999999995</v>
      </c>
      <c r="J84" s="9">
        <f t="shared" si="16"/>
        <v>9.0817920000000001</v>
      </c>
      <c r="K84" s="9">
        <f t="shared" si="17"/>
        <v>36.506491999999994</v>
      </c>
      <c r="L84" s="12">
        <f t="shared" si="21"/>
        <v>4.5738181468749804E-3</v>
      </c>
      <c r="M84" s="13">
        <f t="shared" si="24"/>
        <v>5.2427459536000391</v>
      </c>
      <c r="N84" s="11"/>
      <c r="P84" s="14">
        <v>0.23067774243638106</v>
      </c>
      <c r="Q84" s="14">
        <v>0.1</v>
      </c>
      <c r="R84" s="9">
        <f t="shared" si="22"/>
        <v>0.24279999999999999</v>
      </c>
      <c r="S84" s="14">
        <v>5.8304989583333189E-3</v>
      </c>
      <c r="T84" s="14">
        <v>0.46465106666667033</v>
      </c>
      <c r="U84" s="9">
        <v>0.19220000000000001</v>
      </c>
      <c r="V84" s="9">
        <v>0.24279999999999999</v>
      </c>
    </row>
    <row r="85" spans="1:26" s="9" customFormat="1" x14ac:dyDescent="0.2">
      <c r="A85" s="8" t="s">
        <v>26</v>
      </c>
      <c r="B85" s="9">
        <f t="shared" si="14"/>
        <v>340</v>
      </c>
      <c r="C85" s="9">
        <f t="shared" si="8"/>
        <v>72</v>
      </c>
      <c r="D85" s="9" t="s">
        <v>15</v>
      </c>
      <c r="E85" s="9" t="s">
        <v>19</v>
      </c>
      <c r="F85" s="9" t="s">
        <v>21</v>
      </c>
      <c r="G85" s="10">
        <f t="shared" si="19"/>
        <v>226.05100504361135</v>
      </c>
      <c r="H85" s="9">
        <f t="shared" si="20"/>
        <v>-5.4218642615653714</v>
      </c>
      <c r="I85" s="11">
        <f t="shared" si="15"/>
        <v>42.409237999999988</v>
      </c>
      <c r="J85" s="9">
        <f t="shared" si="16"/>
        <v>7.0225920000000022</v>
      </c>
      <c r="K85" s="9">
        <f t="shared" si="17"/>
        <v>36.987373738434613</v>
      </c>
      <c r="L85" s="12">
        <f t="shared" si="21"/>
        <v>3.473124221428842E-3</v>
      </c>
      <c r="M85" s="13">
        <f t="shared" si="24"/>
        <v>4.956119176999997</v>
      </c>
      <c r="N85" s="11"/>
      <c r="P85" s="14">
        <v>0.23498730068474372</v>
      </c>
      <c r="Q85" s="14">
        <v>8.7417641077787378E-2</v>
      </c>
      <c r="R85" s="9">
        <f t="shared" si="22"/>
        <v>0.25169999999999998</v>
      </c>
      <c r="S85" s="14">
        <v>4.9831595238097326E-3</v>
      </c>
      <c r="T85" s="14">
        <v>0.43772258333333314</v>
      </c>
      <c r="U85" s="9">
        <v>0.15970000000000001</v>
      </c>
      <c r="V85" s="9">
        <v>0.25169999999999998</v>
      </c>
    </row>
    <row r="86" spans="1:26" s="9" customFormat="1" x14ac:dyDescent="0.2">
      <c r="A86" s="8" t="s">
        <v>27</v>
      </c>
      <c r="B86" s="9">
        <f t="shared" si="14"/>
        <v>340</v>
      </c>
      <c r="C86" s="9">
        <f t="shared" si="8"/>
        <v>72</v>
      </c>
      <c r="D86" s="9" t="s">
        <v>28</v>
      </c>
      <c r="E86" s="9" t="s">
        <v>6</v>
      </c>
      <c r="F86" s="9" t="s">
        <v>21</v>
      </c>
      <c r="G86" s="10">
        <f t="shared" si="19"/>
        <v>284.02799867277582</v>
      </c>
      <c r="H86" s="9">
        <f t="shared" si="20"/>
        <v>34.827141676814726</v>
      </c>
      <c r="I86" s="11">
        <f t="shared" si="15"/>
        <v>39.063109999999995</v>
      </c>
      <c r="J86" s="9">
        <f t="shared" si="16"/>
        <v>0.92102400000000029</v>
      </c>
      <c r="K86" s="9">
        <f t="shared" si="17"/>
        <v>73.890251676814728</v>
      </c>
      <c r="L86" s="12">
        <f t="shared" si="21"/>
        <v>4.2933407169966058E-3</v>
      </c>
      <c r="M86" s="13">
        <f t="shared" si="24"/>
        <v>13.492152227802331</v>
      </c>
      <c r="N86" s="11"/>
      <c r="P86" s="14">
        <v>0.28117563894264475</v>
      </c>
      <c r="Q86" s="14">
        <v>0.42997694946010234</v>
      </c>
      <c r="R86" s="9">
        <f t="shared" si="22"/>
        <v>0.23649999999999999</v>
      </c>
      <c r="S86" s="14">
        <v>5.6145809984577411E-3</v>
      </c>
      <c r="T86" s="14">
        <v>1.2396798410186332</v>
      </c>
      <c r="U86" s="9">
        <v>6.3399999999999998E-2</v>
      </c>
      <c r="V86" s="9">
        <v>0.23649999999999999</v>
      </c>
    </row>
    <row r="87" spans="1:26" s="9" customFormat="1" x14ac:dyDescent="0.2">
      <c r="A87" s="8" t="s">
        <v>29</v>
      </c>
      <c r="B87" s="9">
        <f t="shared" si="14"/>
        <v>340</v>
      </c>
      <c r="C87" s="9">
        <f t="shared" si="8"/>
        <v>72</v>
      </c>
      <c r="D87" s="9" t="s">
        <v>28</v>
      </c>
      <c r="E87" s="9" t="s">
        <v>6</v>
      </c>
      <c r="F87" s="9" t="s">
        <v>21</v>
      </c>
      <c r="G87" s="10">
        <f t="shared" si="19"/>
        <v>307.14418527320254</v>
      </c>
      <c r="H87" s="9">
        <f t="shared" si="20"/>
        <v>44.069358927759346</v>
      </c>
      <c r="I87" s="11">
        <f t="shared" si="15"/>
        <v>38.600816000000002</v>
      </c>
      <c r="J87" s="9">
        <f t="shared" si="16"/>
        <v>7.7639040000000001</v>
      </c>
      <c r="K87" s="9">
        <f t="shared" si="17"/>
        <v>82.670174927759348</v>
      </c>
      <c r="L87" s="12">
        <f t="shared" si="21"/>
        <v>3.2871257012226356E-3</v>
      </c>
      <c r="M87" s="13">
        <f t="shared" si="24"/>
        <v>13.415398616799973</v>
      </c>
      <c r="N87" s="11"/>
      <c r="P87" s="14">
        <v>0.29959153426765139</v>
      </c>
      <c r="Q87" s="14">
        <v>0.50863746480922034</v>
      </c>
      <c r="R87" s="9">
        <f t="shared" si="22"/>
        <v>0.2344</v>
      </c>
      <c r="S87" s="14">
        <v>4.8399735960143464E-3</v>
      </c>
      <c r="T87" s="14">
        <v>1.2324688666666641</v>
      </c>
      <c r="U87" s="9">
        <v>0.1714</v>
      </c>
      <c r="V87" s="9">
        <v>0.2344</v>
      </c>
    </row>
    <row r="88" spans="1:26" s="9" customFormat="1" x14ac:dyDescent="0.2">
      <c r="A88" s="8" t="s">
        <v>30</v>
      </c>
      <c r="B88" s="9">
        <f t="shared" si="14"/>
        <v>340</v>
      </c>
      <c r="C88" s="9">
        <f t="shared" si="8"/>
        <v>72</v>
      </c>
      <c r="D88" s="9" t="s">
        <v>28</v>
      </c>
      <c r="E88" s="9" t="s">
        <v>6</v>
      </c>
      <c r="F88" s="9" t="s">
        <v>21</v>
      </c>
      <c r="G88" s="10">
        <f t="shared" si="19"/>
        <v>306.12229711331616</v>
      </c>
      <c r="H88" s="9">
        <f t="shared" si="20"/>
        <v>42.594505305215641</v>
      </c>
      <c r="I88" s="11">
        <f t="shared" si="15"/>
        <v>37.103864000000002</v>
      </c>
      <c r="J88" s="9">
        <f t="shared" si="16"/>
        <v>6.3889920000000009</v>
      </c>
      <c r="K88" s="9">
        <f t="shared" si="17"/>
        <v>79.698369305215635</v>
      </c>
      <c r="L88" s="12">
        <f t="shared" si="21"/>
        <v>3.9747272815999941E-3</v>
      </c>
      <c r="M88" s="13">
        <f t="shared" si="24"/>
        <v>14.367924854800007</v>
      </c>
      <c r="N88" s="11"/>
      <c r="P88" s="14">
        <v>0.29877743003360857</v>
      </c>
      <c r="Q88" s="14">
        <v>0.49608498493736453</v>
      </c>
      <c r="R88" s="9">
        <f t="shared" si="22"/>
        <v>0.2276</v>
      </c>
      <c r="S88" s="14">
        <v>5.3693050666666631E-3</v>
      </c>
      <c r="T88" s="14">
        <v>1.3219583666666672</v>
      </c>
      <c r="U88" s="9">
        <v>0.1497</v>
      </c>
      <c r="V88" s="9">
        <v>0.2276</v>
      </c>
    </row>
    <row r="89" spans="1:26" s="9" customFormat="1" x14ac:dyDescent="0.2">
      <c r="A89" s="8" t="s">
        <v>31</v>
      </c>
      <c r="B89" s="9">
        <f t="shared" si="14"/>
        <v>340</v>
      </c>
      <c r="C89" s="9">
        <f t="shared" si="8"/>
        <v>72</v>
      </c>
      <c r="D89" s="9" t="s">
        <v>28</v>
      </c>
      <c r="E89" s="9" t="s">
        <v>19</v>
      </c>
      <c r="F89" s="9" t="s">
        <v>21</v>
      </c>
      <c r="G89" s="10">
        <f t="shared" si="19"/>
        <v>344.23052172908604</v>
      </c>
      <c r="H89" s="9">
        <f t="shared" si="20"/>
        <v>44.572142929899925</v>
      </c>
      <c r="I89" s="11">
        <f t="shared" si="15"/>
        <v>35.738996000000007</v>
      </c>
      <c r="J89" s="9">
        <f t="shared" si="16"/>
        <v>6.2432640000000008</v>
      </c>
      <c r="K89" s="9">
        <f t="shared" si="17"/>
        <v>80.311138929899926</v>
      </c>
      <c r="L89" s="12">
        <f t="shared" si="21"/>
        <v>4.2367811221827338E-3</v>
      </c>
      <c r="M89" s="13">
        <f t="shared" si="24"/>
        <v>17.849078497303445</v>
      </c>
      <c r="N89" s="11"/>
      <c r="P89" s="14">
        <v>0.32913698231083854</v>
      </c>
      <c r="Q89" s="14">
        <v>0.51291665968679445</v>
      </c>
      <c r="R89" s="9">
        <f t="shared" si="22"/>
        <v>0.22140000000000001</v>
      </c>
      <c r="S89" s="14">
        <v>5.5710401248519892E-3</v>
      </c>
      <c r="T89" s="14">
        <v>1.6490115085779258</v>
      </c>
      <c r="U89" s="9">
        <v>0.1474</v>
      </c>
      <c r="V89" s="9">
        <v>0.22140000000000001</v>
      </c>
    </row>
    <row r="90" spans="1:26" s="9" customFormat="1" x14ac:dyDescent="0.2">
      <c r="A90" s="8" t="s">
        <v>32</v>
      </c>
      <c r="B90" s="9">
        <f t="shared" si="14"/>
        <v>340</v>
      </c>
      <c r="C90" s="9">
        <f t="shared" si="8"/>
        <v>72</v>
      </c>
      <c r="D90" s="9" t="s">
        <v>28</v>
      </c>
      <c r="E90" s="9" t="s">
        <v>19</v>
      </c>
      <c r="F90" s="9" t="s">
        <v>21</v>
      </c>
      <c r="G90" s="10">
        <f t="shared" si="19"/>
        <v>318.84738621808651</v>
      </c>
      <c r="H90" s="9">
        <f t="shared" si="20"/>
        <v>36.039836169750139</v>
      </c>
      <c r="I90" s="11">
        <f t="shared" si="15"/>
        <v>34.242044000000007</v>
      </c>
      <c r="J90" s="9">
        <f t="shared" si="16"/>
        <v>5.7997440000000005</v>
      </c>
      <c r="K90" s="9">
        <f t="shared" si="17"/>
        <v>70.281880169750139</v>
      </c>
      <c r="L90" s="12">
        <f t="shared" si="21"/>
        <v>4.8405740102038944E-3</v>
      </c>
      <c r="M90" s="13">
        <f t="shared" si="24"/>
        <v>18.105100960980298</v>
      </c>
      <c r="N90" s="11"/>
      <c r="P90" s="14">
        <v>0.30891508435374226</v>
      </c>
      <c r="Q90" s="14">
        <v>0.440298192857144</v>
      </c>
      <c r="R90" s="9">
        <f t="shared" si="22"/>
        <v>0.21460000000000001</v>
      </c>
      <c r="S90" s="14">
        <v>6.0358537414964553E-3</v>
      </c>
      <c r="T90" s="14">
        <v>1.6730647276381339</v>
      </c>
      <c r="U90" s="9">
        <v>0.1404</v>
      </c>
      <c r="V90" s="9">
        <v>0.21460000000000001</v>
      </c>
    </row>
    <row r="91" spans="1:26" s="9" customFormat="1" x14ac:dyDescent="0.2">
      <c r="A91" s="8" t="s">
        <v>33</v>
      </c>
      <c r="B91" s="9">
        <f t="shared" si="14"/>
        <v>340</v>
      </c>
      <c r="C91" s="9">
        <f t="shared" si="8"/>
        <v>72</v>
      </c>
      <c r="D91" s="9" t="s">
        <v>28</v>
      </c>
      <c r="E91" s="9" t="s">
        <v>19</v>
      </c>
      <c r="F91" s="9" t="s">
        <v>21</v>
      </c>
      <c r="G91" s="10">
        <f t="shared" si="19"/>
        <v>350.44439741618282</v>
      </c>
      <c r="H91" s="9">
        <f t="shared" si="20"/>
        <v>42.373467567674979</v>
      </c>
      <c r="I91" s="11">
        <f t="shared" si="15"/>
        <v>41.198468000000005</v>
      </c>
      <c r="J91" s="9">
        <f t="shared" si="16"/>
        <v>5.9328000000000003</v>
      </c>
      <c r="K91" s="9">
        <f t="shared" si="17"/>
        <v>83.571935567674984</v>
      </c>
      <c r="L91" s="12">
        <f t="shared" si="21"/>
        <v>3.8947388321369097E-3</v>
      </c>
      <c r="M91" s="13">
        <f t="shared" si="24"/>
        <v>19.487089427368741</v>
      </c>
      <c r="N91" s="11"/>
      <c r="P91" s="14">
        <v>0.33408736994155896</v>
      </c>
      <c r="Q91" s="14">
        <v>0.49420373264968709</v>
      </c>
      <c r="R91" s="9">
        <f t="shared" si="22"/>
        <v>0.2462</v>
      </c>
      <c r="S91" s="14">
        <v>5.3077281232770668E-3</v>
      </c>
      <c r="T91" s="14">
        <v>1.8029020506735005</v>
      </c>
      <c r="U91" s="9">
        <v>0.14249999999999999</v>
      </c>
      <c r="V91" s="9">
        <v>0.2462</v>
      </c>
    </row>
    <row r="92" spans="1:26" s="9" customFormat="1" x14ac:dyDescent="0.2">
      <c r="A92" s="16" t="s">
        <v>43</v>
      </c>
      <c r="B92" s="9">
        <v>450</v>
      </c>
      <c r="C92" s="9">
        <f t="shared" si="8"/>
        <v>182</v>
      </c>
      <c r="D92" s="9" t="s">
        <v>5</v>
      </c>
      <c r="E92" s="9" t="s">
        <v>6</v>
      </c>
      <c r="F92" s="9" t="s">
        <v>7</v>
      </c>
      <c r="G92" s="11"/>
      <c r="I92" s="11">
        <f t="shared" ref="I92:I119" si="25">J92</f>
        <v>16.273152000000003</v>
      </c>
      <c r="J92" s="9">
        <f t="shared" si="16"/>
        <v>16.273152000000003</v>
      </c>
      <c r="M92" s="11"/>
      <c r="N92" s="9">
        <f t="shared" ref="N92:N121" si="26">AVERAGE(Y92:AA92)</f>
        <v>0.2616</v>
      </c>
      <c r="O92" s="9" t="e">
        <f>N92-PASH.r1!#REF!</f>
        <v>#REF!</v>
      </c>
      <c r="Q92" s="15"/>
      <c r="U92" s="9">
        <v>0.30570000000000003</v>
      </c>
      <c r="Y92" s="9">
        <v>0.20469999999999999</v>
      </c>
      <c r="Z92" s="9">
        <v>0.31850000000000001</v>
      </c>
    </row>
    <row r="93" spans="1:26" s="9" customFormat="1" x14ac:dyDescent="0.2">
      <c r="A93" s="16" t="s">
        <v>8</v>
      </c>
      <c r="B93" s="9">
        <v>450</v>
      </c>
      <c r="C93" s="9">
        <f t="shared" si="8"/>
        <v>182</v>
      </c>
      <c r="D93" s="9" t="s">
        <v>5</v>
      </c>
      <c r="E93" s="9" t="s">
        <v>6</v>
      </c>
      <c r="F93" s="9" t="s">
        <v>7</v>
      </c>
      <c r="G93" s="11"/>
      <c r="I93" s="11">
        <f t="shared" si="25"/>
        <v>15.392448000000002</v>
      </c>
      <c r="J93" s="9">
        <f t="shared" si="16"/>
        <v>15.392448000000002</v>
      </c>
      <c r="M93" s="11"/>
      <c r="N93" s="9">
        <f t="shared" si="26"/>
        <v>0.25609999999999999</v>
      </c>
      <c r="O93" s="9" t="e">
        <f>N93-PASH.r1!#REF!</f>
        <v>#REF!</v>
      </c>
      <c r="Q93" s="15"/>
      <c r="U93" s="9">
        <v>0.2918</v>
      </c>
      <c r="Y93" s="9">
        <v>0.25540000000000002</v>
      </c>
      <c r="Z93" s="9">
        <v>0.25679999999999997</v>
      </c>
    </row>
    <row r="94" spans="1:26" s="9" customFormat="1" x14ac:dyDescent="0.2">
      <c r="A94" s="16" t="s">
        <v>9</v>
      </c>
      <c r="B94" s="9">
        <v>450</v>
      </c>
      <c r="C94" s="9">
        <f t="shared" si="8"/>
        <v>182</v>
      </c>
      <c r="D94" s="9" t="s">
        <v>5</v>
      </c>
      <c r="E94" s="9" t="s">
        <v>6</v>
      </c>
      <c r="F94" s="9" t="s">
        <v>7</v>
      </c>
      <c r="G94" s="11"/>
      <c r="I94" s="11">
        <f t="shared" si="25"/>
        <v>12.940415999999999</v>
      </c>
      <c r="J94" s="9">
        <f t="shared" ref="J94:J121" si="27">(1.584*U94 - 0.0774)*40</f>
        <v>12.940415999999999</v>
      </c>
      <c r="M94" s="11"/>
      <c r="N94" s="9">
        <f t="shared" si="26"/>
        <v>0.24954999999999999</v>
      </c>
      <c r="O94" s="9" t="e">
        <f>N94-PASH.r1!#REF!</f>
        <v>#REF!</v>
      </c>
      <c r="Q94" s="15"/>
      <c r="U94" s="9">
        <v>0.25309999999999999</v>
      </c>
      <c r="Y94" s="9">
        <v>0.24790000000000001</v>
      </c>
      <c r="Z94" s="9">
        <v>0.25119999999999998</v>
      </c>
    </row>
    <row r="95" spans="1:26" s="9" customFormat="1" x14ac:dyDescent="0.2">
      <c r="A95" s="16" t="s">
        <v>10</v>
      </c>
      <c r="B95" s="9">
        <v>450</v>
      </c>
      <c r="C95" s="9">
        <f t="shared" si="8"/>
        <v>182</v>
      </c>
      <c r="D95" s="9" t="s">
        <v>11</v>
      </c>
      <c r="E95" s="9" t="s">
        <v>6</v>
      </c>
      <c r="F95" s="9" t="s">
        <v>7</v>
      </c>
      <c r="G95" s="11"/>
      <c r="I95" s="11">
        <f t="shared" si="25"/>
        <v>13.516992000000002</v>
      </c>
      <c r="J95" s="9">
        <f t="shared" si="27"/>
        <v>13.516992000000002</v>
      </c>
      <c r="M95" s="11"/>
      <c r="N95" s="9">
        <f t="shared" si="26"/>
        <v>0.22434999999999999</v>
      </c>
      <c r="O95" s="9" t="e">
        <f>N95-PASH.r1!#REF!</f>
        <v>#REF!</v>
      </c>
      <c r="Q95" s="15"/>
      <c r="U95" s="9">
        <v>0.26219999999999999</v>
      </c>
      <c r="Y95" s="9">
        <v>0.22670000000000001</v>
      </c>
      <c r="Z95" s="9">
        <v>0.222</v>
      </c>
    </row>
    <row r="96" spans="1:26" s="9" customFormat="1" x14ac:dyDescent="0.2">
      <c r="A96" s="16" t="s">
        <v>12</v>
      </c>
      <c r="B96" s="9">
        <v>450</v>
      </c>
      <c r="C96" s="9">
        <f t="shared" si="8"/>
        <v>182</v>
      </c>
      <c r="D96" s="9" t="s">
        <v>11</v>
      </c>
      <c r="E96" s="9" t="s">
        <v>6</v>
      </c>
      <c r="F96" s="9" t="s">
        <v>7</v>
      </c>
      <c r="G96" s="11"/>
      <c r="I96" s="11">
        <f t="shared" si="25"/>
        <v>15.937344000000003</v>
      </c>
      <c r="J96" s="9">
        <f t="shared" si="27"/>
        <v>15.937344000000003</v>
      </c>
      <c r="M96" s="11"/>
      <c r="N96" s="9">
        <f t="shared" si="26"/>
        <v>0.24645</v>
      </c>
      <c r="O96" s="9" t="e">
        <f>N96-PASH.r1!#REF!</f>
        <v>#REF!</v>
      </c>
      <c r="Q96" s="15"/>
      <c r="U96" s="9">
        <v>0.3004</v>
      </c>
      <c r="Y96" s="9">
        <v>0.24349999999999999</v>
      </c>
      <c r="Z96" s="9">
        <v>0.24940000000000001</v>
      </c>
    </row>
    <row r="97" spans="1:26" s="9" customFormat="1" x14ac:dyDescent="0.2">
      <c r="A97" s="16" t="s">
        <v>13</v>
      </c>
      <c r="B97" s="9">
        <v>450</v>
      </c>
      <c r="C97" s="9">
        <f t="shared" ref="C97:C121" si="28">B97-268</f>
        <v>182</v>
      </c>
      <c r="D97" s="9" t="s">
        <v>11</v>
      </c>
      <c r="E97" s="9" t="s">
        <v>6</v>
      </c>
      <c r="F97" s="9" t="s">
        <v>7</v>
      </c>
      <c r="G97" s="11"/>
      <c r="I97" s="11">
        <f t="shared" si="25"/>
        <v>12.934079999999998</v>
      </c>
      <c r="J97" s="9">
        <f t="shared" si="27"/>
        <v>12.934079999999998</v>
      </c>
      <c r="M97" s="11"/>
      <c r="N97" s="9">
        <f t="shared" si="26"/>
        <v>0.21590000000000001</v>
      </c>
      <c r="O97" s="9" t="e">
        <f>N97-PASH.r1!#REF!</f>
        <v>#REF!</v>
      </c>
      <c r="Q97" s="15"/>
      <c r="U97" s="9">
        <v>0.253</v>
      </c>
      <c r="Y97" s="9">
        <v>0.21690000000000001</v>
      </c>
      <c r="Z97" s="9">
        <v>0.21490000000000001</v>
      </c>
    </row>
    <row r="98" spans="1:26" s="9" customFormat="1" x14ac:dyDescent="0.2">
      <c r="A98" s="16" t="s">
        <v>14</v>
      </c>
      <c r="B98" s="9">
        <v>450</v>
      </c>
      <c r="C98" s="9">
        <f t="shared" si="28"/>
        <v>182</v>
      </c>
      <c r="D98" s="9" t="s">
        <v>15</v>
      </c>
      <c r="E98" s="9" t="s">
        <v>6</v>
      </c>
      <c r="F98" s="9" t="s">
        <v>7</v>
      </c>
      <c r="G98" s="11"/>
      <c r="I98" s="11">
        <f t="shared" si="25"/>
        <v>1.2885119999999999</v>
      </c>
      <c r="J98" s="9">
        <f t="shared" si="27"/>
        <v>1.2885119999999999</v>
      </c>
      <c r="M98" s="11"/>
      <c r="N98" s="9">
        <f t="shared" si="26"/>
        <v>0.26819999999999999</v>
      </c>
      <c r="O98" s="9" t="e">
        <f>N98-PASH.r1!#REF!</f>
        <v>#REF!</v>
      </c>
      <c r="Q98" s="15"/>
      <c r="U98" s="9">
        <v>6.9199999999999998E-2</v>
      </c>
      <c r="Y98" s="9">
        <v>0.2707</v>
      </c>
      <c r="Z98" s="9">
        <v>0.26569999999999999</v>
      </c>
    </row>
    <row r="99" spans="1:26" s="9" customFormat="1" x14ac:dyDescent="0.2">
      <c r="A99" s="16" t="s">
        <v>16</v>
      </c>
      <c r="B99" s="9">
        <v>450</v>
      </c>
      <c r="C99" s="9">
        <f t="shared" si="28"/>
        <v>182</v>
      </c>
      <c r="D99" s="9" t="s">
        <v>15</v>
      </c>
      <c r="E99" s="9" t="s">
        <v>6</v>
      </c>
      <c r="F99" s="9" t="s">
        <v>7</v>
      </c>
      <c r="G99" s="11"/>
      <c r="I99" s="11">
        <f t="shared" si="25"/>
        <v>10.355328</v>
      </c>
      <c r="J99" s="9">
        <f t="shared" si="27"/>
        <v>10.355328</v>
      </c>
      <c r="M99" s="11"/>
      <c r="N99" s="9">
        <f t="shared" si="26"/>
        <v>0.26024999999999998</v>
      </c>
      <c r="O99" s="9" t="e">
        <f>N99-PASH.r1!#REF!</f>
        <v>#REF!</v>
      </c>
      <c r="Q99" s="15"/>
      <c r="U99" s="9">
        <v>0.21229999999999999</v>
      </c>
      <c r="Y99" s="9">
        <v>0.25900000000000001</v>
      </c>
      <c r="Z99" s="9">
        <v>0.26150000000000001</v>
      </c>
    </row>
    <row r="100" spans="1:26" s="9" customFormat="1" x14ac:dyDescent="0.2">
      <c r="A100" s="16" t="s">
        <v>17</v>
      </c>
      <c r="B100" s="9">
        <v>450</v>
      </c>
      <c r="C100" s="9">
        <f t="shared" si="28"/>
        <v>182</v>
      </c>
      <c r="D100" s="9" t="s">
        <v>15</v>
      </c>
      <c r="E100" s="9" t="s">
        <v>6</v>
      </c>
      <c r="F100" s="9" t="s">
        <v>7</v>
      </c>
      <c r="G100" s="11"/>
      <c r="I100" s="11">
        <f t="shared" si="25"/>
        <v>12.287808</v>
      </c>
      <c r="J100" s="9">
        <f t="shared" si="27"/>
        <v>12.287808</v>
      </c>
      <c r="M100" s="11"/>
      <c r="N100" s="9">
        <f t="shared" si="26"/>
        <v>0.32145000000000001</v>
      </c>
      <c r="O100" s="9" t="e">
        <f>N100-PASH.r1!#REF!</f>
        <v>#REF!</v>
      </c>
      <c r="Q100" s="15"/>
      <c r="U100" s="9">
        <v>0.24279999999999999</v>
      </c>
      <c r="Y100" s="9">
        <v>0.32319999999999999</v>
      </c>
      <c r="Z100" s="9">
        <v>0.31969999999999998</v>
      </c>
    </row>
    <row r="101" spans="1:26" s="9" customFormat="1" x14ac:dyDescent="0.2">
      <c r="A101" s="16" t="s">
        <v>18</v>
      </c>
      <c r="B101" s="9">
        <v>450</v>
      </c>
      <c r="C101" s="9">
        <f t="shared" si="28"/>
        <v>182</v>
      </c>
      <c r="D101" s="9" t="s">
        <v>5</v>
      </c>
      <c r="E101" s="9" t="s">
        <v>19</v>
      </c>
      <c r="F101" s="9" t="s">
        <v>7</v>
      </c>
      <c r="G101" s="11"/>
      <c r="I101" s="11">
        <f t="shared" si="25"/>
        <v>16.444224000000002</v>
      </c>
      <c r="J101" s="9">
        <f t="shared" si="27"/>
        <v>16.444224000000002</v>
      </c>
      <c r="M101" s="11"/>
      <c r="N101" s="9">
        <f t="shared" si="26"/>
        <v>0.24285000000000001</v>
      </c>
      <c r="O101" s="9" t="e">
        <f>N101-PASH.r1!#REF!</f>
        <v>#REF!</v>
      </c>
      <c r="Q101" s="15"/>
      <c r="U101" s="9">
        <v>0.30840000000000001</v>
      </c>
      <c r="Y101" s="9">
        <v>0.24329999999999999</v>
      </c>
      <c r="Z101" s="9">
        <v>0.2424</v>
      </c>
    </row>
    <row r="102" spans="1:26" s="9" customFormat="1" x14ac:dyDescent="0.2">
      <c r="A102" s="16" t="s">
        <v>8</v>
      </c>
      <c r="B102" s="9">
        <v>450</v>
      </c>
      <c r="C102" s="9">
        <f t="shared" si="28"/>
        <v>182</v>
      </c>
      <c r="D102" s="9" t="s">
        <v>5</v>
      </c>
      <c r="E102" s="9" t="s">
        <v>19</v>
      </c>
      <c r="F102" s="9" t="s">
        <v>7</v>
      </c>
      <c r="G102" s="11"/>
      <c r="I102" s="11">
        <f t="shared" si="25"/>
        <v>17.109504000000001</v>
      </c>
      <c r="J102" s="9">
        <f t="shared" si="27"/>
        <v>17.109504000000001</v>
      </c>
      <c r="M102" s="11"/>
      <c r="N102" s="9">
        <f t="shared" si="26"/>
        <v>0.22310000000000002</v>
      </c>
      <c r="O102" s="9" t="e">
        <f>N102-PASH.r1!#REF!</f>
        <v>#REF!</v>
      </c>
      <c r="Q102" s="15"/>
      <c r="U102" s="9">
        <v>0.31890000000000002</v>
      </c>
      <c r="Y102" s="9">
        <v>0.2235</v>
      </c>
      <c r="Z102" s="9">
        <v>0.22270000000000001</v>
      </c>
    </row>
    <row r="103" spans="1:26" s="9" customFormat="1" x14ac:dyDescent="0.2">
      <c r="A103" s="16" t="s">
        <v>9</v>
      </c>
      <c r="B103" s="9">
        <v>450</v>
      </c>
      <c r="C103" s="9">
        <f t="shared" si="28"/>
        <v>182</v>
      </c>
      <c r="D103" s="9" t="s">
        <v>5</v>
      </c>
      <c r="E103" s="9" t="s">
        <v>19</v>
      </c>
      <c r="F103" s="9" t="s">
        <v>7</v>
      </c>
      <c r="G103" s="11"/>
      <c r="I103" s="11">
        <f t="shared" si="25"/>
        <v>15.493824000000004</v>
      </c>
      <c r="J103" s="9">
        <f t="shared" si="27"/>
        <v>15.493824000000004</v>
      </c>
      <c r="M103" s="11"/>
      <c r="N103" s="9">
        <f t="shared" si="26"/>
        <v>0.24640000000000001</v>
      </c>
      <c r="O103" s="9" t="e">
        <f>N103-PASH.r1!#REF!</f>
        <v>#REF!</v>
      </c>
      <c r="Q103" s="15"/>
      <c r="U103" s="9">
        <v>0.29339999999999999</v>
      </c>
      <c r="Y103" s="9">
        <v>0.2442</v>
      </c>
      <c r="Z103" s="9">
        <v>0.24859999999999999</v>
      </c>
    </row>
    <row r="104" spans="1:26" s="9" customFormat="1" x14ac:dyDescent="0.2">
      <c r="A104" s="16" t="s">
        <v>10</v>
      </c>
      <c r="B104" s="9">
        <v>450</v>
      </c>
      <c r="C104" s="9">
        <f t="shared" si="28"/>
        <v>182</v>
      </c>
      <c r="D104" s="9" t="s">
        <v>11</v>
      </c>
      <c r="E104" s="9" t="s">
        <v>19</v>
      </c>
      <c r="F104" s="9" t="s">
        <v>7</v>
      </c>
      <c r="G104" s="11"/>
      <c r="I104" s="11">
        <f t="shared" si="25"/>
        <v>15.797952000000004</v>
      </c>
      <c r="J104" s="9">
        <f t="shared" si="27"/>
        <v>15.797952000000004</v>
      </c>
      <c r="M104" s="11"/>
      <c r="N104" s="9">
        <f t="shared" si="26"/>
        <v>0.2225</v>
      </c>
      <c r="O104" s="9" t="e">
        <f>N104-PASH.r1!#REF!</f>
        <v>#REF!</v>
      </c>
      <c r="Q104" s="15"/>
      <c r="U104" s="9">
        <v>0.29820000000000002</v>
      </c>
      <c r="Y104" s="9">
        <v>0.2177</v>
      </c>
      <c r="Z104" s="9">
        <v>0.2273</v>
      </c>
    </row>
    <row r="105" spans="1:26" s="9" customFormat="1" x14ac:dyDescent="0.2">
      <c r="A105" s="16" t="s">
        <v>12</v>
      </c>
      <c r="B105" s="9">
        <v>450</v>
      </c>
      <c r="C105" s="9">
        <f t="shared" si="28"/>
        <v>182</v>
      </c>
      <c r="D105" s="9" t="s">
        <v>11</v>
      </c>
      <c r="E105" s="9" t="s">
        <v>19</v>
      </c>
      <c r="F105" s="9" t="s">
        <v>7</v>
      </c>
      <c r="G105" s="11"/>
      <c r="I105" s="11">
        <f t="shared" si="25"/>
        <v>15.506496000000002</v>
      </c>
      <c r="J105" s="9">
        <f t="shared" si="27"/>
        <v>15.506496000000002</v>
      </c>
      <c r="M105" s="11"/>
      <c r="N105" s="9">
        <f t="shared" si="26"/>
        <v>0.22565000000000002</v>
      </c>
      <c r="O105" s="9" t="e">
        <f>N105-PASH.r1!#REF!</f>
        <v>#REF!</v>
      </c>
      <c r="Q105" s="15"/>
      <c r="U105" s="9">
        <v>0.29360000000000003</v>
      </c>
      <c r="Y105" s="9">
        <v>0.2283</v>
      </c>
      <c r="Z105" s="9">
        <v>0.223</v>
      </c>
    </row>
    <row r="106" spans="1:26" s="9" customFormat="1" x14ac:dyDescent="0.2">
      <c r="A106" s="16" t="s">
        <v>13</v>
      </c>
      <c r="B106" s="9">
        <v>450</v>
      </c>
      <c r="C106" s="9">
        <f t="shared" si="28"/>
        <v>182</v>
      </c>
      <c r="D106" s="9" t="s">
        <v>11</v>
      </c>
      <c r="E106" s="9" t="s">
        <v>19</v>
      </c>
      <c r="F106" s="9" t="s">
        <v>7</v>
      </c>
      <c r="G106" s="11"/>
      <c r="I106" s="11">
        <f t="shared" si="25"/>
        <v>2.4543360000000005</v>
      </c>
      <c r="J106" s="9">
        <f t="shared" si="27"/>
        <v>2.4543360000000005</v>
      </c>
      <c r="M106" s="11"/>
      <c r="N106" s="9">
        <f t="shared" si="26"/>
        <v>0.21134999999999998</v>
      </c>
      <c r="O106" s="9" t="e">
        <f>N106-PASH.r1!#REF!</f>
        <v>#REF!</v>
      </c>
      <c r="Q106" s="15"/>
      <c r="U106" s="9">
        <v>8.7599999999999997E-2</v>
      </c>
      <c r="Y106" s="9">
        <v>0.2135</v>
      </c>
      <c r="Z106" s="9">
        <v>0.2092</v>
      </c>
    </row>
    <row r="107" spans="1:26" s="9" customFormat="1" x14ac:dyDescent="0.2">
      <c r="A107" s="16" t="s">
        <v>14</v>
      </c>
      <c r="B107" s="9">
        <v>450</v>
      </c>
      <c r="C107" s="9">
        <f t="shared" si="28"/>
        <v>182</v>
      </c>
      <c r="D107" s="9" t="s">
        <v>15</v>
      </c>
      <c r="E107" s="9" t="s">
        <v>19</v>
      </c>
      <c r="F107" s="9" t="s">
        <v>7</v>
      </c>
      <c r="G107" s="11"/>
      <c r="I107" s="11">
        <f t="shared" si="25"/>
        <v>13.016448</v>
      </c>
      <c r="J107" s="9">
        <f t="shared" si="27"/>
        <v>13.016448</v>
      </c>
      <c r="M107" s="11"/>
      <c r="N107" s="9">
        <f t="shared" si="26"/>
        <v>0.27700000000000002</v>
      </c>
      <c r="O107" s="9" t="e">
        <f>N107-PASH.r1!#REF!</f>
        <v>#REF!</v>
      </c>
      <c r="Q107" s="15"/>
      <c r="U107" s="9">
        <v>0.25430000000000003</v>
      </c>
      <c r="Y107" s="9">
        <v>0.27550000000000002</v>
      </c>
      <c r="Z107" s="9">
        <v>0.27850000000000003</v>
      </c>
    </row>
    <row r="108" spans="1:26" s="9" customFormat="1" x14ac:dyDescent="0.2">
      <c r="A108" s="16" t="s">
        <v>16</v>
      </c>
      <c r="B108" s="9">
        <v>450</v>
      </c>
      <c r="C108" s="9">
        <f t="shared" si="28"/>
        <v>182</v>
      </c>
      <c r="D108" s="9" t="s">
        <v>15</v>
      </c>
      <c r="E108" s="9" t="s">
        <v>19</v>
      </c>
      <c r="F108" s="9" t="s">
        <v>7</v>
      </c>
      <c r="G108" s="11"/>
      <c r="I108" s="11">
        <f t="shared" si="25"/>
        <v>14.581440000000004</v>
      </c>
      <c r="J108" s="9">
        <f t="shared" si="27"/>
        <v>14.581440000000004</v>
      </c>
      <c r="M108" s="11"/>
      <c r="N108" s="9">
        <f t="shared" si="26"/>
        <v>0.30554999999999999</v>
      </c>
      <c r="O108" s="9" t="e">
        <f>N108-PASH.r1!#REF!</f>
        <v>#REF!</v>
      </c>
      <c r="Q108" s="15"/>
      <c r="U108" s="9">
        <v>0.27900000000000003</v>
      </c>
      <c r="Y108" s="9">
        <v>0.30730000000000002</v>
      </c>
      <c r="Z108" s="9">
        <v>0.30380000000000001</v>
      </c>
    </row>
    <row r="109" spans="1:26" s="9" customFormat="1" x14ac:dyDescent="0.2">
      <c r="A109" s="16" t="s">
        <v>17</v>
      </c>
      <c r="B109" s="9">
        <v>450</v>
      </c>
      <c r="C109" s="9">
        <f t="shared" si="28"/>
        <v>182</v>
      </c>
      <c r="D109" s="9" t="s">
        <v>15</v>
      </c>
      <c r="E109" s="9" t="s">
        <v>19</v>
      </c>
      <c r="F109" s="9" t="s">
        <v>7</v>
      </c>
      <c r="G109" s="11"/>
      <c r="I109" s="11">
        <f t="shared" si="25"/>
        <v>14.670144000000001</v>
      </c>
      <c r="J109" s="9">
        <f t="shared" si="27"/>
        <v>14.670144000000001</v>
      </c>
      <c r="M109" s="11"/>
      <c r="N109" s="9">
        <f t="shared" si="26"/>
        <v>0.44579999999999997</v>
      </c>
      <c r="O109" s="9" t="e">
        <f>N109-PASH.r1!#REF!</f>
        <v>#REF!</v>
      </c>
      <c r="Q109" s="15"/>
      <c r="U109" s="9">
        <v>0.28039999999999998</v>
      </c>
      <c r="Y109" s="9">
        <v>0.44979999999999998</v>
      </c>
      <c r="Z109" s="9">
        <v>0.44180000000000003</v>
      </c>
    </row>
    <row r="110" spans="1:26" s="9" customFormat="1" x14ac:dyDescent="0.2">
      <c r="A110" s="16" t="s">
        <v>20</v>
      </c>
      <c r="B110" s="9">
        <v>450</v>
      </c>
      <c r="C110" s="9">
        <f t="shared" si="28"/>
        <v>182</v>
      </c>
      <c r="D110" s="9" t="s">
        <v>5</v>
      </c>
      <c r="E110" s="9" t="s">
        <v>19</v>
      </c>
      <c r="F110" s="9" t="s">
        <v>21</v>
      </c>
      <c r="G110" s="11"/>
      <c r="I110" s="11">
        <f t="shared" si="25"/>
        <v>16.678655999999997</v>
      </c>
      <c r="J110" s="9">
        <f t="shared" si="27"/>
        <v>16.678655999999997</v>
      </c>
      <c r="M110" s="11"/>
      <c r="N110" s="9">
        <f t="shared" si="26"/>
        <v>0.33424999999999999</v>
      </c>
      <c r="O110" s="9" t="e">
        <f>N110-PASH.r1!#REF!</f>
        <v>#REF!</v>
      </c>
      <c r="Q110" s="15"/>
      <c r="U110" s="9">
        <v>0.31209999999999999</v>
      </c>
      <c r="Y110" s="9">
        <v>0.3387</v>
      </c>
      <c r="Z110" s="9">
        <v>0.32979999999999998</v>
      </c>
    </row>
    <row r="111" spans="1:26" s="9" customFormat="1" x14ac:dyDescent="0.2">
      <c r="A111" s="16" t="s">
        <v>22</v>
      </c>
      <c r="B111" s="9">
        <v>450</v>
      </c>
      <c r="C111" s="9">
        <f t="shared" si="28"/>
        <v>182</v>
      </c>
      <c r="D111" s="9" t="s">
        <v>5</v>
      </c>
      <c r="E111" s="9" t="s">
        <v>19</v>
      </c>
      <c r="F111" s="9" t="s">
        <v>21</v>
      </c>
      <c r="G111" s="11"/>
      <c r="I111" s="11">
        <f t="shared" si="25"/>
        <v>14.860223999999999</v>
      </c>
      <c r="J111" s="9">
        <f t="shared" si="27"/>
        <v>14.860223999999999</v>
      </c>
      <c r="M111" s="11"/>
      <c r="N111" s="9">
        <f t="shared" si="26"/>
        <v>0.26239999999999997</v>
      </c>
      <c r="O111" s="9" t="e">
        <f>N111-PASH.r1!#REF!</f>
        <v>#REF!</v>
      </c>
      <c r="Q111" s="15"/>
      <c r="U111" s="9">
        <v>0.28339999999999999</v>
      </c>
      <c r="Y111" s="9">
        <v>0.26800000000000002</v>
      </c>
      <c r="Z111" s="9">
        <v>0.25679999999999997</v>
      </c>
    </row>
    <row r="112" spans="1:26" s="9" customFormat="1" x14ac:dyDescent="0.2">
      <c r="A112" s="16" t="s">
        <v>23</v>
      </c>
      <c r="B112" s="9">
        <v>450</v>
      </c>
      <c r="C112" s="9">
        <f t="shared" si="28"/>
        <v>182</v>
      </c>
      <c r="D112" s="9" t="s">
        <v>5</v>
      </c>
      <c r="E112" s="9" t="s">
        <v>19</v>
      </c>
      <c r="F112" s="9" t="s">
        <v>21</v>
      </c>
      <c r="G112" s="11"/>
      <c r="I112" s="11">
        <f t="shared" si="25"/>
        <v>13.776768000000001</v>
      </c>
      <c r="J112" s="9">
        <f t="shared" si="27"/>
        <v>13.776768000000001</v>
      </c>
      <c r="M112" s="11"/>
      <c r="N112" s="9">
        <f t="shared" si="26"/>
        <v>0.2253</v>
      </c>
      <c r="O112" s="9" t="e">
        <f>N112-PASH.r1!#REF!</f>
        <v>#REF!</v>
      </c>
      <c r="Q112" s="15"/>
      <c r="U112" s="9">
        <v>0.26629999999999998</v>
      </c>
      <c r="Y112" s="9">
        <v>0.22539999999999999</v>
      </c>
      <c r="Z112" s="9">
        <v>0.22520000000000001</v>
      </c>
    </row>
    <row r="113" spans="1:26" s="9" customFormat="1" x14ac:dyDescent="0.2">
      <c r="A113" s="16" t="s">
        <v>24</v>
      </c>
      <c r="B113" s="9">
        <v>450</v>
      </c>
      <c r="C113" s="9">
        <f t="shared" si="28"/>
        <v>182</v>
      </c>
      <c r="D113" s="9" t="s">
        <v>15</v>
      </c>
      <c r="E113" s="9" t="s">
        <v>19</v>
      </c>
      <c r="F113" s="9" t="s">
        <v>21</v>
      </c>
      <c r="G113" s="11"/>
      <c r="I113" s="11">
        <f t="shared" si="25"/>
        <v>15.823295999999999</v>
      </c>
      <c r="J113" s="9">
        <f t="shared" si="27"/>
        <v>15.823295999999999</v>
      </c>
      <c r="M113" s="11"/>
      <c r="N113" s="9">
        <f t="shared" si="26"/>
        <v>0.31135000000000002</v>
      </c>
      <c r="O113" s="9" t="e">
        <f>N113-PASH.r1!#REF!</f>
        <v>#REF!</v>
      </c>
      <c r="Q113" s="15"/>
      <c r="U113" s="9">
        <v>0.29859999999999998</v>
      </c>
      <c r="Y113" s="9">
        <v>0.31190000000000001</v>
      </c>
      <c r="Z113" s="9">
        <v>0.31080000000000002</v>
      </c>
    </row>
    <row r="114" spans="1:26" s="9" customFormat="1" x14ac:dyDescent="0.2">
      <c r="A114" s="16" t="s">
        <v>25</v>
      </c>
      <c r="B114" s="9">
        <v>450</v>
      </c>
      <c r="C114" s="9">
        <f t="shared" si="28"/>
        <v>182</v>
      </c>
      <c r="D114" s="9" t="s">
        <v>15</v>
      </c>
      <c r="E114" s="9" t="s">
        <v>19</v>
      </c>
      <c r="F114" s="9" t="s">
        <v>21</v>
      </c>
      <c r="G114" s="11"/>
      <c r="I114" s="11">
        <f t="shared" si="25"/>
        <v>11.388096000000001</v>
      </c>
      <c r="J114" s="9">
        <f t="shared" si="27"/>
        <v>11.388096000000001</v>
      </c>
      <c r="M114" s="11"/>
      <c r="N114" s="9">
        <f t="shared" si="26"/>
        <v>0.30720000000000003</v>
      </c>
      <c r="O114" s="9" t="e">
        <f>N114-PASH.r1!#REF!</f>
        <v>#REF!</v>
      </c>
      <c r="Q114" s="15"/>
      <c r="U114" s="9">
        <v>0.2286</v>
      </c>
      <c r="Y114" s="9">
        <v>0.30859999999999999</v>
      </c>
      <c r="Z114" s="9">
        <v>0.30580000000000002</v>
      </c>
    </row>
    <row r="115" spans="1:26" s="9" customFormat="1" x14ac:dyDescent="0.2">
      <c r="A115" s="16" t="s">
        <v>26</v>
      </c>
      <c r="B115" s="9">
        <v>450</v>
      </c>
      <c r="C115" s="9">
        <f t="shared" si="28"/>
        <v>182</v>
      </c>
      <c r="D115" s="9" t="s">
        <v>15</v>
      </c>
      <c r="E115" s="9" t="s">
        <v>19</v>
      </c>
      <c r="F115" s="9" t="s">
        <v>21</v>
      </c>
      <c r="G115" s="11"/>
      <c r="I115" s="11">
        <f t="shared" si="25"/>
        <v>16.013376000000001</v>
      </c>
      <c r="J115" s="9">
        <f t="shared" si="27"/>
        <v>16.013376000000001</v>
      </c>
      <c r="M115" s="11"/>
      <c r="N115" s="9">
        <f t="shared" si="26"/>
        <v>0.32319999999999999</v>
      </c>
      <c r="O115" s="9" t="e">
        <f>N115-PASH.r1!#REF!</f>
        <v>#REF!</v>
      </c>
      <c r="Q115" s="15"/>
      <c r="U115" s="9">
        <v>0.30159999999999998</v>
      </c>
      <c r="Y115" s="9">
        <v>0.33189999999999997</v>
      </c>
      <c r="Z115" s="9">
        <v>0.3145</v>
      </c>
    </row>
    <row r="116" spans="1:26" s="9" customFormat="1" x14ac:dyDescent="0.2">
      <c r="A116" s="16" t="s">
        <v>27</v>
      </c>
      <c r="B116" s="9">
        <v>450</v>
      </c>
      <c r="C116" s="9">
        <f t="shared" si="28"/>
        <v>182</v>
      </c>
      <c r="D116" s="9" t="s">
        <v>28</v>
      </c>
      <c r="E116" s="9" t="s">
        <v>6</v>
      </c>
      <c r="F116" s="9" t="s">
        <v>21</v>
      </c>
      <c r="G116" s="11"/>
      <c r="I116" s="11">
        <f t="shared" si="25"/>
        <v>5.9454720000000005</v>
      </c>
      <c r="J116" s="9">
        <f t="shared" si="27"/>
        <v>5.9454720000000005</v>
      </c>
      <c r="M116" s="11"/>
      <c r="N116" s="9">
        <f t="shared" si="26"/>
        <v>0.54225000000000001</v>
      </c>
      <c r="O116" s="9" t="e">
        <f>N116-PASH.r1!#REF!</f>
        <v>#REF!</v>
      </c>
      <c r="Q116" s="15"/>
      <c r="U116" s="9">
        <v>0.14269999999999999</v>
      </c>
      <c r="Y116" s="9">
        <v>0.55420000000000003</v>
      </c>
      <c r="Z116" s="9">
        <v>0.53029999999999999</v>
      </c>
    </row>
    <row r="117" spans="1:26" s="9" customFormat="1" x14ac:dyDescent="0.2">
      <c r="A117" s="16" t="s">
        <v>29</v>
      </c>
      <c r="B117" s="9">
        <v>450</v>
      </c>
      <c r="C117" s="9">
        <f t="shared" si="28"/>
        <v>182</v>
      </c>
      <c r="D117" s="9" t="s">
        <v>28</v>
      </c>
      <c r="E117" s="9" t="s">
        <v>6</v>
      </c>
      <c r="F117" s="9" t="s">
        <v>21</v>
      </c>
      <c r="G117" s="11"/>
      <c r="I117" s="11">
        <f t="shared" si="25"/>
        <v>12.211776000000004</v>
      </c>
      <c r="J117" s="9">
        <f t="shared" si="27"/>
        <v>12.211776000000004</v>
      </c>
      <c r="M117" s="11"/>
      <c r="N117" s="9">
        <f t="shared" si="26"/>
        <v>0.33939999999999998</v>
      </c>
      <c r="O117" s="9" t="e">
        <f>N117-PASH.r1!#REF!</f>
        <v>#REF!</v>
      </c>
      <c r="Q117" s="15"/>
      <c r="U117" s="9">
        <v>0.24160000000000001</v>
      </c>
      <c r="Y117" s="9">
        <v>0.34739999999999999</v>
      </c>
      <c r="Z117" s="9">
        <v>0.33139999999999997</v>
      </c>
    </row>
    <row r="118" spans="1:26" s="9" customFormat="1" x14ac:dyDescent="0.2">
      <c r="A118" s="16" t="s">
        <v>30</v>
      </c>
      <c r="B118" s="9">
        <v>450</v>
      </c>
      <c r="C118" s="9">
        <f t="shared" si="28"/>
        <v>182</v>
      </c>
      <c r="D118" s="9" t="s">
        <v>28</v>
      </c>
      <c r="E118" s="9" t="s">
        <v>6</v>
      </c>
      <c r="F118" s="9" t="s">
        <v>21</v>
      </c>
      <c r="G118" s="11"/>
      <c r="I118" s="11">
        <f t="shared" si="25"/>
        <v>17.058816</v>
      </c>
      <c r="J118" s="9">
        <f t="shared" si="27"/>
        <v>17.058816</v>
      </c>
      <c r="M118" s="11"/>
      <c r="N118" s="9">
        <f t="shared" si="26"/>
        <v>0.39610000000000001</v>
      </c>
      <c r="O118" s="9" t="e">
        <f>N118-PASH.r1!#REF!</f>
        <v>#REF!</v>
      </c>
      <c r="Q118" s="15"/>
      <c r="U118" s="9">
        <v>0.31809999999999999</v>
      </c>
      <c r="Y118" s="9">
        <v>0.39350000000000002</v>
      </c>
      <c r="Z118" s="9">
        <v>0.3987</v>
      </c>
    </row>
    <row r="119" spans="1:26" s="9" customFormat="1" x14ac:dyDescent="0.2">
      <c r="A119" s="16" t="s">
        <v>31</v>
      </c>
      <c r="B119" s="9">
        <v>450</v>
      </c>
      <c r="C119" s="9">
        <f t="shared" si="28"/>
        <v>182</v>
      </c>
      <c r="D119" s="9" t="s">
        <v>28</v>
      </c>
      <c r="E119" s="9" t="s">
        <v>19</v>
      </c>
      <c r="F119" s="9" t="s">
        <v>21</v>
      </c>
      <c r="G119" s="11"/>
      <c r="I119" s="11">
        <f t="shared" si="25"/>
        <v>15.550847999999998</v>
      </c>
      <c r="J119" s="9">
        <f t="shared" si="27"/>
        <v>15.550847999999998</v>
      </c>
      <c r="M119" s="11"/>
      <c r="N119" s="9">
        <f t="shared" si="26"/>
        <v>0.4098</v>
      </c>
      <c r="O119" s="9" t="e">
        <f>N119-PASH.r1!#REF!</f>
        <v>#REF!</v>
      </c>
      <c r="Q119" s="15"/>
      <c r="U119" s="9">
        <v>0.29430000000000001</v>
      </c>
      <c r="Y119" s="9">
        <v>0.40660000000000002</v>
      </c>
      <c r="Z119" s="9">
        <v>0.41299999999999998</v>
      </c>
    </row>
    <row r="120" spans="1:26" s="9" customFormat="1" x14ac:dyDescent="0.2">
      <c r="A120" s="16" t="s">
        <v>32</v>
      </c>
      <c r="B120" s="9">
        <v>450</v>
      </c>
      <c r="C120" s="9">
        <f t="shared" si="28"/>
        <v>182</v>
      </c>
      <c r="D120" s="9" t="s">
        <v>28</v>
      </c>
      <c r="E120" s="9" t="s">
        <v>19</v>
      </c>
      <c r="F120" s="9" t="s">
        <v>21</v>
      </c>
      <c r="G120" s="11"/>
      <c r="I120" s="11"/>
      <c r="J120" s="9">
        <f t="shared" si="27"/>
        <v>16.906751999999997</v>
      </c>
      <c r="M120" s="11"/>
      <c r="N120" s="9">
        <f t="shared" si="26"/>
        <v>0.41435</v>
      </c>
      <c r="O120" s="9" t="e">
        <f>N120-PASH.r1!#REF!</f>
        <v>#REF!</v>
      </c>
      <c r="Q120" s="15"/>
      <c r="U120" s="9">
        <v>0.31569999999999998</v>
      </c>
      <c r="Y120" s="9">
        <v>0.41539999999999999</v>
      </c>
      <c r="Z120" s="9">
        <v>0.4133</v>
      </c>
    </row>
    <row r="121" spans="1:26" s="9" customFormat="1" x14ac:dyDescent="0.2">
      <c r="A121" s="16" t="s">
        <v>33</v>
      </c>
      <c r="B121" s="9">
        <v>450</v>
      </c>
      <c r="C121" s="9">
        <f t="shared" si="28"/>
        <v>182</v>
      </c>
      <c r="D121" s="9" t="s">
        <v>28</v>
      </c>
      <c r="E121" s="9" t="s">
        <v>19</v>
      </c>
      <c r="F121" s="9" t="s">
        <v>21</v>
      </c>
      <c r="G121" s="11"/>
      <c r="I121" s="11">
        <f>J121</f>
        <v>4.1460480000000004</v>
      </c>
      <c r="J121" s="9">
        <f t="shared" si="27"/>
        <v>4.1460480000000004</v>
      </c>
      <c r="M121" s="11"/>
      <c r="N121" s="9">
        <f t="shared" si="26"/>
        <v>0.53095000000000003</v>
      </c>
      <c r="O121" s="9" t="e">
        <f>N121-PASH.r1!#REF!</f>
        <v>#REF!</v>
      </c>
      <c r="Q121" s="15"/>
      <c r="U121" s="9">
        <v>0.1143</v>
      </c>
      <c r="Y121" s="9">
        <v>0.45850000000000002</v>
      </c>
      <c r="Z121" s="9">
        <v>0.60340000000000005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PASH.r1</vt:lpstr>
      <vt:lpstr>PASH.r2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2026-05-13T03:16:31Z</dcterms:created>
  <dcterms:modified xsi:type="dcterms:W3CDTF">2026-05-16T06:32:31Z</dcterms:modified>
</cp:coreProperties>
</file>