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Fig1/"/>
    </mc:Choice>
  </mc:AlternateContent>
  <xr:revisionPtr revIDLastSave="0" documentId="13_ncr:1_{15FE81BA-F845-D241-B553-8A8CDB248D6B}" xr6:coauthVersionLast="47" xr6:coauthVersionMax="47" xr10:uidLastSave="{00000000-0000-0000-0000-000000000000}"/>
  <bookViews>
    <workbookView xWindow="100" yWindow="620" windowWidth="17760" windowHeight="15040" activeTab="1" xr2:uid="{8285BF4A-49B4-134D-B862-62048B4CF6A9}"/>
  </bookViews>
  <sheets>
    <sheet name="Continuous" sheetId="2" r:id="rId1"/>
    <sheet name="C" sheetId="3" r:id="rId2"/>
    <sheet name="N" sheetId="5" r:id="rId3"/>
    <sheet name="N_multiple" sheetId="4" r:id="rId4"/>
    <sheet name="rawdata" sheetId="1" r:id="rId5"/>
  </sheets>
  <definedNames>
    <definedName name="_xlnm._FilterDatabase" localSheetId="0" hidden="1">Continuous!$A$1:$G$163</definedName>
    <definedName name="_xlnm._FilterDatabase" localSheetId="2" hidden="1">N!$A$1:$G$55</definedName>
    <definedName name="_xlnm._FilterDatabase" localSheetId="4" hidden="1">rawdata!$A$1:$F$201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3" l="1"/>
  <c r="K28" i="3" s="1"/>
  <c r="K27" i="3"/>
  <c r="K26" i="3"/>
  <c r="K25" i="3"/>
  <c r="K29" i="3" s="1"/>
  <c r="K161" i="1"/>
  <c r="K160" i="1"/>
  <c r="K159" i="1"/>
  <c r="K158" i="1"/>
  <c r="K154" i="1"/>
  <c r="K153" i="1"/>
  <c r="K152" i="1"/>
  <c r="K151" i="1"/>
  <c r="K146" i="1"/>
  <c r="K145" i="1"/>
  <c r="K144" i="1"/>
  <c r="K143" i="1"/>
  <c r="K139" i="1"/>
  <c r="K138" i="1"/>
  <c r="K137" i="1"/>
  <c r="K136" i="1"/>
  <c r="K133" i="1"/>
  <c r="K132" i="1"/>
  <c r="K131" i="1"/>
  <c r="K130" i="1"/>
  <c r="K126" i="1"/>
  <c r="K125" i="1"/>
  <c r="K124" i="1"/>
  <c r="K123" i="1"/>
  <c r="K119" i="1"/>
  <c r="K118" i="1"/>
  <c r="K117" i="1"/>
  <c r="K116" i="1"/>
  <c r="K113" i="1"/>
  <c r="K112" i="1"/>
  <c r="K111" i="1"/>
  <c r="K110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5"/>
  <c r="K28" i="5"/>
  <c r="K26" i="5"/>
  <c r="K24" i="5"/>
  <c r="K25" i="5"/>
  <c r="K27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J161" i="1"/>
  <c r="J160" i="1"/>
  <c r="J159" i="1"/>
  <c r="J158" i="1"/>
  <c r="J154" i="1"/>
  <c r="J153" i="1"/>
  <c r="J152" i="1"/>
  <c r="J151" i="1"/>
  <c r="J146" i="1"/>
  <c r="J145" i="1"/>
  <c r="J144" i="1"/>
  <c r="J143" i="1"/>
  <c r="J139" i="1"/>
  <c r="J138" i="1"/>
  <c r="J137" i="1"/>
  <c r="J136" i="1"/>
  <c r="J133" i="1"/>
  <c r="J132" i="1"/>
  <c r="J131" i="1"/>
  <c r="J130" i="1"/>
  <c r="J119" i="1"/>
  <c r="J118" i="1"/>
  <c r="J117" i="1"/>
  <c r="J116" i="1"/>
  <c r="J113" i="1"/>
  <c r="J112" i="1"/>
  <c r="J111" i="1"/>
  <c r="J110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I161" i="1"/>
  <c r="I160" i="1"/>
  <c r="I159" i="1"/>
  <c r="I158" i="1"/>
  <c r="I154" i="1"/>
  <c r="I153" i="1"/>
  <c r="I152" i="1"/>
  <c r="I151" i="1"/>
  <c r="I146" i="1"/>
  <c r="I145" i="1"/>
  <c r="I144" i="1"/>
  <c r="I143" i="1"/>
  <c r="I139" i="1"/>
  <c r="I138" i="1"/>
  <c r="I137" i="1"/>
  <c r="I136" i="1"/>
  <c r="I133" i="1"/>
  <c r="I132" i="1"/>
  <c r="I131" i="1"/>
  <c r="I130" i="1"/>
  <c r="I126" i="1"/>
  <c r="J126" i="1" s="1"/>
  <c r="I125" i="1"/>
  <c r="J125" i="1" s="1"/>
  <c r="I124" i="1"/>
  <c r="J124" i="1" s="1"/>
  <c r="I123" i="1"/>
  <c r="J123" i="1" s="1"/>
  <c r="I119" i="1"/>
  <c r="I118" i="1"/>
  <c r="I117" i="1"/>
  <c r="I116" i="1"/>
  <c r="I113" i="1"/>
  <c r="I112" i="1"/>
  <c r="I111" i="1"/>
  <c r="I110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H161" i="1"/>
  <c r="H160" i="1"/>
  <c r="H159" i="1"/>
  <c r="H158" i="1"/>
  <c r="H154" i="1"/>
  <c r="H153" i="1"/>
  <c r="H152" i="1"/>
  <c r="H151" i="1"/>
  <c r="H146" i="1"/>
  <c r="H145" i="1"/>
  <c r="H144" i="1"/>
  <c r="H143" i="1"/>
  <c r="H139" i="1"/>
  <c r="H138" i="1"/>
  <c r="H137" i="1"/>
  <c r="H136" i="1"/>
  <c r="H133" i="1"/>
  <c r="H132" i="1"/>
  <c r="H131" i="1"/>
  <c r="H130" i="1"/>
  <c r="H126" i="1"/>
  <c r="H125" i="1"/>
  <c r="H124" i="1"/>
  <c r="H123" i="1"/>
  <c r="H119" i="1"/>
  <c r="H118" i="1"/>
  <c r="H117" i="1"/>
  <c r="H116" i="1"/>
  <c r="H113" i="1"/>
  <c r="H112" i="1"/>
  <c r="H111" i="1"/>
  <c r="H110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G161" i="1"/>
  <c r="G160" i="1"/>
  <c r="G159" i="1"/>
  <c r="G158" i="1"/>
  <c r="G154" i="1"/>
  <c r="G153" i="1"/>
  <c r="G152" i="1"/>
  <c r="G151" i="1"/>
  <c r="G146" i="1"/>
  <c r="G145" i="1"/>
  <c r="G144" i="1"/>
  <c r="G143" i="1"/>
  <c r="G139" i="1"/>
  <c r="G138" i="1"/>
  <c r="G137" i="1"/>
  <c r="G136" i="1"/>
  <c r="G133" i="1"/>
  <c r="G132" i="1"/>
  <c r="G131" i="1"/>
  <c r="G130" i="1"/>
  <c r="G126" i="1"/>
  <c r="G125" i="1"/>
  <c r="G124" i="1"/>
  <c r="G123" i="1"/>
  <c r="G119" i="1"/>
  <c r="G118" i="1"/>
  <c r="G117" i="1"/>
  <c r="G116" i="1"/>
  <c r="G113" i="1"/>
  <c r="G112" i="1"/>
  <c r="G111" i="1"/>
  <c r="G110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56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2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10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2" i="2"/>
</calcChain>
</file>

<file path=xl/sharedStrings.xml><?xml version="1.0" encoding="utf-8"?>
<sst xmlns="http://schemas.openxmlformats.org/spreadsheetml/2006/main" count="2124" uniqueCount="108">
  <si>
    <t>Ofar-D-6.7</t>
  </si>
  <si>
    <t>Ofar-I-6.7</t>
  </si>
  <si>
    <t>Ofar-D-6.8</t>
  </si>
  <si>
    <t>Ofar-I-6.8</t>
  </si>
  <si>
    <t>Ofar-D-6.9-1</t>
  </si>
  <si>
    <t>Ofar-I-6.9</t>
  </si>
  <si>
    <t>Ofar-D-6.9-2</t>
  </si>
  <si>
    <t>Ofar-D-6.9-3-Media</t>
  </si>
  <si>
    <t>Ofar-D-6.10</t>
  </si>
  <si>
    <t>Ofar-I-6.10</t>
  </si>
  <si>
    <t>Ofar-D-6.11</t>
  </si>
  <si>
    <t>Ofar-I-6.11</t>
  </si>
  <si>
    <t>Ofar-D-6.12</t>
  </si>
  <si>
    <t>Ofar-I-6.12</t>
  </si>
  <si>
    <t>Ofar-D-6.13</t>
  </si>
  <si>
    <t>Ofar-I</t>
  </si>
  <si>
    <t>Ofar-D-6.16</t>
  </si>
  <si>
    <t>Ofar-D-6.17</t>
  </si>
  <si>
    <t>Ofar-D-6.19</t>
  </si>
  <si>
    <t>Ofar-D-6.23</t>
  </si>
  <si>
    <t>Ofar-D-6.24</t>
  </si>
  <si>
    <t>Ofar-D-6.27-1</t>
  </si>
  <si>
    <t>Ofar-D-6.27-2</t>
  </si>
  <si>
    <t>Ofar-No.1-7.1</t>
  </si>
  <si>
    <t>Ofar-No.2</t>
  </si>
  <si>
    <t>Ofar-No.1-7.2</t>
  </si>
  <si>
    <t>Ofar-No.1-7.3</t>
  </si>
  <si>
    <t>Ofar-No.1-7.8'</t>
  </si>
  <si>
    <t>Ofar-No.1-7.17</t>
  </si>
  <si>
    <t>Ofar-No.1-7.21</t>
  </si>
  <si>
    <t>Ofar-No.1-7.22</t>
  </si>
  <si>
    <t>Ofar-No.1-7.23</t>
  </si>
  <si>
    <t>Inf-7.22</t>
  </si>
  <si>
    <t>Inf-0725-Newly started</t>
  </si>
  <si>
    <t>Ofar-No.1-7.25-Eff.1</t>
  </si>
  <si>
    <t>Ofar-No.2-Eff.2</t>
  </si>
  <si>
    <t>Ofar-No.1-7.25</t>
  </si>
  <si>
    <t>w</t>
  </si>
  <si>
    <t>Inf-0726-Newly started</t>
  </si>
  <si>
    <t>Ofar-No.1-7.26-Eff.1</t>
  </si>
  <si>
    <t>Ofar-No.1-7.26</t>
  </si>
  <si>
    <t>Ofar-No.1-7.28-Eff.1</t>
  </si>
  <si>
    <t>Ofar-Inf(withHighSludge)</t>
  </si>
  <si>
    <t>Ofar-InfT0-7.28</t>
  </si>
  <si>
    <t>W</t>
  </si>
  <si>
    <t>Ofar-No.1-7.31-Eff.1</t>
  </si>
  <si>
    <t>Ofar-No.1</t>
  </si>
  <si>
    <t>Ofar-InfT0-7.31</t>
  </si>
  <si>
    <t>Ofar-No.1-Eff.1-8.1</t>
  </si>
  <si>
    <t>Ofar-InfT0-8.2</t>
  </si>
  <si>
    <t>Ofar-No.1-Eff.1-8.2</t>
  </si>
  <si>
    <t>Ofar-Inf1-8.10</t>
  </si>
  <si>
    <t>Ofar-Inf2</t>
  </si>
  <si>
    <t>n.a.</t>
  </si>
  <si>
    <t>Ofar-No.1-Eff.1</t>
  </si>
  <si>
    <t>Ofar-Inf1-8.14</t>
  </si>
  <si>
    <t>Ofar-Inf1-8.16</t>
  </si>
  <si>
    <t>Ofar-Inf1-8.23</t>
  </si>
  <si>
    <t>Ofar-Inf1-8.26</t>
  </si>
  <si>
    <t>Ofar-Inf1-8.30</t>
  </si>
  <si>
    <t>Ofar-Inf1-9.3</t>
  </si>
  <si>
    <t>Ofar-Inf1-9.7</t>
  </si>
  <si>
    <t>Ofar-Inf1-9.10</t>
  </si>
  <si>
    <t>Ofar-Inf1-9.14</t>
  </si>
  <si>
    <t>Ofar-Inf1-9.17</t>
  </si>
  <si>
    <t>Ofar-Inf1-9.21</t>
  </si>
  <si>
    <t>Ofar-No.1-Eff.1-9.22</t>
  </si>
  <si>
    <t>Ofar-No.1-9.26</t>
  </si>
  <si>
    <t>D-0921</t>
  </si>
  <si>
    <t>I</t>
  </si>
  <si>
    <t>D-0922</t>
  </si>
  <si>
    <t>D-0927</t>
  </si>
  <si>
    <t>Time=4.7</t>
  </si>
  <si>
    <t>Time=5.3</t>
  </si>
  <si>
    <t>Time=6.7</t>
  </si>
  <si>
    <t>T=8.9</t>
  </si>
  <si>
    <t>Samples</t>
  </si>
  <si>
    <t>Group</t>
  </si>
  <si>
    <t>Dark</t>
  </si>
  <si>
    <t>IR</t>
  </si>
  <si>
    <t>Light</t>
  </si>
  <si>
    <t>Effluent</t>
  </si>
  <si>
    <t>Influent</t>
  </si>
  <si>
    <t>Ion</t>
  </si>
  <si>
    <t>HCO3-</t>
  </si>
  <si>
    <t>NO2-</t>
  </si>
  <si>
    <t>Values</t>
  </si>
  <si>
    <t>NO3-</t>
  </si>
  <si>
    <t>Flow</t>
  </si>
  <si>
    <t>Time</t>
  </si>
  <si>
    <t>DarkEffluentNO2-</t>
  </si>
  <si>
    <t>IREffluentNO2-</t>
  </si>
  <si>
    <t>DarkInfluentNO2-</t>
  </si>
  <si>
    <t>IRInfluentNO2-</t>
  </si>
  <si>
    <t>DarkEffluentNO3-</t>
  </si>
  <si>
    <t>IREffluentNO3-</t>
  </si>
  <si>
    <t>DarkInfluentNO3-</t>
  </si>
  <si>
    <t>IRInfluentNO3-</t>
  </si>
  <si>
    <t>NH4</t>
  </si>
  <si>
    <t>NH4+</t>
  </si>
  <si>
    <t>Raw</t>
  </si>
  <si>
    <t>NO2</t>
  </si>
  <si>
    <t>NO3</t>
  </si>
  <si>
    <t>NH4.raw</t>
  </si>
  <si>
    <t>TIN</t>
  </si>
  <si>
    <t>Average Calculation</t>
  </si>
  <si>
    <t>IR Removal</t>
  </si>
  <si>
    <t>Dark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</si>
</sst>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&quot;  &quot;"/>
  </numFmts>
  <fonts count="9" x14ac:knownFonts="1">
    <font>
      <sz val="12"/>
      <color theme="1"/>
      <name val="Calibri"/>
      <family val="2"/>
      <scheme val="minor"/>
    </font>
    <font>
      <sz val="8"/>
      <name val="Arial"/>
      <family val="2"/>
    </font>
    <font>
      <sz val="8"/>
      <color theme="1" tint="0.499984740745262"/>
      <name val="Arial"/>
      <family val="2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center" vertical="center"/>
    </xf>
    <xf numFmtId="0" fontId="8" fillId="0" borderId="0" xfId="0" applyFont="1"/>
    <xf numFmtId="0" fontId="0" fillId="0" borderId="0" xfId="0" applyFont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0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0" borderId="0" xfId="0" applyFill="1" applyBorder="1"/>
    <xf numFmtId="0" fontId="0" fillId="0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A11B0-4BAE-C844-817E-D8AD9A39718A}">
  <sheetPr filterMode="1"/>
  <dimension ref="A1:G163"/>
  <sheetViews>
    <sheetView zoomScale="135" zoomScaleNormal="135" workbookViewId="0">
      <selection activeCell="G66" sqref="G66"/>
    </sheetView>
  </sheetViews>
  <sheetFormatPr baseColWidth="10" defaultRowHeight="16" x14ac:dyDescent="0.2"/>
  <sheetData>
    <row r="1" spans="1:7" x14ac:dyDescent="0.2">
      <c r="A1" s="11" t="s">
        <v>76</v>
      </c>
      <c r="B1" s="11" t="s">
        <v>89</v>
      </c>
      <c r="C1" s="11" t="s">
        <v>86</v>
      </c>
      <c r="D1" s="11" t="s">
        <v>80</v>
      </c>
      <c r="E1" s="11" t="s">
        <v>88</v>
      </c>
      <c r="F1" s="11" t="s">
        <v>83</v>
      </c>
      <c r="G1" s="11" t="s">
        <v>77</v>
      </c>
    </row>
    <row r="2" spans="1:7" hidden="1" x14ac:dyDescent="0.2">
      <c r="A2" s="3" t="s">
        <v>20</v>
      </c>
      <c r="B2" s="3">
        <v>0</v>
      </c>
      <c r="C2" s="4">
        <v>0.19284123533788855</v>
      </c>
      <c r="D2" t="s">
        <v>78</v>
      </c>
      <c r="E2" t="s">
        <v>81</v>
      </c>
      <c r="F2" t="s">
        <v>84</v>
      </c>
      <c r="G2" t="str">
        <f>_xlfn.CONCAT(D2,E2,F2)</f>
        <v>DarkEffluentHCO3-</v>
      </c>
    </row>
    <row r="3" spans="1:7" hidden="1" x14ac:dyDescent="0.2">
      <c r="A3" s="3" t="s">
        <v>15</v>
      </c>
      <c r="B3" s="3">
        <v>0</v>
      </c>
      <c r="C3" s="4">
        <v>0.210972179799362</v>
      </c>
      <c r="D3" t="s">
        <v>79</v>
      </c>
      <c r="E3" t="s">
        <v>81</v>
      </c>
      <c r="F3" t="s">
        <v>84</v>
      </c>
      <c r="G3" t="str">
        <f t="shared" ref="G3:G66" si="0">_xlfn.CONCAT(D3,E3,F3)</f>
        <v>IREffluentHCO3-</v>
      </c>
    </row>
    <row r="4" spans="1:7" hidden="1" x14ac:dyDescent="0.2">
      <c r="A4" s="3" t="s">
        <v>21</v>
      </c>
      <c r="B4" s="3">
        <v>3</v>
      </c>
      <c r="C4" s="4">
        <v>0.19126427504989962</v>
      </c>
      <c r="D4" t="s">
        <v>78</v>
      </c>
      <c r="E4" t="s">
        <v>81</v>
      </c>
      <c r="F4" t="s">
        <v>84</v>
      </c>
      <c r="G4" t="str">
        <f t="shared" si="0"/>
        <v>DarkEffluentHCO3-</v>
      </c>
    </row>
    <row r="5" spans="1:7" hidden="1" x14ac:dyDescent="0.2">
      <c r="A5" s="3" t="s">
        <v>15</v>
      </c>
      <c r="B5" s="3">
        <v>3</v>
      </c>
      <c r="C5" s="4">
        <v>0.2200366550387598</v>
      </c>
      <c r="D5" t="s">
        <v>79</v>
      </c>
      <c r="E5" t="s">
        <v>81</v>
      </c>
      <c r="F5" t="s">
        <v>84</v>
      </c>
      <c r="G5" t="str">
        <f t="shared" si="0"/>
        <v>IREffluentHCO3-</v>
      </c>
    </row>
    <row r="6" spans="1:7" hidden="1" x14ac:dyDescent="0.2">
      <c r="A6" s="3" t="s">
        <v>22</v>
      </c>
      <c r="B6" s="3">
        <v>3</v>
      </c>
      <c r="C6" s="4">
        <v>0.21444839507748181</v>
      </c>
      <c r="D6" t="s">
        <v>78</v>
      </c>
      <c r="E6" t="s">
        <v>81</v>
      </c>
      <c r="F6" t="s">
        <v>84</v>
      </c>
      <c r="G6" t="str">
        <f t="shared" si="0"/>
        <v>DarkEffluentHCO3-</v>
      </c>
    </row>
    <row r="7" spans="1:7" hidden="1" x14ac:dyDescent="0.2">
      <c r="A7" s="3" t="s">
        <v>15</v>
      </c>
      <c r="B7" s="3">
        <v>3</v>
      </c>
      <c r="C7" s="4">
        <v>0.22897259605563125</v>
      </c>
      <c r="D7" t="s">
        <v>79</v>
      </c>
      <c r="E7" t="s">
        <v>81</v>
      </c>
      <c r="F7" t="s">
        <v>84</v>
      </c>
      <c r="G7" t="str">
        <f t="shared" si="0"/>
        <v>IREffluentHCO3-</v>
      </c>
    </row>
    <row r="8" spans="1:7" hidden="1" x14ac:dyDescent="0.2">
      <c r="A8" s="3" t="s">
        <v>23</v>
      </c>
      <c r="B8" s="3">
        <v>7</v>
      </c>
      <c r="C8" s="4">
        <v>0.14948019015047875</v>
      </c>
      <c r="D8" t="s">
        <v>78</v>
      </c>
      <c r="E8" t="s">
        <v>81</v>
      </c>
      <c r="F8" t="s">
        <v>84</v>
      </c>
      <c r="G8" t="str">
        <f t="shared" si="0"/>
        <v>DarkEffluentHCO3-</v>
      </c>
    </row>
    <row r="9" spans="1:7" hidden="1" x14ac:dyDescent="0.2">
      <c r="A9" s="3" t="s">
        <v>24</v>
      </c>
      <c r="B9" s="3">
        <v>7</v>
      </c>
      <c r="C9" s="4">
        <v>0.11432975476190488</v>
      </c>
      <c r="D9" t="s">
        <v>79</v>
      </c>
      <c r="E9" t="s">
        <v>81</v>
      </c>
      <c r="F9" t="s">
        <v>84</v>
      </c>
      <c r="G9" t="str">
        <f t="shared" si="0"/>
        <v>IREffluentHCO3-</v>
      </c>
    </row>
    <row r="10" spans="1:7" hidden="1" x14ac:dyDescent="0.2">
      <c r="A10" s="5" t="s">
        <v>25</v>
      </c>
      <c r="B10" s="5">
        <v>8</v>
      </c>
      <c r="C10" s="6">
        <v>0.15474418176014582</v>
      </c>
      <c r="D10" t="s">
        <v>78</v>
      </c>
      <c r="E10" t="s">
        <v>81</v>
      </c>
      <c r="F10" t="s">
        <v>84</v>
      </c>
      <c r="G10" t="str">
        <f t="shared" si="0"/>
        <v>DarkEffluentHCO3-</v>
      </c>
    </row>
    <row r="11" spans="1:7" hidden="1" x14ac:dyDescent="0.2">
      <c r="A11" s="5" t="s">
        <v>24</v>
      </c>
      <c r="B11" s="5">
        <v>8</v>
      </c>
      <c r="C11" s="6">
        <v>0.14826640853269524</v>
      </c>
      <c r="D11" t="s">
        <v>79</v>
      </c>
      <c r="E11" t="s">
        <v>81</v>
      </c>
      <c r="F11" t="s">
        <v>84</v>
      </c>
      <c r="G11" t="str">
        <f t="shared" si="0"/>
        <v>IREffluentHCO3-</v>
      </c>
    </row>
    <row r="12" spans="1:7" hidden="1" x14ac:dyDescent="0.2">
      <c r="A12" s="5" t="s">
        <v>26</v>
      </c>
      <c r="B12" s="5">
        <v>9</v>
      </c>
      <c r="C12" s="6">
        <v>0.16334048563611492</v>
      </c>
      <c r="D12" t="s">
        <v>78</v>
      </c>
      <c r="E12" t="s">
        <v>81</v>
      </c>
      <c r="F12" t="s">
        <v>84</v>
      </c>
      <c r="G12" t="str">
        <f t="shared" si="0"/>
        <v>DarkEffluentHCO3-</v>
      </c>
    </row>
    <row r="13" spans="1:7" hidden="1" x14ac:dyDescent="0.2">
      <c r="A13" s="5" t="s">
        <v>24</v>
      </c>
      <c r="B13" s="5">
        <v>9</v>
      </c>
      <c r="C13" s="6">
        <v>0.16337994146156132</v>
      </c>
      <c r="D13" t="s">
        <v>79</v>
      </c>
      <c r="E13" t="s">
        <v>81</v>
      </c>
      <c r="F13" t="s">
        <v>84</v>
      </c>
      <c r="G13" t="str">
        <f t="shared" si="0"/>
        <v>IREffluentHCO3-</v>
      </c>
    </row>
    <row r="14" spans="1:7" hidden="1" x14ac:dyDescent="0.2">
      <c r="A14" s="5" t="s">
        <v>27</v>
      </c>
      <c r="B14" s="5">
        <v>14</v>
      </c>
      <c r="C14" s="6">
        <v>0.1618774171302626</v>
      </c>
      <c r="D14" t="s">
        <v>78</v>
      </c>
      <c r="E14" t="s">
        <v>81</v>
      </c>
      <c r="F14" t="s">
        <v>84</v>
      </c>
      <c r="G14" t="str">
        <f t="shared" si="0"/>
        <v>DarkEffluentHCO3-</v>
      </c>
    </row>
    <row r="15" spans="1:7" hidden="1" x14ac:dyDescent="0.2">
      <c r="A15" s="5" t="s">
        <v>24</v>
      </c>
      <c r="B15" s="5">
        <v>14</v>
      </c>
      <c r="C15" s="6">
        <v>0.15112081010193346</v>
      </c>
      <c r="D15" t="s">
        <v>79</v>
      </c>
      <c r="E15" t="s">
        <v>81</v>
      </c>
      <c r="F15" t="s">
        <v>84</v>
      </c>
      <c r="G15" t="str">
        <f t="shared" si="0"/>
        <v>IREffluentHCO3-</v>
      </c>
    </row>
    <row r="16" spans="1:7" hidden="1" x14ac:dyDescent="0.2">
      <c r="A16" s="5" t="s">
        <v>28</v>
      </c>
      <c r="B16" s="5">
        <v>23</v>
      </c>
      <c r="C16" s="6">
        <v>0.15047378442872383</v>
      </c>
      <c r="D16" t="s">
        <v>78</v>
      </c>
      <c r="E16" t="s">
        <v>81</v>
      </c>
      <c r="F16" t="s">
        <v>84</v>
      </c>
      <c r="G16" t="str">
        <f t="shared" si="0"/>
        <v>DarkEffluentHCO3-</v>
      </c>
    </row>
    <row r="17" spans="1:7" hidden="1" x14ac:dyDescent="0.2">
      <c r="A17" s="5" t="s">
        <v>24</v>
      </c>
      <c r="B17" s="5">
        <v>23</v>
      </c>
      <c r="C17" s="6">
        <v>0.14268049546836958</v>
      </c>
      <c r="D17" t="s">
        <v>79</v>
      </c>
      <c r="E17" t="s">
        <v>81</v>
      </c>
      <c r="F17" t="s">
        <v>84</v>
      </c>
      <c r="G17" t="str">
        <f t="shared" si="0"/>
        <v>IREffluentHCO3-</v>
      </c>
    </row>
    <row r="18" spans="1:7" hidden="1" x14ac:dyDescent="0.2">
      <c r="A18" s="5" t="s">
        <v>29</v>
      </c>
      <c r="B18" s="5">
        <v>27</v>
      </c>
      <c r="C18" s="6">
        <v>0.1471340008378208</v>
      </c>
      <c r="D18" t="s">
        <v>78</v>
      </c>
      <c r="E18" t="s">
        <v>81</v>
      </c>
      <c r="F18" t="s">
        <v>84</v>
      </c>
      <c r="G18" t="str">
        <f t="shared" si="0"/>
        <v>DarkEffluentHCO3-</v>
      </c>
    </row>
    <row r="19" spans="1:7" hidden="1" x14ac:dyDescent="0.2">
      <c r="A19" s="5" t="s">
        <v>24</v>
      </c>
      <c r="B19" s="5">
        <v>27</v>
      </c>
      <c r="C19" s="6">
        <v>0.14698063343343448</v>
      </c>
      <c r="D19" t="s">
        <v>79</v>
      </c>
      <c r="E19" t="s">
        <v>81</v>
      </c>
      <c r="F19" t="s">
        <v>84</v>
      </c>
      <c r="G19" t="str">
        <f t="shared" si="0"/>
        <v>IREffluentHCO3-</v>
      </c>
    </row>
    <row r="20" spans="1:7" hidden="1" x14ac:dyDescent="0.2">
      <c r="A20" s="7" t="s">
        <v>30</v>
      </c>
      <c r="B20" s="7">
        <v>28</v>
      </c>
      <c r="C20" s="8">
        <v>0.14202833992548758</v>
      </c>
      <c r="D20" t="s">
        <v>78</v>
      </c>
      <c r="E20" t="s">
        <v>81</v>
      </c>
      <c r="F20" t="s">
        <v>84</v>
      </c>
      <c r="G20" t="str">
        <f t="shared" si="0"/>
        <v>DarkEffluentHCO3-</v>
      </c>
    </row>
    <row r="21" spans="1:7" hidden="1" x14ac:dyDescent="0.2">
      <c r="A21" s="7" t="s">
        <v>24</v>
      </c>
      <c r="B21" s="7">
        <v>28</v>
      </c>
      <c r="C21" s="8">
        <v>0.14584125082153987</v>
      </c>
      <c r="D21" t="s">
        <v>79</v>
      </c>
      <c r="E21" t="s">
        <v>81</v>
      </c>
      <c r="F21" t="s">
        <v>84</v>
      </c>
      <c r="G21" t="str">
        <f t="shared" si="0"/>
        <v>IREffluentHCO3-</v>
      </c>
    </row>
    <row r="22" spans="1:7" hidden="1" x14ac:dyDescent="0.2">
      <c r="A22" s="5" t="s">
        <v>31</v>
      </c>
      <c r="B22" s="5">
        <v>29</v>
      </c>
      <c r="C22" s="6">
        <v>0.13790668070896173</v>
      </c>
      <c r="D22" t="s">
        <v>78</v>
      </c>
      <c r="E22" t="s">
        <v>81</v>
      </c>
      <c r="F22" t="s">
        <v>84</v>
      </c>
      <c r="G22" t="str">
        <f t="shared" si="0"/>
        <v>DarkEffluentHCO3-</v>
      </c>
    </row>
    <row r="23" spans="1:7" hidden="1" x14ac:dyDescent="0.2">
      <c r="A23" s="5" t="s">
        <v>24</v>
      </c>
      <c r="B23" s="5">
        <v>29</v>
      </c>
      <c r="C23" s="6">
        <v>0.12281322688564544</v>
      </c>
      <c r="D23" t="s">
        <v>79</v>
      </c>
      <c r="E23" t="s">
        <v>81</v>
      </c>
      <c r="F23" t="s">
        <v>84</v>
      </c>
      <c r="G23" t="str">
        <f t="shared" si="0"/>
        <v>IREffluentHCO3-</v>
      </c>
    </row>
    <row r="24" spans="1:7" hidden="1" x14ac:dyDescent="0.2">
      <c r="A24" s="9" t="s">
        <v>55</v>
      </c>
      <c r="B24" s="9">
        <v>50</v>
      </c>
      <c r="C24" s="10">
        <v>0.14929893869102018</v>
      </c>
      <c r="D24" t="s">
        <v>78</v>
      </c>
      <c r="E24" t="s">
        <v>82</v>
      </c>
      <c r="F24" t="s">
        <v>84</v>
      </c>
      <c r="G24" t="str">
        <f t="shared" si="0"/>
        <v>DarkInfluentHCO3-</v>
      </c>
    </row>
    <row r="25" spans="1:7" hidden="1" x14ac:dyDescent="0.2">
      <c r="A25" s="9" t="s">
        <v>52</v>
      </c>
      <c r="B25" s="9">
        <v>50</v>
      </c>
      <c r="C25" s="10">
        <v>0.18848065338983133</v>
      </c>
      <c r="D25" t="s">
        <v>79</v>
      </c>
      <c r="E25" t="s">
        <v>82</v>
      </c>
      <c r="F25" t="s">
        <v>84</v>
      </c>
      <c r="G25" t="str">
        <f t="shared" si="0"/>
        <v>IRInfluentHCO3-</v>
      </c>
    </row>
    <row r="26" spans="1:7" hidden="1" x14ac:dyDescent="0.2">
      <c r="A26" s="9" t="s">
        <v>54</v>
      </c>
      <c r="B26" s="9">
        <v>50</v>
      </c>
      <c r="C26" s="10">
        <v>0.13667227199636001</v>
      </c>
      <c r="D26" t="s">
        <v>78</v>
      </c>
      <c r="E26" t="s">
        <v>81</v>
      </c>
      <c r="F26" t="s">
        <v>84</v>
      </c>
      <c r="G26" t="str">
        <f t="shared" si="0"/>
        <v>DarkEffluentHCO3-</v>
      </c>
    </row>
    <row r="27" spans="1:7" hidden="1" x14ac:dyDescent="0.2">
      <c r="A27" s="9" t="s">
        <v>35</v>
      </c>
      <c r="B27" s="9">
        <v>50</v>
      </c>
      <c r="C27" s="10">
        <v>0.12541657221554603</v>
      </c>
      <c r="D27" t="s">
        <v>79</v>
      </c>
      <c r="E27" t="s">
        <v>81</v>
      </c>
      <c r="F27" t="s">
        <v>84</v>
      </c>
      <c r="G27" t="str">
        <f t="shared" si="0"/>
        <v>IREffluentHCO3-</v>
      </c>
    </row>
    <row r="28" spans="1:7" hidden="1" x14ac:dyDescent="0.2">
      <c r="A28" s="9" t="s">
        <v>56</v>
      </c>
      <c r="B28" s="9">
        <v>52</v>
      </c>
      <c r="C28" s="10">
        <v>0.14400787557275074</v>
      </c>
      <c r="D28" t="s">
        <v>78</v>
      </c>
      <c r="E28" t="s">
        <v>82</v>
      </c>
      <c r="F28" t="s">
        <v>84</v>
      </c>
      <c r="G28" t="str">
        <f t="shared" si="0"/>
        <v>DarkInfluentHCO3-</v>
      </c>
    </row>
    <row r="29" spans="1:7" hidden="1" x14ac:dyDescent="0.2">
      <c r="A29" s="9" t="s">
        <v>52</v>
      </c>
      <c r="B29" s="9">
        <v>52</v>
      </c>
      <c r="C29" s="10">
        <v>0.14565297681772371</v>
      </c>
      <c r="D29" t="s">
        <v>79</v>
      </c>
      <c r="E29" t="s">
        <v>82</v>
      </c>
      <c r="F29" t="s">
        <v>84</v>
      </c>
      <c r="G29" t="str">
        <f t="shared" si="0"/>
        <v>IRInfluentHCO3-</v>
      </c>
    </row>
    <row r="30" spans="1:7" hidden="1" x14ac:dyDescent="0.2">
      <c r="A30" s="9" t="s">
        <v>54</v>
      </c>
      <c r="B30" s="9">
        <v>52</v>
      </c>
      <c r="C30" s="10">
        <v>0.13290814187528444</v>
      </c>
      <c r="D30" t="s">
        <v>78</v>
      </c>
      <c r="E30" t="s">
        <v>81</v>
      </c>
      <c r="F30" t="s">
        <v>84</v>
      </c>
      <c r="G30" t="str">
        <f t="shared" si="0"/>
        <v>DarkEffluentHCO3-</v>
      </c>
    </row>
    <row r="31" spans="1:7" hidden="1" x14ac:dyDescent="0.2">
      <c r="A31" s="9" t="s">
        <v>35</v>
      </c>
      <c r="B31" s="9">
        <v>52</v>
      </c>
      <c r="C31" s="10">
        <v>0.12131760957213955</v>
      </c>
      <c r="D31" t="s">
        <v>79</v>
      </c>
      <c r="E31" t="s">
        <v>81</v>
      </c>
      <c r="F31" t="s">
        <v>84</v>
      </c>
      <c r="G31" t="str">
        <f t="shared" si="0"/>
        <v>IREffluentHCO3-</v>
      </c>
    </row>
    <row r="32" spans="1:7" hidden="1" x14ac:dyDescent="0.2">
      <c r="A32" s="9" t="s">
        <v>57</v>
      </c>
      <c r="B32" s="9">
        <v>59</v>
      </c>
      <c r="C32" s="10">
        <v>0.16292190739896872</v>
      </c>
      <c r="D32" t="s">
        <v>78</v>
      </c>
      <c r="E32" t="s">
        <v>82</v>
      </c>
      <c r="F32" t="s">
        <v>84</v>
      </c>
      <c r="G32" t="str">
        <f t="shared" si="0"/>
        <v>DarkInfluentHCO3-</v>
      </c>
    </row>
    <row r="33" spans="1:7" hidden="1" x14ac:dyDescent="0.2">
      <c r="A33" s="9" t="s">
        <v>52</v>
      </c>
      <c r="B33" s="9">
        <v>59</v>
      </c>
      <c r="C33" s="10">
        <v>0.16563868941846516</v>
      </c>
      <c r="D33" t="s">
        <v>79</v>
      </c>
      <c r="E33" t="s">
        <v>82</v>
      </c>
      <c r="F33" t="s">
        <v>84</v>
      </c>
      <c r="G33" t="str">
        <f t="shared" si="0"/>
        <v>IRInfluentHCO3-</v>
      </c>
    </row>
    <row r="34" spans="1:7" hidden="1" x14ac:dyDescent="0.2">
      <c r="A34" s="9" t="s">
        <v>54</v>
      </c>
      <c r="B34" s="9">
        <v>59</v>
      </c>
      <c r="C34" s="10">
        <v>0.14855734963553502</v>
      </c>
      <c r="D34" t="s">
        <v>78</v>
      </c>
      <c r="E34" t="s">
        <v>81</v>
      </c>
      <c r="F34" t="s">
        <v>84</v>
      </c>
      <c r="G34" t="str">
        <f t="shared" si="0"/>
        <v>DarkEffluentHCO3-</v>
      </c>
    </row>
    <row r="35" spans="1:7" hidden="1" x14ac:dyDescent="0.2">
      <c r="A35" s="9" t="s">
        <v>35</v>
      </c>
      <c r="B35" s="9">
        <v>59</v>
      </c>
      <c r="C35" s="10">
        <v>0.12177053360199142</v>
      </c>
      <c r="D35" t="s">
        <v>79</v>
      </c>
      <c r="E35" t="s">
        <v>81</v>
      </c>
      <c r="F35" t="s">
        <v>84</v>
      </c>
      <c r="G35" t="str">
        <f t="shared" si="0"/>
        <v>IREffluentHCO3-</v>
      </c>
    </row>
    <row r="36" spans="1:7" hidden="1" x14ac:dyDescent="0.2">
      <c r="A36" s="9" t="s">
        <v>58</v>
      </c>
      <c r="B36" s="9">
        <v>62</v>
      </c>
      <c r="C36" s="10">
        <v>0.16461740813829007</v>
      </c>
      <c r="D36" t="s">
        <v>78</v>
      </c>
      <c r="E36" t="s">
        <v>82</v>
      </c>
      <c r="F36" t="s">
        <v>84</v>
      </c>
      <c r="G36" t="str">
        <f t="shared" si="0"/>
        <v>DarkInfluentHCO3-</v>
      </c>
    </row>
    <row r="37" spans="1:7" hidden="1" x14ac:dyDescent="0.2">
      <c r="A37" s="9" t="s">
        <v>52</v>
      </c>
      <c r="B37" s="9">
        <v>62</v>
      </c>
      <c r="C37" s="10">
        <v>0.14714206712356037</v>
      </c>
      <c r="D37" t="s">
        <v>79</v>
      </c>
      <c r="E37" t="s">
        <v>82</v>
      </c>
      <c r="F37" t="s">
        <v>84</v>
      </c>
      <c r="G37" t="str">
        <f t="shared" si="0"/>
        <v>IRInfluentHCO3-</v>
      </c>
    </row>
    <row r="38" spans="1:7" hidden="1" x14ac:dyDescent="0.2">
      <c r="A38" s="9" t="s">
        <v>54</v>
      </c>
      <c r="B38" s="9">
        <v>62</v>
      </c>
      <c r="C38" s="10">
        <v>0.13668818211091405</v>
      </c>
      <c r="D38" t="s">
        <v>78</v>
      </c>
      <c r="E38" t="s">
        <v>81</v>
      </c>
      <c r="F38" t="s">
        <v>84</v>
      </c>
      <c r="G38" t="str">
        <f t="shared" si="0"/>
        <v>DarkEffluentHCO3-</v>
      </c>
    </row>
    <row r="39" spans="1:7" hidden="1" x14ac:dyDescent="0.2">
      <c r="A39" s="9" t="s">
        <v>35</v>
      </c>
      <c r="B39" s="9">
        <v>62</v>
      </c>
      <c r="C39" s="10">
        <v>0.12058854025423527</v>
      </c>
      <c r="D39" t="s">
        <v>79</v>
      </c>
      <c r="E39" t="s">
        <v>81</v>
      </c>
      <c r="F39" t="s">
        <v>84</v>
      </c>
      <c r="G39" t="str">
        <f t="shared" si="0"/>
        <v>IREffluentHCO3-</v>
      </c>
    </row>
    <row r="40" spans="1:7" hidden="1" x14ac:dyDescent="0.2">
      <c r="A40" s="9" t="s">
        <v>59</v>
      </c>
      <c r="B40" s="9">
        <v>66</v>
      </c>
      <c r="C40" s="10">
        <v>0.14134901070363637</v>
      </c>
      <c r="D40" t="s">
        <v>78</v>
      </c>
      <c r="E40" t="s">
        <v>82</v>
      </c>
      <c r="F40" t="s">
        <v>84</v>
      </c>
      <c r="G40" t="str">
        <f t="shared" si="0"/>
        <v>DarkInfluentHCO3-</v>
      </c>
    </row>
    <row r="41" spans="1:7" hidden="1" x14ac:dyDescent="0.2">
      <c r="A41" s="9" t="s">
        <v>52</v>
      </c>
      <c r="B41" s="9">
        <v>66</v>
      </c>
      <c r="C41" s="10">
        <v>0.14884635371046318</v>
      </c>
      <c r="D41" t="s">
        <v>79</v>
      </c>
      <c r="E41" t="s">
        <v>82</v>
      </c>
      <c r="F41" t="s">
        <v>84</v>
      </c>
      <c r="G41" t="str">
        <f t="shared" si="0"/>
        <v>IRInfluentHCO3-</v>
      </c>
    </row>
    <row r="42" spans="1:7" hidden="1" x14ac:dyDescent="0.2">
      <c r="A42" s="9" t="s">
        <v>54</v>
      </c>
      <c r="B42" s="9">
        <v>66</v>
      </c>
      <c r="C42" s="10">
        <v>0.15244547384355833</v>
      </c>
      <c r="D42" t="s">
        <v>78</v>
      </c>
      <c r="E42" t="s">
        <v>81</v>
      </c>
      <c r="F42" t="s">
        <v>84</v>
      </c>
      <c r="G42" t="str">
        <f t="shared" si="0"/>
        <v>DarkEffluentHCO3-</v>
      </c>
    </row>
    <row r="43" spans="1:7" hidden="1" x14ac:dyDescent="0.2">
      <c r="A43" s="9" t="s">
        <v>35</v>
      </c>
      <c r="B43" s="9">
        <v>66</v>
      </c>
      <c r="C43" s="10">
        <v>0.11995185997566904</v>
      </c>
      <c r="D43" t="s">
        <v>79</v>
      </c>
      <c r="E43" t="s">
        <v>81</v>
      </c>
      <c r="F43" t="s">
        <v>84</v>
      </c>
      <c r="G43" t="str">
        <f t="shared" si="0"/>
        <v>IREffluentHCO3-</v>
      </c>
    </row>
    <row r="44" spans="1:7" hidden="1" x14ac:dyDescent="0.2">
      <c r="A44" s="9" t="s">
        <v>60</v>
      </c>
      <c r="B44" s="9">
        <v>70</v>
      </c>
      <c r="C44" s="10">
        <v>0.15970955915717533</v>
      </c>
      <c r="D44" t="s">
        <v>78</v>
      </c>
      <c r="E44" t="s">
        <v>82</v>
      </c>
      <c r="F44" t="s">
        <v>84</v>
      </c>
      <c r="G44" t="str">
        <f t="shared" si="0"/>
        <v>DarkInfluentHCO3-</v>
      </c>
    </row>
    <row r="45" spans="1:7" hidden="1" x14ac:dyDescent="0.2">
      <c r="A45" s="9" t="s">
        <v>52</v>
      </c>
      <c r="B45" s="9">
        <v>70</v>
      </c>
      <c r="C45" s="10">
        <v>0.18344992977818331</v>
      </c>
      <c r="D45" t="s">
        <v>79</v>
      </c>
      <c r="E45" t="s">
        <v>82</v>
      </c>
      <c r="F45" t="s">
        <v>84</v>
      </c>
      <c r="G45" t="str">
        <f t="shared" si="0"/>
        <v>IRInfluentHCO3-</v>
      </c>
    </row>
    <row r="46" spans="1:7" hidden="1" x14ac:dyDescent="0.2">
      <c r="A46" s="9" t="s">
        <v>54</v>
      </c>
      <c r="B46" s="9">
        <v>70</v>
      </c>
      <c r="C46" s="10">
        <v>0.16703765450676422</v>
      </c>
      <c r="D46" t="s">
        <v>78</v>
      </c>
      <c r="E46" t="s">
        <v>81</v>
      </c>
      <c r="F46" t="s">
        <v>84</v>
      </c>
      <c r="G46" t="str">
        <f t="shared" si="0"/>
        <v>DarkEffluentHCO3-</v>
      </c>
    </row>
    <row r="47" spans="1:7" hidden="1" x14ac:dyDescent="0.2">
      <c r="A47" s="9" t="s">
        <v>35</v>
      </c>
      <c r="B47" s="9">
        <v>70</v>
      </c>
      <c r="C47" s="10">
        <v>0.1155088244874718</v>
      </c>
      <c r="D47" t="s">
        <v>79</v>
      </c>
      <c r="E47" t="s">
        <v>81</v>
      </c>
      <c r="F47" t="s">
        <v>84</v>
      </c>
      <c r="G47" t="str">
        <f t="shared" si="0"/>
        <v>IREffluentHCO3-</v>
      </c>
    </row>
    <row r="48" spans="1:7" hidden="1" x14ac:dyDescent="0.2">
      <c r="A48" s="9" t="s">
        <v>61</v>
      </c>
      <c r="B48" s="9">
        <v>74</v>
      </c>
      <c r="C48" s="10">
        <v>0.10832775354755286</v>
      </c>
      <c r="D48" t="s">
        <v>78</v>
      </c>
      <c r="E48" t="s">
        <v>82</v>
      </c>
      <c r="F48" t="s">
        <v>84</v>
      </c>
      <c r="G48" t="str">
        <f t="shared" si="0"/>
        <v>DarkInfluentHCO3-</v>
      </c>
    </row>
    <row r="49" spans="1:7" hidden="1" x14ac:dyDescent="0.2">
      <c r="A49" s="9" t="s">
        <v>52</v>
      </c>
      <c r="B49" s="9">
        <v>74</v>
      </c>
      <c r="C49" s="10">
        <v>0.10614806990424142</v>
      </c>
      <c r="D49" t="s">
        <v>79</v>
      </c>
      <c r="E49" t="s">
        <v>82</v>
      </c>
      <c r="F49" t="s">
        <v>84</v>
      </c>
      <c r="G49" t="str">
        <f t="shared" si="0"/>
        <v>IRInfluentHCO3-</v>
      </c>
    </row>
    <row r="50" spans="1:7" hidden="1" x14ac:dyDescent="0.2">
      <c r="A50" s="9" t="s">
        <v>54</v>
      </c>
      <c r="B50" s="9">
        <v>74</v>
      </c>
      <c r="C50" s="10">
        <v>0.13072075470947975</v>
      </c>
      <c r="D50" t="s">
        <v>78</v>
      </c>
      <c r="E50" t="s">
        <v>81</v>
      </c>
      <c r="F50" t="s">
        <v>84</v>
      </c>
      <c r="G50" t="str">
        <f t="shared" si="0"/>
        <v>DarkEffluentHCO3-</v>
      </c>
    </row>
    <row r="51" spans="1:7" hidden="1" x14ac:dyDescent="0.2">
      <c r="A51" s="9" t="s">
        <v>35</v>
      </c>
      <c r="B51" s="9">
        <v>74</v>
      </c>
      <c r="C51" s="10">
        <v>9.9383598269791262E-2</v>
      </c>
      <c r="D51" t="s">
        <v>79</v>
      </c>
      <c r="E51" t="s">
        <v>81</v>
      </c>
      <c r="F51" t="s">
        <v>84</v>
      </c>
      <c r="G51" t="str">
        <f t="shared" si="0"/>
        <v>IREffluentHCO3-</v>
      </c>
    </row>
    <row r="52" spans="1:7" hidden="1" x14ac:dyDescent="0.2">
      <c r="A52" s="9" t="s">
        <v>62</v>
      </c>
      <c r="B52" s="9">
        <v>81</v>
      </c>
      <c r="C52" s="10">
        <v>0.10918231024760749</v>
      </c>
      <c r="D52" t="s">
        <v>78</v>
      </c>
      <c r="E52" t="s">
        <v>82</v>
      </c>
      <c r="F52" t="s">
        <v>84</v>
      </c>
      <c r="G52" t="str">
        <f t="shared" si="0"/>
        <v>DarkInfluentHCO3-</v>
      </c>
    </row>
    <row r="53" spans="1:7" hidden="1" x14ac:dyDescent="0.2">
      <c r="A53" s="9" t="s">
        <v>52</v>
      </c>
      <c r="B53" s="9">
        <v>81</v>
      </c>
      <c r="C53" s="10">
        <v>0.14663286902487593</v>
      </c>
      <c r="D53" t="s">
        <v>79</v>
      </c>
      <c r="E53" t="s">
        <v>82</v>
      </c>
      <c r="F53" t="s">
        <v>84</v>
      </c>
      <c r="G53" t="str">
        <f t="shared" si="0"/>
        <v>IRInfluentHCO3-</v>
      </c>
    </row>
    <row r="54" spans="1:7" hidden="1" x14ac:dyDescent="0.2">
      <c r="A54" s="9" t="s">
        <v>54</v>
      </c>
      <c r="B54" s="9">
        <v>81</v>
      </c>
      <c r="C54" s="10">
        <v>0.12880671322941484</v>
      </c>
      <c r="D54" t="s">
        <v>78</v>
      </c>
      <c r="E54" t="s">
        <v>81</v>
      </c>
      <c r="F54" t="s">
        <v>84</v>
      </c>
      <c r="G54" t="str">
        <f t="shared" si="0"/>
        <v>DarkEffluentHCO3-</v>
      </c>
    </row>
    <row r="55" spans="1:7" hidden="1" x14ac:dyDescent="0.2">
      <c r="A55" s="9" t="s">
        <v>35</v>
      </c>
      <c r="B55" s="9">
        <v>81</v>
      </c>
      <c r="C55" s="10">
        <v>0.13282700227044408</v>
      </c>
      <c r="D55" t="s">
        <v>79</v>
      </c>
      <c r="E55" t="s">
        <v>81</v>
      </c>
      <c r="F55" t="s">
        <v>84</v>
      </c>
      <c r="G55" t="str">
        <f t="shared" si="0"/>
        <v>IREffluentHCO3-</v>
      </c>
    </row>
    <row r="56" spans="1:7" x14ac:dyDescent="0.2">
      <c r="A56" s="3" t="s">
        <v>20</v>
      </c>
      <c r="B56" s="3">
        <v>0</v>
      </c>
      <c r="C56" s="4">
        <v>0.15013409609719197</v>
      </c>
      <c r="D56" t="s">
        <v>78</v>
      </c>
      <c r="E56" t="s">
        <v>81</v>
      </c>
      <c r="F56" t="s">
        <v>85</v>
      </c>
      <c r="G56" t="str">
        <f t="shared" si="0"/>
        <v>DarkEffluentNO2-</v>
      </c>
    </row>
    <row r="57" spans="1:7" x14ac:dyDescent="0.2">
      <c r="A57" s="3" t="s">
        <v>15</v>
      </c>
      <c r="B57" s="3">
        <v>0</v>
      </c>
      <c r="C57" s="4">
        <v>0.13239106668946632</v>
      </c>
      <c r="D57" t="s">
        <v>79</v>
      </c>
      <c r="E57" t="s">
        <v>81</v>
      </c>
      <c r="F57" t="s">
        <v>85</v>
      </c>
      <c r="G57" t="str">
        <f t="shared" si="0"/>
        <v>IREffluentNO2-</v>
      </c>
    </row>
    <row r="58" spans="1:7" x14ac:dyDescent="0.2">
      <c r="A58" s="3" t="s">
        <v>21</v>
      </c>
      <c r="B58" s="3">
        <v>3</v>
      </c>
      <c r="C58" s="4">
        <v>0.11375799550898202</v>
      </c>
      <c r="D58" t="s">
        <v>78</v>
      </c>
      <c r="E58" t="s">
        <v>81</v>
      </c>
      <c r="F58" t="s">
        <v>85</v>
      </c>
      <c r="G58" t="str">
        <f t="shared" si="0"/>
        <v>DarkEffluentNO2-</v>
      </c>
    </row>
    <row r="59" spans="1:7" x14ac:dyDescent="0.2">
      <c r="A59" s="3" t="s">
        <v>15</v>
      </c>
      <c r="B59" s="3">
        <v>3</v>
      </c>
      <c r="C59" s="4">
        <v>4.1799531395348866E-2</v>
      </c>
      <c r="D59" t="s">
        <v>79</v>
      </c>
      <c r="E59" t="s">
        <v>81</v>
      </c>
      <c r="F59" t="s">
        <v>85</v>
      </c>
      <c r="G59" t="str">
        <f t="shared" si="0"/>
        <v>IREffluentNO2-</v>
      </c>
    </row>
    <row r="60" spans="1:7" x14ac:dyDescent="0.2">
      <c r="A60" s="3" t="s">
        <v>22</v>
      </c>
      <c r="B60" s="3">
        <v>3</v>
      </c>
      <c r="C60" s="4">
        <v>9.98903975995135E-3</v>
      </c>
      <c r="D60" t="s">
        <v>78</v>
      </c>
      <c r="E60" t="s">
        <v>81</v>
      </c>
      <c r="F60" t="s">
        <v>85</v>
      </c>
      <c r="G60" t="str">
        <f t="shared" si="0"/>
        <v>DarkEffluentNO2-</v>
      </c>
    </row>
    <row r="61" spans="1:7" x14ac:dyDescent="0.2">
      <c r="A61" s="3" t="s">
        <v>15</v>
      </c>
      <c r="B61" s="3">
        <v>3</v>
      </c>
      <c r="C61" s="4">
        <v>6.1321039922480697E-2</v>
      </c>
      <c r="D61" t="s">
        <v>79</v>
      </c>
      <c r="E61" t="s">
        <v>81</v>
      </c>
      <c r="F61" t="s">
        <v>85</v>
      </c>
      <c r="G61" t="str">
        <f t="shared" si="0"/>
        <v>IREffluentNO2-</v>
      </c>
    </row>
    <row r="62" spans="1:7" x14ac:dyDescent="0.2">
      <c r="A62" s="3" t="s">
        <v>23</v>
      </c>
      <c r="B62" s="3">
        <v>7</v>
      </c>
      <c r="C62" s="4">
        <v>0.4004830462152289</v>
      </c>
      <c r="D62" t="s">
        <v>78</v>
      </c>
      <c r="E62" t="s">
        <v>81</v>
      </c>
      <c r="F62" t="s">
        <v>85</v>
      </c>
      <c r="G62" t="str">
        <f t="shared" si="0"/>
        <v>DarkEffluentNO2-</v>
      </c>
    </row>
    <row r="63" spans="1:7" x14ac:dyDescent="0.2">
      <c r="A63" s="3" t="s">
        <v>24</v>
      </c>
      <c r="B63" s="3">
        <v>7</v>
      </c>
      <c r="C63" s="4">
        <v>0.4481031536375637</v>
      </c>
      <c r="D63" t="s">
        <v>79</v>
      </c>
      <c r="E63" t="s">
        <v>81</v>
      </c>
      <c r="F63" t="s">
        <v>85</v>
      </c>
      <c r="G63" t="str">
        <f t="shared" si="0"/>
        <v>IREffluentNO2-</v>
      </c>
    </row>
    <row r="64" spans="1:7" x14ac:dyDescent="0.2">
      <c r="A64" s="5" t="s">
        <v>25</v>
      </c>
      <c r="B64" s="5">
        <v>8</v>
      </c>
      <c r="C64" s="6">
        <v>0.35258287172822467</v>
      </c>
      <c r="D64" t="s">
        <v>78</v>
      </c>
      <c r="E64" t="s">
        <v>81</v>
      </c>
      <c r="F64" t="s">
        <v>85</v>
      </c>
      <c r="G64" t="str">
        <f t="shared" si="0"/>
        <v>DarkEffluentNO2-</v>
      </c>
    </row>
    <row r="65" spans="1:7" x14ac:dyDescent="0.2">
      <c r="A65" s="5" t="s">
        <v>24</v>
      </c>
      <c r="B65" s="5">
        <v>8</v>
      </c>
      <c r="C65" s="6">
        <v>0.42615956666666577</v>
      </c>
      <c r="D65" t="s">
        <v>79</v>
      </c>
      <c r="E65" t="s">
        <v>81</v>
      </c>
      <c r="F65" t="s">
        <v>85</v>
      </c>
      <c r="G65" t="str">
        <f t="shared" si="0"/>
        <v>IREffluentNO2-</v>
      </c>
    </row>
    <row r="66" spans="1:7" x14ac:dyDescent="0.2">
      <c r="A66" s="5" t="s">
        <v>26</v>
      </c>
      <c r="B66" s="5">
        <v>9</v>
      </c>
      <c r="C66" s="6">
        <v>0.31028248730050223</v>
      </c>
      <c r="D66" t="s">
        <v>78</v>
      </c>
      <c r="E66" t="s">
        <v>81</v>
      </c>
      <c r="F66" t="s">
        <v>85</v>
      </c>
      <c r="G66" t="str">
        <f t="shared" si="0"/>
        <v>DarkEffluentNO2-</v>
      </c>
    </row>
    <row r="67" spans="1:7" x14ac:dyDescent="0.2">
      <c r="A67" s="5" t="s">
        <v>24</v>
      </c>
      <c r="B67" s="5">
        <v>9</v>
      </c>
      <c r="C67" s="6">
        <v>0.38622545185354151</v>
      </c>
      <c r="D67" t="s">
        <v>79</v>
      </c>
      <c r="E67" t="s">
        <v>81</v>
      </c>
      <c r="F67" t="s">
        <v>85</v>
      </c>
      <c r="G67" t="str">
        <f t="shared" ref="G67:G130" si="1">_xlfn.CONCAT(D67,E67,F67)</f>
        <v>IREffluentNO2-</v>
      </c>
    </row>
    <row r="68" spans="1:7" x14ac:dyDescent="0.2">
      <c r="A68" s="5" t="s">
        <v>27</v>
      </c>
      <c r="B68" s="5">
        <v>14</v>
      </c>
      <c r="C68" s="6">
        <v>0.20210072229822085</v>
      </c>
      <c r="D68" t="s">
        <v>78</v>
      </c>
      <c r="E68" t="s">
        <v>81</v>
      </c>
      <c r="F68" t="s">
        <v>85</v>
      </c>
      <c r="G68" t="str">
        <f t="shared" si="1"/>
        <v>DarkEffluentNO2-</v>
      </c>
    </row>
    <row r="69" spans="1:7" x14ac:dyDescent="0.2">
      <c r="A69" s="5" t="s">
        <v>24</v>
      </c>
      <c r="B69" s="5">
        <v>14</v>
      </c>
      <c r="C69" s="6">
        <v>0.39458372364217198</v>
      </c>
      <c r="D69" t="s">
        <v>79</v>
      </c>
      <c r="E69" t="s">
        <v>81</v>
      </c>
      <c r="F69" t="s">
        <v>85</v>
      </c>
      <c r="G69" t="str">
        <f t="shared" si="1"/>
        <v>IREffluentNO2-</v>
      </c>
    </row>
    <row r="70" spans="1:7" x14ac:dyDescent="0.2">
      <c r="A70" s="5" t="s">
        <v>28</v>
      </c>
      <c r="B70" s="5">
        <v>23</v>
      </c>
      <c r="C70" s="6">
        <v>0.29701727535371991</v>
      </c>
      <c r="D70" t="s">
        <v>78</v>
      </c>
      <c r="E70" t="s">
        <v>81</v>
      </c>
      <c r="F70" t="s">
        <v>85</v>
      </c>
      <c r="G70" t="str">
        <f t="shared" si="1"/>
        <v>DarkEffluentNO2-</v>
      </c>
    </row>
    <row r="71" spans="1:7" x14ac:dyDescent="0.2">
      <c r="A71" s="5" t="s">
        <v>24</v>
      </c>
      <c r="B71" s="5">
        <v>23</v>
      </c>
      <c r="C71" s="6">
        <v>0.31399828850365019</v>
      </c>
      <c r="D71" t="s">
        <v>79</v>
      </c>
      <c r="E71" t="s">
        <v>81</v>
      </c>
      <c r="F71" t="s">
        <v>85</v>
      </c>
      <c r="G71" t="str">
        <f t="shared" si="1"/>
        <v>IREffluentNO2-</v>
      </c>
    </row>
    <row r="72" spans="1:7" x14ac:dyDescent="0.2">
      <c r="A72" s="5" t="s">
        <v>29</v>
      </c>
      <c r="B72" s="5">
        <v>27</v>
      </c>
      <c r="C72" s="6">
        <v>0.20915272579293798</v>
      </c>
      <c r="D72" t="s">
        <v>78</v>
      </c>
      <c r="E72" t="s">
        <v>81</v>
      </c>
      <c r="F72" t="s">
        <v>85</v>
      </c>
      <c r="G72" t="str">
        <f t="shared" si="1"/>
        <v>DarkEffluentNO2-</v>
      </c>
    </row>
    <row r="73" spans="1:7" x14ac:dyDescent="0.2">
      <c r="A73" s="5" t="s">
        <v>24</v>
      </c>
      <c r="B73" s="5">
        <v>27</v>
      </c>
      <c r="C73" s="6">
        <v>0.2146017252752751</v>
      </c>
      <c r="D73" t="s">
        <v>79</v>
      </c>
      <c r="E73" t="s">
        <v>81</v>
      </c>
      <c r="F73" t="s">
        <v>85</v>
      </c>
      <c r="G73" t="str">
        <f t="shared" si="1"/>
        <v>IREffluentNO2-</v>
      </c>
    </row>
    <row r="74" spans="1:7" x14ac:dyDescent="0.2">
      <c r="A74" s="7" t="s">
        <v>30</v>
      </c>
      <c r="B74" s="7">
        <v>28</v>
      </c>
      <c r="C74" s="8">
        <v>0.18159534668491562</v>
      </c>
      <c r="D74" t="s">
        <v>78</v>
      </c>
      <c r="E74" t="s">
        <v>81</v>
      </c>
      <c r="F74" t="s">
        <v>85</v>
      </c>
      <c r="G74" t="str">
        <f t="shared" si="1"/>
        <v>DarkEffluentNO2-</v>
      </c>
    </row>
    <row r="75" spans="1:7" x14ac:dyDescent="0.2">
      <c r="A75" s="7" t="s">
        <v>24</v>
      </c>
      <c r="B75" s="7">
        <v>28</v>
      </c>
      <c r="C75" s="8">
        <v>0.1317611121938233</v>
      </c>
      <c r="D75" t="s">
        <v>79</v>
      </c>
      <c r="E75" t="s">
        <v>81</v>
      </c>
      <c r="F75" t="s">
        <v>85</v>
      </c>
      <c r="G75" t="str">
        <f t="shared" si="1"/>
        <v>IREffluentNO2-</v>
      </c>
    </row>
    <row r="76" spans="1:7" x14ac:dyDescent="0.2">
      <c r="A76" s="5" t="s">
        <v>31</v>
      </c>
      <c r="B76" s="5">
        <v>29</v>
      </c>
      <c r="C76" s="6">
        <v>0.1119480295070745</v>
      </c>
      <c r="D76" t="s">
        <v>78</v>
      </c>
      <c r="E76" t="s">
        <v>81</v>
      </c>
      <c r="F76" t="s">
        <v>85</v>
      </c>
      <c r="G76" t="str">
        <f t="shared" si="1"/>
        <v>DarkEffluentNO2-</v>
      </c>
    </row>
    <row r="77" spans="1:7" x14ac:dyDescent="0.2">
      <c r="A77" s="5" t="s">
        <v>24</v>
      </c>
      <c r="B77" s="5">
        <v>29</v>
      </c>
      <c r="C77" s="6">
        <v>0.15820220997566969</v>
      </c>
      <c r="D77" t="s">
        <v>79</v>
      </c>
      <c r="E77" t="s">
        <v>81</v>
      </c>
      <c r="F77" t="s">
        <v>85</v>
      </c>
      <c r="G77" t="str">
        <f t="shared" si="1"/>
        <v>IREffluentNO2-</v>
      </c>
    </row>
    <row r="78" spans="1:7" x14ac:dyDescent="0.2">
      <c r="A78" s="9" t="s">
        <v>55</v>
      </c>
      <c r="B78" s="9">
        <v>50</v>
      </c>
      <c r="C78" s="10">
        <v>1.074201927808222</v>
      </c>
      <c r="D78" t="s">
        <v>78</v>
      </c>
      <c r="E78" t="s">
        <v>82</v>
      </c>
      <c r="F78" t="s">
        <v>85</v>
      </c>
      <c r="G78" t="str">
        <f t="shared" si="1"/>
        <v>DarkInfluentNO2-</v>
      </c>
    </row>
    <row r="79" spans="1:7" x14ac:dyDescent="0.2">
      <c r="A79" s="9" t="s">
        <v>52</v>
      </c>
      <c r="B79" s="9">
        <v>50</v>
      </c>
      <c r="C79" s="10">
        <v>1.4940834879158853</v>
      </c>
      <c r="D79" t="s">
        <v>79</v>
      </c>
      <c r="E79" t="s">
        <v>82</v>
      </c>
      <c r="F79" t="s">
        <v>85</v>
      </c>
      <c r="G79" t="str">
        <f t="shared" si="1"/>
        <v>IRInfluentNO2-</v>
      </c>
    </row>
    <row r="80" spans="1:7" x14ac:dyDescent="0.2">
      <c r="A80" s="9" t="s">
        <v>54</v>
      </c>
      <c r="B80" s="9">
        <v>50</v>
      </c>
      <c r="C80" s="10">
        <v>0.90093806788025899</v>
      </c>
      <c r="D80" t="s">
        <v>78</v>
      </c>
      <c r="E80" t="s">
        <v>81</v>
      </c>
      <c r="F80" t="s">
        <v>85</v>
      </c>
      <c r="G80" t="str">
        <f t="shared" si="1"/>
        <v>DarkEffluentNO2-</v>
      </c>
    </row>
    <row r="81" spans="1:7" x14ac:dyDescent="0.2">
      <c r="A81" s="9" t="s">
        <v>35</v>
      </c>
      <c r="B81" s="9">
        <v>50</v>
      </c>
      <c r="C81" s="10">
        <v>0.81519794278845992</v>
      </c>
      <c r="D81" t="s">
        <v>79</v>
      </c>
      <c r="E81" t="s">
        <v>81</v>
      </c>
      <c r="F81" t="s">
        <v>85</v>
      </c>
      <c r="G81" t="str">
        <f t="shared" si="1"/>
        <v>IREffluentNO2-</v>
      </c>
    </row>
    <row r="82" spans="1:7" x14ac:dyDescent="0.2">
      <c r="A82" s="9" t="s">
        <v>56</v>
      </c>
      <c r="B82" s="9">
        <v>52</v>
      </c>
      <c r="C82" s="10">
        <v>0.98546387131694901</v>
      </c>
      <c r="D82" t="s">
        <v>78</v>
      </c>
      <c r="E82" t="s">
        <v>82</v>
      </c>
      <c r="F82" t="s">
        <v>85</v>
      </c>
      <c r="G82" t="str">
        <f t="shared" si="1"/>
        <v>DarkInfluentNO2-</v>
      </c>
    </row>
    <row r="83" spans="1:7" x14ac:dyDescent="0.2">
      <c r="A83" s="9" t="s">
        <v>52</v>
      </c>
      <c r="B83" s="9">
        <v>52</v>
      </c>
      <c r="C83" s="10">
        <v>1.0813833686002003</v>
      </c>
      <c r="D83" t="s">
        <v>79</v>
      </c>
      <c r="E83" t="s">
        <v>82</v>
      </c>
      <c r="F83" t="s">
        <v>85</v>
      </c>
      <c r="G83" t="str">
        <f t="shared" si="1"/>
        <v>IRInfluentNO2-</v>
      </c>
    </row>
    <row r="84" spans="1:7" x14ac:dyDescent="0.2">
      <c r="A84" s="9" t="s">
        <v>54</v>
      </c>
      <c r="B84" s="9">
        <v>52</v>
      </c>
      <c r="C84" s="10">
        <v>0.77835079506903471</v>
      </c>
      <c r="D84" t="s">
        <v>78</v>
      </c>
      <c r="E84" t="s">
        <v>81</v>
      </c>
      <c r="F84" t="s">
        <v>85</v>
      </c>
      <c r="G84" t="str">
        <f t="shared" si="1"/>
        <v>DarkEffluentNO2-</v>
      </c>
    </row>
    <row r="85" spans="1:7" x14ac:dyDescent="0.2">
      <c r="A85" s="9" t="s">
        <v>35</v>
      </c>
      <c r="B85" s="9">
        <v>52</v>
      </c>
      <c r="C85" s="10">
        <v>0.67509601213930415</v>
      </c>
      <c r="D85" t="s">
        <v>79</v>
      </c>
      <c r="E85" t="s">
        <v>81</v>
      </c>
      <c r="F85" t="s">
        <v>85</v>
      </c>
      <c r="G85" t="str">
        <f t="shared" si="1"/>
        <v>IREffluentNO2-</v>
      </c>
    </row>
    <row r="86" spans="1:7" x14ac:dyDescent="0.2">
      <c r="A86" s="9" t="s">
        <v>57</v>
      </c>
      <c r="B86" s="9">
        <v>59</v>
      </c>
      <c r="C86" s="10">
        <v>1.2251832399574571</v>
      </c>
      <c r="D86" t="s">
        <v>78</v>
      </c>
      <c r="E86" t="s">
        <v>82</v>
      </c>
      <c r="F86" t="s">
        <v>85</v>
      </c>
      <c r="G86" t="str">
        <f t="shared" si="1"/>
        <v>DarkInfluentNO2-</v>
      </c>
    </row>
    <row r="87" spans="1:7" x14ac:dyDescent="0.2">
      <c r="A87" s="9" t="s">
        <v>52</v>
      </c>
      <c r="B87" s="9">
        <v>59</v>
      </c>
      <c r="C87" s="10">
        <v>1.298462850599521</v>
      </c>
      <c r="D87" t="s">
        <v>79</v>
      </c>
      <c r="E87" t="s">
        <v>82</v>
      </c>
      <c r="F87" t="s">
        <v>85</v>
      </c>
      <c r="G87" t="str">
        <f t="shared" si="1"/>
        <v>IRInfluentNO2-</v>
      </c>
    </row>
    <row r="88" spans="1:7" x14ac:dyDescent="0.2">
      <c r="A88" s="9" t="s">
        <v>54</v>
      </c>
      <c r="B88" s="9">
        <v>59</v>
      </c>
      <c r="C88" s="10">
        <v>0.91743379398633285</v>
      </c>
      <c r="D88" t="s">
        <v>78</v>
      </c>
      <c r="E88" t="s">
        <v>81</v>
      </c>
      <c r="F88" t="s">
        <v>85</v>
      </c>
      <c r="G88" t="str">
        <f t="shared" si="1"/>
        <v>DarkEffluentNO2-</v>
      </c>
    </row>
    <row r="89" spans="1:7" x14ac:dyDescent="0.2">
      <c r="A89" s="9" t="s">
        <v>35</v>
      </c>
      <c r="B89" s="9">
        <v>59</v>
      </c>
      <c r="C89" s="10">
        <v>0.85081301741293691</v>
      </c>
      <c r="D89" t="s">
        <v>79</v>
      </c>
      <c r="E89" t="s">
        <v>81</v>
      </c>
      <c r="F89" t="s">
        <v>85</v>
      </c>
      <c r="G89" t="str">
        <f t="shared" si="1"/>
        <v>IREffluentNO2-</v>
      </c>
    </row>
    <row r="90" spans="1:7" x14ac:dyDescent="0.2">
      <c r="A90" s="9" t="s">
        <v>58</v>
      </c>
      <c r="B90" s="9">
        <v>62</v>
      </c>
      <c r="C90" s="10">
        <v>1.0665856150910187</v>
      </c>
      <c r="D90" t="s">
        <v>78</v>
      </c>
      <c r="E90" t="s">
        <v>82</v>
      </c>
      <c r="F90" t="s">
        <v>85</v>
      </c>
      <c r="G90" t="str">
        <f t="shared" si="1"/>
        <v>DarkInfluentNO2-</v>
      </c>
    </row>
    <row r="91" spans="1:7" x14ac:dyDescent="0.2">
      <c r="A91" s="9" t="s">
        <v>52</v>
      </c>
      <c r="B91" s="9">
        <v>62</v>
      </c>
      <c r="C91" s="10">
        <v>1.1159655426400497</v>
      </c>
      <c r="D91" t="s">
        <v>79</v>
      </c>
      <c r="E91" t="s">
        <v>82</v>
      </c>
      <c r="F91" t="s">
        <v>85</v>
      </c>
      <c r="G91" t="str">
        <f t="shared" si="1"/>
        <v>IRInfluentNO2-</v>
      </c>
    </row>
    <row r="92" spans="1:7" x14ac:dyDescent="0.2">
      <c r="A92" s="9" t="s">
        <v>54</v>
      </c>
      <c r="B92" s="9">
        <v>62</v>
      </c>
      <c r="C92" s="10">
        <v>0.89424357499503038</v>
      </c>
      <c r="D92" t="s">
        <v>78</v>
      </c>
      <c r="E92" t="s">
        <v>81</v>
      </c>
      <c r="F92" t="s">
        <v>85</v>
      </c>
      <c r="G92" t="str">
        <f t="shared" si="1"/>
        <v>DarkEffluentNO2-</v>
      </c>
    </row>
    <row r="93" spans="1:7" x14ac:dyDescent="0.2">
      <c r="A93" s="9" t="s">
        <v>35</v>
      </c>
      <c r="B93" s="9">
        <v>62</v>
      </c>
      <c r="C93" s="10">
        <v>0.86243779245359131</v>
      </c>
      <c r="D93" t="s">
        <v>79</v>
      </c>
      <c r="E93" t="s">
        <v>81</v>
      </c>
      <c r="F93" t="s">
        <v>85</v>
      </c>
      <c r="G93" t="str">
        <f t="shared" si="1"/>
        <v>IREffluentNO2-</v>
      </c>
    </row>
    <row r="94" spans="1:7" x14ac:dyDescent="0.2">
      <c r="A94" s="9" t="s">
        <v>59</v>
      </c>
      <c r="B94" s="9">
        <v>66</v>
      </c>
      <c r="C94" s="10">
        <v>1.1087418256708403</v>
      </c>
      <c r="D94" t="s">
        <v>78</v>
      </c>
      <c r="E94" t="s">
        <v>82</v>
      </c>
      <c r="F94" t="s">
        <v>85</v>
      </c>
      <c r="G94" t="str">
        <f t="shared" si="1"/>
        <v>DarkInfluentNO2-</v>
      </c>
    </row>
    <row r="95" spans="1:7" x14ac:dyDescent="0.2">
      <c r="A95" s="9" t="s">
        <v>52</v>
      </c>
      <c r="B95" s="9">
        <v>66</v>
      </c>
      <c r="C95" s="10">
        <v>1.1173310760340607</v>
      </c>
      <c r="D95" t="s">
        <v>79</v>
      </c>
      <c r="E95" t="s">
        <v>82</v>
      </c>
      <c r="F95" t="s">
        <v>85</v>
      </c>
      <c r="G95" t="str">
        <f t="shared" si="1"/>
        <v>IRInfluentNO2-</v>
      </c>
    </row>
    <row r="96" spans="1:7" x14ac:dyDescent="0.2">
      <c r="A96" s="9" t="s">
        <v>54</v>
      </c>
      <c r="B96" s="9">
        <v>66</v>
      </c>
      <c r="C96" s="10">
        <v>0.86883797915425798</v>
      </c>
      <c r="D96" t="s">
        <v>78</v>
      </c>
      <c r="E96" t="s">
        <v>81</v>
      </c>
      <c r="F96" t="s">
        <v>85</v>
      </c>
      <c r="G96" t="str">
        <f t="shared" si="1"/>
        <v>DarkEffluentNO2-</v>
      </c>
    </row>
    <row r="97" spans="1:7" x14ac:dyDescent="0.2">
      <c r="A97" s="9" t="s">
        <v>35</v>
      </c>
      <c r="B97" s="9">
        <v>66</v>
      </c>
      <c r="C97" s="10">
        <v>0.8784034793187363</v>
      </c>
      <c r="D97" t="s">
        <v>79</v>
      </c>
      <c r="E97" t="s">
        <v>81</v>
      </c>
      <c r="F97" t="s">
        <v>85</v>
      </c>
      <c r="G97" t="str">
        <f t="shared" si="1"/>
        <v>IREffluentNO2-</v>
      </c>
    </row>
    <row r="98" spans="1:7" x14ac:dyDescent="0.2">
      <c r="A98" s="9" t="s">
        <v>60</v>
      </c>
      <c r="B98" s="9">
        <v>70</v>
      </c>
      <c r="C98" s="10">
        <v>1.2062712481017464</v>
      </c>
      <c r="D98" t="s">
        <v>78</v>
      </c>
      <c r="E98" t="s">
        <v>82</v>
      </c>
      <c r="F98" t="s">
        <v>85</v>
      </c>
      <c r="G98" t="str">
        <f t="shared" si="1"/>
        <v>DarkInfluentNO2-</v>
      </c>
    </row>
    <row r="99" spans="1:7" x14ac:dyDescent="0.2">
      <c r="A99" s="9" t="s">
        <v>52</v>
      </c>
      <c r="B99" s="9">
        <v>70</v>
      </c>
      <c r="C99" s="10">
        <v>1.2759279902157425</v>
      </c>
      <c r="D99" t="s">
        <v>79</v>
      </c>
      <c r="E99" t="s">
        <v>82</v>
      </c>
      <c r="F99" t="s">
        <v>85</v>
      </c>
      <c r="G99" t="str">
        <f t="shared" si="1"/>
        <v>IRInfluentNO2-</v>
      </c>
    </row>
    <row r="100" spans="1:7" x14ac:dyDescent="0.2">
      <c r="A100" s="9" t="s">
        <v>54</v>
      </c>
      <c r="B100" s="9">
        <v>70</v>
      </c>
      <c r="C100" s="10">
        <v>1.0178708195242441</v>
      </c>
      <c r="D100" t="s">
        <v>78</v>
      </c>
      <c r="E100" t="s">
        <v>81</v>
      </c>
      <c r="F100" t="s">
        <v>85</v>
      </c>
      <c r="G100" t="str">
        <f t="shared" si="1"/>
        <v>DarkEffluentNO2-</v>
      </c>
    </row>
    <row r="101" spans="1:7" x14ac:dyDescent="0.2">
      <c r="A101" s="9" t="s">
        <v>35</v>
      </c>
      <c r="B101" s="9">
        <v>70</v>
      </c>
      <c r="C101" s="10">
        <v>0.99431087589218103</v>
      </c>
      <c r="D101" t="s">
        <v>79</v>
      </c>
      <c r="E101" t="s">
        <v>81</v>
      </c>
      <c r="F101" t="s">
        <v>85</v>
      </c>
      <c r="G101" t="str">
        <f t="shared" si="1"/>
        <v>IREffluentNO2-</v>
      </c>
    </row>
    <row r="102" spans="1:7" x14ac:dyDescent="0.2">
      <c r="A102" s="9" t="s">
        <v>61</v>
      </c>
      <c r="B102" s="9">
        <v>74</v>
      </c>
      <c r="C102" s="10">
        <v>0.95216946201762287</v>
      </c>
      <c r="D102" t="s">
        <v>78</v>
      </c>
      <c r="E102" t="s">
        <v>82</v>
      </c>
      <c r="F102" t="s">
        <v>85</v>
      </c>
      <c r="G102" t="str">
        <f t="shared" si="1"/>
        <v>DarkInfluentNO2-</v>
      </c>
    </row>
    <row r="103" spans="1:7" x14ac:dyDescent="0.2">
      <c r="A103" s="9" t="s">
        <v>52</v>
      </c>
      <c r="B103" s="9">
        <v>74</v>
      </c>
      <c r="C103" s="10">
        <v>1.0072301756725945</v>
      </c>
      <c r="D103" t="s">
        <v>79</v>
      </c>
      <c r="E103" t="s">
        <v>82</v>
      </c>
      <c r="F103" t="s">
        <v>85</v>
      </c>
      <c r="G103" t="str">
        <f t="shared" si="1"/>
        <v>IRInfluentNO2-</v>
      </c>
    </row>
    <row r="104" spans="1:7" x14ac:dyDescent="0.2">
      <c r="A104" s="9" t="s">
        <v>54</v>
      </c>
      <c r="B104" s="9">
        <v>74</v>
      </c>
      <c r="C104" s="10">
        <v>0.64400498703363929</v>
      </c>
      <c r="D104" t="s">
        <v>78</v>
      </c>
      <c r="E104" t="s">
        <v>81</v>
      </c>
      <c r="F104" t="s">
        <v>85</v>
      </c>
      <c r="G104" t="str">
        <f t="shared" si="1"/>
        <v>DarkEffluentNO2-</v>
      </c>
    </row>
    <row r="105" spans="1:7" x14ac:dyDescent="0.2">
      <c r="A105" s="9" t="s">
        <v>35</v>
      </c>
      <c r="B105" s="9">
        <v>74</v>
      </c>
      <c r="C105" s="10">
        <v>1.0136668566452312</v>
      </c>
      <c r="D105" t="s">
        <v>79</v>
      </c>
      <c r="E105" t="s">
        <v>81</v>
      </c>
      <c r="F105" t="s">
        <v>85</v>
      </c>
      <c r="G105" t="str">
        <f t="shared" si="1"/>
        <v>IREffluentNO2-</v>
      </c>
    </row>
    <row r="106" spans="1:7" x14ac:dyDescent="0.2">
      <c r="A106" s="9" t="s">
        <v>62</v>
      </c>
      <c r="B106" s="9">
        <v>81</v>
      </c>
      <c r="C106" s="10">
        <v>1.0721291694756558</v>
      </c>
      <c r="D106" t="s">
        <v>78</v>
      </c>
      <c r="E106" t="s">
        <v>82</v>
      </c>
      <c r="F106" t="s">
        <v>85</v>
      </c>
      <c r="G106" t="str">
        <f t="shared" si="1"/>
        <v>DarkInfluentNO2-</v>
      </c>
    </row>
    <row r="107" spans="1:7" x14ac:dyDescent="0.2">
      <c r="A107" s="9" t="s">
        <v>52</v>
      </c>
      <c r="B107" s="9">
        <v>81</v>
      </c>
      <c r="C107" s="10">
        <v>1.0572392083980129</v>
      </c>
      <c r="D107" t="s">
        <v>79</v>
      </c>
      <c r="E107" t="s">
        <v>82</v>
      </c>
      <c r="F107" t="s">
        <v>85</v>
      </c>
      <c r="G107" t="str">
        <f t="shared" si="1"/>
        <v>IRInfluentNO2-</v>
      </c>
    </row>
    <row r="108" spans="1:7" x14ac:dyDescent="0.2">
      <c r="A108" s="9" t="s">
        <v>54</v>
      </c>
      <c r="B108" s="9">
        <v>81</v>
      </c>
      <c r="C108" s="10">
        <v>0.78417322110311671</v>
      </c>
      <c r="D108" t="s">
        <v>78</v>
      </c>
      <c r="E108" t="s">
        <v>81</v>
      </c>
      <c r="F108" t="s">
        <v>85</v>
      </c>
      <c r="G108" t="str">
        <f t="shared" si="1"/>
        <v>DarkEffluentNO2-</v>
      </c>
    </row>
    <row r="109" spans="1:7" x14ac:dyDescent="0.2">
      <c r="A109" s="9" t="s">
        <v>35</v>
      </c>
      <c r="B109" s="9">
        <v>81</v>
      </c>
      <c r="C109" s="10">
        <v>1.1309907161442643</v>
      </c>
      <c r="D109" t="s">
        <v>79</v>
      </c>
      <c r="E109" t="s">
        <v>81</v>
      </c>
      <c r="F109" t="s">
        <v>85</v>
      </c>
      <c r="G109" t="str">
        <f t="shared" si="1"/>
        <v>IREffluentNO2-</v>
      </c>
    </row>
    <row r="110" spans="1:7" x14ac:dyDescent="0.2">
      <c r="A110" s="3" t="s">
        <v>20</v>
      </c>
      <c r="B110" s="3">
        <v>0</v>
      </c>
      <c r="C110" s="4">
        <v>7.9750370463171905E-3</v>
      </c>
      <c r="D110" t="s">
        <v>78</v>
      </c>
      <c r="E110" t="s">
        <v>81</v>
      </c>
      <c r="F110" t="s">
        <v>87</v>
      </c>
      <c r="G110" t="str">
        <f t="shared" si="1"/>
        <v>DarkEffluentNO3-</v>
      </c>
    </row>
    <row r="111" spans="1:7" x14ac:dyDescent="0.2">
      <c r="A111" s="3" t="s">
        <v>15</v>
      </c>
      <c r="B111" s="3">
        <v>0</v>
      </c>
      <c r="C111" s="4">
        <v>9.3142212266308366E-3</v>
      </c>
      <c r="D111" t="s">
        <v>79</v>
      </c>
      <c r="E111" t="s">
        <v>81</v>
      </c>
      <c r="F111" t="s">
        <v>87</v>
      </c>
      <c r="G111" t="str">
        <f t="shared" si="1"/>
        <v>IREffluentNO3-</v>
      </c>
    </row>
    <row r="112" spans="1:7" x14ac:dyDescent="0.2">
      <c r="A112" s="3" t="s">
        <v>21</v>
      </c>
      <c r="B112" s="3">
        <v>3</v>
      </c>
      <c r="C112" s="4">
        <v>7.3219998003986042E-3</v>
      </c>
      <c r="D112" t="s">
        <v>78</v>
      </c>
      <c r="E112" t="s">
        <v>81</v>
      </c>
      <c r="F112" t="s">
        <v>87</v>
      </c>
      <c r="G112" t="str">
        <f t="shared" si="1"/>
        <v>DarkEffluentNO3-</v>
      </c>
    </row>
    <row r="113" spans="1:7" x14ac:dyDescent="0.2">
      <c r="A113" s="3" t="s">
        <v>15</v>
      </c>
      <c r="B113" s="3">
        <v>3</v>
      </c>
      <c r="C113" s="4">
        <v>7.5035945736446896E-3</v>
      </c>
      <c r="D113" t="s">
        <v>79</v>
      </c>
      <c r="E113" t="s">
        <v>81</v>
      </c>
      <c r="F113" t="s">
        <v>87</v>
      </c>
      <c r="G113" t="str">
        <f t="shared" si="1"/>
        <v>IREffluentNO3-</v>
      </c>
    </row>
    <row r="114" spans="1:7" x14ac:dyDescent="0.2">
      <c r="A114" s="3" t="s">
        <v>22</v>
      </c>
      <c r="B114" s="3">
        <v>3</v>
      </c>
      <c r="C114" s="4">
        <v>8.1938965663925778E-3</v>
      </c>
      <c r="D114" t="s">
        <v>78</v>
      </c>
      <c r="E114" t="s">
        <v>81</v>
      </c>
      <c r="F114" t="s">
        <v>87</v>
      </c>
      <c r="G114" t="str">
        <f t="shared" si="1"/>
        <v>DarkEffluentNO3-</v>
      </c>
    </row>
    <row r="115" spans="1:7" x14ac:dyDescent="0.2">
      <c r="A115" s="3" t="s">
        <v>15</v>
      </c>
      <c r="B115" s="3">
        <v>3</v>
      </c>
      <c r="C115" s="4">
        <v>7.4201047089223593E-2</v>
      </c>
      <c r="D115" t="s">
        <v>79</v>
      </c>
      <c r="E115" t="s">
        <v>81</v>
      </c>
      <c r="F115" t="s">
        <v>87</v>
      </c>
      <c r="G115" t="str">
        <f t="shared" si="1"/>
        <v>IREffluentNO3-</v>
      </c>
    </row>
    <row r="116" spans="1:7" x14ac:dyDescent="0.2">
      <c r="A116" s="3" t="s">
        <v>23</v>
      </c>
      <c r="B116" s="3">
        <v>7</v>
      </c>
      <c r="C116" s="4">
        <v>9.9968277017783436E-3</v>
      </c>
      <c r="D116" t="s">
        <v>78</v>
      </c>
      <c r="E116" t="s">
        <v>81</v>
      </c>
      <c r="F116" t="s">
        <v>87</v>
      </c>
      <c r="G116" t="str">
        <f t="shared" si="1"/>
        <v>DarkEffluentNO3-</v>
      </c>
    </row>
    <row r="117" spans="1:7" x14ac:dyDescent="0.2">
      <c r="A117" s="3" t="s">
        <v>24</v>
      </c>
      <c r="B117" s="3">
        <v>7</v>
      </c>
      <c r="C117" s="4">
        <v>3.7399332530122509E-3</v>
      </c>
      <c r="D117" t="s">
        <v>79</v>
      </c>
      <c r="E117" t="s">
        <v>81</v>
      </c>
      <c r="F117" t="s">
        <v>87</v>
      </c>
      <c r="G117" t="str">
        <f t="shared" si="1"/>
        <v>IREffluentNO3-</v>
      </c>
    </row>
    <row r="118" spans="1:7" x14ac:dyDescent="0.2">
      <c r="A118" s="5" t="s">
        <v>25</v>
      </c>
      <c r="B118" s="5">
        <v>8</v>
      </c>
      <c r="C118" s="6">
        <v>1.0177052804376752E-2</v>
      </c>
      <c r="D118" t="s">
        <v>78</v>
      </c>
      <c r="E118" t="s">
        <v>81</v>
      </c>
      <c r="F118" t="s">
        <v>87</v>
      </c>
      <c r="G118" t="str">
        <f t="shared" si="1"/>
        <v>DarkEffluentNO3-</v>
      </c>
    </row>
    <row r="119" spans="1:7" x14ac:dyDescent="0.2">
      <c r="A119" s="5" t="s">
        <v>24</v>
      </c>
      <c r="B119" s="5">
        <v>8</v>
      </c>
      <c r="C119" s="6">
        <v>1.0504816826156116E-2</v>
      </c>
      <c r="D119" t="s">
        <v>79</v>
      </c>
      <c r="E119" t="s">
        <v>81</v>
      </c>
      <c r="F119" t="s">
        <v>87</v>
      </c>
      <c r="G119" t="str">
        <f t="shared" si="1"/>
        <v>IREffluentNO3-</v>
      </c>
    </row>
    <row r="120" spans="1:7" x14ac:dyDescent="0.2">
      <c r="A120" s="5" t="s">
        <v>26</v>
      </c>
      <c r="B120" s="5">
        <v>9</v>
      </c>
      <c r="C120" s="6">
        <v>9.7680491336069597E-3</v>
      </c>
      <c r="D120" t="s">
        <v>78</v>
      </c>
      <c r="E120" t="s">
        <v>81</v>
      </c>
      <c r="F120" t="s">
        <v>87</v>
      </c>
      <c r="G120" t="str">
        <f t="shared" si="1"/>
        <v>DarkEffluentNO3-</v>
      </c>
    </row>
    <row r="121" spans="1:7" x14ac:dyDescent="0.2">
      <c r="A121" s="5" t="s">
        <v>24</v>
      </c>
      <c r="B121" s="5">
        <v>9</v>
      </c>
      <c r="C121" s="6">
        <v>1.2417318049226189E-2</v>
      </c>
      <c r="D121" t="s">
        <v>79</v>
      </c>
      <c r="E121" t="s">
        <v>81</v>
      </c>
      <c r="F121" t="s">
        <v>87</v>
      </c>
      <c r="G121" t="str">
        <f t="shared" si="1"/>
        <v>IREffluentNO3-</v>
      </c>
    </row>
    <row r="122" spans="1:7" x14ac:dyDescent="0.2">
      <c r="A122" s="5" t="s">
        <v>27</v>
      </c>
      <c r="B122" s="5">
        <v>14</v>
      </c>
      <c r="C122" s="6">
        <v>9.8212099711203482E-3</v>
      </c>
      <c r="D122" t="s">
        <v>78</v>
      </c>
      <c r="E122" t="s">
        <v>81</v>
      </c>
      <c r="F122" t="s">
        <v>87</v>
      </c>
      <c r="G122" t="str">
        <f t="shared" si="1"/>
        <v>DarkEffluentNO3-</v>
      </c>
    </row>
    <row r="123" spans="1:7" x14ac:dyDescent="0.2">
      <c r="A123" s="5" t="s">
        <v>24</v>
      </c>
      <c r="B123" s="5">
        <v>14</v>
      </c>
      <c r="C123" s="6">
        <v>1.3021356290886077E-2</v>
      </c>
      <c r="D123" t="s">
        <v>79</v>
      </c>
      <c r="E123" t="s">
        <v>81</v>
      </c>
      <c r="F123" t="s">
        <v>87</v>
      </c>
      <c r="G123" t="str">
        <f t="shared" si="1"/>
        <v>IREffluentNO3-</v>
      </c>
    </row>
    <row r="124" spans="1:7" x14ac:dyDescent="0.2">
      <c r="A124" s="5" t="s">
        <v>28</v>
      </c>
      <c r="B124" s="5">
        <v>23</v>
      </c>
      <c r="C124" s="6">
        <v>1.0171414863837436E-2</v>
      </c>
      <c r="D124" t="s">
        <v>78</v>
      </c>
      <c r="E124" t="s">
        <v>81</v>
      </c>
      <c r="F124" t="s">
        <v>87</v>
      </c>
      <c r="G124" t="str">
        <f t="shared" si="1"/>
        <v>DarkEffluentNO3-</v>
      </c>
    </row>
    <row r="125" spans="1:7" x14ac:dyDescent="0.2">
      <c r="A125" s="5" t="s">
        <v>24</v>
      </c>
      <c r="B125" s="5">
        <v>23</v>
      </c>
      <c r="C125" s="6">
        <v>9.3159133743916378E-3</v>
      </c>
      <c r="D125" t="s">
        <v>79</v>
      </c>
      <c r="E125" t="s">
        <v>81</v>
      </c>
      <c r="F125" t="s">
        <v>87</v>
      </c>
      <c r="G125" t="str">
        <f t="shared" si="1"/>
        <v>IREffluentNO3-</v>
      </c>
    </row>
    <row r="126" spans="1:7" x14ac:dyDescent="0.2">
      <c r="A126" s="5" t="s">
        <v>29</v>
      </c>
      <c r="B126" s="5">
        <v>27</v>
      </c>
      <c r="C126" s="6">
        <v>9.8927125074803612E-3</v>
      </c>
      <c r="D126" t="s">
        <v>78</v>
      </c>
      <c r="E126" t="s">
        <v>81</v>
      </c>
      <c r="F126" t="s">
        <v>87</v>
      </c>
      <c r="G126" t="str">
        <f t="shared" si="1"/>
        <v>DarkEffluentNO3-</v>
      </c>
    </row>
    <row r="127" spans="1:7" x14ac:dyDescent="0.2">
      <c r="A127" s="5" t="s">
        <v>24</v>
      </c>
      <c r="B127" s="5">
        <v>27</v>
      </c>
      <c r="C127" s="6">
        <v>8.5944863863866017E-3</v>
      </c>
      <c r="D127" t="s">
        <v>79</v>
      </c>
      <c r="E127" t="s">
        <v>81</v>
      </c>
      <c r="F127" t="s">
        <v>87</v>
      </c>
      <c r="G127" t="str">
        <f t="shared" si="1"/>
        <v>IREffluentNO3-</v>
      </c>
    </row>
    <row r="128" spans="1:7" x14ac:dyDescent="0.2">
      <c r="A128" s="7" t="s">
        <v>30</v>
      </c>
      <c r="B128" s="7">
        <v>28</v>
      </c>
      <c r="C128" s="8">
        <v>9.8666840328469618E-3</v>
      </c>
      <c r="D128" t="s">
        <v>78</v>
      </c>
      <c r="E128" t="s">
        <v>81</v>
      </c>
      <c r="F128" t="s">
        <v>87</v>
      </c>
      <c r="G128" t="str">
        <f t="shared" si="1"/>
        <v>DarkEffluentNO3-</v>
      </c>
    </row>
    <row r="129" spans="1:7" x14ac:dyDescent="0.2">
      <c r="A129" s="7" t="s">
        <v>24</v>
      </c>
      <c r="B129" s="7">
        <v>28</v>
      </c>
      <c r="C129" s="8">
        <v>7.4362577818345432E-3</v>
      </c>
      <c r="D129" t="s">
        <v>79</v>
      </c>
      <c r="E129" t="s">
        <v>81</v>
      </c>
      <c r="F129" t="s">
        <v>87</v>
      </c>
      <c r="G129" t="str">
        <f t="shared" si="1"/>
        <v>IREffluentNO3-</v>
      </c>
    </row>
    <row r="130" spans="1:7" x14ac:dyDescent="0.2">
      <c r="A130" s="5" t="s">
        <v>31</v>
      </c>
      <c r="B130" s="5">
        <v>29</v>
      </c>
      <c r="C130" s="6">
        <v>6.7426104366334894E-3</v>
      </c>
      <c r="D130" t="s">
        <v>78</v>
      </c>
      <c r="E130" t="s">
        <v>81</v>
      </c>
      <c r="F130" t="s">
        <v>87</v>
      </c>
      <c r="G130" t="str">
        <f t="shared" si="1"/>
        <v>DarkEffluentNO3-</v>
      </c>
    </row>
    <row r="131" spans="1:7" x14ac:dyDescent="0.2">
      <c r="A131" s="5" t="s">
        <v>24</v>
      </c>
      <c r="B131" s="5">
        <v>29</v>
      </c>
      <c r="C131" s="6">
        <v>7.2547985523115033E-2</v>
      </c>
      <c r="D131" t="s">
        <v>79</v>
      </c>
      <c r="E131" t="s">
        <v>81</v>
      </c>
      <c r="F131" t="s">
        <v>87</v>
      </c>
      <c r="G131" t="str">
        <f t="shared" ref="G131:G163" si="2">_xlfn.CONCAT(D131,E131,F131)</f>
        <v>IREffluentNO3-</v>
      </c>
    </row>
    <row r="132" spans="1:7" x14ac:dyDescent="0.2">
      <c r="A132" s="9" t="s">
        <v>55</v>
      </c>
      <c r="B132" s="9">
        <v>50</v>
      </c>
      <c r="C132" s="10">
        <v>1.854875293759517E-2</v>
      </c>
      <c r="D132" t="s">
        <v>78</v>
      </c>
      <c r="E132" t="s">
        <v>82</v>
      </c>
      <c r="F132" t="s">
        <v>87</v>
      </c>
      <c r="G132" t="str">
        <f t="shared" si="2"/>
        <v>DarkInfluentNO3-</v>
      </c>
    </row>
    <row r="133" spans="1:7" x14ac:dyDescent="0.2">
      <c r="A133" s="9" t="s">
        <v>52</v>
      </c>
      <c r="B133" s="9">
        <v>50</v>
      </c>
      <c r="C133" s="10">
        <v>1.9554765693660103E-2</v>
      </c>
      <c r="D133" t="s">
        <v>79</v>
      </c>
      <c r="E133" t="s">
        <v>82</v>
      </c>
      <c r="F133" t="s">
        <v>87</v>
      </c>
      <c r="G133" t="str">
        <f t="shared" si="2"/>
        <v>IRInfluentNO3-</v>
      </c>
    </row>
    <row r="134" spans="1:7" x14ac:dyDescent="0.2">
      <c r="A134" s="9" t="s">
        <v>54</v>
      </c>
      <c r="B134" s="9">
        <v>50</v>
      </c>
      <c r="C134" s="10">
        <v>1.5272606472493067E-2</v>
      </c>
      <c r="D134" t="s">
        <v>78</v>
      </c>
      <c r="E134" t="s">
        <v>81</v>
      </c>
      <c r="F134" t="s">
        <v>87</v>
      </c>
      <c r="G134" t="str">
        <f t="shared" si="2"/>
        <v>DarkEffluentNO3-</v>
      </c>
    </row>
    <row r="135" spans="1:7" x14ac:dyDescent="0.2">
      <c r="A135" s="9" t="s">
        <v>35</v>
      </c>
      <c r="B135" s="9">
        <v>50</v>
      </c>
      <c r="C135" s="10">
        <v>1.5816998257211612E-2</v>
      </c>
      <c r="D135" t="s">
        <v>79</v>
      </c>
      <c r="E135" t="s">
        <v>81</v>
      </c>
      <c r="F135" t="s">
        <v>87</v>
      </c>
      <c r="G135" t="str">
        <f t="shared" si="2"/>
        <v>IREffluentNO3-</v>
      </c>
    </row>
    <row r="136" spans="1:7" x14ac:dyDescent="0.2">
      <c r="A136" s="9" t="s">
        <v>56</v>
      </c>
      <c r="B136" s="9">
        <v>52</v>
      </c>
      <c r="C136" s="10">
        <v>1.9479322219694062E-2</v>
      </c>
      <c r="D136" t="s">
        <v>78</v>
      </c>
      <c r="E136" t="s">
        <v>82</v>
      </c>
      <c r="F136" t="s">
        <v>87</v>
      </c>
      <c r="G136" t="str">
        <f t="shared" si="2"/>
        <v>DarkInfluentNO3-</v>
      </c>
    </row>
    <row r="137" spans="1:7" x14ac:dyDescent="0.2">
      <c r="A137" s="9" t="s">
        <v>52</v>
      </c>
      <c r="B137" s="9">
        <v>52</v>
      </c>
      <c r="C137" s="10">
        <v>1.6121459577040254E-2</v>
      </c>
      <c r="D137" t="s">
        <v>79</v>
      </c>
      <c r="E137" t="s">
        <v>82</v>
      </c>
      <c r="F137" t="s">
        <v>87</v>
      </c>
      <c r="G137" t="str">
        <f t="shared" si="2"/>
        <v>IRInfluentNO3-</v>
      </c>
    </row>
    <row r="138" spans="1:7" x14ac:dyDescent="0.2">
      <c r="A138" s="9" t="s">
        <v>54</v>
      </c>
      <c r="B138" s="9">
        <v>52</v>
      </c>
      <c r="C138" s="10">
        <v>1.4214138825672906E-2</v>
      </c>
      <c r="D138" t="s">
        <v>78</v>
      </c>
      <c r="E138" t="s">
        <v>81</v>
      </c>
      <c r="F138" t="s">
        <v>87</v>
      </c>
      <c r="G138" t="str">
        <f t="shared" si="2"/>
        <v>DarkEffluentNO3-</v>
      </c>
    </row>
    <row r="139" spans="1:7" x14ac:dyDescent="0.2">
      <c r="A139" s="9" t="s">
        <v>35</v>
      </c>
      <c r="B139" s="9">
        <v>52</v>
      </c>
      <c r="C139" s="10">
        <v>1.4004746557213954E-2</v>
      </c>
      <c r="D139" t="s">
        <v>79</v>
      </c>
      <c r="E139" t="s">
        <v>81</v>
      </c>
      <c r="F139" t="s">
        <v>87</v>
      </c>
      <c r="G139" t="str">
        <f t="shared" si="2"/>
        <v>IREffluentNO3-</v>
      </c>
    </row>
    <row r="140" spans="1:7" x14ac:dyDescent="0.2">
      <c r="A140" s="9" t="s">
        <v>57</v>
      </c>
      <c r="B140" s="9">
        <v>59</v>
      </c>
      <c r="C140" s="10">
        <v>1.9005454755392615E-2</v>
      </c>
      <c r="D140" t="s">
        <v>78</v>
      </c>
      <c r="E140" t="s">
        <v>82</v>
      </c>
      <c r="F140" t="s">
        <v>87</v>
      </c>
      <c r="G140" t="str">
        <f t="shared" si="2"/>
        <v>DarkInfluentNO3-</v>
      </c>
    </row>
    <row r="141" spans="1:7" x14ac:dyDescent="0.2">
      <c r="A141" s="9" t="s">
        <v>52</v>
      </c>
      <c r="B141" s="9">
        <v>59</v>
      </c>
      <c r="C141" s="10">
        <v>1.9053257074340024E-2</v>
      </c>
      <c r="D141" t="s">
        <v>79</v>
      </c>
      <c r="E141" t="s">
        <v>82</v>
      </c>
      <c r="F141" t="s">
        <v>87</v>
      </c>
      <c r="G141" t="str">
        <f t="shared" si="2"/>
        <v>IRInfluentNO3-</v>
      </c>
    </row>
    <row r="142" spans="1:7" x14ac:dyDescent="0.2">
      <c r="A142" s="9" t="s">
        <v>54</v>
      </c>
      <c r="B142" s="9">
        <v>59</v>
      </c>
      <c r="C142" s="10">
        <v>1.6015030607442249E-2</v>
      </c>
      <c r="D142" t="s">
        <v>78</v>
      </c>
      <c r="E142" t="s">
        <v>81</v>
      </c>
      <c r="F142" t="s">
        <v>87</v>
      </c>
      <c r="G142" t="str">
        <f t="shared" si="2"/>
        <v>DarkEffluentNO3-</v>
      </c>
    </row>
    <row r="143" spans="1:7" x14ac:dyDescent="0.2">
      <c r="A143" s="9" t="s">
        <v>35</v>
      </c>
      <c r="B143" s="9">
        <v>59</v>
      </c>
      <c r="C143" s="10">
        <v>1.5620464417911428E-2</v>
      </c>
      <c r="D143" t="s">
        <v>79</v>
      </c>
      <c r="E143" t="s">
        <v>81</v>
      </c>
      <c r="F143" t="s">
        <v>87</v>
      </c>
      <c r="G143" t="str">
        <f t="shared" si="2"/>
        <v>IREffluentNO3-</v>
      </c>
    </row>
    <row r="144" spans="1:7" x14ac:dyDescent="0.2">
      <c r="A144" s="9" t="s">
        <v>58</v>
      </c>
      <c r="B144" s="9">
        <v>62</v>
      </c>
      <c r="C144" s="10">
        <v>1.2366889590024632E-2</v>
      </c>
      <c r="D144" t="s">
        <v>78</v>
      </c>
      <c r="E144" t="s">
        <v>82</v>
      </c>
      <c r="F144" t="s">
        <v>87</v>
      </c>
      <c r="G144" t="str">
        <f t="shared" si="2"/>
        <v>DarkInfluentNO3-</v>
      </c>
    </row>
    <row r="145" spans="1:7" x14ac:dyDescent="0.2">
      <c r="A145" s="9" t="s">
        <v>52</v>
      </c>
      <c r="B145" s="9">
        <v>62</v>
      </c>
      <c r="C145" s="10">
        <v>1.1207430621772652E-2</v>
      </c>
      <c r="D145" t="s">
        <v>79</v>
      </c>
      <c r="E145" t="s">
        <v>82</v>
      </c>
      <c r="F145" t="s">
        <v>87</v>
      </c>
      <c r="G145" t="str">
        <f t="shared" si="2"/>
        <v>IRInfluentNO3-</v>
      </c>
    </row>
    <row r="146" spans="1:7" x14ac:dyDescent="0.2">
      <c r="A146" s="9" t="s">
        <v>54</v>
      </c>
      <c r="B146" s="9">
        <v>62</v>
      </c>
      <c r="C146" s="10">
        <v>1.4981879626316141E-2</v>
      </c>
      <c r="D146" t="s">
        <v>78</v>
      </c>
      <c r="E146" t="s">
        <v>81</v>
      </c>
      <c r="F146" t="s">
        <v>87</v>
      </c>
      <c r="G146" t="str">
        <f t="shared" si="2"/>
        <v>DarkEffluentNO3-</v>
      </c>
    </row>
    <row r="147" spans="1:7" x14ac:dyDescent="0.2">
      <c r="A147" s="9" t="s">
        <v>35</v>
      </c>
      <c r="B147" s="9">
        <v>62</v>
      </c>
      <c r="C147" s="10">
        <v>1.476634509685204E-2</v>
      </c>
      <c r="D147" t="s">
        <v>79</v>
      </c>
      <c r="E147" t="s">
        <v>81</v>
      </c>
      <c r="F147" t="s">
        <v>87</v>
      </c>
      <c r="G147" t="str">
        <f t="shared" si="2"/>
        <v>IREffluentNO3-</v>
      </c>
    </row>
    <row r="148" spans="1:7" x14ac:dyDescent="0.2">
      <c r="A148" s="9" t="s">
        <v>59</v>
      </c>
      <c r="B148" s="9">
        <v>66</v>
      </c>
      <c r="C148" s="10">
        <v>1.7384606946927672E-2</v>
      </c>
      <c r="D148" t="s">
        <v>78</v>
      </c>
      <c r="E148" t="s">
        <v>82</v>
      </c>
      <c r="F148" t="s">
        <v>87</v>
      </c>
      <c r="G148" t="str">
        <f t="shared" si="2"/>
        <v>DarkInfluentNO3-</v>
      </c>
    </row>
    <row r="149" spans="1:7" x14ac:dyDescent="0.2">
      <c r="A149" s="9" t="s">
        <v>52</v>
      </c>
      <c r="B149" s="9">
        <v>66</v>
      </c>
      <c r="C149" s="10">
        <v>1.9009487712895234E-2</v>
      </c>
      <c r="D149" t="s">
        <v>79</v>
      </c>
      <c r="E149" t="s">
        <v>82</v>
      </c>
      <c r="F149" t="s">
        <v>87</v>
      </c>
      <c r="G149" t="str">
        <f t="shared" si="2"/>
        <v>IRInfluentNO3-</v>
      </c>
    </row>
    <row r="150" spans="1:7" x14ac:dyDescent="0.2">
      <c r="A150" s="9" t="s">
        <v>54</v>
      </c>
      <c r="B150" s="9">
        <v>66</v>
      </c>
      <c r="C150" s="10">
        <v>1.5706378578519198E-2</v>
      </c>
      <c r="D150" t="s">
        <v>78</v>
      </c>
      <c r="E150" t="s">
        <v>81</v>
      </c>
      <c r="F150" t="s">
        <v>87</v>
      </c>
      <c r="G150" t="str">
        <f t="shared" si="2"/>
        <v>DarkEffluentNO3-</v>
      </c>
    </row>
    <row r="151" spans="1:7" x14ac:dyDescent="0.2">
      <c r="A151" s="9" t="s">
        <v>35</v>
      </c>
      <c r="B151" s="9">
        <v>66</v>
      </c>
      <c r="C151" s="10">
        <v>1.7210708759121562E-2</v>
      </c>
      <c r="D151" t="s">
        <v>79</v>
      </c>
      <c r="E151" t="s">
        <v>81</v>
      </c>
      <c r="F151" t="s">
        <v>87</v>
      </c>
      <c r="G151" t="str">
        <f t="shared" si="2"/>
        <v>IREffluentNO3-</v>
      </c>
    </row>
    <row r="152" spans="1:7" x14ac:dyDescent="0.2">
      <c r="A152" s="9" t="s">
        <v>60</v>
      </c>
      <c r="B152" s="9">
        <v>70</v>
      </c>
      <c r="C152" s="10">
        <v>1.934167485193794E-2</v>
      </c>
      <c r="D152" t="s">
        <v>78</v>
      </c>
      <c r="E152" t="s">
        <v>82</v>
      </c>
      <c r="F152" t="s">
        <v>87</v>
      </c>
      <c r="G152" t="str">
        <f t="shared" si="2"/>
        <v>DarkInfluentNO3-</v>
      </c>
    </row>
    <row r="153" spans="1:7" x14ac:dyDescent="0.2">
      <c r="A153" s="9" t="s">
        <v>52</v>
      </c>
      <c r="B153" s="9">
        <v>70</v>
      </c>
      <c r="C153" s="10">
        <v>2.025637923123691E-2</v>
      </c>
      <c r="D153" t="s">
        <v>79</v>
      </c>
      <c r="E153" t="s">
        <v>82</v>
      </c>
      <c r="F153" t="s">
        <v>87</v>
      </c>
      <c r="G153" t="str">
        <f t="shared" si="2"/>
        <v>IRInfluentNO3-</v>
      </c>
    </row>
    <row r="154" spans="1:7" x14ac:dyDescent="0.2">
      <c r="A154" s="9" t="s">
        <v>54</v>
      </c>
      <c r="B154" s="9">
        <v>70</v>
      </c>
      <c r="C154" s="10">
        <v>1.8396118718650101E-2</v>
      </c>
      <c r="D154" t="s">
        <v>78</v>
      </c>
      <c r="E154" t="s">
        <v>81</v>
      </c>
      <c r="F154" t="s">
        <v>87</v>
      </c>
      <c r="G154" t="str">
        <f t="shared" si="2"/>
        <v>DarkEffluentNO3-</v>
      </c>
    </row>
    <row r="155" spans="1:7" x14ac:dyDescent="0.2">
      <c r="A155" s="9" t="s">
        <v>35</v>
      </c>
      <c r="B155" s="9">
        <v>70</v>
      </c>
      <c r="C155" s="10">
        <v>1.5784906378131236E-2</v>
      </c>
      <c r="D155" t="s">
        <v>79</v>
      </c>
      <c r="E155" t="s">
        <v>81</v>
      </c>
      <c r="F155" t="s">
        <v>87</v>
      </c>
      <c r="G155" t="str">
        <f t="shared" si="2"/>
        <v>IREffluentNO3-</v>
      </c>
    </row>
    <row r="156" spans="1:7" x14ac:dyDescent="0.2">
      <c r="A156" s="9" t="s">
        <v>61</v>
      </c>
      <c r="B156" s="9">
        <v>74</v>
      </c>
      <c r="C156" s="10">
        <v>1.5399879846549558E-2</v>
      </c>
      <c r="D156" t="s">
        <v>78</v>
      </c>
      <c r="E156" t="s">
        <v>82</v>
      </c>
      <c r="F156" t="s">
        <v>87</v>
      </c>
      <c r="G156" t="str">
        <f t="shared" si="2"/>
        <v>DarkInfluentNO3-</v>
      </c>
    </row>
    <row r="157" spans="1:7" x14ac:dyDescent="0.2">
      <c r="A157" s="9" t="s">
        <v>52</v>
      </c>
      <c r="B157" s="9">
        <v>74</v>
      </c>
      <c r="C157" s="10">
        <v>1.8206396078431331E-2</v>
      </c>
      <c r="D157" t="s">
        <v>79</v>
      </c>
      <c r="E157" t="s">
        <v>82</v>
      </c>
      <c r="F157" t="s">
        <v>87</v>
      </c>
      <c r="G157" t="str">
        <f t="shared" si="2"/>
        <v>IRInfluentNO3-</v>
      </c>
    </row>
    <row r="158" spans="1:7" x14ac:dyDescent="0.2">
      <c r="A158" s="9" t="s">
        <v>54</v>
      </c>
      <c r="B158" s="9">
        <v>74</v>
      </c>
      <c r="C158" s="10">
        <v>1.5946055481651511E-2</v>
      </c>
      <c r="D158" t="s">
        <v>78</v>
      </c>
      <c r="E158" t="s">
        <v>81</v>
      </c>
      <c r="F158" t="s">
        <v>87</v>
      </c>
      <c r="G158" t="str">
        <f t="shared" si="2"/>
        <v>DarkEffluentNO3-</v>
      </c>
    </row>
    <row r="159" spans="1:7" x14ac:dyDescent="0.2">
      <c r="A159" s="9" t="s">
        <v>35</v>
      </c>
      <c r="B159" s="9">
        <v>74</v>
      </c>
      <c r="C159" s="10">
        <v>1.5156488286633074E-2</v>
      </c>
      <c r="D159" t="s">
        <v>79</v>
      </c>
      <c r="E159" t="s">
        <v>81</v>
      </c>
      <c r="F159" t="s">
        <v>87</v>
      </c>
      <c r="G159" t="str">
        <f t="shared" si="2"/>
        <v>IREffluentNO3-</v>
      </c>
    </row>
    <row r="160" spans="1:7" x14ac:dyDescent="0.2">
      <c r="A160" s="9" t="s">
        <v>62</v>
      </c>
      <c r="B160" s="9">
        <v>81</v>
      </c>
      <c r="C160" s="10">
        <v>1.2273907906783732E-2</v>
      </c>
      <c r="D160" t="s">
        <v>78</v>
      </c>
      <c r="E160" t="s">
        <v>82</v>
      </c>
      <c r="F160" t="s">
        <v>87</v>
      </c>
      <c r="G160" t="str">
        <f t="shared" si="2"/>
        <v>DarkInfluentNO3-</v>
      </c>
    </row>
    <row r="161" spans="1:7" x14ac:dyDescent="0.2">
      <c r="A161" s="9" t="s">
        <v>52</v>
      </c>
      <c r="B161" s="9">
        <v>81</v>
      </c>
      <c r="C161" s="10">
        <v>1.4897642039799708E-2</v>
      </c>
      <c r="D161" t="s">
        <v>79</v>
      </c>
      <c r="E161" t="s">
        <v>82</v>
      </c>
      <c r="F161" t="s">
        <v>87</v>
      </c>
      <c r="G161" t="str">
        <f t="shared" si="2"/>
        <v>IRInfluentNO3-</v>
      </c>
    </row>
    <row r="162" spans="1:7" x14ac:dyDescent="0.2">
      <c r="A162" s="9" t="s">
        <v>54</v>
      </c>
      <c r="B162" s="9">
        <v>81</v>
      </c>
      <c r="C162" s="10">
        <v>1.2743889248599816E-2</v>
      </c>
      <c r="D162" t="s">
        <v>78</v>
      </c>
      <c r="E162" t="s">
        <v>81</v>
      </c>
      <c r="F162" t="s">
        <v>87</v>
      </c>
      <c r="G162" t="str">
        <f t="shared" si="2"/>
        <v>DarkEffluentNO3-</v>
      </c>
    </row>
    <row r="163" spans="1:7" x14ac:dyDescent="0.2">
      <c r="A163" s="9" t="s">
        <v>35</v>
      </c>
      <c r="B163" s="9">
        <v>81</v>
      </c>
      <c r="C163" s="10">
        <v>1.5571926250752988E-2</v>
      </c>
      <c r="D163" t="s">
        <v>79</v>
      </c>
      <c r="E163" t="s">
        <v>81</v>
      </c>
      <c r="F163" t="s">
        <v>87</v>
      </c>
      <c r="G163" t="str">
        <f t="shared" si="2"/>
        <v>IREffluentNO3-</v>
      </c>
    </row>
  </sheetData>
  <autoFilter ref="A1:G163" xr:uid="{05CA11B0-4BAE-C844-817E-D8AD9A39718A}">
    <filterColumn colId="5">
      <filters>
        <filter val="NO2-"/>
        <filter val="NO3-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1CC2C-1811-524E-9C41-64C4B021F704}">
  <dimension ref="A1:K55"/>
  <sheetViews>
    <sheetView tabSelected="1" topLeftCell="A17" zoomScale="99" workbookViewId="0">
      <selection activeCell="J26" sqref="J26"/>
    </sheetView>
  </sheetViews>
  <sheetFormatPr baseColWidth="10" defaultRowHeight="16" x14ac:dyDescent="0.2"/>
  <sheetData>
    <row r="1" spans="1:7" x14ac:dyDescent="0.2">
      <c r="A1" s="11" t="s">
        <v>76</v>
      </c>
      <c r="B1" s="11" t="s">
        <v>89</v>
      </c>
      <c r="C1" s="11" t="s">
        <v>80</v>
      </c>
      <c r="D1" s="11" t="s">
        <v>88</v>
      </c>
      <c r="E1" s="11" t="s">
        <v>83</v>
      </c>
      <c r="F1" s="11" t="s">
        <v>77</v>
      </c>
      <c r="G1" s="11" t="s">
        <v>86</v>
      </c>
    </row>
    <row r="2" spans="1:7" x14ac:dyDescent="0.2">
      <c r="A2" s="3" t="s">
        <v>20</v>
      </c>
      <c r="B2" s="3">
        <v>0</v>
      </c>
      <c r="C2" t="s">
        <v>78</v>
      </c>
      <c r="D2" t="s">
        <v>81</v>
      </c>
      <c r="E2" t="s">
        <v>84</v>
      </c>
      <c r="F2" t="str">
        <f>_xlfn.CONCAT(C2,D2)</f>
        <v>DarkEffluent</v>
      </c>
      <c r="G2">
        <v>230.86399219730296</v>
      </c>
    </row>
    <row r="3" spans="1:7" x14ac:dyDescent="0.2">
      <c r="A3" s="3" t="s">
        <v>15</v>
      </c>
      <c r="B3" s="3">
        <v>0</v>
      </c>
      <c r="C3" t="s">
        <v>79</v>
      </c>
      <c r="D3" t="s">
        <v>81</v>
      </c>
      <c r="E3" t="s">
        <v>84</v>
      </c>
      <c r="F3" t="str">
        <f t="shared" ref="F3:F55" si="0">_xlfn.CONCAT(C3,D3)</f>
        <v>IREffluent</v>
      </c>
      <c r="G3">
        <v>261.20866912027111</v>
      </c>
    </row>
    <row r="4" spans="1:7" x14ac:dyDescent="0.2">
      <c r="A4" s="3" t="s">
        <v>21</v>
      </c>
      <c r="B4" s="3">
        <v>3</v>
      </c>
      <c r="C4" t="s">
        <v>78</v>
      </c>
      <c r="D4" t="s">
        <v>81</v>
      </c>
      <c r="E4" t="s">
        <v>84</v>
      </c>
      <c r="F4" t="str">
        <f t="shared" si="0"/>
        <v>DarkEffluent</v>
      </c>
      <c r="G4">
        <v>228.2247281169868</v>
      </c>
    </row>
    <row r="5" spans="1:7" x14ac:dyDescent="0.2">
      <c r="A5" s="3" t="s">
        <v>15</v>
      </c>
      <c r="B5" s="3">
        <v>3</v>
      </c>
      <c r="C5" t="s">
        <v>79</v>
      </c>
      <c r="D5" t="s">
        <v>81</v>
      </c>
      <c r="E5" t="s">
        <v>84</v>
      </c>
      <c r="F5" t="str">
        <f t="shared" si="0"/>
        <v>IREffluent</v>
      </c>
      <c r="G5">
        <v>276.37933897700378</v>
      </c>
    </row>
    <row r="6" spans="1:7" x14ac:dyDescent="0.2">
      <c r="A6" s="3" t="s">
        <v>22</v>
      </c>
      <c r="B6" s="3">
        <v>3</v>
      </c>
      <c r="C6" t="s">
        <v>78</v>
      </c>
      <c r="D6" t="s">
        <v>81</v>
      </c>
      <c r="E6" t="s">
        <v>84</v>
      </c>
      <c r="F6" t="str">
        <f t="shared" si="0"/>
        <v>DarkEffluent</v>
      </c>
      <c r="G6">
        <v>267.02660264013684</v>
      </c>
    </row>
    <row r="7" spans="1:7" x14ac:dyDescent="0.2">
      <c r="A7" s="3" t="s">
        <v>15</v>
      </c>
      <c r="B7" s="3">
        <v>3</v>
      </c>
      <c r="C7" t="s">
        <v>79</v>
      </c>
      <c r="D7" t="s">
        <v>81</v>
      </c>
      <c r="E7" t="s">
        <v>84</v>
      </c>
      <c r="F7" t="str">
        <f t="shared" si="0"/>
        <v>IREffluent</v>
      </c>
      <c r="G7">
        <v>291.33488879603556</v>
      </c>
    </row>
    <row r="8" spans="1:7" x14ac:dyDescent="0.2">
      <c r="A8" s="3" t="s">
        <v>23</v>
      </c>
      <c r="B8" s="3">
        <v>7</v>
      </c>
      <c r="C8" t="s">
        <v>78</v>
      </c>
      <c r="D8" t="s">
        <v>81</v>
      </c>
      <c r="E8" t="s">
        <v>84</v>
      </c>
      <c r="F8" t="str">
        <f t="shared" si="0"/>
        <v>DarkEffluent</v>
      </c>
      <c r="G8">
        <v>158.29320527276781</v>
      </c>
    </row>
    <row r="9" spans="1:7" x14ac:dyDescent="0.2">
      <c r="A9" s="3" t="s">
        <v>24</v>
      </c>
      <c r="B9" s="3">
        <v>7</v>
      </c>
      <c r="C9" t="s">
        <v>79</v>
      </c>
      <c r="D9" t="s">
        <v>81</v>
      </c>
      <c r="E9" t="s">
        <v>84</v>
      </c>
      <c r="F9" t="str">
        <f t="shared" si="0"/>
        <v>IREffluent</v>
      </c>
      <c r="G9">
        <v>99.46402470611693</v>
      </c>
    </row>
    <row r="10" spans="1:7" x14ac:dyDescent="0.2">
      <c r="A10" s="5" t="s">
        <v>25</v>
      </c>
      <c r="B10" s="5">
        <v>8</v>
      </c>
      <c r="C10" t="s">
        <v>78</v>
      </c>
      <c r="D10" t="s">
        <v>81</v>
      </c>
      <c r="E10" t="s">
        <v>84</v>
      </c>
      <c r="F10" t="str">
        <f t="shared" si="0"/>
        <v>DarkEffluent</v>
      </c>
      <c r="G10">
        <v>167.10323307137372</v>
      </c>
    </row>
    <row r="11" spans="1:7" x14ac:dyDescent="0.2">
      <c r="A11" s="5" t="s">
        <v>24</v>
      </c>
      <c r="B11" s="5">
        <v>8</v>
      </c>
      <c r="C11" t="s">
        <v>79</v>
      </c>
      <c r="D11" t="s">
        <v>81</v>
      </c>
      <c r="E11" t="s">
        <v>84</v>
      </c>
      <c r="F11" t="str">
        <f t="shared" si="0"/>
        <v>IREffluent</v>
      </c>
      <c r="G11">
        <v>156.26177160283723</v>
      </c>
    </row>
    <row r="12" spans="1:7" x14ac:dyDescent="0.2">
      <c r="A12" s="5" t="s">
        <v>26</v>
      </c>
      <c r="B12" s="5">
        <v>9</v>
      </c>
      <c r="C12" t="s">
        <v>78</v>
      </c>
      <c r="D12" t="s">
        <v>81</v>
      </c>
      <c r="E12" t="s">
        <v>84</v>
      </c>
      <c r="F12" t="str">
        <f t="shared" si="0"/>
        <v>DarkEffluent</v>
      </c>
      <c r="G12">
        <v>181.49035252906259</v>
      </c>
    </row>
    <row r="13" spans="1:7" x14ac:dyDescent="0.2">
      <c r="A13" s="5" t="s">
        <v>24</v>
      </c>
      <c r="B13" s="5">
        <v>9</v>
      </c>
      <c r="C13" t="s">
        <v>79</v>
      </c>
      <c r="D13" t="s">
        <v>81</v>
      </c>
      <c r="E13" t="s">
        <v>84</v>
      </c>
      <c r="F13" t="str">
        <f t="shared" si="0"/>
        <v>IREffluent</v>
      </c>
      <c r="G13">
        <v>181.5563873833662</v>
      </c>
    </row>
    <row r="14" spans="1:7" x14ac:dyDescent="0.2">
      <c r="A14" s="5" t="s">
        <v>27</v>
      </c>
      <c r="B14" s="5">
        <v>14</v>
      </c>
      <c r="C14" t="s">
        <v>78</v>
      </c>
      <c r="D14" t="s">
        <v>81</v>
      </c>
      <c r="E14" t="s">
        <v>84</v>
      </c>
      <c r="F14" t="str">
        <f t="shared" si="0"/>
        <v>DarkEffluent</v>
      </c>
      <c r="G14">
        <v>179.0417023100629</v>
      </c>
    </row>
    <row r="15" spans="1:7" x14ac:dyDescent="0.2">
      <c r="A15" s="5" t="s">
        <v>24</v>
      </c>
      <c r="B15" s="5">
        <v>14</v>
      </c>
      <c r="C15" t="s">
        <v>79</v>
      </c>
      <c r="D15" t="s">
        <v>81</v>
      </c>
      <c r="E15" t="s">
        <v>84</v>
      </c>
      <c r="F15" t="str">
        <f t="shared" si="0"/>
        <v>IREffluent</v>
      </c>
      <c r="G15">
        <v>161.03901272290116</v>
      </c>
    </row>
    <row r="16" spans="1:7" x14ac:dyDescent="0.2">
      <c r="A16" s="5" t="s">
        <v>28</v>
      </c>
      <c r="B16" s="5">
        <v>23</v>
      </c>
      <c r="C16" t="s">
        <v>78</v>
      </c>
      <c r="D16" t="s">
        <v>81</v>
      </c>
      <c r="E16" t="s">
        <v>84</v>
      </c>
      <c r="F16" t="str">
        <f t="shared" si="0"/>
        <v>DarkEffluent</v>
      </c>
      <c r="G16">
        <v>159.95612456690179</v>
      </c>
    </row>
    <row r="17" spans="1:11" x14ac:dyDescent="0.2">
      <c r="A17" s="5" t="s">
        <v>24</v>
      </c>
      <c r="B17" s="5">
        <v>23</v>
      </c>
      <c r="C17" t="s">
        <v>79</v>
      </c>
      <c r="D17" t="s">
        <v>81</v>
      </c>
      <c r="E17" t="s">
        <v>84</v>
      </c>
      <c r="F17" t="str">
        <f t="shared" si="0"/>
        <v>IREffluent</v>
      </c>
      <c r="G17">
        <v>146.91296312697838</v>
      </c>
    </row>
    <row r="18" spans="1:11" x14ac:dyDescent="0.2">
      <c r="A18" s="5" t="s">
        <v>29</v>
      </c>
      <c r="B18" s="5">
        <v>27</v>
      </c>
      <c r="C18" t="s">
        <v>78</v>
      </c>
      <c r="D18" t="s">
        <v>81</v>
      </c>
      <c r="E18" t="s">
        <v>84</v>
      </c>
      <c r="F18" t="str">
        <f t="shared" si="0"/>
        <v>DarkEffluent</v>
      </c>
      <c r="G18">
        <v>154.36652859886325</v>
      </c>
    </row>
    <row r="19" spans="1:11" x14ac:dyDescent="0.2">
      <c r="A19" s="5" t="s">
        <v>24</v>
      </c>
      <c r="B19" s="5">
        <v>27</v>
      </c>
      <c r="C19" t="s">
        <v>79</v>
      </c>
      <c r="D19" t="s">
        <v>81</v>
      </c>
      <c r="E19" t="s">
        <v>84</v>
      </c>
      <c r="F19" t="str">
        <f t="shared" si="0"/>
        <v>IREffluent</v>
      </c>
      <c r="G19">
        <v>154.10984675051796</v>
      </c>
    </row>
    <row r="20" spans="1:11" x14ac:dyDescent="0.2">
      <c r="A20" s="7" t="s">
        <v>30</v>
      </c>
      <c r="B20" s="7">
        <v>28</v>
      </c>
      <c r="C20" t="s">
        <v>78</v>
      </c>
      <c r="D20" t="s">
        <v>81</v>
      </c>
      <c r="E20" t="s">
        <v>84</v>
      </c>
      <c r="F20" t="str">
        <f t="shared" si="0"/>
        <v>DarkEffluent</v>
      </c>
      <c r="G20">
        <v>145.82148941504195</v>
      </c>
    </row>
    <row r="21" spans="1:11" x14ac:dyDescent="0.2">
      <c r="A21" s="7" t="s">
        <v>24</v>
      </c>
      <c r="B21" s="7">
        <v>28</v>
      </c>
      <c r="C21" t="s">
        <v>79</v>
      </c>
      <c r="D21" t="s">
        <v>81</v>
      </c>
      <c r="E21" t="s">
        <v>84</v>
      </c>
      <c r="F21" t="str">
        <f t="shared" si="0"/>
        <v>IREffluent</v>
      </c>
      <c r="G21">
        <v>152.202930245255</v>
      </c>
    </row>
    <row r="22" spans="1:11" x14ac:dyDescent="0.2">
      <c r="A22" s="5" t="s">
        <v>31</v>
      </c>
      <c r="B22" s="5">
        <v>29</v>
      </c>
      <c r="C22" t="s">
        <v>78</v>
      </c>
      <c r="D22" t="s">
        <v>81</v>
      </c>
      <c r="E22" t="s">
        <v>84</v>
      </c>
      <c r="F22" t="str">
        <f t="shared" si="0"/>
        <v>DarkEffluent</v>
      </c>
      <c r="G22">
        <v>138.9233149940782</v>
      </c>
    </row>
    <row r="23" spans="1:11" x14ac:dyDescent="0.2">
      <c r="A23" s="5" t="s">
        <v>24</v>
      </c>
      <c r="B23" s="5">
        <v>29</v>
      </c>
      <c r="C23" t="s">
        <v>79</v>
      </c>
      <c r="D23" t="s">
        <v>81</v>
      </c>
      <c r="E23" t="s">
        <v>84</v>
      </c>
      <c r="F23" t="str">
        <f t="shared" si="0"/>
        <v>IREffluent</v>
      </c>
      <c r="G23">
        <v>113.66230441112207</v>
      </c>
      <c r="I23" s="19" t="s">
        <v>105</v>
      </c>
      <c r="J23" s="20"/>
      <c r="K23" s="21"/>
    </row>
    <row r="24" spans="1:11" x14ac:dyDescent="0.2">
      <c r="A24" s="9" t="s">
        <v>55</v>
      </c>
      <c r="B24" s="9">
        <v>50</v>
      </c>
      <c r="C24" t="s">
        <v>78</v>
      </c>
      <c r="D24" t="s">
        <v>82</v>
      </c>
      <c r="E24" t="s">
        <v>84</v>
      </c>
      <c r="F24" t="str">
        <f t="shared" si="0"/>
        <v>DarkInfluent</v>
      </c>
      <c r="G24">
        <v>157.98985554982457</v>
      </c>
      <c r="I24" s="22" t="s">
        <v>78</v>
      </c>
      <c r="J24" s="23" t="s">
        <v>82</v>
      </c>
      <c r="K24" s="24">
        <f>AVERAGE(G24,G28,G32,G36,G40,G44,G48,G52)</f>
        <v>146.4884442378665</v>
      </c>
    </row>
    <row r="25" spans="1:11" x14ac:dyDescent="0.2">
      <c r="A25" s="9" t="s">
        <v>52</v>
      </c>
      <c r="B25" s="9">
        <v>50</v>
      </c>
      <c r="C25" t="s">
        <v>79</v>
      </c>
      <c r="D25" t="s">
        <v>82</v>
      </c>
      <c r="E25" t="s">
        <v>84</v>
      </c>
      <c r="F25" t="str">
        <f t="shared" si="0"/>
        <v>IRInfluent</v>
      </c>
      <c r="G25">
        <v>223.565947095952</v>
      </c>
      <c r="I25" s="25" t="s">
        <v>79</v>
      </c>
      <c r="J25" s="26" t="s">
        <v>82</v>
      </c>
      <c r="K25" s="27">
        <f>AVERAGE(G25,G29,G33,G37,G41,G45,G49,G53)</f>
        <v>165.85598518145278</v>
      </c>
    </row>
    <row r="26" spans="1:11" x14ac:dyDescent="0.2">
      <c r="A26" s="9" t="s">
        <v>54</v>
      </c>
      <c r="B26" s="9">
        <v>50</v>
      </c>
      <c r="C26" t="s">
        <v>78</v>
      </c>
      <c r="D26" t="s">
        <v>81</v>
      </c>
      <c r="E26" t="s">
        <v>84</v>
      </c>
      <c r="F26" t="str">
        <f t="shared" si="0"/>
        <v>DarkEffluent</v>
      </c>
      <c r="G26">
        <v>136.85735898972385</v>
      </c>
      <c r="I26" s="25" t="s">
        <v>78</v>
      </c>
      <c r="J26" s="26" t="s">
        <v>81</v>
      </c>
      <c r="K26" s="27">
        <f>AVERAGE(G26,G30,G34,G38,G42,G46,G50,G54)</f>
        <v>145.32145228186417</v>
      </c>
    </row>
    <row r="27" spans="1:11" x14ac:dyDescent="0.2">
      <c r="A27" s="9" t="s">
        <v>35</v>
      </c>
      <c r="B27" s="9">
        <v>50</v>
      </c>
      <c r="C27" t="s">
        <v>79</v>
      </c>
      <c r="D27" t="s">
        <v>81</v>
      </c>
      <c r="E27" t="s">
        <v>84</v>
      </c>
      <c r="F27" t="str">
        <f t="shared" si="0"/>
        <v>IREffluent</v>
      </c>
      <c r="G27">
        <v>118.01936772476323</v>
      </c>
      <c r="I27" s="25" t="s">
        <v>79</v>
      </c>
      <c r="J27" s="26" t="s">
        <v>81</v>
      </c>
      <c r="K27" s="27">
        <f>AVERAGE(G27,G31,G35,G39,G43,G47,G51,G55)</f>
        <v>108.27710055382605</v>
      </c>
    </row>
    <row r="28" spans="1:11" x14ac:dyDescent="0.2">
      <c r="A28" s="9" t="s">
        <v>56</v>
      </c>
      <c r="B28" s="9">
        <v>52</v>
      </c>
      <c r="C28" t="s">
        <v>78</v>
      </c>
      <c r="D28" t="s">
        <v>82</v>
      </c>
      <c r="E28" t="s">
        <v>84</v>
      </c>
      <c r="F28" t="str">
        <f t="shared" si="0"/>
        <v>DarkInfluent</v>
      </c>
      <c r="G28">
        <v>149.13451978703054</v>
      </c>
      <c r="I28" s="25"/>
      <c r="J28" s="26" t="s">
        <v>107</v>
      </c>
      <c r="K28" s="27">
        <f>(K24-K26)/K24</f>
        <v>7.9664437838344732E-3</v>
      </c>
    </row>
    <row r="29" spans="1:11" x14ac:dyDescent="0.2">
      <c r="A29" s="9" t="s">
        <v>52</v>
      </c>
      <c r="B29" s="9">
        <v>52</v>
      </c>
      <c r="C29" t="s">
        <v>79</v>
      </c>
      <c r="D29" t="s">
        <v>82</v>
      </c>
      <c r="E29" t="s">
        <v>84</v>
      </c>
      <c r="F29" t="str">
        <f t="shared" si="0"/>
        <v>IRInfluent</v>
      </c>
      <c r="G29">
        <v>151.88782730999785</v>
      </c>
      <c r="I29" s="28"/>
      <c r="J29" s="29" t="s">
        <v>106</v>
      </c>
      <c r="K29" s="30">
        <f>(K25-K27)/K25</f>
        <v>0.3471619342807149</v>
      </c>
    </row>
    <row r="30" spans="1:11" x14ac:dyDescent="0.2">
      <c r="A30" s="9" t="s">
        <v>54</v>
      </c>
      <c r="B30" s="9">
        <v>52</v>
      </c>
      <c r="C30" t="s">
        <v>78</v>
      </c>
      <c r="D30" t="s">
        <v>81</v>
      </c>
      <c r="E30" t="s">
        <v>84</v>
      </c>
      <c r="F30" t="str">
        <f t="shared" si="0"/>
        <v>DarkEffluent</v>
      </c>
      <c r="G30">
        <v>130.557559623907</v>
      </c>
    </row>
    <row r="31" spans="1:11" x14ac:dyDescent="0.2">
      <c r="A31" s="9" t="s">
        <v>35</v>
      </c>
      <c r="B31" s="9">
        <v>52</v>
      </c>
      <c r="C31" t="s">
        <v>79</v>
      </c>
      <c r="D31" t="s">
        <v>81</v>
      </c>
      <c r="E31" t="s">
        <v>84</v>
      </c>
      <c r="F31" t="str">
        <f t="shared" si="0"/>
        <v>IREffluent</v>
      </c>
      <c r="G31">
        <v>111.15917920023355</v>
      </c>
    </row>
    <row r="32" spans="1:11" x14ac:dyDescent="0.2">
      <c r="A32" s="9" t="s">
        <v>57</v>
      </c>
      <c r="B32" s="9">
        <v>59</v>
      </c>
      <c r="C32" t="s">
        <v>78</v>
      </c>
      <c r="D32" t="s">
        <v>82</v>
      </c>
      <c r="E32" t="s">
        <v>84</v>
      </c>
      <c r="F32" t="str">
        <f t="shared" si="0"/>
        <v>DarkInfluent</v>
      </c>
      <c r="G32">
        <v>180.78980317819031</v>
      </c>
    </row>
    <row r="33" spans="1:7" x14ac:dyDescent="0.2">
      <c r="A33" s="9" t="s">
        <v>52</v>
      </c>
      <c r="B33" s="9">
        <v>59</v>
      </c>
      <c r="C33" t="s">
        <v>79</v>
      </c>
      <c r="D33" t="s">
        <v>82</v>
      </c>
      <c r="E33" t="s">
        <v>84</v>
      </c>
      <c r="F33" t="str">
        <f t="shared" si="0"/>
        <v>IRInfluent</v>
      </c>
      <c r="G33">
        <v>185.3367186919919</v>
      </c>
    </row>
    <row r="34" spans="1:7" x14ac:dyDescent="0.2">
      <c r="A34" s="9" t="s">
        <v>54</v>
      </c>
      <c r="B34" s="9">
        <v>59</v>
      </c>
      <c r="C34" t="s">
        <v>78</v>
      </c>
      <c r="D34" t="s">
        <v>81</v>
      </c>
      <c r="E34" t="s">
        <v>84</v>
      </c>
      <c r="F34" t="str">
        <f t="shared" si="0"/>
        <v>DarkEffluent</v>
      </c>
      <c r="G34">
        <v>156.74870231888707</v>
      </c>
    </row>
    <row r="35" spans="1:7" x14ac:dyDescent="0.2">
      <c r="A35" s="9" t="s">
        <v>35</v>
      </c>
      <c r="B35" s="9">
        <v>59</v>
      </c>
      <c r="C35" t="s">
        <v>79</v>
      </c>
      <c r="D35" t="s">
        <v>81</v>
      </c>
      <c r="E35" t="s">
        <v>84</v>
      </c>
      <c r="F35" t="str">
        <f t="shared" si="0"/>
        <v>IREffluent</v>
      </c>
      <c r="G35">
        <v>111.917211049358</v>
      </c>
    </row>
    <row r="36" spans="1:7" x14ac:dyDescent="0.2">
      <c r="A36" s="9" t="s">
        <v>58</v>
      </c>
      <c r="B36" s="9">
        <v>62</v>
      </c>
      <c r="C36" t="s">
        <v>78</v>
      </c>
      <c r="D36" t="s">
        <v>82</v>
      </c>
      <c r="E36" t="s">
        <v>84</v>
      </c>
      <c r="F36" t="str">
        <f t="shared" si="0"/>
        <v>DarkInfluent</v>
      </c>
      <c r="G36">
        <v>183.62746131931388</v>
      </c>
    </row>
    <row r="37" spans="1:7" x14ac:dyDescent="0.2">
      <c r="A37" s="9" t="s">
        <v>52</v>
      </c>
      <c r="B37" s="9">
        <v>62</v>
      </c>
      <c r="C37" t="s">
        <v>79</v>
      </c>
      <c r="D37" t="s">
        <v>82</v>
      </c>
      <c r="E37" t="s">
        <v>84</v>
      </c>
      <c r="F37" t="str">
        <f t="shared" si="0"/>
        <v>IRInfluent</v>
      </c>
      <c r="G37">
        <v>154.38002865867841</v>
      </c>
    </row>
    <row r="38" spans="1:7" x14ac:dyDescent="0.2">
      <c r="A38" s="9" t="s">
        <v>54</v>
      </c>
      <c r="B38" s="9">
        <v>62</v>
      </c>
      <c r="C38" t="s">
        <v>78</v>
      </c>
      <c r="D38" t="s">
        <v>81</v>
      </c>
      <c r="E38" t="s">
        <v>84</v>
      </c>
      <c r="F38" t="str">
        <f t="shared" si="0"/>
        <v>DarkEffluent</v>
      </c>
      <c r="G38">
        <v>136.88398679650885</v>
      </c>
    </row>
    <row r="39" spans="1:7" x14ac:dyDescent="0.2">
      <c r="A39" s="9" t="s">
        <v>35</v>
      </c>
      <c r="B39" s="9">
        <v>62</v>
      </c>
      <c r="C39" t="s">
        <v>79</v>
      </c>
      <c r="D39" t="s">
        <v>81</v>
      </c>
      <c r="E39" t="s">
        <v>84</v>
      </c>
      <c r="F39" t="str">
        <f t="shared" si="0"/>
        <v>IREffluent</v>
      </c>
      <c r="G39">
        <v>109.93897950499624</v>
      </c>
    </row>
    <row r="40" spans="1:7" x14ac:dyDescent="0.2">
      <c r="A40" s="9" t="s">
        <v>59</v>
      </c>
      <c r="B40" s="9">
        <v>66</v>
      </c>
      <c r="C40" t="s">
        <v>78</v>
      </c>
      <c r="D40" t="s">
        <v>82</v>
      </c>
      <c r="E40" t="s">
        <v>84</v>
      </c>
      <c r="F40" t="str">
        <f t="shared" si="0"/>
        <v>DarkInfluent</v>
      </c>
      <c r="G40">
        <v>144.68453674248767</v>
      </c>
    </row>
    <row r="41" spans="1:7" x14ac:dyDescent="0.2">
      <c r="A41" s="9" t="s">
        <v>52</v>
      </c>
      <c r="B41" s="9">
        <v>66</v>
      </c>
      <c r="C41" t="s">
        <v>79</v>
      </c>
      <c r="D41" t="s">
        <v>82</v>
      </c>
      <c r="E41" t="s">
        <v>84</v>
      </c>
      <c r="F41" t="str">
        <f t="shared" si="0"/>
        <v>IRInfluent</v>
      </c>
      <c r="G41">
        <v>157.23239114721869</v>
      </c>
    </row>
    <row r="42" spans="1:7" x14ac:dyDescent="0.2">
      <c r="A42" s="9" t="s">
        <v>54</v>
      </c>
      <c r="B42" s="9">
        <v>66</v>
      </c>
      <c r="C42" t="s">
        <v>78</v>
      </c>
      <c r="D42" t="s">
        <v>81</v>
      </c>
      <c r="E42" t="s">
        <v>84</v>
      </c>
      <c r="F42" t="str">
        <f t="shared" si="0"/>
        <v>DarkEffluent</v>
      </c>
      <c r="G42">
        <v>163.25602316913523</v>
      </c>
    </row>
    <row r="43" spans="1:7" x14ac:dyDescent="0.2">
      <c r="A43" s="9" t="s">
        <v>35</v>
      </c>
      <c r="B43" s="9">
        <v>66</v>
      </c>
      <c r="C43" t="s">
        <v>79</v>
      </c>
      <c r="D43" t="s">
        <v>81</v>
      </c>
      <c r="E43" t="s">
        <v>84</v>
      </c>
      <c r="F43" t="str">
        <f t="shared" si="0"/>
        <v>IREffluent</v>
      </c>
      <c r="G43">
        <v>108.87340581701929</v>
      </c>
    </row>
    <row r="44" spans="1:7" x14ac:dyDescent="0.2">
      <c r="A44" s="9" t="s">
        <v>60</v>
      </c>
      <c r="B44" s="9">
        <v>70</v>
      </c>
      <c r="C44" t="s">
        <v>78</v>
      </c>
      <c r="D44" t="s">
        <v>82</v>
      </c>
      <c r="E44" t="s">
        <v>84</v>
      </c>
      <c r="F44" t="str">
        <f t="shared" si="0"/>
        <v>DarkInfluent</v>
      </c>
      <c r="G44">
        <v>175.41348812916374</v>
      </c>
    </row>
    <row r="45" spans="1:7" x14ac:dyDescent="0.2">
      <c r="A45" s="9" t="s">
        <v>52</v>
      </c>
      <c r="B45" s="9">
        <v>70</v>
      </c>
      <c r="C45" t="s">
        <v>79</v>
      </c>
      <c r="D45" t="s">
        <v>82</v>
      </c>
      <c r="E45" t="s">
        <v>84</v>
      </c>
      <c r="F45" t="str">
        <f t="shared" si="0"/>
        <v>IRInfluent</v>
      </c>
      <c r="G45">
        <v>215.14632598859129</v>
      </c>
    </row>
    <row r="46" spans="1:7" x14ac:dyDescent="0.2">
      <c r="A46" s="9" t="s">
        <v>54</v>
      </c>
      <c r="B46" s="9">
        <v>70</v>
      </c>
      <c r="C46" t="s">
        <v>78</v>
      </c>
      <c r="D46" t="s">
        <v>81</v>
      </c>
      <c r="E46" t="s">
        <v>84</v>
      </c>
      <c r="F46" t="str">
        <f t="shared" si="0"/>
        <v>DarkEffluent</v>
      </c>
      <c r="G46">
        <v>187.67808285650915</v>
      </c>
    </row>
    <row r="47" spans="1:7" x14ac:dyDescent="0.2">
      <c r="A47" s="9" t="s">
        <v>35</v>
      </c>
      <c r="B47" s="9">
        <v>70</v>
      </c>
      <c r="C47" t="s">
        <v>79</v>
      </c>
      <c r="D47" t="s">
        <v>81</v>
      </c>
      <c r="E47" t="s">
        <v>84</v>
      </c>
      <c r="F47" t="str">
        <f t="shared" si="0"/>
        <v>IREffluent</v>
      </c>
      <c r="G47">
        <v>101.43736315894861</v>
      </c>
    </row>
    <row r="48" spans="1:7" x14ac:dyDescent="0.2">
      <c r="A48" s="9" t="s">
        <v>61</v>
      </c>
      <c r="B48" s="9">
        <v>74</v>
      </c>
      <c r="C48" t="s">
        <v>78</v>
      </c>
      <c r="D48" t="s">
        <v>82</v>
      </c>
      <c r="E48" t="s">
        <v>84</v>
      </c>
      <c r="F48" t="str">
        <f t="shared" si="0"/>
        <v>DarkInfluent</v>
      </c>
      <c r="G48">
        <v>89.418834389209806</v>
      </c>
    </row>
    <row r="49" spans="1:7" x14ac:dyDescent="0.2">
      <c r="A49" s="9" t="s">
        <v>52</v>
      </c>
      <c r="B49" s="9">
        <v>74</v>
      </c>
      <c r="C49" t="s">
        <v>79</v>
      </c>
      <c r="D49" t="s">
        <v>82</v>
      </c>
      <c r="E49" t="s">
        <v>84</v>
      </c>
      <c r="F49" t="str">
        <f t="shared" si="0"/>
        <v>IRInfluent</v>
      </c>
      <c r="G49">
        <v>85.770828291617406</v>
      </c>
    </row>
    <row r="50" spans="1:7" x14ac:dyDescent="0.2">
      <c r="A50" s="9" t="s">
        <v>54</v>
      </c>
      <c r="B50" s="9">
        <v>74</v>
      </c>
      <c r="C50" t="s">
        <v>78</v>
      </c>
      <c r="D50" t="s">
        <v>81</v>
      </c>
      <c r="E50" t="s">
        <v>84</v>
      </c>
      <c r="F50" t="str">
        <f t="shared" si="0"/>
        <v>DarkEffluent</v>
      </c>
      <c r="G50">
        <v>126.89666060163974</v>
      </c>
    </row>
    <row r="51" spans="1:7" x14ac:dyDescent="0.2">
      <c r="A51" s="9" t="s">
        <v>35</v>
      </c>
      <c r="B51" s="9">
        <v>74</v>
      </c>
      <c r="C51" t="s">
        <v>79</v>
      </c>
      <c r="D51" t="s">
        <v>81</v>
      </c>
      <c r="E51" t="s">
        <v>84</v>
      </c>
      <c r="F51" t="str">
        <f t="shared" si="0"/>
        <v>IREffluent</v>
      </c>
      <c r="G51">
        <v>74.449536853207135</v>
      </c>
    </row>
    <row r="52" spans="1:7" x14ac:dyDescent="0.2">
      <c r="A52" s="9" t="s">
        <v>62</v>
      </c>
      <c r="B52" s="9">
        <v>81</v>
      </c>
      <c r="C52" t="s">
        <v>78</v>
      </c>
      <c r="D52" t="s">
        <v>82</v>
      </c>
      <c r="E52" t="s">
        <v>84</v>
      </c>
      <c r="F52" t="str">
        <f t="shared" si="0"/>
        <v>DarkInfluent</v>
      </c>
      <c r="G52">
        <v>90.849054807711283</v>
      </c>
    </row>
    <row r="53" spans="1:7" x14ac:dyDescent="0.2">
      <c r="A53" s="9" t="s">
        <v>52</v>
      </c>
      <c r="B53" s="9">
        <v>81</v>
      </c>
      <c r="C53" t="s">
        <v>79</v>
      </c>
      <c r="D53" t="s">
        <v>82</v>
      </c>
      <c r="E53" t="s">
        <v>84</v>
      </c>
      <c r="F53" t="str">
        <f t="shared" si="0"/>
        <v>IRInfluent</v>
      </c>
      <c r="G53">
        <v>153.52781426757477</v>
      </c>
    </row>
    <row r="54" spans="1:7" x14ac:dyDescent="0.2">
      <c r="A54" s="9" t="s">
        <v>54</v>
      </c>
      <c r="B54" s="9">
        <v>81</v>
      </c>
      <c r="C54" t="s">
        <v>78</v>
      </c>
      <c r="D54" t="s">
        <v>81</v>
      </c>
      <c r="E54" t="s">
        <v>84</v>
      </c>
      <c r="F54" t="str">
        <f t="shared" si="0"/>
        <v>DarkEffluent</v>
      </c>
      <c r="G54">
        <v>123.69324389860223</v>
      </c>
    </row>
    <row r="55" spans="1:7" x14ac:dyDescent="0.2">
      <c r="A55" s="9" t="s">
        <v>35</v>
      </c>
      <c r="B55" s="9">
        <v>81</v>
      </c>
      <c r="C55" t="s">
        <v>79</v>
      </c>
      <c r="D55" t="s">
        <v>81</v>
      </c>
      <c r="E55" t="s">
        <v>84</v>
      </c>
      <c r="F55" t="str">
        <f t="shared" si="0"/>
        <v>IREffluent</v>
      </c>
      <c r="G55">
        <v>130.42176112208216</v>
      </c>
    </row>
  </sheetData>
  <mergeCells count="1">
    <mergeCell ref="I23:K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15199-67E6-474A-8305-1ED4CACEB046}">
  <dimension ref="A1:K55"/>
  <sheetViews>
    <sheetView topLeftCell="A9" workbookViewId="0">
      <selection activeCell="I23" sqref="I23:K29"/>
    </sheetView>
  </sheetViews>
  <sheetFormatPr baseColWidth="10" defaultRowHeight="16" x14ac:dyDescent="0.2"/>
  <sheetData>
    <row r="1" spans="1:9" x14ac:dyDescent="0.2">
      <c r="A1" s="11" t="s">
        <v>76</v>
      </c>
      <c r="B1" s="11" t="s">
        <v>89</v>
      </c>
      <c r="C1" s="11" t="s">
        <v>80</v>
      </c>
      <c r="D1" s="11" t="s">
        <v>88</v>
      </c>
      <c r="E1" s="11" t="s">
        <v>83</v>
      </c>
      <c r="F1" s="11" t="s">
        <v>77</v>
      </c>
      <c r="G1" s="11" t="s">
        <v>86</v>
      </c>
    </row>
    <row r="2" spans="1:9" x14ac:dyDescent="0.2">
      <c r="A2" s="3" t="s">
        <v>20</v>
      </c>
      <c r="B2" s="3">
        <v>0</v>
      </c>
      <c r="C2" t="s">
        <v>78</v>
      </c>
      <c r="D2" t="s">
        <v>81</v>
      </c>
      <c r="E2" t="s">
        <v>104</v>
      </c>
      <c r="F2" t="str">
        <f>_xlfn.CONCAT(C2,D2)</f>
        <v>DarkEffluent</v>
      </c>
      <c r="G2">
        <v>79.326592268229291</v>
      </c>
    </row>
    <row r="3" spans="1:9" x14ac:dyDescent="0.2">
      <c r="A3" s="3" t="s">
        <v>15</v>
      </c>
      <c r="B3" s="3">
        <v>0</v>
      </c>
      <c r="C3" t="s">
        <v>79</v>
      </c>
      <c r="D3" t="s">
        <v>81</v>
      </c>
      <c r="E3" t="s">
        <v>104</v>
      </c>
      <c r="F3" t="str">
        <f t="shared" ref="F3:F55" si="0">_xlfn.CONCAT(C3,D3)</f>
        <v>IREffluent</v>
      </c>
      <c r="G3">
        <v>87.915681030593092</v>
      </c>
    </row>
    <row r="4" spans="1:9" x14ac:dyDescent="0.2">
      <c r="A4" s="3" t="s">
        <v>21</v>
      </c>
      <c r="B4" s="3">
        <v>3</v>
      </c>
      <c r="C4" t="s">
        <v>78</v>
      </c>
      <c r="D4" t="s">
        <v>81</v>
      </c>
      <c r="E4" t="s">
        <v>104</v>
      </c>
      <c r="F4" t="str">
        <f t="shared" si="0"/>
        <v>DarkEffluent</v>
      </c>
      <c r="G4">
        <v>81.428923359158375</v>
      </c>
      <c r="I4" t="s">
        <v>79</v>
      </c>
    </row>
    <row r="5" spans="1:9" x14ac:dyDescent="0.2">
      <c r="A5" s="3" t="s">
        <v>15</v>
      </c>
      <c r="B5" s="3">
        <v>3</v>
      </c>
      <c r="C5" t="s">
        <v>79</v>
      </c>
      <c r="D5" t="s">
        <v>81</v>
      </c>
      <c r="E5" t="s">
        <v>104</v>
      </c>
      <c r="F5" t="str">
        <f t="shared" si="0"/>
        <v>IREffluent</v>
      </c>
      <c r="G5">
        <v>80.201902591857575</v>
      </c>
    </row>
    <row r="6" spans="1:9" x14ac:dyDescent="0.2">
      <c r="A6" s="3" t="s">
        <v>22</v>
      </c>
      <c r="B6" s="3">
        <v>3</v>
      </c>
      <c r="C6" t="s">
        <v>78</v>
      </c>
      <c r="D6" t="s">
        <v>81</v>
      </c>
      <c r="E6" t="s">
        <v>104</v>
      </c>
      <c r="F6" t="str">
        <f t="shared" si="0"/>
        <v>DarkEffluent</v>
      </c>
      <c r="G6">
        <v>76.07978665682468</v>
      </c>
    </row>
    <row r="7" spans="1:9" x14ac:dyDescent="0.2">
      <c r="A7" s="3" t="s">
        <v>15</v>
      </c>
      <c r="B7" s="3">
        <v>3</v>
      </c>
      <c r="C7" t="s">
        <v>79</v>
      </c>
      <c r="D7" t="s">
        <v>81</v>
      </c>
      <c r="E7" t="s">
        <v>104</v>
      </c>
      <c r="F7" t="str">
        <f t="shared" si="0"/>
        <v>IREffluent</v>
      </c>
      <c r="G7">
        <v>92.677495734988952</v>
      </c>
    </row>
    <row r="8" spans="1:9" x14ac:dyDescent="0.2">
      <c r="A8" s="3" t="s">
        <v>23</v>
      </c>
      <c r="B8" s="3">
        <v>7</v>
      </c>
      <c r="C8" t="s">
        <v>78</v>
      </c>
      <c r="D8" t="s">
        <v>81</v>
      </c>
      <c r="E8" t="s">
        <v>104</v>
      </c>
      <c r="F8" t="str">
        <f t="shared" si="0"/>
        <v>DarkEffluent</v>
      </c>
      <c r="G8">
        <v>92.061014560689003</v>
      </c>
    </row>
    <row r="9" spans="1:9" x14ac:dyDescent="0.2">
      <c r="A9" s="3" t="s">
        <v>24</v>
      </c>
      <c r="B9" s="3">
        <v>7</v>
      </c>
      <c r="C9" t="s">
        <v>79</v>
      </c>
      <c r="D9" t="s">
        <v>81</v>
      </c>
      <c r="E9" t="s">
        <v>104</v>
      </c>
      <c r="F9" t="str">
        <f t="shared" si="0"/>
        <v>IREffluent</v>
      </c>
      <c r="G9">
        <v>98.836001166661063</v>
      </c>
    </row>
    <row r="10" spans="1:9" x14ac:dyDescent="0.2">
      <c r="A10" s="5" t="s">
        <v>25</v>
      </c>
      <c r="B10" s="5">
        <v>8</v>
      </c>
      <c r="C10" t="s">
        <v>78</v>
      </c>
      <c r="D10" t="s">
        <v>81</v>
      </c>
      <c r="E10" t="s">
        <v>104</v>
      </c>
      <c r="F10" t="str">
        <f t="shared" si="0"/>
        <v>DarkEffluent</v>
      </c>
      <c r="G10">
        <v>86.358880504954811</v>
      </c>
    </row>
    <row r="11" spans="1:9" x14ac:dyDescent="0.2">
      <c r="A11" s="5" t="s">
        <v>24</v>
      </c>
      <c r="B11" s="5">
        <v>8</v>
      </c>
      <c r="C11" t="s">
        <v>79</v>
      </c>
      <c r="D11" t="s">
        <v>81</v>
      </c>
      <c r="E11" t="s">
        <v>104</v>
      </c>
      <c r="F11" t="str">
        <f t="shared" si="0"/>
        <v>IREffluent</v>
      </c>
      <c r="G11">
        <v>98.827027689232466</v>
      </c>
    </row>
    <row r="12" spans="1:9" x14ac:dyDescent="0.2">
      <c r="A12" s="5" t="s">
        <v>26</v>
      </c>
      <c r="B12" s="5">
        <v>9</v>
      </c>
      <c r="C12" t="s">
        <v>78</v>
      </c>
      <c r="D12" t="s">
        <v>81</v>
      </c>
      <c r="E12" t="s">
        <v>104</v>
      </c>
      <c r="F12" t="str">
        <f t="shared" si="0"/>
        <v>DarkEffluent</v>
      </c>
      <c r="G12">
        <v>80.723568443611171</v>
      </c>
    </row>
    <row r="13" spans="1:9" x14ac:dyDescent="0.2">
      <c r="A13" s="5" t="s">
        <v>24</v>
      </c>
      <c r="B13" s="5">
        <v>9</v>
      </c>
      <c r="C13" t="s">
        <v>79</v>
      </c>
      <c r="D13" t="s">
        <v>81</v>
      </c>
      <c r="E13" t="s">
        <v>104</v>
      </c>
      <c r="F13" t="str">
        <f t="shared" si="0"/>
        <v>IREffluent</v>
      </c>
      <c r="G13">
        <v>84.632808431574119</v>
      </c>
    </row>
    <row r="14" spans="1:9" x14ac:dyDescent="0.2">
      <c r="A14" s="5" t="s">
        <v>27</v>
      </c>
      <c r="B14" s="5">
        <v>14</v>
      </c>
      <c r="C14" t="s">
        <v>78</v>
      </c>
      <c r="D14" t="s">
        <v>81</v>
      </c>
      <c r="E14" t="s">
        <v>104</v>
      </c>
      <c r="F14" t="str">
        <f t="shared" si="0"/>
        <v>DarkEffluent</v>
      </c>
      <c r="G14">
        <v>66.174493487419696</v>
      </c>
    </row>
    <row r="15" spans="1:9" x14ac:dyDescent="0.2">
      <c r="A15" s="5" t="s">
        <v>24</v>
      </c>
      <c r="B15" s="5">
        <v>14</v>
      </c>
      <c r="C15" t="s">
        <v>79</v>
      </c>
      <c r="D15" t="s">
        <v>81</v>
      </c>
      <c r="E15" t="s">
        <v>104</v>
      </c>
      <c r="F15" t="str">
        <f t="shared" si="0"/>
        <v>IREffluent</v>
      </c>
      <c r="G15">
        <v>77.793885837945112</v>
      </c>
    </row>
    <row r="16" spans="1:9" x14ac:dyDescent="0.2">
      <c r="A16" s="5" t="s">
        <v>28</v>
      </c>
      <c r="B16" s="5">
        <v>23</v>
      </c>
      <c r="C16" t="s">
        <v>78</v>
      </c>
      <c r="D16" t="s">
        <v>81</v>
      </c>
      <c r="E16" t="s">
        <v>104</v>
      </c>
      <c r="F16" t="str">
        <f t="shared" si="0"/>
        <v>DarkEffluent</v>
      </c>
      <c r="G16">
        <v>77.368831863374751</v>
      </c>
    </row>
    <row r="17" spans="1:11" x14ac:dyDescent="0.2">
      <c r="A17" s="5" t="s">
        <v>24</v>
      </c>
      <c r="B17" s="5">
        <v>23</v>
      </c>
      <c r="C17" t="s">
        <v>79</v>
      </c>
      <c r="D17" t="s">
        <v>81</v>
      </c>
      <c r="E17" t="s">
        <v>104</v>
      </c>
      <c r="F17" t="str">
        <f t="shared" si="0"/>
        <v>IREffluent</v>
      </c>
      <c r="G17">
        <v>84.774868270566202</v>
      </c>
    </row>
    <row r="18" spans="1:11" x14ac:dyDescent="0.2">
      <c r="A18" s="5" t="s">
        <v>29</v>
      </c>
      <c r="B18" s="5">
        <v>27</v>
      </c>
      <c r="C18" t="s">
        <v>78</v>
      </c>
      <c r="D18" t="s">
        <v>81</v>
      </c>
      <c r="E18" t="s">
        <v>104</v>
      </c>
      <c r="F18" t="str">
        <f t="shared" si="0"/>
        <v>DarkEffluent</v>
      </c>
      <c r="G18">
        <v>72.379391111032845</v>
      </c>
    </row>
    <row r="19" spans="1:11" x14ac:dyDescent="0.2">
      <c r="A19" s="5" t="s">
        <v>24</v>
      </c>
      <c r="B19" s="5">
        <v>27</v>
      </c>
      <c r="C19" t="s">
        <v>79</v>
      </c>
      <c r="D19" t="s">
        <v>81</v>
      </c>
      <c r="E19" t="s">
        <v>104</v>
      </c>
      <c r="F19" t="str">
        <f t="shared" si="0"/>
        <v>IREffluent</v>
      </c>
      <c r="G19">
        <v>72.485545618146958</v>
      </c>
    </row>
    <row r="20" spans="1:11" x14ac:dyDescent="0.2">
      <c r="A20" s="7" t="s">
        <v>30</v>
      </c>
      <c r="B20" s="7">
        <v>28</v>
      </c>
      <c r="C20" t="s">
        <v>78</v>
      </c>
      <c r="D20" t="s">
        <v>81</v>
      </c>
      <c r="E20" t="s">
        <v>104</v>
      </c>
      <c r="F20" t="str">
        <f t="shared" si="0"/>
        <v>DarkEffluent</v>
      </c>
      <c r="G20">
        <v>83.30358706425946</v>
      </c>
    </row>
    <row r="21" spans="1:11" x14ac:dyDescent="0.2">
      <c r="A21" s="7" t="s">
        <v>24</v>
      </c>
      <c r="B21" s="7">
        <v>28</v>
      </c>
      <c r="C21" t="s">
        <v>79</v>
      </c>
      <c r="D21" t="s">
        <v>81</v>
      </c>
      <c r="E21" t="s">
        <v>104</v>
      </c>
      <c r="F21" t="str">
        <f t="shared" si="0"/>
        <v>IREffluent</v>
      </c>
      <c r="G21">
        <v>75.901571204600003</v>
      </c>
    </row>
    <row r="22" spans="1:11" x14ac:dyDescent="0.2">
      <c r="A22" s="5" t="s">
        <v>31</v>
      </c>
      <c r="B22" s="5">
        <v>29</v>
      </c>
      <c r="C22" t="s">
        <v>78</v>
      </c>
      <c r="D22" t="s">
        <v>81</v>
      </c>
      <c r="E22" t="s">
        <v>104</v>
      </c>
      <c r="F22" t="str">
        <f t="shared" si="0"/>
        <v>DarkEffluent</v>
      </c>
      <c r="G22">
        <v>64.056096288630869</v>
      </c>
    </row>
    <row r="23" spans="1:11" x14ac:dyDescent="0.2">
      <c r="A23" s="5" t="s">
        <v>24</v>
      </c>
      <c r="B23" s="5">
        <v>29</v>
      </c>
      <c r="C23" t="s">
        <v>79</v>
      </c>
      <c r="D23" t="s">
        <v>81</v>
      </c>
      <c r="E23" t="s">
        <v>104</v>
      </c>
      <c r="F23" t="str">
        <f t="shared" si="0"/>
        <v>IREffluent</v>
      </c>
      <c r="G23">
        <v>68.929875096669718</v>
      </c>
      <c r="I23" s="19" t="s">
        <v>105</v>
      </c>
      <c r="J23" s="20"/>
      <c r="K23" s="21"/>
    </row>
    <row r="24" spans="1:11" x14ac:dyDescent="0.2">
      <c r="A24" s="9" t="s">
        <v>55</v>
      </c>
      <c r="B24" s="9">
        <v>50</v>
      </c>
      <c r="C24" t="s">
        <v>78</v>
      </c>
      <c r="D24" t="s">
        <v>82</v>
      </c>
      <c r="E24" t="s">
        <v>104</v>
      </c>
      <c r="F24" t="str">
        <f t="shared" si="0"/>
        <v>DarkInfluent</v>
      </c>
      <c r="G24">
        <v>171.69887405783129</v>
      </c>
      <c r="I24" s="22" t="s">
        <v>78</v>
      </c>
      <c r="J24" s="23" t="s">
        <v>82</v>
      </c>
      <c r="K24" s="24">
        <f>AVERAGE(G24,G28,G32,G36,G40,G44,G48,G52)</f>
        <v>132.93363781184235</v>
      </c>
    </row>
    <row r="25" spans="1:11" x14ac:dyDescent="0.2">
      <c r="A25" s="9" t="s">
        <v>52</v>
      </c>
      <c r="B25" s="9">
        <v>50</v>
      </c>
      <c r="C25" t="s">
        <v>79</v>
      </c>
      <c r="D25" t="s">
        <v>82</v>
      </c>
      <c r="E25" t="s">
        <v>104</v>
      </c>
      <c r="F25" t="str">
        <f t="shared" si="0"/>
        <v>IRInfluent</v>
      </c>
      <c r="G25">
        <v>189.22070606166253</v>
      </c>
      <c r="I25" s="25" t="s">
        <v>79</v>
      </c>
      <c r="J25" s="26" t="s">
        <v>82</v>
      </c>
      <c r="K25" s="27">
        <f>AVERAGE(G25,G29,G33,G37,G41,G45,G49,G53)</f>
        <v>138.57278445897617</v>
      </c>
    </row>
    <row r="26" spans="1:11" x14ac:dyDescent="0.2">
      <c r="A26" s="9" t="s">
        <v>54</v>
      </c>
      <c r="B26" s="9">
        <v>50</v>
      </c>
      <c r="C26" t="s">
        <v>78</v>
      </c>
      <c r="D26" t="s">
        <v>81</v>
      </c>
      <c r="E26" t="s">
        <v>104</v>
      </c>
      <c r="F26" t="str">
        <f t="shared" si="0"/>
        <v>DarkEffluent</v>
      </c>
      <c r="G26">
        <v>176.16594009007528</v>
      </c>
      <c r="I26" s="25" t="s">
        <v>78</v>
      </c>
      <c r="J26" s="26" t="s">
        <v>81</v>
      </c>
      <c r="K26" s="27">
        <f>AVERAGE(G26,G30,G34,G38,G42,G46,G50,G54)</f>
        <v>122.3306098147207</v>
      </c>
    </row>
    <row r="27" spans="1:11" x14ac:dyDescent="0.2">
      <c r="A27" s="9" t="s">
        <v>35</v>
      </c>
      <c r="B27" s="9">
        <v>50</v>
      </c>
      <c r="C27" t="s">
        <v>79</v>
      </c>
      <c r="D27" t="s">
        <v>81</v>
      </c>
      <c r="E27" t="s">
        <v>104</v>
      </c>
      <c r="F27" t="str">
        <f t="shared" si="0"/>
        <v>IREffluent</v>
      </c>
      <c r="G27">
        <v>158.88909244641337</v>
      </c>
      <c r="I27" s="25" t="s">
        <v>79</v>
      </c>
      <c r="J27" s="26" t="s">
        <v>81</v>
      </c>
      <c r="K27" s="27">
        <f>AVERAGE(G27,G31,G35,G39,G43,G47,G51,G55)</f>
        <v>81.392714946756811</v>
      </c>
    </row>
    <row r="28" spans="1:11" x14ac:dyDescent="0.2">
      <c r="A28" s="9" t="s">
        <v>56</v>
      </c>
      <c r="B28" s="9">
        <v>52</v>
      </c>
      <c r="C28" t="s">
        <v>78</v>
      </c>
      <c r="D28" t="s">
        <v>82</v>
      </c>
      <c r="E28" t="s">
        <v>104</v>
      </c>
      <c r="F28" t="str">
        <f t="shared" si="0"/>
        <v>DarkInfluent</v>
      </c>
      <c r="G28">
        <v>167.51792310629313</v>
      </c>
      <c r="I28" s="25"/>
      <c r="J28" s="26" t="s">
        <v>107</v>
      </c>
      <c r="K28" s="27">
        <f>(K24-K26)/K24</f>
        <v>7.976181327505262E-2</v>
      </c>
    </row>
    <row r="29" spans="1:11" x14ac:dyDescent="0.2">
      <c r="A29" s="9" t="s">
        <v>52</v>
      </c>
      <c r="B29" s="9">
        <v>52</v>
      </c>
      <c r="C29" t="s">
        <v>79</v>
      </c>
      <c r="D29" t="s">
        <v>82</v>
      </c>
      <c r="E29" t="s">
        <v>104</v>
      </c>
      <c r="F29" t="str">
        <f t="shared" si="0"/>
        <v>IRInfluent</v>
      </c>
      <c r="G29">
        <v>166.93261700431222</v>
      </c>
      <c r="I29" s="28"/>
      <c r="J29" s="29" t="s">
        <v>106</v>
      </c>
      <c r="K29" s="30">
        <f>(K25-K27)/K25</f>
        <v>0.41263563935346376</v>
      </c>
    </row>
    <row r="30" spans="1:11" x14ac:dyDescent="0.2">
      <c r="A30" s="9" t="s">
        <v>54</v>
      </c>
      <c r="B30" s="9">
        <v>52</v>
      </c>
      <c r="C30" t="s">
        <v>78</v>
      </c>
      <c r="D30" t="s">
        <v>81</v>
      </c>
      <c r="E30" t="s">
        <v>104</v>
      </c>
      <c r="F30" t="str">
        <f t="shared" si="0"/>
        <v>DarkEffluent</v>
      </c>
      <c r="G30">
        <v>157.56005416041518</v>
      </c>
      <c r="J30" s="31"/>
      <c r="K30" s="32"/>
    </row>
    <row r="31" spans="1:11" x14ac:dyDescent="0.2">
      <c r="A31" s="9" t="s">
        <v>35</v>
      </c>
      <c r="B31" s="9">
        <v>52</v>
      </c>
      <c r="C31" t="s">
        <v>79</v>
      </c>
      <c r="D31" t="s">
        <v>81</v>
      </c>
      <c r="E31" t="s">
        <v>104</v>
      </c>
      <c r="F31" t="str">
        <f t="shared" si="0"/>
        <v>IREffluent</v>
      </c>
      <c r="G31">
        <v>160.48318912970097</v>
      </c>
    </row>
    <row r="32" spans="1:11" x14ac:dyDescent="0.2">
      <c r="A32" s="9" t="s">
        <v>57</v>
      </c>
      <c r="B32" s="9">
        <v>59</v>
      </c>
      <c r="C32" t="s">
        <v>78</v>
      </c>
      <c r="D32" t="s">
        <v>82</v>
      </c>
      <c r="E32" t="s">
        <v>104</v>
      </c>
      <c r="F32" t="str">
        <f t="shared" si="0"/>
        <v>DarkInfluent</v>
      </c>
      <c r="G32">
        <v>107.23036211316506</v>
      </c>
    </row>
    <row r="33" spans="1:7" x14ac:dyDescent="0.2">
      <c r="A33" s="9" t="s">
        <v>52</v>
      </c>
      <c r="B33" s="9">
        <v>59</v>
      </c>
      <c r="C33" t="s">
        <v>79</v>
      </c>
      <c r="D33" t="s">
        <v>82</v>
      </c>
      <c r="E33" t="s">
        <v>104</v>
      </c>
      <c r="F33" t="str">
        <f t="shared" si="0"/>
        <v>IRInfluent</v>
      </c>
      <c r="G33">
        <v>113.41593068256302</v>
      </c>
    </row>
    <row r="34" spans="1:7" x14ac:dyDescent="0.2">
      <c r="A34" s="9" t="s">
        <v>54</v>
      </c>
      <c r="B34" s="9">
        <v>59</v>
      </c>
      <c r="C34" t="s">
        <v>78</v>
      </c>
      <c r="D34" t="s">
        <v>81</v>
      </c>
      <c r="E34" t="s">
        <v>104</v>
      </c>
      <c r="F34" t="str">
        <f t="shared" si="0"/>
        <v>DarkEffluent</v>
      </c>
      <c r="G34">
        <v>110.72046869203362</v>
      </c>
    </row>
    <row r="35" spans="1:7" x14ac:dyDescent="0.2">
      <c r="A35" s="9" t="s">
        <v>35</v>
      </c>
      <c r="B35" s="9">
        <v>59</v>
      </c>
      <c r="C35" t="s">
        <v>79</v>
      </c>
      <c r="D35" t="s">
        <v>81</v>
      </c>
      <c r="E35" t="s">
        <v>104</v>
      </c>
      <c r="F35" t="str">
        <f t="shared" si="0"/>
        <v>IREffluent</v>
      </c>
      <c r="G35">
        <v>52.475726507979395</v>
      </c>
    </row>
    <row r="36" spans="1:7" x14ac:dyDescent="0.2">
      <c r="A36" s="9" t="s">
        <v>58</v>
      </c>
      <c r="B36" s="9">
        <v>62</v>
      </c>
      <c r="C36" t="s">
        <v>78</v>
      </c>
      <c r="D36" t="s">
        <v>82</v>
      </c>
      <c r="E36" t="s">
        <v>104</v>
      </c>
      <c r="F36" t="str">
        <f t="shared" si="0"/>
        <v>DarkInfluent</v>
      </c>
      <c r="G36">
        <v>97.035364053505674</v>
      </c>
    </row>
    <row r="37" spans="1:7" x14ac:dyDescent="0.2">
      <c r="A37" s="9" t="s">
        <v>52</v>
      </c>
      <c r="B37" s="9">
        <v>62</v>
      </c>
      <c r="C37" t="s">
        <v>79</v>
      </c>
      <c r="D37" t="s">
        <v>82</v>
      </c>
      <c r="E37" t="s">
        <v>104</v>
      </c>
      <c r="F37" t="str">
        <f t="shared" si="0"/>
        <v>IRInfluent</v>
      </c>
      <c r="G37">
        <v>102.11263848967826</v>
      </c>
    </row>
    <row r="38" spans="1:7" x14ac:dyDescent="0.2">
      <c r="A38" s="9" t="s">
        <v>54</v>
      </c>
      <c r="B38" s="9">
        <v>62</v>
      </c>
      <c r="C38" t="s">
        <v>78</v>
      </c>
      <c r="D38" t="s">
        <v>81</v>
      </c>
      <c r="E38" t="s">
        <v>104</v>
      </c>
      <c r="F38" t="str">
        <f t="shared" si="0"/>
        <v>DarkEffluent</v>
      </c>
      <c r="G38">
        <v>109.68257843816897</v>
      </c>
    </row>
    <row r="39" spans="1:7" x14ac:dyDescent="0.2">
      <c r="A39" s="9" t="s">
        <v>35</v>
      </c>
      <c r="B39" s="9">
        <v>62</v>
      </c>
      <c r="C39" t="s">
        <v>79</v>
      </c>
      <c r="D39" t="s">
        <v>81</v>
      </c>
      <c r="E39" t="s">
        <v>104</v>
      </c>
      <c r="F39" t="str">
        <f t="shared" si="0"/>
        <v>IREffluent</v>
      </c>
      <c r="G39">
        <v>53.513365428003169</v>
      </c>
    </row>
    <row r="40" spans="1:7" x14ac:dyDescent="0.2">
      <c r="A40" s="9" t="s">
        <v>59</v>
      </c>
      <c r="B40" s="9">
        <v>66</v>
      </c>
      <c r="C40" t="s">
        <v>78</v>
      </c>
      <c r="D40" t="s">
        <v>82</v>
      </c>
      <c r="E40" t="s">
        <v>104</v>
      </c>
      <c r="F40" t="str">
        <f t="shared" si="0"/>
        <v>DarkInfluent</v>
      </c>
      <c r="G40">
        <v>124.44553175814451</v>
      </c>
    </row>
    <row r="41" spans="1:7" x14ac:dyDescent="0.2">
      <c r="A41" s="9" t="s">
        <v>52</v>
      </c>
      <c r="B41" s="9">
        <v>66</v>
      </c>
      <c r="C41" t="s">
        <v>79</v>
      </c>
      <c r="D41" t="s">
        <v>82</v>
      </c>
      <c r="E41" t="s">
        <v>104</v>
      </c>
      <c r="F41" t="str">
        <f t="shared" si="0"/>
        <v>IRInfluent</v>
      </c>
      <c r="G41">
        <v>132.70300116227526</v>
      </c>
    </row>
    <row r="42" spans="1:7" x14ac:dyDescent="0.2">
      <c r="A42" s="9" t="s">
        <v>54</v>
      </c>
      <c r="B42" s="9">
        <v>66</v>
      </c>
      <c r="C42" t="s">
        <v>78</v>
      </c>
      <c r="D42" t="s">
        <v>81</v>
      </c>
      <c r="E42" t="s">
        <v>104</v>
      </c>
      <c r="F42" t="str">
        <f t="shared" si="0"/>
        <v>DarkEffluent</v>
      </c>
      <c r="G42">
        <v>114.52796436102095</v>
      </c>
    </row>
    <row r="43" spans="1:7" x14ac:dyDescent="0.2">
      <c r="A43" s="9" t="s">
        <v>35</v>
      </c>
      <c r="B43" s="9">
        <v>66</v>
      </c>
      <c r="C43" t="s">
        <v>79</v>
      </c>
      <c r="D43" t="s">
        <v>81</v>
      </c>
      <c r="E43" t="s">
        <v>104</v>
      </c>
      <c r="F43" t="str">
        <f t="shared" si="0"/>
        <v>IREffluent</v>
      </c>
      <c r="G43">
        <v>47.0947677041476</v>
      </c>
    </row>
    <row r="44" spans="1:7" x14ac:dyDescent="0.2">
      <c r="A44" s="9" t="s">
        <v>60</v>
      </c>
      <c r="B44" s="9">
        <v>70</v>
      </c>
      <c r="C44" t="s">
        <v>78</v>
      </c>
      <c r="D44" t="s">
        <v>82</v>
      </c>
      <c r="E44" t="s">
        <v>104</v>
      </c>
      <c r="F44" t="str">
        <f t="shared" si="0"/>
        <v>DarkInfluent</v>
      </c>
      <c r="G44">
        <v>119.71299352482859</v>
      </c>
    </row>
    <row r="45" spans="1:7" x14ac:dyDescent="0.2">
      <c r="A45" s="9" t="s">
        <v>52</v>
      </c>
      <c r="B45" s="9">
        <v>70</v>
      </c>
      <c r="C45" t="s">
        <v>79</v>
      </c>
      <c r="D45" t="s">
        <v>82</v>
      </c>
      <c r="E45" t="s">
        <v>104</v>
      </c>
      <c r="F45" t="str">
        <f t="shared" si="0"/>
        <v>IRInfluent</v>
      </c>
      <c r="G45">
        <v>123.51713203871279</v>
      </c>
    </row>
    <row r="46" spans="1:7" x14ac:dyDescent="0.2">
      <c r="A46" s="9" t="s">
        <v>54</v>
      </c>
      <c r="B46" s="9">
        <v>70</v>
      </c>
      <c r="C46" t="s">
        <v>78</v>
      </c>
      <c r="D46" t="s">
        <v>81</v>
      </c>
      <c r="E46" t="s">
        <v>104</v>
      </c>
      <c r="F46" t="str">
        <f t="shared" si="0"/>
        <v>DarkEffluent</v>
      </c>
      <c r="G46">
        <v>119.6572637140313</v>
      </c>
    </row>
    <row r="47" spans="1:7" x14ac:dyDescent="0.2">
      <c r="A47" s="9" t="s">
        <v>35</v>
      </c>
      <c r="B47" s="9">
        <v>70</v>
      </c>
      <c r="C47" t="s">
        <v>79</v>
      </c>
      <c r="D47" t="s">
        <v>81</v>
      </c>
      <c r="E47" t="s">
        <v>104</v>
      </c>
      <c r="F47" t="str">
        <f t="shared" si="0"/>
        <v>IREffluent</v>
      </c>
      <c r="G47">
        <v>54.166619476560022</v>
      </c>
    </row>
    <row r="48" spans="1:7" x14ac:dyDescent="0.2">
      <c r="A48" s="9" t="s">
        <v>61</v>
      </c>
      <c r="B48" s="9">
        <v>74</v>
      </c>
      <c r="C48" t="s">
        <v>78</v>
      </c>
      <c r="D48" t="s">
        <v>82</v>
      </c>
      <c r="E48" t="s">
        <v>104</v>
      </c>
      <c r="F48" t="str">
        <f t="shared" si="0"/>
        <v>DarkInfluent</v>
      </c>
      <c r="G48">
        <v>132.63808353102829</v>
      </c>
    </row>
    <row r="49" spans="1:7" x14ac:dyDescent="0.2">
      <c r="A49" s="9" t="s">
        <v>52</v>
      </c>
      <c r="B49" s="9">
        <v>74</v>
      </c>
      <c r="C49" t="s">
        <v>79</v>
      </c>
      <c r="D49" t="s">
        <v>82</v>
      </c>
      <c r="E49" t="s">
        <v>104</v>
      </c>
      <c r="F49" t="str">
        <f t="shared" si="0"/>
        <v>IRInfluent</v>
      </c>
      <c r="G49">
        <v>142.28045485167604</v>
      </c>
    </row>
    <row r="50" spans="1:7" x14ac:dyDescent="0.2">
      <c r="A50" s="9" t="s">
        <v>54</v>
      </c>
      <c r="B50" s="9">
        <v>74</v>
      </c>
      <c r="C50" t="s">
        <v>78</v>
      </c>
      <c r="D50" t="s">
        <v>81</v>
      </c>
      <c r="E50" t="s">
        <v>104</v>
      </c>
      <c r="F50" t="str">
        <f t="shared" si="0"/>
        <v>DarkEffluent</v>
      </c>
      <c r="G50">
        <v>93.539530842695328</v>
      </c>
    </row>
    <row r="51" spans="1:7" x14ac:dyDescent="0.2">
      <c r="A51" s="9" t="s">
        <v>35</v>
      </c>
      <c r="B51" s="9">
        <v>74</v>
      </c>
      <c r="C51" t="s">
        <v>79</v>
      </c>
      <c r="D51" t="s">
        <v>81</v>
      </c>
      <c r="E51" t="s">
        <v>104</v>
      </c>
      <c r="F51" t="str">
        <f t="shared" si="0"/>
        <v>IREffluent</v>
      </c>
      <c r="G51">
        <v>57.016663123839585</v>
      </c>
    </row>
    <row r="52" spans="1:7" x14ac:dyDescent="0.2">
      <c r="A52" s="9" t="s">
        <v>62</v>
      </c>
      <c r="B52" s="9">
        <v>81</v>
      </c>
      <c r="C52" t="s">
        <v>78</v>
      </c>
      <c r="D52" t="s">
        <v>82</v>
      </c>
      <c r="E52" t="s">
        <v>104</v>
      </c>
      <c r="F52" t="str">
        <f t="shared" si="0"/>
        <v>DarkInfluent</v>
      </c>
      <c r="G52">
        <v>143.18997034994237</v>
      </c>
    </row>
    <row r="53" spans="1:7" x14ac:dyDescent="0.2">
      <c r="A53" s="9" t="s">
        <v>52</v>
      </c>
      <c r="B53" s="9">
        <v>81</v>
      </c>
      <c r="C53" t="s">
        <v>79</v>
      </c>
      <c r="D53" t="s">
        <v>82</v>
      </c>
      <c r="E53" t="s">
        <v>104</v>
      </c>
      <c r="F53" t="str">
        <f t="shared" si="0"/>
        <v>IRInfluent</v>
      </c>
      <c r="G53">
        <v>138.39979538092925</v>
      </c>
    </row>
    <row r="54" spans="1:7" x14ac:dyDescent="0.2">
      <c r="A54" s="9" t="s">
        <v>54</v>
      </c>
      <c r="B54" s="9">
        <v>81</v>
      </c>
      <c r="C54" t="s">
        <v>78</v>
      </c>
      <c r="D54" t="s">
        <v>81</v>
      </c>
      <c r="E54" t="s">
        <v>104</v>
      </c>
      <c r="F54" t="str">
        <f t="shared" si="0"/>
        <v>DarkEffluent</v>
      </c>
      <c r="G54">
        <v>96.791078219325072</v>
      </c>
    </row>
    <row r="55" spans="1:7" x14ac:dyDescent="0.2">
      <c r="A55" s="9" t="s">
        <v>35</v>
      </c>
      <c r="B55" s="9">
        <v>81</v>
      </c>
      <c r="C55" t="s">
        <v>79</v>
      </c>
      <c r="D55" t="s">
        <v>81</v>
      </c>
      <c r="E55" t="s">
        <v>104</v>
      </c>
      <c r="F55" t="str">
        <f t="shared" si="0"/>
        <v>IREffluent</v>
      </c>
      <c r="G55">
        <v>67.502295757410295</v>
      </c>
    </row>
  </sheetData>
  <autoFilter ref="A1:G55" xr:uid="{83A15199-67E6-474A-8305-1ED4CACEB046}"/>
  <mergeCells count="1">
    <mergeCell ref="I23:K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C67D8-6DCB-A146-90E3-A24C746A94D7}">
  <dimension ref="A1:H163"/>
  <sheetViews>
    <sheetView topLeftCell="A69" workbookViewId="0">
      <selection activeCell="H152" sqref="H152"/>
    </sheetView>
  </sheetViews>
  <sheetFormatPr baseColWidth="10" defaultRowHeight="16" x14ac:dyDescent="0.2"/>
  <sheetData>
    <row r="1" spans="1:8" x14ac:dyDescent="0.2">
      <c r="A1" s="11" t="s">
        <v>76</v>
      </c>
      <c r="B1" s="11" t="s">
        <v>89</v>
      </c>
      <c r="C1" s="11" t="s">
        <v>100</v>
      </c>
      <c r="D1" s="11" t="s">
        <v>80</v>
      </c>
      <c r="E1" s="11" t="s">
        <v>88</v>
      </c>
      <c r="F1" s="11" t="s">
        <v>83</v>
      </c>
      <c r="G1" s="11" t="s">
        <v>77</v>
      </c>
      <c r="H1" s="11" t="s">
        <v>86</v>
      </c>
    </row>
    <row r="2" spans="1:8" x14ac:dyDescent="0.2">
      <c r="A2" s="3" t="s">
        <v>20</v>
      </c>
      <c r="B2" s="3">
        <v>0</v>
      </c>
      <c r="C2" s="4">
        <v>0.15013409609719197</v>
      </c>
      <c r="D2" t="s">
        <v>78</v>
      </c>
      <c r="E2" t="s">
        <v>81</v>
      </c>
      <c r="F2" t="s">
        <v>85</v>
      </c>
      <c r="G2" t="s">
        <v>90</v>
      </c>
      <c r="H2">
        <f>(1.4692*C2-0.0724)*40</f>
        <v>5.9270805594397764</v>
      </c>
    </row>
    <row r="3" spans="1:8" x14ac:dyDescent="0.2">
      <c r="A3" s="3" t="s">
        <v>15</v>
      </c>
      <c r="B3" s="3">
        <v>0</v>
      </c>
      <c r="C3" s="4">
        <v>0.13239106668946632</v>
      </c>
      <c r="D3" t="s">
        <v>79</v>
      </c>
      <c r="E3" t="s">
        <v>81</v>
      </c>
      <c r="F3" t="s">
        <v>85</v>
      </c>
      <c r="G3" t="s">
        <v>91</v>
      </c>
      <c r="H3">
        <f t="shared" ref="H3:H55" si="0">(1.4692*C3-0.0724)*40</f>
        <v>4.8843582072065566</v>
      </c>
    </row>
    <row r="4" spans="1:8" x14ac:dyDescent="0.2">
      <c r="A4" s="3" t="s">
        <v>21</v>
      </c>
      <c r="B4" s="3">
        <v>3</v>
      </c>
      <c r="C4" s="4">
        <v>0.11375799550898202</v>
      </c>
      <c r="D4" t="s">
        <v>78</v>
      </c>
      <c r="E4" t="s">
        <v>81</v>
      </c>
      <c r="F4" t="s">
        <v>85</v>
      </c>
      <c r="G4" t="s">
        <v>90</v>
      </c>
      <c r="H4">
        <f t="shared" si="0"/>
        <v>3.7893298800718562</v>
      </c>
    </row>
    <row r="5" spans="1:8" x14ac:dyDescent="0.2">
      <c r="A5" s="3" t="s">
        <v>15</v>
      </c>
      <c r="B5" s="3">
        <v>3</v>
      </c>
      <c r="C5" s="4">
        <v>4.1799531395348866E-2</v>
      </c>
      <c r="D5" t="s">
        <v>79</v>
      </c>
      <c r="E5" t="s">
        <v>81</v>
      </c>
      <c r="F5" t="s">
        <v>85</v>
      </c>
      <c r="G5" t="s">
        <v>91</v>
      </c>
      <c r="H5">
        <f t="shared" si="0"/>
        <v>-0.43952513895813811</v>
      </c>
    </row>
    <row r="6" spans="1:8" x14ac:dyDescent="0.2">
      <c r="A6" s="3" t="s">
        <v>22</v>
      </c>
      <c r="B6" s="3">
        <v>3</v>
      </c>
      <c r="C6" s="4">
        <v>9.98903975995135E-3</v>
      </c>
      <c r="D6" t="s">
        <v>78</v>
      </c>
      <c r="E6" t="s">
        <v>81</v>
      </c>
      <c r="F6" t="s">
        <v>85</v>
      </c>
      <c r="G6" t="s">
        <v>90</v>
      </c>
      <c r="H6">
        <f t="shared" si="0"/>
        <v>-2.3089641113871791</v>
      </c>
    </row>
    <row r="7" spans="1:8" x14ac:dyDescent="0.2">
      <c r="A7" s="3" t="s">
        <v>15</v>
      </c>
      <c r="B7" s="3">
        <v>3</v>
      </c>
      <c r="C7" s="4">
        <v>6.1321039922480697E-2</v>
      </c>
      <c r="D7" t="s">
        <v>79</v>
      </c>
      <c r="E7" t="s">
        <v>81</v>
      </c>
      <c r="F7" t="s">
        <v>85</v>
      </c>
      <c r="G7" t="s">
        <v>91</v>
      </c>
      <c r="H7">
        <f t="shared" si="0"/>
        <v>0.70771487416434575</v>
      </c>
    </row>
    <row r="8" spans="1:8" x14ac:dyDescent="0.2">
      <c r="A8" s="3" t="s">
        <v>23</v>
      </c>
      <c r="B8" s="3">
        <v>7</v>
      </c>
      <c r="C8" s="4">
        <v>0.4004830462152289</v>
      </c>
      <c r="D8" t="s">
        <v>78</v>
      </c>
      <c r="E8" t="s">
        <v>81</v>
      </c>
      <c r="F8" t="s">
        <v>85</v>
      </c>
      <c r="G8" t="s">
        <v>90</v>
      </c>
      <c r="H8">
        <f t="shared" si="0"/>
        <v>20.639587659976574</v>
      </c>
    </row>
    <row r="9" spans="1:8" x14ac:dyDescent="0.2">
      <c r="A9" s="3" t="s">
        <v>24</v>
      </c>
      <c r="B9" s="3">
        <v>7</v>
      </c>
      <c r="C9" s="4">
        <v>0.4481031536375637</v>
      </c>
      <c r="D9" t="s">
        <v>79</v>
      </c>
      <c r="E9" t="s">
        <v>81</v>
      </c>
      <c r="F9" t="s">
        <v>85</v>
      </c>
      <c r="G9" t="s">
        <v>91</v>
      </c>
      <c r="H9">
        <f t="shared" si="0"/>
        <v>23.438126132972346</v>
      </c>
    </row>
    <row r="10" spans="1:8" x14ac:dyDescent="0.2">
      <c r="A10" s="5" t="s">
        <v>25</v>
      </c>
      <c r="B10" s="5">
        <v>8</v>
      </c>
      <c r="C10" s="6">
        <v>0.35258287172822467</v>
      </c>
      <c r="D10" t="s">
        <v>78</v>
      </c>
      <c r="E10" t="s">
        <v>81</v>
      </c>
      <c r="F10" t="s">
        <v>85</v>
      </c>
      <c r="G10" t="s">
        <v>90</v>
      </c>
      <c r="H10">
        <f t="shared" si="0"/>
        <v>17.824590205724306</v>
      </c>
    </row>
    <row r="11" spans="1:8" x14ac:dyDescent="0.2">
      <c r="A11" s="5" t="s">
        <v>24</v>
      </c>
      <c r="B11" s="5">
        <v>8</v>
      </c>
      <c r="C11" s="6">
        <v>0.42615956666666577</v>
      </c>
      <c r="D11" t="s">
        <v>79</v>
      </c>
      <c r="E11" t="s">
        <v>81</v>
      </c>
      <c r="F11" t="s">
        <v>85</v>
      </c>
      <c r="G11" t="s">
        <v>91</v>
      </c>
      <c r="H11">
        <f t="shared" si="0"/>
        <v>22.148545413866614</v>
      </c>
    </row>
    <row r="12" spans="1:8" x14ac:dyDescent="0.2">
      <c r="A12" s="5" t="s">
        <v>26</v>
      </c>
      <c r="B12" s="5">
        <v>9</v>
      </c>
      <c r="C12" s="6">
        <v>0.31028248730050223</v>
      </c>
      <c r="D12" t="s">
        <v>78</v>
      </c>
      <c r="E12" t="s">
        <v>81</v>
      </c>
      <c r="F12" t="s">
        <v>85</v>
      </c>
      <c r="G12" t="s">
        <v>90</v>
      </c>
      <c r="H12">
        <f t="shared" si="0"/>
        <v>15.338681213675915</v>
      </c>
    </row>
    <row r="13" spans="1:8" x14ac:dyDescent="0.2">
      <c r="A13" s="5" t="s">
        <v>24</v>
      </c>
      <c r="B13" s="5">
        <v>9</v>
      </c>
      <c r="C13" s="6">
        <v>0.38622545185354151</v>
      </c>
      <c r="D13" t="s">
        <v>79</v>
      </c>
      <c r="E13" t="s">
        <v>81</v>
      </c>
      <c r="F13" t="s">
        <v>85</v>
      </c>
      <c r="G13" t="s">
        <v>91</v>
      </c>
      <c r="H13">
        <f t="shared" si="0"/>
        <v>19.80169735452893</v>
      </c>
    </row>
    <row r="14" spans="1:8" x14ac:dyDescent="0.2">
      <c r="A14" s="5" t="s">
        <v>27</v>
      </c>
      <c r="B14" s="5">
        <v>14</v>
      </c>
      <c r="C14" s="6">
        <v>0.20210072229822085</v>
      </c>
      <c r="D14" t="s">
        <v>78</v>
      </c>
      <c r="E14" t="s">
        <v>81</v>
      </c>
      <c r="F14" t="s">
        <v>85</v>
      </c>
      <c r="G14" t="s">
        <v>90</v>
      </c>
      <c r="H14">
        <f t="shared" si="0"/>
        <v>8.9810552480218426</v>
      </c>
    </row>
    <row r="15" spans="1:8" x14ac:dyDescent="0.2">
      <c r="A15" s="5" t="s">
        <v>24</v>
      </c>
      <c r="B15" s="5">
        <v>14</v>
      </c>
      <c r="C15" s="6">
        <v>0.39458372364217198</v>
      </c>
      <c r="D15" t="s">
        <v>79</v>
      </c>
      <c r="E15" t="s">
        <v>81</v>
      </c>
      <c r="F15" t="s">
        <v>85</v>
      </c>
      <c r="G15" t="s">
        <v>91</v>
      </c>
      <c r="H15">
        <f t="shared" si="0"/>
        <v>20.292896271003166</v>
      </c>
    </row>
    <row r="16" spans="1:8" x14ac:dyDescent="0.2">
      <c r="A16" s="5" t="s">
        <v>28</v>
      </c>
      <c r="B16" s="5">
        <v>23</v>
      </c>
      <c r="C16" s="6">
        <v>0.29701727535371991</v>
      </c>
      <c r="D16" t="s">
        <v>78</v>
      </c>
      <c r="E16" t="s">
        <v>81</v>
      </c>
      <c r="F16" t="s">
        <v>85</v>
      </c>
      <c r="G16" t="s">
        <v>90</v>
      </c>
      <c r="H16">
        <f t="shared" si="0"/>
        <v>14.559111237987413</v>
      </c>
    </row>
    <row r="17" spans="1:8" x14ac:dyDescent="0.2">
      <c r="A17" s="5" t="s">
        <v>24</v>
      </c>
      <c r="B17" s="5">
        <v>23</v>
      </c>
      <c r="C17" s="6">
        <v>0.31399828850365019</v>
      </c>
      <c r="D17" t="s">
        <v>79</v>
      </c>
      <c r="E17" t="s">
        <v>81</v>
      </c>
      <c r="F17" t="s">
        <v>85</v>
      </c>
      <c r="G17" t="s">
        <v>91</v>
      </c>
      <c r="H17">
        <f t="shared" si="0"/>
        <v>15.557051418782514</v>
      </c>
    </row>
    <row r="18" spans="1:8" x14ac:dyDescent="0.2">
      <c r="A18" s="5" t="s">
        <v>29</v>
      </c>
      <c r="B18" s="5">
        <v>27</v>
      </c>
      <c r="C18" s="6">
        <v>0.20915272579293798</v>
      </c>
      <c r="D18" t="s">
        <v>78</v>
      </c>
      <c r="E18" t="s">
        <v>81</v>
      </c>
      <c r="F18" t="s">
        <v>85</v>
      </c>
      <c r="G18" t="s">
        <v>90</v>
      </c>
      <c r="H18">
        <f t="shared" si="0"/>
        <v>9.3954873893993796</v>
      </c>
    </row>
    <row r="19" spans="1:8" x14ac:dyDescent="0.2">
      <c r="A19" s="5" t="s">
        <v>24</v>
      </c>
      <c r="B19" s="5">
        <v>27</v>
      </c>
      <c r="C19" s="6">
        <v>0.2146017252752751</v>
      </c>
      <c r="D19" t="s">
        <v>79</v>
      </c>
      <c r="E19" t="s">
        <v>81</v>
      </c>
      <c r="F19" t="s">
        <v>85</v>
      </c>
      <c r="G19" t="s">
        <v>91</v>
      </c>
      <c r="H19">
        <f t="shared" si="0"/>
        <v>9.7157141909773674</v>
      </c>
    </row>
    <row r="20" spans="1:8" x14ac:dyDescent="0.2">
      <c r="A20" s="7" t="s">
        <v>30</v>
      </c>
      <c r="B20" s="7">
        <v>28</v>
      </c>
      <c r="C20" s="8">
        <v>0.18159534668491562</v>
      </c>
      <c r="D20" t="s">
        <v>78</v>
      </c>
      <c r="E20" t="s">
        <v>81</v>
      </c>
      <c r="F20" t="s">
        <v>85</v>
      </c>
      <c r="G20" t="s">
        <v>90</v>
      </c>
      <c r="H20">
        <f t="shared" si="0"/>
        <v>7.7759953339791199</v>
      </c>
    </row>
    <row r="21" spans="1:8" x14ac:dyDescent="0.2">
      <c r="A21" s="7" t="s">
        <v>24</v>
      </c>
      <c r="B21" s="7">
        <v>28</v>
      </c>
      <c r="C21" s="8">
        <v>0.1317611121938233</v>
      </c>
      <c r="D21" t="s">
        <v>79</v>
      </c>
      <c r="E21" t="s">
        <v>81</v>
      </c>
      <c r="F21" t="s">
        <v>85</v>
      </c>
      <c r="G21" t="s">
        <v>91</v>
      </c>
      <c r="H21">
        <f t="shared" si="0"/>
        <v>4.8473370414066084</v>
      </c>
    </row>
    <row r="22" spans="1:8" x14ac:dyDescent="0.2">
      <c r="A22" s="5" t="s">
        <v>31</v>
      </c>
      <c r="B22" s="5">
        <v>29</v>
      </c>
      <c r="C22" s="6">
        <v>0.1119480295070745</v>
      </c>
      <c r="D22" t="s">
        <v>78</v>
      </c>
      <c r="E22" t="s">
        <v>81</v>
      </c>
      <c r="F22" t="s">
        <v>85</v>
      </c>
      <c r="G22" t="s">
        <v>90</v>
      </c>
      <c r="H22">
        <f t="shared" si="0"/>
        <v>3.6829617980717537</v>
      </c>
    </row>
    <row r="23" spans="1:8" x14ac:dyDescent="0.2">
      <c r="A23" s="5" t="s">
        <v>24</v>
      </c>
      <c r="B23" s="5">
        <v>29</v>
      </c>
      <c r="C23" s="6">
        <v>0.15820220997566969</v>
      </c>
      <c r="D23" t="s">
        <v>79</v>
      </c>
      <c r="E23" t="s">
        <v>81</v>
      </c>
      <c r="F23" t="s">
        <v>85</v>
      </c>
      <c r="G23" t="s">
        <v>91</v>
      </c>
      <c r="H23">
        <f t="shared" si="0"/>
        <v>6.4012274758501579</v>
      </c>
    </row>
    <row r="24" spans="1:8" x14ac:dyDescent="0.2">
      <c r="A24" s="9" t="s">
        <v>55</v>
      </c>
      <c r="B24" s="9">
        <v>50</v>
      </c>
      <c r="C24" s="10">
        <v>1.074201927808222</v>
      </c>
      <c r="D24" t="s">
        <v>78</v>
      </c>
      <c r="E24" t="s">
        <v>82</v>
      </c>
      <c r="F24" t="s">
        <v>85</v>
      </c>
      <c r="G24" t="s">
        <v>92</v>
      </c>
      <c r="H24">
        <f t="shared" si="0"/>
        <v>60.232698893433593</v>
      </c>
    </row>
    <row r="25" spans="1:8" x14ac:dyDescent="0.2">
      <c r="A25" s="9" t="s">
        <v>52</v>
      </c>
      <c r="B25" s="9">
        <v>50</v>
      </c>
      <c r="C25" s="10">
        <v>1.4940834879158853</v>
      </c>
      <c r="D25" t="s">
        <v>79</v>
      </c>
      <c r="E25" t="s">
        <v>82</v>
      </c>
      <c r="F25" t="s">
        <v>85</v>
      </c>
      <c r="G25" t="s">
        <v>93</v>
      </c>
      <c r="H25">
        <f t="shared" si="0"/>
        <v>84.908298417840754</v>
      </c>
    </row>
    <row r="26" spans="1:8" x14ac:dyDescent="0.2">
      <c r="A26" s="9" t="s">
        <v>54</v>
      </c>
      <c r="B26" s="9">
        <v>50</v>
      </c>
      <c r="C26" s="10">
        <v>0.90093806788025899</v>
      </c>
      <c r="D26" t="s">
        <v>78</v>
      </c>
      <c r="E26" t="s">
        <v>81</v>
      </c>
      <c r="F26" t="s">
        <v>85</v>
      </c>
      <c r="G26" t="s">
        <v>90</v>
      </c>
      <c r="H26">
        <f t="shared" si="0"/>
        <v>50.050328373187057</v>
      </c>
    </row>
    <row r="27" spans="1:8" x14ac:dyDescent="0.2">
      <c r="A27" s="9" t="s">
        <v>35</v>
      </c>
      <c r="B27" s="9">
        <v>50</v>
      </c>
      <c r="C27" s="10">
        <v>0.81519794278845992</v>
      </c>
      <c r="D27" t="s">
        <v>79</v>
      </c>
      <c r="E27" t="s">
        <v>81</v>
      </c>
      <c r="F27" t="s">
        <v>85</v>
      </c>
      <c r="G27" t="s">
        <v>91</v>
      </c>
      <c r="H27">
        <f t="shared" si="0"/>
        <v>45.011552701792212</v>
      </c>
    </row>
    <row r="28" spans="1:8" x14ac:dyDescent="0.2">
      <c r="A28" s="9" t="s">
        <v>56</v>
      </c>
      <c r="B28" s="9">
        <v>52</v>
      </c>
      <c r="C28" s="10">
        <v>0.98546387131694901</v>
      </c>
      <c r="D28" t="s">
        <v>78</v>
      </c>
      <c r="E28" t="s">
        <v>82</v>
      </c>
      <c r="F28" t="s">
        <v>85</v>
      </c>
      <c r="G28" t="s">
        <v>92</v>
      </c>
      <c r="H28">
        <f t="shared" si="0"/>
        <v>55.017740789554459</v>
      </c>
    </row>
    <row r="29" spans="1:8" x14ac:dyDescent="0.2">
      <c r="A29" s="9" t="s">
        <v>52</v>
      </c>
      <c r="B29" s="9">
        <v>52</v>
      </c>
      <c r="C29" s="10">
        <v>1.0813833686002003</v>
      </c>
      <c r="D29" t="s">
        <v>79</v>
      </c>
      <c r="E29" t="s">
        <v>82</v>
      </c>
      <c r="F29" t="s">
        <v>85</v>
      </c>
      <c r="G29" t="s">
        <v>93</v>
      </c>
      <c r="H29">
        <f t="shared" si="0"/>
        <v>60.654737805896573</v>
      </c>
    </row>
    <row r="30" spans="1:8" x14ac:dyDescent="0.2">
      <c r="A30" s="9" t="s">
        <v>54</v>
      </c>
      <c r="B30" s="9">
        <v>52</v>
      </c>
      <c r="C30" s="10">
        <v>0.77835079506903471</v>
      </c>
      <c r="D30" t="s">
        <v>78</v>
      </c>
      <c r="E30" t="s">
        <v>81</v>
      </c>
      <c r="F30" t="s">
        <v>85</v>
      </c>
      <c r="G30" t="s">
        <v>90</v>
      </c>
      <c r="H30">
        <f t="shared" si="0"/>
        <v>42.846119524617031</v>
      </c>
    </row>
    <row r="31" spans="1:8" x14ac:dyDescent="0.2">
      <c r="A31" s="9" t="s">
        <v>35</v>
      </c>
      <c r="B31" s="9">
        <v>52</v>
      </c>
      <c r="C31" s="10">
        <v>0.67509601213930415</v>
      </c>
      <c r="D31" t="s">
        <v>79</v>
      </c>
      <c r="E31" t="s">
        <v>81</v>
      </c>
      <c r="F31" t="s">
        <v>85</v>
      </c>
      <c r="G31" t="s">
        <v>91</v>
      </c>
      <c r="H31">
        <f t="shared" si="0"/>
        <v>36.778042441402626</v>
      </c>
    </row>
    <row r="32" spans="1:8" x14ac:dyDescent="0.2">
      <c r="A32" s="9" t="s">
        <v>57</v>
      </c>
      <c r="B32" s="9">
        <v>59</v>
      </c>
      <c r="C32" s="10">
        <v>1.2251832399574571</v>
      </c>
      <c r="D32" t="s">
        <v>78</v>
      </c>
      <c r="E32" t="s">
        <v>82</v>
      </c>
      <c r="F32" t="s">
        <v>85</v>
      </c>
      <c r="G32" t="s">
        <v>92</v>
      </c>
      <c r="H32">
        <f t="shared" si="0"/>
        <v>69.105568645819844</v>
      </c>
    </row>
    <row r="33" spans="1:8" x14ac:dyDescent="0.2">
      <c r="A33" s="9" t="s">
        <v>52</v>
      </c>
      <c r="B33" s="9">
        <v>59</v>
      </c>
      <c r="C33" s="10">
        <v>1.298462850599521</v>
      </c>
      <c r="D33" t="s">
        <v>79</v>
      </c>
      <c r="E33" t="s">
        <v>82</v>
      </c>
      <c r="F33" t="s">
        <v>85</v>
      </c>
      <c r="G33" t="s">
        <v>93</v>
      </c>
      <c r="H33">
        <f t="shared" si="0"/>
        <v>73.412064804032653</v>
      </c>
    </row>
    <row r="34" spans="1:8" x14ac:dyDescent="0.2">
      <c r="A34" s="9" t="s">
        <v>54</v>
      </c>
      <c r="B34" s="9">
        <v>59</v>
      </c>
      <c r="C34" s="10">
        <v>0.91743379398633285</v>
      </c>
      <c r="D34" t="s">
        <v>78</v>
      </c>
      <c r="E34" t="s">
        <v>81</v>
      </c>
      <c r="F34" t="s">
        <v>85</v>
      </c>
      <c r="G34" t="s">
        <v>90</v>
      </c>
      <c r="H34">
        <f t="shared" si="0"/>
        <v>51.019749204988813</v>
      </c>
    </row>
    <row r="35" spans="1:8" x14ac:dyDescent="0.2">
      <c r="A35" s="9" t="s">
        <v>35</v>
      </c>
      <c r="B35" s="9">
        <v>59</v>
      </c>
      <c r="C35" s="10">
        <v>0.85081301741293691</v>
      </c>
      <c r="D35" t="s">
        <v>79</v>
      </c>
      <c r="E35" t="s">
        <v>81</v>
      </c>
      <c r="F35" t="s">
        <v>85</v>
      </c>
      <c r="G35" t="s">
        <v>91</v>
      </c>
      <c r="H35">
        <f t="shared" si="0"/>
        <v>47.104579407323477</v>
      </c>
    </row>
    <row r="36" spans="1:8" x14ac:dyDescent="0.2">
      <c r="A36" s="9" t="s">
        <v>58</v>
      </c>
      <c r="B36" s="9">
        <v>62</v>
      </c>
      <c r="C36" s="10">
        <v>1.0665856150910187</v>
      </c>
      <c r="D36" t="s">
        <v>78</v>
      </c>
      <c r="E36" t="s">
        <v>82</v>
      </c>
      <c r="F36" t="s">
        <v>85</v>
      </c>
      <c r="G36" t="s">
        <v>92</v>
      </c>
      <c r="H36">
        <f t="shared" si="0"/>
        <v>59.785103427668986</v>
      </c>
    </row>
    <row r="37" spans="1:8" x14ac:dyDescent="0.2">
      <c r="A37" s="9" t="s">
        <v>52</v>
      </c>
      <c r="B37" s="9">
        <v>62</v>
      </c>
      <c r="C37" s="10">
        <v>1.1159655426400497</v>
      </c>
      <c r="D37" t="s">
        <v>79</v>
      </c>
      <c r="E37" t="s">
        <v>82</v>
      </c>
      <c r="F37" t="s">
        <v>85</v>
      </c>
      <c r="G37" t="s">
        <v>93</v>
      </c>
      <c r="H37">
        <f t="shared" si="0"/>
        <v>62.687063009870442</v>
      </c>
    </row>
    <row r="38" spans="1:8" x14ac:dyDescent="0.2">
      <c r="A38" s="9" t="s">
        <v>54</v>
      </c>
      <c r="B38" s="9">
        <v>62</v>
      </c>
      <c r="C38" s="10">
        <v>0.89424357499503038</v>
      </c>
      <c r="D38" t="s">
        <v>78</v>
      </c>
      <c r="E38" t="s">
        <v>81</v>
      </c>
      <c r="F38" t="s">
        <v>85</v>
      </c>
      <c r="G38" t="s">
        <v>90</v>
      </c>
      <c r="H38">
        <f t="shared" si="0"/>
        <v>49.656906415307951</v>
      </c>
    </row>
    <row r="39" spans="1:8" x14ac:dyDescent="0.2">
      <c r="A39" s="9" t="s">
        <v>35</v>
      </c>
      <c r="B39" s="9">
        <v>62</v>
      </c>
      <c r="C39" s="10">
        <v>0.86243779245359131</v>
      </c>
      <c r="D39" t="s">
        <v>79</v>
      </c>
      <c r="E39" t="s">
        <v>81</v>
      </c>
      <c r="F39" t="s">
        <v>85</v>
      </c>
      <c r="G39" t="s">
        <v>91</v>
      </c>
      <c r="H39">
        <f t="shared" si="0"/>
        <v>47.787744186912661</v>
      </c>
    </row>
    <row r="40" spans="1:8" x14ac:dyDescent="0.2">
      <c r="A40" s="9" t="s">
        <v>59</v>
      </c>
      <c r="B40" s="9">
        <v>66</v>
      </c>
      <c r="C40" s="10">
        <v>1.1087418256708403</v>
      </c>
      <c r="D40" t="s">
        <v>78</v>
      </c>
      <c r="E40" t="s">
        <v>82</v>
      </c>
      <c r="F40" t="s">
        <v>85</v>
      </c>
      <c r="G40" t="s">
        <v>92</v>
      </c>
      <c r="H40">
        <f t="shared" si="0"/>
        <v>62.262539611023946</v>
      </c>
    </row>
    <row r="41" spans="1:8" x14ac:dyDescent="0.2">
      <c r="A41" s="9" t="s">
        <v>52</v>
      </c>
      <c r="B41" s="9">
        <v>66</v>
      </c>
      <c r="C41" s="10">
        <v>1.1173310760340607</v>
      </c>
      <c r="D41" t="s">
        <v>79</v>
      </c>
      <c r="E41" t="s">
        <v>82</v>
      </c>
      <c r="F41" t="s">
        <v>85</v>
      </c>
      <c r="G41" t="s">
        <v>93</v>
      </c>
      <c r="H41">
        <f t="shared" si="0"/>
        <v>62.767312676369684</v>
      </c>
    </row>
    <row r="42" spans="1:8" x14ac:dyDescent="0.2">
      <c r="A42" s="9" t="s">
        <v>54</v>
      </c>
      <c r="B42" s="9">
        <v>66</v>
      </c>
      <c r="C42" s="10">
        <v>0.86883797915425798</v>
      </c>
      <c r="D42" t="s">
        <v>78</v>
      </c>
      <c r="E42" t="s">
        <v>81</v>
      </c>
      <c r="F42" t="s">
        <v>85</v>
      </c>
      <c r="G42" t="s">
        <v>90</v>
      </c>
      <c r="H42">
        <f t="shared" si="0"/>
        <v>48.163870358937437</v>
      </c>
    </row>
    <row r="43" spans="1:8" x14ac:dyDescent="0.2">
      <c r="A43" s="9" t="s">
        <v>35</v>
      </c>
      <c r="B43" s="9">
        <v>66</v>
      </c>
      <c r="C43" s="10">
        <v>0.8784034793187363</v>
      </c>
      <c r="D43" t="s">
        <v>79</v>
      </c>
      <c r="E43" t="s">
        <v>81</v>
      </c>
      <c r="F43" t="s">
        <v>85</v>
      </c>
      <c r="G43" t="s">
        <v>91</v>
      </c>
      <c r="H43">
        <f t="shared" si="0"/>
        <v>48.726015672603495</v>
      </c>
    </row>
    <row r="44" spans="1:8" x14ac:dyDescent="0.2">
      <c r="A44" s="9" t="s">
        <v>60</v>
      </c>
      <c r="B44" s="9">
        <v>70</v>
      </c>
      <c r="C44" s="10">
        <v>1.2062712481017464</v>
      </c>
      <c r="D44" t="s">
        <v>78</v>
      </c>
      <c r="E44" t="s">
        <v>82</v>
      </c>
      <c r="F44" t="s">
        <v>85</v>
      </c>
      <c r="G44" t="s">
        <v>92</v>
      </c>
      <c r="H44">
        <f t="shared" si="0"/>
        <v>67.994148708443433</v>
      </c>
    </row>
    <row r="45" spans="1:8" x14ac:dyDescent="0.2">
      <c r="A45" s="9" t="s">
        <v>52</v>
      </c>
      <c r="B45" s="9">
        <v>70</v>
      </c>
      <c r="C45" s="10">
        <v>1.2759279902157425</v>
      </c>
      <c r="D45" t="s">
        <v>79</v>
      </c>
      <c r="E45" t="s">
        <v>82</v>
      </c>
      <c r="F45" t="s">
        <v>85</v>
      </c>
      <c r="G45" t="s">
        <v>93</v>
      </c>
      <c r="H45">
        <f t="shared" si="0"/>
        <v>72.087736128998756</v>
      </c>
    </row>
    <row r="46" spans="1:8" x14ac:dyDescent="0.2">
      <c r="A46" s="9" t="s">
        <v>54</v>
      </c>
      <c r="B46" s="9">
        <v>70</v>
      </c>
      <c r="C46" s="10">
        <v>1.0178708195242441</v>
      </c>
      <c r="D46" t="s">
        <v>78</v>
      </c>
      <c r="E46" t="s">
        <v>81</v>
      </c>
      <c r="F46" t="s">
        <v>85</v>
      </c>
      <c r="G46" t="s">
        <v>90</v>
      </c>
      <c r="H46">
        <f t="shared" si="0"/>
        <v>56.922232321800777</v>
      </c>
    </row>
    <row r="47" spans="1:8" x14ac:dyDescent="0.2">
      <c r="A47" s="9" t="s">
        <v>35</v>
      </c>
      <c r="B47" s="9">
        <v>70</v>
      </c>
      <c r="C47" s="10">
        <v>0.99431087589218103</v>
      </c>
      <c r="D47" t="s">
        <v>79</v>
      </c>
      <c r="E47" t="s">
        <v>81</v>
      </c>
      <c r="F47" t="s">
        <v>85</v>
      </c>
      <c r="G47" t="s">
        <v>91</v>
      </c>
      <c r="H47">
        <f t="shared" si="0"/>
        <v>55.5376615544317</v>
      </c>
    </row>
    <row r="48" spans="1:8" x14ac:dyDescent="0.2">
      <c r="A48" s="9" t="s">
        <v>61</v>
      </c>
      <c r="B48" s="9">
        <v>74</v>
      </c>
      <c r="C48" s="10">
        <v>0.95216946201762287</v>
      </c>
      <c r="D48" t="s">
        <v>78</v>
      </c>
      <c r="E48" t="s">
        <v>82</v>
      </c>
      <c r="F48" t="s">
        <v>85</v>
      </c>
      <c r="G48" t="s">
        <v>92</v>
      </c>
      <c r="H48">
        <f t="shared" si="0"/>
        <v>53.061094943851657</v>
      </c>
    </row>
    <row r="49" spans="1:8" x14ac:dyDescent="0.2">
      <c r="A49" s="9" t="s">
        <v>52</v>
      </c>
      <c r="B49" s="9">
        <v>74</v>
      </c>
      <c r="C49" s="10">
        <v>1.0072301756725945</v>
      </c>
      <c r="D49" t="s">
        <v>79</v>
      </c>
      <c r="E49" t="s">
        <v>82</v>
      </c>
      <c r="F49" t="s">
        <v>85</v>
      </c>
      <c r="G49" t="s">
        <v>93</v>
      </c>
      <c r="H49">
        <f t="shared" si="0"/>
        <v>56.296902963927032</v>
      </c>
    </row>
    <row r="50" spans="1:8" x14ac:dyDescent="0.2">
      <c r="A50" s="9" t="s">
        <v>54</v>
      </c>
      <c r="B50" s="9">
        <v>74</v>
      </c>
      <c r="C50" s="10">
        <v>0.64400498703363929</v>
      </c>
      <c r="D50" t="s">
        <v>78</v>
      </c>
      <c r="E50" t="s">
        <v>81</v>
      </c>
      <c r="F50" t="s">
        <v>85</v>
      </c>
      <c r="G50" t="s">
        <v>90</v>
      </c>
      <c r="H50">
        <f t="shared" si="0"/>
        <v>34.950885077992915</v>
      </c>
    </row>
    <row r="51" spans="1:8" x14ac:dyDescent="0.2">
      <c r="A51" s="9" t="s">
        <v>35</v>
      </c>
      <c r="B51" s="9">
        <v>74</v>
      </c>
      <c r="C51" s="10">
        <v>1.0136668566452312</v>
      </c>
      <c r="D51" t="s">
        <v>79</v>
      </c>
      <c r="E51" t="s">
        <v>81</v>
      </c>
      <c r="F51" t="s">
        <v>85</v>
      </c>
      <c r="G51" t="s">
        <v>91</v>
      </c>
      <c r="H51">
        <f t="shared" si="0"/>
        <v>56.675173831326944</v>
      </c>
    </row>
    <row r="52" spans="1:8" x14ac:dyDescent="0.2">
      <c r="A52" s="9" t="s">
        <v>62</v>
      </c>
      <c r="B52" s="9">
        <v>81</v>
      </c>
      <c r="C52" s="10">
        <v>1.0721291694756558</v>
      </c>
      <c r="D52" t="s">
        <v>78</v>
      </c>
      <c r="E52" t="s">
        <v>82</v>
      </c>
      <c r="F52" t="s">
        <v>85</v>
      </c>
      <c r="G52" t="s">
        <v>92</v>
      </c>
      <c r="H52">
        <f t="shared" si="0"/>
        <v>60.110887031745349</v>
      </c>
    </row>
    <row r="53" spans="1:8" x14ac:dyDescent="0.2">
      <c r="A53" s="9" t="s">
        <v>52</v>
      </c>
      <c r="B53" s="9">
        <v>81</v>
      </c>
      <c r="C53" s="10">
        <v>1.0572392083980129</v>
      </c>
      <c r="D53" t="s">
        <v>79</v>
      </c>
      <c r="E53" t="s">
        <v>82</v>
      </c>
      <c r="F53" t="s">
        <v>85</v>
      </c>
      <c r="G53" t="s">
        <v>93</v>
      </c>
      <c r="H53">
        <f t="shared" si="0"/>
        <v>59.235833799134426</v>
      </c>
    </row>
    <row r="54" spans="1:8" x14ac:dyDescent="0.2">
      <c r="A54" s="9" t="s">
        <v>54</v>
      </c>
      <c r="B54" s="9">
        <v>81</v>
      </c>
      <c r="C54" s="10">
        <v>0.78417322110311671</v>
      </c>
      <c r="D54" t="s">
        <v>78</v>
      </c>
      <c r="E54" t="s">
        <v>81</v>
      </c>
      <c r="F54" t="s">
        <v>85</v>
      </c>
      <c r="G54" t="s">
        <v>90</v>
      </c>
      <c r="H54">
        <f t="shared" si="0"/>
        <v>43.188291857787966</v>
      </c>
    </row>
    <row r="55" spans="1:8" x14ac:dyDescent="0.2">
      <c r="A55" s="9" t="s">
        <v>35</v>
      </c>
      <c r="B55" s="9">
        <v>81</v>
      </c>
      <c r="C55" s="10">
        <v>1.1309907161442643</v>
      </c>
      <c r="D55" t="s">
        <v>79</v>
      </c>
      <c r="E55" t="s">
        <v>81</v>
      </c>
      <c r="F55" t="s">
        <v>85</v>
      </c>
      <c r="G55" t="s">
        <v>91</v>
      </c>
      <c r="H55">
        <f t="shared" si="0"/>
        <v>63.570062406366119</v>
      </c>
    </row>
    <row r="56" spans="1:8" x14ac:dyDescent="0.2">
      <c r="A56" s="3" t="s">
        <v>20</v>
      </c>
      <c r="B56" s="3">
        <v>0</v>
      </c>
      <c r="C56" s="4">
        <v>7.9750370463171905E-3</v>
      </c>
      <c r="D56" t="s">
        <v>78</v>
      </c>
      <c r="E56" t="s">
        <v>81</v>
      </c>
      <c r="F56" t="s">
        <v>87</v>
      </c>
      <c r="G56" t="s">
        <v>94</v>
      </c>
      <c r="H56">
        <f>(4.1224*C56-0.0766)*40</f>
        <v>-1.7489482912104806</v>
      </c>
    </row>
    <row r="57" spans="1:8" x14ac:dyDescent="0.2">
      <c r="A57" s="3" t="s">
        <v>15</v>
      </c>
      <c r="B57" s="3">
        <v>0</v>
      </c>
      <c r="C57" s="4">
        <v>9.3142212266308366E-3</v>
      </c>
      <c r="D57" t="s">
        <v>79</v>
      </c>
      <c r="E57" t="s">
        <v>81</v>
      </c>
      <c r="F57" t="s">
        <v>87</v>
      </c>
      <c r="G57" t="s">
        <v>95</v>
      </c>
      <c r="H57">
        <f t="shared" ref="H57:H109" si="1">(4.1224*C57-0.0766)*40</f>
        <v>-1.5281221766134818</v>
      </c>
    </row>
    <row r="58" spans="1:8" x14ac:dyDescent="0.2">
      <c r="A58" s="3" t="s">
        <v>21</v>
      </c>
      <c r="B58" s="3">
        <v>3</v>
      </c>
      <c r="C58" s="4">
        <v>7.3219998003986042E-3</v>
      </c>
      <c r="D58" t="s">
        <v>78</v>
      </c>
      <c r="E58" t="s">
        <v>81</v>
      </c>
      <c r="F58" t="s">
        <v>87</v>
      </c>
      <c r="G58" t="s">
        <v>94</v>
      </c>
      <c r="H58">
        <f t="shared" si="1"/>
        <v>-1.8566315209134721</v>
      </c>
    </row>
    <row r="59" spans="1:8" x14ac:dyDescent="0.2">
      <c r="A59" s="3" t="s">
        <v>15</v>
      </c>
      <c r="B59" s="3">
        <v>3</v>
      </c>
      <c r="C59" s="4">
        <v>7.5035945736446896E-3</v>
      </c>
      <c r="D59" t="s">
        <v>79</v>
      </c>
      <c r="E59" t="s">
        <v>81</v>
      </c>
      <c r="F59" t="s">
        <v>87</v>
      </c>
      <c r="G59" t="s">
        <v>95</v>
      </c>
      <c r="H59">
        <f t="shared" si="1"/>
        <v>-1.8266872691842853</v>
      </c>
    </row>
    <row r="60" spans="1:8" x14ac:dyDescent="0.2">
      <c r="A60" s="3" t="s">
        <v>22</v>
      </c>
      <c r="B60" s="3">
        <v>3</v>
      </c>
      <c r="C60" s="4">
        <v>8.1938965663925778E-3</v>
      </c>
      <c r="D60" t="s">
        <v>78</v>
      </c>
      <c r="E60" t="s">
        <v>81</v>
      </c>
      <c r="F60" t="s">
        <v>87</v>
      </c>
      <c r="G60" t="s">
        <v>94</v>
      </c>
      <c r="H60">
        <f t="shared" si="1"/>
        <v>-1.7128592317881297</v>
      </c>
    </row>
    <row r="61" spans="1:8" x14ac:dyDescent="0.2">
      <c r="A61" s="3" t="s">
        <v>15</v>
      </c>
      <c r="B61" s="3">
        <v>3</v>
      </c>
      <c r="C61" s="4">
        <v>7.4201047089223593E-2</v>
      </c>
      <c r="D61" t="s">
        <v>79</v>
      </c>
      <c r="E61" t="s">
        <v>81</v>
      </c>
      <c r="F61" t="s">
        <v>87</v>
      </c>
      <c r="G61" t="s">
        <v>95</v>
      </c>
      <c r="H61">
        <f t="shared" si="1"/>
        <v>9.1714558608246133</v>
      </c>
    </row>
    <row r="62" spans="1:8" x14ac:dyDescent="0.2">
      <c r="A62" s="3" t="s">
        <v>23</v>
      </c>
      <c r="B62" s="3">
        <v>7</v>
      </c>
      <c r="C62" s="4">
        <v>9.9968277017783436E-3</v>
      </c>
      <c r="D62" t="s">
        <v>78</v>
      </c>
      <c r="E62" t="s">
        <v>81</v>
      </c>
      <c r="F62" t="s">
        <v>87</v>
      </c>
      <c r="G62" t="s">
        <v>94</v>
      </c>
      <c r="H62">
        <f t="shared" si="1"/>
        <v>-1.4155630992875583</v>
      </c>
    </row>
    <row r="63" spans="1:8" x14ac:dyDescent="0.2">
      <c r="A63" s="3" t="s">
        <v>24</v>
      </c>
      <c r="B63" s="3">
        <v>7</v>
      </c>
      <c r="C63" s="4">
        <v>3.7399332530122509E-3</v>
      </c>
      <c r="D63" t="s">
        <v>79</v>
      </c>
      <c r="E63" t="s">
        <v>81</v>
      </c>
      <c r="F63" t="s">
        <v>87</v>
      </c>
      <c r="G63" t="s">
        <v>95</v>
      </c>
      <c r="H63">
        <f t="shared" si="1"/>
        <v>-2.447299966311292</v>
      </c>
    </row>
    <row r="64" spans="1:8" x14ac:dyDescent="0.2">
      <c r="A64" s="5" t="s">
        <v>25</v>
      </c>
      <c r="B64" s="5">
        <v>8</v>
      </c>
      <c r="C64" s="6">
        <v>1.0177052804376752E-2</v>
      </c>
      <c r="D64" t="s">
        <v>78</v>
      </c>
      <c r="E64" t="s">
        <v>81</v>
      </c>
      <c r="F64" t="s">
        <v>87</v>
      </c>
      <c r="G64" t="s">
        <v>94</v>
      </c>
      <c r="H64">
        <f t="shared" si="1"/>
        <v>-1.3858447007694914</v>
      </c>
    </row>
    <row r="65" spans="1:8" x14ac:dyDescent="0.2">
      <c r="A65" s="5" t="s">
        <v>24</v>
      </c>
      <c r="B65" s="5">
        <v>8</v>
      </c>
      <c r="C65" s="6">
        <v>1.0504816826156116E-2</v>
      </c>
      <c r="D65" t="s">
        <v>79</v>
      </c>
      <c r="E65" t="s">
        <v>81</v>
      </c>
      <c r="F65" t="s">
        <v>87</v>
      </c>
      <c r="G65" t="s">
        <v>95</v>
      </c>
      <c r="H65">
        <f t="shared" si="1"/>
        <v>-1.331797724634161</v>
      </c>
    </row>
    <row r="66" spans="1:8" x14ac:dyDescent="0.2">
      <c r="A66" s="5" t="s">
        <v>26</v>
      </c>
      <c r="B66" s="5">
        <v>9</v>
      </c>
      <c r="C66" s="6">
        <v>9.7680491336069597E-3</v>
      </c>
      <c r="D66" t="s">
        <v>78</v>
      </c>
      <c r="E66" t="s">
        <v>81</v>
      </c>
      <c r="F66" t="s">
        <v>87</v>
      </c>
      <c r="G66" t="s">
        <v>94</v>
      </c>
      <c r="H66">
        <f t="shared" si="1"/>
        <v>-1.4532877700647471</v>
      </c>
    </row>
    <row r="67" spans="1:8" x14ac:dyDescent="0.2">
      <c r="A67" s="5" t="s">
        <v>24</v>
      </c>
      <c r="B67" s="5">
        <v>9</v>
      </c>
      <c r="C67" s="6">
        <v>1.2417318049226189E-2</v>
      </c>
      <c r="D67" t="s">
        <v>79</v>
      </c>
      <c r="E67" t="s">
        <v>81</v>
      </c>
      <c r="F67" t="s">
        <v>87</v>
      </c>
      <c r="G67" t="s">
        <v>95</v>
      </c>
      <c r="H67">
        <f t="shared" si="1"/>
        <v>-1.0164339229547983</v>
      </c>
    </row>
    <row r="68" spans="1:8" x14ac:dyDescent="0.2">
      <c r="A68" s="5" t="s">
        <v>27</v>
      </c>
      <c r="B68" s="5">
        <v>14</v>
      </c>
      <c r="C68" s="6">
        <v>9.8212099711203482E-3</v>
      </c>
      <c r="D68" t="s">
        <v>78</v>
      </c>
      <c r="E68" t="s">
        <v>81</v>
      </c>
      <c r="F68" t="s">
        <v>87</v>
      </c>
      <c r="G68" t="s">
        <v>94</v>
      </c>
      <c r="H68">
        <f t="shared" si="1"/>
        <v>-1.444521760602139</v>
      </c>
    </row>
    <row r="69" spans="1:8" x14ac:dyDescent="0.2">
      <c r="A69" s="5" t="s">
        <v>24</v>
      </c>
      <c r="B69" s="5">
        <v>14</v>
      </c>
      <c r="C69" s="6">
        <v>1.3021356290886077E-2</v>
      </c>
      <c r="D69" t="s">
        <v>79</v>
      </c>
      <c r="E69" t="s">
        <v>81</v>
      </c>
      <c r="F69" t="s">
        <v>87</v>
      </c>
      <c r="G69" t="s">
        <v>95</v>
      </c>
      <c r="H69">
        <f t="shared" si="1"/>
        <v>-0.91683043305804957</v>
      </c>
    </row>
    <row r="70" spans="1:8" x14ac:dyDescent="0.2">
      <c r="A70" s="5" t="s">
        <v>28</v>
      </c>
      <c r="B70" s="5">
        <v>23</v>
      </c>
      <c r="C70" s="6">
        <v>1.0171414863837436E-2</v>
      </c>
      <c r="D70" t="s">
        <v>78</v>
      </c>
      <c r="E70" t="s">
        <v>81</v>
      </c>
      <c r="F70" t="s">
        <v>87</v>
      </c>
      <c r="G70" t="s">
        <v>94</v>
      </c>
      <c r="H70">
        <f t="shared" si="1"/>
        <v>-1.3867743746126624</v>
      </c>
    </row>
    <row r="71" spans="1:8" x14ac:dyDescent="0.2">
      <c r="A71" s="5" t="s">
        <v>24</v>
      </c>
      <c r="B71" s="5">
        <v>23</v>
      </c>
      <c r="C71" s="6">
        <v>9.3159133743916378E-3</v>
      </c>
      <c r="D71" t="s">
        <v>79</v>
      </c>
      <c r="E71" t="s">
        <v>81</v>
      </c>
      <c r="F71" t="s">
        <v>87</v>
      </c>
      <c r="G71" t="s">
        <v>95</v>
      </c>
      <c r="H71">
        <f t="shared" si="1"/>
        <v>-1.5278431482163166</v>
      </c>
    </row>
    <row r="72" spans="1:8" x14ac:dyDescent="0.2">
      <c r="A72" s="5" t="s">
        <v>29</v>
      </c>
      <c r="B72" s="5">
        <v>27</v>
      </c>
      <c r="C72" s="6">
        <v>9.8927125074803612E-3</v>
      </c>
      <c r="D72" t="s">
        <v>78</v>
      </c>
      <c r="E72" t="s">
        <v>81</v>
      </c>
      <c r="F72" t="s">
        <v>87</v>
      </c>
      <c r="G72" t="s">
        <v>94</v>
      </c>
      <c r="H72">
        <f t="shared" si="1"/>
        <v>-1.4327312783665187</v>
      </c>
    </row>
    <row r="73" spans="1:8" x14ac:dyDescent="0.2">
      <c r="A73" s="5" t="s">
        <v>24</v>
      </c>
      <c r="B73" s="5">
        <v>27</v>
      </c>
      <c r="C73" s="6">
        <v>8.5944863863866017E-3</v>
      </c>
      <c r="D73" t="s">
        <v>79</v>
      </c>
      <c r="E73" t="s">
        <v>81</v>
      </c>
      <c r="F73" t="s">
        <v>87</v>
      </c>
      <c r="G73" t="s">
        <v>95</v>
      </c>
      <c r="H73">
        <f t="shared" si="1"/>
        <v>-1.6468035728303951</v>
      </c>
    </row>
    <row r="74" spans="1:8" x14ac:dyDescent="0.2">
      <c r="A74" s="7" t="s">
        <v>30</v>
      </c>
      <c r="B74" s="7">
        <v>28</v>
      </c>
      <c r="C74" s="8">
        <v>9.8666840328469618E-3</v>
      </c>
      <c r="D74" t="s">
        <v>78</v>
      </c>
      <c r="E74" t="s">
        <v>81</v>
      </c>
      <c r="F74" t="s">
        <v>87</v>
      </c>
      <c r="G74" t="s">
        <v>94</v>
      </c>
      <c r="H74">
        <f t="shared" si="1"/>
        <v>-1.4370232697196674</v>
      </c>
    </row>
    <row r="75" spans="1:8" x14ac:dyDescent="0.2">
      <c r="A75" s="7" t="s">
        <v>24</v>
      </c>
      <c r="B75" s="7">
        <v>28</v>
      </c>
      <c r="C75" s="8">
        <v>7.4362577818345432E-3</v>
      </c>
      <c r="D75" t="s">
        <v>79</v>
      </c>
      <c r="E75" t="s">
        <v>81</v>
      </c>
      <c r="F75" t="s">
        <v>87</v>
      </c>
      <c r="G75" t="s">
        <v>95</v>
      </c>
      <c r="H75">
        <f t="shared" si="1"/>
        <v>-1.8377908368066111</v>
      </c>
    </row>
    <row r="76" spans="1:8" x14ac:dyDescent="0.2">
      <c r="A76" s="5" t="s">
        <v>31</v>
      </c>
      <c r="B76" s="5">
        <v>29</v>
      </c>
      <c r="C76" s="6">
        <v>6.7426104366334894E-3</v>
      </c>
      <c r="D76" t="s">
        <v>78</v>
      </c>
      <c r="E76" t="s">
        <v>81</v>
      </c>
      <c r="F76" t="s">
        <v>87</v>
      </c>
      <c r="G76" t="s">
        <v>94</v>
      </c>
      <c r="H76">
        <f t="shared" si="1"/>
        <v>-1.9521705094408843</v>
      </c>
    </row>
    <row r="77" spans="1:8" x14ac:dyDescent="0.2">
      <c r="A77" s="5" t="s">
        <v>24</v>
      </c>
      <c r="B77" s="5">
        <v>29</v>
      </c>
      <c r="C77" s="6">
        <v>7.2547985523115033E-2</v>
      </c>
      <c r="D77" t="s">
        <v>79</v>
      </c>
      <c r="E77" t="s">
        <v>81</v>
      </c>
      <c r="F77" t="s">
        <v>87</v>
      </c>
      <c r="G77" t="s">
        <v>95</v>
      </c>
      <c r="H77">
        <f t="shared" si="1"/>
        <v>8.8988726208195761</v>
      </c>
    </row>
    <row r="78" spans="1:8" x14ac:dyDescent="0.2">
      <c r="A78" s="9" t="s">
        <v>55</v>
      </c>
      <c r="B78" s="9">
        <v>50</v>
      </c>
      <c r="C78" s="10">
        <v>1.854875293759517E-2</v>
      </c>
      <c r="D78" t="s">
        <v>78</v>
      </c>
      <c r="E78" t="s">
        <v>82</v>
      </c>
      <c r="F78" t="s">
        <v>87</v>
      </c>
      <c r="G78" t="s">
        <v>96</v>
      </c>
      <c r="H78">
        <f t="shared" si="1"/>
        <v>-5.3848356023072919E-3</v>
      </c>
    </row>
    <row r="79" spans="1:8" x14ac:dyDescent="0.2">
      <c r="A79" s="9" t="s">
        <v>52</v>
      </c>
      <c r="B79" s="9">
        <v>50</v>
      </c>
      <c r="C79" s="10">
        <v>1.9554765693660103E-2</v>
      </c>
      <c r="D79" t="s">
        <v>79</v>
      </c>
      <c r="E79" t="s">
        <v>82</v>
      </c>
      <c r="F79" t="s">
        <v>87</v>
      </c>
      <c r="G79" t="s">
        <v>97</v>
      </c>
      <c r="H79">
        <f t="shared" si="1"/>
        <v>0.16050264382177604</v>
      </c>
    </row>
    <row r="80" spans="1:8" x14ac:dyDescent="0.2">
      <c r="A80" s="9" t="s">
        <v>54</v>
      </c>
      <c r="B80" s="9">
        <v>50</v>
      </c>
      <c r="C80" s="10">
        <v>1.5272606472493067E-2</v>
      </c>
      <c r="D80" t="s">
        <v>78</v>
      </c>
      <c r="E80" t="s">
        <v>81</v>
      </c>
      <c r="F80" t="s">
        <v>87</v>
      </c>
      <c r="G80" t="s">
        <v>94</v>
      </c>
      <c r="H80">
        <f t="shared" si="1"/>
        <v>-0.54560828311178367</v>
      </c>
    </row>
    <row r="81" spans="1:8" x14ac:dyDescent="0.2">
      <c r="A81" s="9" t="s">
        <v>35</v>
      </c>
      <c r="B81" s="9">
        <v>50</v>
      </c>
      <c r="C81" s="10">
        <v>1.5816998257211612E-2</v>
      </c>
      <c r="D81" t="s">
        <v>79</v>
      </c>
      <c r="E81" t="s">
        <v>81</v>
      </c>
      <c r="F81" t="s">
        <v>87</v>
      </c>
      <c r="G81" t="s">
        <v>95</v>
      </c>
      <c r="H81">
        <f t="shared" si="1"/>
        <v>-0.45584025537883432</v>
      </c>
    </row>
    <row r="82" spans="1:8" x14ac:dyDescent="0.2">
      <c r="A82" s="9" t="s">
        <v>56</v>
      </c>
      <c r="B82" s="9">
        <v>52</v>
      </c>
      <c r="C82" s="10">
        <v>1.9479322219694062E-2</v>
      </c>
      <c r="D82" t="s">
        <v>78</v>
      </c>
      <c r="E82" t="s">
        <v>82</v>
      </c>
      <c r="F82" t="s">
        <v>87</v>
      </c>
      <c r="G82" t="s">
        <v>96</v>
      </c>
      <c r="H82">
        <f t="shared" si="1"/>
        <v>0.14806231673867187</v>
      </c>
    </row>
    <row r="83" spans="1:8" x14ac:dyDescent="0.2">
      <c r="A83" s="9" t="s">
        <v>52</v>
      </c>
      <c r="B83" s="9">
        <v>52</v>
      </c>
      <c r="C83" s="10">
        <v>1.6121459577040254E-2</v>
      </c>
      <c r="D83" t="s">
        <v>79</v>
      </c>
      <c r="E83" t="s">
        <v>82</v>
      </c>
      <c r="F83" t="s">
        <v>87</v>
      </c>
      <c r="G83" t="s">
        <v>97</v>
      </c>
      <c r="H83">
        <f t="shared" si="1"/>
        <v>-0.40563580158437029</v>
      </c>
    </row>
    <row r="84" spans="1:8" x14ac:dyDescent="0.2">
      <c r="A84" s="9" t="s">
        <v>54</v>
      </c>
      <c r="B84" s="9">
        <v>52</v>
      </c>
      <c r="C84" s="10">
        <v>1.4214138825672906E-2</v>
      </c>
      <c r="D84" t="s">
        <v>78</v>
      </c>
      <c r="E84" t="s">
        <v>81</v>
      </c>
      <c r="F84" t="s">
        <v>87</v>
      </c>
      <c r="G84" t="s">
        <v>94</v>
      </c>
      <c r="H84">
        <f t="shared" si="1"/>
        <v>-0.72014536420184072</v>
      </c>
    </row>
    <row r="85" spans="1:8" x14ac:dyDescent="0.2">
      <c r="A85" s="9" t="s">
        <v>35</v>
      </c>
      <c r="B85" s="9">
        <v>52</v>
      </c>
      <c r="C85" s="10">
        <v>1.4004746557213954E-2</v>
      </c>
      <c r="D85" t="s">
        <v>79</v>
      </c>
      <c r="E85" t="s">
        <v>81</v>
      </c>
      <c r="F85" t="s">
        <v>87</v>
      </c>
      <c r="G85" t="s">
        <v>95</v>
      </c>
      <c r="H85">
        <f t="shared" si="1"/>
        <v>-0.75467331170164798</v>
      </c>
    </row>
    <row r="86" spans="1:8" x14ac:dyDescent="0.2">
      <c r="A86" s="9" t="s">
        <v>57</v>
      </c>
      <c r="B86" s="9">
        <v>59</v>
      </c>
      <c r="C86" s="10">
        <v>1.9005454755392615E-2</v>
      </c>
      <c r="D86" t="s">
        <v>78</v>
      </c>
      <c r="E86" t="s">
        <v>82</v>
      </c>
      <c r="F86" t="s">
        <v>87</v>
      </c>
      <c r="G86" t="s">
        <v>96</v>
      </c>
      <c r="H86">
        <f t="shared" si="1"/>
        <v>6.9923467345220369E-2</v>
      </c>
    </row>
    <row r="87" spans="1:8" x14ac:dyDescent="0.2">
      <c r="A87" s="9" t="s">
        <v>52</v>
      </c>
      <c r="B87" s="9">
        <v>59</v>
      </c>
      <c r="C87" s="10">
        <v>1.9053257074340024E-2</v>
      </c>
      <c r="D87" t="s">
        <v>79</v>
      </c>
      <c r="E87" t="s">
        <v>82</v>
      </c>
      <c r="F87" t="s">
        <v>87</v>
      </c>
      <c r="G87" t="s">
        <v>97</v>
      </c>
      <c r="H87">
        <f t="shared" si="1"/>
        <v>7.7805878530372574E-2</v>
      </c>
    </row>
    <row r="88" spans="1:8" x14ac:dyDescent="0.2">
      <c r="A88" s="9" t="s">
        <v>54</v>
      </c>
      <c r="B88" s="9">
        <v>59</v>
      </c>
      <c r="C88" s="10">
        <v>1.6015030607442249E-2</v>
      </c>
      <c r="D88" t="s">
        <v>78</v>
      </c>
      <c r="E88" t="s">
        <v>81</v>
      </c>
      <c r="F88" t="s">
        <v>87</v>
      </c>
      <c r="G88" t="s">
        <v>94</v>
      </c>
      <c r="H88">
        <f t="shared" si="1"/>
        <v>-0.42318551295520312</v>
      </c>
    </row>
    <row r="89" spans="1:8" x14ac:dyDescent="0.2">
      <c r="A89" s="9" t="s">
        <v>35</v>
      </c>
      <c r="B89" s="9">
        <v>59</v>
      </c>
      <c r="C89" s="10">
        <v>1.5620464417911428E-2</v>
      </c>
      <c r="D89" t="s">
        <v>79</v>
      </c>
      <c r="E89" t="s">
        <v>81</v>
      </c>
      <c r="F89" t="s">
        <v>87</v>
      </c>
      <c r="G89" t="s">
        <v>95</v>
      </c>
      <c r="H89">
        <f t="shared" si="1"/>
        <v>-0.48824789934407753</v>
      </c>
    </row>
    <row r="90" spans="1:8" x14ac:dyDescent="0.2">
      <c r="A90" s="9" t="s">
        <v>58</v>
      </c>
      <c r="B90" s="9">
        <v>62</v>
      </c>
      <c r="C90" s="10">
        <v>1.2366889590024632E-2</v>
      </c>
      <c r="D90" t="s">
        <v>78</v>
      </c>
      <c r="E90" t="s">
        <v>82</v>
      </c>
      <c r="F90" t="s">
        <v>87</v>
      </c>
      <c r="G90" t="s">
        <v>96</v>
      </c>
      <c r="H90">
        <f t="shared" si="1"/>
        <v>-1.0247493741632985</v>
      </c>
    </row>
    <row r="91" spans="1:8" x14ac:dyDescent="0.2">
      <c r="A91" s="9" t="s">
        <v>52</v>
      </c>
      <c r="B91" s="9">
        <v>62</v>
      </c>
      <c r="C91" s="10">
        <v>1.1207430621772652E-2</v>
      </c>
      <c r="D91" t="s">
        <v>79</v>
      </c>
      <c r="E91" t="s">
        <v>82</v>
      </c>
      <c r="F91" t="s">
        <v>87</v>
      </c>
      <c r="G91" t="s">
        <v>97</v>
      </c>
      <c r="H91">
        <f t="shared" si="1"/>
        <v>-1.215939520192177</v>
      </c>
    </row>
    <row r="92" spans="1:8" x14ac:dyDescent="0.2">
      <c r="A92" s="9" t="s">
        <v>54</v>
      </c>
      <c r="B92" s="9">
        <v>62</v>
      </c>
      <c r="C92" s="10">
        <v>1.4981879626316141E-2</v>
      </c>
      <c r="D92" t="s">
        <v>78</v>
      </c>
      <c r="E92" t="s">
        <v>81</v>
      </c>
      <c r="F92" t="s">
        <v>87</v>
      </c>
      <c r="G92" t="s">
        <v>94</v>
      </c>
      <c r="H92">
        <f t="shared" si="1"/>
        <v>-0.59354797713897378</v>
      </c>
    </row>
    <row r="93" spans="1:8" x14ac:dyDescent="0.2">
      <c r="A93" s="9" t="s">
        <v>35</v>
      </c>
      <c r="B93" s="9">
        <v>62</v>
      </c>
      <c r="C93" s="10">
        <v>1.476634509685204E-2</v>
      </c>
      <c r="D93" t="s">
        <v>79</v>
      </c>
      <c r="E93" t="s">
        <v>81</v>
      </c>
      <c r="F93" t="s">
        <v>87</v>
      </c>
      <c r="G93" t="s">
        <v>95</v>
      </c>
      <c r="H93">
        <f t="shared" si="1"/>
        <v>-0.62908875890948601</v>
      </c>
    </row>
    <row r="94" spans="1:8" x14ac:dyDescent="0.2">
      <c r="A94" s="9" t="s">
        <v>59</v>
      </c>
      <c r="B94" s="9">
        <v>66</v>
      </c>
      <c r="C94" s="10">
        <v>1.7384606946927672E-2</v>
      </c>
      <c r="D94" t="s">
        <v>78</v>
      </c>
      <c r="E94" t="s">
        <v>82</v>
      </c>
      <c r="F94" t="s">
        <v>87</v>
      </c>
      <c r="G94" t="s">
        <v>96</v>
      </c>
      <c r="H94">
        <f t="shared" si="1"/>
        <v>-0.19734785287941481</v>
      </c>
    </row>
    <row r="95" spans="1:8" x14ac:dyDescent="0.2">
      <c r="A95" s="9" t="s">
        <v>52</v>
      </c>
      <c r="B95" s="9">
        <v>66</v>
      </c>
      <c r="C95" s="10">
        <v>1.9009487712895234E-2</v>
      </c>
      <c r="D95" t="s">
        <v>79</v>
      </c>
      <c r="E95" t="s">
        <v>82</v>
      </c>
      <c r="F95" t="s">
        <v>87</v>
      </c>
      <c r="G95" t="s">
        <v>97</v>
      </c>
      <c r="H95">
        <f t="shared" si="1"/>
        <v>7.0588485905572207E-2</v>
      </c>
    </row>
    <row r="96" spans="1:8" x14ac:dyDescent="0.2">
      <c r="A96" s="9" t="s">
        <v>54</v>
      </c>
      <c r="B96" s="9">
        <v>66</v>
      </c>
      <c r="C96" s="10">
        <v>1.5706378578519198E-2</v>
      </c>
      <c r="D96" t="s">
        <v>78</v>
      </c>
      <c r="E96" t="s">
        <v>81</v>
      </c>
      <c r="F96" t="s">
        <v>87</v>
      </c>
      <c r="G96" t="s">
        <v>94</v>
      </c>
      <c r="H96">
        <f t="shared" si="1"/>
        <v>-0.47408099791649838</v>
      </c>
    </row>
    <row r="97" spans="1:8" x14ac:dyDescent="0.2">
      <c r="A97" s="9" t="s">
        <v>35</v>
      </c>
      <c r="B97" s="9">
        <v>66</v>
      </c>
      <c r="C97" s="10">
        <v>1.7210708759121562E-2</v>
      </c>
      <c r="D97" t="s">
        <v>79</v>
      </c>
      <c r="E97" t="s">
        <v>81</v>
      </c>
      <c r="F97" t="s">
        <v>87</v>
      </c>
      <c r="G97" t="s">
        <v>95</v>
      </c>
      <c r="H97">
        <f t="shared" si="1"/>
        <v>-0.2260229684558912</v>
      </c>
    </row>
    <row r="98" spans="1:8" x14ac:dyDescent="0.2">
      <c r="A98" s="9" t="s">
        <v>60</v>
      </c>
      <c r="B98" s="9">
        <v>70</v>
      </c>
      <c r="C98" s="10">
        <v>1.934167485193794E-2</v>
      </c>
      <c r="D98" t="s">
        <v>78</v>
      </c>
      <c r="E98" t="s">
        <v>82</v>
      </c>
      <c r="F98" t="s">
        <v>87</v>
      </c>
      <c r="G98" t="s">
        <v>96</v>
      </c>
      <c r="H98">
        <f t="shared" si="1"/>
        <v>0.1253648163851584</v>
      </c>
    </row>
    <row r="99" spans="1:8" x14ac:dyDescent="0.2">
      <c r="A99" s="9" t="s">
        <v>52</v>
      </c>
      <c r="B99" s="9">
        <v>70</v>
      </c>
      <c r="C99" s="10">
        <v>2.025637923123691E-2</v>
      </c>
      <c r="D99" t="s">
        <v>79</v>
      </c>
      <c r="E99" t="s">
        <v>82</v>
      </c>
      <c r="F99" t="s">
        <v>87</v>
      </c>
      <c r="G99" t="s">
        <v>97</v>
      </c>
      <c r="H99">
        <f t="shared" si="1"/>
        <v>0.27619590971404151</v>
      </c>
    </row>
    <row r="100" spans="1:8" x14ac:dyDescent="0.2">
      <c r="A100" s="9" t="s">
        <v>54</v>
      </c>
      <c r="B100" s="9">
        <v>70</v>
      </c>
      <c r="C100" s="10">
        <v>1.8396118718650101E-2</v>
      </c>
      <c r="D100" t="s">
        <v>78</v>
      </c>
      <c r="E100" t="s">
        <v>81</v>
      </c>
      <c r="F100" t="s">
        <v>87</v>
      </c>
      <c r="G100" t="s">
        <v>94</v>
      </c>
      <c r="H100">
        <f t="shared" si="1"/>
        <v>-3.0553607769472912E-2</v>
      </c>
    </row>
    <row r="101" spans="1:8" x14ac:dyDescent="0.2">
      <c r="A101" s="9" t="s">
        <v>35</v>
      </c>
      <c r="B101" s="9">
        <v>70</v>
      </c>
      <c r="C101" s="10">
        <v>1.5784906378131236E-2</v>
      </c>
      <c r="D101" t="s">
        <v>79</v>
      </c>
      <c r="E101" t="s">
        <v>81</v>
      </c>
      <c r="F101" t="s">
        <v>87</v>
      </c>
      <c r="G101" t="s">
        <v>95</v>
      </c>
      <c r="H101">
        <f t="shared" si="1"/>
        <v>-0.4611320778716721</v>
      </c>
    </row>
    <row r="102" spans="1:8" x14ac:dyDescent="0.2">
      <c r="A102" s="9" t="s">
        <v>61</v>
      </c>
      <c r="B102" s="9">
        <v>74</v>
      </c>
      <c r="C102" s="10">
        <v>1.5399879846549558E-2</v>
      </c>
      <c r="D102" t="s">
        <v>78</v>
      </c>
      <c r="E102" t="s">
        <v>82</v>
      </c>
      <c r="F102" t="s">
        <v>87</v>
      </c>
      <c r="G102" t="s">
        <v>96</v>
      </c>
      <c r="H102">
        <f t="shared" si="1"/>
        <v>-0.5246214128233645</v>
      </c>
    </row>
    <row r="103" spans="1:8" x14ac:dyDescent="0.2">
      <c r="A103" s="9" t="s">
        <v>52</v>
      </c>
      <c r="B103" s="9">
        <v>74</v>
      </c>
      <c r="C103" s="10">
        <v>1.8206396078431331E-2</v>
      </c>
      <c r="D103" t="s">
        <v>79</v>
      </c>
      <c r="E103" t="s">
        <v>82</v>
      </c>
      <c r="F103" t="s">
        <v>87</v>
      </c>
      <c r="G103" t="s">
        <v>97</v>
      </c>
      <c r="H103">
        <f t="shared" si="1"/>
        <v>-6.1838112250987565E-2</v>
      </c>
    </row>
    <row r="104" spans="1:8" x14ac:dyDescent="0.2">
      <c r="A104" s="9" t="s">
        <v>54</v>
      </c>
      <c r="B104" s="9">
        <v>74</v>
      </c>
      <c r="C104" s="10">
        <v>1.5946055481651511E-2</v>
      </c>
      <c r="D104" t="s">
        <v>78</v>
      </c>
      <c r="E104" t="s">
        <v>81</v>
      </c>
      <c r="F104" t="s">
        <v>87</v>
      </c>
      <c r="G104" t="s">
        <v>94</v>
      </c>
      <c r="H104">
        <f t="shared" si="1"/>
        <v>-0.43455923529759244</v>
      </c>
    </row>
    <row r="105" spans="1:8" x14ac:dyDescent="0.2">
      <c r="A105" s="9" t="s">
        <v>35</v>
      </c>
      <c r="B105" s="9">
        <v>74</v>
      </c>
      <c r="C105" s="10">
        <v>1.5156488286633074E-2</v>
      </c>
      <c r="D105" t="s">
        <v>79</v>
      </c>
      <c r="E105" t="s">
        <v>81</v>
      </c>
      <c r="F105" t="s">
        <v>87</v>
      </c>
      <c r="G105" t="s">
        <v>95</v>
      </c>
      <c r="H105">
        <f t="shared" si="1"/>
        <v>-0.56475570748735271</v>
      </c>
    </row>
    <row r="106" spans="1:8" x14ac:dyDescent="0.2">
      <c r="A106" s="9" t="s">
        <v>62</v>
      </c>
      <c r="B106" s="9">
        <v>81</v>
      </c>
      <c r="C106" s="10">
        <v>1.2273907906783732E-2</v>
      </c>
      <c r="D106" t="s">
        <v>78</v>
      </c>
      <c r="E106" t="s">
        <v>82</v>
      </c>
      <c r="F106" t="s">
        <v>87</v>
      </c>
      <c r="G106" t="s">
        <v>96</v>
      </c>
      <c r="H106">
        <f t="shared" si="1"/>
        <v>-1.0400816818029899</v>
      </c>
    </row>
    <row r="107" spans="1:8" x14ac:dyDescent="0.2">
      <c r="A107" s="9" t="s">
        <v>52</v>
      </c>
      <c r="B107" s="9">
        <v>81</v>
      </c>
      <c r="C107" s="10">
        <v>1.4897642039799708E-2</v>
      </c>
      <c r="D107" t="s">
        <v>79</v>
      </c>
      <c r="E107" t="s">
        <v>82</v>
      </c>
      <c r="F107" t="s">
        <v>87</v>
      </c>
      <c r="G107" t="s">
        <v>97</v>
      </c>
      <c r="H107">
        <f t="shared" si="1"/>
        <v>-0.60743841820518751</v>
      </c>
    </row>
    <row r="108" spans="1:8" x14ac:dyDescent="0.2">
      <c r="A108" s="9" t="s">
        <v>54</v>
      </c>
      <c r="B108" s="9">
        <v>81</v>
      </c>
      <c r="C108" s="10">
        <v>1.2743889248599816E-2</v>
      </c>
      <c r="D108" t="s">
        <v>78</v>
      </c>
      <c r="E108" t="s">
        <v>81</v>
      </c>
      <c r="F108" t="s">
        <v>87</v>
      </c>
      <c r="G108" t="s">
        <v>94</v>
      </c>
      <c r="H108">
        <f t="shared" si="1"/>
        <v>-0.96258363846288497</v>
      </c>
    </row>
    <row r="109" spans="1:8" x14ac:dyDescent="0.2">
      <c r="A109" s="9" t="s">
        <v>35</v>
      </c>
      <c r="B109" s="9">
        <v>81</v>
      </c>
      <c r="C109" s="10">
        <v>1.5571926250752988E-2</v>
      </c>
      <c r="D109" t="s">
        <v>79</v>
      </c>
      <c r="E109" t="s">
        <v>81</v>
      </c>
      <c r="F109" t="s">
        <v>87</v>
      </c>
      <c r="G109" t="s">
        <v>95</v>
      </c>
      <c r="H109">
        <f t="shared" si="1"/>
        <v>-0.49625164895583551</v>
      </c>
    </row>
    <row r="110" spans="1:8" x14ac:dyDescent="0.2">
      <c r="A110" s="3" t="s">
        <v>20</v>
      </c>
      <c r="B110" s="3">
        <v>0</v>
      </c>
      <c r="C110" s="12">
        <v>0.1956</v>
      </c>
      <c r="D110" t="s">
        <v>78</v>
      </c>
      <c r="E110" t="s">
        <v>81</v>
      </c>
      <c r="F110" t="s">
        <v>99</v>
      </c>
      <c r="G110" t="str">
        <f t="shared" ref="G110:G163" si="2">_xlfn.CONCAT(D110,E110,F110)</f>
        <v>DarkEffluentNH4+</v>
      </c>
      <c r="H110">
        <v>75.14846</v>
      </c>
    </row>
    <row r="111" spans="1:8" x14ac:dyDescent="0.2">
      <c r="A111" s="3" t="s">
        <v>15</v>
      </c>
      <c r="B111" s="3">
        <v>0</v>
      </c>
      <c r="C111" s="12">
        <v>0.2127</v>
      </c>
      <c r="D111" t="s">
        <v>79</v>
      </c>
      <c r="E111" t="s">
        <v>81</v>
      </c>
      <c r="F111" t="s">
        <v>99</v>
      </c>
      <c r="G111" t="str">
        <f t="shared" si="2"/>
        <v>IREffluentNH4+</v>
      </c>
      <c r="H111">
        <v>84.559445000000011</v>
      </c>
    </row>
    <row r="112" spans="1:8" x14ac:dyDescent="0.2">
      <c r="A112" s="3" t="s">
        <v>21</v>
      </c>
      <c r="B112" s="3">
        <v>3</v>
      </c>
      <c r="C112" s="12">
        <v>0.20349999999999999</v>
      </c>
      <c r="D112" t="s">
        <v>78</v>
      </c>
      <c r="E112" t="s">
        <v>81</v>
      </c>
      <c r="F112" t="s">
        <v>99</v>
      </c>
      <c r="G112" t="str">
        <f t="shared" si="2"/>
        <v>DarkEffluentNH4+</v>
      </c>
      <c r="H112">
        <v>79.496224999999995</v>
      </c>
    </row>
    <row r="113" spans="1:8" x14ac:dyDescent="0.2">
      <c r="A113" s="3" t="s">
        <v>15</v>
      </c>
      <c r="B113" s="3">
        <v>3</v>
      </c>
      <c r="C113" s="12">
        <v>0.2089</v>
      </c>
      <c r="D113" t="s">
        <v>79</v>
      </c>
      <c r="E113" t="s">
        <v>81</v>
      </c>
      <c r="F113" t="s">
        <v>99</v>
      </c>
      <c r="G113" t="str">
        <f t="shared" si="2"/>
        <v>IREffluentNH4+</v>
      </c>
      <c r="H113">
        <v>82.468114999999997</v>
      </c>
    </row>
    <row r="114" spans="1:8" x14ac:dyDescent="0.2">
      <c r="A114" s="3" t="s">
        <v>22</v>
      </c>
      <c r="B114" s="3">
        <v>3</v>
      </c>
      <c r="C114" s="12">
        <v>0.2046</v>
      </c>
      <c r="D114" t="s">
        <v>78</v>
      </c>
      <c r="E114" t="s">
        <v>81</v>
      </c>
      <c r="F114" t="s">
        <v>99</v>
      </c>
      <c r="G114" t="str">
        <f t="shared" si="2"/>
        <v>DarkEffluentNH4+</v>
      </c>
      <c r="H114">
        <v>80.101609999999994</v>
      </c>
    </row>
    <row r="115" spans="1:8" x14ac:dyDescent="0.2">
      <c r="A115" s="3" t="s">
        <v>15</v>
      </c>
      <c r="B115" s="3">
        <v>3</v>
      </c>
      <c r="C115" s="12">
        <v>0.20949999999999999</v>
      </c>
      <c r="D115" t="s">
        <v>79</v>
      </c>
      <c r="E115" t="s">
        <v>81</v>
      </c>
      <c r="F115" t="s">
        <v>99</v>
      </c>
      <c r="G115" t="str">
        <f t="shared" si="2"/>
        <v>IREffluentNH4+</v>
      </c>
      <c r="H115">
        <v>82.798324999999991</v>
      </c>
    </row>
    <row r="116" spans="1:8" x14ac:dyDescent="0.2">
      <c r="A116" s="3" t="s">
        <v>23</v>
      </c>
      <c r="B116" s="3">
        <v>7</v>
      </c>
      <c r="C116" s="12">
        <v>0.19139999999999999</v>
      </c>
      <c r="D116" t="s">
        <v>78</v>
      </c>
      <c r="E116" t="s">
        <v>81</v>
      </c>
      <c r="F116" t="s">
        <v>99</v>
      </c>
      <c r="G116" t="str">
        <f t="shared" si="2"/>
        <v>DarkEffluentNH4+</v>
      </c>
      <c r="H116">
        <v>72.836989999999986</v>
      </c>
    </row>
    <row r="117" spans="1:8" x14ac:dyDescent="0.2">
      <c r="A117" s="3" t="s">
        <v>24</v>
      </c>
      <c r="B117" s="3">
        <v>7</v>
      </c>
      <c r="C117" s="12">
        <v>0.20050000000000001</v>
      </c>
      <c r="D117" t="s">
        <v>79</v>
      </c>
      <c r="E117" t="s">
        <v>81</v>
      </c>
      <c r="F117" t="s">
        <v>99</v>
      </c>
      <c r="G117" t="str">
        <f t="shared" si="2"/>
        <v>IREffluentNH4+</v>
      </c>
      <c r="H117">
        <v>77.845175000000012</v>
      </c>
    </row>
    <row r="118" spans="1:8" x14ac:dyDescent="0.2">
      <c r="A118" s="5" t="s">
        <v>25</v>
      </c>
      <c r="B118" s="5">
        <v>8</v>
      </c>
      <c r="C118" s="12">
        <v>0.18609999999999999</v>
      </c>
      <c r="D118" t="s">
        <v>78</v>
      </c>
      <c r="E118" t="s">
        <v>81</v>
      </c>
      <c r="F118" t="s">
        <v>99</v>
      </c>
      <c r="G118" t="str">
        <f t="shared" si="2"/>
        <v>DarkEffluentNH4+</v>
      </c>
      <c r="H118">
        <v>69.920135000000002</v>
      </c>
    </row>
    <row r="119" spans="1:8" x14ac:dyDescent="0.2">
      <c r="A119" s="5" t="s">
        <v>24</v>
      </c>
      <c r="B119" s="5">
        <v>8</v>
      </c>
      <c r="C119" s="12">
        <v>0.20080000000000001</v>
      </c>
      <c r="D119" t="s">
        <v>79</v>
      </c>
      <c r="E119" t="s">
        <v>81</v>
      </c>
      <c r="F119" t="s">
        <v>99</v>
      </c>
      <c r="G119" t="str">
        <f t="shared" si="2"/>
        <v>IREffluentNH4+</v>
      </c>
      <c r="H119">
        <v>78.010280000000009</v>
      </c>
    </row>
    <row r="120" spans="1:8" x14ac:dyDescent="0.2">
      <c r="A120" s="5" t="s">
        <v>26</v>
      </c>
      <c r="B120" s="5">
        <v>9</v>
      </c>
      <c r="C120" s="12">
        <v>0.18049999999999999</v>
      </c>
      <c r="D120" t="s">
        <v>78</v>
      </c>
      <c r="E120" t="s">
        <v>81</v>
      </c>
      <c r="F120" t="s">
        <v>99</v>
      </c>
      <c r="G120" t="str">
        <f t="shared" si="2"/>
        <v>DarkEffluentNH4+</v>
      </c>
      <c r="H120">
        <v>66.838175000000007</v>
      </c>
    </row>
    <row r="121" spans="1:8" x14ac:dyDescent="0.2">
      <c r="A121" s="5" t="s">
        <v>24</v>
      </c>
      <c r="B121" s="5">
        <v>9</v>
      </c>
      <c r="C121" s="12">
        <v>0.1787</v>
      </c>
      <c r="D121" t="s">
        <v>79</v>
      </c>
      <c r="E121" t="s">
        <v>81</v>
      </c>
      <c r="F121" t="s">
        <v>99</v>
      </c>
      <c r="G121" t="str">
        <f t="shared" si="2"/>
        <v>IREffluentNH4+</v>
      </c>
      <c r="H121">
        <v>65.847544999999982</v>
      </c>
    </row>
    <row r="122" spans="1:8" x14ac:dyDescent="0.2">
      <c r="A122" s="5" t="s">
        <v>27</v>
      </c>
      <c r="B122" s="5">
        <v>14</v>
      </c>
      <c r="C122" s="12">
        <v>0.1656</v>
      </c>
      <c r="D122" t="s">
        <v>78</v>
      </c>
      <c r="E122" t="s">
        <v>81</v>
      </c>
      <c r="F122" t="s">
        <v>99</v>
      </c>
      <c r="G122" t="str">
        <f t="shared" si="2"/>
        <v>DarkEffluentNH4+</v>
      </c>
      <c r="H122">
        <v>58.637959999999993</v>
      </c>
    </row>
    <row r="123" spans="1:8" x14ac:dyDescent="0.2">
      <c r="A123" s="5" t="s">
        <v>24</v>
      </c>
      <c r="B123" s="5">
        <v>14</v>
      </c>
      <c r="C123" s="12">
        <v>0.16520000000000001</v>
      </c>
      <c r="D123" t="s">
        <v>79</v>
      </c>
      <c r="E123" t="s">
        <v>81</v>
      </c>
      <c r="F123" t="s">
        <v>99</v>
      </c>
      <c r="G123" t="str">
        <f t="shared" si="2"/>
        <v>IREffluentNH4+</v>
      </c>
      <c r="H123">
        <v>58.417819999999999</v>
      </c>
    </row>
    <row r="124" spans="1:8" x14ac:dyDescent="0.2">
      <c r="A124" s="5" t="s">
        <v>28</v>
      </c>
      <c r="B124" s="5">
        <v>23</v>
      </c>
      <c r="C124" s="12">
        <v>0.1757</v>
      </c>
      <c r="D124" t="s">
        <v>78</v>
      </c>
      <c r="E124" t="s">
        <v>81</v>
      </c>
      <c r="F124" t="s">
        <v>99</v>
      </c>
      <c r="G124" t="str">
        <f t="shared" si="2"/>
        <v>DarkEffluentNH4+</v>
      </c>
      <c r="H124">
        <v>64.196494999999999</v>
      </c>
    </row>
    <row r="125" spans="1:8" x14ac:dyDescent="0.2">
      <c r="A125" s="5" t="s">
        <v>24</v>
      </c>
      <c r="B125" s="5">
        <v>23</v>
      </c>
      <c r="C125" s="12">
        <v>0.18759999999999999</v>
      </c>
      <c r="D125" t="s">
        <v>79</v>
      </c>
      <c r="E125" t="s">
        <v>81</v>
      </c>
      <c r="F125" t="s">
        <v>99</v>
      </c>
      <c r="G125" t="str">
        <f t="shared" si="2"/>
        <v>IREffluentNH4+</v>
      </c>
      <c r="H125">
        <v>70.745660000000001</v>
      </c>
    </row>
    <row r="126" spans="1:8" x14ac:dyDescent="0.2">
      <c r="A126" s="5" t="s">
        <v>29</v>
      </c>
      <c r="B126" s="5">
        <v>27</v>
      </c>
      <c r="C126" s="12">
        <v>0.17610000000000001</v>
      </c>
      <c r="D126" t="s">
        <v>78</v>
      </c>
      <c r="E126" t="s">
        <v>81</v>
      </c>
      <c r="F126" t="s">
        <v>99</v>
      </c>
      <c r="G126" t="str">
        <f t="shared" si="2"/>
        <v>DarkEffluentNH4+</v>
      </c>
      <c r="H126">
        <v>64.416634999999985</v>
      </c>
    </row>
    <row r="127" spans="1:8" x14ac:dyDescent="0.2">
      <c r="A127" s="5" t="s">
        <v>24</v>
      </c>
      <c r="B127" s="5">
        <v>27</v>
      </c>
      <c r="C127" s="12">
        <v>0.17610000000000001</v>
      </c>
      <c r="D127" t="s">
        <v>79</v>
      </c>
      <c r="E127" t="s">
        <v>81</v>
      </c>
      <c r="F127" t="s">
        <v>99</v>
      </c>
      <c r="G127" t="str">
        <f t="shared" si="2"/>
        <v>IREffluentNH4+</v>
      </c>
      <c r="H127">
        <v>64.416634999999985</v>
      </c>
    </row>
    <row r="128" spans="1:8" x14ac:dyDescent="0.2">
      <c r="A128" s="7" t="s">
        <v>30</v>
      </c>
      <c r="B128" s="7">
        <v>28</v>
      </c>
      <c r="C128" s="12">
        <v>0.19889999999999999</v>
      </c>
      <c r="D128" t="s">
        <v>78</v>
      </c>
      <c r="E128" t="s">
        <v>81</v>
      </c>
      <c r="F128" t="s">
        <v>99</v>
      </c>
      <c r="G128" t="str">
        <f t="shared" si="2"/>
        <v>DarkEffluentNH4+</v>
      </c>
      <c r="H128">
        <v>76.964615000000009</v>
      </c>
    </row>
    <row r="129" spans="1:8" x14ac:dyDescent="0.2">
      <c r="A129" s="7" t="s">
        <v>24</v>
      </c>
      <c r="B129" s="7">
        <v>28</v>
      </c>
      <c r="C129" s="12">
        <v>0.1915</v>
      </c>
      <c r="D129" t="s">
        <v>79</v>
      </c>
      <c r="E129" t="s">
        <v>81</v>
      </c>
      <c r="F129" t="s">
        <v>99</v>
      </c>
      <c r="G129" t="str">
        <f t="shared" si="2"/>
        <v>IREffluentNH4+</v>
      </c>
      <c r="H129">
        <v>72.892025000000004</v>
      </c>
    </row>
    <row r="130" spans="1:8" x14ac:dyDescent="0.2">
      <c r="A130" s="5" t="s">
        <v>31</v>
      </c>
      <c r="B130" s="5">
        <v>29</v>
      </c>
      <c r="C130" s="12">
        <v>0.17230000000000001</v>
      </c>
      <c r="D130" t="s">
        <v>78</v>
      </c>
      <c r="E130" t="s">
        <v>81</v>
      </c>
      <c r="F130" t="s">
        <v>99</v>
      </c>
      <c r="G130" t="str">
        <f t="shared" si="2"/>
        <v>DarkEffluentNH4+</v>
      </c>
      <c r="H130">
        <v>62.325305</v>
      </c>
    </row>
    <row r="131" spans="1:8" x14ac:dyDescent="0.2">
      <c r="A131" s="5" t="s">
        <v>24</v>
      </c>
      <c r="B131" s="5">
        <v>29</v>
      </c>
      <c r="C131" s="12">
        <v>0.1565</v>
      </c>
      <c r="D131" t="s">
        <v>79</v>
      </c>
      <c r="E131" t="s">
        <v>81</v>
      </c>
      <c r="F131" t="s">
        <v>99</v>
      </c>
      <c r="G131" t="str">
        <f t="shared" si="2"/>
        <v>IREffluentNH4+</v>
      </c>
      <c r="H131">
        <v>53.629774999999988</v>
      </c>
    </row>
    <row r="132" spans="1:8" x14ac:dyDescent="0.2">
      <c r="A132" s="9" t="s">
        <v>55</v>
      </c>
      <c r="B132" s="9">
        <v>50</v>
      </c>
      <c r="C132" s="12">
        <v>0.2616</v>
      </c>
      <c r="D132" t="s">
        <v>78</v>
      </c>
      <c r="E132" t="s">
        <v>82</v>
      </c>
      <c r="F132" t="s">
        <v>99</v>
      </c>
      <c r="G132" t="str">
        <f t="shared" si="2"/>
        <v>DarkInfluentNH4+</v>
      </c>
      <c r="H132">
        <v>111.47156</v>
      </c>
    </row>
    <row r="133" spans="1:8" x14ac:dyDescent="0.2">
      <c r="A133" s="9" t="s">
        <v>52</v>
      </c>
      <c r="B133" s="9">
        <v>50</v>
      </c>
      <c r="C133" s="12">
        <v>0.24829999999999999</v>
      </c>
      <c r="D133" t="s">
        <v>79</v>
      </c>
      <c r="E133" t="s">
        <v>82</v>
      </c>
      <c r="F133" t="s">
        <v>99</v>
      </c>
      <c r="G133" t="str">
        <f t="shared" si="2"/>
        <v>IRInfluentNH4+</v>
      </c>
      <c r="H133">
        <v>104.151905</v>
      </c>
    </row>
    <row r="134" spans="1:8" x14ac:dyDescent="0.2">
      <c r="A134" s="9" t="s">
        <v>54</v>
      </c>
      <c r="B134" s="9">
        <v>50</v>
      </c>
      <c r="C134" s="12">
        <v>0.28920000000000001</v>
      </c>
      <c r="D134" t="s">
        <v>78</v>
      </c>
      <c r="E134" t="s">
        <v>81</v>
      </c>
      <c r="F134" t="s">
        <v>99</v>
      </c>
      <c r="G134" t="str">
        <f t="shared" si="2"/>
        <v>DarkEffluentNH4+</v>
      </c>
      <c r="H134">
        <v>126.66122</v>
      </c>
    </row>
    <row r="135" spans="1:8" x14ac:dyDescent="0.2">
      <c r="A135" s="9" t="s">
        <v>35</v>
      </c>
      <c r="B135" s="9">
        <v>50</v>
      </c>
      <c r="C135" s="12">
        <v>0.26679999999999998</v>
      </c>
      <c r="D135" t="s">
        <v>79</v>
      </c>
      <c r="E135" t="s">
        <v>81</v>
      </c>
      <c r="F135" t="s">
        <v>99</v>
      </c>
      <c r="G135" t="str">
        <f t="shared" si="2"/>
        <v>IREffluentNH4+</v>
      </c>
      <c r="H135">
        <v>114.33337999999999</v>
      </c>
    </row>
    <row r="136" spans="1:8" x14ac:dyDescent="0.2">
      <c r="A136" s="9" t="s">
        <v>56</v>
      </c>
      <c r="B136" s="9">
        <v>52</v>
      </c>
      <c r="C136" s="12">
        <v>0.26319999999999999</v>
      </c>
      <c r="D136" t="s">
        <v>78</v>
      </c>
      <c r="E136" t="s">
        <v>82</v>
      </c>
      <c r="F136" t="s">
        <v>99</v>
      </c>
      <c r="G136" t="str">
        <f t="shared" si="2"/>
        <v>DarkInfluentNH4+</v>
      </c>
      <c r="H136">
        <v>112.35211999999999</v>
      </c>
    </row>
    <row r="137" spans="1:8" x14ac:dyDescent="0.2">
      <c r="A137" s="9" t="s">
        <v>52</v>
      </c>
      <c r="B137" s="9">
        <v>52</v>
      </c>
      <c r="C137" s="12">
        <v>0.25290000000000001</v>
      </c>
      <c r="D137" t="s">
        <v>79</v>
      </c>
      <c r="E137" t="s">
        <v>82</v>
      </c>
      <c r="F137" t="s">
        <v>99</v>
      </c>
      <c r="G137" t="str">
        <f t="shared" si="2"/>
        <v>IRInfluentNH4+</v>
      </c>
      <c r="H137">
        <v>106.68351500000001</v>
      </c>
    </row>
    <row r="138" spans="1:8" x14ac:dyDescent="0.2">
      <c r="A138" s="9" t="s">
        <v>54</v>
      </c>
      <c r="B138" s="9">
        <v>52</v>
      </c>
      <c r="C138" s="12">
        <v>0.26879999999999998</v>
      </c>
      <c r="D138" t="s">
        <v>78</v>
      </c>
      <c r="E138" t="s">
        <v>81</v>
      </c>
      <c r="F138" t="s">
        <v>99</v>
      </c>
      <c r="G138" t="str">
        <f t="shared" si="2"/>
        <v>DarkEffluentNH4+</v>
      </c>
      <c r="H138">
        <v>115.43407999999999</v>
      </c>
    </row>
    <row r="139" spans="1:8" x14ac:dyDescent="0.2">
      <c r="A139" s="9" t="s">
        <v>35</v>
      </c>
      <c r="B139" s="9">
        <v>52</v>
      </c>
      <c r="C139" s="12">
        <v>0.28520000000000001</v>
      </c>
      <c r="D139" t="s">
        <v>79</v>
      </c>
      <c r="E139" t="s">
        <v>81</v>
      </c>
      <c r="F139" t="s">
        <v>99</v>
      </c>
      <c r="G139" t="str">
        <f t="shared" si="2"/>
        <v>IREffluentNH4+</v>
      </c>
      <c r="H139">
        <v>124.45981999999999</v>
      </c>
    </row>
    <row r="140" spans="1:8" x14ac:dyDescent="0.2">
      <c r="A140" s="9" t="s">
        <v>57</v>
      </c>
      <c r="B140" s="9">
        <v>59</v>
      </c>
      <c r="C140" s="12">
        <v>0.16830000000000001</v>
      </c>
      <c r="D140" t="s">
        <v>78</v>
      </c>
      <c r="E140" t="s">
        <v>82</v>
      </c>
      <c r="F140" t="s">
        <v>99</v>
      </c>
      <c r="G140" t="str">
        <f t="shared" si="2"/>
        <v>DarkInfluentNH4+</v>
      </c>
      <c r="H140">
        <v>38.054870000000001</v>
      </c>
    </row>
    <row r="141" spans="1:8" x14ac:dyDescent="0.2">
      <c r="A141" s="9" t="s">
        <v>52</v>
      </c>
      <c r="B141" s="9">
        <v>59</v>
      </c>
      <c r="C141" s="12">
        <v>6.9699999999999998E-2</v>
      </c>
      <c r="D141" t="s">
        <v>79</v>
      </c>
      <c r="E141" t="s">
        <v>82</v>
      </c>
      <c r="F141" t="s">
        <v>99</v>
      </c>
      <c r="G141" t="str">
        <f t="shared" si="2"/>
        <v>IRInfluentNH4+</v>
      </c>
      <c r="H141">
        <v>39.926059999999993</v>
      </c>
    </row>
    <row r="142" spans="1:8" x14ac:dyDescent="0.2">
      <c r="A142" s="9" t="s">
        <v>54</v>
      </c>
      <c r="B142" s="9">
        <v>59</v>
      </c>
      <c r="C142" s="12">
        <v>0.12820000000000001</v>
      </c>
      <c r="D142" t="s">
        <v>78</v>
      </c>
      <c r="E142" t="s">
        <v>81</v>
      </c>
      <c r="F142" t="s">
        <v>99</v>
      </c>
      <c r="G142" t="str">
        <f t="shared" si="2"/>
        <v>DarkEffluentNH4+</v>
      </c>
      <c r="H142">
        <v>60.123905000000001</v>
      </c>
    </row>
    <row r="143" spans="1:8" x14ac:dyDescent="0.2">
      <c r="A143" s="9" t="s">
        <v>35</v>
      </c>
      <c r="B143" s="9">
        <v>59</v>
      </c>
      <c r="C143" s="12">
        <v>0.13159999999999999</v>
      </c>
      <c r="D143" t="s">
        <v>79</v>
      </c>
      <c r="E143" t="s">
        <v>81</v>
      </c>
      <c r="F143" t="s">
        <v>99</v>
      </c>
      <c r="G143" t="str">
        <f t="shared" si="2"/>
        <v>IREffluentNH4+</v>
      </c>
      <c r="H143">
        <v>5.8593949999999948</v>
      </c>
    </row>
    <row r="144" spans="1:8" x14ac:dyDescent="0.2">
      <c r="A144" s="9" t="s">
        <v>58</v>
      </c>
      <c r="B144" s="9">
        <v>62</v>
      </c>
      <c r="C144" s="12">
        <v>0.16919999999999999</v>
      </c>
      <c r="D144" t="s">
        <v>78</v>
      </c>
      <c r="E144" t="s">
        <v>82</v>
      </c>
      <c r="F144" t="s">
        <v>99</v>
      </c>
      <c r="G144" t="str">
        <f t="shared" si="2"/>
        <v>DarkInfluentNH4+</v>
      </c>
      <c r="H144">
        <v>38.275009999999995</v>
      </c>
    </row>
    <row r="145" spans="1:8" x14ac:dyDescent="0.2">
      <c r="A145" s="9" t="s">
        <v>52</v>
      </c>
      <c r="B145" s="9">
        <v>62</v>
      </c>
      <c r="C145" s="12">
        <v>7.0599999999999996E-2</v>
      </c>
      <c r="D145" t="s">
        <v>79</v>
      </c>
      <c r="E145" t="s">
        <v>82</v>
      </c>
      <c r="F145" t="s">
        <v>99</v>
      </c>
      <c r="G145" t="str">
        <f t="shared" si="2"/>
        <v>IRInfluentNH4+</v>
      </c>
      <c r="H145">
        <v>40.641514999999991</v>
      </c>
    </row>
    <row r="146" spans="1:8" x14ac:dyDescent="0.2">
      <c r="A146" s="9" t="s">
        <v>54</v>
      </c>
      <c r="B146" s="9">
        <v>62</v>
      </c>
      <c r="C146" s="12">
        <v>0.12859999999999999</v>
      </c>
      <c r="D146" t="s">
        <v>78</v>
      </c>
      <c r="E146" t="s">
        <v>81</v>
      </c>
      <c r="F146" t="s">
        <v>99</v>
      </c>
      <c r="G146" t="str">
        <f t="shared" si="2"/>
        <v>DarkEffluentNH4+</v>
      </c>
      <c r="H146">
        <v>60.619219999999999</v>
      </c>
    </row>
    <row r="147" spans="1:8" x14ac:dyDescent="0.2">
      <c r="A147" s="9" t="s">
        <v>35</v>
      </c>
      <c r="B147" s="9">
        <v>62</v>
      </c>
      <c r="C147" s="12">
        <v>0.13289999999999999</v>
      </c>
      <c r="D147" t="s">
        <v>79</v>
      </c>
      <c r="E147" t="s">
        <v>81</v>
      </c>
      <c r="F147" t="s">
        <v>99</v>
      </c>
      <c r="G147" t="str">
        <f t="shared" si="2"/>
        <v>IREffluentNH4+</v>
      </c>
      <c r="H147">
        <v>6.3547099999999972</v>
      </c>
    </row>
    <row r="148" spans="1:8" x14ac:dyDescent="0.2">
      <c r="A148" s="9" t="s">
        <v>59</v>
      </c>
      <c r="B148" s="9">
        <v>66</v>
      </c>
      <c r="C148" s="12">
        <v>0.1724</v>
      </c>
      <c r="D148" t="s">
        <v>78</v>
      </c>
      <c r="E148" t="s">
        <v>82</v>
      </c>
      <c r="F148" t="s">
        <v>99</v>
      </c>
      <c r="G148" t="str">
        <f t="shared" si="2"/>
        <v>DarkInfluentNH4+</v>
      </c>
      <c r="H148">
        <v>62.38033999999999</v>
      </c>
    </row>
    <row r="149" spans="1:8" x14ac:dyDescent="0.2">
      <c r="A149" s="9" t="s">
        <v>52</v>
      </c>
      <c r="B149" s="9">
        <v>66</v>
      </c>
      <c r="C149" s="12">
        <v>0.186</v>
      </c>
      <c r="D149" t="s">
        <v>79</v>
      </c>
      <c r="E149" t="s">
        <v>82</v>
      </c>
      <c r="F149" t="s">
        <v>99</v>
      </c>
      <c r="G149" t="str">
        <f t="shared" si="2"/>
        <v>IRInfluentNH4+</v>
      </c>
      <c r="H149">
        <v>69.865099999999984</v>
      </c>
    </row>
    <row r="150" spans="1:8" x14ac:dyDescent="0.2">
      <c r="A150" s="9" t="s">
        <v>54</v>
      </c>
      <c r="B150" s="9">
        <v>66</v>
      </c>
      <c r="C150" s="12">
        <v>0.18049999999999999</v>
      </c>
      <c r="D150" t="s">
        <v>78</v>
      </c>
      <c r="E150" t="s">
        <v>81</v>
      </c>
      <c r="F150" t="s">
        <v>99</v>
      </c>
      <c r="G150" t="str">
        <f t="shared" si="2"/>
        <v>DarkEffluentNH4+</v>
      </c>
      <c r="H150">
        <v>66.838175000000007</v>
      </c>
    </row>
    <row r="151" spans="1:8" x14ac:dyDescent="0.2">
      <c r="A151" s="9" t="s">
        <v>35</v>
      </c>
      <c r="B151" s="9">
        <v>66</v>
      </c>
      <c r="C151" s="12">
        <v>5.6500000000000002E-2</v>
      </c>
      <c r="D151" t="s">
        <v>79</v>
      </c>
      <c r="E151" t="s">
        <v>81</v>
      </c>
      <c r="F151" t="s">
        <v>99</v>
      </c>
      <c r="G151" t="str">
        <f t="shared" si="2"/>
        <v>IREffluentNH4+</v>
      </c>
      <c r="H151">
        <v>-1.4052249999999988</v>
      </c>
    </row>
    <row r="152" spans="1:8" x14ac:dyDescent="0.2">
      <c r="A152" s="9" t="s">
        <v>60</v>
      </c>
      <c r="B152" s="9">
        <v>70</v>
      </c>
      <c r="C152" s="12">
        <v>0.15279999999999999</v>
      </c>
      <c r="D152" t="s">
        <v>78</v>
      </c>
      <c r="E152" t="s">
        <v>82</v>
      </c>
      <c r="F152" t="s">
        <v>99</v>
      </c>
      <c r="G152" t="str">
        <f t="shared" si="2"/>
        <v>DarkInfluentNH4+</v>
      </c>
      <c r="H152">
        <v>51.593479999999992</v>
      </c>
    </row>
    <row r="153" spans="1:8" x14ac:dyDescent="0.2">
      <c r="A153" s="9" t="s">
        <v>52</v>
      </c>
      <c r="B153" s="9">
        <v>70</v>
      </c>
      <c r="C153" s="12">
        <v>0.152</v>
      </c>
      <c r="D153" t="s">
        <v>79</v>
      </c>
      <c r="E153" t="s">
        <v>82</v>
      </c>
      <c r="F153" t="s">
        <v>99</v>
      </c>
      <c r="G153" t="str">
        <f t="shared" si="2"/>
        <v>IRInfluentNH4+</v>
      </c>
      <c r="H153">
        <v>51.153199999999984</v>
      </c>
    </row>
    <row r="154" spans="1:8" x14ac:dyDescent="0.2">
      <c r="A154" s="9" t="s">
        <v>54</v>
      </c>
      <c r="B154" s="9">
        <v>70</v>
      </c>
      <c r="C154" s="12">
        <v>0.1731</v>
      </c>
      <c r="D154" t="s">
        <v>78</v>
      </c>
      <c r="E154" t="s">
        <v>81</v>
      </c>
      <c r="F154" t="s">
        <v>99</v>
      </c>
      <c r="G154" t="str">
        <f t="shared" si="2"/>
        <v>DarkEffluentNH4+</v>
      </c>
      <c r="H154">
        <v>62.765585000000002</v>
      </c>
    </row>
    <row r="155" spans="1:8" x14ac:dyDescent="0.2">
      <c r="A155" s="9" t="s">
        <v>35</v>
      </c>
      <c r="B155" s="9">
        <v>70</v>
      </c>
      <c r="C155" s="12">
        <v>5.74E-2</v>
      </c>
      <c r="D155" t="s">
        <v>79</v>
      </c>
      <c r="E155" t="s">
        <v>81</v>
      </c>
      <c r="F155" t="s">
        <v>99</v>
      </c>
      <c r="G155" t="str">
        <f t="shared" si="2"/>
        <v>IREffluentNH4+</v>
      </c>
      <c r="H155">
        <v>-0.90991000000000266</v>
      </c>
    </row>
    <row r="156" spans="1:8" x14ac:dyDescent="0.2">
      <c r="A156" s="9" t="s">
        <v>61</v>
      </c>
      <c r="B156" s="9">
        <v>74</v>
      </c>
      <c r="C156" s="12">
        <v>0.2046</v>
      </c>
      <c r="D156" t="s">
        <v>78</v>
      </c>
      <c r="E156" t="s">
        <v>82</v>
      </c>
      <c r="F156" t="s">
        <v>99</v>
      </c>
      <c r="G156" t="str">
        <f t="shared" si="2"/>
        <v>DarkInfluentNH4+</v>
      </c>
      <c r="H156">
        <v>80.101609999999994</v>
      </c>
    </row>
    <row r="157" spans="1:8" x14ac:dyDescent="0.2">
      <c r="A157" s="9" t="s">
        <v>52</v>
      </c>
      <c r="B157" s="9">
        <v>74</v>
      </c>
      <c r="C157" s="12">
        <v>0.21540000000000001</v>
      </c>
      <c r="D157" t="s">
        <v>79</v>
      </c>
      <c r="E157" t="s">
        <v>82</v>
      </c>
      <c r="F157" t="s">
        <v>99</v>
      </c>
      <c r="G157" t="str">
        <f t="shared" si="2"/>
        <v>IRInfluentNH4+</v>
      </c>
      <c r="H157">
        <v>86.045389999999998</v>
      </c>
    </row>
    <row r="158" spans="1:8" x14ac:dyDescent="0.2">
      <c r="A158" s="9" t="s">
        <v>54</v>
      </c>
      <c r="B158" s="9">
        <v>74</v>
      </c>
      <c r="C158" s="12">
        <v>0.1663</v>
      </c>
      <c r="D158" t="s">
        <v>78</v>
      </c>
      <c r="E158" t="s">
        <v>81</v>
      </c>
      <c r="F158" t="s">
        <v>99</v>
      </c>
      <c r="G158" t="str">
        <f t="shared" si="2"/>
        <v>DarkEffluentNH4+</v>
      </c>
      <c r="H158">
        <v>59.023205000000004</v>
      </c>
    </row>
    <row r="159" spans="1:8" x14ac:dyDescent="0.2">
      <c r="A159" s="9" t="s">
        <v>35</v>
      </c>
      <c r="B159" s="9">
        <v>74</v>
      </c>
      <c r="C159" s="12">
        <v>6.0699999999999997E-2</v>
      </c>
      <c r="D159" t="s">
        <v>79</v>
      </c>
      <c r="E159" t="s">
        <v>81</v>
      </c>
      <c r="F159" t="s">
        <v>99</v>
      </c>
      <c r="G159" t="str">
        <f t="shared" si="2"/>
        <v>IREffluentNH4+</v>
      </c>
      <c r="H159">
        <v>0.90624499999999442</v>
      </c>
    </row>
    <row r="160" spans="1:8" x14ac:dyDescent="0.2">
      <c r="A160" s="9" t="s">
        <v>62</v>
      </c>
      <c r="B160" s="9">
        <v>81</v>
      </c>
      <c r="C160" s="12">
        <v>0.21190000000000001</v>
      </c>
      <c r="D160" t="s">
        <v>78</v>
      </c>
      <c r="E160" t="s">
        <v>82</v>
      </c>
      <c r="F160" t="s">
        <v>99</v>
      </c>
      <c r="G160" t="str">
        <f t="shared" si="2"/>
        <v>DarkInfluentNH4+</v>
      </c>
      <c r="H160">
        <v>84.11916500000001</v>
      </c>
    </row>
    <row r="161" spans="1:8" x14ac:dyDescent="0.2">
      <c r="A161" s="9" t="s">
        <v>52</v>
      </c>
      <c r="B161" s="9">
        <v>81</v>
      </c>
      <c r="C161" s="12">
        <v>0.20399999999999999</v>
      </c>
      <c r="D161" t="s">
        <v>79</v>
      </c>
      <c r="E161" t="s">
        <v>82</v>
      </c>
      <c r="F161" t="s">
        <v>99</v>
      </c>
      <c r="G161" t="str">
        <f t="shared" si="2"/>
        <v>IRInfluentNH4+</v>
      </c>
      <c r="H161">
        <v>79.7714</v>
      </c>
    </row>
    <row r="162" spans="1:8" x14ac:dyDescent="0.2">
      <c r="A162" s="9" t="s">
        <v>54</v>
      </c>
      <c r="B162" s="9">
        <v>81</v>
      </c>
      <c r="C162" s="12">
        <v>0.15820000000000001</v>
      </c>
      <c r="D162" t="s">
        <v>78</v>
      </c>
      <c r="E162" t="s">
        <v>81</v>
      </c>
      <c r="F162" t="s">
        <v>99</v>
      </c>
      <c r="G162" t="str">
        <f t="shared" si="2"/>
        <v>DarkEffluentNH4+</v>
      </c>
      <c r="H162">
        <v>54.565369999999987</v>
      </c>
    </row>
    <row r="163" spans="1:8" x14ac:dyDescent="0.2">
      <c r="A163" s="9" t="s">
        <v>35</v>
      </c>
      <c r="B163" s="9">
        <v>81</v>
      </c>
      <c r="C163" s="12">
        <v>6.7100000000000007E-2</v>
      </c>
      <c r="D163" t="s">
        <v>79</v>
      </c>
      <c r="E163" t="s">
        <v>81</v>
      </c>
      <c r="F163" t="s">
        <v>99</v>
      </c>
      <c r="G163" t="str">
        <f t="shared" si="2"/>
        <v>IREffluentNH4+</v>
      </c>
      <c r="H163">
        <v>4.4284850000000038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2D32A-B523-EB42-8C40-C538026A4C02}">
  <sheetPr filterMode="1"/>
  <dimension ref="A1:L201"/>
  <sheetViews>
    <sheetView zoomScale="116" workbookViewId="0">
      <selection activeCell="K30" sqref="K30:K201"/>
    </sheetView>
  </sheetViews>
  <sheetFormatPr baseColWidth="10" defaultRowHeight="16" x14ac:dyDescent="0.2"/>
  <cols>
    <col min="1" max="1" width="13.33203125" customWidth="1"/>
  </cols>
  <sheetData>
    <row r="1" spans="1:11" x14ac:dyDescent="0.2">
      <c r="A1" s="11" t="s">
        <v>76</v>
      </c>
      <c r="B1" s="11" t="s">
        <v>72</v>
      </c>
      <c r="C1" s="11" t="s">
        <v>73</v>
      </c>
      <c r="D1" s="11" t="s">
        <v>74</v>
      </c>
      <c r="E1" s="11" t="s">
        <v>75</v>
      </c>
      <c r="F1" s="11" t="s">
        <v>103</v>
      </c>
      <c r="G1" s="11" t="s">
        <v>101</v>
      </c>
      <c r="H1" s="11" t="s">
        <v>102</v>
      </c>
      <c r="I1" s="11" t="s">
        <v>98</v>
      </c>
      <c r="J1" s="11" t="s">
        <v>104</v>
      </c>
      <c r="K1" s="11" t="s">
        <v>84</v>
      </c>
    </row>
    <row r="2" spans="1:11" hidden="1" x14ac:dyDescent="0.2">
      <c r="A2" s="1" t="s">
        <v>0</v>
      </c>
      <c r="B2" s="2">
        <v>45.593306568212633</v>
      </c>
      <c r="C2" s="2">
        <v>0.94458074314781548</v>
      </c>
      <c r="D2" s="2">
        <v>0.10088504111310548</v>
      </c>
      <c r="E2" s="2">
        <v>1.0365735737083437E-2</v>
      </c>
    </row>
    <row r="3" spans="1:11" hidden="1" x14ac:dyDescent="0.2">
      <c r="A3" s="1" t="s">
        <v>1</v>
      </c>
      <c r="B3" s="2">
        <v>44.062249216277472</v>
      </c>
      <c r="C3" s="2">
        <v>0.95263313041916065</v>
      </c>
      <c r="D3" s="2">
        <v>0.10909484143712711</v>
      </c>
      <c r="E3" s="2">
        <v>1.2345106836327613E-2</v>
      </c>
    </row>
    <row r="4" spans="1:11" hidden="1" x14ac:dyDescent="0.2">
      <c r="A4" s="1" t="s">
        <v>2</v>
      </c>
      <c r="B4" s="2">
        <v>42.586499171400064</v>
      </c>
      <c r="C4" s="2">
        <v>0.86208963694827134</v>
      </c>
      <c r="D4" s="2">
        <v>0.10064581348112767</v>
      </c>
      <c r="E4" s="2">
        <v>8.9328712502503294E-3</v>
      </c>
    </row>
    <row r="5" spans="1:11" hidden="1" x14ac:dyDescent="0.2">
      <c r="A5" s="1" t="s">
        <v>3</v>
      </c>
      <c r="B5" s="2">
        <v>43.269195512507444</v>
      </c>
      <c r="C5" s="2">
        <v>0.86426839730700245</v>
      </c>
      <c r="D5" s="2">
        <v>0.10328993218631632</v>
      </c>
      <c r="E5" s="2">
        <v>1.0146233542789096E-2</v>
      </c>
    </row>
    <row r="6" spans="1:11" hidden="1" x14ac:dyDescent="0.2">
      <c r="A6" s="1" t="s">
        <v>4</v>
      </c>
      <c r="B6" s="2">
        <v>43.724906785118705</v>
      </c>
      <c r="C6" s="2">
        <v>0.82606945994414582</v>
      </c>
      <c r="D6" s="2">
        <v>0.10412897156393486</v>
      </c>
      <c r="E6" s="2">
        <v>7.5018847197290128E-3</v>
      </c>
    </row>
    <row r="7" spans="1:11" hidden="1" x14ac:dyDescent="0.2">
      <c r="A7" s="1" t="s">
        <v>5</v>
      </c>
      <c r="B7" s="2">
        <v>44.430750668671443</v>
      </c>
      <c r="C7" s="2">
        <v>0.83398104657889571</v>
      </c>
      <c r="D7" s="2">
        <v>0.10864748264512336</v>
      </c>
      <c r="E7" s="2">
        <v>1.2167219399562113E-2</v>
      </c>
    </row>
    <row r="8" spans="1:11" hidden="1" x14ac:dyDescent="0.2">
      <c r="A8" s="1" t="s">
        <v>6</v>
      </c>
      <c r="B8" s="2">
        <v>14.237922899132421</v>
      </c>
      <c r="C8" s="2">
        <v>0.89083912232876838</v>
      </c>
      <c r="D8" s="2">
        <v>0.1815614262557077</v>
      </c>
      <c r="E8" s="2">
        <v>6.3573134703195366E-2</v>
      </c>
    </row>
    <row r="9" spans="1:11" hidden="1" x14ac:dyDescent="0.2">
      <c r="A9" s="1" t="s">
        <v>5</v>
      </c>
      <c r="B9" s="2">
        <v>49.549935440498999</v>
      </c>
      <c r="C9" s="2">
        <v>0.83531187954091668</v>
      </c>
      <c r="D9" s="2">
        <v>0.19101806776446995</v>
      </c>
      <c r="E9" s="2">
        <v>1.4308242694611506E-2</v>
      </c>
    </row>
    <row r="10" spans="1:11" hidden="1" x14ac:dyDescent="0.2">
      <c r="A10" s="1" t="s">
        <v>7</v>
      </c>
      <c r="B10" s="2">
        <v>42.841352124563414</v>
      </c>
      <c r="C10" s="2">
        <v>0.76321978667426071</v>
      </c>
      <c r="D10" s="2">
        <v>0.16395146355353107</v>
      </c>
      <c r="E10" s="2">
        <v>1.2333289430523919E-2</v>
      </c>
    </row>
    <row r="11" spans="1:11" hidden="1" x14ac:dyDescent="0.2">
      <c r="A11" s="1" t="s">
        <v>5</v>
      </c>
      <c r="B11" s="2">
        <v>43.357564531875482</v>
      </c>
      <c r="C11" s="2">
        <v>0.76340782362946202</v>
      </c>
      <c r="D11" s="2">
        <v>0.17927245302961281</v>
      </c>
      <c r="E11" s="2">
        <v>1.4397932148823678E-2</v>
      </c>
    </row>
    <row r="12" spans="1:11" hidden="1" x14ac:dyDescent="0.2">
      <c r="A12" s="1" t="s">
        <v>8</v>
      </c>
      <c r="B12" s="2">
        <v>44.0436169426535</v>
      </c>
      <c r="C12" s="2">
        <v>0.76459792105263258</v>
      </c>
      <c r="D12" s="2">
        <v>0.15685121929824652</v>
      </c>
      <c r="E12" s="2">
        <v>1.2009242543858933E-2</v>
      </c>
    </row>
    <row r="13" spans="1:11" hidden="1" x14ac:dyDescent="0.2">
      <c r="A13" s="1" t="s">
        <v>9</v>
      </c>
      <c r="B13" s="2">
        <v>45.502961462610173</v>
      </c>
      <c r="C13" s="2">
        <v>0.79670868353084301</v>
      </c>
      <c r="D13" s="2">
        <v>0.17497138193558359</v>
      </c>
      <c r="E13" s="2">
        <v>1.5287029246429329E-2</v>
      </c>
    </row>
    <row r="14" spans="1:11" hidden="1" x14ac:dyDescent="0.2">
      <c r="A14" s="1" t="s">
        <v>10</v>
      </c>
      <c r="B14" s="2">
        <v>44.957764446148573</v>
      </c>
      <c r="C14" s="2">
        <v>0.69038076671224513</v>
      </c>
      <c r="D14" s="2">
        <v>0.17240248730628949</v>
      </c>
      <c r="E14" s="2">
        <v>1.3800577051048313E-2</v>
      </c>
    </row>
    <row r="15" spans="1:11" hidden="1" x14ac:dyDescent="0.2">
      <c r="A15" s="1" t="s">
        <v>11</v>
      </c>
      <c r="B15" s="2">
        <v>56.643660381911509</v>
      </c>
      <c r="C15" s="2">
        <v>0.73744543053527967</v>
      </c>
      <c r="D15" s="2">
        <v>0.18736074135492653</v>
      </c>
      <c r="E15" s="2">
        <v>1.926524016879605E-2</v>
      </c>
    </row>
    <row r="16" spans="1:11" hidden="1" x14ac:dyDescent="0.2">
      <c r="A16" s="1" t="s">
        <v>12</v>
      </c>
      <c r="B16" s="2">
        <v>47.542196877790367</v>
      </c>
      <c r="C16" s="2">
        <v>0.62616507255125364</v>
      </c>
      <c r="D16" s="2">
        <v>0.17715963198936957</v>
      </c>
      <c r="E16" s="2">
        <v>1.6045949597569997E-2</v>
      </c>
    </row>
    <row r="17" spans="1:11" hidden="1" x14ac:dyDescent="0.2">
      <c r="A17" s="1" t="s">
        <v>13</v>
      </c>
      <c r="B17" s="2">
        <v>49.135454365656337</v>
      </c>
      <c r="C17" s="2">
        <v>0.64021609603463958</v>
      </c>
      <c r="D17" s="2">
        <v>0.19414158347766697</v>
      </c>
      <c r="E17" s="2">
        <v>2.0545650539350646E-2</v>
      </c>
    </row>
    <row r="18" spans="1:11" hidden="1" x14ac:dyDescent="0.2">
      <c r="A18" s="1" t="s">
        <v>14</v>
      </c>
      <c r="B18" s="2">
        <v>46.463681176086268</v>
      </c>
      <c r="C18" s="2">
        <v>0.53452777754481806</v>
      </c>
      <c r="D18" s="2">
        <v>0.19673997236402307</v>
      </c>
      <c r="E18" s="2">
        <v>1.5161941719842531E-2</v>
      </c>
    </row>
    <row r="19" spans="1:11" hidden="1" x14ac:dyDescent="0.2">
      <c r="A19" s="1" t="s">
        <v>15</v>
      </c>
      <c r="B19" s="2">
        <v>45.912807507213344</v>
      </c>
      <c r="C19" s="2">
        <v>0.53021820736522518</v>
      </c>
      <c r="D19" s="2">
        <v>0.20531159722854908</v>
      </c>
      <c r="E19" s="2">
        <v>1.4330557289294221E-2</v>
      </c>
    </row>
    <row r="20" spans="1:11" hidden="1" x14ac:dyDescent="0.2">
      <c r="A20" s="1" t="s">
        <v>16</v>
      </c>
      <c r="B20" s="2">
        <v>47.345388336523826</v>
      </c>
      <c r="C20" s="2">
        <v>0.38997912717259053</v>
      </c>
      <c r="D20" s="2">
        <v>0.20211101231388851</v>
      </c>
      <c r="E20" s="2">
        <v>1.3549880446672491E-2</v>
      </c>
    </row>
    <row r="21" spans="1:11" hidden="1" x14ac:dyDescent="0.2">
      <c r="A21" s="1" t="s">
        <v>15</v>
      </c>
      <c r="B21" s="2">
        <v>45.93240027373735</v>
      </c>
      <c r="C21" s="2">
        <v>0.4198721274410776</v>
      </c>
      <c r="D21" s="2">
        <v>0.20849759680134672</v>
      </c>
      <c r="E21" s="2">
        <v>1.2263908754208797E-2</v>
      </c>
    </row>
    <row r="22" spans="1:11" hidden="1" x14ac:dyDescent="0.2">
      <c r="A22" s="1" t="s">
        <v>17</v>
      </c>
      <c r="B22" s="2">
        <v>47.768133364082701</v>
      </c>
      <c r="C22" s="2">
        <v>0.37872209227846254</v>
      </c>
      <c r="D22" s="2">
        <v>0.20850536431068512</v>
      </c>
      <c r="E22" s="2">
        <v>3.4615179814561081E-2</v>
      </c>
    </row>
    <row r="23" spans="1:11" hidden="1" x14ac:dyDescent="0.2">
      <c r="A23" s="1" t="s">
        <v>15</v>
      </c>
      <c r="B23" s="2">
        <v>47.328168891537494</v>
      </c>
      <c r="C23" s="2">
        <v>0.38544998904588257</v>
      </c>
      <c r="D23" s="2">
        <v>0.22181909062594873</v>
      </c>
      <c r="E23" s="2">
        <v>1.9771108568825024E-2</v>
      </c>
    </row>
    <row r="24" spans="1:11" hidden="1" x14ac:dyDescent="0.2">
      <c r="A24" s="1" t="s">
        <v>17</v>
      </c>
      <c r="B24" s="2">
        <v>46.526258351879648</v>
      </c>
      <c r="C24" s="2">
        <v>0.36615638922215554</v>
      </c>
      <c r="D24" s="2">
        <v>0.23397849497100531</v>
      </c>
      <c r="E24" s="2">
        <v>1.230986397720446E-2</v>
      </c>
    </row>
    <row r="25" spans="1:11" hidden="1" x14ac:dyDescent="0.2">
      <c r="A25" s="1" t="s">
        <v>15</v>
      </c>
      <c r="B25" s="2">
        <v>45.515886426738639</v>
      </c>
      <c r="C25" s="2">
        <v>0.40015561951438905</v>
      </c>
      <c r="D25" s="2">
        <v>0.24992945642485975</v>
      </c>
      <c r="E25" s="2">
        <v>1.3470652118305781E-2</v>
      </c>
    </row>
    <row r="26" spans="1:11" hidden="1" x14ac:dyDescent="0.2">
      <c r="A26" s="1" t="s">
        <v>18</v>
      </c>
      <c r="B26" s="2">
        <v>44.982948274970013</v>
      </c>
      <c r="C26" s="2">
        <v>0.29051577395083916</v>
      </c>
      <c r="D26" s="2">
        <v>0.25592765371702519</v>
      </c>
      <c r="E26" s="2">
        <v>9.5834253896883714E-3</v>
      </c>
    </row>
    <row r="27" spans="1:11" hidden="1" x14ac:dyDescent="0.2">
      <c r="A27" s="1" t="s">
        <v>15</v>
      </c>
      <c r="B27" s="2">
        <v>45.971732071769473</v>
      </c>
      <c r="C27" s="2">
        <v>0.16572095915718121</v>
      </c>
      <c r="D27" s="2">
        <v>0.23469028122628366</v>
      </c>
      <c r="E27" s="2" t="s">
        <v>53</v>
      </c>
    </row>
    <row r="28" spans="1:11" hidden="1" x14ac:dyDescent="0.2">
      <c r="A28" s="1" t="s">
        <v>19</v>
      </c>
      <c r="B28" s="2">
        <v>46.13646008179613</v>
      </c>
      <c r="C28" s="2">
        <v>0.14812996281235769</v>
      </c>
      <c r="D28" s="2">
        <v>0.25338892340602825</v>
      </c>
      <c r="E28" s="2" t="s">
        <v>53</v>
      </c>
    </row>
    <row r="29" spans="1:11" hidden="1" x14ac:dyDescent="0.2">
      <c r="A29" s="1" t="s">
        <v>15</v>
      </c>
      <c r="B29" s="2">
        <v>0.37365624018005772</v>
      </c>
      <c r="C29" s="2">
        <v>7.9285807156908028E-3</v>
      </c>
      <c r="D29" s="2" t="s">
        <v>53</v>
      </c>
      <c r="E29" s="2">
        <v>1.3821739120895904E-2</v>
      </c>
    </row>
    <row r="30" spans="1:11" x14ac:dyDescent="0.2">
      <c r="A30" s="3" t="s">
        <v>20</v>
      </c>
      <c r="B30" s="4">
        <v>46.252310133135921</v>
      </c>
      <c r="C30" s="4">
        <v>0.15013409609719197</v>
      </c>
      <c r="D30" s="4">
        <v>0.19284123533788855</v>
      </c>
      <c r="E30" s="4">
        <v>7.9750370463171905E-3</v>
      </c>
      <c r="F30" s="12">
        <v>0.1956</v>
      </c>
      <c r="G30">
        <f>(1.4692*C30-0.0724)*40</f>
        <v>5.9270805594397764</v>
      </c>
      <c r="H30">
        <f>(4.1224*E30-0.0766)*40</f>
        <v>-1.7489482912104806</v>
      </c>
      <c r="I30">
        <f>(11.007*F30-0.65)*50</f>
        <v>75.14846</v>
      </c>
      <c r="J30">
        <f>SUM(G30:I30)</f>
        <v>79.326592268229291</v>
      </c>
      <c r="K30">
        <f>(D30/0.0239-0.0549/0.0239)*40</f>
        <v>230.86399219730296</v>
      </c>
    </row>
    <row r="31" spans="1:11" x14ac:dyDescent="0.2">
      <c r="A31" s="3" t="s">
        <v>15</v>
      </c>
      <c r="B31" s="4">
        <v>47.406087535658898</v>
      </c>
      <c r="C31" s="4">
        <v>0.13239106668946632</v>
      </c>
      <c r="D31" s="4">
        <v>0.210972179799362</v>
      </c>
      <c r="E31" s="4">
        <v>9.3142212266308366E-3</v>
      </c>
      <c r="F31" s="12">
        <v>0.2127</v>
      </c>
      <c r="G31">
        <f t="shared" ref="G31:G51" si="0">(1.4692*C31-0.0724)*40</f>
        <v>4.8843582072065566</v>
      </c>
      <c r="H31">
        <f t="shared" ref="H31:H51" si="1">(4.1224*E31-0.0766)*40</f>
        <v>-1.5281221766134818</v>
      </c>
      <c r="I31">
        <f t="shared" ref="I31:I51" si="2">(11.007*F31-0.65)*50</f>
        <v>84.559445000000011</v>
      </c>
      <c r="J31">
        <f t="shared" ref="J31:J51" si="3">SUM(G31:I31)</f>
        <v>87.915681030593092</v>
      </c>
      <c r="K31">
        <f t="shared" ref="K31:K51" si="4">(D31/0.0239-0.0549/0.0239)*40</f>
        <v>261.20866912027111</v>
      </c>
    </row>
    <row r="32" spans="1:11" x14ac:dyDescent="0.2">
      <c r="A32" s="3" t="s">
        <v>21</v>
      </c>
      <c r="B32" s="4">
        <v>47.396780979840351</v>
      </c>
      <c r="C32" s="4">
        <v>0.11375799550898202</v>
      </c>
      <c r="D32" s="4">
        <v>0.19126427504989962</v>
      </c>
      <c r="E32" s="4">
        <v>7.3219998003986042E-3</v>
      </c>
      <c r="F32" s="12">
        <v>0.20349999999999999</v>
      </c>
      <c r="G32">
        <f t="shared" si="0"/>
        <v>3.7893298800718562</v>
      </c>
      <c r="H32">
        <f t="shared" si="1"/>
        <v>-1.8566315209134721</v>
      </c>
      <c r="I32">
        <f t="shared" si="2"/>
        <v>79.496224999999995</v>
      </c>
      <c r="J32">
        <f t="shared" si="3"/>
        <v>81.428923359158375</v>
      </c>
      <c r="K32">
        <f t="shared" si="4"/>
        <v>228.2247281169868</v>
      </c>
    </row>
    <row r="33" spans="1:11" x14ac:dyDescent="0.2">
      <c r="A33" s="3" t="s">
        <v>15</v>
      </c>
      <c r="B33" s="4">
        <v>48.582080162015458</v>
      </c>
      <c r="C33" s="4">
        <v>4.1799531395348866E-2</v>
      </c>
      <c r="D33" s="4">
        <v>0.2200366550387598</v>
      </c>
      <c r="E33" s="4">
        <v>7.5035945736446896E-3</v>
      </c>
      <c r="F33" s="12">
        <v>0.2089</v>
      </c>
      <c r="G33">
        <f t="shared" si="0"/>
        <v>-0.43952513895813811</v>
      </c>
      <c r="H33">
        <f t="shared" si="1"/>
        <v>-1.8266872691842853</v>
      </c>
      <c r="I33">
        <f t="shared" si="2"/>
        <v>82.468114999999997</v>
      </c>
      <c r="J33">
        <f t="shared" si="3"/>
        <v>80.201902591857575</v>
      </c>
      <c r="K33">
        <f t="shared" si="4"/>
        <v>276.37933897700378</v>
      </c>
    </row>
    <row r="34" spans="1:11" x14ac:dyDescent="0.2">
      <c r="A34" s="3" t="s">
        <v>22</v>
      </c>
      <c r="B34" s="4">
        <v>48.66327728538441</v>
      </c>
      <c r="C34" s="4">
        <v>9.98903975995135E-3</v>
      </c>
      <c r="D34" s="4">
        <v>0.21444839507748181</v>
      </c>
      <c r="E34" s="4">
        <v>8.1938965663925778E-3</v>
      </c>
      <c r="F34" s="12">
        <v>0.2046</v>
      </c>
      <c r="G34">
        <f t="shared" si="0"/>
        <v>-2.3089641113871791</v>
      </c>
      <c r="H34">
        <f t="shared" si="1"/>
        <v>-1.7128592317881297</v>
      </c>
      <c r="I34">
        <f t="shared" si="2"/>
        <v>80.101609999999994</v>
      </c>
      <c r="J34">
        <f t="shared" si="3"/>
        <v>76.07978665682468</v>
      </c>
      <c r="K34">
        <f t="shared" si="4"/>
        <v>267.02660264013684</v>
      </c>
    </row>
    <row r="35" spans="1:11" x14ac:dyDescent="0.2">
      <c r="A35" s="3" t="s">
        <v>15</v>
      </c>
      <c r="B35" s="4">
        <v>50.962827248107629</v>
      </c>
      <c r="C35" s="4">
        <v>6.1321039922480697E-2</v>
      </c>
      <c r="D35" s="4">
        <v>0.22897259605563125</v>
      </c>
      <c r="E35" s="4">
        <v>7.4201047089223593E-2</v>
      </c>
      <c r="F35" s="12">
        <v>0.20949999999999999</v>
      </c>
      <c r="G35">
        <f t="shared" si="0"/>
        <v>0.70771487416434575</v>
      </c>
      <c r="H35">
        <f t="shared" si="1"/>
        <v>9.1714558608246133</v>
      </c>
      <c r="I35">
        <f t="shared" si="2"/>
        <v>82.798324999999991</v>
      </c>
      <c r="J35">
        <f t="shared" si="3"/>
        <v>92.677495734988952</v>
      </c>
      <c r="K35">
        <f t="shared" si="4"/>
        <v>291.33488879603556</v>
      </c>
    </row>
    <row r="36" spans="1:11" x14ac:dyDescent="0.2">
      <c r="A36" s="3" t="s">
        <v>23</v>
      </c>
      <c r="B36" s="4">
        <v>47.943454537391681</v>
      </c>
      <c r="C36" s="4">
        <v>0.4004830462152289</v>
      </c>
      <c r="D36" s="4">
        <v>0.14948019015047875</v>
      </c>
      <c r="E36" s="4">
        <v>9.9968277017783436E-3</v>
      </c>
      <c r="F36" s="12">
        <v>0.19139999999999999</v>
      </c>
      <c r="G36">
        <f t="shared" si="0"/>
        <v>20.639587659976574</v>
      </c>
      <c r="H36">
        <f t="shared" si="1"/>
        <v>-1.4155630992875583</v>
      </c>
      <c r="I36">
        <f t="shared" si="2"/>
        <v>72.836989999999986</v>
      </c>
      <c r="J36">
        <f t="shared" si="3"/>
        <v>92.061014560689003</v>
      </c>
      <c r="K36">
        <f t="shared" si="4"/>
        <v>158.29320527276781</v>
      </c>
    </row>
    <row r="37" spans="1:11" x14ac:dyDescent="0.2">
      <c r="A37" s="3" t="s">
        <v>24</v>
      </c>
      <c r="B37" s="4">
        <v>48.288470291600525</v>
      </c>
      <c r="C37" s="4">
        <v>0.4481031536375637</v>
      </c>
      <c r="D37" s="4">
        <v>0.11432975476190488</v>
      </c>
      <c r="E37" s="4">
        <v>3.7399332530122509E-3</v>
      </c>
      <c r="F37" s="12">
        <v>0.20050000000000001</v>
      </c>
      <c r="G37">
        <f t="shared" si="0"/>
        <v>23.438126132972346</v>
      </c>
      <c r="H37">
        <f t="shared" si="1"/>
        <v>-2.447299966311292</v>
      </c>
      <c r="I37">
        <f t="shared" si="2"/>
        <v>77.845175000000012</v>
      </c>
      <c r="J37">
        <f t="shared" si="3"/>
        <v>98.836001166661063</v>
      </c>
      <c r="K37">
        <f t="shared" si="4"/>
        <v>99.46402470611693</v>
      </c>
    </row>
    <row r="38" spans="1:11" x14ac:dyDescent="0.2">
      <c r="A38" s="5" t="s">
        <v>25</v>
      </c>
      <c r="B38" s="6">
        <v>49.206583209963512</v>
      </c>
      <c r="C38" s="6">
        <v>0.35258287172822467</v>
      </c>
      <c r="D38" s="6">
        <v>0.15474418176014582</v>
      </c>
      <c r="E38" s="6">
        <v>1.0177052804376752E-2</v>
      </c>
      <c r="F38" s="12">
        <v>0.18609999999999999</v>
      </c>
      <c r="G38">
        <f t="shared" si="0"/>
        <v>17.824590205724306</v>
      </c>
      <c r="H38">
        <f t="shared" si="1"/>
        <v>-1.3858447007694914</v>
      </c>
      <c r="I38">
        <f t="shared" si="2"/>
        <v>69.920135000000002</v>
      </c>
      <c r="J38">
        <f t="shared" si="3"/>
        <v>86.358880504954811</v>
      </c>
      <c r="K38">
        <f t="shared" si="4"/>
        <v>167.10323307137372</v>
      </c>
    </row>
    <row r="39" spans="1:11" x14ac:dyDescent="0.2">
      <c r="A39" s="5" t="s">
        <v>24</v>
      </c>
      <c r="B39" s="6">
        <v>49.604922066985672</v>
      </c>
      <c r="C39" s="6">
        <v>0.42615956666666577</v>
      </c>
      <c r="D39" s="6">
        <v>0.14826640853269524</v>
      </c>
      <c r="E39" s="6">
        <v>1.0504816826156116E-2</v>
      </c>
      <c r="F39" s="12">
        <v>0.20080000000000001</v>
      </c>
      <c r="G39">
        <f t="shared" si="0"/>
        <v>22.148545413866614</v>
      </c>
      <c r="H39">
        <f t="shared" si="1"/>
        <v>-1.331797724634161</v>
      </c>
      <c r="I39">
        <f t="shared" si="2"/>
        <v>78.010280000000009</v>
      </c>
      <c r="J39">
        <f t="shared" si="3"/>
        <v>98.827027689232466</v>
      </c>
      <c r="K39">
        <f t="shared" si="4"/>
        <v>156.26177160283723</v>
      </c>
    </row>
    <row r="40" spans="1:11" x14ac:dyDescent="0.2">
      <c r="A40" s="5" t="s">
        <v>26</v>
      </c>
      <c r="B40" s="6">
        <v>51.161374102713161</v>
      </c>
      <c r="C40" s="6">
        <v>0.31028248730050223</v>
      </c>
      <c r="D40" s="6">
        <v>0.16334048563611492</v>
      </c>
      <c r="E40" s="6">
        <v>9.7680491336069597E-3</v>
      </c>
      <c r="F40" s="12">
        <v>0.18049999999999999</v>
      </c>
      <c r="G40">
        <f t="shared" si="0"/>
        <v>15.338681213675915</v>
      </c>
      <c r="H40">
        <f t="shared" si="1"/>
        <v>-1.4532877700647471</v>
      </c>
      <c r="I40">
        <f t="shared" si="2"/>
        <v>66.838175000000007</v>
      </c>
      <c r="J40">
        <f t="shared" si="3"/>
        <v>80.723568443611171</v>
      </c>
      <c r="K40">
        <f t="shared" si="4"/>
        <v>181.49035252906259</v>
      </c>
    </row>
    <row r="41" spans="1:11" x14ac:dyDescent="0.2">
      <c r="A41" s="5" t="s">
        <v>24</v>
      </c>
      <c r="B41" s="6">
        <v>51.523884395047091</v>
      </c>
      <c r="C41" s="6">
        <v>0.38622545185354151</v>
      </c>
      <c r="D41" s="6">
        <v>0.16337994146156132</v>
      </c>
      <c r="E41" s="6">
        <v>1.2417318049226189E-2</v>
      </c>
      <c r="F41" s="12">
        <v>0.1787</v>
      </c>
      <c r="G41">
        <f t="shared" si="0"/>
        <v>19.80169735452893</v>
      </c>
      <c r="H41">
        <f t="shared" si="1"/>
        <v>-1.0164339229547983</v>
      </c>
      <c r="I41">
        <f t="shared" si="2"/>
        <v>65.847544999999982</v>
      </c>
      <c r="J41">
        <f t="shared" si="3"/>
        <v>84.632808431574119</v>
      </c>
      <c r="K41">
        <f t="shared" si="4"/>
        <v>181.5563873833662</v>
      </c>
    </row>
    <row r="42" spans="1:11" x14ac:dyDescent="0.2">
      <c r="A42" s="5" t="s">
        <v>27</v>
      </c>
      <c r="B42" s="6">
        <v>50.947752928575717</v>
      </c>
      <c r="C42" s="6">
        <v>0.20210072229822085</v>
      </c>
      <c r="D42" s="6">
        <v>0.1618774171302626</v>
      </c>
      <c r="E42" s="6">
        <v>9.8212099711203482E-3</v>
      </c>
      <c r="F42" s="12">
        <v>0.1656</v>
      </c>
      <c r="G42">
        <f t="shared" si="0"/>
        <v>8.9810552480218426</v>
      </c>
      <c r="H42">
        <f t="shared" si="1"/>
        <v>-1.444521760602139</v>
      </c>
      <c r="I42">
        <f t="shared" si="2"/>
        <v>58.637959999999993</v>
      </c>
      <c r="J42">
        <f t="shared" si="3"/>
        <v>66.174493487419696</v>
      </c>
      <c r="K42">
        <f t="shared" si="4"/>
        <v>179.0417023100629</v>
      </c>
    </row>
    <row r="43" spans="1:11" x14ac:dyDescent="0.2">
      <c r="A43" s="5" t="s">
        <v>24</v>
      </c>
      <c r="B43" s="6">
        <v>51.58354888134793</v>
      </c>
      <c r="C43" s="6">
        <v>0.39458372364217198</v>
      </c>
      <c r="D43" s="6">
        <v>0.15112081010193346</v>
      </c>
      <c r="E43" s="6">
        <v>1.3021356290886077E-2</v>
      </c>
      <c r="F43" s="12">
        <v>0.16520000000000001</v>
      </c>
      <c r="G43">
        <f t="shared" si="0"/>
        <v>20.292896271003166</v>
      </c>
      <c r="H43">
        <f t="shared" si="1"/>
        <v>-0.91683043305804957</v>
      </c>
      <c r="I43">
        <f t="shared" si="2"/>
        <v>58.417819999999999</v>
      </c>
      <c r="J43">
        <f t="shared" si="3"/>
        <v>77.793885837945112</v>
      </c>
      <c r="K43">
        <f t="shared" si="4"/>
        <v>161.03901272290116</v>
      </c>
    </row>
    <row r="44" spans="1:11" x14ac:dyDescent="0.2">
      <c r="A44" s="5" t="s">
        <v>28</v>
      </c>
      <c r="B44" s="6">
        <v>50.854083638977656</v>
      </c>
      <c r="C44" s="6">
        <v>0.29701727535371991</v>
      </c>
      <c r="D44" s="6">
        <v>0.15047378442872383</v>
      </c>
      <c r="E44" s="6">
        <v>1.0171414863837436E-2</v>
      </c>
      <c r="F44" s="12">
        <v>0.1757</v>
      </c>
      <c r="G44">
        <f t="shared" si="0"/>
        <v>14.559111237987413</v>
      </c>
      <c r="H44">
        <f t="shared" si="1"/>
        <v>-1.3867743746126624</v>
      </c>
      <c r="I44">
        <f t="shared" si="2"/>
        <v>64.196494999999999</v>
      </c>
      <c r="J44">
        <f t="shared" si="3"/>
        <v>77.368831863374751</v>
      </c>
      <c r="K44">
        <f t="shared" si="4"/>
        <v>159.95612456690179</v>
      </c>
    </row>
    <row r="45" spans="1:11" x14ac:dyDescent="0.2">
      <c r="A45" s="5" t="s">
        <v>24</v>
      </c>
      <c r="B45" s="6">
        <v>50.848267084549846</v>
      </c>
      <c r="C45" s="6">
        <v>0.31399828850365019</v>
      </c>
      <c r="D45" s="6">
        <v>0.14268049546836958</v>
      </c>
      <c r="E45" s="6">
        <v>9.3159133743916378E-3</v>
      </c>
      <c r="F45" s="12">
        <v>0.18759999999999999</v>
      </c>
      <c r="G45">
        <f t="shared" si="0"/>
        <v>15.557051418782514</v>
      </c>
      <c r="H45">
        <f t="shared" si="1"/>
        <v>-1.5278431482163166</v>
      </c>
      <c r="I45">
        <f t="shared" si="2"/>
        <v>70.745660000000001</v>
      </c>
      <c r="J45">
        <f t="shared" si="3"/>
        <v>84.774868270566202</v>
      </c>
      <c r="K45">
        <f t="shared" si="4"/>
        <v>146.91296312697838</v>
      </c>
    </row>
    <row r="46" spans="1:11" x14ac:dyDescent="0.2">
      <c r="A46" s="5" t="s">
        <v>29</v>
      </c>
      <c r="B46" s="6">
        <v>49.477230279293828</v>
      </c>
      <c r="C46" s="6">
        <v>0.20915272579293798</v>
      </c>
      <c r="D46" s="6">
        <v>0.1471340008378208</v>
      </c>
      <c r="E46" s="6">
        <v>9.8927125074803612E-3</v>
      </c>
      <c r="F46" s="12">
        <v>0.17610000000000001</v>
      </c>
      <c r="G46">
        <f t="shared" si="0"/>
        <v>9.3954873893993796</v>
      </c>
      <c r="H46">
        <f t="shared" si="1"/>
        <v>-1.4327312783665187</v>
      </c>
      <c r="I46">
        <f t="shared" si="2"/>
        <v>64.416634999999985</v>
      </c>
      <c r="J46">
        <f t="shared" si="3"/>
        <v>72.379391111032845</v>
      </c>
      <c r="K46">
        <f t="shared" si="4"/>
        <v>154.36652859886325</v>
      </c>
    </row>
    <row r="47" spans="1:11" x14ac:dyDescent="0.2">
      <c r="A47" s="5" t="s">
        <v>24</v>
      </c>
      <c r="B47" s="6">
        <v>51.369792363913916</v>
      </c>
      <c r="C47" s="6">
        <v>0.2146017252752751</v>
      </c>
      <c r="D47" s="6">
        <v>0.14698063343343448</v>
      </c>
      <c r="E47" s="6">
        <v>8.5944863863866017E-3</v>
      </c>
      <c r="F47" s="12">
        <v>0.17610000000000001</v>
      </c>
      <c r="G47">
        <f t="shared" si="0"/>
        <v>9.7157141909773674</v>
      </c>
      <c r="H47">
        <f t="shared" si="1"/>
        <v>-1.6468035728303951</v>
      </c>
      <c r="I47">
        <f t="shared" si="2"/>
        <v>64.416634999999985</v>
      </c>
      <c r="J47">
        <f t="shared" si="3"/>
        <v>72.485545618146958</v>
      </c>
      <c r="K47">
        <f t="shared" si="4"/>
        <v>154.10984675051796</v>
      </c>
    </row>
    <row r="48" spans="1:11" x14ac:dyDescent="0.2">
      <c r="A48" s="7" t="s">
        <v>30</v>
      </c>
      <c r="B48" s="8">
        <v>51.491640693575107</v>
      </c>
      <c r="C48" s="8">
        <v>0.18159534668491562</v>
      </c>
      <c r="D48" s="8">
        <v>0.14202833992548758</v>
      </c>
      <c r="E48" s="8">
        <v>9.8666840328469618E-3</v>
      </c>
      <c r="F48" s="12">
        <v>0.19889999999999999</v>
      </c>
      <c r="G48">
        <f t="shared" si="0"/>
        <v>7.7759953339791199</v>
      </c>
      <c r="H48">
        <f t="shared" si="1"/>
        <v>-1.4370232697196674</v>
      </c>
      <c r="I48">
        <f t="shared" si="2"/>
        <v>76.964615000000009</v>
      </c>
      <c r="J48">
        <f t="shared" si="3"/>
        <v>83.30358706425946</v>
      </c>
      <c r="K48">
        <f t="shared" si="4"/>
        <v>145.82148941504195</v>
      </c>
    </row>
    <row r="49" spans="1:11" x14ac:dyDescent="0.2">
      <c r="A49" s="7" t="s">
        <v>24</v>
      </c>
      <c r="B49" s="8">
        <v>51.584696898630717</v>
      </c>
      <c r="C49" s="8">
        <v>0.1317611121938233</v>
      </c>
      <c r="D49" s="8">
        <v>0.14584125082153987</v>
      </c>
      <c r="E49" s="8">
        <v>7.4362577818345432E-3</v>
      </c>
      <c r="F49" s="12">
        <v>0.1915</v>
      </c>
      <c r="G49">
        <f t="shared" si="0"/>
        <v>4.8473370414066084</v>
      </c>
      <c r="H49">
        <f t="shared" si="1"/>
        <v>-1.8377908368066111</v>
      </c>
      <c r="I49">
        <f t="shared" si="2"/>
        <v>72.892025000000004</v>
      </c>
      <c r="J49">
        <f t="shared" si="3"/>
        <v>75.901571204600003</v>
      </c>
      <c r="K49">
        <f t="shared" si="4"/>
        <v>152.202930245255</v>
      </c>
    </row>
    <row r="50" spans="1:11" x14ac:dyDescent="0.2">
      <c r="A50" s="5" t="s">
        <v>31</v>
      </c>
      <c r="B50" s="6">
        <v>52.439166907135267</v>
      </c>
      <c r="C50" s="6">
        <v>0.1119480295070745</v>
      </c>
      <c r="D50" s="6">
        <v>0.13790668070896173</v>
      </c>
      <c r="E50" s="6">
        <v>6.7426104366334894E-3</v>
      </c>
      <c r="F50" s="12">
        <v>0.17230000000000001</v>
      </c>
      <c r="G50">
        <f t="shared" si="0"/>
        <v>3.6829617980717537</v>
      </c>
      <c r="H50">
        <f t="shared" si="1"/>
        <v>-1.9521705094408843</v>
      </c>
      <c r="I50">
        <f t="shared" si="2"/>
        <v>62.325305</v>
      </c>
      <c r="J50">
        <f t="shared" si="3"/>
        <v>64.056096288630869</v>
      </c>
      <c r="K50">
        <f t="shared" si="4"/>
        <v>138.9233149940782</v>
      </c>
    </row>
    <row r="51" spans="1:11" x14ac:dyDescent="0.2">
      <c r="A51" s="5" t="s">
        <v>24</v>
      </c>
      <c r="B51" s="6">
        <v>50.329047054257899</v>
      </c>
      <c r="C51" s="6">
        <v>0.15820220997566969</v>
      </c>
      <c r="D51" s="6">
        <v>0.12281322688564544</v>
      </c>
      <c r="E51" s="6">
        <v>7.2547985523115033E-2</v>
      </c>
      <c r="F51" s="12">
        <v>0.1565</v>
      </c>
      <c r="G51">
        <f t="shared" si="0"/>
        <v>6.4012274758501579</v>
      </c>
      <c r="H51">
        <f t="shared" si="1"/>
        <v>8.8988726208195761</v>
      </c>
      <c r="I51">
        <f t="shared" si="2"/>
        <v>53.629774999999988</v>
      </c>
      <c r="J51">
        <f t="shared" si="3"/>
        <v>68.929875096669718</v>
      </c>
      <c r="K51">
        <f t="shared" si="4"/>
        <v>113.66230441112207</v>
      </c>
    </row>
    <row r="52" spans="1:11" hidden="1" x14ac:dyDescent="0.2">
      <c r="A52" s="1" t="s">
        <v>32</v>
      </c>
      <c r="B52" s="2">
        <v>47.115190438620083</v>
      </c>
      <c r="C52" s="2">
        <v>0.84398419256272406</v>
      </c>
      <c r="D52" s="2">
        <v>7.1666565770610369E-2</v>
      </c>
      <c r="E52" s="2">
        <v>1.2715869663481039E-2</v>
      </c>
    </row>
    <row r="53" spans="1:11" hidden="1" x14ac:dyDescent="0.2">
      <c r="A53" s="1" t="s">
        <v>33</v>
      </c>
      <c r="B53" s="2">
        <v>48.456629097506529</v>
      </c>
      <c r="C53" s="2">
        <v>1.0682477456036767</v>
      </c>
      <c r="D53" s="2">
        <v>5.4673203781168134E-2</v>
      </c>
      <c r="E53" s="2">
        <v>1.0448543536745181E-2</v>
      </c>
    </row>
    <row r="54" spans="1:11" hidden="1" x14ac:dyDescent="0.2">
      <c r="A54" s="1" t="s">
        <v>34</v>
      </c>
      <c r="B54" s="2">
        <v>44.001612030759837</v>
      </c>
      <c r="C54" s="2">
        <v>0.62486906212121185</v>
      </c>
      <c r="D54" s="2">
        <v>8.2011447342775767E-2</v>
      </c>
      <c r="E54" s="2">
        <v>1.2611753555657579E-2</v>
      </c>
    </row>
    <row r="55" spans="1:11" hidden="1" x14ac:dyDescent="0.2">
      <c r="A55" s="1" t="s">
        <v>35</v>
      </c>
      <c r="B55" s="2">
        <v>46.674952696055605</v>
      </c>
      <c r="C55" s="2">
        <v>0.66836478089375151</v>
      </c>
      <c r="D55" s="2">
        <v>9.3621752097583499E-2</v>
      </c>
      <c r="E55" s="2">
        <v>1.2420222799817138E-2</v>
      </c>
    </row>
    <row r="56" spans="1:11" hidden="1" x14ac:dyDescent="0.2">
      <c r="A56" s="1" t="s">
        <v>36</v>
      </c>
      <c r="B56" s="2">
        <v>49.675519428589944</v>
      </c>
      <c r="C56" s="2">
        <v>0.75218589945180392</v>
      </c>
      <c r="D56" s="2">
        <v>8.2407842728794423E-2</v>
      </c>
      <c r="E56" s="2">
        <v>1.2758327447845996E-2</v>
      </c>
    </row>
    <row r="57" spans="1:11" hidden="1" x14ac:dyDescent="0.2">
      <c r="A57" s="1" t="s">
        <v>24</v>
      </c>
      <c r="B57" s="2">
        <v>48.828552452053756</v>
      </c>
      <c r="C57" s="2">
        <v>0.68058024699954112</v>
      </c>
      <c r="D57" s="2">
        <v>8.0771540593982838E-2</v>
      </c>
      <c r="E57" s="2">
        <v>1.3278548557031478E-2</v>
      </c>
    </row>
    <row r="58" spans="1:11" hidden="1" x14ac:dyDescent="0.2">
      <c r="A58" s="1" t="s">
        <v>37</v>
      </c>
      <c r="B58" s="2">
        <v>0.17986611860112278</v>
      </c>
      <c r="C58" s="2">
        <v>1.6729860635715799E-2</v>
      </c>
      <c r="D58" s="2">
        <v>8.4292957745411456E-2</v>
      </c>
      <c r="E58" s="2">
        <v>4.6789467683201469E-3</v>
      </c>
    </row>
    <row r="59" spans="1:11" hidden="1" x14ac:dyDescent="0.2">
      <c r="A59" s="1" t="s">
        <v>37</v>
      </c>
      <c r="B59" s="2">
        <v>0.37727318002657295</v>
      </c>
      <c r="C59" s="2" t="s">
        <v>53</v>
      </c>
      <c r="D59" s="2">
        <v>5.4866770551379229E-2</v>
      </c>
      <c r="E59" s="2">
        <v>2.6697666666662956E-3</v>
      </c>
    </row>
    <row r="60" spans="1:11" hidden="1" x14ac:dyDescent="0.2">
      <c r="A60" s="1" t="s">
        <v>38</v>
      </c>
      <c r="B60" s="2">
        <v>48.085942980506324</v>
      </c>
      <c r="C60" s="2">
        <v>0.85943560404729347</v>
      </c>
      <c r="D60" s="2">
        <v>7.1054024624825907E-2</v>
      </c>
      <c r="E60" s="2">
        <v>1.5011343527359999E-2</v>
      </c>
    </row>
    <row r="61" spans="1:11" hidden="1" x14ac:dyDescent="0.2">
      <c r="A61" s="1" t="s">
        <v>39</v>
      </c>
      <c r="B61" s="2">
        <v>50.245345346107094</v>
      </c>
      <c r="C61" s="2">
        <v>0.84365143655717589</v>
      </c>
      <c r="D61" s="2">
        <v>7.4623084245741378E-2</v>
      </c>
      <c r="E61" s="2">
        <v>1.231781253041353E-2</v>
      </c>
    </row>
    <row r="62" spans="1:11" hidden="1" x14ac:dyDescent="0.2">
      <c r="A62" s="1" t="s">
        <v>35</v>
      </c>
      <c r="B62" s="2">
        <v>48.129244191181762</v>
      </c>
      <c r="C62" s="2">
        <v>0.67767913052389406</v>
      </c>
      <c r="D62" s="2">
        <v>6.823471484702992E-2</v>
      </c>
      <c r="E62" s="2">
        <v>1.3027461107778748E-2</v>
      </c>
    </row>
    <row r="63" spans="1:11" hidden="1" x14ac:dyDescent="0.2">
      <c r="A63" s="1" t="s">
        <v>40</v>
      </c>
      <c r="B63" s="2">
        <v>48.986494800941529</v>
      </c>
      <c r="C63" s="2">
        <v>0.8166126277524679</v>
      </c>
      <c r="D63" s="2">
        <v>8.495034716021177E-2</v>
      </c>
      <c r="E63" s="2">
        <v>1.4891870599847756E-2</v>
      </c>
    </row>
    <row r="64" spans="1:11" hidden="1" x14ac:dyDescent="0.2">
      <c r="A64" s="1" t="s">
        <v>24</v>
      </c>
      <c r="B64" s="2">
        <v>49.460574304771889</v>
      </c>
      <c r="C64" s="2">
        <v>0.71848441537158947</v>
      </c>
      <c r="D64" s="2">
        <v>7.8167726748355149E-2</v>
      </c>
      <c r="E64" s="2">
        <v>1.3859143484757031E-2</v>
      </c>
    </row>
    <row r="65" spans="1:5" hidden="1" x14ac:dyDescent="0.2">
      <c r="A65" s="1" t="s">
        <v>41</v>
      </c>
      <c r="B65" s="2">
        <v>47.989119797986923</v>
      </c>
      <c r="C65" s="2">
        <v>0.71868296210878202</v>
      </c>
      <c r="D65" s="2">
        <v>0.19804614049680946</v>
      </c>
      <c r="E65" s="2">
        <v>1.806923258128279E-2</v>
      </c>
    </row>
    <row r="66" spans="1:5" hidden="1" x14ac:dyDescent="0.2">
      <c r="A66" s="1" t="s">
        <v>35</v>
      </c>
      <c r="B66" s="2">
        <v>47.830313958458689</v>
      </c>
      <c r="C66" s="2">
        <v>0.78706257275421798</v>
      </c>
      <c r="D66" s="2">
        <v>0.1946411170542639</v>
      </c>
      <c r="E66" s="2">
        <v>1.5605048358413809E-2</v>
      </c>
    </row>
    <row r="67" spans="1:5" hidden="1" x14ac:dyDescent="0.2">
      <c r="A67" s="1" t="s">
        <v>36</v>
      </c>
      <c r="B67" s="2">
        <v>48.51187498271775</v>
      </c>
      <c r="C67" s="2">
        <v>0.75517068554491606</v>
      </c>
      <c r="D67" s="2">
        <v>0.17528797692658582</v>
      </c>
      <c r="E67" s="2">
        <v>1.5232039876881487E-2</v>
      </c>
    </row>
    <row r="68" spans="1:5" hidden="1" x14ac:dyDescent="0.2">
      <c r="A68" s="1" t="s">
        <v>24</v>
      </c>
      <c r="B68" s="2">
        <v>48.648337917702698</v>
      </c>
      <c r="C68" s="2">
        <v>0.70094776294082561</v>
      </c>
      <c r="D68" s="2">
        <v>0.21604402029288616</v>
      </c>
      <c r="E68" s="2">
        <v>1.4870522335127534E-2</v>
      </c>
    </row>
    <row r="69" spans="1:5" hidden="1" x14ac:dyDescent="0.2">
      <c r="A69" s="1" t="s">
        <v>42</v>
      </c>
      <c r="B69" s="2">
        <v>13.867051488048244</v>
      </c>
      <c r="C69" s="2">
        <v>0.83123292409290339</v>
      </c>
      <c r="D69" s="2">
        <v>0.18677784462719149</v>
      </c>
      <c r="E69" s="2">
        <v>2.2279178060208515E-2</v>
      </c>
    </row>
    <row r="70" spans="1:5" hidden="1" x14ac:dyDescent="0.2">
      <c r="A70" s="1" t="s">
        <v>43</v>
      </c>
      <c r="B70" s="2">
        <v>48.459108673359232</v>
      </c>
      <c r="C70" s="2">
        <v>0.74552849236983831</v>
      </c>
      <c r="D70" s="2">
        <v>0.19949553066028347</v>
      </c>
      <c r="E70" s="2">
        <v>1.5117702643128172E-2</v>
      </c>
    </row>
    <row r="71" spans="1:5" hidden="1" x14ac:dyDescent="0.2">
      <c r="A71" s="1" t="s">
        <v>44</v>
      </c>
      <c r="B71" s="2">
        <v>0.20183985250797987</v>
      </c>
      <c r="C71" s="2" t="s">
        <v>53</v>
      </c>
      <c r="D71" s="2">
        <v>2.8609306406748525E-2</v>
      </c>
      <c r="E71" s="2">
        <v>3.2593293433649251E-3</v>
      </c>
    </row>
    <row r="72" spans="1:5" hidden="1" x14ac:dyDescent="0.2">
      <c r="A72" s="1" t="s">
        <v>45</v>
      </c>
      <c r="B72" s="2">
        <v>48.163831169319884</v>
      </c>
      <c r="C72" s="2">
        <v>0.60545242479414285</v>
      </c>
      <c r="D72" s="2">
        <v>0.1981860583562054</v>
      </c>
      <c r="E72" s="2">
        <v>1.4249495150959524E-2</v>
      </c>
    </row>
    <row r="73" spans="1:5" hidden="1" x14ac:dyDescent="0.2">
      <c r="A73" s="1" t="s">
        <v>35</v>
      </c>
      <c r="B73" s="2">
        <v>48.730139142409683</v>
      </c>
      <c r="C73" s="2">
        <v>0.62474184903978136</v>
      </c>
      <c r="D73" s="2">
        <v>0.21804352362444734</v>
      </c>
      <c r="E73" s="2">
        <v>1.603919471879367E-2</v>
      </c>
    </row>
    <row r="74" spans="1:5" hidden="1" x14ac:dyDescent="0.2">
      <c r="A74" s="1" t="s">
        <v>46</v>
      </c>
      <c r="B74" s="2">
        <v>48.638891026954717</v>
      </c>
      <c r="C74" s="2">
        <v>0.6520935804526744</v>
      </c>
      <c r="D74" s="2">
        <v>0.20541023731138552</v>
      </c>
      <c r="E74" s="2">
        <v>1.5001496364883682E-2</v>
      </c>
    </row>
    <row r="75" spans="1:5" hidden="1" x14ac:dyDescent="0.2">
      <c r="A75" s="1" t="s">
        <v>24</v>
      </c>
      <c r="B75" s="2">
        <v>48.646935364551162</v>
      </c>
      <c r="C75" s="2">
        <v>0.55640091217018062</v>
      </c>
      <c r="D75" s="2">
        <v>0.21598471217798521</v>
      </c>
      <c r="E75" s="2">
        <v>1.3372757751756392E-2</v>
      </c>
    </row>
    <row r="76" spans="1:5" hidden="1" x14ac:dyDescent="0.2">
      <c r="A76" s="1" t="s">
        <v>37</v>
      </c>
      <c r="B76" s="2">
        <v>0.14081893333333251</v>
      </c>
      <c r="C76" s="2" t="s">
        <v>53</v>
      </c>
      <c r="D76" s="2">
        <v>9.7046499999997593E-3</v>
      </c>
      <c r="E76" s="2" t="s">
        <v>53</v>
      </c>
    </row>
    <row r="77" spans="1:5" hidden="1" x14ac:dyDescent="0.2">
      <c r="A77" s="1" t="s">
        <v>44</v>
      </c>
      <c r="B77" s="2">
        <v>0.19311194729565728</v>
      </c>
      <c r="C77" s="2" t="s">
        <v>53</v>
      </c>
      <c r="D77" s="2">
        <v>5.4757380963233793E-2</v>
      </c>
      <c r="E77" s="2">
        <v>5.3354615770284664E-3</v>
      </c>
    </row>
    <row r="78" spans="1:5" hidden="1" x14ac:dyDescent="0.2">
      <c r="A78" s="1" t="s">
        <v>47</v>
      </c>
      <c r="B78" s="2">
        <v>21.95332861838806</v>
      </c>
      <c r="C78" s="2">
        <v>0.27500590919403001</v>
      </c>
      <c r="D78" s="2">
        <v>0.10173180866666609</v>
      </c>
      <c r="E78" s="2">
        <v>7.3567297711445434E-3</v>
      </c>
    </row>
    <row r="79" spans="1:5" hidden="1" x14ac:dyDescent="0.2">
      <c r="A79" s="1" t="s">
        <v>48</v>
      </c>
      <c r="B79" s="2">
        <v>51.178217044832529</v>
      </c>
      <c r="C79" s="2">
        <v>0.68179860831811112</v>
      </c>
      <c r="D79" s="2">
        <v>0.22117011184170687</v>
      </c>
      <c r="E79" s="2">
        <v>1.6157452777777026E-2</v>
      </c>
    </row>
    <row r="80" spans="1:5" hidden="1" x14ac:dyDescent="0.2">
      <c r="A80" s="1" t="s">
        <v>35</v>
      </c>
      <c r="B80" s="2">
        <v>53.161444662490098</v>
      </c>
      <c r="C80" s="2">
        <v>0.61503700544948225</v>
      </c>
      <c r="D80" s="2">
        <v>0.2937218389817049</v>
      </c>
      <c r="E80" s="2">
        <v>1.6365771797932194E-2</v>
      </c>
    </row>
    <row r="81" spans="1:5" hidden="1" x14ac:dyDescent="0.2">
      <c r="A81" s="1" t="s">
        <v>46</v>
      </c>
      <c r="B81" s="2">
        <v>31.312803970405742</v>
      </c>
      <c r="C81" s="2">
        <v>0.39428027973349322</v>
      </c>
      <c r="D81" s="2">
        <v>0.14183861312649193</v>
      </c>
      <c r="E81" s="2">
        <v>9.8104298130468059E-3</v>
      </c>
    </row>
    <row r="82" spans="1:5" hidden="1" x14ac:dyDescent="0.2">
      <c r="A82" s="1" t="s">
        <v>24</v>
      </c>
      <c r="B82" s="2">
        <v>52.344283134619467</v>
      </c>
      <c r="C82" s="2">
        <v>0.5953983015296811</v>
      </c>
      <c r="D82" s="2">
        <v>0.23519887600456446</v>
      </c>
      <c r="E82" s="2">
        <v>1.5916830555555705E-2</v>
      </c>
    </row>
    <row r="83" spans="1:5" hidden="1" x14ac:dyDescent="0.2">
      <c r="A83" s="1" t="s">
        <v>37</v>
      </c>
      <c r="B83" s="2">
        <v>0.20289703325740327</v>
      </c>
      <c r="C83" s="2">
        <v>1.8365283219438533E-2</v>
      </c>
      <c r="D83" s="2">
        <v>5.7957940242977957E-2</v>
      </c>
      <c r="E83" s="2">
        <v>6.2892706150337041E-3</v>
      </c>
    </row>
    <row r="84" spans="1:5" hidden="1" x14ac:dyDescent="0.2">
      <c r="A84" s="1" t="s">
        <v>44</v>
      </c>
      <c r="B84" s="2">
        <v>4.741955038337381E-2</v>
      </c>
      <c r="C84" s="2">
        <v>8.7746723264730209E-2</v>
      </c>
      <c r="D84" s="2">
        <v>0.10119058381759416</v>
      </c>
      <c r="E84" s="2">
        <v>1.6288888317190997E-2</v>
      </c>
    </row>
    <row r="85" spans="1:5" hidden="1" x14ac:dyDescent="0.2">
      <c r="A85" s="1" t="s">
        <v>49</v>
      </c>
      <c r="B85" s="2">
        <v>45.49917981434966</v>
      </c>
      <c r="C85" s="2">
        <v>0.66133948910103357</v>
      </c>
      <c r="D85" s="2">
        <v>0.16333132179793086</v>
      </c>
      <c r="E85" s="2">
        <v>1.4338838951869493E-2</v>
      </c>
    </row>
    <row r="86" spans="1:5" hidden="1" x14ac:dyDescent="0.2">
      <c r="A86" s="1" t="s">
        <v>50</v>
      </c>
      <c r="B86" s="2">
        <v>51.802295639213952</v>
      </c>
      <c r="C86" s="2">
        <v>1.2359710397810943</v>
      </c>
      <c r="D86" s="2">
        <v>0.23012501666666774</v>
      </c>
      <c r="E86" s="2">
        <v>2.5626487174129631E-2</v>
      </c>
    </row>
    <row r="87" spans="1:5" hidden="1" x14ac:dyDescent="0.2">
      <c r="A87" s="1" t="s">
        <v>35</v>
      </c>
      <c r="B87" s="2">
        <v>50.2131420587639</v>
      </c>
      <c r="C87" s="2">
        <v>0.65224708046791724</v>
      </c>
      <c r="D87" s="2">
        <v>0.20476739129705979</v>
      </c>
      <c r="E87" s="2">
        <v>1.9805289864349707E-2</v>
      </c>
    </row>
    <row r="88" spans="1:5" hidden="1" x14ac:dyDescent="0.2">
      <c r="A88" s="1" t="s">
        <v>46</v>
      </c>
      <c r="B88" s="2">
        <v>45.606738744700181</v>
      </c>
      <c r="C88" s="2">
        <v>0.5813362373082287</v>
      </c>
      <c r="D88" s="2">
        <v>0.17328735153416974</v>
      </c>
      <c r="E88" s="2">
        <v>1.4640964783821264E-2</v>
      </c>
    </row>
    <row r="89" spans="1:5" hidden="1" x14ac:dyDescent="0.2">
      <c r="A89" s="1" t="s">
        <v>24</v>
      </c>
      <c r="B89" s="2">
        <v>48.209055436437822</v>
      </c>
      <c r="C89" s="2">
        <v>0.60264904885572212</v>
      </c>
      <c r="D89" s="2">
        <v>0.17955045855721408</v>
      </c>
      <c r="E89" s="2">
        <v>1.4657633203980502E-2</v>
      </c>
    </row>
    <row r="90" spans="1:5" hidden="1" x14ac:dyDescent="0.2">
      <c r="A90" s="1" t="s">
        <v>44</v>
      </c>
      <c r="B90" s="2">
        <v>0.1412179335640863</v>
      </c>
      <c r="C90" s="2">
        <v>3.1809427155443992E-2</v>
      </c>
      <c r="D90" s="2">
        <v>3.3793379368575627E-2</v>
      </c>
      <c r="E90" s="2">
        <v>9.5453076568072226E-3</v>
      </c>
    </row>
    <row r="91" spans="1:5" hidden="1" x14ac:dyDescent="0.2">
      <c r="A91" s="1" t="s">
        <v>51</v>
      </c>
      <c r="B91" s="2">
        <v>1.239056666666738E-2</v>
      </c>
      <c r="C91" s="2" t="s">
        <v>53</v>
      </c>
      <c r="D91" s="2" t="s">
        <v>53</v>
      </c>
      <c r="E91" s="2">
        <v>0.50889781172161153</v>
      </c>
    </row>
    <row r="92" spans="1:5" hidden="1" x14ac:dyDescent="0.2">
      <c r="A92" s="1" t="s">
        <v>52</v>
      </c>
      <c r="B92" s="2" t="s">
        <v>53</v>
      </c>
      <c r="C92" s="2">
        <v>8.8414936399999586</v>
      </c>
      <c r="D92" s="2">
        <v>0.57269531024822529</v>
      </c>
      <c r="E92" s="2">
        <v>0.88220216978723509</v>
      </c>
    </row>
    <row r="93" spans="1:5" hidden="1" x14ac:dyDescent="0.2">
      <c r="A93" s="1" t="s">
        <v>54</v>
      </c>
      <c r="B93" s="2">
        <v>59.807559931805265</v>
      </c>
      <c r="C93" s="2">
        <v>2.5326161268656646</v>
      </c>
      <c r="D93" s="2" t="s">
        <v>53</v>
      </c>
      <c r="E93" s="2" t="s">
        <v>53</v>
      </c>
    </row>
    <row r="94" spans="1:5" hidden="1" x14ac:dyDescent="0.2">
      <c r="A94" s="1" t="s">
        <v>35</v>
      </c>
      <c r="B94" s="2">
        <v>14.730131588253673</v>
      </c>
      <c r="C94" s="2">
        <v>0.78455323146985179</v>
      </c>
      <c r="D94" s="2">
        <v>0.11700722556532717</v>
      </c>
      <c r="E94" s="2">
        <v>1.6214550774706682E-2</v>
      </c>
    </row>
    <row r="95" spans="1:5" hidden="1" x14ac:dyDescent="0.2">
      <c r="A95" s="1" t="s">
        <v>46</v>
      </c>
      <c r="B95" s="2">
        <v>14.903376973540588</v>
      </c>
      <c r="C95" s="2">
        <v>0.87952814443116178</v>
      </c>
      <c r="D95" s="2">
        <v>0.11442951847977656</v>
      </c>
      <c r="E95" s="2">
        <v>1.6906444540744969E-2</v>
      </c>
    </row>
    <row r="96" spans="1:5" hidden="1" x14ac:dyDescent="0.2">
      <c r="A96" s="1" t="s">
        <v>24</v>
      </c>
      <c r="B96" s="2">
        <v>15.358366143285554</v>
      </c>
      <c r="C96" s="2">
        <v>0.93619405136481371</v>
      </c>
      <c r="D96" s="2">
        <v>0.11043985436341908</v>
      </c>
      <c r="E96" s="2">
        <v>1.6899908129109464E-2</v>
      </c>
    </row>
    <row r="97" spans="1:11" hidden="1" x14ac:dyDescent="0.2">
      <c r="A97" s="1" t="s">
        <v>51</v>
      </c>
      <c r="B97" s="2">
        <v>48.767262637776426</v>
      </c>
      <c r="C97" s="2">
        <v>1.091610749511855</v>
      </c>
      <c r="D97" s="2">
        <v>7.6396857899981629E-2</v>
      </c>
      <c r="E97" s="2">
        <v>1.4228275911535304E-2</v>
      </c>
    </row>
    <row r="98" spans="1:11" hidden="1" x14ac:dyDescent="0.2">
      <c r="A98" s="1" t="s">
        <v>52</v>
      </c>
      <c r="B98" s="2">
        <v>0.11353002087114827</v>
      </c>
      <c r="C98" s="2" t="s">
        <v>53</v>
      </c>
      <c r="D98" s="2">
        <v>1.4732465171898745E-2</v>
      </c>
      <c r="E98" s="2" t="s">
        <v>53</v>
      </c>
    </row>
    <row r="99" spans="1:11" hidden="1" x14ac:dyDescent="0.2">
      <c r="A99" s="1" t="s">
        <v>54</v>
      </c>
      <c r="B99" s="2">
        <v>48.408286725870639</v>
      </c>
      <c r="C99" s="2">
        <v>0.81266430448756322</v>
      </c>
      <c r="D99" s="2">
        <v>0.11618505980099547</v>
      </c>
      <c r="E99" s="2">
        <v>1.2111292129353357E-2</v>
      </c>
    </row>
    <row r="100" spans="1:11" hidden="1" x14ac:dyDescent="0.2">
      <c r="A100" s="1" t="s">
        <v>35</v>
      </c>
      <c r="B100" s="2">
        <v>55.546426839710364</v>
      </c>
      <c r="C100" s="2">
        <v>0.79399935730967286</v>
      </c>
      <c r="D100" s="2">
        <v>0.10916541415680903</v>
      </c>
      <c r="E100" s="2">
        <v>1.6096418160449266E-2</v>
      </c>
    </row>
    <row r="101" spans="1:11" hidden="1" x14ac:dyDescent="0.2">
      <c r="A101" s="1" t="s">
        <v>46</v>
      </c>
      <c r="B101" s="2">
        <v>47.323927449772576</v>
      </c>
      <c r="C101" s="2">
        <v>0.80165239827194223</v>
      </c>
      <c r="D101" s="2">
        <v>9.5621113778990852E-2</v>
      </c>
      <c r="E101" s="2">
        <v>1.5682294065483493E-2</v>
      </c>
    </row>
    <row r="102" spans="1:11" hidden="1" x14ac:dyDescent="0.2">
      <c r="A102" s="1" t="s">
        <v>24</v>
      </c>
      <c r="B102" s="2">
        <v>46.486581667963286</v>
      </c>
      <c r="C102" s="2">
        <v>0.75251989412527531</v>
      </c>
      <c r="D102" s="2">
        <v>9.6514788479951097E-2</v>
      </c>
      <c r="E102" s="2">
        <v>1.2954073598644422E-2</v>
      </c>
    </row>
    <row r="103" spans="1:11" hidden="1" x14ac:dyDescent="0.2">
      <c r="A103" s="1" t="s">
        <v>51</v>
      </c>
      <c r="B103" s="2">
        <v>59.831286079229088</v>
      </c>
      <c r="C103" s="2">
        <v>1.3608145396444966</v>
      </c>
      <c r="D103" s="2">
        <v>9.4768955162771062E-2</v>
      </c>
      <c r="E103" s="2">
        <v>1.9743087677251969E-2</v>
      </c>
    </row>
    <row r="104" spans="1:11" hidden="1" x14ac:dyDescent="0.2">
      <c r="A104" s="1" t="s">
        <v>52</v>
      </c>
      <c r="B104" s="2">
        <v>16.339933135034869</v>
      </c>
      <c r="C104" s="2">
        <v>1.2001159005373137</v>
      </c>
      <c r="D104" s="2">
        <v>9.603616929353187E-2</v>
      </c>
      <c r="E104" s="2">
        <v>1.937698374129293E-2</v>
      </c>
    </row>
    <row r="105" spans="1:11" hidden="1" x14ac:dyDescent="0.2">
      <c r="A105" s="1" t="s">
        <v>54</v>
      </c>
      <c r="B105" s="2">
        <v>15.233964182058845</v>
      </c>
      <c r="C105" s="2">
        <v>0.92276406881720563</v>
      </c>
      <c r="D105" s="2">
        <v>0.12831698572281747</v>
      </c>
      <c r="E105" s="2">
        <v>1.5450686738351482E-2</v>
      </c>
    </row>
    <row r="106" spans="1:11" hidden="1" x14ac:dyDescent="0.2">
      <c r="A106" s="1" t="s">
        <v>35</v>
      </c>
      <c r="B106" s="2">
        <v>59.741998929059832</v>
      </c>
      <c r="C106" s="2">
        <v>0.84759393376068393</v>
      </c>
      <c r="D106" s="2">
        <v>0.11069845982905879</v>
      </c>
      <c r="E106" s="2">
        <v>1.8244926068376355E-2</v>
      </c>
    </row>
    <row r="107" spans="1:11" hidden="1" x14ac:dyDescent="0.2">
      <c r="A107" s="1" t="s">
        <v>46</v>
      </c>
      <c r="B107" s="2">
        <v>47.89457041478493</v>
      </c>
      <c r="C107" s="2">
        <v>0.84988139479291092</v>
      </c>
      <c r="D107" s="2">
        <v>0.10341471920549639</v>
      </c>
      <c r="E107" s="2">
        <v>1.5891635105535151E-2</v>
      </c>
    </row>
    <row r="108" spans="1:11" hidden="1" x14ac:dyDescent="0.2">
      <c r="A108" s="1" t="s">
        <v>24</v>
      </c>
      <c r="B108" s="2">
        <v>54.08246013341288</v>
      </c>
      <c r="C108" s="2">
        <v>0.88949902533810521</v>
      </c>
      <c r="D108" s="2">
        <v>0.10661657052505946</v>
      </c>
      <c r="E108" s="2">
        <v>1.6571642720764279E-2</v>
      </c>
    </row>
    <row r="109" spans="1:11" hidden="1" x14ac:dyDescent="0.2">
      <c r="A109" s="1" t="s">
        <v>37</v>
      </c>
      <c r="B109" s="2">
        <v>0.24970508703872407</v>
      </c>
      <c r="C109" s="2" t="s">
        <v>53</v>
      </c>
      <c r="D109" s="2">
        <v>1.7833933333332164E-2</v>
      </c>
      <c r="E109" s="2">
        <v>2.0751831336962123E-2</v>
      </c>
    </row>
    <row r="110" spans="1:11" x14ac:dyDescent="0.2">
      <c r="A110" s="9" t="s">
        <v>55</v>
      </c>
      <c r="B110" s="10">
        <v>48.711298008767109</v>
      </c>
      <c r="C110" s="10">
        <v>1.074201927808222</v>
      </c>
      <c r="D110" s="10">
        <v>0.14929893869102018</v>
      </c>
      <c r="E110" s="10">
        <v>1.854875293759517E-2</v>
      </c>
      <c r="F110" s="12">
        <v>0.2616</v>
      </c>
      <c r="G110">
        <f t="shared" ref="G110:G113" si="5">(1.4692*C110-0.0724)*40</f>
        <v>60.232698893433593</v>
      </c>
      <c r="H110">
        <f t="shared" ref="H110:H113" si="6">(4.1224*E110-0.0766)*40</f>
        <v>-5.3848356023072919E-3</v>
      </c>
      <c r="I110">
        <f t="shared" ref="I110:I113" si="7">(11.007*F110-0.65)*50</f>
        <v>111.47156</v>
      </c>
      <c r="J110">
        <f t="shared" ref="J110:J113" si="8">SUM(G110:I110)</f>
        <v>171.69887405783129</v>
      </c>
      <c r="K110">
        <f t="shared" ref="K110:K113" si="9">(D110/0.0239-0.0549/0.0239)*40</f>
        <v>157.98985554982457</v>
      </c>
    </row>
    <row r="111" spans="1:11" x14ac:dyDescent="0.2">
      <c r="A111" s="9" t="s">
        <v>52</v>
      </c>
      <c r="B111" s="10">
        <v>14.729944570087847</v>
      </c>
      <c r="C111" s="10">
        <v>1.4940834879158853</v>
      </c>
      <c r="D111" s="10">
        <v>0.18848065338983133</v>
      </c>
      <c r="E111" s="10">
        <v>1.9554765693660103E-2</v>
      </c>
      <c r="F111" s="12">
        <v>0.24829999999999999</v>
      </c>
      <c r="G111">
        <f t="shared" si="5"/>
        <v>84.908298417840754</v>
      </c>
      <c r="H111">
        <f t="shared" si="6"/>
        <v>0.16050264382177604</v>
      </c>
      <c r="I111">
        <f t="shared" si="7"/>
        <v>104.151905</v>
      </c>
      <c r="J111">
        <f t="shared" si="8"/>
        <v>189.22070606166253</v>
      </c>
      <c r="K111">
        <f t="shared" si="9"/>
        <v>223.565947095952</v>
      </c>
    </row>
    <row r="112" spans="1:11" x14ac:dyDescent="0.2">
      <c r="A112" s="9" t="s">
        <v>54</v>
      </c>
      <c r="B112" s="10">
        <v>55.518107833211971</v>
      </c>
      <c r="C112" s="10">
        <v>0.90093806788025899</v>
      </c>
      <c r="D112" s="10">
        <v>0.13667227199636001</v>
      </c>
      <c r="E112" s="10">
        <v>1.5272606472493067E-2</v>
      </c>
      <c r="F112" s="12">
        <v>0.28920000000000001</v>
      </c>
      <c r="G112">
        <f t="shared" si="5"/>
        <v>50.050328373187057</v>
      </c>
      <c r="H112">
        <f t="shared" si="6"/>
        <v>-0.54560828311178367</v>
      </c>
      <c r="I112">
        <f t="shared" si="7"/>
        <v>126.66122</v>
      </c>
      <c r="J112">
        <f t="shared" si="8"/>
        <v>176.16594009007528</v>
      </c>
      <c r="K112">
        <f t="shared" si="9"/>
        <v>136.85735898972385</v>
      </c>
    </row>
    <row r="113" spans="1:11" x14ac:dyDescent="0.2">
      <c r="A113" s="9" t="s">
        <v>35</v>
      </c>
      <c r="B113" s="10">
        <v>55.232516989663445</v>
      </c>
      <c r="C113" s="10">
        <v>0.81519794278845992</v>
      </c>
      <c r="D113" s="10">
        <v>0.12541657221554603</v>
      </c>
      <c r="E113" s="10">
        <v>1.5816998257211612E-2</v>
      </c>
      <c r="F113" s="12">
        <v>0.26679999999999998</v>
      </c>
      <c r="G113">
        <f t="shared" si="5"/>
        <v>45.011552701792212</v>
      </c>
      <c r="H113">
        <f t="shared" si="6"/>
        <v>-0.45584025537883432</v>
      </c>
      <c r="I113">
        <f t="shared" si="7"/>
        <v>114.33337999999999</v>
      </c>
      <c r="J113">
        <f t="shared" si="8"/>
        <v>158.88909244641337</v>
      </c>
      <c r="K113">
        <f t="shared" si="9"/>
        <v>118.01936772476323</v>
      </c>
    </row>
    <row r="114" spans="1:11" hidden="1" x14ac:dyDescent="0.2">
      <c r="A114" s="1" t="s">
        <v>46</v>
      </c>
      <c r="B114" s="2">
        <v>46.483728564096438</v>
      </c>
      <c r="C114" s="2">
        <v>0.75578511227336187</v>
      </c>
      <c r="D114" s="2">
        <v>0.1327296027495517</v>
      </c>
      <c r="E114" s="2">
        <v>1.3951052789399787E-2</v>
      </c>
    </row>
    <row r="115" spans="1:11" hidden="1" x14ac:dyDescent="0.2">
      <c r="A115" s="1" t="s">
        <v>24</v>
      </c>
      <c r="B115" s="2">
        <v>74.134167591262354</v>
      </c>
      <c r="C115" s="2">
        <v>1.2117764041272845</v>
      </c>
      <c r="D115" s="2">
        <v>0.19118328301827447</v>
      </c>
      <c r="E115" s="2">
        <v>2.2185391566897694E-2</v>
      </c>
    </row>
    <row r="116" spans="1:11" x14ac:dyDescent="0.2">
      <c r="A116" s="9" t="s">
        <v>56</v>
      </c>
      <c r="B116" s="10">
        <v>47.133812965172211</v>
      </c>
      <c r="C116" s="10">
        <v>0.98546387131694901</v>
      </c>
      <c r="D116" s="10">
        <v>0.14400787557275074</v>
      </c>
      <c r="E116" s="10">
        <v>1.9479322219694062E-2</v>
      </c>
      <c r="F116" s="12">
        <v>0.26319999999999999</v>
      </c>
      <c r="G116">
        <f t="shared" ref="G116:G119" si="10">(1.4692*C116-0.0724)*40</f>
        <v>55.017740789554459</v>
      </c>
      <c r="H116">
        <f t="shared" ref="H116:H119" si="11">(4.1224*E116-0.0766)*40</f>
        <v>0.14806231673867187</v>
      </c>
      <c r="I116">
        <f t="shared" ref="I116:I119" si="12">(11.007*F116-0.65)*50</f>
        <v>112.35211999999999</v>
      </c>
      <c r="J116">
        <f t="shared" ref="J116:J119" si="13">SUM(G116:I116)</f>
        <v>167.51792310629313</v>
      </c>
      <c r="K116">
        <f t="shared" ref="K116:K119" si="14">(D116/0.0239-0.0549/0.0239)*40</f>
        <v>149.13451978703054</v>
      </c>
    </row>
    <row r="117" spans="1:11" x14ac:dyDescent="0.2">
      <c r="A117" s="9" t="s">
        <v>52</v>
      </c>
      <c r="B117" s="10">
        <v>50.38075899188317</v>
      </c>
      <c r="C117" s="10">
        <v>1.0813833686002003</v>
      </c>
      <c r="D117" s="10">
        <v>0.14565297681772371</v>
      </c>
      <c r="E117" s="10">
        <v>1.6121459577040254E-2</v>
      </c>
      <c r="F117" s="12">
        <v>0.25290000000000001</v>
      </c>
      <c r="G117">
        <f t="shared" si="10"/>
        <v>60.654737805896573</v>
      </c>
      <c r="H117">
        <f t="shared" si="11"/>
        <v>-0.40563580158437029</v>
      </c>
      <c r="I117">
        <f t="shared" si="12"/>
        <v>106.68351500000001</v>
      </c>
      <c r="J117">
        <f t="shared" si="13"/>
        <v>166.93261700431222</v>
      </c>
      <c r="K117">
        <f t="shared" si="14"/>
        <v>151.88782730999785</v>
      </c>
    </row>
    <row r="118" spans="1:11" x14ac:dyDescent="0.2">
      <c r="A118" s="9" t="s">
        <v>54</v>
      </c>
      <c r="B118" s="10">
        <v>49.718288373357574</v>
      </c>
      <c r="C118" s="10">
        <v>0.77835079506903471</v>
      </c>
      <c r="D118" s="10">
        <v>0.13290814187528444</v>
      </c>
      <c r="E118" s="10">
        <v>1.4214138825672906E-2</v>
      </c>
      <c r="F118" s="12">
        <v>0.26879999999999998</v>
      </c>
      <c r="G118">
        <f t="shared" si="10"/>
        <v>42.846119524617031</v>
      </c>
      <c r="H118">
        <f t="shared" si="11"/>
        <v>-0.72014536420184072</v>
      </c>
      <c r="I118">
        <f t="shared" si="12"/>
        <v>115.43407999999999</v>
      </c>
      <c r="J118">
        <f t="shared" si="13"/>
        <v>157.56005416041518</v>
      </c>
      <c r="K118">
        <f t="shared" si="14"/>
        <v>130.557559623907</v>
      </c>
    </row>
    <row r="119" spans="1:11" x14ac:dyDescent="0.2">
      <c r="A119" s="9" t="s">
        <v>35</v>
      </c>
      <c r="B119" s="10">
        <v>48.501488278945281</v>
      </c>
      <c r="C119" s="10">
        <v>0.67509601213930415</v>
      </c>
      <c r="D119" s="10">
        <v>0.12131760957213955</v>
      </c>
      <c r="E119" s="10">
        <v>1.4004746557213954E-2</v>
      </c>
      <c r="F119" s="12">
        <v>0.28520000000000001</v>
      </c>
      <c r="G119">
        <f t="shared" si="10"/>
        <v>36.778042441402626</v>
      </c>
      <c r="H119">
        <f t="shared" si="11"/>
        <v>-0.75467331170164798</v>
      </c>
      <c r="I119">
        <f t="shared" si="12"/>
        <v>124.45981999999999</v>
      </c>
      <c r="J119">
        <f t="shared" si="13"/>
        <v>160.48318912970097</v>
      </c>
      <c r="K119">
        <f t="shared" si="14"/>
        <v>111.15917920023355</v>
      </c>
    </row>
    <row r="120" spans="1:11" hidden="1" x14ac:dyDescent="0.2">
      <c r="A120" s="1" t="s">
        <v>46</v>
      </c>
      <c r="B120" s="2">
        <v>54.719565972844684</v>
      </c>
      <c r="C120" s="2">
        <v>0.93590750101311104</v>
      </c>
      <c r="D120" s="2">
        <v>0.16752723512117496</v>
      </c>
      <c r="E120" s="2">
        <v>1.5220069119984858E-2</v>
      </c>
    </row>
    <row r="121" spans="1:11" hidden="1" x14ac:dyDescent="0.2">
      <c r="A121" s="1" t="s">
        <v>24</v>
      </c>
      <c r="B121" s="2">
        <v>53.885803428929385</v>
      </c>
      <c r="C121" s="2">
        <v>0.86333851780562076</v>
      </c>
      <c r="D121" s="2">
        <v>0.2401900474563412</v>
      </c>
      <c r="E121" s="2">
        <v>1.9521514700075571E-2</v>
      </c>
    </row>
    <row r="122" spans="1:11" hidden="1" x14ac:dyDescent="0.2">
      <c r="A122" s="1" t="s">
        <v>44</v>
      </c>
      <c r="B122" s="2">
        <v>1.0149305210717547</v>
      </c>
      <c r="C122" s="2" t="s">
        <v>53</v>
      </c>
      <c r="D122" s="2">
        <v>0.15716799179533614</v>
      </c>
      <c r="E122" s="2" t="s">
        <v>53</v>
      </c>
    </row>
    <row r="123" spans="1:11" x14ac:dyDescent="0.2">
      <c r="A123" s="9" t="s">
        <v>57</v>
      </c>
      <c r="B123" s="10">
        <v>53.669857924384672</v>
      </c>
      <c r="C123" s="10">
        <v>1.2251832399574571</v>
      </c>
      <c r="D123" s="10">
        <v>0.16292190739896872</v>
      </c>
      <c r="E123" s="10">
        <v>1.9005454755392615E-2</v>
      </c>
      <c r="F123" s="12">
        <v>0.12820000000000001</v>
      </c>
      <c r="G123">
        <f t="shared" ref="G123:G126" si="15">(1.4692*C123-0.0724)*40</f>
        <v>69.105568645819844</v>
      </c>
      <c r="H123">
        <f t="shared" ref="H123:H126" si="16">(4.1224*E123-0.0766)*40</f>
        <v>6.9923467345220369E-2</v>
      </c>
      <c r="I123">
        <f t="shared" ref="I123:I126" si="17">(11.007*F123-0.65)*50</f>
        <v>38.054870000000001</v>
      </c>
      <c r="J123">
        <f t="shared" ref="J123:J126" si="18">SUM(G123:I123)</f>
        <v>107.23036211316506</v>
      </c>
      <c r="K123">
        <f t="shared" ref="K123:K126" si="19">(D123/0.0239-0.0549/0.0239)*40</f>
        <v>180.78980317819031</v>
      </c>
    </row>
    <row r="124" spans="1:11" s="14" customFormat="1" x14ac:dyDescent="0.2">
      <c r="A124" s="15" t="s">
        <v>52</v>
      </c>
      <c r="B124" s="16">
        <v>14.087214338729073</v>
      </c>
      <c r="C124" s="16">
        <v>1.298462850599521</v>
      </c>
      <c r="D124" s="16">
        <v>0.16563868941846516</v>
      </c>
      <c r="E124" s="16">
        <v>1.9053257074340024E-2</v>
      </c>
      <c r="F124" s="17">
        <v>0.13159999999999999</v>
      </c>
      <c r="G124" s="18">
        <f t="shared" si="15"/>
        <v>73.412064804032653</v>
      </c>
      <c r="H124" s="18">
        <f t="shared" si="16"/>
        <v>7.7805878530372574E-2</v>
      </c>
      <c r="I124" s="18">
        <f t="shared" si="17"/>
        <v>39.926059999999993</v>
      </c>
      <c r="J124" s="18">
        <f t="shared" si="18"/>
        <v>113.41593068256302</v>
      </c>
      <c r="K124">
        <f t="shared" si="19"/>
        <v>185.3367186919919</v>
      </c>
    </row>
    <row r="125" spans="1:11" x14ac:dyDescent="0.2">
      <c r="A125" s="15" t="s">
        <v>54</v>
      </c>
      <c r="B125" s="16">
        <v>15.371951178238517</v>
      </c>
      <c r="C125" s="16">
        <v>0.91743379398633285</v>
      </c>
      <c r="D125" s="16">
        <v>0.14855734963553502</v>
      </c>
      <c r="E125" s="16">
        <v>1.6015030607442249E-2</v>
      </c>
      <c r="F125" s="17">
        <v>0.16830000000000001</v>
      </c>
      <c r="G125" s="18">
        <f t="shared" si="15"/>
        <v>51.019749204988813</v>
      </c>
      <c r="H125" s="18">
        <f t="shared" si="16"/>
        <v>-0.42318551295520312</v>
      </c>
      <c r="I125" s="18">
        <f t="shared" si="17"/>
        <v>60.123905000000001</v>
      </c>
      <c r="J125" s="18">
        <f t="shared" si="18"/>
        <v>110.72046869203362</v>
      </c>
      <c r="K125">
        <f t="shared" si="19"/>
        <v>156.74870231888707</v>
      </c>
    </row>
    <row r="126" spans="1:11" x14ac:dyDescent="0.2">
      <c r="A126" s="15" t="s">
        <v>35</v>
      </c>
      <c r="B126" s="16">
        <v>15.354082475731442</v>
      </c>
      <c r="C126" s="16">
        <v>0.85081301741293691</v>
      </c>
      <c r="D126" s="16">
        <v>0.12177053360199142</v>
      </c>
      <c r="E126" s="16">
        <v>1.5620464417911428E-2</v>
      </c>
      <c r="F126" s="17">
        <v>6.9699999999999998E-2</v>
      </c>
      <c r="G126" s="18">
        <f t="shared" si="15"/>
        <v>47.104579407323477</v>
      </c>
      <c r="H126" s="18">
        <f t="shared" si="16"/>
        <v>-0.48824789934407753</v>
      </c>
      <c r="I126" s="18">
        <f t="shared" si="17"/>
        <v>5.8593949999999948</v>
      </c>
      <c r="J126" s="18">
        <f t="shared" si="18"/>
        <v>52.475726507979395</v>
      </c>
      <c r="K126">
        <f t="shared" si="19"/>
        <v>111.917211049358</v>
      </c>
    </row>
    <row r="127" spans="1:11" hidden="1" x14ac:dyDescent="0.2">
      <c r="A127" s="1" t="s">
        <v>46</v>
      </c>
      <c r="B127" s="2">
        <v>50.022070065469698</v>
      </c>
      <c r="C127" s="2">
        <v>0.94131522531683798</v>
      </c>
      <c r="D127" s="2">
        <v>0.14871873346409026</v>
      </c>
      <c r="E127" s="2">
        <v>1.5918430356065993E-2</v>
      </c>
    </row>
    <row r="128" spans="1:11" hidden="1" x14ac:dyDescent="0.2">
      <c r="A128" s="1" t="s">
        <v>24</v>
      </c>
      <c r="B128" s="2">
        <v>50.662996613205991</v>
      </c>
      <c r="C128" s="2">
        <v>1.21040011865553</v>
      </c>
      <c r="D128" s="2">
        <v>0.1113154726332537</v>
      </c>
      <c r="E128" s="2">
        <v>1.6957883611775415E-2</v>
      </c>
    </row>
    <row r="129" spans="1:12" hidden="1" x14ac:dyDescent="0.2">
      <c r="A129" s="1" t="s">
        <v>44</v>
      </c>
      <c r="B129" s="2">
        <v>1.7943116087434974</v>
      </c>
      <c r="C129" s="2">
        <v>9.3257876750700186E-2</v>
      </c>
      <c r="D129" s="2">
        <v>8.1282790256102633E-2</v>
      </c>
      <c r="E129" s="2">
        <v>2.1512592797118923E-2</v>
      </c>
    </row>
    <row r="130" spans="1:12" x14ac:dyDescent="0.2">
      <c r="A130" s="15" t="s">
        <v>58</v>
      </c>
      <c r="B130" s="16">
        <v>50.672448599946435</v>
      </c>
      <c r="C130" s="16">
        <v>1.0665856150910187</v>
      </c>
      <c r="D130" s="16">
        <v>0.16461740813829007</v>
      </c>
      <c r="E130" s="16">
        <v>1.2366889590024632E-2</v>
      </c>
      <c r="F130" s="17">
        <v>0.12859999999999999</v>
      </c>
      <c r="G130" s="18">
        <f t="shared" ref="G130:G133" si="20">(1.4692*C130-0.0724)*40</f>
        <v>59.785103427668986</v>
      </c>
      <c r="H130" s="18">
        <f t="shared" ref="H130:H133" si="21">(4.1224*E130-0.0766)*40</f>
        <v>-1.0247493741632985</v>
      </c>
      <c r="I130" s="18">
        <f t="shared" ref="I130:I133" si="22">(11.007*F130-0.65)*50</f>
        <v>38.275009999999995</v>
      </c>
      <c r="J130" s="18">
        <f t="shared" ref="J130:J133" si="23">SUM(G130:I130)</f>
        <v>97.035364053505674</v>
      </c>
      <c r="K130">
        <f t="shared" ref="K130:K133" si="24">(D130/0.0239-0.0549/0.0239)*40</f>
        <v>183.62746131931388</v>
      </c>
      <c r="L130" s="12"/>
    </row>
    <row r="131" spans="1:12" s="14" customFormat="1" x14ac:dyDescent="0.2">
      <c r="A131" s="15" t="s">
        <v>52</v>
      </c>
      <c r="B131" s="16">
        <v>53.31115786444181</v>
      </c>
      <c r="C131" s="16">
        <v>1.1159655426400497</v>
      </c>
      <c r="D131" s="16">
        <v>0.14714206712356037</v>
      </c>
      <c r="E131" s="16">
        <v>1.1207430621772652E-2</v>
      </c>
      <c r="F131" s="17">
        <v>0.13289999999999999</v>
      </c>
      <c r="G131" s="18">
        <f t="shared" si="20"/>
        <v>62.687063009870442</v>
      </c>
      <c r="H131" s="18">
        <f t="shared" si="21"/>
        <v>-1.215939520192177</v>
      </c>
      <c r="I131" s="18">
        <f t="shared" si="22"/>
        <v>40.641514999999991</v>
      </c>
      <c r="J131" s="18">
        <f t="shared" si="23"/>
        <v>102.11263848967826</v>
      </c>
      <c r="K131">
        <f t="shared" si="24"/>
        <v>154.38002865867841</v>
      </c>
      <c r="L131" s="13"/>
    </row>
    <row r="132" spans="1:12" x14ac:dyDescent="0.2">
      <c r="A132" s="15" t="s">
        <v>54</v>
      </c>
      <c r="B132" s="16">
        <v>52.04099161785927</v>
      </c>
      <c r="C132" s="16">
        <v>0.89424357499503038</v>
      </c>
      <c r="D132" s="16">
        <v>0.13668818211091405</v>
      </c>
      <c r="E132" s="16">
        <v>1.4981879626316141E-2</v>
      </c>
      <c r="F132" s="17">
        <v>0.16919999999999999</v>
      </c>
      <c r="G132" s="18">
        <f t="shared" si="20"/>
        <v>49.656906415307951</v>
      </c>
      <c r="H132" s="18">
        <f t="shared" si="21"/>
        <v>-0.59354797713897378</v>
      </c>
      <c r="I132" s="18">
        <f t="shared" si="22"/>
        <v>60.619219999999999</v>
      </c>
      <c r="J132" s="18">
        <f t="shared" si="23"/>
        <v>109.68257843816897</v>
      </c>
      <c r="K132">
        <f t="shared" si="24"/>
        <v>136.88398679650885</v>
      </c>
      <c r="L132" s="12"/>
    </row>
    <row r="133" spans="1:12" x14ac:dyDescent="0.2">
      <c r="A133" s="15" t="s">
        <v>35</v>
      </c>
      <c r="B133" s="16">
        <v>52.031839261420501</v>
      </c>
      <c r="C133" s="16">
        <v>0.86243779245359131</v>
      </c>
      <c r="D133" s="16">
        <v>0.12058854025423527</v>
      </c>
      <c r="E133" s="16">
        <v>1.476634509685204E-2</v>
      </c>
      <c r="F133" s="17">
        <v>7.0599999999999996E-2</v>
      </c>
      <c r="G133" s="18">
        <f t="shared" si="20"/>
        <v>47.787744186912661</v>
      </c>
      <c r="H133" s="18">
        <f t="shared" si="21"/>
        <v>-0.62908875890948601</v>
      </c>
      <c r="I133" s="18">
        <f t="shared" si="22"/>
        <v>6.3547099999999972</v>
      </c>
      <c r="J133" s="18">
        <f t="shared" si="23"/>
        <v>53.513365428003169</v>
      </c>
      <c r="K133">
        <f t="shared" si="24"/>
        <v>109.93897950499624</v>
      </c>
      <c r="L133" s="12"/>
    </row>
    <row r="134" spans="1:12" hidden="1" x14ac:dyDescent="0.2">
      <c r="A134" s="1" t="s">
        <v>46</v>
      </c>
      <c r="B134" s="2">
        <v>49.455176320681296</v>
      </c>
      <c r="C134" s="2">
        <v>0.87148630653892911</v>
      </c>
      <c r="D134" s="2">
        <v>0.16202260818126568</v>
      </c>
      <c r="E134" s="2">
        <v>2.0373120316301785E-2</v>
      </c>
    </row>
    <row r="135" spans="1:12" hidden="1" x14ac:dyDescent="0.2">
      <c r="A135" s="1" t="s">
        <v>24</v>
      </c>
      <c r="B135" s="2">
        <v>50.499954925467371</v>
      </c>
      <c r="C135" s="2">
        <v>1.2176612593476501</v>
      </c>
      <c r="D135" s="2">
        <v>9.8807409218377273E-2</v>
      </c>
      <c r="E135" s="2">
        <v>1.4353799363564956E-2</v>
      </c>
    </row>
    <row r="136" spans="1:12" x14ac:dyDescent="0.2">
      <c r="A136" s="9" t="s">
        <v>59</v>
      </c>
      <c r="B136" s="10">
        <v>49.589606928066026</v>
      </c>
      <c r="C136" s="10">
        <v>1.1087418256708403</v>
      </c>
      <c r="D136" s="10">
        <v>0.14134901070363637</v>
      </c>
      <c r="E136" s="10">
        <v>1.7384606946927672E-2</v>
      </c>
      <c r="F136" s="12">
        <v>0.1724</v>
      </c>
      <c r="G136">
        <f t="shared" ref="G136:G139" si="25">(1.4692*C136-0.0724)*40</f>
        <v>62.262539611023946</v>
      </c>
      <c r="H136">
        <f t="shared" ref="H136:H139" si="26">(4.1224*E136-0.0766)*40</f>
        <v>-0.19734785287941481</v>
      </c>
      <c r="I136">
        <f t="shared" ref="I136:I139" si="27">(11.007*F136-0.65)*50</f>
        <v>62.38033999999999</v>
      </c>
      <c r="J136">
        <f t="shared" ref="J136:J139" si="28">SUM(G136:I136)</f>
        <v>124.44553175814451</v>
      </c>
      <c r="K136">
        <f t="shared" ref="K136:K139" si="29">(D136/0.0239-0.0549/0.0239)*40</f>
        <v>144.68453674248767</v>
      </c>
    </row>
    <row r="137" spans="1:12" x14ac:dyDescent="0.2">
      <c r="A137" s="9" t="s">
        <v>52</v>
      </c>
      <c r="B137" s="10">
        <v>49.375336013039849</v>
      </c>
      <c r="C137" s="10">
        <v>1.1173310760340607</v>
      </c>
      <c r="D137" s="10">
        <v>0.14884635371046318</v>
      </c>
      <c r="E137" s="10">
        <v>1.9009487712895234E-2</v>
      </c>
      <c r="F137" s="12">
        <v>0.186</v>
      </c>
      <c r="G137">
        <f t="shared" si="25"/>
        <v>62.767312676369684</v>
      </c>
      <c r="H137">
        <f t="shared" si="26"/>
        <v>7.0588485905572207E-2</v>
      </c>
      <c r="I137">
        <f t="shared" si="27"/>
        <v>69.865099999999984</v>
      </c>
      <c r="J137">
        <f t="shared" si="28"/>
        <v>132.70300116227526</v>
      </c>
      <c r="K137">
        <f t="shared" si="29"/>
        <v>157.23239114721869</v>
      </c>
    </row>
    <row r="138" spans="1:12" x14ac:dyDescent="0.2">
      <c r="A138" s="9" t="s">
        <v>54</v>
      </c>
      <c r="B138" s="10">
        <v>52.124471889209822</v>
      </c>
      <c r="C138" s="10">
        <v>0.86883797915425798</v>
      </c>
      <c r="D138" s="10">
        <v>0.15244547384355833</v>
      </c>
      <c r="E138" s="10">
        <v>1.5706378578519198E-2</v>
      </c>
      <c r="F138" s="12">
        <v>0.18049999999999999</v>
      </c>
      <c r="G138">
        <f t="shared" si="25"/>
        <v>48.163870358937437</v>
      </c>
      <c r="H138">
        <f t="shared" si="26"/>
        <v>-0.47408099791649838</v>
      </c>
      <c r="I138">
        <f t="shared" si="27"/>
        <v>66.838175000000007</v>
      </c>
      <c r="J138">
        <f t="shared" si="28"/>
        <v>114.52796436102095</v>
      </c>
      <c r="K138">
        <f t="shared" si="29"/>
        <v>163.25602316913523</v>
      </c>
    </row>
    <row r="139" spans="1:12" x14ac:dyDescent="0.2">
      <c r="A139" s="9" t="s">
        <v>35</v>
      </c>
      <c r="B139" s="10">
        <v>51.658139691970767</v>
      </c>
      <c r="C139" s="10">
        <v>0.8784034793187363</v>
      </c>
      <c r="D139" s="10">
        <v>0.11995185997566904</v>
      </c>
      <c r="E139" s="10">
        <v>1.7210708759121562E-2</v>
      </c>
      <c r="F139" s="12">
        <v>5.6500000000000002E-2</v>
      </c>
      <c r="G139">
        <f t="shared" si="25"/>
        <v>48.726015672603495</v>
      </c>
      <c r="H139">
        <f t="shared" si="26"/>
        <v>-0.2260229684558912</v>
      </c>
      <c r="I139">
        <f t="shared" si="27"/>
        <v>-1.4052249999999988</v>
      </c>
      <c r="J139">
        <f t="shared" si="28"/>
        <v>47.0947677041476</v>
      </c>
      <c r="K139">
        <f t="shared" si="29"/>
        <v>108.87340581701929</v>
      </c>
    </row>
    <row r="140" spans="1:12" hidden="1" x14ac:dyDescent="0.2">
      <c r="A140" s="1" t="s">
        <v>46</v>
      </c>
      <c r="B140" s="2">
        <v>50.04574353992038</v>
      </c>
      <c r="C140" s="2">
        <v>0.8454582521194034</v>
      </c>
      <c r="D140" s="2">
        <v>0.37898904952238865</v>
      </c>
      <c r="E140" s="2">
        <v>1.8333188736319173E-2</v>
      </c>
    </row>
    <row r="141" spans="1:12" hidden="1" x14ac:dyDescent="0.2">
      <c r="A141" s="1" t="s">
        <v>24</v>
      </c>
      <c r="B141" s="2">
        <v>50.962089242286616</v>
      </c>
      <c r="C141" s="2">
        <v>1.0947268382625863</v>
      </c>
      <c r="D141" s="2">
        <v>0.44267419704853195</v>
      </c>
      <c r="E141" s="2">
        <v>1.8410794599117208E-2</v>
      </c>
    </row>
    <row r="142" spans="1:12" hidden="1" x14ac:dyDescent="0.2">
      <c r="A142" s="1" t="s">
        <v>44</v>
      </c>
      <c r="B142" s="2">
        <v>0.11312888156306666</v>
      </c>
      <c r="C142" s="2" t="s">
        <v>53</v>
      </c>
      <c r="D142" s="2">
        <v>0.12431700498893639</v>
      </c>
      <c r="E142" s="2">
        <v>1.7574381623414848E-2</v>
      </c>
    </row>
    <row r="143" spans="1:12" x14ac:dyDescent="0.2">
      <c r="A143" s="9" t="s">
        <v>60</v>
      </c>
      <c r="B143" s="10">
        <v>51.927503584510234</v>
      </c>
      <c r="C143" s="10">
        <v>1.2062712481017464</v>
      </c>
      <c r="D143" s="10">
        <v>0.15970955915717533</v>
      </c>
      <c r="E143" s="10">
        <v>1.934167485193794E-2</v>
      </c>
      <c r="F143" s="12">
        <v>0.15279999999999999</v>
      </c>
      <c r="G143">
        <f t="shared" ref="G143:G146" si="30">(1.4692*C143-0.0724)*40</f>
        <v>67.994148708443433</v>
      </c>
      <c r="H143">
        <f t="shared" ref="H143:H146" si="31">(4.1224*E143-0.0766)*40</f>
        <v>0.1253648163851584</v>
      </c>
      <c r="I143">
        <f t="shared" ref="I143:I146" si="32">(11.007*F143-0.65)*50</f>
        <v>51.593479999999992</v>
      </c>
      <c r="J143">
        <f t="shared" ref="J143:J146" si="33">SUM(G143:I143)</f>
        <v>119.71299352482859</v>
      </c>
      <c r="K143">
        <f t="shared" ref="K143:K146" si="34">(D143/0.0239-0.0549/0.0239)*40</f>
        <v>175.41348812916374</v>
      </c>
    </row>
    <row r="144" spans="1:12" x14ac:dyDescent="0.2">
      <c r="A144" s="9" t="s">
        <v>52</v>
      </c>
      <c r="B144" s="10">
        <v>14.204683573427454</v>
      </c>
      <c r="C144" s="10">
        <v>1.2759279902157425</v>
      </c>
      <c r="D144" s="10">
        <v>0.18344992977818331</v>
      </c>
      <c r="E144" s="10">
        <v>2.025637923123691E-2</v>
      </c>
      <c r="F144" s="12">
        <v>0.152</v>
      </c>
      <c r="G144">
        <f t="shared" si="30"/>
        <v>72.087736128998756</v>
      </c>
      <c r="H144">
        <f t="shared" si="31"/>
        <v>0.27619590971404151</v>
      </c>
      <c r="I144">
        <f t="shared" si="32"/>
        <v>51.153199999999984</v>
      </c>
      <c r="J144">
        <f t="shared" si="33"/>
        <v>123.51713203871279</v>
      </c>
      <c r="K144">
        <f t="shared" si="34"/>
        <v>215.14632598859129</v>
      </c>
    </row>
    <row r="145" spans="1:11" x14ac:dyDescent="0.2">
      <c r="A145" s="9" t="s">
        <v>54</v>
      </c>
      <c r="B145" s="10">
        <v>15.065286028522628</v>
      </c>
      <c r="C145" s="10">
        <v>1.0178708195242441</v>
      </c>
      <c r="D145" s="10">
        <v>0.16703765450676422</v>
      </c>
      <c r="E145" s="10">
        <v>1.8396118718650101E-2</v>
      </c>
      <c r="F145" s="12">
        <v>0.1731</v>
      </c>
      <c r="G145">
        <f t="shared" si="30"/>
        <v>56.922232321800777</v>
      </c>
      <c r="H145">
        <f t="shared" si="31"/>
        <v>-3.0553607769472912E-2</v>
      </c>
      <c r="I145">
        <f t="shared" si="32"/>
        <v>62.765585000000002</v>
      </c>
      <c r="J145">
        <f t="shared" si="33"/>
        <v>119.6572637140313</v>
      </c>
      <c r="K145">
        <f t="shared" si="34"/>
        <v>187.67808285650915</v>
      </c>
    </row>
    <row r="146" spans="1:11" x14ac:dyDescent="0.2">
      <c r="A146" s="9" t="s">
        <v>35</v>
      </c>
      <c r="B146" s="10">
        <v>50.358853799696263</v>
      </c>
      <c r="C146" s="10">
        <v>0.99431087589218103</v>
      </c>
      <c r="D146" s="10">
        <v>0.1155088244874718</v>
      </c>
      <c r="E146" s="10">
        <v>1.5784906378131236E-2</v>
      </c>
      <c r="F146" s="12">
        <v>5.74E-2</v>
      </c>
      <c r="G146">
        <f t="shared" si="30"/>
        <v>55.5376615544317</v>
      </c>
      <c r="H146">
        <f t="shared" si="31"/>
        <v>-0.4611320778716721</v>
      </c>
      <c r="I146">
        <f t="shared" si="32"/>
        <v>-0.90991000000000266</v>
      </c>
      <c r="J146">
        <f t="shared" si="33"/>
        <v>54.166619476560022</v>
      </c>
      <c r="K146">
        <f t="shared" si="34"/>
        <v>101.43736315894861</v>
      </c>
    </row>
    <row r="147" spans="1:11" hidden="1" x14ac:dyDescent="0.2">
      <c r="A147" s="1" t="s">
        <v>46</v>
      </c>
      <c r="B147" s="2">
        <v>49.023852702762611</v>
      </c>
      <c r="C147" s="2">
        <v>0.76189076026107982</v>
      </c>
      <c r="D147" s="2">
        <v>0.1631449021857927</v>
      </c>
      <c r="E147" s="2">
        <v>1.6021421857923768E-2</v>
      </c>
    </row>
    <row r="148" spans="1:11" hidden="1" x14ac:dyDescent="0.2">
      <c r="A148" s="1" t="s">
        <v>24</v>
      </c>
      <c r="B148" s="2">
        <v>49.629252996570671</v>
      </c>
      <c r="C148" s="2">
        <v>1.1758003950464864</v>
      </c>
      <c r="D148" s="2">
        <v>0.12615805594421547</v>
      </c>
      <c r="E148" s="2">
        <v>1.7439815950313742E-2</v>
      </c>
    </row>
    <row r="149" spans="1:11" hidden="1" x14ac:dyDescent="0.2">
      <c r="A149" s="1" t="s">
        <v>44</v>
      </c>
      <c r="B149" s="2">
        <v>6.384497150537749E-2</v>
      </c>
      <c r="C149" s="2" t="s">
        <v>53</v>
      </c>
      <c r="D149" s="2">
        <v>8.1951345161289879E-2</v>
      </c>
      <c r="E149" s="2">
        <v>8.7819620399816056E-3</v>
      </c>
    </row>
    <row r="150" spans="1:11" hidden="1" x14ac:dyDescent="0.2">
      <c r="A150" s="1" t="s">
        <v>44</v>
      </c>
      <c r="B150" s="2">
        <v>7.8146886193056542E-2</v>
      </c>
      <c r="C150" s="2">
        <v>4.2365015011037177E-2</v>
      </c>
      <c r="D150" s="2">
        <v>0.1464995796106785</v>
      </c>
      <c r="E150" s="2">
        <v>4.1129999999999223E-3</v>
      </c>
    </row>
    <row r="151" spans="1:11" x14ac:dyDescent="0.2">
      <c r="A151" s="9" t="s">
        <v>61</v>
      </c>
      <c r="B151" s="10">
        <v>48.629902764608048</v>
      </c>
      <c r="C151" s="10">
        <v>0.95216946201762287</v>
      </c>
      <c r="D151" s="10">
        <v>0.10832775354755286</v>
      </c>
      <c r="E151" s="10">
        <v>1.5399879846549558E-2</v>
      </c>
      <c r="F151" s="12">
        <v>0.2046</v>
      </c>
      <c r="G151">
        <f t="shared" ref="G151:G154" si="35">(1.4692*C151-0.0724)*40</f>
        <v>53.061094943851657</v>
      </c>
      <c r="H151">
        <f t="shared" ref="H151:H154" si="36">(4.1224*E151-0.0766)*40</f>
        <v>-0.5246214128233645</v>
      </c>
      <c r="I151">
        <f t="shared" ref="I151:I154" si="37">(11.007*F151-0.65)*50</f>
        <v>80.101609999999994</v>
      </c>
      <c r="J151">
        <f t="shared" ref="J151:J154" si="38">SUM(G151:I151)</f>
        <v>132.63808353102829</v>
      </c>
      <c r="K151">
        <f t="shared" ref="K151:K154" si="39">(D151/0.0239-0.0549/0.0239)*40</f>
        <v>89.418834389209806</v>
      </c>
    </row>
    <row r="152" spans="1:11" x14ac:dyDescent="0.2">
      <c r="A152" s="9" t="s">
        <v>52</v>
      </c>
      <c r="B152" s="10">
        <v>48.304836359416321</v>
      </c>
      <c r="C152" s="10">
        <v>1.0072301756725945</v>
      </c>
      <c r="D152" s="10">
        <v>0.10614806990424142</v>
      </c>
      <c r="E152" s="10">
        <v>1.8206396078431331E-2</v>
      </c>
      <c r="F152" s="12">
        <v>0.21540000000000001</v>
      </c>
      <c r="G152">
        <f t="shared" si="35"/>
        <v>56.296902963927032</v>
      </c>
      <c r="H152">
        <f t="shared" si="36"/>
        <v>-6.1838112250987565E-2</v>
      </c>
      <c r="I152">
        <f t="shared" si="37"/>
        <v>86.045389999999998</v>
      </c>
      <c r="J152">
        <f t="shared" si="38"/>
        <v>142.28045485167604</v>
      </c>
      <c r="K152">
        <f t="shared" si="39"/>
        <v>85.770828291617406</v>
      </c>
    </row>
    <row r="153" spans="1:11" x14ac:dyDescent="0.2">
      <c r="A153" s="9" t="s">
        <v>54</v>
      </c>
      <c r="B153" s="10">
        <v>47.608038545871551</v>
      </c>
      <c r="C153" s="10">
        <v>0.64400498703363929</v>
      </c>
      <c r="D153" s="10">
        <v>0.13072075470947975</v>
      </c>
      <c r="E153" s="10">
        <v>1.5946055481651511E-2</v>
      </c>
      <c r="F153" s="12">
        <v>0.1663</v>
      </c>
      <c r="G153">
        <f t="shared" si="35"/>
        <v>34.950885077992915</v>
      </c>
      <c r="H153">
        <f t="shared" si="36"/>
        <v>-0.43455923529759244</v>
      </c>
      <c r="I153">
        <f t="shared" si="37"/>
        <v>59.023205000000004</v>
      </c>
      <c r="J153">
        <f t="shared" si="38"/>
        <v>93.539530842695328</v>
      </c>
      <c r="K153">
        <f t="shared" si="39"/>
        <v>126.89666060163974</v>
      </c>
    </row>
    <row r="154" spans="1:11" x14ac:dyDescent="0.2">
      <c r="A154" s="9" t="s">
        <v>35</v>
      </c>
      <c r="B154" s="10">
        <v>48.72015005069666</v>
      </c>
      <c r="C154" s="10">
        <v>1.0136668566452312</v>
      </c>
      <c r="D154" s="10">
        <v>9.9383598269791262E-2</v>
      </c>
      <c r="E154" s="10">
        <v>1.5156488286633074E-2</v>
      </c>
      <c r="F154" s="12">
        <v>6.0699999999999997E-2</v>
      </c>
      <c r="G154">
        <f t="shared" si="35"/>
        <v>56.675173831326944</v>
      </c>
      <c r="H154">
        <f t="shared" si="36"/>
        <v>-0.56475570748735271</v>
      </c>
      <c r="I154">
        <f t="shared" si="37"/>
        <v>0.90624499999999442</v>
      </c>
      <c r="J154">
        <f t="shared" si="38"/>
        <v>57.016663123839585</v>
      </c>
      <c r="K154">
        <f t="shared" si="39"/>
        <v>74.449536853207135</v>
      </c>
    </row>
    <row r="155" spans="1:11" hidden="1" x14ac:dyDescent="0.2">
      <c r="A155" s="1" t="s">
        <v>46</v>
      </c>
      <c r="B155" s="2">
        <v>49.362064249015511</v>
      </c>
      <c r="C155" s="2">
        <v>0.74251146470763829</v>
      </c>
      <c r="D155" s="2">
        <v>0.12687578775855268</v>
      </c>
      <c r="E155" s="2">
        <v>1.3240399880668274E-2</v>
      </c>
    </row>
    <row r="156" spans="1:11" hidden="1" x14ac:dyDescent="0.2">
      <c r="A156" s="1" t="s">
        <v>24</v>
      </c>
      <c r="B156" s="2">
        <v>48.120163155352792</v>
      </c>
      <c r="C156" s="2">
        <v>1.0077093543795619</v>
      </c>
      <c r="D156" s="2">
        <v>0.10926667264294299</v>
      </c>
      <c r="E156" s="2">
        <v>1.5253659625912741E-2</v>
      </c>
    </row>
    <row r="157" spans="1:11" hidden="1" x14ac:dyDescent="0.2">
      <c r="A157" s="1" t="s">
        <v>44</v>
      </c>
      <c r="B157" s="2">
        <v>9.3106632125603772E-2</v>
      </c>
      <c r="C157" s="2">
        <v>6.9513976570049651E-2</v>
      </c>
      <c r="D157" s="2">
        <v>6.716983031401047E-2</v>
      </c>
      <c r="E157" s="2">
        <v>1.5438295652173695E-2</v>
      </c>
    </row>
    <row r="158" spans="1:11" x14ac:dyDescent="0.2">
      <c r="A158" s="9" t="s">
        <v>62</v>
      </c>
      <c r="B158" s="10">
        <v>51.233409914752421</v>
      </c>
      <c r="C158" s="10">
        <v>1.0721291694756558</v>
      </c>
      <c r="D158" s="10">
        <v>0.10918231024760749</v>
      </c>
      <c r="E158" s="10">
        <v>1.2273907906783732E-2</v>
      </c>
      <c r="F158" s="12">
        <v>0.21190000000000001</v>
      </c>
      <c r="G158">
        <f t="shared" ref="G158:G161" si="40">(1.4692*C158-0.0724)*40</f>
        <v>60.110887031745349</v>
      </c>
      <c r="H158">
        <f t="shared" ref="H158:H161" si="41">(4.1224*E158-0.0766)*40</f>
        <v>-1.0400816818029899</v>
      </c>
      <c r="I158">
        <f t="shared" ref="I158:I161" si="42">(11.007*F158-0.65)*50</f>
        <v>84.11916500000001</v>
      </c>
      <c r="J158">
        <f t="shared" ref="J158:J161" si="43">SUM(G158:I158)</f>
        <v>143.18997034994237</v>
      </c>
      <c r="K158">
        <f t="shared" ref="K158:K161" si="44">(D158/0.0239-0.0549/0.0239)*40</f>
        <v>90.849054807711283</v>
      </c>
    </row>
    <row r="159" spans="1:11" x14ac:dyDescent="0.2">
      <c r="A159" s="9" t="s">
        <v>52</v>
      </c>
      <c r="B159" s="10">
        <v>49.509945767910416</v>
      </c>
      <c r="C159" s="10">
        <v>1.0572392083980129</v>
      </c>
      <c r="D159" s="10">
        <v>0.14663286902487593</v>
      </c>
      <c r="E159" s="10">
        <v>1.4897642039799708E-2</v>
      </c>
      <c r="F159" s="12">
        <v>0.20399999999999999</v>
      </c>
      <c r="G159">
        <f t="shared" si="40"/>
        <v>59.235833799134426</v>
      </c>
      <c r="H159">
        <f t="shared" si="41"/>
        <v>-0.60743841820518751</v>
      </c>
      <c r="I159">
        <f t="shared" si="42"/>
        <v>79.7714</v>
      </c>
      <c r="J159">
        <f t="shared" si="43"/>
        <v>138.39979538092925</v>
      </c>
      <c r="K159">
        <f t="shared" si="44"/>
        <v>153.52781426757477</v>
      </c>
    </row>
    <row r="160" spans="1:11" x14ac:dyDescent="0.2">
      <c r="A160" s="9" t="s">
        <v>54</v>
      </c>
      <c r="B160" s="10">
        <v>50.275461776338929</v>
      </c>
      <c r="C160" s="10">
        <v>0.78417322110311671</v>
      </c>
      <c r="D160" s="10">
        <v>0.12880671322941484</v>
      </c>
      <c r="E160" s="10">
        <v>1.2743889248599816E-2</v>
      </c>
      <c r="F160" s="12">
        <v>0.15820000000000001</v>
      </c>
      <c r="G160">
        <f t="shared" si="40"/>
        <v>43.188291857787966</v>
      </c>
      <c r="H160">
        <f t="shared" si="41"/>
        <v>-0.96258363846288497</v>
      </c>
      <c r="I160">
        <f t="shared" si="42"/>
        <v>54.565369999999987</v>
      </c>
      <c r="J160">
        <f t="shared" si="43"/>
        <v>96.791078219325072</v>
      </c>
      <c r="K160">
        <f t="shared" si="44"/>
        <v>123.69324389860223</v>
      </c>
    </row>
    <row r="161" spans="1:11" x14ac:dyDescent="0.2">
      <c r="A161" s="9" t="s">
        <v>35</v>
      </c>
      <c r="B161" s="10">
        <v>49.245904729033576</v>
      </c>
      <c r="C161" s="10">
        <v>1.1309907161442643</v>
      </c>
      <c r="D161" s="10">
        <v>0.13282700227044408</v>
      </c>
      <c r="E161" s="10">
        <v>1.5571926250752988E-2</v>
      </c>
      <c r="F161" s="12">
        <v>6.7100000000000007E-2</v>
      </c>
      <c r="G161">
        <f t="shared" si="40"/>
        <v>63.570062406366119</v>
      </c>
      <c r="H161">
        <f t="shared" si="41"/>
        <v>-0.49625164895583551</v>
      </c>
      <c r="I161">
        <f t="shared" si="42"/>
        <v>4.4284850000000038</v>
      </c>
      <c r="J161">
        <f t="shared" si="43"/>
        <v>67.502295757410295</v>
      </c>
      <c r="K161">
        <f t="shared" si="44"/>
        <v>130.42176112208216</v>
      </c>
    </row>
    <row r="162" spans="1:11" hidden="1" x14ac:dyDescent="0.2">
      <c r="A162" s="1" t="s">
        <v>46</v>
      </c>
      <c r="B162" s="2">
        <v>49.985978165313639</v>
      </c>
      <c r="C162" s="2">
        <v>0.89276426070110726</v>
      </c>
      <c r="D162" s="2">
        <v>0.13935535608856253</v>
      </c>
      <c r="E162" s="2">
        <v>1.2970885854858283E-2</v>
      </c>
    </row>
    <row r="163" spans="1:11" hidden="1" x14ac:dyDescent="0.2">
      <c r="A163" s="1" t="s">
        <v>24</v>
      </c>
      <c r="B163" s="2">
        <v>48.792309037850735</v>
      </c>
      <c r="C163" s="2">
        <v>1.3606747045970147</v>
      </c>
      <c r="D163" s="2">
        <v>0.25223455049751231</v>
      </c>
      <c r="E163" s="2">
        <v>1.7797604089551999E-2</v>
      </c>
    </row>
    <row r="164" spans="1:11" hidden="1" x14ac:dyDescent="0.2">
      <c r="A164" s="1" t="s">
        <v>44</v>
      </c>
      <c r="B164" s="2">
        <v>7.1488433879781765E-2</v>
      </c>
      <c r="C164" s="2">
        <v>2.0419046296296539E-2</v>
      </c>
      <c r="D164" s="2">
        <v>3.2209982027929129E-2</v>
      </c>
      <c r="E164" s="2">
        <v>9.6445811778989032E-3</v>
      </c>
    </row>
    <row r="165" spans="1:11" hidden="1" x14ac:dyDescent="0.2">
      <c r="A165" s="1" t="s">
        <v>62</v>
      </c>
      <c r="B165" s="2">
        <v>47.912043937368395</v>
      </c>
      <c r="C165" s="2">
        <v>0.98745747026436081</v>
      </c>
      <c r="D165" s="2">
        <v>0.31199552346451864</v>
      </c>
      <c r="E165" s="2">
        <v>1.866669716756042E-2</v>
      </c>
    </row>
    <row r="166" spans="1:11" hidden="1" x14ac:dyDescent="0.2">
      <c r="A166" s="1" t="s">
        <v>52</v>
      </c>
      <c r="B166" s="2">
        <v>45.605918836227922</v>
      </c>
      <c r="C166" s="2">
        <v>0.95576047681291754</v>
      </c>
      <c r="D166" s="2">
        <v>0.29163883375990296</v>
      </c>
      <c r="E166" s="2">
        <v>1.8741295521023993E-2</v>
      </c>
    </row>
    <row r="167" spans="1:11" hidden="1" x14ac:dyDescent="0.2">
      <c r="A167" s="1" t="s">
        <v>44</v>
      </c>
      <c r="B167" s="2">
        <v>0.10634300133333285</v>
      </c>
      <c r="C167" s="2" t="s">
        <v>53</v>
      </c>
      <c r="D167" s="2">
        <v>0.10106184626515047</v>
      </c>
      <c r="E167" s="2">
        <v>2.4540799810606639E-2</v>
      </c>
    </row>
    <row r="168" spans="1:11" hidden="1" x14ac:dyDescent="0.2">
      <c r="A168" s="1" t="s">
        <v>63</v>
      </c>
      <c r="B168" s="2">
        <v>47.958419219836998</v>
      </c>
      <c r="C168" s="2">
        <v>1.014096567610814</v>
      </c>
      <c r="D168" s="2">
        <v>0.25835982386205458</v>
      </c>
      <c r="E168" s="2">
        <v>1.8977867074139398E-2</v>
      </c>
    </row>
    <row r="169" spans="1:11" hidden="1" x14ac:dyDescent="0.2">
      <c r="A169" s="1" t="s">
        <v>52</v>
      </c>
      <c r="B169" s="2">
        <v>47.757055417491948</v>
      </c>
      <c r="C169" s="2">
        <v>1.0503733594222833</v>
      </c>
      <c r="D169" s="2">
        <v>0.2514797267384985</v>
      </c>
      <c r="E169" s="2">
        <v>1.9730512310867088E-2</v>
      </c>
    </row>
    <row r="170" spans="1:11" hidden="1" x14ac:dyDescent="0.2">
      <c r="A170" s="1" t="s">
        <v>54</v>
      </c>
      <c r="B170" s="2">
        <v>51.701454002898544</v>
      </c>
      <c r="C170" s="2">
        <v>0.85907266594203024</v>
      </c>
      <c r="D170" s="2">
        <v>0.15813369275362366</v>
      </c>
      <c r="E170" s="2">
        <v>1.5795143478261942E-2</v>
      </c>
    </row>
    <row r="171" spans="1:11" hidden="1" x14ac:dyDescent="0.2">
      <c r="A171" s="1" t="s">
        <v>35</v>
      </c>
      <c r="B171" s="2">
        <v>50.465244324349058</v>
      </c>
      <c r="C171" s="2">
        <v>1.3255538229874781</v>
      </c>
      <c r="D171" s="2">
        <v>0.21316343265752447</v>
      </c>
      <c r="E171" s="2">
        <v>1.7335720463129256E-2</v>
      </c>
    </row>
    <row r="172" spans="1:11" hidden="1" x14ac:dyDescent="0.2">
      <c r="A172" s="1" t="s">
        <v>46</v>
      </c>
      <c r="B172" s="2">
        <v>50.008414822897578</v>
      </c>
      <c r="C172" s="2">
        <v>0.81360053581804248</v>
      </c>
      <c r="D172" s="2">
        <v>0.24629865118501271</v>
      </c>
      <c r="E172" s="2">
        <v>2.2417827714066529E-2</v>
      </c>
    </row>
    <row r="173" spans="1:11" hidden="1" x14ac:dyDescent="0.2">
      <c r="A173" s="1" t="s">
        <v>24</v>
      </c>
      <c r="B173" s="2">
        <v>49.697776526630854</v>
      </c>
      <c r="C173" s="2">
        <v>1.4638142124701674</v>
      </c>
      <c r="D173" s="2">
        <v>0.25616754974144862</v>
      </c>
      <c r="E173" s="2">
        <v>6.8283343237868444E-2</v>
      </c>
    </row>
    <row r="174" spans="1:11" hidden="1" x14ac:dyDescent="0.2">
      <c r="A174" s="1" t="s">
        <v>44</v>
      </c>
      <c r="B174" s="2">
        <v>0.11145105750113649</v>
      </c>
      <c r="C174" s="2">
        <v>2.0405374669403065E-2</v>
      </c>
      <c r="D174" s="2">
        <v>3.5284557683538331E-2</v>
      </c>
      <c r="E174" s="2">
        <v>1.0835894505243582E-2</v>
      </c>
    </row>
    <row r="175" spans="1:11" hidden="1" x14ac:dyDescent="0.2">
      <c r="A175" s="1" t="s">
        <v>44</v>
      </c>
      <c r="B175" s="2">
        <v>0.14045909184782568</v>
      </c>
      <c r="C175" s="2" t="s">
        <v>53</v>
      </c>
      <c r="D175" s="2">
        <v>0.2432787414855031</v>
      </c>
      <c r="E175" s="2">
        <v>1.1579895355189773E-2</v>
      </c>
    </row>
    <row r="176" spans="1:11" hidden="1" x14ac:dyDescent="0.2">
      <c r="A176" s="1" t="s">
        <v>64</v>
      </c>
      <c r="B176" s="2">
        <v>50.340662268529528</v>
      </c>
      <c r="C176" s="2">
        <v>0.67210582648266248</v>
      </c>
      <c r="D176" s="2">
        <v>0.25837194015358844</v>
      </c>
      <c r="E176" s="2">
        <v>1.5816261222628247E-2</v>
      </c>
    </row>
    <row r="177" spans="1:5" hidden="1" x14ac:dyDescent="0.2">
      <c r="A177" s="1" t="s">
        <v>52</v>
      </c>
      <c r="B177" s="2">
        <v>50.764586594840225</v>
      </c>
      <c r="C177" s="2">
        <v>1.3674517565296782</v>
      </c>
      <c r="D177" s="2">
        <v>0.28308449712328909</v>
      </c>
      <c r="E177" s="2">
        <v>2.1163814794521008E-2</v>
      </c>
    </row>
    <row r="178" spans="1:5" hidden="1" x14ac:dyDescent="0.2">
      <c r="A178" s="1" t="s">
        <v>54</v>
      </c>
      <c r="B178" s="2">
        <v>14.845782380050197</v>
      </c>
      <c r="C178" s="2">
        <v>0.89750254208562064</v>
      </c>
      <c r="D178" s="2">
        <v>0.18819631135740322</v>
      </c>
      <c r="E178" s="2">
        <v>1.8127650083791025E-2</v>
      </c>
    </row>
    <row r="179" spans="1:5" hidden="1" x14ac:dyDescent="0.2">
      <c r="A179" s="1" t="s">
        <v>35</v>
      </c>
      <c r="B179" s="2">
        <v>51.334114407968364</v>
      </c>
      <c r="C179" s="2">
        <v>1.3428920880626547</v>
      </c>
      <c r="D179" s="2">
        <v>0.23065472347931859</v>
      </c>
      <c r="E179" s="2">
        <v>1.8668915571776967E-2</v>
      </c>
    </row>
    <row r="180" spans="1:5" hidden="1" x14ac:dyDescent="0.2">
      <c r="A180" s="1" t="s">
        <v>46</v>
      </c>
      <c r="B180" s="2">
        <v>52.6764352966389</v>
      </c>
      <c r="C180" s="2">
        <v>1.0542060524291095</v>
      </c>
      <c r="D180" s="2">
        <v>0.29562232586753723</v>
      </c>
      <c r="E180" s="2">
        <v>1.9110784285147675E-2</v>
      </c>
    </row>
    <row r="181" spans="1:5" hidden="1" x14ac:dyDescent="0.2">
      <c r="A181" s="1" t="s">
        <v>24</v>
      </c>
      <c r="B181" s="2">
        <v>52.988963409307857</v>
      </c>
      <c r="C181" s="2">
        <v>1.1064520974940351</v>
      </c>
      <c r="D181" s="2">
        <v>0.29276611511535244</v>
      </c>
      <c r="E181" s="2">
        <v>1.9463846698488663E-2</v>
      </c>
    </row>
    <row r="182" spans="1:5" hidden="1" x14ac:dyDescent="0.2">
      <c r="A182" s="1" t="s">
        <v>44</v>
      </c>
      <c r="B182" s="2">
        <v>2.0529055036188293E-2</v>
      </c>
      <c r="C182" s="2">
        <v>0.11413249141535986</v>
      </c>
      <c r="D182" s="2">
        <v>0.1574252899577826</v>
      </c>
      <c r="E182" s="2" t="s">
        <v>53</v>
      </c>
    </row>
    <row r="183" spans="1:5" hidden="1" x14ac:dyDescent="0.2">
      <c r="A183" s="1" t="s">
        <v>65</v>
      </c>
      <c r="B183" s="2">
        <v>48.347207363824296</v>
      </c>
      <c r="C183" s="2">
        <v>0.98937761240310196</v>
      </c>
      <c r="D183" s="2">
        <v>0.31062185620155169</v>
      </c>
      <c r="E183" s="2">
        <v>2.2726138113694949E-2</v>
      </c>
    </row>
    <row r="184" spans="1:5" hidden="1" x14ac:dyDescent="0.2">
      <c r="A184" s="1" t="s">
        <v>52</v>
      </c>
      <c r="B184" s="2">
        <v>52.701876724817502</v>
      </c>
      <c r="C184" s="2">
        <v>1.0652786372262772</v>
      </c>
      <c r="D184" s="2">
        <v>0.31645557319039019</v>
      </c>
      <c r="E184" s="2">
        <v>2.1691996593674601E-2</v>
      </c>
    </row>
    <row r="185" spans="1:5" hidden="1" x14ac:dyDescent="0.2">
      <c r="A185" s="1" t="s">
        <v>54</v>
      </c>
      <c r="B185" s="2">
        <v>52.511791815274421</v>
      </c>
      <c r="C185" s="2">
        <v>0.84723328309466883</v>
      </c>
      <c r="D185" s="2">
        <v>0.22197282243436689</v>
      </c>
      <c r="E185" s="2">
        <v>1.9724474303898454E-2</v>
      </c>
    </row>
    <row r="186" spans="1:5" hidden="1" x14ac:dyDescent="0.2">
      <c r="A186" s="1" t="s">
        <v>35</v>
      </c>
      <c r="B186" s="2">
        <v>49.74496672941293</v>
      </c>
      <c r="C186" s="2">
        <v>1.2995960546567147</v>
      </c>
      <c r="D186" s="2">
        <v>0.24939582917413006</v>
      </c>
      <c r="E186" s="2">
        <v>1.8090401134327694E-2</v>
      </c>
    </row>
    <row r="187" spans="1:5" hidden="1" x14ac:dyDescent="0.2">
      <c r="A187" s="1" t="s">
        <v>46</v>
      </c>
      <c r="B187" s="2">
        <v>49.17667115632603</v>
      </c>
      <c r="C187" s="2">
        <v>0.88709735769464571</v>
      </c>
      <c r="D187" s="2">
        <v>0.29446094105079101</v>
      </c>
      <c r="E187" s="2">
        <v>1.7835874939173602E-2</v>
      </c>
    </row>
    <row r="188" spans="1:5" hidden="1" x14ac:dyDescent="0.2">
      <c r="A188" s="1" t="s">
        <v>24</v>
      </c>
      <c r="B188" s="2">
        <v>50.108997698493134</v>
      </c>
      <c r="C188" s="2">
        <v>1.3078514733333335</v>
      </c>
      <c r="D188" s="2">
        <v>0.29308749178082194</v>
      </c>
      <c r="E188" s="2">
        <v>1.9720788013699364E-2</v>
      </c>
    </row>
    <row r="189" spans="1:5" hidden="1" x14ac:dyDescent="0.2">
      <c r="A189" s="1" t="s">
        <v>66</v>
      </c>
      <c r="B189" s="2">
        <v>53.142400231735145</v>
      </c>
      <c r="C189" s="2">
        <v>0.87024600079908709</v>
      </c>
      <c r="D189" s="2">
        <v>0.23631193550228313</v>
      </c>
      <c r="E189" s="2">
        <v>1.6391023698630436E-2</v>
      </c>
    </row>
    <row r="190" spans="1:5" hidden="1" x14ac:dyDescent="0.2">
      <c r="A190" s="1" t="s">
        <v>35</v>
      </c>
      <c r="B190" s="2">
        <v>50.819547471033033</v>
      </c>
      <c r="C190" s="2">
        <v>1.3293160413738037</v>
      </c>
      <c r="D190" s="2">
        <v>0.26189866754906532</v>
      </c>
      <c r="E190" s="2">
        <v>1.8937113152291074E-2</v>
      </c>
    </row>
    <row r="191" spans="1:5" hidden="1" x14ac:dyDescent="0.2">
      <c r="A191" s="1" t="s">
        <v>46</v>
      </c>
      <c r="B191" s="2">
        <v>14.489484602968053</v>
      </c>
      <c r="C191" s="2">
        <v>0.97593008849315255</v>
      </c>
      <c r="D191" s="2">
        <v>0.31462046484018225</v>
      </c>
      <c r="E191" s="2">
        <v>1.8677588675799939E-2</v>
      </c>
    </row>
    <row r="192" spans="1:5" hidden="1" x14ac:dyDescent="0.2">
      <c r="A192" s="1" t="s">
        <v>24</v>
      </c>
      <c r="B192" s="2">
        <v>49.857105116910311</v>
      </c>
      <c r="C192" s="2">
        <v>1.2972927619841621</v>
      </c>
      <c r="D192" s="2">
        <v>0.28646525448454496</v>
      </c>
      <c r="E192" s="2">
        <v>1.8436317169179262E-2</v>
      </c>
    </row>
    <row r="193" spans="1:5" hidden="1" x14ac:dyDescent="0.2">
      <c r="A193" s="1" t="s">
        <v>37</v>
      </c>
      <c r="B193" s="2">
        <v>0.10661338947791155</v>
      </c>
      <c r="C193" s="2" t="s">
        <v>53</v>
      </c>
      <c r="D193" s="2">
        <v>0.10316777409638611</v>
      </c>
      <c r="E193" s="2" t="s">
        <v>53</v>
      </c>
    </row>
    <row r="194" spans="1:5" hidden="1" x14ac:dyDescent="0.2">
      <c r="A194" s="1" t="s">
        <v>67</v>
      </c>
      <c r="B194" s="2">
        <v>61.630385770920292</v>
      </c>
      <c r="C194" s="2">
        <v>0.97160338712979577</v>
      </c>
      <c r="D194" s="2">
        <v>0.33059012700258572</v>
      </c>
      <c r="E194" s="2">
        <v>2.2054715752336307E-2</v>
      </c>
    </row>
    <row r="195" spans="1:5" hidden="1" x14ac:dyDescent="0.2">
      <c r="A195" s="1" t="s">
        <v>24</v>
      </c>
      <c r="B195" s="2">
        <v>60.131290171424212</v>
      </c>
      <c r="C195" s="2">
        <v>1.4296447038578788</v>
      </c>
      <c r="D195" s="2">
        <v>0.33426419185727285</v>
      </c>
      <c r="E195" s="2">
        <v>2.6845955809698507E-2</v>
      </c>
    </row>
    <row r="196" spans="1:5" hidden="1" x14ac:dyDescent="0.2">
      <c r="A196" s="1" t="s">
        <v>68</v>
      </c>
      <c r="B196" s="2">
        <v>49.698269715116304</v>
      </c>
      <c r="C196" s="2">
        <v>1.2779913090538664</v>
      </c>
      <c r="D196" s="2">
        <v>0.14839021985688761</v>
      </c>
      <c r="E196" s="2">
        <v>1.8457146153846082E-2</v>
      </c>
    </row>
    <row r="197" spans="1:5" hidden="1" x14ac:dyDescent="0.2">
      <c r="A197" s="1" t="s">
        <v>69</v>
      </c>
      <c r="B197" s="2">
        <v>49.840218006976755</v>
      </c>
      <c r="C197" s="2">
        <v>1.341695690667861</v>
      </c>
      <c r="D197" s="2">
        <v>0.14744268500298063</v>
      </c>
      <c r="E197" s="2">
        <v>1.8017456678593113E-2</v>
      </c>
    </row>
    <row r="198" spans="1:5" hidden="1" x14ac:dyDescent="0.2">
      <c r="A198" s="1" t="s">
        <v>70</v>
      </c>
      <c r="B198" s="2">
        <v>49.518101725441717</v>
      </c>
      <c r="C198" s="2">
        <v>1.2911133027893578</v>
      </c>
      <c r="D198" s="2">
        <v>0.14402153333333301</v>
      </c>
      <c r="E198" s="2">
        <v>1.8459264244590878E-2</v>
      </c>
    </row>
    <row r="199" spans="1:5" hidden="1" x14ac:dyDescent="0.2">
      <c r="A199" s="1" t="s">
        <v>69</v>
      </c>
      <c r="B199" s="2">
        <v>49.075334167191578</v>
      </c>
      <c r="C199" s="2">
        <v>1.3477664815761454</v>
      </c>
      <c r="D199" s="2">
        <v>0.14752978321162247</v>
      </c>
      <c r="E199" s="2">
        <v>1.8806167389320727E-2</v>
      </c>
    </row>
    <row r="200" spans="1:5" hidden="1" x14ac:dyDescent="0.2">
      <c r="A200" s="1" t="s">
        <v>71</v>
      </c>
      <c r="B200" s="2">
        <v>49.177259144576908</v>
      </c>
      <c r="C200" s="2">
        <v>1.2787257904350451</v>
      </c>
      <c r="D200" s="2">
        <v>0.25197879071315032</v>
      </c>
      <c r="E200" s="2">
        <v>2.9549101301152847E-2</v>
      </c>
    </row>
    <row r="201" spans="1:5" hidden="1" x14ac:dyDescent="0.2">
      <c r="A201" s="1" t="s">
        <v>69</v>
      </c>
      <c r="B201" s="2">
        <v>49.213975392267848</v>
      </c>
      <c r="C201" s="2">
        <v>1.3552383622983277</v>
      </c>
      <c r="D201" s="2">
        <v>0.31173766150685256</v>
      </c>
      <c r="E201" s="2">
        <v>2.6331640350075736E-2</v>
      </c>
    </row>
  </sheetData>
  <autoFilter ref="A1:F201" xr:uid="{C1A2D32A-B523-EB42-8C40-C538026A4C02}">
    <filterColumn colId="5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Continuous</vt:lpstr>
      <vt:lpstr>C</vt:lpstr>
      <vt:lpstr>N</vt:lpstr>
      <vt:lpstr>N_multiple</vt:lpstr>
      <vt:lpstr>rawdata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2025-12-28T01:44:30Z</dcterms:created>
  <dcterms:modified xsi:type="dcterms:W3CDTF">2025-12-29T05:27:55Z</dcterms:modified>
</cp:coreProperties>
</file>