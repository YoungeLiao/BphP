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8FC1DEFB-5CFC-7E41-AF5B-41BC22AF6C0D}" xr6:coauthVersionLast="47" xr6:coauthVersionMax="47" xr10:uidLastSave="{00000000-0000-0000-0000-000000000000}"/>
  <bookViews>
    <workbookView xWindow="1200" yWindow="600" windowWidth="26900" windowHeight="15420" activeTab="1" xr2:uid="{1C12CB3A-180B-8345-96E0-5516CFD63A5B}"/>
  </bookViews>
  <sheets>
    <sheet name="Metagenomics_all" sheetId="1" r:id="rId1"/>
    <sheet name="Metagenomics" sheetId="3" r:id="rId2"/>
    <sheet name="16S" sheetId="2" r:id="rId3"/>
  </sheets>
  <definedNames>
    <definedName name="_xlnm._FilterDatabase" localSheetId="0" hidden="1">Metagenomics_all!$A$1:$V$79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16" i="3"/>
  <c r="C17" i="3"/>
  <c r="C18" i="3"/>
  <c r="C19" i="3"/>
  <c r="C14" i="3"/>
  <c r="C9" i="3"/>
  <c r="C10" i="3"/>
  <c r="C11" i="3"/>
  <c r="C12" i="3"/>
  <c r="C13" i="3"/>
  <c r="C8" i="3"/>
  <c r="C3" i="3"/>
  <c r="C4" i="3"/>
  <c r="C5" i="3"/>
  <c r="C6" i="3"/>
  <c r="C7" i="3"/>
  <c r="C2" i="3"/>
  <c r="U73" i="1"/>
  <c r="R16" i="1"/>
  <c r="O16" i="1"/>
  <c r="U79" i="1" l="1"/>
  <c r="O79" i="1"/>
  <c r="P79" i="1"/>
  <c r="Q79" i="1"/>
  <c r="R79" i="1"/>
  <c r="S79" i="1"/>
  <c r="T79" i="1"/>
  <c r="O73" i="1"/>
  <c r="O74" i="1" s="1"/>
  <c r="P73" i="1"/>
  <c r="Q73" i="1"/>
  <c r="R73" i="1"/>
  <c r="R74" i="1" s="1"/>
  <c r="S73" i="1"/>
  <c r="T73" i="1"/>
  <c r="O15" i="1"/>
  <c r="P15" i="1"/>
  <c r="Q15" i="1"/>
  <c r="R15" i="1"/>
  <c r="S15" i="1"/>
  <c r="T15" i="1"/>
  <c r="U15" i="1"/>
  <c r="N79" i="1"/>
  <c r="N15" i="1"/>
  <c r="N73" i="1"/>
</calcChain>
</file>

<file path=xl/sharedStrings.xml><?xml version="1.0" encoding="utf-8"?>
<sst xmlns="http://schemas.openxmlformats.org/spreadsheetml/2006/main" count="1041" uniqueCount="336">
  <si>
    <t>C3_IR_k97_388139_2</t>
  </si>
  <si>
    <t>p__Pseudomonadota</t>
  </si>
  <si>
    <t>g__Methylohalomonas</t>
  </si>
  <si>
    <t>trs:Terro_3380</t>
  </si>
  <si>
    <t>K11354</t>
  </si>
  <si>
    <t>cph1</t>
  </si>
  <si>
    <t>two-component system, chemotaxis family, sensor kinase Cph1 [EC:2.7.13.3]</t>
  </si>
  <si>
    <t>ko02020</t>
  </si>
  <si>
    <t>Two-component system</t>
  </si>
  <si>
    <t>Environmental Information Processing</t>
  </si>
  <si>
    <t>Signal transduction</t>
  </si>
  <si>
    <t>COG2199</t>
  </si>
  <si>
    <t>GGDEF domain, diguanylate cyclase (c-di-GMP synthetase) or its enzymatically inactive variants</t>
  </si>
  <si>
    <t>MNNQFTTDEHDPRVALYEGCENEPIHMPGSIQPFGALLVADEATGKILQASINIENYTGFSANDLLGRHLDEFLGEEQASLIYGVDLAPSFPNMHEPLLVNIINDKGLNRELIITAHKNSGAIILEFERYETEYLNPVTAYHRLLASLVRLGQAETENELLQQAVVEIQALTQYDRVMYYQFHNDGTGIVTNEALADNSVKSYLEHRFPAADIPARARKLYLKNPLRFIFDIDADPVPIKPEKNPLDGRSPDLTYATFRSIAPVHIQYLRNMNVQASLSISIVIEGKLVALIACHHRAARTVSIHARAACQSLSVAISSHLARLRSSSRVLLENETQHALEEFTREIIKGQRFITAFRHHAQTLMTLLGADSLFLKFGDEYISEPKYAGNFTLPPDHEAMQHTVYISDQLGKLWNLPDDQREYLTGGIVINLDEKDYLCFGRAEYLKTITWGGEPSRLSNEDAAAMRPLSPRASFESWKETIRGKSKPFSSREHIVAAEIRKILIEARALEFRRIAEQELRYEATTDALTELINRKELYRRGEEEVQRARRYGRELSVIYFDIDHFKAINDTYGHDAGDAVLRFLATVCRERQRTSDICARIGGEEFVFLLPETGLDDAISFAESLRSLFEDSVVKHDEGEIRFTSSFGVTLFNADSDSSLENTLKRADKLLYEAKDAGRNRVLAG*</t>
  </si>
  <si>
    <t>C3_IR_k97_246401_2</t>
  </si>
  <si>
    <t>nhl:Nhal_2288</t>
  </si>
  <si>
    <t>K07636</t>
  </si>
  <si>
    <t>phoR</t>
  </si>
  <si>
    <t>two-component system, OmpR family, phosphate regulon sensor histidine kinase PhoR [EC:2.7.13.3]</t>
  </si>
  <si>
    <t>COG5002</t>
  </si>
  <si>
    <t>Sensor histidine kinase WalK</t>
  </si>
  <si>
    <t>GIIAGLAIFVLVLWHASRQALGWLRQRDEGSPPELSGSMQELVTEIDKLRQRHRQREERLSQFLKRFQQATSALPDAILILSHDDHIEWANKQAADYLGIHWPQDAGRRLGHLVRHPRLIEYLKQQASREDPGTVTLTSPEDSSLQIEFRVIPHGDNLRLLVARDVSQIHQINQMRRDFIANASHELRTPLTVIVGYLESMEGDMNSSSADLQPAIKQMRNQAERMQTLIEDLLMLSSLETETQDRYQETVSVPDMLASIYTEATTLSGKRKHIVALEVDRELYLYGNQGELYSAFSNIVVNAVQYTPAGGVIRIRWYADDRGAHLEVSDTGDGIAPEHIPRLTERFYRVDKGRSRSSGSTGLGLAIVKHIMSRHQARLHIESELGEGSVFRCDFPPEASAHAHRANQQQGHAGQRPGDQ*</t>
  </si>
  <si>
    <t>C2_Dark_k97_213537_2</t>
  </si>
  <si>
    <t>boz:DBV39_02735</t>
  </si>
  <si>
    <t>MSNDFTTDGPDPRVAYYEGCESEPIHMPGSIQPFGALLVADEATGKILQASINIEDYTGFSTNDLLGKNLDEFLGGEQTSLIYGIDLTPSYLKMHEPLLVNITDGESVNHELIITAHKNSGALILEFERYEPEQLNPLTAYHGLLAALVRLGQAKTENELLQQAVVEIQALTHYDRVMYYQFDNDGTGIVTNEVLADNAIKSYLEHRFPAADIPVRARELYVKNPLRFIFDIDAEPVPIEPEKNPLDGRSPDLTYATFRSIAPVHIQYLRNMSVQASLSISIVIEGKLVALIACHHRTARTVSIHARAACQNLGVTISSHLARLRSSSRVLLENETQHALEEFTREIIKGQRFITAFRHHAQTLMTLLGADSLFLKFGDEYISEPKYAGNFTLPPDHEAMQHAVYMSDQLGELWNLPDDQRKYLTGGIVINLDEKDYLCFGRAEYLKTIIWGGEPSKLSKEDAAAMRPLTPRASFESWKETVRGKSKPFNSSEHIVAAEMRKILVEARALEFRRIAEQELRYEATIDALTELINRKELYRHGEEEVQRARRHGRELSVIYFDIDHFKATNDTYGHDAGDAVLRYLAALCRERQRISDICARIGGEEFVFLLPETGLDDAISFAESLRSLFEDSVVKYDEGEIHFTSSFGVTLFNADSDSSLGDTLKRADKLLYEAKNAGRNRVLAG*</t>
  </si>
  <si>
    <t>C3_IR_k97_210647_1</t>
  </si>
  <si>
    <t>mgry:MSR1_05780</t>
  </si>
  <si>
    <t>K07315</t>
  </si>
  <si>
    <t>rsbU_P</t>
  </si>
  <si>
    <t>phosphoserine phosphatase RsbU/P [EC:3.1.3.3]</t>
  </si>
  <si>
    <t>-</t>
  </si>
  <si>
    <t>COG2203</t>
  </si>
  <si>
    <t>GAF domain</t>
  </si>
  <si>
    <t>PFAALHGHRHSPPMVVNSPSVSPPEAPSSLSDNLEMLARIGQDFAASLDVSRTLERALSRIATLLDAEAASLFVLDDDDRNLICQASVGPVDVTGLRIEAGQGIVGRAVSGNDCQMVRDVRLDPDFARIVDDDTGFTTRSILCAPMSVKDRCVGAIELINKTSGDGLFSEEDRHVLQSLASSAALALINARLTSQLIEQEKLRRELELAAEIQRSLLPVRRGPPFPVCGVNRP</t>
  </si>
  <si>
    <t>Sequence_ID</t>
  </si>
  <si>
    <t>Phylum</t>
  </si>
  <si>
    <t>Genus</t>
  </si>
  <si>
    <t>KEGG_Gene</t>
  </si>
  <si>
    <t>KO</t>
  </si>
  <si>
    <t>KEGG_Name</t>
  </si>
  <si>
    <t>KO_description</t>
  </si>
  <si>
    <t>KEGG_Pathway</t>
  </si>
  <si>
    <t>KEGG_Path_description</t>
  </si>
  <si>
    <t>KEGG_Level1</t>
  </si>
  <si>
    <t>KEGG_Level2</t>
  </si>
  <si>
    <t>NOG</t>
  </si>
  <si>
    <t>COG_description</t>
  </si>
  <si>
    <t>Total</t>
  </si>
  <si>
    <t>Dark1</t>
  </si>
  <si>
    <t>Dark2</t>
  </si>
  <si>
    <t>Dark3</t>
  </si>
  <si>
    <t>IR2</t>
  </si>
  <si>
    <t>IR1</t>
  </si>
  <si>
    <t>IR3</t>
  </si>
  <si>
    <t>Initial</t>
  </si>
  <si>
    <t>Sequence</t>
  </si>
  <si>
    <t>Dark1_k97_445983_7</t>
  </si>
  <si>
    <t>g__Aliidiomarina</t>
  </si>
  <si>
    <t>idt:C5610_12525</t>
  </si>
  <si>
    <t>K21021</t>
  </si>
  <si>
    <t>tpbB</t>
  </si>
  <si>
    <t>diguanylate cyclase [EC:2.7.7.65]</t>
  </si>
  <si>
    <t>ko02025</t>
  </si>
  <si>
    <t>Biofilm formation - Pseudomonas aeruginosa</t>
  </si>
  <si>
    <t>Cellular Processes</t>
  </si>
  <si>
    <t>Cellular community - prokaryotes</t>
  </si>
  <si>
    <t>MTRPAFAELAEYLDLLLEAICVVEPNHRISYVSRGAERVFGYRPDEMVGRMIYEFMHPDYREASLRLAEHVNAGGDVVHFENKYIHKDGHAIDIHWTTRWSEKDQVRVGVARDITEQKRLEVEREALIAKLEAMALTDSLTGLPNRVLFADRADVAISRAKRTRRGFGVLYIDLDKFKQMNDEKGHAFGDEVLKAVGKRLQGSVRPTDTVARLGGDEFVVLVDVGNSQLSLEAAVNTVVKNIDETFAQPLQVKSLSVRIGISIGVALWPFHGNTIEQLMQHADHSMYRRKFAK*</t>
  </si>
  <si>
    <t>Dark1_k97_110139_33</t>
  </si>
  <si>
    <t>oni:Osc7112_5109</t>
  </si>
  <si>
    <t>K01768</t>
  </si>
  <si>
    <t>E4.6.1.1</t>
  </si>
  <si>
    <t>adenylate cyclase [EC:4.6.1.1]</t>
  </si>
  <si>
    <t>ko04113;ko04213;ko02025;ko01100;ko00230</t>
  </si>
  <si>
    <t>Meiosis - yeast;Longevity regulating pathway - multiple species;Biofilm formation - Pseudomonas aeruginosa;Metabolic pathways;Purine metabolism</t>
  </si>
  <si>
    <t>Cellular Processes;Organismal Systems;Cellular Processes;Metabolism;Metabolism</t>
  </si>
  <si>
    <t>Cell growth and death;Aging;Cellular community - prokaryotes;Global and overview maps;Nucleotide metabolism</t>
  </si>
  <si>
    <t>MSRVNNDKQVKNVCAADDSARLEALRRYNILDTDYDPRFDDLAELGAFICNTPIAVINFVDKDRQWFKSEIGLGIRETELDISVCAHAILQPGLFVVPDMTKDPRFANNPLVTGEPHLRFYAGALLETDDGFPLGTFCVLDYQPRELSTEQEKAITTLARQVMTQLELIRTNEQQRETLKSLQRSNKLLEIEASTDELTKLANRRAITHALQYELALMQELGRKSAALLLDLDFFKQVNDAHGHLVGDEVLKEFAEFCNHEFRSSDMIGRWGGEEFIIILPGSNLVTAEKIAARFQRKLNEHTFAKHHQVKLTFSGSLIELSPLLSARATFKRLDDNLYRAKQQGRNQIILVKD*</t>
  </si>
  <si>
    <t>Dark1_k97_100285_16</t>
  </si>
  <si>
    <t>dgg:DGI_2595</t>
  </si>
  <si>
    <t>COG2202</t>
  </si>
  <si>
    <t>PAS domain</t>
  </si>
  <si>
    <t>MAGAFLDDMKSAKPQSFDFGLLQAIGHHLPCFVYQLRQSAEGDYQFLYISDNCLDIVGLNAADVMADSDTLISRIHPDDRAHVFSGTTVAVKENLGWQAEFRVIKPNQEIVWVEAFDVFERNPDGSVVFYGYAMDITKRKNNEIKLAASEADFRALVESANDIIYTIAPDTTITYVSPTWQDILGHHLNDVVGKTFDNFIFADDLQRCYDFMEKLISTRQKQSGLEYRIRDIHGNLQWHTTNASPIFNDDGTIKKFMGIAREITDQKTQQQHIQQLAHYDVLTQLPNRSLFFDLLDHQLKVSQREGYNLALLFIDLDFFKPVNDQHGHAVGDEVLAKVAKRIGRVLRQSDLIGRIGGDEFLVALPGFYDRAALEPAALRAAEKVRNAICETIYVQDLRIELAASIGIAFYPLHSESISELTRLADRAMYDAKRQGKNKVAVFNPIDHQSR*</t>
  </si>
  <si>
    <t>Dark1_k97_25963_2</t>
  </si>
  <si>
    <t>vvm:VVMO6_00616</t>
  </si>
  <si>
    <t>K21024</t>
  </si>
  <si>
    <t>bifA</t>
  </si>
  <si>
    <t>c-di-GMP phosphodiesterase [EC:3.1.4.52]</t>
  </si>
  <si>
    <t>MANKSVSSARDERAHSKSETTSSSSSATEAALTESQASSAMTNKEWLNTLYNSLIDAVLVTDLRGTIIEVNQAVTAMFGYEYQELVGCNVGILMPAAMAGQHEQLMQRALDYPEGKNYVIGKTRELEAERKNGSRFPITIHLSKVAWGAEHRYIATLRDISEERKAAETIETLSLFDRNTGLPNRTHFLKLVAHILKEQSIKVVAVNMDFFNRVNIVAGPDESNQILRVIARRLEHFVASFGGFVGKDIEDRFWLAVPVSGNSAGEFRHDRSKALLALLRQEVIVQGRSYYFTGSIGLARADRGNEASQVIANAETAVHEAKANGRDQYSEYKRVMTAQVVDDFRREEQLRHAIEKGHLECWLQSKVDANQRWVAAEALVRWRHYEEWIPPNKFIPLAERLGLIVPIGQFMLESVARILPRARALFPNFEIAVNVSPRQFRSEHFAENVIRTFQRLNAPLEGLKLEITESLLVDDSDQVQQTMERLKAHGVTFSIDDFGTGYSNLRRLQWMPVGEVKIDRAFVHAGMQSERERALLDTIVTMGANLSLERVAEGIETIEQFEYLRELGCQQFQGFYFHRPEPALDWLKKLSELKVSE*</t>
  </si>
  <si>
    <t>Dark1_k97_374844_8</t>
  </si>
  <si>
    <t>MSQGNHAHIDAELGALIDACEKEPIHIPQAIQSFGALLVVSADWSKVIAYSDNIQTYLPWVAPSELSPFAQQPQAILPDVFWQAASLAEQDNVDVFWEVCENLSYFAWKQENHWVVEVETYLADRHNWFDVQLQRGLAKLKKCNSHHELIQTLTDVTQKYTGYERVMLYRFDEDWHGEVIAETLRGSLTSMLHHHFPASDIPPQARAMYYQNPVRLIPNSHSAPIPLIIDSAERPPFNLSRGSLRAVSPLHMQYLQNLGVAASASIAVFQDQKLWGLLACHNSKPLVIQPRQRLLALRLVEYASERLWLLHSRQVERYLRRVHDAREALAQSSPVQSSPHDLVEQHAERWLELLRSDGLCYTRGDQATLCGAVPSEPEIQALVQWLEKNNGDHLFWYTHELQDSVPGLLKSDSPFAGLLAIPLKVHADTFSYLLLFRKEQKLQRKWAGSPEKMKVETNAGTMLGPRKSFSLWAEEVRGKSMPWRTAQLYAARDLARDLLIVADSIQLSILNEKLVKLASYDDLTGVLNRRRMEEHLTTFLNTSQRYKRHFGVLLLDLDHFKRINDTFGHNAGDDVLIEVCATIQGTLRETDILGRWGGEEFMIIAPETTYPDTLHLAERICRKVAEGEWPKLPKVTVSIGVAHFESDTTWDPIVDRADKAMYEAKQQGRNRVASRLKQKKETE*</t>
  </si>
  <si>
    <t>Dark1_k97_404460_12</t>
  </si>
  <si>
    <t>hhf:E2K99_17045</t>
  </si>
  <si>
    <t>K21023</t>
  </si>
  <si>
    <t>mucR</t>
  </si>
  <si>
    <t>COG5001</t>
  </si>
  <si>
    <t>Cyclic di-GMP metabolism protein, combines GGDEF and EAL domains with a 6TM membrane domain</t>
  </si>
  <si>
    <t>MSETEHRLSFARMIARISARFVATKVTEIDQTIIESLAEIGSFFHADRSYIFEFSDHLEFADNTYEWCADGIQPVIQDLKNIPMTGFDTWIESWYAGHSIPIEDVLELPEHSPERALLEPQGIRALIMVPLPSENSLLGMFGIDLTKQPYRWPQEQVALLQVVGEIIAGAIQRKYSNDSHRLRELVAKLAVRFINLPTDSVDKTITSSLNQISELLDFSVLEFLHEPPATVTKLIEEKQRKVFRVAPEKLPEYATEQSSALVVRVQSLAKNYGAIIAVHNSQRLFRDARILESLVLIADLIAGTLARKETEQQVERLAYFDELTGLPNRAMFVRYLTNFSEEPSSSLGIGHGAMLFLDLDHFKRSNDNLGREFGDRVLIETAERIRQLLEPNELVARLAGDQFLVCLRSHHADKADFEIARRIESIYQALNEPYRIAGHVYHGSVSVGVIYLNQANSVEELLTLSEMALHAAKAKGRNLVEYYQPQIQADAIARAALYDELRDAIDEGQFVVYFQPQMNGLGEVVGCEALVRWQHPYRGLLSPSEFIEFAEETKLIVGIGRCVLDAACNAIHELEAHGFDYPVSVNISVEQMYEDGFVAEVIALLAAKQIPPQRLCIELTESSMIKDTQTVTECMHALRAAGVSFSLDDFGTGYSSLAYLKSLPIQEIKLDLRFVRDMLKHAQDAAIAKLVFALARELDMDVIAEGVETQEQYEFLRQLGCKYYQGYLFARALPLADFIAFSRSNGTESV*</t>
  </si>
  <si>
    <t>Dark1_k97_481346_4</t>
  </si>
  <si>
    <t>mbur:EQU24_16685</t>
  </si>
  <si>
    <t>K13924</t>
  </si>
  <si>
    <t>cheBR</t>
  </si>
  <si>
    <t>two-component system, chemotaxis family, CheB/CheR fusion protein [EC:2.1.1.80 3.1.1.61]</t>
  </si>
  <si>
    <t>ko02020;ko02030</t>
  </si>
  <si>
    <t>Two-component system;Bacterial chemotaxis</t>
  </si>
  <si>
    <t>Environmental Information Processing;Cellular Processes</t>
  </si>
  <si>
    <t>Signal transduction;Cell motility</t>
  </si>
  <si>
    <t>MELTTTGVVLSVLLALVSLLCAGVFAQKLKQFRRVRKVEAELLHCAMSDAQWHDKLTAVCRLIETKHEGAHATVMEVASGGDTLACIAHARLPASFAEHLQQLPIADGIGACGTAAARNEPVLVADMYADSRLSDYLPLVKAYQLRACWSHPFTNQDGAVAGTIAVYFTEIKVPTQQALDVIGQALDWVALILQQKQERERRQASEAQMRILERGIEASVNGIVIADARKPGNPLVYINPAFARITGWSQEEMLGKSCRLLQGEDTDPRAIEQIRNRLRRFKEVQTVIRNYRKDGTPFWNDLYIAPVKDTEGVVTHFIGIQNDISERKHQEERIAWHATHDTLTELPNRALLADRLDQALRFVRRYHLQLTVMFIDLDGFKPINDTLGHAIGDKVLKIVAKRLTAVLRDGDTLARFGGDEFVVVLPNAGNTDEVNAIAERLLVSLAEPYDIEGKALTLTASIGIAQGNEDIQEPNVLVQQADMAMYKAKRRGNHNFEWFSHDINSKVERHVVVRHELQEALNNDEFRLVYQPMTNAAGEMRSVEALLRWQHPQQAEVSPAEFIPIAEHTCQIISIGRWVFEQVCRDMGRLIQLGVQTVSVNLSPLQLSRNRFIEDLDTTLAKYQVQPEQITLEITENVLVNELTHAPELLQALHERGFTIALDDFGSGYSSLRYLHELPIDVVKIDRVFTQQIGLKNGKESIVRAIMAIAAELKLKVIAEGIETAEQLDFLQARHCDGYQGFYLGRPVPIQELIQYAPA*</t>
  </si>
  <si>
    <t>IR1_k97_315807_10</t>
  </si>
  <si>
    <t>jes:JHS3_04240</t>
  </si>
  <si>
    <t>MASNFTASQKAGTGVAGNISAESMFLRLADALTRSGYSDFFNTLVLELGKILDVEYVLIADTVESPMTARTIALMAHGELLNNISYNLKGSPCETVPERESCAYEGGVVELFPDDHLLVELNVQSYIGMPLLTSDGRKLGILSAMSTQAIHFDELAREVLRIAAAQVGSELERSSQQEQIKALTYRDSLTGLTNRRGLHELLLDHQPETIFLADVRRFKAINDVYDSGVGDEVLRAVADRLRQYVSAETIVARVSSDEFAILPVAADLASQVTAGLSFIEQAEAYGREIALWFEAPILIDNNEFHIDFTIGCASQPAAMSEHDKTLTGAEILRRASVAVADAKARQQDFAFFNTSMMSAMEYRQLLFERFRKALREEQFELYYQPVFALDERKVVGAEALCRWYDDEFGWISPLDFIAIAETRGLMQSLGDWVLKEACRQLVAWNTAGHPLPGRLAVNISNKQLESNDVVERFQAITANVAKENLLLELTETAMMRAPELNSKRIRQLHDVGFHWAIDDFGTGYSSLSYLSQLKASVLKIDRSFVSKIGNNPQDESIIQAIIAMAKALQINLIAEGIETDAQLEYLTKHGCNDGQGYLLGRPVPASEFAQLWLT*</t>
  </si>
  <si>
    <t>Dark1_k97_375359_3</t>
  </si>
  <si>
    <t>tor:R615_07820</t>
  </si>
  <si>
    <t>K11527</t>
  </si>
  <si>
    <t>two-component system, sensor histidine kinase and response regulator [EC:2.7.13.3]</t>
  </si>
  <si>
    <t>MKDNESGKIIKGLVEGDTVSVISPSLLTEIFDSFEDAVVVTDTNRCMVYVNSATERLFGYSEKELYGEKTKMLYADEGDFSEQGRKRFNVASKRAVDNYRVSYRRSDGEQFFGLMTGATMRTSDGEVTGFIGIIRPARTADQSLDTLQKIHNITSDVTLSHNKKIESLLRVGLDHFGLEIAIISHILGSNYTIEHCVDLQGELEPLTTFDLSGTYCIHTLNENETLGFHFASKSDIKNHPCYKNFKLESYIGTPIRLSGHLYGTVNFSSPSPVEPFCKDDHILMDLLSDTVSYLLYKNQSEEDLERLAKVDELTGLPNRRATMERLNQLIELSERSGHNLSVLSIDIDHFKNINDKWGHATGDLALTVFASLASGLGRKTDFCGRIGGEEFIFVLPGGDLEASKEFGNYLRKHLAESPIILDSGESIRLSISAGYAMLEDGESLEGLLARADKAMYKAKQEGRDRVCRAAHYNRID*</t>
  </si>
  <si>
    <t>IR1_k97_65739_7</t>
  </si>
  <si>
    <t>MTRPAFAELAEYLDLLIEAICVVEPNHRISYVSRGAERVFGYRPDEMVGRMIYEFMHPDYRDASLRQAEKVNTGGEVLHFENKYIHKDGHAIDIHWTTRWSEKDKVRVGVARDITAQKQLEAEREALIAKLEAMALTDSLTGLPNRLLFADRAEGAITRAQRSRRGFGVLYIDLDKFKQMNDEKGHAFGDEVLKAVGKRLQKAVRPTDTIARLGGDEFVVLVDIGPSQLAPEAAVGTVVKHIEDVFAQPLQVKSLPILIEISIGVALWPFHGSTIEQLLQHADQSMYRRKFAK*</t>
  </si>
  <si>
    <t>IR1_k97_43275_1</t>
  </si>
  <si>
    <t>cbx:Cenrod_2640</t>
  </si>
  <si>
    <t>FKIKGRRTVGFCQWRQASIWSRTSCCLRSWKPRPIRAGSSHGRHGTDNNGCIAHARLPASFAEQLQQLPIADGIGACGTAAARNEPVLVADMHTDPRFRDYLPLANAYKLKACWSHPFTNQDGAVAGTFAVYFTEIKVPTQQALAVINQALDWVALILQQKQERERRQASETQMRILERGIDASVNGIVIADARKPGNPLVYINPAFARITGWSQEEMLGKSCRLLQGEDTDPRAIEQIRNRLRRFKEVQTVIRNYRKDGTPFWNDLYIAPVKDAEGVVTHFIGIQNDISERKQQEERIAWHATHDTLTELPNRALLADRLEQALRFVRRYHLQLTVMFIDLDGFKPINDTLGHAIGDKVLKIVAKRLAAVLRDGDTLARFGGDEFVVVLPNAGNTDEVNAIAERLLVSLAEPYEIEGKALTLTASIGIAQGNEDIQEPNVLVQQADMAMYKAKRRGNHNFEWFSHDINSKVERHVVVRHELQEALNKESIVRAIMAIAAELKLKVIAEGIETAEQLDFLQARHC</t>
  </si>
  <si>
    <t>IR1_k97_193049_3</t>
  </si>
  <si>
    <t>MSHGNHAQVDAELGALIDACEKEPIHIPQAIQAFGAMLVVSADWAQIIGYSKNIEDYLAWVKPSVTSPLTQSPSDILPENFWHAANLAQQDNVDVFWEVCDTLSYFAWKQDNLWVVEVENYQADRHNWFDVQLQRGLAKLKKCNSHHELIQTLTDITQKYTGYERVMLYRFDEDWHGEVIAETLRGDLASMLHHHFPASDIPPQARAMYQHNPVRLIPDSKAASIPLVLGSVDRPPVNLSRGNLRAVSPLHLQYLQNLGVAASTSIAVFQDQKLWGLLACHNSKPRVIQPRQRLLTLRLVEYASERLWLIHSRQVERYLRRVHDAREALAQSSPIQTSPHDIVEQHAERWLELLRSDGLCYIRGDSSTCVGEYPSEPEIQALVQWLETHNGEHLFWYTHELQDTVPNILAKDSPFAGLLAIPLKIHADTYSYLLLFRKEQRLQRKWAGSPEKMKVETNAGTMLGPRKSFTLWAEEVRGKSMPWRTAQLYAARDLARDLLIVADSIQLSILNEKLVKLASYDDLTGVLNRRRMEEHLTNFLNTSQRYQRDFGVLLLDLDHFKRVNDTFGHNTGDDVLIEVCAAIQGTLRDTDIFGRWGGEEFMIIAPETSYPDTLKLAERICKLIADSAWPNLPKVTVSIGVAHYEQDTIWDSIVDRADKAMYQAKQQGRNQVASRLKTKKET*</t>
  </si>
  <si>
    <t>IR1_k97_256620_4</t>
  </si>
  <si>
    <t>dba:Dbac_1035</t>
  </si>
  <si>
    <t>K03320</t>
  </si>
  <si>
    <t>amt, AMT, MEP</t>
  </si>
  <si>
    <t>ammonium transporter, Amt family</t>
  </si>
  <si>
    <t>MALSSERIIKLIGQNADADTLLTAITQWVSTHIPDALISIMLFSEERQTISMCPSTHFSEHYVNTLQEIAIGPHVGSCGTAAYRRELVITEDIFQDPNWDGYYELAEAEGLAACWSKPVLTTQGELYGTFATYYRQPRRPSAEEIDVIERAAALVALALAHQEEHLARVSTDQRYLSLFKHHPDAVFEMDLHGRLTTINPAGVNITGFSSEQVIGQHYNAFVTEGFRQLADRSFELAKEGHPQTYELSVYNSSGSIYWLEITNLPIIVNEQLIGVFGIGRNITEKRSLLDQLNLLQRGIEASPNGMAMSDARKRGMPIVYVNPAFLQITGYRAEEVLGKNCRFLQGPDTDPETIEILRQGIKRQREVQVTIRNYRKDGDWFWNHLTVSPVFDKQGLCTHYIGIQQDITHQREQEELIAAQRSHDTLTGLLNRQSFEVRIEQEGRLPHGSQYMPMVMYIDLDDFSSLNKSLGHQVGDSLLVEVSGRLKTLAQEHDLVARVAADEFAFYLATNRSKQSAIDVAETILKVLAQPIQIGEHKLHVSASIGLCELQSAHQPAFDALQNAIAAMTEAKSQGRNTWYWFKEEQDSLGSEYASLRREIMEAIEGNQFTLHYQPLLQANDSVVVEVEALVRWQHPERGLVPPGLFIPLAEKTGQIVTIGGWVLRQACADIARWNQEHQQTLKVAVNISPLQFRRFGFLDEVKAALSLSGLAPEYLELEVTESVLLLGAEKTIEILKEIRALGVQVAIDDFGTGYSSLSYLRSLPVNKIKLDRSFIQYLPTSAEDAAIVQGLINMAHLLRLQVVAEGVETAEQAEFLQANACDLLQGFYFAKPAPLSLLERDLVGSKG*</t>
  </si>
  <si>
    <t>C1_Dark_k97_502070_13</t>
  </si>
  <si>
    <t>g__Halomonas</t>
  </si>
  <si>
    <t>sinc:DAIF1_12170</t>
  </si>
  <si>
    <t>MKEPADHLDQPQRLTDRVRVEQIHHLYAGLPSVLVITSLLALLLFGFQWPVVDQRWLTAWLIGLLSVNVGRTALLLHYRRHRASIRRPGAWHSAYCVFAFLSGSMWGLSAWIVFPVEQPAYLALTTFIIAGLGVGAVISVAASWLAAWLFLAPALLPFLVRFLLLEGPGSRVTASTIGLFIIALLVLGRRLNRTTVNTLRAHQERADQFADWRRQQRHYRSLVESTSAILWEAEPVNLRFSYISPEVSNVLGYAPERWTGEAGFWKDHIHPEDRDWAVQFCLDAVEECRDHSFDYRMLAADGRVVWLRDVVKVEVRDGRAVRLVGAMIDISELKQTQQRLEYVSGLQQLMVETSRRFMRSSGHPSLDRIISRSLKEIGEYCGADRAYLIQFDDSSMTHYTNTHEWCAEGIGAEIDNLQHVSIETIPRMHNALLERRPVHLPDVPGLGDDWACERELLLEQSIQSLIVVPVLTLDRLLGLVGFDSVGRKRSWDAREIFLLQVLGDLVGAAVIRARADQALRDSEALRVNAESLAGMGSWEWLIDDDRFLASAEWQNVTGLRQAVLSSQQVLCLTPGPERDYVARALRESLATGQPYDTEHRIVRPDDGQTIWIKSHAEVIWDGDQPVKLQGFIQDITARMQAQEKLYHLAHYDSLTELPNRVLVLDRLEQSLKRAQRHKQQVAVLFLDLDQFKNVNDSLGHDAGDRILTQAAGRLRELLRQNDTVARIGGDEFLILLDAVDDLSQPATVAEKILAAFHNPLSLADRELVLTVSIGIAMYPSDGLNAHDLMRNADTAMYHAKQSGRDGFQFFTTSMNVQVARQLAIDGALRGALDRHELYLEYQPVVRLPDRRIVGAEALLRWTNCELGTLAPDVFVPVAEQIGLIETIGQFVFARGIEALAGWRNSGQRNFHLSINVSPRQFRDPRLAEWILDCLRQNKVPGSALSIEITEGAVLAAKRTTQNTLKTLREAGVGVVMDDFGTGYSSLSYLSDYPFSSLKIDRRFISTIDRNPQDRQLVISALRLADSLNLSAVAEGVEREEQLEVLLAEGCRYAQGYLFGSAAGREEIDALLTAGSTLPIQS*</t>
  </si>
  <si>
    <t>Dark3_k97_342930_21</t>
  </si>
  <si>
    <t>mic:Mic7113_1153</t>
  </si>
  <si>
    <t>COG3829</t>
  </si>
  <si>
    <t>RocR-type transcriptional regulator, contains PAS, AAA-type ATPase, and DNA-binding Fis domains</t>
  </si>
  <si>
    <t>MKRSPLISPDLLERIVDASEDGIVVAEQEGDENILIYVNQGFERLTGYSADEILYQDCRFLQNDDRDQEGLVAIRKALAEGRPCRTVLRNYRKDGTLFWNELSITPVHDEDDNLTYYIGVQKDVTERVEAQLELERLKAEHGLE*</t>
  </si>
  <si>
    <t>IR1_k97_181422_2</t>
  </si>
  <si>
    <t>tsy:THSYN_27185</t>
  </si>
  <si>
    <t>MLPDALVYIMRFDPAQNTLSLVSSPRFSAGYIAQMQNIEIDPAIGTCGRVAFKRHLVVTGDIDTNPNWKGFRELAHAEGLRACWSMPILSAKDEVLSTFATYYRHPATPSQNAQNCLARSASLATLVLLRHRDK*</t>
  </si>
  <si>
    <t>IR3_k97_195661_1</t>
  </si>
  <si>
    <t>mmob:F6R98_07540</t>
  </si>
  <si>
    <t>MWLSVSLNRPLVWMALIALPACVWVPDSALRMVAASLVAFGMWDAWSQIRQQHLRLRLSQDAIGLASDAIVISDVHNRVLTVNPAFTQITGFESQEMVGRKLETLAAQRHDKAFYQTFWSTLKATGRWEGEMWNRRKHGDEYPEWLKVRAVTDKRGKITHFISLFTDISSQKARERDLRRIGYEDPLTGLPNRRRLHDLMSSRLRHLRAGESLDMALIDIDGLKSVNDSLGVEQGDRLLARFAQRLTGYMAGSVVGRLGGDEFMVIRTTTFDDHDQWVATLREHMSRPFEIKDQSLRLGLTIGSCRAPEDGSDSGV</t>
  </si>
  <si>
    <t>Dark3_k97_22984_34</t>
  </si>
  <si>
    <t>hcam:I4484_06595</t>
  </si>
  <si>
    <t>K14986</t>
  </si>
  <si>
    <t>fixL</t>
  </si>
  <si>
    <t>two-component system, LuxR family, sensor kinase FixL [EC:2.7.13.3]</t>
  </si>
  <si>
    <t>MVGKDDSAARLAALEARCAELEEHNRTLAAQRDHYQWLAESSTDLISRHARDGTFLYASRAARDLLGYEPEELIGVSAYDLFHPADLADLLNKSPRVYYHDGFYQQTYRFRARDGHYVWFETTSRTRRDPQSGELLDILCVSRDVGRRIHAEANRERLARVVESTTEFVLFMDDDERLFYANQATRHLLQLPRTGGTAHLADAYVEGSLTDLRDIVLPAVARYGSWSGELEMRGPEGPVPVLSVVMAHSGPGSEPGHVSLLNRDIRLRQAAEEQARQHQAQIAHAHRLATTGELASNIAHELNQPLGTIANYASGALLKLDAGQPAEALRLPLERIQAQVERLAERLRHIRSFVRKGQVRSRPVTLAEVVDAACRLCEWQYQQARVDLELVIADPLPRVVADPVALEQVLVNLLLNALEASREQPRAGRVEIRAWRSGRREVTLTVNDRGPGVPLDQAESIFAPFHSSRAEGLGMGLAISRSLMEAMGGNLRLLSPDGSGGATFAATLLAEPSHADAMTRP*</t>
  </si>
  <si>
    <t>IR1_k97_168993_3</t>
  </si>
  <si>
    <t>apac:S7S_08825</t>
  </si>
  <si>
    <t>K21019</t>
  </si>
  <si>
    <t>sadC</t>
  </si>
  <si>
    <t>COG3706</t>
  </si>
  <si>
    <t>Two-component response regulator, PleD family, consists of two REC domains and a diguanylate cyclase (GGDEF) domain</t>
  </si>
  <si>
    <t>MTPKAVNIAHWWQLAPSGLIIVDGQGCILQVNQTLCHWLGYAENQLVHQPVSTLFTTEARLLYQGVLSFRLSDVGAVDEIHLNLRTESGEPFPVLSSARRLTAPDPPLTLLAMLPIARMDKLERERLESRQSDRGTLEENRQTIAALESMRIKLESHNQELHRLTLRLAQEARSDPLTGLPNRRHFDLVLQERLASAFVNQAPKVFSVAILDIDLFKPINDNYGHAVGDQVLQQLARLLTSLIQGSDLVARIGGEEFAFLMSETSLEEAGKALEGLRHAIEVHPWLPKPITASIGVTSYLLEDTSESLMARADRALYMAKHLGRNNVAKG*</t>
  </si>
  <si>
    <t>Dark3_k97_150885_1</t>
  </si>
  <si>
    <t>hhao:QWG60_16320</t>
  </si>
  <si>
    <t>MQARVTAEAAFRLLADGMSRATGDTFFVTLVAKLAEILDVDHVLVARVGDDHRAHTLAVWSQGGPAPNLSYDLIGTPCETVAGQEVCLYPEGVQRRFPDDELLQRLGAESYLGLPLFALDGRPLGLLAVLNNRLMQLAGLESEILHIAAAQASAQIERSQTSQALQRSEAVARESERRLETLLNHLPGMAYRCLNDADWTTLVVSQGAEALTGYRPEALLHNREVSYAALIHPLDRAKVDTAVEEGVAARSPFRVVYRLRIADGQWRWMLEQGQALYDAEGEVKVLEGFISDITEQYEAQRVQDAVARVAAAITTRIGDGYFHQLVRHLVEILEADAGFIATFTQQDSRRQGTASVAPCHLTTVSVVGDGGRLENHAFDLSASPFAALMTTPECAEQADPPLRWPGLAEEQAAWIGRRLDNTLGEPVGIIVVLYREPPETNGFASSVLRILSSGAAAEVERRQDHRRMRQLAYFDGTTGLANRVRFMEDLVAMRDAAERELKPLGLMLLDIRRFKEINDLHGHQLGDSLLSTLAGRLQRSVAPGEALARLSGDEFALLVPDATPERIEQCVARMRGVIARPIYLEHHAFSLRVSIGLAGYPRDARTPGELFKAASIALYHAKREDDGVCPFSASMHRDLERRQQMTERLGEAIREDRLALYYQPQIDLRTGELTGAEALCRWQDAQWGWVSPGEFIPLAEERGLIRPLGDRVLEQATRQLLAWGEQGLTLPGRLSLNISAQQFADPHLAEHIQRLTAGLSTTAIALELTESDFMRDPEQAVVITQALRKAGFTLAIDDFGTGYSSLAYLRRFSAQALKIDMSFVRHMLANPHDRTIVDTVIAMA</t>
  </si>
  <si>
    <t>IR1_k97_108725_4</t>
  </si>
  <si>
    <t>halk:CUU95_07865</t>
  </si>
  <si>
    <t>MPIDLQALYPKLVHLMLDTVFVVDKDHQILFVSDACESLLGYRADELTGTLITHYMHPDDLALTQASIVRVMSGQQHIDFRNRYLRKDGSTVHILWSARWYEDEEVRIGVARDVTALIQAEEELRFLAHHDPLTKLTNRSLFYDRLVSGLGAAHRHQSGLALLFLDINDFKLINDTYGHAIGDEVLCTVARRLESCLRQTDTAARMGGDEFTILLTGIQSMEAVTHKVNQILAIMAEPLGAEFGAINMPSCSIGTACYPADGDDADTLLRHADSAMYRVKMHR*</t>
  </si>
  <si>
    <t>Dark3_k97_105483_35</t>
  </si>
  <si>
    <t>tsy:THSYN_02150</t>
  </si>
  <si>
    <t>MQDEFSLLEAQQLIHELIAQRAPLERTLDAIANWLNMVLPDATVAFMRYEPRRCTLSLLPSHRFSTFYTKRLQDVPVAPGVASFGTAAFERRLVVSENIATDPRWEALREAALAEGLRSCWSSPVMTADGALLGTFGTYYPTPRKPTPEGRRWLQRAAAMIALAMLRDNDIREHRSLSEWHRSLFVNHPDGVYEFDLEGYIQRCNAAFERITGYPEAELIGRHYNELVYPAYRQLTREGFATARRGEAITYETRGTHAGQFVYDLEVTNFPVTIDGEIAGVYGVCRDITERKRQIEDLRLLKRGFDASPNGMLMVDARQPDMPIVFANPAFTTMTGYPTDEVMGKNCRFLQGPETDPTAIAEIRAGIAEQRDVEVTLRNYRRDGTPFWNHLIVSPVFDEEDRCTHFIGIQQDITRQKEQDAQIAYQATHDLLTGLPNRTSFTNRLEASFHQCQQRQGVMAVMYLDLDGFKPINEGLGHHVGSQVLVAVAQRLKALLGDNDSLSRLVGDEFGILLLDYDNSAVVKALAKRMLDALAQPFEVDGQLVQLSVSIGIACNCLSPEQPHELMQHADLALQQAKRQGRNTWQWYRGRRVESTRHSVVMRHDLHAALKEDQFELHYQPLVDAASGQIRSVEALVRWHHPSRGMVSPGEFIPLAEHTGQIIPLGRWVLRQACQEMAELQARDGRALPVAVNISSLQFHRDGFLDEVRHILATTGLPPELLELEVTESVLLDGAEPVIELMETLKAMGVRVALDDFGTGFSSLSYLRDLPTHKVKLDRSFVQKTLTDRRTAAIVQGVITMAHHMDMVVVAEGIETPEEQEDMVRRECDLLQGFLFARPLPLAALRQLPDCLPEPHS*</t>
  </si>
  <si>
    <t>IR3_k97_235870_2</t>
  </si>
  <si>
    <t>acip:CBP36_14475</t>
  </si>
  <si>
    <t>K21084</t>
  </si>
  <si>
    <t>yegE</t>
  </si>
  <si>
    <t>ko02026</t>
  </si>
  <si>
    <t>Biofilm formation - Escherichia coli</t>
  </si>
  <si>
    <t>COG0745</t>
  </si>
  <si>
    <t>DNA-binding response regulator, OmpR family, contains REC and winged-helix (wHTH) domain</t>
  </si>
  <si>
    <t>MLYGGHQNNNTQMTEDDAEQGADERLRSVENALQVERGWAKATLNSIGDAVLTTDLSARVTYLNRVAEALTGWTSAEALGKPIDQVLKLVHIQTYEPAPNPALRAIEENRTVGLALDCVLIRQDGSQLEIEDSAAPIHDSHGVTVGAVIVFHDAKHSLTRAEQLAYQAHYDALTKLPNRFLFAEHFARAIRLAKRHDHYVALLYLDIDNFKFINDSLGHTVGDSLLQFVATCLSECIRDTDSVCRQGGDEFIVLLSEIEKLSDAARVAKKILRALAMPCCVGHYKLGISVSIGISLYPDHGANEHSLLENADTAMYRAKKSGRNQYQVFSHDMGNKIGQYKHKER*</t>
  </si>
  <si>
    <t>IR1_k97_187739_4</t>
  </si>
  <si>
    <t>halk:CUU95_06295</t>
  </si>
  <si>
    <t>MAALGACLGWLLGMPGLGVAAGLAVCLVYQLRQLRALFKWLTLHPHDEPPAASGMWGELFDRLYRYQKSQRITQNRLRATLARIQESSEAMRDSVVMLDRHGDLEWWNSAATEMLGLQTAHDRGQHITNLLRDPRFISYFNARKYGEPLTLTSPIDERHILQYQITLYGDDERLVMARDITRLHRLEQMRRDFVANVSHELRTPLTVLMGYLETYSDLKEQLPPRLGRGIAQMEEQTKRMQNLVNDLLLLSRLEIDQGGEDHHALALGPMLDSIRRDALALSNQRHNVQVALESDARLIGSEQELHSAISNLVFNAVRYTPEGSQITLRWKTMPNGSACIEVDDDGEGIDPVHIPRLTERFYRVDKGRSTATGGTGLGLAIVKHVLLRHDALLQIESHPGEGALFRCVFPSSRVVKSESASRNAV*</t>
  </si>
  <si>
    <t>IR1_k97_275974_3</t>
  </si>
  <si>
    <t>MKRSPLISPELLERIIDASEDGIVVAEQEGDENILIYVNQGFERLTGYSADEILYRDCRFLQNEDRDQDALTSIREALKEGRPSREVLRNYRKDGTMFWNELSITPVFDEADNLMYYIGVQKDVTERVEAQQALAALQKRQELTE*</t>
  </si>
  <si>
    <t>Dark3_k97_45140_9</t>
  </si>
  <si>
    <t>qau:KI612_18090</t>
  </si>
  <si>
    <t>MARPPYLQIPPWLWLIALVGVLLSLATAQQARRDAEAEAMQRLAFSADQVTLRVEERLAAYALILRGASALFDASETVDRGEWRTFVEGLQASALLGNVEGIGFARHVPADRLAGYLATVRAEGFTDHAIAPSGEREAYGPVHYIEPFSGRNRHALGYDMFAEPIRRAAMERARDTGKATLSGRVELVTEQGEPQPATLMYLPVYRREMPGASTAERREALLGWVYMPYRMYDLMAGILGDHDWSDGQPLVLSLHASEGDTRGEPLYRSAAQPAPTSTFQQTRHIDIAGQTWRLLFRHRAPGAAADLTAAGWRLAGGLLLTLLLCALIASLQGTRARALAMTQALTRTIRQRETQLERAVSRLRTIAGRIPGVVYEFRLEPGGHSRFPYASDGMRQIYGVAPEQVQDDATPVISAIHPDDRDAVVVSIARSGETLTPWRQEYRVHLPDGRLQWVFGDALPHAEADGAITWYGVITDITERKQAEFALHAAHLETRRFREALDHVGSYIYMKDRDYRYTYANRATLTLFGCDAESLIGSEDAHFFSTDTVARLHALDRRVLAGEQTTEEVVTRDADGNRRVFLEIKTPIRDGEEIVGLLGISSDITLIKEHERQLEYLAHYDALTGLPNRVLLADRLGQAMAHEQRLERSLAVIYLDLDGFKSINDRFGHAAGDHLLVTLAKRLREVVREGDTLSRLGGDEFVAVLVDLPDTRLATPLLRRLLEAAAQPVWYEGQRLEVGASLGVTFYPQAESVEADQLLRQADQAMYQAKLAGKGRYHLFDPEHDRSVRSHHESLERLQQALEKEEFVLHYQPKVNMRSGEVIGVEALVRWDHPECGLLAPGQFLPIIEEHALAEALGEWVIRRALAQAAAWRRAGLELPVSVNMAARQLRQRELPARLAELLAEQPDLPEGSLELEILETSALGDLALISELLEECRRLGVQVSLDDFGTGYSSLTYLKRLPAGTVKIDQSFVRDILGAPEDIKILAGVLGLANAFERQVIAEGVETLDHGQLLLRLGCELGQGYGIARPMPADAIADWCQEWQPPTSWAQQAPLAPGQLPLLVAGVEHRAWCRHLHHLLEADASPLPTPLADSHCHFCDWLALDHDDLPDLDHLAALHREAHALVAALLERGVDGDTTEQHRTLDEACAILLAEIERLLTT*</t>
  </si>
  <si>
    <t>IR1_k97_148537_5</t>
  </si>
  <si>
    <t>app:CAP2UW1_1108</t>
  </si>
  <si>
    <t>K20974</t>
  </si>
  <si>
    <t>two-component system, sensor histidine kinase [EC:2.7.13.3]</t>
  </si>
  <si>
    <t>ko02020;ko02025</t>
  </si>
  <si>
    <t>Two-component system;Biofilm formation - Pseudomonas aeruginosa</t>
  </si>
  <si>
    <t>Signal transduction;Cellular community - prokaryotes</t>
  </si>
  <si>
    <t>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DRAQLRFRVSDTGIGIAEEKLDSLFEAFTQGDVSVSRRHGGTGLGLAICQQLATLMGGSTGANSQSGKGSCFWLEVPLEKSPAQAAEPLANQQSASASGELPCFSDRYRILVAEDNVVNQRVIAGFLNRFDLRADLVCNGAEVLEAVSRVPYDLILMDVSMPEMDGLEATRRLRDREARGEIASRYPGRPLPVIAMTAHVMQGDREHCLAIGMNDYLAKPISLRQLSAVLERWLGGKEITPATSPN*</t>
  </si>
  <si>
    <t>Dark3_k97_45140_13</t>
  </si>
  <si>
    <t>MPHSPDLALPDAEHDIHRDRRRAIAVYVGGVLLMLVVIGTLMLEQYRRDTRAAEERTAARADLVAEWVTSTFSASEALLASVAARIEGEAPAELGDWLAALGDELSFLDKISVLDSQGRVLVSSSDAYPPGYALGGLPYHRDLLQAPAGERRVTPLFWSHFVEEFRVVHAQRLAGGGIISAELELSAFSRALDRLGMAAGQSTAIIDTQMQLIARRPVFGGEDPLEVLGEQVSEPLTRAFIDSGLSRDSFRTDSPLDGEERYYTMRRVGELPFVAVIGEEMSTVLTGWMHRLWLRLVIAATVIGLGGLVLRHYLNRLRLEAEVRQRVAEREQARRESQSREARLQALVGSIQDMIFVFDATGRFVFVHAPDPSELLRDSRDFIGRHYREALPADLAAQLDEAFAELRDGGGPVEYDYRLELAGEWRHFRSVLSALAAPGPDTGGALAVVRDVSEERATEAQLRIAATAFETHLGVLITDAEGRILRVNDTFTRITGYTEEEVLGRNPRLLSSGLHDDAFYAGLWDSVSRHGSWQGEIWNRRRNGEVFPEWLTISAVRNGQGELTHYVATFSDLTERKAAEQEIHQLAFFDSLTGLPNRRLLMDRLEGVLRDSYRNGRFGALMFLDLDNFKQVNDTLGHHSGDQLLRSVARRLGAVVRDTDTLARLGGDEFALLLHDLGERPEEVAVIAERVAHKLLSALQAPVLLGGERLMVTGSLGITLFRDHETSLDEVLQQADMALFQAKAAGRNTLSFFDPEMQVRLQARARLEADLRQALPREELHLHYQPQVTDSGEIRGVEALLRWQHPRRGAVSPGEFIPLAEENRLIVAIGAWVLESACRQLAAWSADPARRHLTLAVNVSPRQFREVDFVERVVAILDATRAPAERLKLEVTESLFLEERDEARAKMLRLRERGVRFSLDDFGTGYSSLSYIKRLPLDQLKIDQSFVRDLLVDEASAAIVASIIALARSLELEVIAEGVETEAQRDWLIAHECHAFQGFLFSRPLPLEELHLSKAC*</t>
  </si>
  <si>
    <t>Dark3_k97_14546_2</t>
  </si>
  <si>
    <t>nbg:DV706_05810</t>
  </si>
  <si>
    <t>K06930</t>
  </si>
  <si>
    <t>bat</t>
  </si>
  <si>
    <t>HTH-type transcriptional regulator, bacterioopsin transcriptional activator and related proteins</t>
  </si>
  <si>
    <t>MIRPLLARLRSLLLPATGRQDQFFTLSTDLFCRVSLEGRFLQVNPAFQHQLGYDEVELLHQPYTRLVDQQDHARIAEAVERLASGGAVRGLEARVHDHEGRLHWVEINAAIGEERVIYVVARDISARRQSETAMSRHEHFSTIVGETALIGAWYVELPGGSPIWSDEVCAIHDEPAGFQPTVDQAIAYYAPHDRQRLSERFAACCRDGTGFDEEFEVVTARGRHIWVRVIGQAVHDEAGCILRAQGSTQDITEQRRLRAEVSRLAERLTTTLESITDGFFTLDADWCFTYVNREAERLLQSAPGSLLGCNIWEAFPEAWGSRFDIEYRRAIDTGVAAHFEACNPRLDLWVEVHAYPSDEGLAVYFRDINQRKESERQLRILESSVASSINGVVICDARKPDLPIVYVNPAFERITGYAREEAVGATAASCRARTPSRVPPWRCGRASPTVAMCTSSSATIVVTAPPSGTTSISPRCVTRRAMSPTSSGCRTTSLPRRSTSHSSPTTPVTMH*</t>
  </si>
  <si>
    <t>IR3_k97_6137_1</t>
  </si>
  <si>
    <t>halk:CUU95_07005</t>
  </si>
  <si>
    <t>K02476</t>
  </si>
  <si>
    <t>two-component system, CitB family, sensor kinase [EC:2.7.13.3]</t>
  </si>
  <si>
    <t>COG3290</t>
  </si>
  <si>
    <t>Sensor histidine kinase DipB regulating citrate/malate metabolism</t>
  </si>
  <si>
    <t>RPRTLAELQRWRRTRAKRRWYKRSFRLQVMLLVGFLLAGMLLAQGTYLNHRKAEIITHQMGERALAVAKTVAGMPQIVNAFSTPDPALIIQPLAERVRHETGARYVVVGNAQSIRYSHPVPERIGQPMVGGDNDQALIYGQSYVSEATGTLGTAMRGKTPIWDEEGNIIGVVSVGFMLERVDMDVARYTSLGWALVALMILLGFAGAYWLSQHLKKVILGLEPYEIARLAMEKEAILQSIHEGILAVNRDGQITLVNQQARRFLGLSDEQVLLGQPIREVVPNSRLSEVLKHGEQEFDQEMWLGDHPVVANRVPILHEGEIEGAVATFRSRREIIDLSQALTQASRDVDMLRAQAHEFSNKLYTISGLLQLNRADEALALIHHETERAQAQMSFLMRHVADAVLSGILLGKLTRARELGVALEIDEQSSLSCPLTVTGQEVMMSVVGNLLDNACHAALNGPNSDTPKV</t>
  </si>
  <si>
    <t>IR1_k97_140015_2</t>
  </si>
  <si>
    <t>rxy:Rxyl_1060</t>
  </si>
  <si>
    <t>MSKHHSLLQSFGALLVLDADCRRIQAFSSNFAELLGVSLPEGRLPALSSVLGKRLSQRVRYELQGQQRLPGPLTFKCPTRSNRFQLHAYRAGVHVLVEIEPLHTLGKQRLLGTVNERLMRLAEATHQEELLDYLVVSVQELTGHDRVSVCHLDSDWHGLIVAESLAKRRAQSSVEVAADRLPALLGQRFPAKDFPIALRRAYERHSVRLIQDVAAPCEHLLPTSVAVDVSDSFLRAPAPERQQYLQRLGVRGALSVAMQGDTGLWGLLFCHSAAAYPVAPPVRDAVRTLVQMATQRLLLLRARQEARYLQRVQDSLVLSSNNRLKPQGPYQLFMEHAETWKSLFRANGVALWVKGSIYQSGNTPKPEAIGQLVTRIEKAHIHSGPWCTQETAKETLTSSLDMLEQSGVLAVPLPTNPVQRGWLMFFRPEQVETFYWAMQPSSTSQPPMMMSPSDAWCEEVTGKSEAWQRVERLAAIDLGEDLTLAISAYEISTLNMHLERERKALAEANQRLEQLAHFDPLTQVWNRYRIEQAIDAELVAAKRYGAAFALLLFDVDYFKQINDTLGHSVGDDVLISLARMVESSLRGCDHLGRWGGEEFVVLATHSSMEAAEGLAERLRGLVATLQVKGLGQAITVSIGVAVWQPDDSCKTIIARADAAMYRAKRNGRNRVEIAEKSVQ*</t>
  </si>
  <si>
    <t>IR1_k97_293303_23</t>
  </si>
  <si>
    <t>MAFDTHLGMFITDARGRVLRSNVTFSTITGFSAEEVQGQNPSMWASGRHGDAFYCDMWQTIERQGSWQGEVWNRRKSGEVYPQWLTISAIRDDGGRITHYVATLTDLSETKAAESTIRRLAFYDPLTGLPNRSLLIDRLGEVVKHTRRRDHYATLLLLGLDNFKAYNGTLGHDQGDALLRRLAETMRARLRESDTLARWGGDQFALLVQDQGHDLAHAARGAERLAEKLLAQVSWATATDEDRLPLTASIGITLFHDHQLDAPEAIQQAELAMYEAKRAGGSALRFFDRAMQVAVTERTHLEADLDGALGNHELELHYQPQVNAEGATVGLEALLRWHHPRRGLVSPGVFIPLAEESGRIVSIGRWVLESACRQLAAWADLPERSRLSIAVNVSPVQFHQADFVASVREILGATGANPRRLVLEVTESLFLKDPVVARDTMETLSALGIRFALDDFGTGYSSLSYLKRLPLHQLKIDQSFVRDLLDSTADAAIVETIIALADRLGLEVTAEGVEHEPQAHWLREHGCRHFQGFLYARPVAVGELFPPAKNGLQSNT*</t>
  </si>
  <si>
    <t>IR1_k97_180537_19</t>
  </si>
  <si>
    <t>halw:B6N23_10100</t>
  </si>
  <si>
    <t>MGLWKRELWRLLLLAGTGLLVGWLLSHAWAGLALGLGACLAFHLHQLRRLHRWLTLTPQAEPPATTGLWGDLLDRLYRYQKGQRNTQERLLGIIKRVQESSEAMRDSVVMLDRHGDMEWWNSAAERMLGLRAAHDRGHHITNLVRDPRFVDYFHARDYREPLTLPSPIDEQMVLQFQITLYGDDERLLMARDITRLHRLEEMRRDFVANVSHELRTPLTVLSGYLETYATYADQLPPRFARGLGQMQEQTVRMQNLVSDLLLLSKLEIERGGGDHLPLEMSALLASVRRDAEALSGGRHTLEVEQSEARLLVGSEQEVRSALSNLAFNAVRYTPEGSRIVLRWRPHGDGACLEVEDNGEGIDPMHLPRLTERFYRVDKGRSAATGGTGLGLAIVKHVLLRHEARLEIDSYPGQGARFRCCFPASRLVAPPREA*</t>
  </si>
  <si>
    <t>IR1_k97_144033_57</t>
  </si>
  <si>
    <t>halw:B6N23_04230</t>
  </si>
  <si>
    <t>MPLHHKDAIAEVRRLGPRPRRPRLTRSFRLQVMLLVGVLLAAMLLTQGAYLNHRKAEIIADQMGERALAVAKSVAAIPELVAAFADQDPAATIQPIAERIRRQTGARYVVVGNADGIRYSHPLPERLGLPMVGGDNDRALLHGESYVSEAVGSLGEAVRGKTPVVDAEGRAIGIVSVGFMLDRVAMDVGRHTSLGWWLVAAMILLGFAGAYGLSRHLKRVILGLEPHEIARLAMEKEAILQSIHEGILAVNREGAITLVNQQARRFLDLPAEREVLGRPIHEVVPNSRLFEVLERGEQQFDQQMWLGDHPVVVNRVPVMHGGEVEGAVATFRSRREIVDLSNALSAASRDVDMLRAQAHEFSNKLYTISGLLQLGRVADALSLIHQESERAQAQMSFLMGHVADPVISGTLLGKLTRARELGVRLEIDDQSSLSTPLTATGQEVLMTVIGNLLDNACHAALQERRDDGEGARVRLFFTDLGKQLLIEVEDNGPGVAAEHVEAIFTEGFSTKPGKHRGIGLALVARLCRAHGGAITLEESELGGACFTVVLDRSLCRPPLPGEP*</t>
  </si>
  <si>
    <t>IR1_k97_71458_10</t>
  </si>
  <si>
    <t>MADERDLARRLAALEAEIRELRRERDHYRWLAESSTDLISRHARDGTFLYASEAARELLGYDPEALIGVSAYELFHPADLADLLNKSPRVYYHDGFYQQTYRFRARDGRYVWFETTSRTRRDPATGELLDILCVSRDVGRRIQAEANRERLARVVESTTDYVLFMDDDERLFDANEAARRLLGLARSGSSARLADAYTEGSLAELRDLVLPAVARYGSWSGELEMRGQAGTVPVLSVVTAHRGPGSEPGHVSLLNRDIRLRKAAEAQARRHQEQIAHANRLATTGELASNIAHELNQPLGAIANYASGALFKLDAAPDQPAETLRLPLERIRDQVDRLGERLRHIRTFVRKGQTRPRPQELLAVVDAACRLCEWQFQQAGIALEHDLPEALPRVVVDPVALEQVLVNLLLNALEASRDHPGAGRVRLRARRSGRREVTLLVCDQGPGVPAEEAERIFAPFHSGRPEGLGMGLAISHSLMEAMGGSLRLLPAAGSGGATFAATLLAEPSDMVSTRHP*</t>
  </si>
  <si>
    <t>IR1_k97_159301_2</t>
  </si>
  <si>
    <t>abs:AZOBR_180221</t>
  </si>
  <si>
    <t>K20975</t>
  </si>
  <si>
    <t>ko02025;ko02020</t>
  </si>
  <si>
    <t>Biofilm formation - Pseudomonas aeruginosa;Two-component system</t>
  </si>
  <si>
    <t>Cellular Processes;Environmental Information Processing</t>
  </si>
  <si>
    <t>Cellular community - prokaryotes;Signal transduction</t>
  </si>
  <si>
    <t>COG0784</t>
  </si>
  <si>
    <t>CheY-like REC (receiver) domain, includes chemotaxis protein CheY  and sporulation regulator Spo0F</t>
  </si>
  <si>
    <t>LQGRGIGISDVISIVDEASQVLEFNRALLQATIENINQGISVVDQNLRLVVWNQRYLELFRFPDHLIRVGAPMDRIFRYNAHNGEYGPGDPEEHVQLLLDNIRDGQPHRYVRYRQDGSVLEVQGNPMPGGGFVYTYQDITQQKRIEEALIRSENNIRIYTDNVPALIAYFDKECRYLFTNRAYEQAFDIDRNAVIGRRYEDVLPVKKAEERMPWVQRTLAGERVSFEVSMRVNDAMRYMLVTYTPHFGDSQSILGFFALYQDITERRQAEIALKVTNETLEERVRERTQALSEANAALRQENRVRAEAEQALRQAKQLAEDANASKTRFLAAASHDLLQPLNAARLFTSALMQNVTASDTQRTISHIDNSLQAAEELLGTLLDISKLDAGALTPRRSHFALADIIRPLRAEFEVMADDRGLDLVVVPTQQWVDSDPQMLRRIVQNFLSNAIRYTQEGRVLLGCRRQDGRLSIEVWDSGPGIPESKLTEIFQEFRRLDQVSRHKESEKGLGLGLSIADRMSRVLDHPIKVRSWVGVGTAFCVSVPIVAAREVTLADQEPQNRRSGNKLAGTRIVCIDNETLILEGMTAMLSGWGCEVFTATSIGGAKSILRNMDGDPDAILADYHLDNEVTGLMALEALSERFEGAVPGIVITADRTEAVAEEIKRAGYQLLLKPVKPAALRALLTRTLQASRAGGKT*</t>
  </si>
  <si>
    <t>IR3_k97_99939_2</t>
  </si>
  <si>
    <t>poj:PtoMrB4_24000</t>
  </si>
  <si>
    <t>MVKGEQARLQALRQLALLDTPPEERFDRIVRLAIQFFGVEAALVTLVDEDRQWFKSRQGIALTQTCREESFCAHAIQEEGIFEIEDASQDSRFKDFVLVKVHRGIRFYAGIPMTTVDGFRIGTLCIIDSVPRRLNEQQRQVLKDLAACAEDEINRSR*</t>
  </si>
  <si>
    <t>IR1_k97_43016_1</t>
  </si>
  <si>
    <t>MPLVKSEEKLDQFFLLSQDLFFSIDFAGILLNVNPVFETLLGYSASEWIGKSCGKVVDRRDIPVIEEALARLQSQKRVPSFDVRALTAEGQMVWLEVTAAMGEGVIYVVARDISRRKAIEKQLIRNQRLFQIVGETALIGGWYVDMSERLPIWSNEVCRLHGVSPGFRPTVEEAIDFYAPSSRPRIREVFEACCEHGISFDEELEIITRQEVRLWVRVIGKAVRDEQGQVVQVQGSTQDITERKATERQLTLLERSVESSINGVIIVDAQGHDLPIVYVNAAFERITGYSRDTVLGQNCRFLQGEETDPTTLDQLRRGIRAQQEVHVVMRNYRRNGVPFWNDLYVSPVRDTAGAVTHFIGVQNDITAQREYQAQLRHNACHDALTGLPNRLLLDQRLAQGCLLAKRYHRYIAALFVDLDDFKPINDTLGHEVGDYMLIEVAKRLEEELRPWDTVARFGGDEFIVLLPDLAHEKDVMQVVERLLARLSAPYWYRGSELRITASIGIATDDGTISEPRQLIQQADLAMYKAKRQGRNTYQWYTDELNRKVSERVNLRHALQQAIEQSQFELHYQPQIHGSTGRVSGVEALIRWYHPERGNIAPGQFISLAEDTGQIMPISEWVLERACRDAVRLNANASMPITMAVNISPMQFQRAGFLLSIERVLEQTGLAPELLELELTEGVLMDSTEHVIQTLQDLRSLGVHIALDDFGTGFSSLSYLKHLPINKLKIDRSFVRDVVNDTRDAAIVDGVVTMAAKLGLEVLIEGVETAEQYAYLSARHSTHFQGFYFARPMPFSAIRSLLHESPYPFSDAEPSPT*</t>
  </si>
  <si>
    <t>IR1_k97_173993_9</t>
  </si>
  <si>
    <t>atw:C0099_04565</t>
  </si>
  <si>
    <t>MERIRQAWSRWRSGEQGVSPGLAERLLAHYPGVVMLLDEEGVVLEVNPEFERHAGYPAEQLLRRRAVILDADPLHGGFARALEQCLATRQPWQGVLLCRRADGGLRHQTTMIQPIPAAPDAPRRLLVMQYDVTGMRERELHDRQQLARLEGTISQLPAALFRLLQAAGRLEVLYASEGIRALTGLSPDEVMGGGDTLLELLEEEGIKALEVSLAQSSVGLTPCQHELCLNLAEGRRWLELRARPQRRRDGSTLWDGLLIDITERKHRERQIASLVSTDMLTGAINRRAFFEQAAALQARARRHGQSMPLAMLDLDRFKSLNDTYGHAAGDLALQAFAATCRECLRPYDLFARIGGEEFAVLLVDTPPEDAWPILERLRQAVEEIALEVEEATIRFTVSLGLAVLAPEANLDSVLGDADRALYRAKREGRNRICGPEGWGPGAPGGDSR*</t>
  </si>
  <si>
    <t>IR1_k97_270845_11</t>
  </si>
  <si>
    <t>ccam:M5D45_22565</t>
  </si>
  <si>
    <t>MNTEHSQMAAQQRVHELIAQHAPLETTLDAIADWLAILLPDATVAFMRYDARRCTLSLLPNRRFSPAFIERLQEVRVGPGVASFGSAAFERRPVVSEDIARDPRWEAFRDAALAEGFRACWSHPVMTADGQLLGTFGTYYRTPRKPTPASERLLLQAAALIALALVRDRQEHRLHLLERGVEASPIGIVMAEATNPDHPIVYANRAFCALSGYPLEEVLGRNCRFLQGADTERDQVARIRAAVADQREIEATLLNYRKDGTPFWNRLSISPVFDAAGRCSHFIGFQQDITEQRQQAERLRYQASHDLLTGLANRGTFDDRLAKAFAAAKAQGRRLAVLHLDLDGFKSINDGLGPHIGNRMLVAVARRLETLIGPAHILARLVSDEFAVLLPSIDGCPDATALAERLLEGLAAPLEVEGQPLHISSSIGIACSGDDTDHPHEVLQRADLALEEAKRQGRNTWQWYRGRQVEQALGDVLLRNDLHTALSDGQFELLYQPMVEALNGRIGGIEALVRWRHPQRGLVSPEAFIPLAEHSGQIIPLGRWVLRQACREMAELHARGGRTVPVAVNISSLQFRRDGFLDEVLGILTETGLPPALLELEVTESVLLDGAELAIELIDTLRGHGVRVALDDFGTGFSSLSYLRDLPIDKVKLDRSFICDTLHNPRSAAIVQGIITMAHHMGLVVVAEGIETVEQQQELARRGADLLQGYLFSRPLPLAGLAALPERLPAAPSSPSGSGP*</t>
  </si>
  <si>
    <t>Dark3_k97_96571_1</t>
  </si>
  <si>
    <t>mjo:FOF60_06460</t>
  </si>
  <si>
    <t>K02575</t>
  </si>
  <si>
    <t>NRT2, narK, nrtP, nasA</t>
  </si>
  <si>
    <t>MFS transporter, NNP family, nitrate/nitrite transporter</t>
  </si>
  <si>
    <t>ko00910</t>
  </si>
  <si>
    <t>Nitrogen metabolism</t>
  </si>
  <si>
    <t>Metabolism</t>
  </si>
  <si>
    <t>Energy metabolism</t>
  </si>
  <si>
    <t>RTLPVDARLIDARNQFIDQRLRHLAVVDDSDRVIGLLGFRDILDGVEGDYAVRLREVLQERDHALERSRLTLQLAERVIDASLEGIMITDARGRIEFINPAFTHLTGYTLEEVSGRTPAVLS</t>
  </si>
  <si>
    <t>IR1_k97_270838_6</t>
  </si>
  <si>
    <t>MLDELALMEAQQEVHERIAQQVPLEETIDAIARWLEVLLPDAVPAFMRFDARRQTLSLIPNQRFSRAYQACLQAVPIGPGAGSFGSAAYCREPVISEDIRNDPRWAPFRDAAEREGLRACWSNPVLTSQGELLGTFGIYFRTPNYPTEGSRRRMRQAAALVALAILRDRDASSHRALAEWHRSLFANHPDGVYEFDLEGRFQRSNAALSRITGYPEADLVGRHFNEFVEPDYWEVTQAGFDAARQGGSQQYETLGTHRDGHAYHLEVINFPVTIDGEVVGVYGICRDITERKREEAARRLLERGIQATPNGVVMADATQPDMPLVYANNAFYEMTGYAPDEVLGSNCRFLQGPDTDPAAVTTIRQAIAARRRHEVVLLNYRKDGTPFWNHLSLSPVVDEQGFCTHYIGSQQDITRQREHEAQIAYQATHDLLTGLPNRTAFDERLAAAFAQAQDDQSLLAVMHLDLDGFKAVNDGLGHHIGNRVLSEVAGRLRTLVAPGDSLARLAGDEFALLLPNLASQQAGITLAEDILEALNRPFQIEGKPLHVTASIGIACNCPVTKQAHELLQRADLAMAQAKRQGRNTWHWYRGNAQTTTEDSVLLRHDLHTALREDQFELHYQPIVDAISGRIRGVEALARWRHPQKGMISPGVFIPLAEQTGQIIPLGRWVLRRACRDIAVIKAAGGPLVSVAVNISSLQFRRGGFLEEVQEALAESGAPAGLLELEVTESVLLDGADQAIALINRLKALGVRVALDDFGTGFSSLSYLRDLPIHKVKLDRAFIQDVLTNRSDAAIVQGIITMAHHLDLVVVAEGVETRDQQQDLVRRSCDLLQGFYFARPMPLAELLTLPESLPSRA*</t>
  </si>
  <si>
    <t>IR1_k97_66254_11</t>
  </si>
  <si>
    <t>zpa:C3497_13595</t>
  </si>
  <si>
    <t>MTETAASDDESVERRNRKDRRIAIALYVMGMIVLFATLGGFLFDQYQRDMQAARERTAARADLVAEWVAGIFAVSDAGLSGVAELLGPSQRRRLFGEPPELELLEELLVGRQESLDLIGSVSITDGRGRVIASSSPLNPPGFDVSGLPFFRLLQAQPSRMALVTPLQWSALERRHVVLLLHRLPDDTGLVMAQLDPVVFGQTLEGLSLTRGESIAIIDTEMQLVARRPGVGEAGAEEAAGEALGRRVVEPLTQAFMASGEVRTHLSTESPLDGSERLYTLRRVDDLPFVVVVGESRDLLLGDWIYRLWVRVVIGLVVMGLGWLVLRHYLNRLRLEEEVRRQARERELARREAHSREARLQALVSSIQDMIFVFDAEGRFTYVHAADPGELMADAASFLQRHYREVMPAAMTAQLDEAFEALRRGEGPVEYDYTLHIHGEPRQFHSVLSPLRELGEAREEGAGGALAVVRDVTEERATEAQLRIAATAFETHLGMVITDGDSRILKVNETFTRITGYSEAEVLGRNPRLLSSGLHDETFYRRLWRSVASSGGWQGEVWNRRKNGEVFPEWLTLSAVRDAEGRPTHFVATFSDISERKAAEEEIHQLAFFDPLTGLPNRRLMLDRLEVALKDSYRSGQFGALIFIDLDHFKQVNDTLGHHAGDQLLREVAHRYEEVLRDTDTLARLGGDEFAVLLHDLGGEPDAVAVIAERVANKLLTVMQAPVRLGEERVSVSASLGVTLYRDHEMTLDEILQQADMALFQAKAAGRNALAFFDPEMQVRLQARARLEADLRQALPNDELRLHYQPQVDDRGRPVGVEALVRWMHPVRGQVSPGEFIPLAEENRLIVAIGNWVLEQACRQLAAWAADPACSALSLSVNVSPRQFREPDFVQRVLEILEATGAPPHRLKLEVTESLLLEARDEARSRMLELRERGVRFSLDDFGTGYSSLAYLKRLPLDQLKIDQSFVCDLLQDEASEAIVASIIALARSLRLEVVAEGVESEPQRAWLLAHGCGVFQGYLFGRPVPVEALDLDG*</t>
  </si>
  <si>
    <t>IR1_k97_181422_4</t>
  </si>
  <si>
    <t>MVAPLPPNEADRLRAMWRYIRHNQAPDAVLDAITRSAAKFFDVPIVLISLVEEECQWFKSQVGPEIANIPRDVSFCAYTILENELLEVVDATVDARFQNNPLVTGPPYIRYYLGAPLLTPDGFSIGTLCLIDHRLRAIGDEHKRHLQTLAHQVMSHLELQRLQRLEQLINHAGLGVWELDVSSNTIWSNEAFLRLHGASPLTPSSRFELASHYLPEDRDTLESGLGRIIHQGTPFDACLRLKAPGETAITWVQLTGASIDDTVPARHIAGTLQDITLLQRNKHELEWRHRIDDLITRLQASIIAGDNISDTFSGALEALLSLTESEYGFISEVFKDESGEPFLKTHAITDISWDDASRTLYRKAQAHGLVFSQLDSLYGHVLRTGKPLISNRPSHDPRRGGLPKGHPSLDTLLCLPVSVEGEMVAMLGLANCAKGYSNETLTLLEPLLRPLGQLIHGLRLRRQNDEAWKRLELSSKVFSSSREAIMISDSDNRIIEVNEAFERITGYTRDEVLGKNPRVLSSGRQTPSFYRSLWASLNEKGYWQGEVINRRKNGDPLPEMLSISVVRNETGDTTHHVAVFSDLTRIKQHADELFRAGYVDRLTALPNRRHMIKLMHEALDSSKPDETLAIAVLDLDGFQELNLRFGRAGADRILVVLAGQLVDALGAGDLIARIGGDEFAFLLHRFEGGIERLNLILQQVTKPLTIPELGGTDKAPLRLTGSLGVTLFPADHNDPDTLLRHADQAMYRAKMAGGNRFVLFDPEREQELKNLQIRRGQIARALDADEFVLFYQPQFDPVFQQVTGVEALIRWQHPERGLLAPGQFLPAISGSELELSFDAWVLETALKQMEEWHASDIMLEVCINLSPQSLTRADFFDTLQGALAAHPDVSPALLCLEVLESAALDDLQAATQVMRACRSLGVNVALDDFGTGYSSLTYLRDLPVDVVKVDRSFVINMLERDHDLAIVESVVYLAKRFNKKVVAEGVESNAHVKRLTEMGCHLLQGFGIARPMPAKALQTWYEHPSKMLKELNLT*</t>
  </si>
  <si>
    <t>IR1_k97_80553_3</t>
  </si>
  <si>
    <t>AHLGIIVADARGNILKVNETFKRITGYSDAEVIGKNPRMFSSGHHNAAFYQRLWKRVMTTGSWEGEIWNQRKNGELFPEWLTISAVYDADGVLTNYVATMSDISERKAAEQEIHQLAFYDPLTGFANRRLFMDRMETALKELNRHQRCGALLVIDIDRFNYINDTLGHLAGDQLLQRVAQRFGQMLRDTDTLARLGSDEFAVLIEDIDGSPRRTRRLAEHIAQKLLVALDEPISFAEEQVMVTACVGITVVSDSQRSAEDYLQQVDMALLQAKASGRRAIRFFDPSMQAALLARVKLEADLRQALESHQWRLYYQPQVDRCGHFTGVEALLRWQHPERGMVSPGEFIPLLESTGLINEVGEWVIEEACHQLACWAATPHLRELTISVNISPLQFRDSEFLPRLQQVFVRTKAPLERLKLEVTESLFVEARDDARDKMLSLKAQGVRFSLDDFGTGYSSLAYLAQLPLDQLKIDQSFVHQVLESSANAAIVESTIALAKSLNLDVIAEGVESDRQKAWLLAHGCQAFQGYLFGRPMPVDAIEKTFLAQQRS*</t>
  </si>
  <si>
    <t>IR1_k97_84373_3</t>
  </si>
  <si>
    <t>MFSGWLLVAVSLLYIAVLFGIAWRGDRRAREHGASQRRPVIYSLALAIYCTSWSFYGAVGQAATGGWSFASIYVGPILTFLLFWPVLAKMIRVAKHQNVTSIADFIASRYGKTQSLAAFASLVALIGALPYIALQLKAVSTSFSVLTADGDPTHTPLFADTAFYVAVVMAAFAILFGTRHTDATEHHEGLIHAVAFESLVKLLAFLVLGAYVTWGMFGGLGELLAHADVQLELQRQLAQQNFGQSFWAQTLLAMLAVLCLPRQFHVAVVENTHRDDAAKARWLFPLYLLVFAFFILPLAAAGLTLFADSDIEPDTYVLALPMAAESTWLTLLTFIGGFSAATGMVIVAAVAVSIMISNEIVIPALFRLRWFDTKARDYGRLVLRARRMTIAAVLAMAYGFYHLIGEFTSLASIGMLSFAAAAQFAPALIGGLYWKRGNRLGVIVGMNAGFLIWAYSLLMPAMIGAGVLPAHWLDGGPLGIAWLSPTSLFGLNVGDSFTHGVMLSLGVNLFCYIFVSQVTSQRVVERIQASLFVDSVETRQTSVNRPWTGATTVGDLKVLCERFLGAQQVSRAFDDYARRSGKPLEDGTRASIDVIQFTERFLASVLGASSARIVVNSALQGRGIGISDVISIVDEASQVLEFNRALLQATIENINQGISVVDQNLRLVVWNQRYLELFRFPDHLIRVGAPIDKIFRYNAHNGEYGPGDPEEHVQLLLDNIRDGQPHRYVRYRQDGSVLEVQGNPMPGGGFVYTYQDITQQKRIEEALIRSENNIRIYTDNVPALIAYFDKECRYLFTNRAYEQAFGIDRNAVIGKRVQEVVNDAMARERAPWIERALAGERVSFEVSLRLPEGRRYMLVTYTPHFGDSGAILGFFALYQDITERRRAEIALKETNETLEERVRERTLALSEANAALRQENRVRAEAEQALRQAKQLAEDANASKTRFLAAASHDLLQPLNAARLFTSALSQEMDASDMKRTIGHIDNSLQAAEELLSTLLDISKLDAGALTPRRTHFALADIIRPLRAEFEVMAEDRGLDLVVVPTGAWVDSDPQMLRRIVQNFLSNAVRYTQEGRVLLGCRRQGGRLSIQVWDSGPGIPESKQAEIFQEFRRLDQASRHKESEKGLGLGLSIADRMSRVLDHPIAVRSREGFGTMFAVSVPVVAAQSPAQQAEEAVTAKRAGNKLAGARILCIDNETLILEGMKAMLSGWGCEVFTATTIGGAKSVLRHLDGDPDAILADYHLDNEVTGLMALEALSERLQGAVPGIVITADRTEEVAEEVRRSGYQLLLKPVRPAALRALLTRTLQASRAAQ*</t>
  </si>
  <si>
    <t>Initial_k97_682689_1</t>
  </si>
  <si>
    <t>MKRPPMISPELLERIVDASEDGIVVAEKEGDEHILIYVNQGFERLTGYSADEILYRDCRFLQNDDTDQPELDRVRQALKEQRSCQEILRNYKKDGTLFYNELSLTPMFDEQDSLTYFIGVQKDVTDRVVALAQLERLRPTGD*</t>
  </si>
  <si>
    <t>Initial_k97_698344_1</t>
  </si>
  <si>
    <t>TQITGYALEEVRGQDPSMLSAGRHDKAFYDRYWETLTTLGKWEGEIWNQRKQGDQYPEWLRIQAYRSQNGKISHFVGLFTDISRHKAREQDMQRIGFEDPLTGLPNRRRLHDLLSSRLRHLRAGEGLDMALIDIDGFKAINDAMGVEAGDRLLSRFGQRLARQVAGGVVGRLGGDE</t>
  </si>
  <si>
    <t>Initial_k97_576457_1</t>
  </si>
  <si>
    <t>prh:LT40_11140</t>
  </si>
  <si>
    <t>FDHSPSAILTLSLSGIVVDINATMLARLGGRRRGFLGRHYTSVVVCLLRADVSDELVLAIQEALAGKTRSLSIRSGAGSAALLCFEVILEPVIIDDRVTGVFAIFRDVTSREFAQSQLTLMERSLEECSNGVVIVHMAPDDRPIVFVNEAFCRITGHDRDDLIGQPLSVIAAQQAVVEEPRWLCEALHSGEARAVTVNATRKDGSSFWCQIVLSPVHKHGQAVSHFVGIMDDITERKLQEQQLAHQATHDALTGLPNRLLLSDRLAHDFALAKRRGGSLAVLFIDLDEFKPINDTLGHEVGDRLLVSVTRRLSVGLRASDTLARMGGDEFVLLLVDIGGEEKAKVVAQRLLSALVAPHWIDGRQLHVTASIGIALLKGSAVEDPERLIQRADLAMYQAKQRGRNTYHCFTEDLDGQVHRRVTLRNALQVALDQQRLELFYQPLVDRDGSVNGAEALLRWQHPELGWISPADFIPLAEQTGQIVELGRWVLWRACHDTRRLAKQGLVPGRVAVNLSPMQFHRADFVSSLMMTLQEVRLSPRWLELELTEGVLLSDTSGAVATLNALARLGVSTAIDDFGTGFSNLDYLKALPVQKIKIDRAFVEDVTSSDRDAAVCRSVVALARELDLVVLAEGVETQAQYDYLRQLGCDAFQGFFFAGPMPFGDYWRYLHQARMARG*</t>
  </si>
  <si>
    <t>Initial_k97_388186_1</t>
  </si>
  <si>
    <t>csa:Csal_0700</t>
  </si>
  <si>
    <t>IERLRRELGVDFIVVMTETARRLTHPDPSRIGHFFQGGDEGPALEGERYASRSKGTLGTSIRGFAPVLGGDGEVIGAVAVGVTMSSLLPTLEAHRHQIVLGVLALMLAAALGAGLLARYIKRVLLGLEPYQIAQLVEERQAMLSSVHEGILAVDAEGRITLVNQAARRLLQRAGLKAPQPGIPLAGYLPEAGMLEVLAEDRPSLDQQVAINDQVLLANRVPIHHRGRM</t>
  </si>
  <si>
    <t>Initial_k97_115475_1</t>
  </si>
  <si>
    <t>agv:OJF2_09970</t>
  </si>
  <si>
    <t>K15836</t>
  </si>
  <si>
    <t>fhlA</t>
  </si>
  <si>
    <t>formate hydrogenlyase transcriptional activator</t>
  </si>
  <si>
    <t>MAPPLASEQVFRELADGLALDNPSDSFFPELAACLARILRVDYVIVACIDPSDSKIAHTLGIWSRGRLLDNFSYPLTGSPCERVIRNEPCHYPEKVCDTFPNDDLLADLDVESYLGMPIIDRSGETLGLVSVLDSAPLWSFDISKEVLRIAAMRVGAELSRRRAMSAVEESERRLDTLMSHLPGMAYQRLYNPAGSLTFVSQGAEALTGYDVSQLTADTGYPFMEMVHP</t>
  </si>
  <si>
    <t>Initial_k97_230792_1</t>
  </si>
  <si>
    <t>moc:BB934_03380</t>
  </si>
  <si>
    <t>MNFVINDQELLKATVETVREAVLITDSRLAHPGPVILYANPAFLELTGYTAEELLGQTPALIQGEEADGGVMQTLRQRLSAGSVGEVLEGEAVNYRKDGRPFRMEWTIRPFPAEGEPRYFIASLRDVSAIRNL</t>
  </si>
  <si>
    <t>Initial_k97_171075_2</t>
  </si>
  <si>
    <t>ERTAYEKVSNLDGERRLFVASRVGSRPFWVVVGQSKRAILAGWTQRFWALVVTGMLVALLGWLLLRYFVAQRAIGDRLRQEVHERRLAQQDTQSREARLQALIGSMQDLVFVIDGDGRFTYVHASDESQLLAPPKQLMGRHFRGVLPDDVAERADAVLDRLGKTRQPQRFDYRLELGDELRYFSALFSPLADQDNGLDGVLAVVRDVTEERQQQAQLSISAMAFETHLGMMITDEQGAILRVNKTFTQITGYSESEIRGRNPRVLSSGRHDASFYRRLWTSVVETGSWQGEVWNRRKNGEVYPQWLTISGVLDDHGRRTHLVATLSDMTESKAAEREIHQLAFYDPLTGLPNRRLMLERLNDALVASQRNGRFGAMLFIDLDNFKRVNDTLGHYCGDKLLQTVANRFQAVLRDRDTLARLGGDEFVVLVRDLGTHADDVVEVAETIARKLLDTLERSCELGEASVSVTASVGITLFRDGVTTLDELLQQADMALFQAKSLGRNVASFFDPELQARLKARTRLEADLRQALERGELFLVYQCQVDDAGRLTGAEALLRWRHPELGLVPPPEFIALAEESRLISRIGLWVLEQACQRLVEWGKDPARALLSLSVNVSPKQFREPGFVAEVEAILKRTKAPPARLKLEVTETLFVEDRDDIRVTMLRLKALGVTFALDDFGTGYSSLSYLKRLPLDQIKIDQSFVRDVLDNTTSSAIVASTITLAHSLNLEVIAEGVETEAQRAWLIEHGCTAFQGYLFGRPDVDGVDSFFRDQDPGIV*</t>
  </si>
  <si>
    <t>IR1_k97_241365_1</t>
  </si>
  <si>
    <t>ALIPLAVAVVGLLMSYLLAVSLALVRQVTARSRELDRARHSLWQSEQRYRSLFAYNPDAVFSLDREGHFRTVNPTCSEISGYDQHQLIASHFRHFLHEEGMAEVEGLFHATLEGLPQRAEITFVHRDGAPRRLDLTTLPIIVDRRVTGIFGIAKDITERRERELRLRLLERSVEASTNGIVVADALAPDLPIRYANPAFERISGYPLAEILGRNCRFLQGPETDPEAVKQLRDALTAQREVHVTLCNYRRDGSPFWNDLYISPVRDGQGRVTHFVGVQHDISEHKAYEAQLAHHASHDALTGLANRSLFEDRLAHDVELARLHGERLAVLFIDLDDFKPINDSLGHAVGDRVLVEVARRLSRALRLGDTLARLGGDEFVVLLPSLENEEQAQGVAERLLALVARPYRVAGHELHLTSSIGIAIGDDELENPLTLIQQADMAMYKAKQQGRNAYQWFTPEITARVNERVALRHDLQEAIDNDQLALHYQPQLDREGRVVGVEALLRWSHPERGVISPGTFIPLAEETGQIIPISQWVLRRACRDLLALSGAGHPQLAVAVNLSPLQFHRANFLGSLREALAESRLPASRLTLELTEGILMDNTEAAIDTLHALRGMGVGVDIDDFGTGYSSLSYLKHLPISTVKIDRSFVSEVTQSADDAAIVQAIIAMAHHLGLMVVAEGIEEEAQREFLLEHGCDRFQGFLLGRPMPLDDLKAWLDRR*</t>
  </si>
  <si>
    <t>Initial_k97_589069_1</t>
  </si>
  <si>
    <t>acav:VI35_18310</t>
  </si>
  <si>
    <t>DSLPIMISYVDNQLRYVEINVAYNRWYNLPTEQLVGRRVAEVMGQEAFESNRPYMLSALAGERVTFESRYTHPDGTVTPVEVDYTPVRNSHGDVQGFFSMVRDISDLKRAEQDYLTGAFNRQGFDDRLAISCATARRYSRPLSLIFLDLDHFKSINDNHGHAVGDDVLRGVAKTLQNEVRDSD</t>
  </si>
  <si>
    <t>IR1_k97_167650_1</t>
  </si>
  <si>
    <t>nax:HC341_10895</t>
  </si>
  <si>
    <t>SLVALAIIKHRNSRRHQKLAEWHHSLFVNHPAGVYAFDLEGRFLRGNAALEQITGYPEPRLIGRHFNDFIAPGYRELTQAAFDAARAGASRHYATMGTHADGHAYHLEVTNFPVTVEGEVVGVYGICQDITQRKHQEAELRLLQRGIEASPNGILMADASQPDLPIVYANEAFCRLSGYAIGEILGRNCRFLQGADTHPTTVATIRLALSQHREVQV</t>
  </si>
  <si>
    <t>Initial_k97_80673_2</t>
  </si>
  <si>
    <t>MWPSLSLNRPLIWIGLVALSASVWLPSVWLRLAATGLVGVGLLDAWRLWHQANERTRLAQQAILLGGEAVMITDAQYRIQWVNPSFTAITGYAADEVTGVSAVSLAAVRHDGAFFERFWHTLTSSGRWEGELWQRRKNGDEFPEWLSLKAVTGKRGEILHHVGVFTDISLRKAREHDLRRIGLEDPLTGLPNRRRLHELLATRLRHLRAGESLDLALIDIDAFKDVNDGLGVDAGDRLLARFGKRLAGHVAGGVVGRLGGDEFMVLRTTTYDDHDGWVTGLQEHLAKPFEIDGATLRLGMTIGSCRAPEDGDSDGALFQRLESALFAARRQGGNQCLRFRPALDVGDGPGLVLLNDLRAALASGDQLELFYQAQHRLSDDGVIGLEALLRWRHPREGMIPPGDFIGLAERHGLMAALGDWVINQALAQLAHWRGRGMPEIPVWINISAMQLFQGDLEQTLTTSLKRHDVPARLLGLELTESVLLDDRAGDIVPRLQRIRGQGHQIAIDDFGTGYSSLGYLKHLPLDKLKLDRAFIRALPGDKADAAIVTAVMSMARGLGLDVVAEGVETAVQRDYLREAGCDIVQGYFYARPIPAAELEAQWRVDMVTSGAVTERRPAAKSEALA*</t>
  </si>
  <si>
    <t>Initial_k97_540762_1</t>
  </si>
  <si>
    <t>qau:KI612_16095</t>
  </si>
  <si>
    <t>MSKIDYAALLAQSTDLICVLGAEGQVLEANPAFMMALGRDKDALVGAPFVDLLHADEAVACREALVSVEACSFLARLRAGSAVRLSWRLTPWVDGCRLCVSPPVIESSQATSVLLTQLARHVPGVIYQYRIRADGSSHFPYVSERFEELFGLPSSVVKEDASPVFARAHPDDLPQIMDSIERAFDSEAPWHCQYRYYLPDGRMRWHEGNATLTYQVDGSRLCYGYISDITERHVLERALEEERQRLSNILKGTHAGSWEWNVQTGELLINERWAEIVGYSLAELEPISA</t>
  </si>
  <si>
    <t>Initial_k97_245663_2</t>
  </si>
  <si>
    <t>QQIIERVNDAFTTITGYPQQAVVGEPAQLLQSDQHDATFYQRIQFTLSVSGYWEGEYWYRHQNGETLPLWQSISMLNNSQDEIEHYIYVFHDIRKQKMLEEELKHLAEHDRLTGICNRTRLSRLQEQAITDLERYDTPFSLIMLDIDRFKQINDAHGHDTGDNVLKALSDVITRQLRNSDKVGRWGGDEFMLLTGHTHLGGAVALAERIRASVEATAFDVIGNLTVSLGVVEVLRGMSPAESVKAADEALYRAKRQGRNRVESFPDGA*</t>
  </si>
  <si>
    <t>Initial_k97_533129_1</t>
  </si>
  <si>
    <t>mah:MEALZ_2454</t>
  </si>
  <si>
    <t>HFLQIVGIVLLCLALYACLGRILAQEAEATSGAGDLETVQRHYSESEQRFRALLESLPKVAVQGYDRDRRVIYWNSASTELYGYTRDEAQGQLLEDLIIPSEMRYAVIDVHRAWVQEGIEIPASELELKRKFGEPVAV</t>
  </si>
  <si>
    <t>Initial_k97_501785_2</t>
  </si>
  <si>
    <t>SLPEELRQGIYTVPIGHGNGICGSAAHAKSLLTSEDMALDPRCADYTDKIQLAGLKAGWCYPVLASDGRLLGTLSAYSRQAMAPTNTDIEQLDGLVGLAALAIERDQDRRALWQSEQRYRSLFTYNPDAVYSIDREGTFIAANATCTELTGVPVDDIVGQHYEMFVDEADRGWVRAQVNQTLRGETTSYTLPINARLGRRILDITNLPIIIDGEIRGTYGIAKDVTERHRHETRLRILQRSVEASINGIVIADATASGLPIVYANPAFMRMTGYTEDEVLGRNCRFLQGEETEPHVVERIRRQLANNDEVRATLRNYRKNGEVFWNDLYISPVKDANGNISHFVGVQHDISEHKAYEASLAYHAGHDALTGLTNRALFEDRLRHDFALAQRRKHCIGVLFIDLDEFKPINDSLGHAVGDQLLVQIAGRLADALRPGDTIARFGGDEFVVLLPDLPHPDQALVLGERLLPMVAKPYRVDGHELHITASIGVAVSDETIEEPMQLVQRADMAMYRAKHQGRNALQYFTEEITRGVSERVALRHDLQEAIDAGHLELYYQPLFGRDGRIISVEALLRWHHPQRGTLAPSAFIPLAEETGQIIPINRWVLQRACADMRHLYGPGGSTITVSVNLSPLQFRRANFLDTVKETLDDTGLPASQLMLELTEGILMHDTTAAINTLHDLRALGVGVAIDDFGTGYSSLGYLKRLPITTVKIDRTFIMSLPDSSEDAAILRGILAMAHHLHLWVVAEGIENQAQLDFLRHNRCDAFQGFHLARPMSLPQLKCYLEEHEASKALSLTPTNGSDG*</t>
  </si>
  <si>
    <t>Initial_k97_664182_1</t>
  </si>
  <si>
    <t>hlo:J0X27_07490</t>
  </si>
  <si>
    <t>TPPLTQLATLPDQLTKLLELPSLAISVTDGDVQDNPLIYVNDAFECLTGFHRDEVIGHSCRFLQATDTDPEAIKQLRIAIERGTPITLTLKNRRKDKTEFWNELSLSTIHTESGRRYVVGVQRDVSHRELAWKQMELTQAVFHNTHDGILVTDADKRIIDTNPAFTRLTGYTQAEVLGKRPNLLSSGKHDSGFYQSMFAAVEERGFWTGDIWNTRKDGSQL</t>
  </si>
  <si>
    <t>IR1_k97_66254_15</t>
  </si>
  <si>
    <t>rsb:RS694_12085</t>
  </si>
  <si>
    <t>MDALSGWQPNRGAATQHPGGCVDPPPGQVASMPVCCRYSATSIGLFPTEASMPRLPFPRPPAWLWLIAAAGVSLSLLAASLVRDARLEDTEQQFASAADQITLRIEERLAAYALVLRGAAGLFDASEEVDRDEWRLFVDKLHATDALGHIQGIGYTEWIPADRLAAHEARVRAEGFPDYRVQPAEPREAYTAIVYLEPFTGRNLRAFGYDMYAEPVRRAAMEQARDTGRAALTGRVELVQETGEDVQPGTLMYVPVYRQGMPIETVAQRRAALAGWAYSPYRMYDLMRGLLDGWQGGSPLPVGLRLHDGGGTTPDTLLYHHPADLAGQAPGRFSQQREISFNGRRWTLTFEHLAPPGALEARGAWLTLAGGLALTALLVALLLSLLTTRARAVRIGDRLTVAIREREAELEQLFIRLRTIADRVPGVVYEYCLQPDGRSRFPYASDGMQQVYGVAPEAIREDATPVFSTIHPDDRDGVAASIRHSAETLTPWRHEYRVILPDGSEHWLLGDSLPHREPDGATTWYGVITDITERKQAEMTLRRAHQEAERFREALDLVTSFIYMKDRDSRYTYANRATLALFGCSAEELVGSDDSRYFANDTVRRLRKVDARVLGGEPTTEEVVTTDPDGQRRVYLEIKAPIRVDGGIVGLMGISSDITLLKEHERQLEHLAHYDALTGLPNRVLLADRLHQAMAQELRLERLLALVYLDLDGFKEINDRHGHAAGDQMLIRLAERLSTVMREGDTLSRLGGDEFVVLLRDLPDRASANSLLERLLETAALPTTYEGHALSVTASLGVTFYPQAEPVEADQLLRQADQAMYQAKLSGKGRYHFFDAEQDRSVRSHYETLSRLQQALEEQEFELHYQPKVNLRTGEVVGVEALLRWHHPNRGLLMPGQFLPALEDHPFAEALGEWVIRSALSQAVAWRRAGIVMPVSVNIGARQLRQQDFPARLGQLLAEQPSLPPDTLELEVLETSALGDLALVAGILEACRRTGVQVSLDDFGTGYSSLTYLKRLPAGTIKVDQSFVHDILEDPEDLKILVGVLGLAGAFGRQVLAEGVETVPHGDLLLRLGCELGQGYGIARPMPAAAIPEWLTTWHPPAHWASLAPVVRERLPLLYAGVEHRAWIQQLAAALESGGTPPHLSPAECRFQHWLGRVRDRLPLGYERLDEHHEAVHRLARELMSLHGGGRQPQAMARLGELHALSDALLEELDRLLD*</t>
  </si>
  <si>
    <t>Initial_k97_294757_1</t>
  </si>
  <si>
    <t>smuc:JL100_005315</t>
  </si>
  <si>
    <t>DCRYLFTNRAYEQVFNIDRNAVIGKRFEEVMPHHVANEGLPWMRRSLAGERVSFEISQRDDEGGTRYLLVTYTPHFGDSGTILGFFALYQDITERRLAEIALKE</t>
  </si>
  <si>
    <t>Initial_k97_598758_1</t>
  </si>
  <si>
    <t>VASPIASPLPRRPRQSDARYRAMLEGLPKLAVQGYDRERRVIFWNRASERLYGYRHDEAEGRLLEDLIIPDAMRERVVRDHRAWIDRGEPIPAGRLMLRHKSGAEVAVFSYHVMLGEQGEEPVMFCVDVSLDD*</t>
  </si>
  <si>
    <t>IR2_k97_327557_1</t>
  </si>
  <si>
    <t>zpa:C3497_04225</t>
  </si>
  <si>
    <t>COG0642</t>
  </si>
  <si>
    <t>Signal transduction histidine kinase</t>
  </si>
  <si>
    <t>GACWYDISRQVICDLPGEEGRKTGMSAKQEFPAPSGRWAALGVQAAALG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</t>
  </si>
  <si>
    <t>Initial_k97_317547_1</t>
  </si>
  <si>
    <t>metl:U737_20695</t>
  </si>
  <si>
    <t>KAIRQCLQRQRPVVCNDLDEHPDFRESVDLIGLGIRALAAFPLSTPSASQQTAFVLYRCELFSFDPTKMQLLREVADNIAFAIDNFDKNRQLDFLTHFDSVTGLPNRLLLSDRLQQGMVQAERNKGNLAVLYVNIDRFKQVNDSLGHNGGDDLLRQMAQRISSCVGKADTVSRWGGDEFVVLLPGYSAG</t>
  </si>
  <si>
    <t>Initial_k97_93397_1</t>
  </si>
  <si>
    <t>aca:ACP_0922</t>
  </si>
  <si>
    <t>MHAIFITYPQAAQAVQGHYTLWIVLLSCLVALVTAYSALAICERLNNARWRRPRLAWWLCGGGLLGIGIWGTHFTAMQSYRLPFPVSHAPWLTFASLLPALAAGLMAIQVLSRDDWSGAQRTLSGCLLGLGICATHYLGMSALEMHASLRYAPIPLGLSVVFAMGAAVAGVHGLHAGRPWPRRFGIGLRTLLGGALMAAAIDGTHYVAMEAAYFLPHASSHELDAAHVGLLAGIVGGLSVLLGIAAMAAVLVDRHLQANAQNMRMSRRQLADIIESMHYGVVLLDSRARVVICNHAFETLTGIPHRDIQGHSLLRMNTILRVSHQRSDILRSLREHGAWVGDVEVRHLDARRFPARLSINQVRPDGEDISHFVATLSDTSAHHDAQRRIHYQAYHDGLTGLPNRSSLRERIYALQLASGVSGRHIMLLLVDIDNFKGINDSLGQATGDRLLKAVAARLKPWGRQGDDLARLSSNEFALLYDGLSSNADKADAQALAKARGVLESLNGDYSLAGERHNCAISGGFLVFHGDEVGVDELLKRVSLALLEAKCQQDQRPQAFAASMVERLNSRLRLERQLREAIRGGQLRLYLQPQFDNHRTIFGAEALVRWEHPERGLITPDAFIGLAEDTGQIIELGAWVLFHACETLALWQHDPVKRHWQLSVNVSVREFQRLEFVNAVEGMLKQSGAPAKRLTLELTESLMMGEAYPVIDTMTRLKALGVRFSIDDFGTGYSSLAYLKRLPLDALKIDVAFVRDLADEPTAAPIAQTIIALAHTLELQVIAEGVETEQQLQRLTELGCRQFQGYLFSAPRPRGEFLDDTAKVSPPAAPFPPAPTSDHHD*</t>
  </si>
  <si>
    <t>Initial_k97_671429_1</t>
  </si>
  <si>
    <t>acio:EAG14_22025</t>
  </si>
  <si>
    <t>K13069</t>
  </si>
  <si>
    <t>E2.7.7.65</t>
  </si>
  <si>
    <t>AGRDGRISGHPCYQQFRLETYIGIPLRLAGKLWGTLNFTSTAPRSRPFDDAEIELLCLLGSAIERVVADRRVIEAVRAERDELETQVLTDALTQLPNRLAYQRHTAALEASLKHSPMEIVLAVFDVDHFKAVNDGHGHLVGDRVLSWLAETLASVLRADD</t>
  </si>
  <si>
    <t>Enrichment</t>
  </si>
  <si>
    <t>Group</t>
  </si>
  <si>
    <t>IR</t>
  </si>
  <si>
    <t>Dark</t>
  </si>
  <si>
    <t>Abundance</t>
  </si>
  <si>
    <t>Methylohalomonas</t>
  </si>
  <si>
    <t>Halomonas</t>
  </si>
  <si>
    <t>Aliidiomarina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</si>
</sst>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1D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0" fillId="2" borderId="0" xfId="0" applyFill="1"/>
    <xf numFmtId="0" fontId="2" fillId="2" borderId="0" xfId="0" applyFont="1" applyFill="1" applyAlignment="1">
      <alignment horizontal="center" vertical="top"/>
    </xf>
    <xf numFmtId="0" fontId="0" fillId="3" borderId="0" xfId="0" applyFill="1"/>
    <xf numFmtId="0" fontId="2" fillId="3" borderId="0" xfId="0" applyFont="1" applyFill="1" applyAlignment="1">
      <alignment horizontal="center" vertical="top"/>
    </xf>
    <xf numFmtId="0" fontId="0" fillId="4" borderId="0" xfId="0" applyFill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 applyBorder="1" applyAlignment="1">
      <alignment horizontal="center" vertical="top"/>
    </xf>
    <xf numFmtId="164" fontId="0" fillId="0" borderId="0" xfId="0" applyNumberFormat="1"/>
    <xf numFmtId="164" fontId="2" fillId="0" borderId="0" xfId="0" applyNumberFormat="1" applyFont="1"/>
    <xf numFmtId="0" fontId="3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D8"/>
      <color rgb="FFFFB8C4"/>
      <color rgb="FFFFC8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B23A-AF36-DE4C-AF70-4A701BD55508}">
  <dimension ref="A1:V79"/>
  <sheetViews>
    <sheetView topLeftCell="G41" zoomScale="75" workbookViewId="0">
      <selection activeCell="M6" sqref="M6"/>
    </sheetView>
  </sheetViews>
  <sheetFormatPr baseColWidth="10" defaultRowHeight="16" x14ac:dyDescent="0.2"/>
  <cols>
    <col min="1" max="1" width="24.1640625" customWidth="1"/>
    <col min="3" max="3" width="23.5" customWidth="1"/>
    <col min="13" max="13" width="84.33203125" customWidth="1"/>
  </cols>
  <sheetData>
    <row r="1" spans="1:22" x14ac:dyDescent="0.2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</row>
    <row r="2" spans="1:22" x14ac:dyDescent="0.2">
      <c r="A2" s="4" t="s">
        <v>56</v>
      </c>
      <c r="B2" s="4" t="s">
        <v>1</v>
      </c>
      <c r="C2" s="5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  <c r="L2" s="4" t="s">
        <v>11</v>
      </c>
      <c r="M2" s="4" t="s">
        <v>12</v>
      </c>
      <c r="N2" s="4">
        <v>448.19469983732085</v>
      </c>
      <c r="O2" s="4">
        <v>2.0848805583477401</v>
      </c>
      <c r="P2" s="4">
        <v>5.0185177596768096</v>
      </c>
      <c r="Q2" s="4">
        <v>147.15121609732401</v>
      </c>
      <c r="R2" s="4">
        <v>3.36080988685424</v>
      </c>
      <c r="S2" s="4">
        <v>164.41084846725499</v>
      </c>
      <c r="T2" s="4">
        <v>126.16842706786301</v>
      </c>
      <c r="U2" s="4">
        <v>0</v>
      </c>
      <c r="V2" s="4" t="s">
        <v>66</v>
      </c>
    </row>
    <row r="3" spans="1:22" x14ac:dyDescent="0.2">
      <c r="A3" s="4" t="s">
        <v>67</v>
      </c>
      <c r="B3" s="4" t="s">
        <v>1</v>
      </c>
      <c r="C3" s="5"/>
      <c r="D3" s="4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  <c r="J3" s="4" t="s">
        <v>74</v>
      </c>
      <c r="K3" s="4" t="s">
        <v>75</v>
      </c>
      <c r="L3" s="4" t="s">
        <v>11</v>
      </c>
      <c r="M3" s="4" t="s">
        <v>12</v>
      </c>
      <c r="N3" s="4">
        <v>428.16469002593129</v>
      </c>
      <c r="O3" s="4">
        <v>1.76678774338593</v>
      </c>
      <c r="P3" s="4">
        <v>4.9725735830037099</v>
      </c>
      <c r="Q3" s="4">
        <v>133.10649802014299</v>
      </c>
      <c r="R3" s="4">
        <v>2.05889321874196</v>
      </c>
      <c r="S3" s="4">
        <v>167.92394567365</v>
      </c>
      <c r="T3" s="4">
        <v>118.29661129378501</v>
      </c>
      <c r="U3" s="4">
        <v>3.9380493221672599E-2</v>
      </c>
      <c r="V3" s="4" t="s">
        <v>76</v>
      </c>
    </row>
    <row r="4" spans="1:22" s="9" customFormat="1" x14ac:dyDescent="0.2">
      <c r="A4" s="11" t="s">
        <v>77</v>
      </c>
      <c r="B4" s="11" t="s">
        <v>1</v>
      </c>
      <c r="C4" s="5"/>
      <c r="D4" s="11" t="s">
        <v>78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79</v>
      </c>
      <c r="M4" s="11" t="s">
        <v>80</v>
      </c>
      <c r="N4" s="11">
        <v>344.90843286599807</v>
      </c>
      <c r="O4" s="11">
        <v>1.0430315669102099</v>
      </c>
      <c r="P4" s="11">
        <v>3.7680611449458099</v>
      </c>
      <c r="Q4" s="11">
        <v>106.341368735537</v>
      </c>
      <c r="R4" s="11">
        <v>2.3409194886657199</v>
      </c>
      <c r="S4" s="11">
        <v>132.526861994434</v>
      </c>
      <c r="T4" s="11">
        <v>98.888189935505295</v>
      </c>
      <c r="U4" s="11">
        <v>0</v>
      </c>
      <c r="V4" s="11" t="s">
        <v>81</v>
      </c>
    </row>
    <row r="5" spans="1:22" x14ac:dyDescent="0.2">
      <c r="A5" s="4" t="s">
        <v>82</v>
      </c>
      <c r="B5" s="4" t="s">
        <v>1</v>
      </c>
      <c r="C5" s="5"/>
      <c r="D5" s="4" t="s">
        <v>83</v>
      </c>
      <c r="E5" s="4" t="s">
        <v>84</v>
      </c>
      <c r="F5" s="4" t="s">
        <v>85</v>
      </c>
      <c r="G5" s="4" t="s">
        <v>86</v>
      </c>
      <c r="H5" s="4" t="s">
        <v>62</v>
      </c>
      <c r="I5" s="4" t="s">
        <v>63</v>
      </c>
      <c r="J5" s="4" t="s">
        <v>64</v>
      </c>
      <c r="K5" s="4" t="s">
        <v>65</v>
      </c>
      <c r="L5" s="4" t="s">
        <v>11</v>
      </c>
      <c r="M5" s="4" t="s">
        <v>12</v>
      </c>
      <c r="N5" s="4">
        <v>277.65304098979715</v>
      </c>
      <c r="O5" s="4">
        <v>1.025008167482</v>
      </c>
      <c r="P5" s="4">
        <v>3.1281814296313102</v>
      </c>
      <c r="Q5" s="4">
        <v>86.1343436457434</v>
      </c>
      <c r="R5" s="4">
        <v>1.5617672919944401</v>
      </c>
      <c r="S5" s="4">
        <v>106.972773750515</v>
      </c>
      <c r="T5" s="4">
        <v>78.784210600438698</v>
      </c>
      <c r="U5" s="4">
        <v>4.6756103992286802E-2</v>
      </c>
      <c r="V5" s="4" t="s">
        <v>87</v>
      </c>
    </row>
    <row r="6" spans="1:22" s="10" customFormat="1" x14ac:dyDescent="0.2">
      <c r="A6" s="17" t="s">
        <v>88</v>
      </c>
      <c r="B6" s="17" t="s">
        <v>1</v>
      </c>
      <c r="C6" s="5"/>
      <c r="D6" s="17" t="s">
        <v>23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>
        <v>261.88037316409509</v>
      </c>
      <c r="O6" s="17">
        <v>0.81277167421512198</v>
      </c>
      <c r="P6" s="17">
        <v>2.4267174693174098</v>
      </c>
      <c r="Q6" s="17">
        <v>83.999968325033507</v>
      </c>
      <c r="R6" s="17">
        <v>1.3851932121977999</v>
      </c>
      <c r="S6" s="17">
        <v>98.768427054438007</v>
      </c>
      <c r="T6" s="17">
        <v>74.466856722615901</v>
      </c>
      <c r="U6" s="17">
        <v>2.0438706277330101E-2</v>
      </c>
      <c r="V6" s="17" t="s">
        <v>89</v>
      </c>
    </row>
    <row r="7" spans="1:22" x14ac:dyDescent="0.2">
      <c r="A7" s="4" t="s">
        <v>90</v>
      </c>
      <c r="B7" s="4" t="s">
        <v>1</v>
      </c>
      <c r="C7" s="5"/>
      <c r="D7" s="4" t="s">
        <v>91</v>
      </c>
      <c r="E7" s="4" t="s">
        <v>92</v>
      </c>
      <c r="F7" s="4" t="s">
        <v>93</v>
      </c>
      <c r="G7" s="4" t="s">
        <v>61</v>
      </c>
      <c r="H7" s="4" t="s">
        <v>62</v>
      </c>
      <c r="I7" s="4" t="s">
        <v>63</v>
      </c>
      <c r="J7" s="4" t="s">
        <v>64</v>
      </c>
      <c r="K7" s="4" t="s">
        <v>65</v>
      </c>
      <c r="L7" s="4" t="s">
        <v>94</v>
      </c>
      <c r="M7" s="4" t="s">
        <v>95</v>
      </c>
      <c r="N7" s="4">
        <v>248.55375547981131</v>
      </c>
      <c r="O7" s="4">
        <v>1.04395747154129</v>
      </c>
      <c r="P7" s="4">
        <v>2.5785892683292801</v>
      </c>
      <c r="Q7" s="4">
        <v>77.7334214716129</v>
      </c>
      <c r="R7" s="4">
        <v>1.42382157911964</v>
      </c>
      <c r="S7" s="4">
        <v>96.800788709212</v>
      </c>
      <c r="T7" s="4">
        <v>68.973176979996197</v>
      </c>
      <c r="U7" s="4">
        <v>0</v>
      </c>
      <c r="V7" s="4" t="s">
        <v>96</v>
      </c>
    </row>
    <row r="8" spans="1:22" x14ac:dyDescent="0.2">
      <c r="A8" s="4" t="s">
        <v>97</v>
      </c>
      <c r="B8" s="4" t="s">
        <v>1</v>
      </c>
      <c r="C8" s="5"/>
      <c r="D8" s="4" t="s">
        <v>98</v>
      </c>
      <c r="E8" s="4" t="s">
        <v>99</v>
      </c>
      <c r="F8" s="4" t="s">
        <v>100</v>
      </c>
      <c r="G8" s="4" t="s">
        <v>101</v>
      </c>
      <c r="H8" s="4" t="s">
        <v>102</v>
      </c>
      <c r="I8" s="4" t="s">
        <v>103</v>
      </c>
      <c r="J8" s="4" t="s">
        <v>104</v>
      </c>
      <c r="K8" s="4" t="s">
        <v>105</v>
      </c>
      <c r="L8" s="4" t="s">
        <v>31</v>
      </c>
      <c r="M8" s="4" t="s">
        <v>32</v>
      </c>
      <c r="N8" s="4">
        <v>228.41972591860775</v>
      </c>
      <c r="O8" s="4">
        <v>0.58144435155389496</v>
      </c>
      <c r="P8" s="4">
        <v>2.63472182383033</v>
      </c>
      <c r="Q8" s="4">
        <v>71.3464346349284</v>
      </c>
      <c r="R8" s="4">
        <v>1.1220065018802099</v>
      </c>
      <c r="S8" s="4">
        <v>85.781783927090601</v>
      </c>
      <c r="T8" s="4">
        <v>66.9533346793243</v>
      </c>
      <c r="U8" s="4">
        <v>0</v>
      </c>
      <c r="V8" s="4" t="s">
        <v>106</v>
      </c>
    </row>
    <row r="9" spans="1:22" x14ac:dyDescent="0.2">
      <c r="A9" s="4" t="s">
        <v>107</v>
      </c>
      <c r="B9" s="4" t="s">
        <v>1</v>
      </c>
      <c r="C9" s="5"/>
      <c r="D9" s="4" t="s">
        <v>108</v>
      </c>
      <c r="E9" s="4" t="s">
        <v>92</v>
      </c>
      <c r="F9" s="4" t="s">
        <v>93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79</v>
      </c>
      <c r="M9" s="4" t="s">
        <v>80</v>
      </c>
      <c r="N9" s="4">
        <v>129.06912528403234</v>
      </c>
      <c r="O9" s="4">
        <v>0.25496327191138501</v>
      </c>
      <c r="P9" s="4">
        <v>1.6922197079885799</v>
      </c>
      <c r="Q9" s="4">
        <v>38.3553176194104</v>
      </c>
      <c r="R9" s="4">
        <v>0.90235443537456395</v>
      </c>
      <c r="S9" s="4">
        <v>51.6259159079478</v>
      </c>
      <c r="T9" s="4">
        <v>36.238354341399599</v>
      </c>
      <c r="U9" s="4">
        <v>0</v>
      </c>
      <c r="V9" s="4" t="s">
        <v>109</v>
      </c>
    </row>
    <row r="10" spans="1:22" x14ac:dyDescent="0.2">
      <c r="A10" s="4" t="s">
        <v>110</v>
      </c>
      <c r="B10" s="4" t="s">
        <v>1</v>
      </c>
      <c r="C10" s="5"/>
      <c r="D10" s="4" t="s">
        <v>111</v>
      </c>
      <c r="E10" s="4" t="s">
        <v>112</v>
      </c>
      <c r="F10" s="4" t="s">
        <v>112</v>
      </c>
      <c r="G10" s="4" t="s">
        <v>113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79</v>
      </c>
      <c r="M10" s="4" t="s">
        <v>80</v>
      </c>
      <c r="N10" s="4">
        <v>7.4086222326262678</v>
      </c>
      <c r="O10" s="4">
        <v>3.2274939051561198</v>
      </c>
      <c r="P10" s="4">
        <v>2.8169981764223602</v>
      </c>
      <c r="Q10" s="4">
        <v>2.64731395094445E-2</v>
      </c>
      <c r="R10" s="4">
        <v>1.1634129512690901</v>
      </c>
      <c r="S10" s="4">
        <v>5.9696605810583503E-2</v>
      </c>
      <c r="T10" s="4">
        <v>2.6622453869400702E-2</v>
      </c>
      <c r="U10" s="4">
        <v>8.7925000589268901E-2</v>
      </c>
      <c r="V10" s="4" t="s">
        <v>114</v>
      </c>
    </row>
    <row r="11" spans="1:22" x14ac:dyDescent="0.2">
      <c r="A11" s="4" t="s">
        <v>115</v>
      </c>
      <c r="B11" s="4" t="s">
        <v>1</v>
      </c>
      <c r="C11" s="5"/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64</v>
      </c>
      <c r="K11" s="4" t="s">
        <v>65</v>
      </c>
      <c r="L11" s="4" t="s">
        <v>11</v>
      </c>
      <c r="M11" s="4" t="s">
        <v>12</v>
      </c>
      <c r="N11" s="4">
        <v>5.1793374422720433</v>
      </c>
      <c r="O11" s="4">
        <v>0</v>
      </c>
      <c r="P11" s="4">
        <v>0</v>
      </c>
      <c r="Q11" s="4">
        <v>0</v>
      </c>
      <c r="R11" s="4">
        <v>4.6038491600743102E-2</v>
      </c>
      <c r="S11" s="4">
        <v>5.1332989506712998</v>
      </c>
      <c r="T11" s="4">
        <v>0</v>
      </c>
      <c r="U11" s="4">
        <v>0</v>
      </c>
      <c r="V11" s="4" t="s">
        <v>116</v>
      </c>
    </row>
    <row r="12" spans="1:22" x14ac:dyDescent="0.2">
      <c r="A12" s="4" t="s">
        <v>117</v>
      </c>
      <c r="B12" s="4" t="s">
        <v>1</v>
      </c>
      <c r="C12" s="5"/>
      <c r="D12" s="4" t="s">
        <v>118</v>
      </c>
      <c r="E12" s="4" t="s">
        <v>99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104</v>
      </c>
      <c r="K12" s="4" t="s">
        <v>105</v>
      </c>
      <c r="L12" s="4" t="s">
        <v>79</v>
      </c>
      <c r="M12" s="4" t="s">
        <v>80</v>
      </c>
      <c r="N12" s="4">
        <v>3.1187212492757701</v>
      </c>
      <c r="O12" s="4">
        <v>0</v>
      </c>
      <c r="P12" s="4">
        <v>0</v>
      </c>
      <c r="Q12" s="4">
        <v>0</v>
      </c>
      <c r="R12" s="4">
        <v>0</v>
      </c>
      <c r="S12" s="4">
        <v>3.1187212492757701</v>
      </c>
      <c r="T12" s="4">
        <v>0</v>
      </c>
      <c r="U12" s="4">
        <v>0</v>
      </c>
      <c r="V12" s="4" t="s">
        <v>119</v>
      </c>
    </row>
    <row r="13" spans="1:22" s="10" customFormat="1" x14ac:dyDescent="0.2">
      <c r="A13" s="17" t="s">
        <v>120</v>
      </c>
      <c r="B13" s="17" t="s">
        <v>1</v>
      </c>
      <c r="C13" s="5"/>
      <c r="D13" s="17" t="s">
        <v>23</v>
      </c>
      <c r="E13" s="17" t="s">
        <v>4</v>
      </c>
      <c r="F13" s="17" t="s">
        <v>5</v>
      </c>
      <c r="G13" s="17" t="s">
        <v>6</v>
      </c>
      <c r="H13" s="17" t="s">
        <v>7</v>
      </c>
      <c r="I13" s="17" t="s">
        <v>8</v>
      </c>
      <c r="J13" s="17" t="s">
        <v>9</v>
      </c>
      <c r="K13" s="17" t="s">
        <v>10</v>
      </c>
      <c r="L13" s="17" t="s">
        <v>11</v>
      </c>
      <c r="M13" s="17" t="s">
        <v>12</v>
      </c>
      <c r="N13" s="17">
        <v>2.792300880154071</v>
      </c>
      <c r="O13" s="17">
        <v>0</v>
      </c>
      <c r="P13" s="17">
        <v>0</v>
      </c>
      <c r="Q13" s="17">
        <v>0</v>
      </c>
      <c r="R13" s="17">
        <v>1.9817447336191001E-2</v>
      </c>
      <c r="S13" s="17">
        <v>2.77248343281788</v>
      </c>
      <c r="T13" s="17">
        <v>0</v>
      </c>
      <c r="U13" s="17">
        <v>0</v>
      </c>
      <c r="V13" s="17" t="s">
        <v>121</v>
      </c>
    </row>
    <row r="14" spans="1:22" x14ac:dyDescent="0.2">
      <c r="A14" s="4" t="s">
        <v>122</v>
      </c>
      <c r="B14" s="4" t="s">
        <v>1</v>
      </c>
      <c r="C14" s="5"/>
      <c r="D14" s="4" t="s">
        <v>123</v>
      </c>
      <c r="E14" s="4" t="s">
        <v>124</v>
      </c>
      <c r="F14" s="4" t="s">
        <v>125</v>
      </c>
      <c r="G14" s="4" t="s">
        <v>126</v>
      </c>
      <c r="H14" s="4" t="s">
        <v>30</v>
      </c>
      <c r="I14" s="4" t="s">
        <v>30</v>
      </c>
      <c r="J14" s="4" t="s">
        <v>30</v>
      </c>
      <c r="K14" s="4" t="s">
        <v>30</v>
      </c>
      <c r="L14" s="4" t="s">
        <v>31</v>
      </c>
      <c r="M14" s="4" t="s">
        <v>32</v>
      </c>
      <c r="N14" s="4">
        <v>2.5128445452630146</v>
      </c>
      <c r="O14" s="4">
        <v>0</v>
      </c>
      <c r="P14" s="4">
        <v>0</v>
      </c>
      <c r="Q14" s="4">
        <v>0</v>
      </c>
      <c r="R14" s="4">
        <v>1.59426578688086E-2</v>
      </c>
      <c r="S14" s="4">
        <v>2.4819443956442599</v>
      </c>
      <c r="T14" s="4">
        <v>1.4957491749945999E-2</v>
      </c>
      <c r="U14" s="4">
        <v>0</v>
      </c>
      <c r="V14" s="4" t="s">
        <v>127</v>
      </c>
    </row>
    <row r="15" spans="1:22" x14ac:dyDescent="0.2">
      <c r="N15" s="10">
        <f>SUM(N2:N14)</f>
        <v>2387.855669915185</v>
      </c>
      <c r="O15" s="10">
        <f>SUM(O2:O14)</f>
        <v>11.840338710503691</v>
      </c>
      <c r="P15" s="10">
        <f>SUM(P2:P14)</f>
        <v>29.0365803631456</v>
      </c>
      <c r="Q15" s="10">
        <f>SUM(Q2:Q14)</f>
        <v>744.19504168924209</v>
      </c>
      <c r="R15" s="10">
        <f>SUM(R2:R14)</f>
        <v>15.400977162903406</v>
      </c>
      <c r="S15" s="10">
        <f>SUM(S2:S14)</f>
        <v>918.37749011876224</v>
      </c>
      <c r="T15" s="10">
        <f>SUM(T2:T14)</f>
        <v>668.81074156654734</v>
      </c>
      <c r="U15" s="10">
        <f>SUM(U2:U14)</f>
        <v>0.19450030408055841</v>
      </c>
    </row>
    <row r="16" spans="1:22" x14ac:dyDescent="0.2">
      <c r="N16" s="10"/>
      <c r="O16">
        <f>AVERAGE(O15:Q15)</f>
        <v>261.69065358763049</v>
      </c>
      <c r="R16">
        <f>AVERAGE(R15:T15)</f>
        <v>534.19640294940427</v>
      </c>
      <c r="S16" s="10"/>
      <c r="T16" s="10"/>
      <c r="U16" s="10"/>
    </row>
    <row r="17" spans="1:22" x14ac:dyDescent="0.2">
      <c r="A17" s="6" t="s">
        <v>128</v>
      </c>
      <c r="B17" s="6" t="s">
        <v>1</v>
      </c>
      <c r="C17" s="7" t="s">
        <v>129</v>
      </c>
      <c r="D17" s="6" t="s">
        <v>130</v>
      </c>
      <c r="E17" s="6" t="s">
        <v>92</v>
      </c>
      <c r="F17" s="6" t="s">
        <v>93</v>
      </c>
      <c r="G17" s="6" t="s">
        <v>61</v>
      </c>
      <c r="H17" s="6" t="s">
        <v>62</v>
      </c>
      <c r="I17" s="6" t="s">
        <v>63</v>
      </c>
      <c r="J17" s="6" t="s">
        <v>64</v>
      </c>
      <c r="K17" s="6" t="s">
        <v>65</v>
      </c>
      <c r="L17" s="6" t="s">
        <v>79</v>
      </c>
      <c r="M17" s="6" t="s">
        <v>80</v>
      </c>
      <c r="N17" s="6">
        <v>7.2460128645555013</v>
      </c>
      <c r="O17" s="6">
        <v>1.63363292858026</v>
      </c>
      <c r="P17" s="6">
        <v>0.98619439801412401</v>
      </c>
      <c r="Q17" s="6">
        <v>0.84028974428129499</v>
      </c>
      <c r="R17" s="6">
        <v>0.78810068523933796</v>
      </c>
      <c r="S17" s="6">
        <v>0.61845573274836996</v>
      </c>
      <c r="T17" s="6">
        <v>0.49293367913084402</v>
      </c>
      <c r="U17" s="6">
        <v>1.8864056965612701</v>
      </c>
      <c r="V17" s="6" t="s">
        <v>131</v>
      </c>
    </row>
    <row r="18" spans="1:22" x14ac:dyDescent="0.2">
      <c r="A18" s="6" t="s">
        <v>132</v>
      </c>
      <c r="B18" s="6" t="s">
        <v>1</v>
      </c>
      <c r="C18" s="7"/>
      <c r="D18" s="6" t="s">
        <v>133</v>
      </c>
      <c r="E18" s="6" t="s">
        <v>69</v>
      </c>
      <c r="F18" s="6" t="s">
        <v>70</v>
      </c>
      <c r="G18" s="6" t="s">
        <v>71</v>
      </c>
      <c r="H18" s="6" t="s">
        <v>72</v>
      </c>
      <c r="I18" s="6" t="s">
        <v>73</v>
      </c>
      <c r="J18" s="6" t="s">
        <v>74</v>
      </c>
      <c r="K18" s="6" t="s">
        <v>75</v>
      </c>
      <c r="L18" s="6" t="s">
        <v>134</v>
      </c>
      <c r="M18" s="6" t="s">
        <v>135</v>
      </c>
      <c r="N18" s="6">
        <v>5.7874469056111852</v>
      </c>
      <c r="O18" s="6">
        <v>0</v>
      </c>
      <c r="P18" s="6">
        <v>9.0852476683804403E-2</v>
      </c>
      <c r="Q18" s="6">
        <v>2.1771875079319001</v>
      </c>
      <c r="R18" s="6">
        <v>9.3347010555989401E-2</v>
      </c>
      <c r="S18" s="6">
        <v>3.3384812173656702</v>
      </c>
      <c r="T18" s="6">
        <v>8.7578693073821601E-2</v>
      </c>
      <c r="U18" s="6">
        <v>0</v>
      </c>
      <c r="V18" s="6" t="s">
        <v>136</v>
      </c>
    </row>
    <row r="19" spans="1:22" x14ac:dyDescent="0.2">
      <c r="A19" s="6" t="s">
        <v>137</v>
      </c>
      <c r="B19" s="6" t="s">
        <v>1</v>
      </c>
      <c r="C19" s="7"/>
      <c r="D19" s="6" t="s">
        <v>138</v>
      </c>
      <c r="E19" s="6" t="s">
        <v>112</v>
      </c>
      <c r="F19" s="6" t="s">
        <v>112</v>
      </c>
      <c r="G19" s="6" t="s">
        <v>113</v>
      </c>
      <c r="H19" s="6" t="s">
        <v>30</v>
      </c>
      <c r="I19" s="6" t="s">
        <v>30</v>
      </c>
      <c r="J19" s="6" t="s">
        <v>30</v>
      </c>
      <c r="K19" s="6" t="s">
        <v>30</v>
      </c>
      <c r="L19" s="6" t="s">
        <v>79</v>
      </c>
      <c r="M19" s="6" t="s">
        <v>80</v>
      </c>
      <c r="N19" s="6">
        <v>3.138401106127108</v>
      </c>
      <c r="O19" s="6">
        <v>0</v>
      </c>
      <c r="P19" s="6">
        <v>0.29274686931448102</v>
      </c>
      <c r="Q19" s="6">
        <v>9.3538426266703903E-2</v>
      </c>
      <c r="R19" s="6">
        <v>0.100261603930506</v>
      </c>
      <c r="S19" s="6">
        <v>0.94917603238827797</v>
      </c>
      <c r="T19" s="6">
        <v>1.5991220624219999</v>
      </c>
      <c r="U19" s="6">
        <v>0.103556111805139</v>
      </c>
      <c r="V19" s="6" t="s">
        <v>139</v>
      </c>
    </row>
    <row r="20" spans="1:22" x14ac:dyDescent="0.2">
      <c r="A20" s="6" t="s">
        <v>140</v>
      </c>
      <c r="B20" s="6" t="s">
        <v>1</v>
      </c>
      <c r="C20" s="7"/>
      <c r="D20" s="6" t="s">
        <v>141</v>
      </c>
      <c r="E20" s="6" t="s">
        <v>99</v>
      </c>
      <c r="F20" s="6" t="s">
        <v>100</v>
      </c>
      <c r="G20" s="6" t="s">
        <v>101</v>
      </c>
      <c r="H20" s="6" t="s">
        <v>102</v>
      </c>
      <c r="I20" s="6" t="s">
        <v>103</v>
      </c>
      <c r="J20" s="6" t="s">
        <v>104</v>
      </c>
      <c r="K20" s="6" t="s">
        <v>105</v>
      </c>
      <c r="L20" s="6" t="s">
        <v>79</v>
      </c>
      <c r="M20" s="6" t="s">
        <v>80</v>
      </c>
      <c r="N20" s="6">
        <v>2.5992359987116722</v>
      </c>
      <c r="O20" s="6">
        <v>9.0220030049195696E-2</v>
      </c>
      <c r="P20" s="6">
        <v>0.375197728077103</v>
      </c>
      <c r="Q20" s="6">
        <v>0.15984414615196199</v>
      </c>
      <c r="R20" s="6">
        <v>8.5666560320369997E-2</v>
      </c>
      <c r="S20" s="6">
        <v>1.0362839594112501</v>
      </c>
      <c r="T20" s="6">
        <v>0.76354208676702096</v>
      </c>
      <c r="U20" s="6">
        <v>8.8481487934770703E-2</v>
      </c>
      <c r="V20" s="6" t="s">
        <v>142</v>
      </c>
    </row>
    <row r="21" spans="1:22" x14ac:dyDescent="0.2">
      <c r="A21" s="6" t="s">
        <v>143</v>
      </c>
      <c r="B21" s="6" t="s">
        <v>1</v>
      </c>
      <c r="C21" s="7"/>
      <c r="D21" s="6" t="s">
        <v>144</v>
      </c>
      <c r="E21" s="6" t="s">
        <v>145</v>
      </c>
      <c r="F21" s="6" t="s">
        <v>146</v>
      </c>
      <c r="G21" s="6" t="s">
        <v>147</v>
      </c>
      <c r="H21" s="6" t="s">
        <v>7</v>
      </c>
      <c r="I21" s="6" t="s">
        <v>8</v>
      </c>
      <c r="J21" s="6" t="s">
        <v>9</v>
      </c>
      <c r="K21" s="6" t="s">
        <v>10</v>
      </c>
      <c r="L21" s="6" t="s">
        <v>79</v>
      </c>
      <c r="M21" s="6" t="s">
        <v>80</v>
      </c>
      <c r="N21" s="6">
        <v>3.3936935492710338</v>
      </c>
      <c r="O21" s="6">
        <v>5.4615956888018798E-2</v>
      </c>
      <c r="P21" s="6">
        <v>5.0473598157669101E-2</v>
      </c>
      <c r="Q21" s="6">
        <v>1.47564931093162</v>
      </c>
      <c r="R21" s="6">
        <v>5.1859450308882997E-2</v>
      </c>
      <c r="S21" s="6">
        <v>1.66378557401393</v>
      </c>
      <c r="T21" s="6">
        <v>9.7309658970912899E-2</v>
      </c>
      <c r="U21" s="6">
        <v>0</v>
      </c>
      <c r="V21" s="6" t="s">
        <v>148</v>
      </c>
    </row>
    <row r="22" spans="1:22" x14ac:dyDescent="0.2">
      <c r="A22" s="6" t="s">
        <v>149</v>
      </c>
      <c r="B22" s="6" t="s">
        <v>1</v>
      </c>
      <c r="C22" s="7"/>
      <c r="D22" s="6" t="s">
        <v>150</v>
      </c>
      <c r="E22" s="6" t="s">
        <v>151</v>
      </c>
      <c r="F22" s="6" t="s">
        <v>152</v>
      </c>
      <c r="G22" s="6" t="s">
        <v>61</v>
      </c>
      <c r="H22" s="6" t="s">
        <v>62</v>
      </c>
      <c r="I22" s="6" t="s">
        <v>63</v>
      </c>
      <c r="J22" s="6" t="s">
        <v>64</v>
      </c>
      <c r="K22" s="6" t="s">
        <v>65</v>
      </c>
      <c r="L22" s="6" t="s">
        <v>153</v>
      </c>
      <c r="M22" s="6" t="s">
        <v>154</v>
      </c>
      <c r="N22" s="6">
        <v>2.3501467761591073</v>
      </c>
      <c r="O22" s="6">
        <v>8.6131509049987398E-2</v>
      </c>
      <c r="P22" s="6">
        <v>0.35819480988629798</v>
      </c>
      <c r="Q22" s="6">
        <v>7.6300226864078793E-2</v>
      </c>
      <c r="R22" s="6">
        <v>0.16356877982620499</v>
      </c>
      <c r="S22" s="6">
        <v>0.860280391892699</v>
      </c>
      <c r="T22" s="6">
        <v>0.80567105863983901</v>
      </c>
      <c r="U22" s="6">
        <v>0</v>
      </c>
      <c r="V22" s="6" t="s">
        <v>155</v>
      </c>
    </row>
    <row r="23" spans="1:22" x14ac:dyDescent="0.2">
      <c r="A23" s="6" t="s">
        <v>156</v>
      </c>
      <c r="B23" s="6" t="s">
        <v>1</v>
      </c>
      <c r="C23" s="7"/>
      <c r="D23" s="6" t="s">
        <v>157</v>
      </c>
      <c r="E23" s="6" t="s">
        <v>92</v>
      </c>
      <c r="F23" s="6" t="s">
        <v>93</v>
      </c>
      <c r="G23" s="6" t="s">
        <v>61</v>
      </c>
      <c r="H23" s="6" t="s">
        <v>62</v>
      </c>
      <c r="I23" s="6" t="s">
        <v>63</v>
      </c>
      <c r="J23" s="6" t="s">
        <v>64</v>
      </c>
      <c r="K23" s="6" t="s">
        <v>65</v>
      </c>
      <c r="L23" s="6" t="s">
        <v>79</v>
      </c>
      <c r="M23" s="6" t="s">
        <v>80</v>
      </c>
      <c r="N23" s="6">
        <v>2.8738687296873562</v>
      </c>
      <c r="O23" s="6">
        <v>1.6889531691674099E-2</v>
      </c>
      <c r="P23" s="6">
        <v>0</v>
      </c>
      <c r="Q23" s="6">
        <v>1.34655435917115</v>
      </c>
      <c r="R23" s="6">
        <v>8.0185524470488503E-2</v>
      </c>
      <c r="S23" s="6">
        <v>1.4001471093879201</v>
      </c>
      <c r="T23" s="6">
        <v>3.0092204966123502E-2</v>
      </c>
      <c r="U23" s="6">
        <v>0</v>
      </c>
      <c r="V23" s="6" t="s">
        <v>158</v>
      </c>
    </row>
    <row r="24" spans="1:22" x14ac:dyDescent="0.2">
      <c r="A24" s="6" t="s">
        <v>159</v>
      </c>
      <c r="B24" s="6" t="s">
        <v>1</v>
      </c>
      <c r="C24" s="7"/>
      <c r="D24" s="6" t="s">
        <v>160</v>
      </c>
      <c r="E24" s="6" t="s">
        <v>59</v>
      </c>
      <c r="F24" s="6" t="s">
        <v>60</v>
      </c>
      <c r="G24" s="6" t="s">
        <v>61</v>
      </c>
      <c r="H24" s="6" t="s">
        <v>62</v>
      </c>
      <c r="I24" s="6" t="s">
        <v>63</v>
      </c>
      <c r="J24" s="6" t="s">
        <v>64</v>
      </c>
      <c r="K24" s="6" t="s">
        <v>65</v>
      </c>
      <c r="L24" s="6" t="s">
        <v>11</v>
      </c>
      <c r="M24" s="6" t="s">
        <v>12</v>
      </c>
      <c r="N24" s="6">
        <v>2.1913985654833859</v>
      </c>
      <c r="O24" s="6">
        <v>5.01928336189187E-2</v>
      </c>
      <c r="P24" s="6">
        <v>0.32470163321852502</v>
      </c>
      <c r="Q24" s="6">
        <v>8.89273770845425E-2</v>
      </c>
      <c r="R24" s="6">
        <v>9.5319130497313095E-2</v>
      </c>
      <c r="S24" s="6">
        <v>0.95251820151640598</v>
      </c>
      <c r="T24" s="6">
        <v>0.58128815649349896</v>
      </c>
      <c r="U24" s="6">
        <v>9.8451233054181395E-2</v>
      </c>
      <c r="V24" s="6" t="s">
        <v>161</v>
      </c>
    </row>
    <row r="25" spans="1:22" x14ac:dyDescent="0.2">
      <c r="A25" s="6" t="s">
        <v>162</v>
      </c>
      <c r="B25" s="6" t="s">
        <v>1</v>
      </c>
      <c r="C25" s="7"/>
      <c r="D25" s="6" t="s">
        <v>163</v>
      </c>
      <c r="E25" s="6" t="s">
        <v>99</v>
      </c>
      <c r="F25" s="6" t="s">
        <v>100</v>
      </c>
      <c r="G25" s="6" t="s">
        <v>101</v>
      </c>
      <c r="H25" s="6" t="s">
        <v>102</v>
      </c>
      <c r="I25" s="6" t="s">
        <v>103</v>
      </c>
      <c r="J25" s="6" t="s">
        <v>104</v>
      </c>
      <c r="K25" s="6" t="s">
        <v>105</v>
      </c>
      <c r="L25" s="6" t="s">
        <v>31</v>
      </c>
      <c r="M25" s="6" t="s">
        <v>32</v>
      </c>
      <c r="N25" s="6">
        <v>2.7763459824897185</v>
      </c>
      <c r="O25" s="6">
        <v>4.9841834782422802E-2</v>
      </c>
      <c r="P25" s="6">
        <v>3.0707713564456E-2</v>
      </c>
      <c r="Q25" s="6">
        <v>1.4128881170355301</v>
      </c>
      <c r="R25" s="6">
        <v>4.7326281575588998E-2</v>
      </c>
      <c r="S25" s="6">
        <v>1.16157906061503</v>
      </c>
      <c r="T25" s="6">
        <v>7.4002974916690695E-2</v>
      </c>
      <c r="U25" s="6">
        <v>0</v>
      </c>
      <c r="V25" s="6" t="s">
        <v>164</v>
      </c>
    </row>
    <row r="26" spans="1:22" x14ac:dyDescent="0.2">
      <c r="A26" s="6" t="s">
        <v>165</v>
      </c>
      <c r="B26" s="6" t="s">
        <v>1</v>
      </c>
      <c r="C26" s="7"/>
      <c r="D26" s="6" t="s">
        <v>166</v>
      </c>
      <c r="E26" s="6" t="s">
        <v>167</v>
      </c>
      <c r="F26" s="6" t="s">
        <v>168</v>
      </c>
      <c r="G26" s="6" t="s">
        <v>61</v>
      </c>
      <c r="H26" s="6" t="s">
        <v>169</v>
      </c>
      <c r="I26" s="6" t="s">
        <v>170</v>
      </c>
      <c r="J26" s="6" t="s">
        <v>64</v>
      </c>
      <c r="K26" s="6" t="s">
        <v>65</v>
      </c>
      <c r="L26" s="6" t="s">
        <v>171</v>
      </c>
      <c r="M26" s="6" t="s">
        <v>172</v>
      </c>
      <c r="N26" s="6">
        <v>1.9984757955845698</v>
      </c>
      <c r="O26" s="6">
        <v>0</v>
      </c>
      <c r="P26" s="6">
        <v>7.61480295904719E-2</v>
      </c>
      <c r="Q26" s="6">
        <v>0.109488620341084</v>
      </c>
      <c r="R26" s="6">
        <v>7.8238823876407307E-2</v>
      </c>
      <c r="S26" s="6">
        <v>0.69953724930350003</v>
      </c>
      <c r="T26" s="6">
        <v>0.95425338985059904</v>
      </c>
      <c r="U26" s="6">
        <v>8.0809682622507303E-2</v>
      </c>
      <c r="V26" s="6" t="s">
        <v>173</v>
      </c>
    </row>
    <row r="27" spans="1:22" x14ac:dyDescent="0.2">
      <c r="A27" s="6" t="s">
        <v>174</v>
      </c>
      <c r="B27" s="6" t="s">
        <v>1</v>
      </c>
      <c r="C27" s="7"/>
      <c r="D27" s="6" t="s">
        <v>175</v>
      </c>
      <c r="E27" s="6" t="s">
        <v>16</v>
      </c>
      <c r="F27" s="6" t="s">
        <v>17</v>
      </c>
      <c r="G27" s="6" t="s">
        <v>18</v>
      </c>
      <c r="H27" s="6" t="s">
        <v>7</v>
      </c>
      <c r="I27" s="6" t="s">
        <v>8</v>
      </c>
      <c r="J27" s="6" t="s">
        <v>9</v>
      </c>
      <c r="K27" s="6" t="s">
        <v>10</v>
      </c>
      <c r="L27" s="6" t="s">
        <v>19</v>
      </c>
      <c r="M27" s="6" t="s">
        <v>20</v>
      </c>
      <c r="N27" s="6">
        <v>2.0794123543543366</v>
      </c>
      <c r="O27" s="6">
        <v>3.3461889079279099E-2</v>
      </c>
      <c r="P27" s="6">
        <v>0.24739172054744701</v>
      </c>
      <c r="Q27" s="6">
        <v>0.118569836112723</v>
      </c>
      <c r="R27" s="6">
        <v>3.1773043499104398E-2</v>
      </c>
      <c r="S27" s="6">
        <v>0.76869889946937997</v>
      </c>
      <c r="T27" s="6">
        <v>0.71543157722276796</v>
      </c>
      <c r="U27" s="6">
        <v>0.16408538842363499</v>
      </c>
      <c r="V27" s="6" t="s">
        <v>176</v>
      </c>
    </row>
    <row r="28" spans="1:22" x14ac:dyDescent="0.2">
      <c r="A28" s="6" t="s">
        <v>177</v>
      </c>
      <c r="B28" s="6" t="s">
        <v>1</v>
      </c>
      <c r="C28" s="7"/>
      <c r="D28" s="6" t="s">
        <v>133</v>
      </c>
      <c r="E28" s="6" t="s">
        <v>69</v>
      </c>
      <c r="F28" s="6" t="s">
        <v>70</v>
      </c>
      <c r="G28" s="6" t="s">
        <v>71</v>
      </c>
      <c r="H28" s="6" t="s">
        <v>72</v>
      </c>
      <c r="I28" s="6" t="s">
        <v>73</v>
      </c>
      <c r="J28" s="6" t="s">
        <v>74</v>
      </c>
      <c r="K28" s="6" t="s">
        <v>75</v>
      </c>
      <c r="L28" s="6" t="s">
        <v>134</v>
      </c>
      <c r="M28" s="6" t="s">
        <v>135</v>
      </c>
      <c r="N28" s="6">
        <v>1.7613590561984602</v>
      </c>
      <c r="O28" s="6">
        <v>9.7635374984746004E-2</v>
      </c>
      <c r="P28" s="6">
        <v>9.0230199446244094E-2</v>
      </c>
      <c r="Q28" s="6">
        <v>0</v>
      </c>
      <c r="R28" s="6">
        <v>0</v>
      </c>
      <c r="S28" s="6">
        <v>0.87766276967409296</v>
      </c>
      <c r="T28" s="6">
        <v>0.69583071209337699</v>
      </c>
      <c r="U28" s="6">
        <v>0</v>
      </c>
      <c r="V28" s="6" t="s">
        <v>178</v>
      </c>
    </row>
    <row r="29" spans="1:22" x14ac:dyDescent="0.2">
      <c r="A29" s="6" t="s">
        <v>179</v>
      </c>
      <c r="B29" s="6" t="s">
        <v>1</v>
      </c>
      <c r="C29" s="7"/>
      <c r="D29" s="6" t="s">
        <v>180</v>
      </c>
      <c r="E29" s="6" t="s">
        <v>99</v>
      </c>
      <c r="F29" s="6" t="s">
        <v>100</v>
      </c>
      <c r="G29" s="6" t="s">
        <v>101</v>
      </c>
      <c r="H29" s="6" t="s">
        <v>102</v>
      </c>
      <c r="I29" s="6" t="s">
        <v>103</v>
      </c>
      <c r="J29" s="6" t="s">
        <v>104</v>
      </c>
      <c r="K29" s="6" t="s">
        <v>105</v>
      </c>
      <c r="L29" s="6" t="s">
        <v>79</v>
      </c>
      <c r="M29" s="6" t="s">
        <v>80</v>
      </c>
      <c r="N29" s="6">
        <v>2.1543489544282384</v>
      </c>
      <c r="O29" s="6">
        <v>1.2246361467158901E-2</v>
      </c>
      <c r="P29" s="6">
        <v>0</v>
      </c>
      <c r="Q29" s="6">
        <v>0.72685143091266002</v>
      </c>
      <c r="R29" s="6">
        <v>6.9769672838239497E-2</v>
      </c>
      <c r="S29" s="6">
        <v>1.3454814892101801</v>
      </c>
      <c r="T29" s="6">
        <v>0</v>
      </c>
      <c r="U29" s="6">
        <v>0</v>
      </c>
      <c r="V29" s="6" t="s">
        <v>181</v>
      </c>
    </row>
    <row r="30" spans="1:22" x14ac:dyDescent="0.2">
      <c r="A30" s="6" t="s">
        <v>182</v>
      </c>
      <c r="B30" s="6" t="s">
        <v>1</v>
      </c>
      <c r="C30" s="7"/>
      <c r="D30" s="6" t="s">
        <v>183</v>
      </c>
      <c r="E30" s="6" t="s">
        <v>184</v>
      </c>
      <c r="F30" s="6" t="s">
        <v>184</v>
      </c>
      <c r="G30" s="6" t="s">
        <v>185</v>
      </c>
      <c r="H30" s="6" t="s">
        <v>186</v>
      </c>
      <c r="I30" s="6" t="s">
        <v>187</v>
      </c>
      <c r="J30" s="6" t="s">
        <v>104</v>
      </c>
      <c r="K30" s="6" t="s">
        <v>188</v>
      </c>
      <c r="L30" s="6" t="s">
        <v>79</v>
      </c>
      <c r="M30" s="6" t="s">
        <v>80</v>
      </c>
      <c r="N30" s="6">
        <v>1.0786328352726495</v>
      </c>
      <c r="O30" s="6">
        <v>5.0909874099188998E-2</v>
      </c>
      <c r="P30" s="6">
        <v>0.14114581199091</v>
      </c>
      <c r="Q30" s="6">
        <v>2.25494420464376E-2</v>
      </c>
      <c r="R30" s="6">
        <v>0.193361664723121</v>
      </c>
      <c r="S30" s="6">
        <v>0.33051665413520398</v>
      </c>
      <c r="T30" s="6">
        <v>0.34014938827778801</v>
      </c>
      <c r="U30" s="6">
        <v>0</v>
      </c>
      <c r="V30" s="6" t="s">
        <v>189</v>
      </c>
    </row>
    <row r="31" spans="1:22" x14ac:dyDescent="0.2">
      <c r="A31" s="6" t="s">
        <v>190</v>
      </c>
      <c r="B31" s="6" t="s">
        <v>1</v>
      </c>
      <c r="C31" s="7"/>
      <c r="D31" s="6" t="s">
        <v>180</v>
      </c>
      <c r="E31" s="6" t="s">
        <v>99</v>
      </c>
      <c r="F31" s="6" t="s">
        <v>100</v>
      </c>
      <c r="G31" s="6" t="s">
        <v>101</v>
      </c>
      <c r="H31" s="6" t="s">
        <v>102</v>
      </c>
      <c r="I31" s="6" t="s">
        <v>103</v>
      </c>
      <c r="J31" s="6" t="s">
        <v>104</v>
      </c>
      <c r="K31" s="6" t="s">
        <v>105</v>
      </c>
      <c r="L31" s="6" t="s">
        <v>79</v>
      </c>
      <c r="M31" s="6" t="s">
        <v>80</v>
      </c>
      <c r="N31" s="6">
        <v>2.0339538550069349</v>
      </c>
      <c r="O31" s="6">
        <v>1.40164845110845E-2</v>
      </c>
      <c r="P31" s="6">
        <v>0</v>
      </c>
      <c r="Q31" s="6">
        <v>0.96849521001808403</v>
      </c>
      <c r="R31" s="6">
        <v>6.6545312343256904E-2</v>
      </c>
      <c r="S31" s="6">
        <v>0.90997702220115195</v>
      </c>
      <c r="T31" s="6">
        <v>7.4919825933357706E-2</v>
      </c>
      <c r="U31" s="6">
        <v>0</v>
      </c>
      <c r="V31" s="6" t="s">
        <v>191</v>
      </c>
    </row>
    <row r="32" spans="1:22" x14ac:dyDescent="0.2">
      <c r="A32" s="6" t="s">
        <v>192</v>
      </c>
      <c r="B32" s="6" t="s">
        <v>1</v>
      </c>
      <c r="C32" s="7"/>
      <c r="D32" s="6" t="s">
        <v>193</v>
      </c>
      <c r="E32" s="6" t="s">
        <v>194</v>
      </c>
      <c r="F32" s="6" t="s">
        <v>195</v>
      </c>
      <c r="G32" s="6" t="s">
        <v>196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79</v>
      </c>
      <c r="M32" s="6" t="s">
        <v>80</v>
      </c>
      <c r="N32" s="6">
        <v>1.9518141191516623</v>
      </c>
      <c r="O32" s="6">
        <v>0</v>
      </c>
      <c r="P32" s="6">
        <v>0</v>
      </c>
      <c r="Q32" s="6">
        <v>0.76456701938702398</v>
      </c>
      <c r="R32" s="6">
        <v>0.10574466039545601</v>
      </c>
      <c r="S32" s="6">
        <v>1.05669987980726</v>
      </c>
      <c r="T32" s="6">
        <v>2.4802559561922101E-2</v>
      </c>
      <c r="U32" s="6">
        <v>0</v>
      </c>
      <c r="V32" s="6" t="s">
        <v>197</v>
      </c>
    </row>
    <row r="33" spans="1:22" x14ac:dyDescent="0.2">
      <c r="A33" s="6" t="s">
        <v>198</v>
      </c>
      <c r="B33" s="6" t="s">
        <v>1</v>
      </c>
      <c r="C33" s="7"/>
      <c r="D33" s="6" t="s">
        <v>199</v>
      </c>
      <c r="E33" s="6" t="s">
        <v>200</v>
      </c>
      <c r="F33" s="6" t="s">
        <v>200</v>
      </c>
      <c r="G33" s="6" t="s">
        <v>201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202</v>
      </c>
      <c r="M33" s="6" t="s">
        <v>203</v>
      </c>
      <c r="N33" s="6">
        <v>1.5718623091848398</v>
      </c>
      <c r="O33" s="6">
        <v>9.1376697101108406E-2</v>
      </c>
      <c r="P33" s="6">
        <v>0.19704116203859301</v>
      </c>
      <c r="Q33" s="6">
        <v>0.134911191730823</v>
      </c>
      <c r="R33" s="6">
        <v>2.8921616518415499E-2</v>
      </c>
      <c r="S33" s="6">
        <v>0.51717924841669005</v>
      </c>
      <c r="T33" s="6">
        <v>0.542688482722399</v>
      </c>
      <c r="U33" s="6">
        <v>5.9743910656810999E-2</v>
      </c>
      <c r="V33" s="6" t="s">
        <v>204</v>
      </c>
    </row>
    <row r="34" spans="1:22" s="9" customFormat="1" x14ac:dyDescent="0.2">
      <c r="A34" s="12" t="s">
        <v>205</v>
      </c>
      <c r="B34" s="12" t="s">
        <v>1</v>
      </c>
      <c r="C34" s="7"/>
      <c r="D34" s="12" t="s">
        <v>206</v>
      </c>
      <c r="E34" s="12" t="s">
        <v>151</v>
      </c>
      <c r="F34" s="12" t="s">
        <v>152</v>
      </c>
      <c r="G34" s="12" t="s">
        <v>61</v>
      </c>
      <c r="H34" s="12" t="s">
        <v>62</v>
      </c>
      <c r="I34" s="12" t="s">
        <v>63</v>
      </c>
      <c r="J34" s="12" t="s">
        <v>64</v>
      </c>
      <c r="K34" s="12" t="s">
        <v>65</v>
      </c>
      <c r="L34" s="12" t="s">
        <v>11</v>
      </c>
      <c r="M34" s="12" t="s">
        <v>12</v>
      </c>
      <c r="N34" s="12">
        <v>1.442169928029555</v>
      </c>
      <c r="O34" s="12">
        <v>0.104814446674801</v>
      </c>
      <c r="P34" s="12">
        <v>0.135610682108914</v>
      </c>
      <c r="Q34" s="12">
        <v>3.7140257488250103E-2</v>
      </c>
      <c r="R34" s="12">
        <v>0</v>
      </c>
      <c r="S34" s="12">
        <v>0.75375743748480895</v>
      </c>
      <c r="T34" s="12">
        <v>0.41084710427278098</v>
      </c>
      <c r="U34" s="12">
        <v>0</v>
      </c>
      <c r="V34" s="12" t="s">
        <v>207</v>
      </c>
    </row>
    <row r="35" spans="1:22" x14ac:dyDescent="0.2">
      <c r="A35" s="6" t="s">
        <v>208</v>
      </c>
      <c r="B35" s="6" t="s">
        <v>1</v>
      </c>
      <c r="C35" s="7"/>
      <c r="D35" s="6" t="s">
        <v>180</v>
      </c>
      <c r="E35" s="6" t="s">
        <v>99</v>
      </c>
      <c r="F35" s="6" t="s">
        <v>100</v>
      </c>
      <c r="G35" s="6" t="s">
        <v>101</v>
      </c>
      <c r="H35" s="6" t="s">
        <v>102</v>
      </c>
      <c r="I35" s="6" t="s">
        <v>103</v>
      </c>
      <c r="J35" s="6" t="s">
        <v>104</v>
      </c>
      <c r="K35" s="6" t="s">
        <v>105</v>
      </c>
      <c r="L35" s="6" t="s">
        <v>79</v>
      </c>
      <c r="M35" s="6" t="s">
        <v>80</v>
      </c>
      <c r="N35" s="6">
        <v>1.8078101340371122</v>
      </c>
      <c r="O35" s="6">
        <v>0</v>
      </c>
      <c r="P35" s="6">
        <v>0</v>
      </c>
      <c r="Q35" s="6">
        <v>4.5341786520664402E-2</v>
      </c>
      <c r="R35" s="6">
        <v>2.4300388744377899E-2</v>
      </c>
      <c r="S35" s="6">
        <v>1.73816795877207</v>
      </c>
      <c r="T35" s="6">
        <v>0</v>
      </c>
      <c r="U35" s="6">
        <v>0</v>
      </c>
      <c r="V35" s="6" t="s">
        <v>209</v>
      </c>
    </row>
    <row r="36" spans="1:22" x14ac:dyDescent="0.2">
      <c r="A36" s="6" t="s">
        <v>210</v>
      </c>
      <c r="B36" s="6" t="s">
        <v>1</v>
      </c>
      <c r="C36" s="7"/>
      <c r="D36" s="6" t="s">
        <v>211</v>
      </c>
      <c r="E36" s="6" t="s">
        <v>16</v>
      </c>
      <c r="F36" s="6" t="s">
        <v>17</v>
      </c>
      <c r="G36" s="6" t="s">
        <v>18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19</v>
      </c>
      <c r="M36" s="6" t="s">
        <v>20</v>
      </c>
      <c r="N36" s="6">
        <v>1.67308678520054</v>
      </c>
      <c r="O36" s="6">
        <v>0</v>
      </c>
      <c r="P36" s="6">
        <v>0</v>
      </c>
      <c r="Q36" s="6">
        <v>0</v>
      </c>
      <c r="R36" s="6">
        <v>0</v>
      </c>
      <c r="S36" s="6">
        <v>1.67308678520054</v>
      </c>
      <c r="T36" s="6">
        <v>0</v>
      </c>
      <c r="U36" s="6">
        <v>0</v>
      </c>
      <c r="V36" s="6" t="s">
        <v>212</v>
      </c>
    </row>
    <row r="37" spans="1:22" x14ac:dyDescent="0.2">
      <c r="A37" s="6" t="s">
        <v>213</v>
      </c>
      <c r="B37" s="6" t="s">
        <v>1</v>
      </c>
      <c r="C37" s="7"/>
      <c r="D37" s="6" t="s">
        <v>214</v>
      </c>
      <c r="E37" s="6" t="s">
        <v>200</v>
      </c>
      <c r="F37" s="6" t="s">
        <v>200</v>
      </c>
      <c r="G37" s="6" t="s">
        <v>201</v>
      </c>
      <c r="H37" s="6" t="s">
        <v>30</v>
      </c>
      <c r="I37" s="6" t="s">
        <v>30</v>
      </c>
      <c r="J37" s="6" t="s">
        <v>30</v>
      </c>
      <c r="K37" s="6" t="s">
        <v>30</v>
      </c>
      <c r="L37" s="6" t="s">
        <v>202</v>
      </c>
      <c r="M37" s="6" t="s">
        <v>203</v>
      </c>
      <c r="N37" s="6">
        <v>1.6156187785332401</v>
      </c>
      <c r="O37" s="6">
        <v>0</v>
      </c>
      <c r="P37" s="6">
        <v>0</v>
      </c>
      <c r="Q37" s="6">
        <v>0</v>
      </c>
      <c r="R37" s="6">
        <v>0</v>
      </c>
      <c r="S37" s="6">
        <v>1.6156187785332401</v>
      </c>
      <c r="T37" s="6">
        <v>0</v>
      </c>
      <c r="U37" s="6">
        <v>0</v>
      </c>
      <c r="V37" s="6" t="s">
        <v>215</v>
      </c>
    </row>
    <row r="38" spans="1:22" x14ac:dyDescent="0.2">
      <c r="A38" s="6" t="s">
        <v>216</v>
      </c>
      <c r="B38" s="6" t="s">
        <v>1</v>
      </c>
      <c r="C38" s="7"/>
      <c r="D38" s="6" t="s">
        <v>144</v>
      </c>
      <c r="E38" s="6" t="s">
        <v>145</v>
      </c>
      <c r="F38" s="6" t="s">
        <v>146</v>
      </c>
      <c r="G38" s="6" t="s">
        <v>147</v>
      </c>
      <c r="H38" s="6" t="s">
        <v>7</v>
      </c>
      <c r="I38" s="6" t="s">
        <v>8</v>
      </c>
      <c r="J38" s="6" t="s">
        <v>9</v>
      </c>
      <c r="K38" s="6" t="s">
        <v>10</v>
      </c>
      <c r="L38" s="6" t="s">
        <v>79</v>
      </c>
      <c r="M38" s="6" t="s">
        <v>80</v>
      </c>
      <c r="N38" s="6">
        <v>1.5146426048749</v>
      </c>
      <c r="O38" s="6">
        <v>0</v>
      </c>
      <c r="P38" s="6">
        <v>0</v>
      </c>
      <c r="Q38" s="6">
        <v>0</v>
      </c>
      <c r="R38" s="6">
        <v>0</v>
      </c>
      <c r="S38" s="6">
        <v>1.5146426048749</v>
      </c>
      <c r="T38" s="6">
        <v>0</v>
      </c>
      <c r="U38" s="6">
        <v>0</v>
      </c>
      <c r="V38" s="6" t="s">
        <v>217</v>
      </c>
    </row>
    <row r="39" spans="1:22" x14ac:dyDescent="0.2">
      <c r="A39" s="6" t="s">
        <v>218</v>
      </c>
      <c r="B39" s="6" t="s">
        <v>1</v>
      </c>
      <c r="C39" s="7"/>
      <c r="D39" s="6" t="s">
        <v>219</v>
      </c>
      <c r="E39" s="6" t="s">
        <v>220</v>
      </c>
      <c r="F39" s="6" t="s">
        <v>220</v>
      </c>
      <c r="G39" s="6" t="s">
        <v>185</v>
      </c>
      <c r="H39" s="6" t="s">
        <v>221</v>
      </c>
      <c r="I39" s="6" t="s">
        <v>222</v>
      </c>
      <c r="J39" s="6" t="s">
        <v>223</v>
      </c>
      <c r="K39" s="6" t="s">
        <v>224</v>
      </c>
      <c r="L39" s="6" t="s">
        <v>225</v>
      </c>
      <c r="M39" s="6" t="s">
        <v>226</v>
      </c>
      <c r="N39" s="6">
        <v>1.1177308152668095</v>
      </c>
      <c r="O39" s="6">
        <v>2.0422299065577201E-2</v>
      </c>
      <c r="P39" s="6">
        <v>0.226480386002607</v>
      </c>
      <c r="Q39" s="6">
        <v>7.2364971610343998E-2</v>
      </c>
      <c r="R39" s="6">
        <v>0</v>
      </c>
      <c r="S39" s="6">
        <v>0.46914861199707197</v>
      </c>
      <c r="T39" s="6">
        <v>0.309285785711992</v>
      </c>
      <c r="U39" s="6">
        <v>2.00287608792174E-2</v>
      </c>
      <c r="V39" s="6" t="s">
        <v>227</v>
      </c>
    </row>
    <row r="40" spans="1:22" x14ac:dyDescent="0.2">
      <c r="A40" s="6" t="s">
        <v>228</v>
      </c>
      <c r="B40" s="6" t="s">
        <v>1</v>
      </c>
      <c r="C40" s="7"/>
      <c r="D40" s="6" t="s">
        <v>229</v>
      </c>
      <c r="E40" s="6" t="s">
        <v>167</v>
      </c>
      <c r="F40" s="6" t="s">
        <v>168</v>
      </c>
      <c r="G40" s="6" t="s">
        <v>61</v>
      </c>
      <c r="H40" s="6" t="s">
        <v>169</v>
      </c>
      <c r="I40" s="6" t="s">
        <v>170</v>
      </c>
      <c r="J40" s="6" t="s">
        <v>64</v>
      </c>
      <c r="K40" s="6" t="s">
        <v>65</v>
      </c>
      <c r="L40" s="6" t="s">
        <v>19</v>
      </c>
      <c r="M40" s="6" t="s">
        <v>20</v>
      </c>
      <c r="N40" s="6">
        <v>1.0787400164025276</v>
      </c>
      <c r="O40" s="6">
        <v>9.0220030049195696E-2</v>
      </c>
      <c r="P40" s="6">
        <v>0.250131818718069</v>
      </c>
      <c r="Q40" s="6">
        <v>0</v>
      </c>
      <c r="R40" s="6">
        <v>8.5666560320369997E-2</v>
      </c>
      <c r="S40" s="6">
        <v>9.0111648644456796E-2</v>
      </c>
      <c r="T40" s="6">
        <v>0.56260995867043595</v>
      </c>
      <c r="U40" s="6">
        <v>0</v>
      </c>
      <c r="V40" s="6" t="s">
        <v>230</v>
      </c>
    </row>
    <row r="41" spans="1:22" x14ac:dyDescent="0.2">
      <c r="A41" s="6" t="s">
        <v>231</v>
      </c>
      <c r="B41" s="6" t="s">
        <v>1</v>
      </c>
      <c r="C41" s="7"/>
      <c r="D41" s="6" t="s">
        <v>163</v>
      </c>
      <c r="E41" s="6" t="s">
        <v>99</v>
      </c>
      <c r="F41" s="6" t="s">
        <v>100</v>
      </c>
      <c r="G41" s="6" t="s">
        <v>101</v>
      </c>
      <c r="H41" s="6" t="s">
        <v>102</v>
      </c>
      <c r="I41" s="6" t="s">
        <v>103</v>
      </c>
      <c r="J41" s="6" t="s">
        <v>104</v>
      </c>
      <c r="K41" s="6" t="s">
        <v>105</v>
      </c>
      <c r="L41" s="6" t="s">
        <v>79</v>
      </c>
      <c r="M41" s="6" t="s">
        <v>80</v>
      </c>
      <c r="N41" s="6">
        <v>1.0929757324201623</v>
      </c>
      <c r="O41" s="6">
        <v>0</v>
      </c>
      <c r="P41" s="6">
        <v>0.30636300277096801</v>
      </c>
      <c r="Q41" s="6">
        <v>7.7280829534914497E-2</v>
      </c>
      <c r="R41" s="6">
        <v>3.31341897934357E-2</v>
      </c>
      <c r="S41" s="6">
        <v>0.33110791827498098</v>
      </c>
      <c r="T41" s="6">
        <v>0.31086684200010101</v>
      </c>
      <c r="U41" s="6">
        <v>3.4222950045762E-2</v>
      </c>
      <c r="V41" s="6" t="s">
        <v>232</v>
      </c>
    </row>
    <row r="42" spans="1:22" x14ac:dyDescent="0.2">
      <c r="A42" s="6" t="s">
        <v>233</v>
      </c>
      <c r="B42" s="6" t="s">
        <v>1</v>
      </c>
      <c r="C42" s="7"/>
      <c r="D42" s="6" t="s">
        <v>234</v>
      </c>
      <c r="E42" s="6" t="s">
        <v>167</v>
      </c>
      <c r="F42" s="6" t="s">
        <v>168</v>
      </c>
      <c r="G42" s="6" t="s">
        <v>61</v>
      </c>
      <c r="H42" s="6" t="s">
        <v>169</v>
      </c>
      <c r="I42" s="6" t="s">
        <v>170</v>
      </c>
      <c r="J42" s="6" t="s">
        <v>64</v>
      </c>
      <c r="K42" s="6" t="s">
        <v>65</v>
      </c>
      <c r="L42" s="6" t="s">
        <v>79</v>
      </c>
      <c r="M42" s="6" t="s">
        <v>80</v>
      </c>
      <c r="N42" s="6">
        <v>1.20496734623902</v>
      </c>
      <c r="O42" s="6">
        <v>0</v>
      </c>
      <c r="P42" s="6">
        <v>0</v>
      </c>
      <c r="Q42" s="6">
        <v>0</v>
      </c>
      <c r="R42" s="6">
        <v>0</v>
      </c>
      <c r="S42" s="6">
        <v>1.20496734623902</v>
      </c>
      <c r="T42" s="6">
        <v>0</v>
      </c>
      <c r="U42" s="6">
        <v>0</v>
      </c>
      <c r="V42" s="6" t="s">
        <v>235</v>
      </c>
    </row>
    <row r="43" spans="1:22" x14ac:dyDescent="0.2">
      <c r="A43" s="6" t="s">
        <v>236</v>
      </c>
      <c r="B43" s="6" t="s">
        <v>1</v>
      </c>
      <c r="C43" s="7"/>
      <c r="D43" s="6" t="s">
        <v>237</v>
      </c>
      <c r="E43" s="6" t="s">
        <v>92</v>
      </c>
      <c r="F43" s="6" t="s">
        <v>93</v>
      </c>
      <c r="G43" s="6" t="s">
        <v>61</v>
      </c>
      <c r="H43" s="6" t="s">
        <v>62</v>
      </c>
      <c r="I43" s="6" t="s">
        <v>63</v>
      </c>
      <c r="J43" s="6" t="s">
        <v>64</v>
      </c>
      <c r="K43" s="6" t="s">
        <v>65</v>
      </c>
      <c r="L43" s="6" t="s">
        <v>31</v>
      </c>
      <c r="M43" s="6" t="s">
        <v>32</v>
      </c>
      <c r="N43" s="6">
        <v>1.1903257573088939</v>
      </c>
      <c r="O43" s="6">
        <v>0</v>
      </c>
      <c r="P43" s="6">
        <v>0</v>
      </c>
      <c r="Q43" s="6">
        <v>0</v>
      </c>
      <c r="R43" s="6">
        <v>1.8266284116893999E-2</v>
      </c>
      <c r="S43" s="6">
        <v>1.172059473192</v>
      </c>
      <c r="T43" s="6">
        <v>0</v>
      </c>
      <c r="U43" s="6">
        <v>0</v>
      </c>
      <c r="V43" s="6" t="s">
        <v>238</v>
      </c>
    </row>
    <row r="44" spans="1:22" x14ac:dyDescent="0.2">
      <c r="A44" s="6" t="s">
        <v>239</v>
      </c>
      <c r="B44" s="6" t="s">
        <v>1</v>
      </c>
      <c r="C44" s="7"/>
      <c r="D44" s="6" t="s">
        <v>240</v>
      </c>
      <c r="E44" s="6" t="s">
        <v>241</v>
      </c>
      <c r="F44" s="6" t="s">
        <v>242</v>
      </c>
      <c r="G44" s="6" t="s">
        <v>243</v>
      </c>
      <c r="H44" s="6" t="s">
        <v>244</v>
      </c>
      <c r="I44" s="6" t="s">
        <v>245</v>
      </c>
      <c r="J44" s="6" t="s">
        <v>246</v>
      </c>
      <c r="K44" s="6" t="s">
        <v>247</v>
      </c>
      <c r="L44" s="6" t="s">
        <v>94</v>
      </c>
      <c r="M44" s="6" t="s">
        <v>95</v>
      </c>
      <c r="N44" s="6">
        <v>1.1143747324665061</v>
      </c>
      <c r="O44" s="6">
        <v>0.11684233399813899</v>
      </c>
      <c r="P44" s="6">
        <v>0</v>
      </c>
      <c r="Q44" s="6">
        <v>0.41402254249196702</v>
      </c>
      <c r="R44" s="6">
        <v>0</v>
      </c>
      <c r="S44" s="6">
        <v>0.58350985597640004</v>
      </c>
      <c r="T44" s="6">
        <v>0</v>
      </c>
      <c r="U44" s="6">
        <v>0</v>
      </c>
      <c r="V44" s="6" t="s">
        <v>248</v>
      </c>
    </row>
    <row r="45" spans="1:22" x14ac:dyDescent="0.2">
      <c r="A45" s="6" t="s">
        <v>249</v>
      </c>
      <c r="B45" s="6" t="s">
        <v>1</v>
      </c>
      <c r="C45" s="7"/>
      <c r="D45" s="6" t="s">
        <v>98</v>
      </c>
      <c r="E45" s="6" t="s">
        <v>99</v>
      </c>
      <c r="F45" s="6" t="s">
        <v>100</v>
      </c>
      <c r="G45" s="6" t="s">
        <v>101</v>
      </c>
      <c r="H45" s="6" t="s">
        <v>102</v>
      </c>
      <c r="I45" s="6" t="s">
        <v>103</v>
      </c>
      <c r="J45" s="6" t="s">
        <v>104</v>
      </c>
      <c r="K45" s="6" t="s">
        <v>105</v>
      </c>
      <c r="L45" s="6" t="s">
        <v>31</v>
      </c>
      <c r="M45" s="6" t="s">
        <v>32</v>
      </c>
      <c r="N45" s="6">
        <v>1.11309441371087</v>
      </c>
      <c r="O45" s="6">
        <v>0</v>
      </c>
      <c r="P45" s="6">
        <v>0</v>
      </c>
      <c r="Q45" s="6">
        <v>0</v>
      </c>
      <c r="R45" s="6">
        <v>0</v>
      </c>
      <c r="S45" s="6">
        <v>1.11309441371087</v>
      </c>
      <c r="T45" s="6">
        <v>0</v>
      </c>
      <c r="U45" s="6">
        <v>0</v>
      </c>
      <c r="V45" s="6" t="s">
        <v>250</v>
      </c>
    </row>
    <row r="46" spans="1:22" x14ac:dyDescent="0.2">
      <c r="A46" s="6" t="s">
        <v>251</v>
      </c>
      <c r="B46" s="6" t="s">
        <v>1</v>
      </c>
      <c r="C46" s="7"/>
      <c r="D46" s="6" t="s">
        <v>252</v>
      </c>
      <c r="E46" s="6" t="s">
        <v>99</v>
      </c>
      <c r="F46" s="6" t="s">
        <v>100</v>
      </c>
      <c r="G46" s="6" t="s">
        <v>101</v>
      </c>
      <c r="H46" s="6" t="s">
        <v>102</v>
      </c>
      <c r="I46" s="6" t="s">
        <v>103</v>
      </c>
      <c r="J46" s="6" t="s">
        <v>104</v>
      </c>
      <c r="K46" s="6" t="s">
        <v>105</v>
      </c>
      <c r="L46" s="6" t="s">
        <v>79</v>
      </c>
      <c r="M46" s="6" t="s">
        <v>80</v>
      </c>
      <c r="N46" s="6">
        <v>1.1122137074198455</v>
      </c>
      <c r="O46" s="6">
        <v>0</v>
      </c>
      <c r="P46" s="6">
        <v>0</v>
      </c>
      <c r="Q46" s="6">
        <v>2.4424927555135499E-2</v>
      </c>
      <c r="R46" s="6">
        <v>0</v>
      </c>
      <c r="S46" s="6">
        <v>1.0877887798647099</v>
      </c>
      <c r="T46" s="6">
        <v>0</v>
      </c>
      <c r="U46" s="6">
        <v>0</v>
      </c>
      <c r="V46" s="6" t="s">
        <v>253</v>
      </c>
    </row>
    <row r="47" spans="1:22" x14ac:dyDescent="0.2">
      <c r="A47" s="6" t="s">
        <v>254</v>
      </c>
      <c r="B47" s="6" t="s">
        <v>1</v>
      </c>
      <c r="C47" s="7"/>
      <c r="D47" s="6" t="s">
        <v>180</v>
      </c>
      <c r="E47" s="6" t="s">
        <v>99</v>
      </c>
      <c r="F47" s="6" t="s">
        <v>100</v>
      </c>
      <c r="G47" s="6" t="s">
        <v>101</v>
      </c>
      <c r="H47" s="6" t="s">
        <v>102</v>
      </c>
      <c r="I47" s="6" t="s">
        <v>103</v>
      </c>
      <c r="J47" s="6" t="s">
        <v>104</v>
      </c>
      <c r="K47" s="6" t="s">
        <v>105</v>
      </c>
      <c r="L47" s="6" t="s">
        <v>31</v>
      </c>
      <c r="M47" s="6" t="s">
        <v>32</v>
      </c>
      <c r="N47" s="6">
        <v>0.95361223162694597</v>
      </c>
      <c r="O47" s="6">
        <v>6.8863597815328095E-2</v>
      </c>
      <c r="P47" s="6">
        <v>5.0912499011214002E-2</v>
      </c>
      <c r="Q47" s="6">
        <v>8.5404650069599297E-2</v>
      </c>
      <c r="R47" s="6">
        <v>5.2310402050699402E-2</v>
      </c>
      <c r="S47" s="6">
        <v>0.41268523147316399</v>
      </c>
      <c r="T47" s="6">
        <v>0.26992853227583602</v>
      </c>
      <c r="U47" s="6">
        <v>1.35073189311051E-2</v>
      </c>
      <c r="V47" s="6" t="s">
        <v>255</v>
      </c>
    </row>
    <row r="48" spans="1:22" x14ac:dyDescent="0.2">
      <c r="A48" s="6" t="s">
        <v>256</v>
      </c>
      <c r="B48" s="6" t="s">
        <v>1</v>
      </c>
      <c r="C48" s="7"/>
      <c r="D48" s="6" t="s">
        <v>180</v>
      </c>
      <c r="E48" s="6" t="s">
        <v>99</v>
      </c>
      <c r="F48" s="6" t="s">
        <v>100</v>
      </c>
      <c r="G48" s="6" t="s">
        <v>101</v>
      </c>
      <c r="H48" s="6" t="s">
        <v>102</v>
      </c>
      <c r="I48" s="6" t="s">
        <v>103</v>
      </c>
      <c r="J48" s="6" t="s">
        <v>104</v>
      </c>
      <c r="K48" s="6" t="s">
        <v>105</v>
      </c>
      <c r="L48" s="6" t="s">
        <v>79</v>
      </c>
      <c r="M48" s="6" t="s">
        <v>80</v>
      </c>
      <c r="N48" s="6">
        <v>0.70598004040578044</v>
      </c>
      <c r="O48" s="6">
        <v>0</v>
      </c>
      <c r="P48" s="6">
        <v>0.143451278974428</v>
      </c>
      <c r="Q48" s="6">
        <v>2.29177632413884E-2</v>
      </c>
      <c r="R48" s="6">
        <v>0</v>
      </c>
      <c r="S48" s="6">
        <v>0.25839637905307</v>
      </c>
      <c r="T48" s="6">
        <v>0.23047024493110899</v>
      </c>
      <c r="U48" s="6">
        <v>5.0744374205785002E-2</v>
      </c>
      <c r="V48" s="6" t="s">
        <v>257</v>
      </c>
    </row>
    <row r="49" spans="1:22" x14ac:dyDescent="0.2">
      <c r="A49" s="6" t="s">
        <v>258</v>
      </c>
      <c r="B49" s="6" t="s">
        <v>1</v>
      </c>
      <c r="C49" s="7"/>
      <c r="D49" s="6" t="s">
        <v>219</v>
      </c>
      <c r="E49" s="6" t="s">
        <v>220</v>
      </c>
      <c r="F49" s="6" t="s">
        <v>220</v>
      </c>
      <c r="G49" s="6" t="s">
        <v>185</v>
      </c>
      <c r="H49" s="6" t="s">
        <v>221</v>
      </c>
      <c r="I49" s="6" t="s">
        <v>222</v>
      </c>
      <c r="J49" s="6" t="s">
        <v>223</v>
      </c>
      <c r="K49" s="6" t="s">
        <v>224</v>
      </c>
      <c r="L49" s="6" t="s">
        <v>225</v>
      </c>
      <c r="M49" s="6" t="s">
        <v>226</v>
      </c>
      <c r="N49" s="6">
        <v>0.89254920715127861</v>
      </c>
      <c r="O49" s="6">
        <v>0</v>
      </c>
      <c r="P49" s="6">
        <v>3.00538611083307E-2</v>
      </c>
      <c r="Q49" s="6">
        <v>2.88084126524829E-2</v>
      </c>
      <c r="R49" s="6">
        <v>0</v>
      </c>
      <c r="S49" s="6">
        <v>0.83368693339046496</v>
      </c>
      <c r="T49" s="6">
        <v>0</v>
      </c>
      <c r="U49" s="6">
        <v>0</v>
      </c>
      <c r="V49" s="6" t="s">
        <v>259</v>
      </c>
    </row>
    <row r="50" spans="1:22" x14ac:dyDescent="0.2">
      <c r="A50" s="6" t="s">
        <v>260</v>
      </c>
      <c r="B50" s="6" t="s">
        <v>1</v>
      </c>
      <c r="C50" s="7"/>
      <c r="D50" s="6" t="s">
        <v>133</v>
      </c>
      <c r="E50" s="6" t="s">
        <v>69</v>
      </c>
      <c r="F50" s="6" t="s">
        <v>70</v>
      </c>
      <c r="G50" s="6" t="s">
        <v>71</v>
      </c>
      <c r="H50" s="6" t="s">
        <v>72</v>
      </c>
      <c r="I50" s="6" t="s">
        <v>73</v>
      </c>
      <c r="J50" s="6" t="s">
        <v>74</v>
      </c>
      <c r="K50" s="6" t="s">
        <v>75</v>
      </c>
      <c r="L50" s="6" t="s">
        <v>134</v>
      </c>
      <c r="M50" s="6" t="s">
        <v>135</v>
      </c>
      <c r="N50" s="6">
        <v>0.87986486603667002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0.87986486603667002</v>
      </c>
      <c r="V50" s="6" t="s">
        <v>261</v>
      </c>
    </row>
    <row r="51" spans="1:22" x14ac:dyDescent="0.2">
      <c r="A51" s="6" t="s">
        <v>262</v>
      </c>
      <c r="B51" s="6" t="s">
        <v>1</v>
      </c>
      <c r="C51" s="7"/>
      <c r="D51" s="6" t="s">
        <v>118</v>
      </c>
      <c r="E51" s="6" t="s">
        <v>99</v>
      </c>
      <c r="F51" s="6" t="s">
        <v>100</v>
      </c>
      <c r="G51" s="6" t="s">
        <v>101</v>
      </c>
      <c r="H51" s="6" t="s">
        <v>102</v>
      </c>
      <c r="I51" s="6" t="s">
        <v>103</v>
      </c>
      <c r="J51" s="6" t="s">
        <v>104</v>
      </c>
      <c r="K51" s="6" t="s">
        <v>105</v>
      </c>
      <c r="L51" s="6" t="s">
        <v>79</v>
      </c>
      <c r="M51" s="6" t="s">
        <v>80</v>
      </c>
      <c r="N51" s="6">
        <v>0.87375469335585998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0.87375469335585998</v>
      </c>
      <c r="V51" s="6" t="s">
        <v>263</v>
      </c>
    </row>
    <row r="52" spans="1:22" x14ac:dyDescent="0.2">
      <c r="A52" s="6" t="s">
        <v>264</v>
      </c>
      <c r="B52" s="6" t="s">
        <v>1</v>
      </c>
      <c r="C52" s="7"/>
      <c r="D52" s="6" t="s">
        <v>265</v>
      </c>
      <c r="E52" s="6" t="s">
        <v>92</v>
      </c>
      <c r="F52" s="6" t="s">
        <v>93</v>
      </c>
      <c r="G52" s="6" t="s">
        <v>61</v>
      </c>
      <c r="H52" s="6" t="s">
        <v>62</v>
      </c>
      <c r="I52" s="6" t="s">
        <v>63</v>
      </c>
      <c r="J52" s="6" t="s">
        <v>64</v>
      </c>
      <c r="K52" s="6" t="s">
        <v>65</v>
      </c>
      <c r="L52" s="6" t="s">
        <v>79</v>
      </c>
      <c r="M52" s="6" t="s">
        <v>80</v>
      </c>
      <c r="N52" s="6">
        <v>0.73285675572717912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9.3649782416697094E-2</v>
      </c>
      <c r="U52" s="6">
        <v>0.63920697331048204</v>
      </c>
      <c r="V52" s="6" t="s">
        <v>266</v>
      </c>
    </row>
    <row r="53" spans="1:22" x14ac:dyDescent="0.2">
      <c r="A53" s="6" t="s">
        <v>267</v>
      </c>
      <c r="B53" s="6" t="s">
        <v>1</v>
      </c>
      <c r="C53" s="7"/>
      <c r="D53" s="6" t="s">
        <v>268</v>
      </c>
      <c r="E53" s="6" t="s">
        <v>200</v>
      </c>
      <c r="F53" s="6" t="s">
        <v>200</v>
      </c>
      <c r="G53" s="6" t="s">
        <v>201</v>
      </c>
      <c r="H53" s="6" t="s">
        <v>30</v>
      </c>
      <c r="I53" s="6" t="s">
        <v>30</v>
      </c>
      <c r="J53" s="6" t="s">
        <v>30</v>
      </c>
      <c r="K53" s="6" t="s">
        <v>30</v>
      </c>
      <c r="L53" s="6" t="s">
        <v>202</v>
      </c>
      <c r="M53" s="6" t="s">
        <v>203</v>
      </c>
      <c r="N53" s="6">
        <v>0.79710954481587204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0.79710954481587204</v>
      </c>
      <c r="V53" s="6" t="s">
        <v>269</v>
      </c>
    </row>
    <row r="54" spans="1:22" x14ac:dyDescent="0.2">
      <c r="A54" s="6" t="s">
        <v>270</v>
      </c>
      <c r="B54" s="6" t="s">
        <v>1</v>
      </c>
      <c r="C54" s="7"/>
      <c r="D54" s="6" t="s">
        <v>271</v>
      </c>
      <c r="E54" s="6" t="s">
        <v>272</v>
      </c>
      <c r="F54" s="6" t="s">
        <v>273</v>
      </c>
      <c r="G54" s="6" t="s">
        <v>274</v>
      </c>
      <c r="H54" s="6" t="s">
        <v>30</v>
      </c>
      <c r="I54" s="6" t="s">
        <v>30</v>
      </c>
      <c r="J54" s="6" t="s">
        <v>30</v>
      </c>
      <c r="K54" s="6" t="s">
        <v>30</v>
      </c>
      <c r="L54" s="6" t="s">
        <v>79</v>
      </c>
      <c r="M54" s="6" t="s">
        <v>80</v>
      </c>
      <c r="N54" s="6">
        <v>0.79362871710925298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0.79362871710925298</v>
      </c>
      <c r="V54" s="6" t="s">
        <v>275</v>
      </c>
    </row>
    <row r="55" spans="1:22" x14ac:dyDescent="0.2">
      <c r="A55" s="6" t="s">
        <v>276</v>
      </c>
      <c r="B55" s="6" t="s">
        <v>1</v>
      </c>
      <c r="C55" s="7"/>
      <c r="D55" s="6" t="s">
        <v>277</v>
      </c>
      <c r="E55" s="6" t="s">
        <v>69</v>
      </c>
      <c r="F55" s="6" t="s">
        <v>70</v>
      </c>
      <c r="G55" s="6" t="s">
        <v>71</v>
      </c>
      <c r="H55" s="6" t="s">
        <v>72</v>
      </c>
      <c r="I55" s="6" t="s">
        <v>73</v>
      </c>
      <c r="J55" s="6" t="s">
        <v>74</v>
      </c>
      <c r="K55" s="6" t="s">
        <v>75</v>
      </c>
      <c r="L55" s="6" t="s">
        <v>79</v>
      </c>
      <c r="M55" s="6" t="s">
        <v>80</v>
      </c>
      <c r="N55" s="6">
        <v>0.73579342598388198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0.73579342598388198</v>
      </c>
      <c r="V55" s="6" t="s">
        <v>278</v>
      </c>
    </row>
    <row r="56" spans="1:22" x14ac:dyDescent="0.2">
      <c r="A56" s="6" t="s">
        <v>279</v>
      </c>
      <c r="B56" s="6" t="s">
        <v>1</v>
      </c>
      <c r="C56" s="7"/>
      <c r="D56" s="6" t="s">
        <v>141</v>
      </c>
      <c r="E56" s="6" t="s">
        <v>99</v>
      </c>
      <c r="F56" s="6" t="s">
        <v>100</v>
      </c>
      <c r="G56" s="6" t="s">
        <v>101</v>
      </c>
      <c r="H56" s="6" t="s">
        <v>102</v>
      </c>
      <c r="I56" s="6" t="s">
        <v>103</v>
      </c>
      <c r="J56" s="6" t="s">
        <v>104</v>
      </c>
      <c r="K56" s="6" t="s">
        <v>105</v>
      </c>
      <c r="L56" s="6" t="s">
        <v>79</v>
      </c>
      <c r="M56" s="6" t="s">
        <v>80</v>
      </c>
      <c r="N56" s="6">
        <v>0.665717861604465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0.665717861604465</v>
      </c>
      <c r="V56" s="6" t="s">
        <v>280</v>
      </c>
    </row>
    <row r="57" spans="1:22" x14ac:dyDescent="0.2">
      <c r="A57" s="6" t="s">
        <v>281</v>
      </c>
      <c r="B57" s="6" t="s">
        <v>1</v>
      </c>
      <c r="C57" s="7"/>
      <c r="D57" s="6" t="s">
        <v>163</v>
      </c>
      <c r="E57" s="6" t="s">
        <v>99</v>
      </c>
      <c r="F57" s="6" t="s">
        <v>100</v>
      </c>
      <c r="G57" s="6" t="s">
        <v>101</v>
      </c>
      <c r="H57" s="6" t="s">
        <v>102</v>
      </c>
      <c r="I57" s="6" t="s">
        <v>103</v>
      </c>
      <c r="J57" s="6" t="s">
        <v>104</v>
      </c>
      <c r="K57" s="6" t="s">
        <v>105</v>
      </c>
      <c r="L57" s="6" t="s">
        <v>79</v>
      </c>
      <c r="M57" s="6" t="s">
        <v>80</v>
      </c>
      <c r="N57" s="6">
        <v>0.69751408355207989</v>
      </c>
      <c r="O57" s="6">
        <v>1.97982843719068E-2</v>
      </c>
      <c r="P57" s="6">
        <v>0</v>
      </c>
      <c r="Q57" s="6">
        <v>0.10523072955004099</v>
      </c>
      <c r="R57" s="6">
        <v>1.8799050736970101E-2</v>
      </c>
      <c r="S57" s="6">
        <v>0.55368601889316205</v>
      </c>
      <c r="T57" s="6">
        <v>0</v>
      </c>
      <c r="U57" s="6">
        <v>0</v>
      </c>
      <c r="V57" s="6" t="s">
        <v>282</v>
      </c>
    </row>
    <row r="58" spans="1:22" x14ac:dyDescent="0.2">
      <c r="A58" s="6" t="s">
        <v>283</v>
      </c>
      <c r="B58" s="6" t="s">
        <v>1</v>
      </c>
      <c r="C58" s="7"/>
      <c r="D58" s="6" t="s">
        <v>284</v>
      </c>
      <c r="E58" s="6" t="s">
        <v>167</v>
      </c>
      <c r="F58" s="6" t="s">
        <v>168</v>
      </c>
      <c r="G58" s="6" t="s">
        <v>61</v>
      </c>
      <c r="H58" s="6" t="s">
        <v>169</v>
      </c>
      <c r="I58" s="6" t="s">
        <v>170</v>
      </c>
      <c r="J58" s="6" t="s">
        <v>64</v>
      </c>
      <c r="K58" s="6" t="s">
        <v>65</v>
      </c>
      <c r="L58" s="6" t="s">
        <v>79</v>
      </c>
      <c r="M58" s="6" t="s">
        <v>80</v>
      </c>
      <c r="N58" s="6">
        <v>0.68754467673903796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0.68754467673903796</v>
      </c>
      <c r="V58" s="6" t="s">
        <v>285</v>
      </c>
    </row>
    <row r="59" spans="1:22" x14ac:dyDescent="0.2">
      <c r="A59" s="6" t="s">
        <v>286</v>
      </c>
      <c r="B59" s="6" t="s">
        <v>1</v>
      </c>
      <c r="C59" s="7"/>
      <c r="D59" s="6" t="s">
        <v>287</v>
      </c>
      <c r="E59" s="6" t="s">
        <v>99</v>
      </c>
      <c r="F59" s="6" t="s">
        <v>100</v>
      </c>
      <c r="G59" s="6" t="s">
        <v>101</v>
      </c>
      <c r="H59" s="6" t="s">
        <v>102</v>
      </c>
      <c r="I59" s="6" t="s">
        <v>103</v>
      </c>
      <c r="J59" s="6" t="s">
        <v>104</v>
      </c>
      <c r="K59" s="6" t="s">
        <v>105</v>
      </c>
      <c r="L59" s="6" t="s">
        <v>79</v>
      </c>
      <c r="M59" s="6" t="s">
        <v>80</v>
      </c>
      <c r="N59" s="6">
        <v>0.58308208033455355</v>
      </c>
      <c r="O59" s="6">
        <v>0</v>
      </c>
      <c r="P59" s="6">
        <v>0</v>
      </c>
      <c r="Q59" s="6">
        <v>5.8192108506935597E-2</v>
      </c>
      <c r="R59" s="6">
        <v>0</v>
      </c>
      <c r="S59" s="6">
        <v>0.52488997182761798</v>
      </c>
      <c r="T59" s="6">
        <v>0</v>
      </c>
      <c r="U59" s="6">
        <v>0</v>
      </c>
      <c r="V59" s="6" t="s">
        <v>288</v>
      </c>
    </row>
    <row r="60" spans="1:22" x14ac:dyDescent="0.2">
      <c r="A60" s="6" t="s">
        <v>289</v>
      </c>
      <c r="B60" s="6" t="s">
        <v>1</v>
      </c>
      <c r="C60" s="7"/>
      <c r="D60" s="6" t="s">
        <v>118</v>
      </c>
      <c r="E60" s="6" t="s">
        <v>99</v>
      </c>
      <c r="F60" s="6" t="s">
        <v>100</v>
      </c>
      <c r="G60" s="6" t="s">
        <v>101</v>
      </c>
      <c r="H60" s="6" t="s">
        <v>102</v>
      </c>
      <c r="I60" s="6" t="s">
        <v>103</v>
      </c>
      <c r="J60" s="6" t="s">
        <v>104</v>
      </c>
      <c r="K60" s="6" t="s">
        <v>105</v>
      </c>
      <c r="L60" s="6" t="s">
        <v>11</v>
      </c>
      <c r="M60" s="6" t="s">
        <v>12</v>
      </c>
      <c r="N60" s="6">
        <v>0.59566573234174336</v>
      </c>
      <c r="O60" s="6">
        <v>4.5542379385856001E-2</v>
      </c>
      <c r="P60" s="6">
        <v>0</v>
      </c>
      <c r="Q60" s="6">
        <v>0</v>
      </c>
      <c r="R60" s="6">
        <v>0</v>
      </c>
      <c r="S60" s="6">
        <v>0</v>
      </c>
      <c r="T60" s="6">
        <v>8.1143198055617399E-2</v>
      </c>
      <c r="U60" s="6">
        <v>0.46898015490027001</v>
      </c>
      <c r="V60" s="6" t="s">
        <v>290</v>
      </c>
    </row>
    <row r="61" spans="1:22" x14ac:dyDescent="0.2">
      <c r="A61" s="6" t="s">
        <v>291</v>
      </c>
      <c r="B61" s="6" t="s">
        <v>1</v>
      </c>
      <c r="C61" s="7"/>
      <c r="D61" s="6" t="s">
        <v>292</v>
      </c>
      <c r="E61" s="6" t="s">
        <v>112</v>
      </c>
      <c r="F61" s="6" t="s">
        <v>112</v>
      </c>
      <c r="G61" s="6" t="s">
        <v>113</v>
      </c>
      <c r="H61" s="6" t="s">
        <v>30</v>
      </c>
      <c r="I61" s="6" t="s">
        <v>30</v>
      </c>
      <c r="J61" s="6" t="s">
        <v>30</v>
      </c>
      <c r="K61" s="6" t="s">
        <v>30</v>
      </c>
      <c r="L61" s="6" t="s">
        <v>171</v>
      </c>
      <c r="M61" s="6" t="s">
        <v>172</v>
      </c>
      <c r="N61" s="6">
        <v>0.62886150940491004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0.62886150940491004</v>
      </c>
      <c r="V61" s="6" t="s">
        <v>293</v>
      </c>
    </row>
    <row r="62" spans="1:22" x14ac:dyDescent="0.2">
      <c r="A62" s="6" t="s">
        <v>294</v>
      </c>
      <c r="B62" s="6" t="s">
        <v>1</v>
      </c>
      <c r="C62" s="7"/>
      <c r="D62" s="6" t="s">
        <v>252</v>
      </c>
      <c r="E62" s="6" t="s">
        <v>99</v>
      </c>
      <c r="F62" s="6" t="s">
        <v>100</v>
      </c>
      <c r="G62" s="6" t="s">
        <v>101</v>
      </c>
      <c r="H62" s="6" t="s">
        <v>102</v>
      </c>
      <c r="I62" s="6" t="s">
        <v>103</v>
      </c>
      <c r="J62" s="6" t="s">
        <v>104</v>
      </c>
      <c r="K62" s="6" t="s">
        <v>105</v>
      </c>
      <c r="L62" s="6" t="s">
        <v>79</v>
      </c>
      <c r="M62" s="6" t="s">
        <v>80</v>
      </c>
      <c r="N62" s="6">
        <v>0.62364647258113404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0.62364647258113404</v>
      </c>
      <c r="V62" s="6" t="s">
        <v>295</v>
      </c>
    </row>
    <row r="63" spans="1:22" x14ac:dyDescent="0.2">
      <c r="A63" s="6" t="s">
        <v>296</v>
      </c>
      <c r="B63" s="6" t="s">
        <v>1</v>
      </c>
      <c r="C63" s="7"/>
      <c r="D63" s="6" t="s">
        <v>297</v>
      </c>
      <c r="E63" s="6" t="s">
        <v>112</v>
      </c>
      <c r="F63" s="6" t="s">
        <v>112</v>
      </c>
      <c r="G63" s="6" t="s">
        <v>113</v>
      </c>
      <c r="H63" s="6" t="s">
        <v>30</v>
      </c>
      <c r="I63" s="6" t="s">
        <v>30</v>
      </c>
      <c r="J63" s="6" t="s">
        <v>30</v>
      </c>
      <c r="K63" s="6" t="s">
        <v>30</v>
      </c>
      <c r="L63" s="6" t="s">
        <v>79</v>
      </c>
      <c r="M63" s="6" t="s">
        <v>80</v>
      </c>
      <c r="N63" s="6">
        <v>0.60460646376150229</v>
      </c>
      <c r="O63" s="6">
        <v>0</v>
      </c>
      <c r="P63" s="6">
        <v>0</v>
      </c>
      <c r="Q63" s="6">
        <v>0</v>
      </c>
      <c r="R63" s="6">
        <v>9.80820038450613E-2</v>
      </c>
      <c r="S63" s="6">
        <v>0</v>
      </c>
      <c r="T63" s="6">
        <v>0</v>
      </c>
      <c r="U63" s="6">
        <v>0.50652445991644102</v>
      </c>
      <c r="V63" s="6" t="s">
        <v>298</v>
      </c>
    </row>
    <row r="64" spans="1:22" x14ac:dyDescent="0.2">
      <c r="A64" s="6" t="s">
        <v>299</v>
      </c>
      <c r="B64" s="6" t="s">
        <v>1</v>
      </c>
      <c r="C64" s="7"/>
      <c r="D64" s="6" t="s">
        <v>118</v>
      </c>
      <c r="E64" s="6" t="s">
        <v>99</v>
      </c>
      <c r="F64" s="6" t="s">
        <v>100</v>
      </c>
      <c r="G64" s="6" t="s">
        <v>101</v>
      </c>
      <c r="H64" s="6" t="s">
        <v>102</v>
      </c>
      <c r="I64" s="6" t="s">
        <v>103</v>
      </c>
      <c r="J64" s="6" t="s">
        <v>104</v>
      </c>
      <c r="K64" s="6" t="s">
        <v>105</v>
      </c>
      <c r="L64" s="6" t="s">
        <v>31</v>
      </c>
      <c r="M64" s="6" t="s">
        <v>32</v>
      </c>
      <c r="N64" s="6">
        <v>0.53358861380191014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4.7325132282127202E-2</v>
      </c>
      <c r="U64" s="6">
        <v>0.48626348151978299</v>
      </c>
      <c r="V64" s="6" t="s">
        <v>300</v>
      </c>
    </row>
    <row r="65" spans="1:22" x14ac:dyDescent="0.2">
      <c r="A65" s="6" t="s">
        <v>301</v>
      </c>
      <c r="B65" s="6" t="s">
        <v>1</v>
      </c>
      <c r="C65" s="7"/>
      <c r="D65" s="6" t="s">
        <v>302</v>
      </c>
      <c r="E65" s="6" t="s">
        <v>194</v>
      </c>
      <c r="F65" s="6" t="s">
        <v>195</v>
      </c>
      <c r="G65" s="6" t="s">
        <v>196</v>
      </c>
      <c r="H65" s="6" t="s">
        <v>30</v>
      </c>
      <c r="I65" s="6" t="s">
        <v>30</v>
      </c>
      <c r="J65" s="6" t="s">
        <v>30</v>
      </c>
      <c r="K65" s="6" t="s">
        <v>30</v>
      </c>
      <c r="L65" s="6" t="s">
        <v>79</v>
      </c>
      <c r="M65" s="6" t="s">
        <v>80</v>
      </c>
      <c r="N65" s="6">
        <v>0.56932432508255104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0.56932432508255104</v>
      </c>
      <c r="V65" s="6" t="s">
        <v>303</v>
      </c>
    </row>
    <row r="66" spans="1:22" x14ac:dyDescent="0.2">
      <c r="A66" s="6" t="s">
        <v>304</v>
      </c>
      <c r="B66" s="6" t="s">
        <v>1</v>
      </c>
      <c r="C66" s="7"/>
      <c r="D66" s="6" t="s">
        <v>305</v>
      </c>
      <c r="E66" s="6" t="s">
        <v>92</v>
      </c>
      <c r="F66" s="6" t="s">
        <v>93</v>
      </c>
      <c r="G66" s="6" t="s">
        <v>61</v>
      </c>
      <c r="H66" s="6" t="s">
        <v>62</v>
      </c>
      <c r="I66" s="6" t="s">
        <v>63</v>
      </c>
      <c r="J66" s="6" t="s">
        <v>64</v>
      </c>
      <c r="K66" s="6" t="s">
        <v>65</v>
      </c>
      <c r="L66" s="6" t="s">
        <v>79</v>
      </c>
      <c r="M66" s="6" t="s">
        <v>80</v>
      </c>
      <c r="N66" s="6">
        <v>0.56062899369939301</v>
      </c>
      <c r="O66" s="6">
        <v>0</v>
      </c>
      <c r="P66" s="6">
        <v>0</v>
      </c>
      <c r="Q66" s="6">
        <v>0</v>
      </c>
      <c r="R66" s="6">
        <v>0</v>
      </c>
      <c r="S66" s="6">
        <v>0.56062899369939301</v>
      </c>
      <c r="T66" s="6">
        <v>0</v>
      </c>
      <c r="U66" s="6">
        <v>0</v>
      </c>
      <c r="V66" s="6" t="s">
        <v>306</v>
      </c>
    </row>
    <row r="67" spans="1:22" x14ac:dyDescent="0.2">
      <c r="A67" s="6" t="s">
        <v>307</v>
      </c>
      <c r="B67" s="6" t="s">
        <v>1</v>
      </c>
      <c r="C67" s="7"/>
      <c r="D67" s="6" t="s">
        <v>308</v>
      </c>
      <c r="E67" s="6" t="s">
        <v>220</v>
      </c>
      <c r="F67" s="6" t="s">
        <v>220</v>
      </c>
      <c r="G67" s="6" t="s">
        <v>185</v>
      </c>
      <c r="H67" s="6" t="s">
        <v>221</v>
      </c>
      <c r="I67" s="6" t="s">
        <v>222</v>
      </c>
      <c r="J67" s="6" t="s">
        <v>223</v>
      </c>
      <c r="K67" s="6" t="s">
        <v>224</v>
      </c>
      <c r="L67" s="6" t="s">
        <v>79</v>
      </c>
      <c r="M67" s="6" t="s">
        <v>80</v>
      </c>
      <c r="N67" s="6">
        <v>0.40327139693347402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0.40327139693347402</v>
      </c>
      <c r="V67" s="6" t="s">
        <v>309</v>
      </c>
    </row>
    <row r="68" spans="1:22" x14ac:dyDescent="0.2">
      <c r="A68" s="6" t="s">
        <v>310</v>
      </c>
      <c r="B68" s="6" t="s">
        <v>1</v>
      </c>
      <c r="C68" s="7"/>
      <c r="D68" s="6" t="s">
        <v>297</v>
      </c>
      <c r="E68" s="6" t="s">
        <v>112</v>
      </c>
      <c r="F68" s="6" t="s">
        <v>112</v>
      </c>
      <c r="G68" s="6" t="s">
        <v>113</v>
      </c>
      <c r="H68" s="6" t="s">
        <v>30</v>
      </c>
      <c r="I68" s="6" t="s">
        <v>30</v>
      </c>
      <c r="J68" s="6" t="s">
        <v>30</v>
      </c>
      <c r="K68" s="6" t="s">
        <v>30</v>
      </c>
      <c r="L68" s="6" t="s">
        <v>79</v>
      </c>
      <c r="M68" s="6" t="s">
        <v>80</v>
      </c>
      <c r="N68" s="6">
        <v>0.52164459304827504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0.52164459304827504</v>
      </c>
      <c r="V68" s="6" t="s">
        <v>311</v>
      </c>
    </row>
    <row r="69" spans="1:22" x14ac:dyDescent="0.2">
      <c r="A69" s="6" t="s">
        <v>312</v>
      </c>
      <c r="B69" s="6" t="s">
        <v>1</v>
      </c>
      <c r="C69" s="7"/>
      <c r="D69" s="6" t="s">
        <v>313</v>
      </c>
      <c r="E69" s="6" t="s">
        <v>112</v>
      </c>
      <c r="F69" s="6" t="s">
        <v>112</v>
      </c>
      <c r="G69" s="6" t="s">
        <v>113</v>
      </c>
      <c r="H69" s="6" t="s">
        <v>30</v>
      </c>
      <c r="I69" s="6" t="s">
        <v>30</v>
      </c>
      <c r="J69" s="6" t="s">
        <v>30</v>
      </c>
      <c r="K69" s="6" t="s">
        <v>30</v>
      </c>
      <c r="L69" s="6" t="s">
        <v>314</v>
      </c>
      <c r="M69" s="6" t="s">
        <v>315</v>
      </c>
      <c r="N69" s="6">
        <v>0.40924543781370426</v>
      </c>
      <c r="O69" s="6">
        <v>0</v>
      </c>
      <c r="P69" s="6">
        <v>0</v>
      </c>
      <c r="Q69" s="6">
        <v>3.4883114767969702E-2</v>
      </c>
      <c r="R69" s="6">
        <v>3.73903771564046E-2</v>
      </c>
      <c r="S69" s="6">
        <v>0.196652492898124</v>
      </c>
      <c r="T69" s="6">
        <v>0.14031945299120599</v>
      </c>
      <c r="U69" s="6">
        <v>0</v>
      </c>
      <c r="V69" s="6" t="s">
        <v>316</v>
      </c>
    </row>
    <row r="70" spans="1:22" x14ac:dyDescent="0.2">
      <c r="A70" s="6" t="s">
        <v>317</v>
      </c>
      <c r="B70" s="6" t="s">
        <v>1</v>
      </c>
      <c r="C70" s="7"/>
      <c r="D70" s="6" t="s">
        <v>318</v>
      </c>
      <c r="E70" s="6" t="s">
        <v>59</v>
      </c>
      <c r="F70" s="6" t="s">
        <v>60</v>
      </c>
      <c r="G70" s="6" t="s">
        <v>61</v>
      </c>
      <c r="H70" s="6" t="s">
        <v>62</v>
      </c>
      <c r="I70" s="6" t="s">
        <v>63</v>
      </c>
      <c r="J70" s="6" t="s">
        <v>64</v>
      </c>
      <c r="K70" s="6" t="s">
        <v>65</v>
      </c>
      <c r="L70" s="6" t="s">
        <v>94</v>
      </c>
      <c r="M70" s="6" t="s">
        <v>95</v>
      </c>
      <c r="N70" s="6">
        <v>0.44381190773630902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0.44381190773630902</v>
      </c>
      <c r="V70" s="6" t="s">
        <v>319</v>
      </c>
    </row>
    <row r="71" spans="1:22" x14ac:dyDescent="0.2">
      <c r="A71" s="6" t="s">
        <v>320</v>
      </c>
      <c r="B71" s="6" t="s">
        <v>1</v>
      </c>
      <c r="C71" s="7"/>
      <c r="D71" s="6" t="s">
        <v>321</v>
      </c>
      <c r="E71" s="6" t="s">
        <v>92</v>
      </c>
      <c r="F71" s="6" t="s">
        <v>93</v>
      </c>
      <c r="G71" s="6" t="s">
        <v>61</v>
      </c>
      <c r="H71" s="6" t="s">
        <v>62</v>
      </c>
      <c r="I71" s="6" t="s">
        <v>63</v>
      </c>
      <c r="J71" s="6" t="s">
        <v>64</v>
      </c>
      <c r="K71" s="6" t="s">
        <v>65</v>
      </c>
      <c r="L71" s="6" t="s">
        <v>79</v>
      </c>
      <c r="M71" s="6" t="s">
        <v>80</v>
      </c>
      <c r="N71" s="6">
        <v>0.43067870135320829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1.5099774667900299E-2</v>
      </c>
      <c r="U71" s="6">
        <v>0.41557892668530799</v>
      </c>
      <c r="V71" s="6" t="s">
        <v>322</v>
      </c>
    </row>
    <row r="72" spans="1:22" x14ac:dyDescent="0.2">
      <c r="A72" s="6" t="s">
        <v>323</v>
      </c>
      <c r="B72" s="6" t="s">
        <v>1</v>
      </c>
      <c r="C72" s="7"/>
      <c r="D72" s="6" t="s">
        <v>324</v>
      </c>
      <c r="E72" s="6" t="s">
        <v>325</v>
      </c>
      <c r="F72" s="6" t="s">
        <v>326</v>
      </c>
      <c r="G72" s="6" t="s">
        <v>61</v>
      </c>
      <c r="H72" s="6" t="s">
        <v>30</v>
      </c>
      <c r="I72" s="6" t="s">
        <v>30</v>
      </c>
      <c r="J72" s="6" t="s">
        <v>30</v>
      </c>
      <c r="K72" s="6" t="s">
        <v>30</v>
      </c>
      <c r="L72" s="6" t="s">
        <v>79</v>
      </c>
      <c r="M72" s="6" t="s">
        <v>80</v>
      </c>
      <c r="N72" s="6">
        <v>0.349501877342344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0.349501877342344</v>
      </c>
      <c r="V72" s="6" t="s">
        <v>327</v>
      </c>
    </row>
    <row r="73" spans="1:22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0">
        <f>SUM(N17:N72)</f>
        <v>80.737644718531058</v>
      </c>
      <c r="O73" s="10">
        <f t="shared" ref="O73:U73" si="0">SUM(O17:O72)</f>
        <v>2.7476746772638467</v>
      </c>
      <c r="P73" s="10">
        <f t="shared" si="0"/>
        <v>4.4040296792246574</v>
      </c>
      <c r="Q73" s="10">
        <f t="shared" si="0"/>
        <v>11.522624060257307</v>
      </c>
      <c r="R73" s="10">
        <f t="shared" si="0"/>
        <v>2.4479390776828955</v>
      </c>
      <c r="S73" s="10">
        <f t="shared" si="0"/>
        <v>35.174148125557068</v>
      </c>
      <c r="T73" s="10">
        <f t="shared" si="0"/>
        <v>10.351162319318766</v>
      </c>
      <c r="U73" s="10">
        <f>SUM(U17:U72)</f>
        <v>14.090066779226508</v>
      </c>
      <c r="V73" s="3"/>
    </row>
    <row r="74" spans="1:22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0"/>
      <c r="O74">
        <f>AVERAGE(O73:Q73)</f>
        <v>6.2247761389152707</v>
      </c>
      <c r="R74">
        <f>AVERAGE(R73:T73)</f>
        <v>15.991083174186244</v>
      </c>
      <c r="S74" s="10"/>
      <c r="T74" s="10"/>
      <c r="U74" s="10"/>
      <c r="V74" s="3"/>
    </row>
    <row r="75" spans="1:22" x14ac:dyDescent="0.2">
      <c r="A75" s="8" t="s">
        <v>0</v>
      </c>
      <c r="B75" s="8" t="s">
        <v>1</v>
      </c>
      <c r="C75" s="14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8" t="s">
        <v>10</v>
      </c>
      <c r="L75" s="8" t="s">
        <v>11</v>
      </c>
      <c r="M75" s="8" t="s">
        <v>12</v>
      </c>
      <c r="N75" s="8">
        <v>2.370348685458497</v>
      </c>
      <c r="O75" s="8">
        <v>0.29049011130832603</v>
      </c>
      <c r="P75" s="8">
        <v>0.191755591254026</v>
      </c>
      <c r="Q75" s="8">
        <v>0.34923735571192999</v>
      </c>
      <c r="R75" s="8">
        <v>0.236424742892899</v>
      </c>
      <c r="S75" s="8">
        <v>0.331589880310315</v>
      </c>
      <c r="T75" s="8">
        <v>0.46211464685968501</v>
      </c>
      <c r="U75" s="8">
        <v>0.50873635712131604</v>
      </c>
      <c r="V75" s="8" t="s">
        <v>13</v>
      </c>
    </row>
    <row r="76" spans="1:22" x14ac:dyDescent="0.2">
      <c r="A76" s="8" t="s">
        <v>14</v>
      </c>
      <c r="B76" s="8" t="s">
        <v>1</v>
      </c>
      <c r="C76" s="14"/>
      <c r="D76" s="8" t="s">
        <v>15</v>
      </c>
      <c r="E76" s="8" t="s">
        <v>16</v>
      </c>
      <c r="F76" s="8" t="s">
        <v>17</v>
      </c>
      <c r="G76" s="8" t="s">
        <v>18</v>
      </c>
      <c r="H76" s="8" t="s">
        <v>7</v>
      </c>
      <c r="I76" s="8" t="s">
        <v>8</v>
      </c>
      <c r="J76" s="8" t="s">
        <v>9</v>
      </c>
      <c r="K76" s="8" t="s">
        <v>10</v>
      </c>
      <c r="L76" s="8" t="s">
        <v>19</v>
      </c>
      <c r="M76" s="8" t="s">
        <v>20</v>
      </c>
      <c r="N76" s="8">
        <v>1.5037124962928767</v>
      </c>
      <c r="O76" s="8">
        <v>0.23701509081807601</v>
      </c>
      <c r="P76" s="8">
        <v>0.31291233062117801</v>
      </c>
      <c r="Q76" s="8">
        <v>0.11997802894066401</v>
      </c>
      <c r="R76" s="8">
        <v>0.28935356003697399</v>
      </c>
      <c r="S76" s="8">
        <v>0.23673036437237299</v>
      </c>
      <c r="T76" s="8">
        <v>0.241309463101266</v>
      </c>
      <c r="U76" s="8">
        <v>6.6413658402345699E-2</v>
      </c>
      <c r="V76" s="8" t="s">
        <v>21</v>
      </c>
    </row>
    <row r="77" spans="1:22" s="9" customFormat="1" x14ac:dyDescent="0.2">
      <c r="A77" s="13" t="s">
        <v>22</v>
      </c>
      <c r="B77" s="13" t="s">
        <v>1</v>
      </c>
      <c r="C77" s="14"/>
      <c r="D77" s="13" t="s">
        <v>23</v>
      </c>
      <c r="E77" s="13" t="s">
        <v>4</v>
      </c>
      <c r="F77" s="13" t="s">
        <v>5</v>
      </c>
      <c r="G77" s="13" t="s">
        <v>6</v>
      </c>
      <c r="H77" s="13" t="s">
        <v>7</v>
      </c>
      <c r="I77" s="13" t="s">
        <v>8</v>
      </c>
      <c r="J77" s="13" t="s">
        <v>9</v>
      </c>
      <c r="K77" s="13" t="s">
        <v>10</v>
      </c>
      <c r="L77" s="13" t="s">
        <v>11</v>
      </c>
      <c r="M77" s="13" t="s">
        <v>12</v>
      </c>
      <c r="N77" s="13">
        <v>1.0419197756141236</v>
      </c>
      <c r="O77" s="13">
        <v>0.331988698638088</v>
      </c>
      <c r="P77" s="13">
        <v>9.5877795627013304E-2</v>
      </c>
      <c r="Q77" s="13">
        <v>0</v>
      </c>
      <c r="R77" s="13">
        <v>0.25612680480063998</v>
      </c>
      <c r="S77" s="13">
        <v>6.2173102558184201E-2</v>
      </c>
      <c r="T77" s="13">
        <v>0.29575337399019802</v>
      </c>
      <c r="U77" s="13">
        <v>0</v>
      </c>
      <c r="V77" s="13" t="s">
        <v>24</v>
      </c>
    </row>
    <row r="78" spans="1:22" x14ac:dyDescent="0.2">
      <c r="A78" s="8" t="s">
        <v>25</v>
      </c>
      <c r="B78" s="8" t="s">
        <v>1</v>
      </c>
      <c r="C78" s="14"/>
      <c r="D78" s="8" t="s">
        <v>26</v>
      </c>
      <c r="E78" s="8" t="s">
        <v>27</v>
      </c>
      <c r="F78" s="8" t="s">
        <v>28</v>
      </c>
      <c r="G78" s="8" t="s">
        <v>29</v>
      </c>
      <c r="H78" s="8" t="s">
        <v>30</v>
      </c>
      <c r="I78" s="8" t="s">
        <v>30</v>
      </c>
      <c r="J78" s="8" t="s">
        <v>30</v>
      </c>
      <c r="K78" s="8" t="s">
        <v>30</v>
      </c>
      <c r="L78" s="8" t="s">
        <v>31</v>
      </c>
      <c r="M78" s="8" t="s">
        <v>32</v>
      </c>
      <c r="N78" s="8">
        <v>0.342589218536895</v>
      </c>
      <c r="O78" s="8">
        <v>0</v>
      </c>
      <c r="P78" s="8">
        <v>0</v>
      </c>
      <c r="Q78" s="8">
        <v>0.162588251665301</v>
      </c>
      <c r="R78" s="8">
        <v>0</v>
      </c>
      <c r="S78" s="8">
        <v>0</v>
      </c>
      <c r="T78" s="8">
        <v>0</v>
      </c>
      <c r="U78" s="8">
        <v>0.180000966871594</v>
      </c>
      <c r="V78" s="8" t="s">
        <v>33</v>
      </c>
    </row>
    <row r="79" spans="1:22" x14ac:dyDescent="0.2">
      <c r="N79" s="10">
        <f>SUM(N75:N78)</f>
        <v>5.258570175902392</v>
      </c>
      <c r="O79" s="10">
        <f t="shared" ref="O79:U79" si="1">SUM(O75:O78)</f>
        <v>0.85949390076449006</v>
      </c>
      <c r="P79" s="10">
        <f t="shared" si="1"/>
        <v>0.6005457175022173</v>
      </c>
      <c r="Q79" s="10">
        <f t="shared" si="1"/>
        <v>0.63180363631789493</v>
      </c>
      <c r="R79" s="10">
        <f t="shared" si="1"/>
        <v>0.78190510773051303</v>
      </c>
      <c r="S79" s="10">
        <f t="shared" si="1"/>
        <v>0.63049334724087225</v>
      </c>
      <c r="T79" s="10">
        <f t="shared" si="1"/>
        <v>0.99917748395114914</v>
      </c>
      <c r="U79" s="10">
        <f t="shared" si="1"/>
        <v>0.7551509823952558</v>
      </c>
    </row>
  </sheetData>
  <mergeCells count="3">
    <mergeCell ref="C75:C78"/>
    <mergeCell ref="C2:C14"/>
    <mergeCell ref="C17:C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0822-E801-794A-A00A-D67A2C60734F}">
  <dimension ref="A1:D19"/>
  <sheetViews>
    <sheetView tabSelected="1" workbookViewId="0">
      <selection activeCell="G15" sqref="G15"/>
    </sheetView>
  </sheetViews>
  <sheetFormatPr baseColWidth="10" defaultRowHeight="16" x14ac:dyDescent="0.2"/>
  <cols>
    <col min="1" max="1" width="19.1640625" customWidth="1"/>
    <col min="2" max="2" width="14.83203125" customWidth="1"/>
    <col min="3" max="3" width="17" customWidth="1"/>
  </cols>
  <sheetData>
    <row r="1" spans="1:4" x14ac:dyDescent="0.2">
      <c r="A1" s="1" t="s">
        <v>36</v>
      </c>
      <c r="B1" s="1" t="s">
        <v>332</v>
      </c>
      <c r="C1" s="1" t="s">
        <v>328</v>
      </c>
      <c r="D1" s="1" t="s">
        <v>329</v>
      </c>
    </row>
    <row r="2" spans="1:4" x14ac:dyDescent="0.2">
      <c r="A2" s="1" t="s">
        <v>334</v>
      </c>
      <c r="B2" s="18">
        <v>2.7476746772638467</v>
      </c>
      <c r="C2">
        <f>B2-14.09</f>
        <v>-11.342325322736153</v>
      </c>
      <c r="D2" t="s">
        <v>331</v>
      </c>
    </row>
    <row r="3" spans="1:4" x14ac:dyDescent="0.2">
      <c r="A3" s="1" t="s">
        <v>334</v>
      </c>
      <c r="B3" s="18">
        <v>4.4040296792246574</v>
      </c>
      <c r="C3">
        <f t="shared" ref="C3:C7" si="0">B3-14.09</f>
        <v>-9.6859703207753434</v>
      </c>
      <c r="D3" t="s">
        <v>331</v>
      </c>
    </row>
    <row r="4" spans="1:4" x14ac:dyDescent="0.2">
      <c r="A4" s="1" t="s">
        <v>334</v>
      </c>
      <c r="B4" s="18">
        <v>11.522624060257307</v>
      </c>
      <c r="C4">
        <f t="shared" si="0"/>
        <v>-2.5673759397426927</v>
      </c>
      <c r="D4" t="s">
        <v>331</v>
      </c>
    </row>
    <row r="5" spans="1:4" x14ac:dyDescent="0.2">
      <c r="A5" s="1" t="s">
        <v>334</v>
      </c>
      <c r="B5" s="18">
        <v>2.4479390776828955</v>
      </c>
      <c r="C5">
        <f t="shared" si="0"/>
        <v>-11.642060922317103</v>
      </c>
      <c r="D5" t="s">
        <v>330</v>
      </c>
    </row>
    <row r="6" spans="1:4" x14ac:dyDescent="0.2">
      <c r="A6" s="1" t="s">
        <v>334</v>
      </c>
      <c r="B6" s="18">
        <v>35.174148125557068</v>
      </c>
      <c r="C6">
        <f t="shared" si="0"/>
        <v>21.084148125557068</v>
      </c>
      <c r="D6" t="s">
        <v>330</v>
      </c>
    </row>
    <row r="7" spans="1:4" x14ac:dyDescent="0.2">
      <c r="A7" s="1" t="s">
        <v>334</v>
      </c>
      <c r="B7" s="18">
        <v>10.351162319318766</v>
      </c>
      <c r="C7">
        <f t="shared" si="0"/>
        <v>-3.7388376806812342</v>
      </c>
      <c r="D7" t="s">
        <v>330</v>
      </c>
    </row>
    <row r="8" spans="1:4" x14ac:dyDescent="0.2">
      <c r="A8" s="1" t="s">
        <v>333</v>
      </c>
      <c r="B8" s="18">
        <v>0.85949390076449006</v>
      </c>
      <c r="C8">
        <f>B8-0.755</f>
        <v>0.10449390076449006</v>
      </c>
      <c r="D8" t="s">
        <v>331</v>
      </c>
    </row>
    <row r="9" spans="1:4" x14ac:dyDescent="0.2">
      <c r="A9" s="1" t="s">
        <v>333</v>
      </c>
      <c r="B9" s="18">
        <v>0.6005457175022173</v>
      </c>
      <c r="C9">
        <f t="shared" ref="C9:C13" si="1">B9-0.755</f>
        <v>-0.1544542824977827</v>
      </c>
      <c r="D9" t="s">
        <v>331</v>
      </c>
    </row>
    <row r="10" spans="1:4" x14ac:dyDescent="0.2">
      <c r="A10" s="1" t="s">
        <v>333</v>
      </c>
      <c r="B10" s="18">
        <v>0.63180363631789493</v>
      </c>
      <c r="C10">
        <f t="shared" si="1"/>
        <v>-0.12319636368210507</v>
      </c>
      <c r="D10" t="s">
        <v>331</v>
      </c>
    </row>
    <row r="11" spans="1:4" x14ac:dyDescent="0.2">
      <c r="A11" s="1" t="s">
        <v>333</v>
      </c>
      <c r="B11" s="18">
        <v>0.78190510773051303</v>
      </c>
      <c r="C11">
        <f t="shared" si="1"/>
        <v>2.6905107730513023E-2</v>
      </c>
      <c r="D11" t="s">
        <v>330</v>
      </c>
    </row>
    <row r="12" spans="1:4" x14ac:dyDescent="0.2">
      <c r="A12" s="1" t="s">
        <v>333</v>
      </c>
      <c r="B12" s="18">
        <v>0.63049334724087225</v>
      </c>
      <c r="C12">
        <f t="shared" si="1"/>
        <v>-0.12450665275912776</v>
      </c>
      <c r="D12" t="s">
        <v>330</v>
      </c>
    </row>
    <row r="13" spans="1:4" x14ac:dyDescent="0.2">
      <c r="A13" s="1" t="s">
        <v>333</v>
      </c>
      <c r="B13" s="18">
        <v>0.99917748395114914</v>
      </c>
      <c r="C13">
        <f t="shared" si="1"/>
        <v>0.24417748395114913</v>
      </c>
      <c r="D13" t="s">
        <v>330</v>
      </c>
    </row>
    <row r="14" spans="1:4" x14ac:dyDescent="0.2">
      <c r="A14" s="1" t="s">
        <v>335</v>
      </c>
      <c r="B14">
        <v>11.840338710503691</v>
      </c>
      <c r="C14">
        <f>B14-0.1945</f>
        <v>11.645838710503691</v>
      </c>
      <c r="D14" t="s">
        <v>331</v>
      </c>
    </row>
    <row r="15" spans="1:4" x14ac:dyDescent="0.2">
      <c r="A15" s="1" t="s">
        <v>335</v>
      </c>
      <c r="B15">
        <v>29.0365803631456</v>
      </c>
      <c r="C15">
        <f t="shared" ref="C15:C19" si="2">B15-0.1945</f>
        <v>28.842080363145598</v>
      </c>
      <c r="D15" t="s">
        <v>331</v>
      </c>
    </row>
    <row r="16" spans="1:4" x14ac:dyDescent="0.2">
      <c r="A16" s="1" t="s">
        <v>335</v>
      </c>
      <c r="B16">
        <v>744.19504168924209</v>
      </c>
      <c r="C16">
        <f t="shared" si="2"/>
        <v>744.00054168924214</v>
      </c>
      <c r="D16" t="s">
        <v>331</v>
      </c>
    </row>
    <row r="17" spans="1:4" x14ac:dyDescent="0.2">
      <c r="A17" s="1" t="s">
        <v>335</v>
      </c>
      <c r="B17">
        <v>15.400977162903406</v>
      </c>
      <c r="C17">
        <f t="shared" si="2"/>
        <v>15.206477162903406</v>
      </c>
      <c r="D17" t="s">
        <v>330</v>
      </c>
    </row>
    <row r="18" spans="1:4" x14ac:dyDescent="0.2">
      <c r="A18" s="1" t="s">
        <v>335</v>
      </c>
      <c r="B18">
        <v>918.37749011876224</v>
      </c>
      <c r="C18">
        <f t="shared" si="2"/>
        <v>918.18299011876229</v>
      </c>
      <c r="D18" t="s">
        <v>330</v>
      </c>
    </row>
    <row r="19" spans="1:4" x14ac:dyDescent="0.2">
      <c r="A19" s="1" t="s">
        <v>335</v>
      </c>
      <c r="B19">
        <v>668.81074156654734</v>
      </c>
      <c r="C19">
        <f t="shared" si="2"/>
        <v>668.61624156654739</v>
      </c>
      <c r="D19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B8D5-3C68-6048-AC0F-7110953A33C7}">
  <dimension ref="A1:C13"/>
  <sheetViews>
    <sheetView workbookViewId="0">
      <selection activeCell="D19" sqref="D19"/>
    </sheetView>
  </sheetViews>
  <sheetFormatPr baseColWidth="10" defaultRowHeight="16" x14ac:dyDescent="0.2"/>
  <cols>
    <col min="1" max="1" width="18.5" customWidth="1"/>
    <col min="2" max="2" width="17.83203125" customWidth="1"/>
  </cols>
  <sheetData>
    <row r="1" spans="1:3" x14ac:dyDescent="0.2">
      <c r="A1" t="s">
        <v>36</v>
      </c>
      <c r="B1" t="s">
        <v>328</v>
      </c>
      <c r="C1" t="s">
        <v>329</v>
      </c>
    </row>
    <row r="2" spans="1:3" x14ac:dyDescent="0.2">
      <c r="A2" s="1" t="s">
        <v>57</v>
      </c>
      <c r="B2" s="15">
        <v>0.32473298909524695</v>
      </c>
      <c r="C2" t="s">
        <v>330</v>
      </c>
    </row>
    <row r="3" spans="1:3" x14ac:dyDescent="0.2">
      <c r="A3" s="1" t="s">
        <v>57</v>
      </c>
      <c r="B3" s="16">
        <v>5.3100986648988635E-3</v>
      </c>
      <c r="C3" t="s">
        <v>330</v>
      </c>
    </row>
    <row r="4" spans="1:3" x14ac:dyDescent="0.2">
      <c r="A4" s="1" t="s">
        <v>57</v>
      </c>
      <c r="B4" s="15">
        <v>0.23973875803013597</v>
      </c>
      <c r="C4" t="s">
        <v>330</v>
      </c>
    </row>
    <row r="5" spans="1:3" x14ac:dyDescent="0.2">
      <c r="A5" s="1" t="s">
        <v>57</v>
      </c>
      <c r="B5" s="15">
        <v>2.881083302841053E-3</v>
      </c>
      <c r="C5" t="s">
        <v>331</v>
      </c>
    </row>
    <row r="6" spans="1:3" x14ac:dyDescent="0.2">
      <c r="A6" s="1" t="s">
        <v>57</v>
      </c>
      <c r="B6" s="15">
        <v>8.5476020257818433E-3</v>
      </c>
      <c r="C6" t="s">
        <v>331</v>
      </c>
    </row>
    <row r="7" spans="1:3" x14ac:dyDescent="0.2">
      <c r="A7" s="1" t="s">
        <v>57</v>
      </c>
      <c r="B7" s="15">
        <v>0.26646252866167097</v>
      </c>
      <c r="C7" t="s">
        <v>331</v>
      </c>
    </row>
    <row r="8" spans="1:3" x14ac:dyDescent="0.2">
      <c r="A8" s="1" t="s">
        <v>129</v>
      </c>
      <c r="B8">
        <v>1.255085255622963E-2</v>
      </c>
      <c r="C8" t="s">
        <v>330</v>
      </c>
    </row>
    <row r="9" spans="1:3" x14ac:dyDescent="0.2">
      <c r="A9" s="1" t="s">
        <v>129</v>
      </c>
      <c r="B9">
        <v>-3.3243160653526299E-3</v>
      </c>
      <c r="C9" t="s">
        <v>330</v>
      </c>
    </row>
    <row r="10" spans="1:3" x14ac:dyDescent="0.2">
      <c r="A10" s="1" t="s">
        <v>129</v>
      </c>
      <c r="B10">
        <v>-8.0837799268006043E-4</v>
      </c>
      <c r="C10" t="s">
        <v>330</v>
      </c>
    </row>
    <row r="11" spans="1:3" x14ac:dyDescent="0.2">
      <c r="A11" s="1" t="s">
        <v>129</v>
      </c>
      <c r="B11">
        <v>-3.2090250334294202E-3</v>
      </c>
      <c r="C11" t="s">
        <v>331</v>
      </c>
    </row>
    <row r="12" spans="1:3" x14ac:dyDescent="0.2">
      <c r="A12" s="1" t="s">
        <v>129</v>
      </c>
      <c r="B12">
        <v>-3.0408541599961699E-3</v>
      </c>
      <c r="C12" t="s">
        <v>331</v>
      </c>
    </row>
    <row r="13" spans="1:3" x14ac:dyDescent="0.2">
      <c r="A13" s="1" t="s">
        <v>129</v>
      </c>
      <c r="B13">
        <v>3.1810455934455301E-3</v>
      </c>
      <c r="C1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Metagenomics_all</vt:lpstr>
      <vt:lpstr>Metagenomics</vt:lpstr>
      <vt:lpstr>16S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2026-09-08T04:55:12Z</dcterms:created>
  <dcterms:modified xsi:type="dcterms:W3CDTF">2026-09-08T15:23:42Z</dcterms:modified>
</cp:coreProperties>
</file>